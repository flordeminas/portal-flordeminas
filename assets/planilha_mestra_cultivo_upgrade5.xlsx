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tos\ZHC\website\assets\"/>
    </mc:Choice>
  </mc:AlternateContent>
  <bookViews>
    <workbookView xWindow="0" yWindow="0" windowWidth="23040" windowHeight="9192"/>
  </bookViews>
  <sheets>
    <sheet name="🌱 Configuração" sheetId="1" r:id="rId1"/>
    <sheet name="📅 Cronograma" sheetId="3" r:id="rId2"/>
    <sheet name="💊 Adubação" sheetId="2" r:id="rId3"/>
    <sheet name="🐛 MIP — Pragas" sheetId="4" r:id="rId4"/>
    <sheet name="📊 Diário" sheetId="5" r:id="rId5"/>
    <sheet name="📖 Guia Rápido" sheetId="6" r:id="rId6"/>
  </sheets>
  <calcPr calcId="162913"/>
</workbook>
</file>

<file path=xl/calcChain.xml><?xml version="1.0" encoding="utf-8"?>
<calcChain xmlns="http://schemas.openxmlformats.org/spreadsheetml/2006/main">
  <c r="C41" i="2" l="1"/>
  <c r="B41" i="2"/>
  <c r="B40" i="2"/>
  <c r="C36" i="2"/>
  <c r="B36" i="2"/>
  <c r="C35" i="2"/>
  <c r="B35" i="2"/>
  <c r="C34" i="2"/>
  <c r="B34" i="2"/>
  <c r="B33" i="2"/>
  <c r="B32" i="2"/>
  <c r="B31" i="2"/>
  <c r="B30" i="2"/>
  <c r="B29" i="2"/>
  <c r="B28" i="2"/>
  <c r="B27" i="2"/>
  <c r="B26" i="2"/>
  <c r="B25" i="2"/>
  <c r="C21" i="2"/>
  <c r="B21" i="2"/>
  <c r="C20" i="2"/>
  <c r="B20" i="2"/>
  <c r="B19" i="2"/>
  <c r="B18" i="2"/>
  <c r="B17" i="2"/>
  <c r="B16" i="2"/>
  <c r="B15" i="2"/>
  <c r="B14" i="2"/>
  <c r="C10" i="2"/>
  <c r="B10" i="2"/>
  <c r="C9" i="2"/>
  <c r="B9" i="2"/>
  <c r="B8" i="2"/>
  <c r="B7" i="2"/>
  <c r="B56" i="1"/>
  <c r="H10" i="2" s="1" a="1"/>
  <c r="H10" i="2" s="1"/>
  <c r="E55" i="1"/>
  <c r="D55" i="1"/>
  <c r="C55" i="1"/>
  <c r="B55" i="1"/>
  <c r="F55" i="1" s="1"/>
  <c r="J24" i="1"/>
  <c r="D24" i="1"/>
  <c r="J23" i="1"/>
  <c r="D23" i="1"/>
  <c r="J22" i="1"/>
  <c r="D22" i="1"/>
  <c r="J21" i="1"/>
  <c r="F21" i="1"/>
  <c r="D21" i="1"/>
  <c r="I7" i="2" l="1" a="1"/>
  <c r="I7" i="2" s="1"/>
  <c r="M7" i="2" a="1"/>
  <c r="M7" i="2" s="1"/>
  <c r="E8" i="2" a="1"/>
  <c r="E8" i="2" s="1"/>
  <c r="I8" i="2" a="1"/>
  <c r="I8" i="2" s="1"/>
  <c r="M8" i="2" a="1"/>
  <c r="M8" i="2" s="1"/>
  <c r="E9" i="2" a="1"/>
  <c r="E9" i="2" s="1"/>
  <c r="I9" i="2" a="1"/>
  <c r="I9" i="2" s="1"/>
  <c r="M9" i="2" a="1"/>
  <c r="M9" i="2" s="1"/>
  <c r="F10" i="2" a="1"/>
  <c r="F10" i="2" s="1"/>
  <c r="E7" i="2" a="1"/>
  <c r="E7" i="2" s="1"/>
  <c r="F7" i="2" a="1"/>
  <c r="F7" i="2" s="1"/>
  <c r="J7" i="2" a="1"/>
  <c r="J7" i="2" s="1"/>
  <c r="F8" i="2" a="1"/>
  <c r="F8" i="2" s="1"/>
  <c r="J8" i="2" a="1"/>
  <c r="J8" i="2" s="1"/>
  <c r="F9" i="2" a="1"/>
  <c r="F9" i="2" s="1"/>
  <c r="J9" i="2" a="1"/>
  <c r="J9" i="2" s="1"/>
  <c r="C18" i="4"/>
  <c r="C17" i="4"/>
  <c r="C56" i="1"/>
  <c r="K10" i="2" a="1"/>
  <c r="K10" i="2" s="1"/>
  <c r="I10" i="2" a="1"/>
  <c r="I10" i="2" s="1"/>
  <c r="M10" i="2" a="1"/>
  <c r="M10" i="2" s="1"/>
  <c r="G10" i="2" a="1"/>
  <c r="G10" i="2" s="1"/>
  <c r="E10" i="2" a="1"/>
  <c r="E10" i="2" s="1"/>
  <c r="H21" i="1"/>
  <c r="C7" i="2"/>
  <c r="G7" i="2" a="1"/>
  <c r="G7" i="2" s="1"/>
  <c r="K7" i="2" a="1"/>
  <c r="K7" i="2" s="1"/>
  <c r="C8" i="2"/>
  <c r="G8" i="2" a="1"/>
  <c r="G8" i="2" s="1"/>
  <c r="K8" i="2" a="1"/>
  <c r="K8" i="2" s="1"/>
  <c r="G9" i="2" a="1"/>
  <c r="G9" i="2" s="1"/>
  <c r="K9" i="2" a="1"/>
  <c r="K9" i="2" s="1"/>
  <c r="J10" i="2" a="1"/>
  <c r="J10" i="2" s="1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B205" i="5"/>
  <c r="B201" i="5"/>
  <c r="B197" i="5"/>
  <c r="B193" i="5"/>
  <c r="B189" i="5"/>
  <c r="B185" i="5"/>
  <c r="B181" i="5"/>
  <c r="B177" i="5"/>
  <c r="B173" i="5"/>
  <c r="B169" i="5"/>
  <c r="B165" i="5"/>
  <c r="B161" i="5"/>
  <c r="B157" i="5"/>
  <c r="B153" i="5"/>
  <c r="B149" i="5"/>
  <c r="B145" i="5"/>
  <c r="B141" i="5"/>
  <c r="B137" i="5"/>
  <c r="B133" i="5"/>
  <c r="B129" i="5"/>
  <c r="L127" i="5"/>
  <c r="B125" i="5"/>
  <c r="L123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B132" i="5"/>
  <c r="L128" i="5"/>
  <c r="B126" i="5"/>
  <c r="L124" i="5"/>
  <c r="B122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B203" i="5"/>
  <c r="B199" i="5"/>
  <c r="B195" i="5"/>
  <c r="B191" i="5"/>
  <c r="B187" i="5"/>
  <c r="B183" i="5"/>
  <c r="B179" i="5"/>
  <c r="B175" i="5"/>
  <c r="B171" i="5"/>
  <c r="B167" i="5"/>
  <c r="B163" i="5"/>
  <c r="B159" i="5"/>
  <c r="B155" i="5"/>
  <c r="B151" i="5"/>
  <c r="B147" i="5"/>
  <c r="B143" i="5"/>
  <c r="B139" i="5"/>
  <c r="B135" i="5"/>
  <c r="B131" i="5"/>
  <c r="B127" i="5"/>
  <c r="L125" i="5"/>
  <c r="B123" i="5"/>
  <c r="L121" i="5"/>
  <c r="B202" i="5"/>
  <c r="B198" i="5"/>
  <c r="B194" i="5"/>
  <c r="B190" i="5"/>
  <c r="B186" i="5"/>
  <c r="B182" i="5"/>
  <c r="B178" i="5"/>
  <c r="B174" i="5"/>
  <c r="B170" i="5"/>
  <c r="B166" i="5"/>
  <c r="B162" i="5"/>
  <c r="B158" i="5"/>
  <c r="B154" i="5"/>
  <c r="B150" i="5"/>
  <c r="B146" i="5"/>
  <c r="B142" i="5"/>
  <c r="B138" i="5"/>
  <c r="B134" i="5"/>
  <c r="B130" i="5"/>
  <c r="B128" i="5"/>
  <c r="L126" i="5"/>
  <c r="B124" i="5"/>
  <c r="L122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2" i="5"/>
  <c r="C78" i="5"/>
  <c r="C74" i="5"/>
  <c r="C70" i="5"/>
  <c r="C67" i="5"/>
  <c r="L65" i="5"/>
  <c r="C63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E205" i="3"/>
  <c r="H204" i="3"/>
  <c r="C204" i="3"/>
  <c r="E203" i="3"/>
  <c r="H202" i="3"/>
  <c r="C202" i="3"/>
  <c r="E201" i="3"/>
  <c r="H200" i="3"/>
  <c r="C200" i="3"/>
  <c r="E199" i="3"/>
  <c r="H198" i="3"/>
  <c r="C198" i="3"/>
  <c r="E197" i="3"/>
  <c r="H196" i="3"/>
  <c r="C196" i="3"/>
  <c r="E195" i="3"/>
  <c r="H194" i="3"/>
  <c r="C194" i="3"/>
  <c r="E193" i="3"/>
  <c r="H192" i="3"/>
  <c r="C192" i="3"/>
  <c r="E191" i="3"/>
  <c r="H190" i="3"/>
  <c r="C190" i="3"/>
  <c r="E189" i="3"/>
  <c r="H188" i="3"/>
  <c r="C188" i="3"/>
  <c r="E187" i="3"/>
  <c r="H186" i="3"/>
  <c r="C186" i="3"/>
  <c r="E185" i="3"/>
  <c r="H184" i="3"/>
  <c r="C184" i="3"/>
  <c r="E183" i="3"/>
  <c r="H182" i="3"/>
  <c r="C182" i="3"/>
  <c r="E181" i="3"/>
  <c r="H180" i="3"/>
  <c r="C180" i="3"/>
  <c r="E179" i="3"/>
  <c r="H178" i="3"/>
  <c r="C178" i="3"/>
  <c r="E177" i="3"/>
  <c r="H176" i="3"/>
  <c r="C176" i="3"/>
  <c r="E175" i="3"/>
  <c r="H174" i="3"/>
  <c r="C174" i="3"/>
  <c r="E173" i="3"/>
  <c r="H172" i="3"/>
  <c r="C172" i="3"/>
  <c r="E171" i="3"/>
  <c r="H170" i="3"/>
  <c r="C170" i="3"/>
  <c r="E169" i="3"/>
  <c r="H168" i="3"/>
  <c r="C168" i="3"/>
  <c r="E167" i="3"/>
  <c r="H166" i="3"/>
  <c r="C166" i="3"/>
  <c r="E165" i="3"/>
  <c r="H164" i="3"/>
  <c r="C164" i="3"/>
  <c r="E163" i="3"/>
  <c r="H162" i="3"/>
  <c r="C162" i="3"/>
  <c r="E161" i="3"/>
  <c r="H160" i="3"/>
  <c r="C160" i="3"/>
  <c r="E159" i="3"/>
  <c r="H158" i="3"/>
  <c r="C158" i="3"/>
  <c r="E157" i="3"/>
  <c r="H156" i="3"/>
  <c r="C156" i="3"/>
  <c r="E155" i="3"/>
  <c r="C85" i="5"/>
  <c r="C81" i="5"/>
  <c r="C77" i="5"/>
  <c r="C73" i="5"/>
  <c r="C68" i="5"/>
  <c r="L66" i="5"/>
  <c r="C64" i="5"/>
  <c r="L62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205" i="3"/>
  <c r="F204" i="3"/>
  <c r="B204" i="3"/>
  <c r="D203" i="3"/>
  <c r="F202" i="3"/>
  <c r="B202" i="3"/>
  <c r="D201" i="3"/>
  <c r="F200" i="3"/>
  <c r="B200" i="3"/>
  <c r="D199" i="3"/>
  <c r="F198" i="3"/>
  <c r="B198" i="3"/>
  <c r="D197" i="3"/>
  <c r="F196" i="3"/>
  <c r="B196" i="3"/>
  <c r="C84" i="5"/>
  <c r="C80" i="5"/>
  <c r="C76" i="5"/>
  <c r="C72" i="5"/>
  <c r="C69" i="5"/>
  <c r="L67" i="5"/>
  <c r="C65" i="5"/>
  <c r="L63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H205" i="3"/>
  <c r="C205" i="3"/>
  <c r="E204" i="3"/>
  <c r="H203" i="3"/>
  <c r="C203" i="3"/>
  <c r="E202" i="3"/>
  <c r="H201" i="3"/>
  <c r="C201" i="3"/>
  <c r="E200" i="3"/>
  <c r="H199" i="3"/>
  <c r="C199" i="3"/>
  <c r="E198" i="3"/>
  <c r="H197" i="3"/>
  <c r="C197" i="3"/>
  <c r="E196" i="3"/>
  <c r="H195" i="3"/>
  <c r="C195" i="3"/>
  <c r="E194" i="3"/>
  <c r="H193" i="3"/>
  <c r="C193" i="3"/>
  <c r="E192" i="3"/>
  <c r="H191" i="3"/>
  <c r="C191" i="3"/>
  <c r="E190" i="3"/>
  <c r="H189" i="3"/>
  <c r="C189" i="3"/>
  <c r="E188" i="3"/>
  <c r="H187" i="3"/>
  <c r="C187" i="3"/>
  <c r="E186" i="3"/>
  <c r="H185" i="3"/>
  <c r="C185" i="3"/>
  <c r="E184" i="3"/>
  <c r="H183" i="3"/>
  <c r="C183" i="3"/>
  <c r="E182" i="3"/>
  <c r="H181" i="3"/>
  <c r="C181" i="3"/>
  <c r="E180" i="3"/>
  <c r="H179" i="3"/>
  <c r="C179" i="3"/>
  <c r="E178" i="3"/>
  <c r="H177" i="3"/>
  <c r="C177" i="3"/>
  <c r="E176" i="3"/>
  <c r="H175" i="3"/>
  <c r="C175" i="3"/>
  <c r="E174" i="3"/>
  <c r="H173" i="3"/>
  <c r="C173" i="3"/>
  <c r="E172" i="3"/>
  <c r="H171" i="3"/>
  <c r="C171" i="3"/>
  <c r="E170" i="3"/>
  <c r="H169" i="3"/>
  <c r="C169" i="3"/>
  <c r="E168" i="3"/>
  <c r="H167" i="3"/>
  <c r="C167" i="3"/>
  <c r="E166" i="3"/>
  <c r="H165" i="3"/>
  <c r="C165" i="3"/>
  <c r="E164" i="3"/>
  <c r="H163" i="3"/>
  <c r="C163" i="3"/>
  <c r="E162" i="3"/>
  <c r="H161" i="3"/>
  <c r="C161" i="3"/>
  <c r="E160" i="3"/>
  <c r="H159" i="3"/>
  <c r="C159" i="3"/>
  <c r="E158" i="3"/>
  <c r="H157" i="3"/>
  <c r="C157" i="3"/>
  <c r="E156" i="3"/>
  <c r="H155" i="3"/>
  <c r="C83" i="5"/>
  <c r="L68" i="5"/>
  <c r="B59" i="5"/>
  <c r="B55" i="5"/>
  <c r="B51" i="5"/>
  <c r="B47" i="5"/>
  <c r="B43" i="5"/>
  <c r="B39" i="5"/>
  <c r="B35" i="5"/>
  <c r="B31" i="5"/>
  <c r="B27" i="5"/>
  <c r="B23" i="5"/>
  <c r="B19" i="5"/>
  <c r="B15" i="5"/>
  <c r="B11" i="5"/>
  <c r="B7" i="5"/>
  <c r="F203" i="3"/>
  <c r="B201" i="3"/>
  <c r="D198" i="3"/>
  <c r="F195" i="3"/>
  <c r="D194" i="3"/>
  <c r="B193" i="3"/>
  <c r="F191" i="3"/>
  <c r="D190" i="3"/>
  <c r="B189" i="3"/>
  <c r="F187" i="3"/>
  <c r="D186" i="3"/>
  <c r="B185" i="3"/>
  <c r="F183" i="3"/>
  <c r="D182" i="3"/>
  <c r="B181" i="3"/>
  <c r="F179" i="3"/>
  <c r="D178" i="3"/>
  <c r="B177" i="3"/>
  <c r="F175" i="3"/>
  <c r="D174" i="3"/>
  <c r="B173" i="3"/>
  <c r="F171" i="3"/>
  <c r="D170" i="3"/>
  <c r="B169" i="3"/>
  <c r="F167" i="3"/>
  <c r="D166" i="3"/>
  <c r="B165" i="3"/>
  <c r="F163" i="3"/>
  <c r="D162" i="3"/>
  <c r="B161" i="3"/>
  <c r="F159" i="3"/>
  <c r="D158" i="3"/>
  <c r="B157" i="3"/>
  <c r="F155" i="3"/>
  <c r="H154" i="3"/>
  <c r="C154" i="3"/>
  <c r="E153" i="3"/>
  <c r="H152" i="3"/>
  <c r="C152" i="3"/>
  <c r="E151" i="3"/>
  <c r="H150" i="3"/>
  <c r="C150" i="3"/>
  <c r="E149" i="3"/>
  <c r="H148" i="3"/>
  <c r="C148" i="3"/>
  <c r="E147" i="3"/>
  <c r="H146" i="3"/>
  <c r="C146" i="3"/>
  <c r="E145" i="3"/>
  <c r="H144" i="3"/>
  <c r="C144" i="3"/>
  <c r="E143" i="3"/>
  <c r="H142" i="3"/>
  <c r="C142" i="3"/>
  <c r="E141" i="3"/>
  <c r="H140" i="3"/>
  <c r="C140" i="3"/>
  <c r="E139" i="3"/>
  <c r="H138" i="3"/>
  <c r="C138" i="3"/>
  <c r="E137" i="3"/>
  <c r="H136" i="3"/>
  <c r="C136" i="3"/>
  <c r="E135" i="3"/>
  <c r="H134" i="3"/>
  <c r="C134" i="3"/>
  <c r="E133" i="3"/>
  <c r="H132" i="3"/>
  <c r="C132" i="3"/>
  <c r="C130" i="3"/>
  <c r="C128" i="3"/>
  <c r="C126" i="3"/>
  <c r="C124" i="3"/>
  <c r="C122" i="3"/>
  <c r="C120" i="3"/>
  <c r="C118" i="3"/>
  <c r="C116" i="3"/>
  <c r="C114" i="3"/>
  <c r="C112" i="3"/>
  <c r="C110" i="3"/>
  <c r="C108" i="3"/>
  <c r="C106" i="3"/>
  <c r="C104" i="3"/>
  <c r="C102" i="3"/>
  <c r="C100" i="3"/>
  <c r="C98" i="3"/>
  <c r="C96" i="3"/>
  <c r="C94" i="3"/>
  <c r="C92" i="3"/>
  <c r="C90" i="3"/>
  <c r="C88" i="3"/>
  <c r="C79" i="5"/>
  <c r="C62" i="5"/>
  <c r="B58" i="5"/>
  <c r="B54" i="5"/>
  <c r="B50" i="5"/>
  <c r="B46" i="5"/>
  <c r="B42" i="5"/>
  <c r="B38" i="5"/>
  <c r="B34" i="5"/>
  <c r="B30" i="5"/>
  <c r="B26" i="5"/>
  <c r="B22" i="5"/>
  <c r="B18" i="5"/>
  <c r="B14" i="5"/>
  <c r="B10" i="5"/>
  <c r="B6" i="5"/>
  <c r="F205" i="3"/>
  <c r="B203" i="3"/>
  <c r="D200" i="3"/>
  <c r="F197" i="3"/>
  <c r="D195" i="3"/>
  <c r="B194" i="3"/>
  <c r="F192" i="3"/>
  <c r="D191" i="3"/>
  <c r="B190" i="3"/>
  <c r="F188" i="3"/>
  <c r="D187" i="3"/>
  <c r="B186" i="3"/>
  <c r="F184" i="3"/>
  <c r="D183" i="3"/>
  <c r="B182" i="3"/>
  <c r="F180" i="3"/>
  <c r="D179" i="3"/>
  <c r="B178" i="3"/>
  <c r="F176" i="3"/>
  <c r="D175" i="3"/>
  <c r="B174" i="3"/>
  <c r="F172" i="3"/>
  <c r="D171" i="3"/>
  <c r="B170" i="3"/>
  <c r="F168" i="3"/>
  <c r="D167" i="3"/>
  <c r="B166" i="3"/>
  <c r="F164" i="3"/>
  <c r="D163" i="3"/>
  <c r="B162" i="3"/>
  <c r="F160" i="3"/>
  <c r="D159" i="3"/>
  <c r="B158" i="3"/>
  <c r="F156" i="3"/>
  <c r="D155" i="3"/>
  <c r="F154" i="3"/>
  <c r="B154" i="3"/>
  <c r="D153" i="3"/>
  <c r="F152" i="3"/>
  <c r="B152" i="3"/>
  <c r="D151" i="3"/>
  <c r="F150" i="3"/>
  <c r="B150" i="3"/>
  <c r="D149" i="3"/>
  <c r="F148" i="3"/>
  <c r="B148" i="3"/>
  <c r="D147" i="3"/>
  <c r="F146" i="3"/>
  <c r="B146" i="3"/>
  <c r="D145" i="3"/>
  <c r="F144" i="3"/>
  <c r="B144" i="3"/>
  <c r="D143" i="3"/>
  <c r="F142" i="3"/>
  <c r="B142" i="3"/>
  <c r="D141" i="3"/>
  <c r="F140" i="3"/>
  <c r="B140" i="3"/>
  <c r="D139" i="3"/>
  <c r="F138" i="3"/>
  <c r="B138" i="3"/>
  <c r="D137" i="3"/>
  <c r="F136" i="3"/>
  <c r="B136" i="3"/>
  <c r="D135" i="3"/>
  <c r="F134" i="3"/>
  <c r="B134" i="3"/>
  <c r="D133" i="3"/>
  <c r="F132" i="3"/>
  <c r="B132" i="3"/>
  <c r="B130" i="3"/>
  <c r="B128" i="3"/>
  <c r="B126" i="3"/>
  <c r="B124" i="3"/>
  <c r="B122" i="3"/>
  <c r="B120" i="3"/>
  <c r="B118" i="3"/>
  <c r="B116" i="3"/>
  <c r="B114" i="3"/>
  <c r="B112" i="3"/>
  <c r="B110" i="3"/>
  <c r="B108" i="3"/>
  <c r="B106" i="3"/>
  <c r="B104" i="3"/>
  <c r="B102" i="3"/>
  <c r="B100" i="3"/>
  <c r="B98" i="3"/>
  <c r="B96" i="3"/>
  <c r="B94" i="3"/>
  <c r="B92" i="3"/>
  <c r="B90" i="3"/>
  <c r="B88" i="3"/>
  <c r="C75" i="5"/>
  <c r="C66" i="5"/>
  <c r="B61" i="5"/>
  <c r="B57" i="5"/>
  <c r="B53" i="5"/>
  <c r="B49" i="5"/>
  <c r="B45" i="5"/>
  <c r="B41" i="5"/>
  <c r="B37" i="5"/>
  <c r="B33" i="5"/>
  <c r="B29" i="5"/>
  <c r="B25" i="5"/>
  <c r="B21" i="5"/>
  <c r="B17" i="5"/>
  <c r="B13" i="5"/>
  <c r="B9" i="5"/>
  <c r="B205" i="3"/>
  <c r="D202" i="3"/>
  <c r="F199" i="3"/>
  <c r="B197" i="3"/>
  <c r="B195" i="3"/>
  <c r="F193" i="3"/>
  <c r="D192" i="3"/>
  <c r="B191" i="3"/>
  <c r="F189" i="3"/>
  <c r="D188" i="3"/>
  <c r="B187" i="3"/>
  <c r="F185" i="3"/>
  <c r="D184" i="3"/>
  <c r="B183" i="3"/>
  <c r="F181" i="3"/>
  <c r="D180" i="3"/>
  <c r="B179" i="3"/>
  <c r="F177" i="3"/>
  <c r="D176" i="3"/>
  <c r="B175" i="3"/>
  <c r="F173" i="3"/>
  <c r="D172" i="3"/>
  <c r="B171" i="3"/>
  <c r="F169" i="3"/>
  <c r="D168" i="3"/>
  <c r="B167" i="3"/>
  <c r="F165" i="3"/>
  <c r="D164" i="3"/>
  <c r="B163" i="3"/>
  <c r="F161" i="3"/>
  <c r="D160" i="3"/>
  <c r="B159" i="3"/>
  <c r="F157" i="3"/>
  <c r="D156" i="3"/>
  <c r="C155" i="3"/>
  <c r="E154" i="3"/>
  <c r="H153" i="3"/>
  <c r="C153" i="3"/>
  <c r="E152" i="3"/>
  <c r="H151" i="3"/>
  <c r="C151" i="3"/>
  <c r="E150" i="3"/>
  <c r="H149" i="3"/>
  <c r="C149" i="3"/>
  <c r="E148" i="3"/>
  <c r="H147" i="3"/>
  <c r="C147" i="3"/>
  <c r="E146" i="3"/>
  <c r="H145" i="3"/>
  <c r="C145" i="3"/>
  <c r="E144" i="3"/>
  <c r="H143" i="3"/>
  <c r="C143" i="3"/>
  <c r="E142" i="3"/>
  <c r="H141" i="3"/>
  <c r="C141" i="3"/>
  <c r="E140" i="3"/>
  <c r="H139" i="3"/>
  <c r="C139" i="3"/>
  <c r="E138" i="3"/>
  <c r="H137" i="3"/>
  <c r="C137" i="3"/>
  <c r="E136" i="3"/>
  <c r="H135" i="3"/>
  <c r="C135" i="3"/>
  <c r="E134" i="3"/>
  <c r="H133" i="3"/>
  <c r="C133" i="3"/>
  <c r="E132" i="3"/>
  <c r="C131" i="3"/>
  <c r="C129" i="3"/>
  <c r="C127" i="3"/>
  <c r="C125" i="3"/>
  <c r="C123" i="3"/>
  <c r="C121" i="3"/>
  <c r="C119" i="3"/>
  <c r="C117" i="3"/>
  <c r="C71" i="5"/>
  <c r="L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D204" i="3"/>
  <c r="F201" i="3"/>
  <c r="B199" i="3"/>
  <c r="D196" i="3"/>
  <c r="F194" i="3"/>
  <c r="D193" i="3"/>
  <c r="B192" i="3"/>
  <c r="F190" i="3"/>
  <c r="D189" i="3"/>
  <c r="B188" i="3"/>
  <c r="F186" i="3"/>
  <c r="D185" i="3"/>
  <c r="B184" i="3"/>
  <c r="F182" i="3"/>
  <c r="D181" i="3"/>
  <c r="B180" i="3"/>
  <c r="F178" i="3"/>
  <c r="D177" i="3"/>
  <c r="B176" i="3"/>
  <c r="F174" i="3"/>
  <c r="D173" i="3"/>
  <c r="B172" i="3"/>
  <c r="F170" i="3"/>
  <c r="D169" i="3"/>
  <c r="B168" i="3"/>
  <c r="F166" i="3"/>
  <c r="D165" i="3"/>
  <c r="B164" i="3"/>
  <c r="F162" i="3"/>
  <c r="D161" i="3"/>
  <c r="B160" i="3"/>
  <c r="F158" i="3"/>
  <c r="D157" i="3"/>
  <c r="B156" i="3"/>
  <c r="B155" i="3"/>
  <c r="D154" i="3"/>
  <c r="F153" i="3"/>
  <c r="B153" i="3"/>
  <c r="D152" i="3"/>
  <c r="F151" i="3"/>
  <c r="B151" i="3"/>
  <c r="D150" i="3"/>
  <c r="F149" i="3"/>
  <c r="B149" i="3"/>
  <c r="D148" i="3"/>
  <c r="F147" i="3"/>
  <c r="B147" i="3"/>
  <c r="D146" i="3"/>
  <c r="F145" i="3"/>
  <c r="B145" i="3"/>
  <c r="D144" i="3"/>
  <c r="F143" i="3"/>
  <c r="B143" i="3"/>
  <c r="D142" i="3"/>
  <c r="F141" i="3"/>
  <c r="B141" i="3"/>
  <c r="D140" i="3"/>
  <c r="F139" i="3"/>
  <c r="B139" i="3"/>
  <c r="D138" i="3"/>
  <c r="F137" i="3"/>
  <c r="B137" i="3"/>
  <c r="D136" i="3"/>
  <c r="F135" i="3"/>
  <c r="B135" i="3"/>
  <c r="D134" i="3"/>
  <c r="F133" i="3"/>
  <c r="B133" i="3"/>
  <c r="D132" i="3"/>
  <c r="B127" i="3"/>
  <c r="B119" i="3"/>
  <c r="C115" i="3"/>
  <c r="C111" i="3"/>
  <c r="C107" i="3"/>
  <c r="C103" i="3"/>
  <c r="C99" i="3"/>
  <c r="C95" i="3"/>
  <c r="C91" i="3"/>
  <c r="C87" i="3"/>
  <c r="C86" i="3"/>
  <c r="C84" i="3"/>
  <c r="C82" i="3"/>
  <c r="C80" i="3"/>
  <c r="C78" i="3"/>
  <c r="C76" i="3"/>
  <c r="C74" i="3"/>
  <c r="C72" i="3"/>
  <c r="C70" i="3"/>
  <c r="C68" i="3"/>
  <c r="C66" i="3"/>
  <c r="C64" i="3"/>
  <c r="C62" i="3"/>
  <c r="C60" i="3"/>
  <c r="C58" i="3"/>
  <c r="C56" i="3"/>
  <c r="C54" i="3"/>
  <c r="C52" i="3"/>
  <c r="C50" i="3"/>
  <c r="C48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E19" i="3"/>
  <c r="H18" i="3"/>
  <c r="C18" i="3"/>
  <c r="E17" i="3"/>
  <c r="H16" i="3"/>
  <c r="C16" i="3"/>
  <c r="E15" i="3"/>
  <c r="H14" i="3"/>
  <c r="C14" i="3"/>
  <c r="E13" i="3"/>
  <c r="H12" i="3"/>
  <c r="C12" i="3"/>
  <c r="E11" i="3"/>
  <c r="H10" i="3"/>
  <c r="C10" i="3"/>
  <c r="E9" i="3"/>
  <c r="H8" i="3"/>
  <c r="C8" i="3"/>
  <c r="E7" i="3"/>
  <c r="H6" i="3"/>
  <c r="C6" i="3"/>
  <c r="B129" i="3"/>
  <c r="B121" i="3"/>
  <c r="B115" i="3"/>
  <c r="B111" i="3"/>
  <c r="B107" i="3"/>
  <c r="B103" i="3"/>
  <c r="B99" i="3"/>
  <c r="B95" i="3"/>
  <c r="B91" i="3"/>
  <c r="B87" i="3"/>
  <c r="B86" i="3"/>
  <c r="B84" i="3"/>
  <c r="B82" i="3"/>
  <c r="B80" i="3"/>
  <c r="B78" i="3"/>
  <c r="B76" i="3"/>
  <c r="B74" i="3"/>
  <c r="B72" i="3"/>
  <c r="B70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42" i="3"/>
  <c r="B40" i="3"/>
  <c r="B38" i="3"/>
  <c r="B36" i="3"/>
  <c r="B34" i="3"/>
  <c r="B32" i="3"/>
  <c r="B30" i="3"/>
  <c r="B28" i="3"/>
  <c r="B26" i="3"/>
  <c r="B24" i="3"/>
  <c r="B22" i="3"/>
  <c r="F20" i="3"/>
  <c r="B20" i="3"/>
  <c r="D19" i="3"/>
  <c r="B18" i="3"/>
  <c r="D17" i="3"/>
  <c r="B16" i="3"/>
  <c r="D15" i="3"/>
  <c r="B14" i="3"/>
  <c r="D13" i="3"/>
  <c r="B12" i="3"/>
  <c r="D11" i="3"/>
  <c r="B10" i="3"/>
  <c r="D9" i="3"/>
  <c r="B8" i="3"/>
  <c r="D7" i="3"/>
  <c r="B6" i="3"/>
  <c r="B131" i="3"/>
  <c r="B123" i="3"/>
  <c r="C113" i="3"/>
  <c r="C109" i="3"/>
  <c r="C105" i="3"/>
  <c r="C101" i="3"/>
  <c r="C97" i="3"/>
  <c r="C93" i="3"/>
  <c r="C89" i="3"/>
  <c r="C85" i="3"/>
  <c r="C83" i="3"/>
  <c r="C81" i="3"/>
  <c r="C79" i="3"/>
  <c r="C77" i="3"/>
  <c r="C75" i="3"/>
  <c r="C73" i="3"/>
  <c r="C71" i="3"/>
  <c r="C69" i="3"/>
  <c r="C67" i="3"/>
  <c r="C65" i="3"/>
  <c r="C63" i="3"/>
  <c r="C61" i="3"/>
  <c r="C59" i="3"/>
  <c r="C57" i="3"/>
  <c r="C55" i="3"/>
  <c r="C53" i="3"/>
  <c r="C51" i="3"/>
  <c r="C49" i="3"/>
  <c r="C47" i="3"/>
  <c r="C45" i="3"/>
  <c r="C43" i="3"/>
  <c r="C41" i="3"/>
  <c r="C39" i="3"/>
  <c r="C37" i="3"/>
  <c r="C35" i="3"/>
  <c r="C33" i="3"/>
  <c r="C31" i="3"/>
  <c r="C29" i="3"/>
  <c r="C27" i="3"/>
  <c r="C25" i="3"/>
  <c r="C23" i="3"/>
  <c r="C21" i="3"/>
  <c r="H19" i="3"/>
  <c r="C19" i="3"/>
  <c r="E18" i="3"/>
  <c r="H17" i="3"/>
  <c r="C17" i="3"/>
  <c r="E16" i="3"/>
  <c r="H15" i="3"/>
  <c r="C15" i="3"/>
  <c r="E14" i="3"/>
  <c r="H13" i="3"/>
  <c r="C13" i="3"/>
  <c r="E12" i="3"/>
  <c r="H11" i="3"/>
  <c r="C11" i="3"/>
  <c r="E10" i="3"/>
  <c r="H9" i="3"/>
  <c r="C9" i="3"/>
  <c r="E8" i="3"/>
  <c r="H7" i="3"/>
  <c r="C7" i="3"/>
  <c r="E6" i="3"/>
  <c r="B125" i="3"/>
  <c r="B117" i="3"/>
  <c r="B113" i="3"/>
  <c r="B109" i="3"/>
  <c r="B105" i="3"/>
  <c r="B101" i="3"/>
  <c r="B97" i="3"/>
  <c r="B93" i="3"/>
  <c r="B89" i="3"/>
  <c r="B85" i="3"/>
  <c r="B83" i="3"/>
  <c r="B81" i="3"/>
  <c r="B79" i="3"/>
  <c r="B77" i="3"/>
  <c r="B75" i="3"/>
  <c r="B73" i="3"/>
  <c r="B71" i="3"/>
  <c r="B69" i="3"/>
  <c r="B67" i="3"/>
  <c r="B65" i="3"/>
  <c r="B63" i="3"/>
  <c r="B61" i="3"/>
  <c r="B59" i="3"/>
  <c r="B57" i="3"/>
  <c r="B55" i="3"/>
  <c r="B53" i="3"/>
  <c r="B51" i="3"/>
  <c r="B49" i="3"/>
  <c r="B47" i="3"/>
  <c r="B45" i="3"/>
  <c r="B43" i="3"/>
  <c r="B41" i="3"/>
  <c r="B39" i="3"/>
  <c r="B37" i="3"/>
  <c r="B35" i="3"/>
  <c r="B33" i="3"/>
  <c r="B31" i="3"/>
  <c r="B29" i="3"/>
  <c r="B27" i="3"/>
  <c r="B25" i="3"/>
  <c r="B23" i="3"/>
  <c r="B21" i="3"/>
  <c r="B19" i="3"/>
  <c r="D18" i="3"/>
  <c r="B17" i="3"/>
  <c r="D16" i="3"/>
  <c r="B15" i="3"/>
  <c r="D14" i="3"/>
  <c r="B13" i="3"/>
  <c r="D12" i="3"/>
  <c r="B11" i="3"/>
  <c r="D10" i="3"/>
  <c r="B9" i="3"/>
  <c r="D8" i="3"/>
  <c r="B7" i="3"/>
  <c r="D6" i="3"/>
  <c r="D7" i="2" a="1"/>
  <c r="D7" i="2" s="1"/>
  <c r="H7" i="2" a="1"/>
  <c r="H7" i="2" s="1"/>
  <c r="L7" i="2" a="1"/>
  <c r="L7" i="2" s="1"/>
  <c r="D8" i="2" a="1"/>
  <c r="D8" i="2" s="1"/>
  <c r="H8" i="2" a="1"/>
  <c r="H8" i="2" s="1"/>
  <c r="L8" i="2" a="1"/>
  <c r="L8" i="2" s="1"/>
  <c r="D9" i="2" a="1"/>
  <c r="D9" i="2" s="1"/>
  <c r="H9" i="2" a="1"/>
  <c r="H9" i="2" s="1"/>
  <c r="L9" i="2" a="1"/>
  <c r="L9" i="2" s="1"/>
  <c r="D10" i="2" a="1"/>
  <c r="D10" i="2" s="1"/>
  <c r="L10" i="2" a="1"/>
  <c r="L10" i="2" s="1"/>
  <c r="C22" i="4" l="1"/>
  <c r="C21" i="4"/>
  <c r="C24" i="4"/>
  <c r="C20" i="4"/>
  <c r="C19" i="4"/>
  <c r="C23" i="4"/>
  <c r="D16" i="2" a="1"/>
  <c r="D16" i="2" s="1"/>
  <c r="E15" i="2" a="1"/>
  <c r="E15" i="2" s="1"/>
  <c r="L14" i="2" a="1"/>
  <c r="L14" i="2" s="1"/>
  <c r="J14" i="2" a="1"/>
  <c r="J14" i="2" s="1"/>
  <c r="H14" i="2" a="1"/>
  <c r="H14" i="2" s="1"/>
  <c r="D14" i="2" a="1"/>
  <c r="D14" i="2" s="1"/>
  <c r="M21" i="2" a="1"/>
  <c r="M21" i="2" s="1"/>
  <c r="K21" i="2" a="1"/>
  <c r="K21" i="2" s="1"/>
  <c r="I21" i="2" a="1"/>
  <c r="I21" i="2" s="1"/>
  <c r="G21" i="2" a="1"/>
  <c r="G21" i="2" s="1"/>
  <c r="E21" i="2" a="1"/>
  <c r="E21" i="2" s="1"/>
  <c r="L20" i="2" a="1"/>
  <c r="L20" i="2" s="1"/>
  <c r="J20" i="2" a="1"/>
  <c r="J20" i="2" s="1"/>
  <c r="H20" i="2" a="1"/>
  <c r="H20" i="2" s="1"/>
  <c r="F20" i="2" a="1"/>
  <c r="F20" i="2" s="1"/>
  <c r="D20" i="2" a="1"/>
  <c r="D20" i="2" s="1"/>
  <c r="M19" i="2" a="1"/>
  <c r="M19" i="2" s="1"/>
  <c r="K19" i="2" a="1"/>
  <c r="K19" i="2" s="1"/>
  <c r="I19" i="2" a="1"/>
  <c r="I19" i="2" s="1"/>
  <c r="G19" i="2" a="1"/>
  <c r="G19" i="2" s="1"/>
  <c r="E19" i="2" a="1"/>
  <c r="E19" i="2" s="1"/>
  <c r="C19" i="2"/>
  <c r="L18" i="2" a="1"/>
  <c r="L18" i="2" s="1"/>
  <c r="J18" i="2" a="1"/>
  <c r="J18" i="2" s="1"/>
  <c r="H18" i="2" a="1"/>
  <c r="H18" i="2" s="1"/>
  <c r="F18" i="2" a="1"/>
  <c r="F18" i="2" s="1"/>
  <c r="D18" i="2" a="1"/>
  <c r="D18" i="2" s="1"/>
  <c r="M17" i="2" a="1"/>
  <c r="M17" i="2" s="1"/>
  <c r="K17" i="2" a="1"/>
  <c r="K17" i="2" s="1"/>
  <c r="I17" i="2" a="1"/>
  <c r="I17" i="2" s="1"/>
  <c r="G17" i="2" a="1"/>
  <c r="G17" i="2" s="1"/>
  <c r="E17" i="2" a="1"/>
  <c r="E17" i="2" s="1"/>
  <c r="C17" i="2"/>
  <c r="L16" i="2" a="1"/>
  <c r="L16" i="2" s="1"/>
  <c r="J16" i="2" a="1"/>
  <c r="J16" i="2" s="1"/>
  <c r="H16" i="2" a="1"/>
  <c r="H16" i="2" s="1"/>
  <c r="F16" i="2" a="1"/>
  <c r="F16" i="2" s="1"/>
  <c r="M15" i="2" a="1"/>
  <c r="M15" i="2" s="1"/>
  <c r="K15" i="2" a="1"/>
  <c r="K15" i="2" s="1"/>
  <c r="I15" i="2" a="1"/>
  <c r="I15" i="2" s="1"/>
  <c r="G15" i="2" a="1"/>
  <c r="G15" i="2" s="1"/>
  <c r="C15" i="2"/>
  <c r="F14" i="2" a="1"/>
  <c r="F14" i="2" s="1"/>
  <c r="H22" i="1"/>
  <c r="J21" i="2" a="1"/>
  <c r="J21" i="2" s="1"/>
  <c r="I20" i="2" a="1"/>
  <c r="I20" i="2" s="1"/>
  <c r="F19" i="2" a="1"/>
  <c r="F19" i="2" s="1"/>
  <c r="K18" i="2" a="1"/>
  <c r="K18" i="2" s="1"/>
  <c r="C18" i="2"/>
  <c r="H17" i="2" a="1"/>
  <c r="H17" i="2" s="1"/>
  <c r="M16" i="2" a="1"/>
  <c r="M16" i="2" s="1"/>
  <c r="E16" i="2" a="1"/>
  <c r="E16" i="2" s="1"/>
  <c r="J15" i="2" a="1"/>
  <c r="J15" i="2" s="1"/>
  <c r="G14" i="2" a="1"/>
  <c r="G14" i="2" s="1"/>
  <c r="D56" i="1"/>
  <c r="H21" i="2" a="1"/>
  <c r="H21" i="2" s="1"/>
  <c r="G20" i="2" a="1"/>
  <c r="G20" i="2" s="1"/>
  <c r="L19" i="2" a="1"/>
  <c r="L19" i="2" s="1"/>
  <c r="D19" i="2" a="1"/>
  <c r="D19" i="2" s="1"/>
  <c r="I18" i="2" a="1"/>
  <c r="I18" i="2" s="1"/>
  <c r="F17" i="2" a="1"/>
  <c r="F17" i="2" s="1"/>
  <c r="K16" i="2" a="1"/>
  <c r="K16" i="2" s="1"/>
  <c r="C16" i="2"/>
  <c r="H15" i="2" a="1"/>
  <c r="H15" i="2" s="1"/>
  <c r="M14" i="2" a="1"/>
  <c r="M14" i="2" s="1"/>
  <c r="E14" i="2" a="1"/>
  <c r="E14" i="2" s="1"/>
  <c r="F21" i="2" a="1"/>
  <c r="F21" i="2" s="1"/>
  <c r="M20" i="2" a="1"/>
  <c r="M20" i="2" s="1"/>
  <c r="E20" i="2" a="1"/>
  <c r="E20" i="2" s="1"/>
  <c r="J19" i="2" a="1"/>
  <c r="J19" i="2" s="1"/>
  <c r="G18" i="2" a="1"/>
  <c r="G18" i="2" s="1"/>
  <c r="L17" i="2" a="1"/>
  <c r="L17" i="2" s="1"/>
  <c r="D17" i="2" a="1"/>
  <c r="D17" i="2" s="1"/>
  <c r="I16" i="2" a="1"/>
  <c r="I16" i="2" s="1"/>
  <c r="F15" i="2" a="1"/>
  <c r="F15" i="2" s="1"/>
  <c r="K14" i="2" a="1"/>
  <c r="K14" i="2" s="1"/>
  <c r="C14" i="2"/>
  <c r="F22" i="1"/>
  <c r="L21" i="2" a="1"/>
  <c r="L21" i="2" s="1"/>
  <c r="D21" i="2" a="1"/>
  <c r="D21" i="2" s="1"/>
  <c r="K20" i="2" a="1"/>
  <c r="K20" i="2" s="1"/>
  <c r="H19" i="2" a="1"/>
  <c r="H19" i="2" s="1"/>
  <c r="M18" i="2" a="1"/>
  <c r="M18" i="2" s="1"/>
  <c r="E18" i="2" a="1"/>
  <c r="E18" i="2" s="1"/>
  <c r="J17" i="2" a="1"/>
  <c r="J17" i="2" s="1"/>
  <c r="G16" i="2" a="1"/>
  <c r="G16" i="2" s="1"/>
  <c r="L15" i="2" a="1"/>
  <c r="L15" i="2" s="1"/>
  <c r="D15" i="2" a="1"/>
  <c r="D15" i="2" s="1"/>
  <c r="I14" i="2" a="1"/>
  <c r="I14" i="2" s="1"/>
  <c r="C26" i="4" l="1"/>
  <c r="C29" i="4"/>
  <c r="C25" i="4"/>
  <c r="C28" i="4"/>
  <c r="C27" i="4"/>
  <c r="L36" i="2" a="1"/>
  <c r="L36" i="2" s="1"/>
  <c r="J36" i="2" a="1"/>
  <c r="J36" i="2" s="1"/>
  <c r="H36" i="2" a="1"/>
  <c r="H36" i="2" s="1"/>
  <c r="F36" i="2" a="1"/>
  <c r="F36" i="2" s="1"/>
  <c r="D36" i="2" a="1"/>
  <c r="D36" i="2" s="1"/>
  <c r="M35" i="2" a="1"/>
  <c r="M35" i="2" s="1"/>
  <c r="K35" i="2" a="1"/>
  <c r="K35" i="2" s="1"/>
  <c r="I35" i="2" a="1"/>
  <c r="I35" i="2" s="1"/>
  <c r="G35" i="2" a="1"/>
  <c r="G35" i="2" s="1"/>
  <c r="I36" i="2" a="1"/>
  <c r="I36" i="2" s="1"/>
  <c r="L35" i="2" a="1"/>
  <c r="L35" i="2" s="1"/>
  <c r="K36" i="2" a="1"/>
  <c r="K36" i="2" s="1"/>
  <c r="F35" i="2" a="1"/>
  <c r="F35" i="2" s="1"/>
  <c r="D35" i="2" a="1"/>
  <c r="D35" i="2" s="1"/>
  <c r="M34" i="2" a="1"/>
  <c r="M34" i="2" s="1"/>
  <c r="K34" i="2" a="1"/>
  <c r="K34" i="2" s="1"/>
  <c r="I34" i="2" a="1"/>
  <c r="I34" i="2" s="1"/>
  <c r="G34" i="2" a="1"/>
  <c r="G34" i="2" s="1"/>
  <c r="E34" i="2" a="1"/>
  <c r="E34" i="2" s="1"/>
  <c r="L33" i="2" a="1"/>
  <c r="L33" i="2" s="1"/>
  <c r="J33" i="2" a="1"/>
  <c r="J33" i="2" s="1"/>
  <c r="H33" i="2" a="1"/>
  <c r="H33" i="2" s="1"/>
  <c r="F33" i="2" a="1"/>
  <c r="F33" i="2" s="1"/>
  <c r="D33" i="2" a="1"/>
  <c r="D33" i="2" s="1"/>
  <c r="M32" i="2" a="1"/>
  <c r="M32" i="2" s="1"/>
  <c r="K32" i="2" a="1"/>
  <c r="K32" i="2" s="1"/>
  <c r="I32" i="2" a="1"/>
  <c r="I32" i="2" s="1"/>
  <c r="G32" i="2" a="1"/>
  <c r="G32" i="2" s="1"/>
  <c r="E32" i="2" a="1"/>
  <c r="E32" i="2" s="1"/>
  <c r="C32" i="2"/>
  <c r="L31" i="2" a="1"/>
  <c r="L31" i="2" s="1"/>
  <c r="J31" i="2" a="1"/>
  <c r="J31" i="2" s="1"/>
  <c r="H31" i="2" a="1"/>
  <c r="H31" i="2" s="1"/>
  <c r="F31" i="2" a="1"/>
  <c r="F31" i="2" s="1"/>
  <c r="D31" i="2" a="1"/>
  <c r="D31" i="2" s="1"/>
  <c r="M30" i="2" a="1"/>
  <c r="M30" i="2" s="1"/>
  <c r="K30" i="2" a="1"/>
  <c r="K30" i="2" s="1"/>
  <c r="I30" i="2" a="1"/>
  <c r="I30" i="2" s="1"/>
  <c r="G30" i="2" a="1"/>
  <c r="G30" i="2" s="1"/>
  <c r="E30" i="2" a="1"/>
  <c r="E30" i="2" s="1"/>
  <c r="C30" i="2"/>
  <c r="L29" i="2" a="1"/>
  <c r="L29" i="2" s="1"/>
  <c r="J29" i="2" a="1"/>
  <c r="J29" i="2" s="1"/>
  <c r="H29" i="2" a="1"/>
  <c r="H29" i="2" s="1"/>
  <c r="F29" i="2" a="1"/>
  <c r="F29" i="2" s="1"/>
  <c r="D29" i="2" a="1"/>
  <c r="D29" i="2" s="1"/>
  <c r="M28" i="2" a="1"/>
  <c r="M28" i="2" s="1"/>
  <c r="K28" i="2" a="1"/>
  <c r="K28" i="2" s="1"/>
  <c r="I28" i="2" a="1"/>
  <c r="I28" i="2" s="1"/>
  <c r="G28" i="2" a="1"/>
  <c r="G28" i="2" s="1"/>
  <c r="E28" i="2" a="1"/>
  <c r="E28" i="2" s="1"/>
  <c r="C28" i="2"/>
  <c r="L27" i="2" a="1"/>
  <c r="L27" i="2" s="1"/>
  <c r="J27" i="2" a="1"/>
  <c r="J27" i="2" s="1"/>
  <c r="H27" i="2" a="1"/>
  <c r="H27" i="2" s="1"/>
  <c r="F27" i="2" a="1"/>
  <c r="F27" i="2" s="1"/>
  <c r="D27" i="2" a="1"/>
  <c r="D27" i="2" s="1"/>
  <c r="M26" i="2" a="1"/>
  <c r="M26" i="2" s="1"/>
  <c r="K26" i="2" a="1"/>
  <c r="K26" i="2" s="1"/>
  <c r="I26" i="2" a="1"/>
  <c r="I26" i="2" s="1"/>
  <c r="G26" i="2" a="1"/>
  <c r="G26" i="2" s="1"/>
  <c r="E26" i="2" a="1"/>
  <c r="E26" i="2" s="1"/>
  <c r="C26" i="2"/>
  <c r="L25" i="2" a="1"/>
  <c r="L25" i="2" s="1"/>
  <c r="J25" i="2" a="1"/>
  <c r="J25" i="2" s="1"/>
  <c r="H25" i="2" a="1"/>
  <c r="H25" i="2" s="1"/>
  <c r="F25" i="2" a="1"/>
  <c r="F25" i="2" s="1"/>
  <c r="D25" i="2" a="1"/>
  <c r="D25" i="2" s="1"/>
  <c r="M36" i="2" a="1"/>
  <c r="M36" i="2" s="1"/>
  <c r="E36" i="2" a="1"/>
  <c r="E36" i="2" s="1"/>
  <c r="H35" i="2" a="1"/>
  <c r="H35" i="2" s="1"/>
  <c r="E56" i="1"/>
  <c r="H23" i="1"/>
  <c r="G36" i="2" a="1"/>
  <c r="G36" i="2" s="1"/>
  <c r="J35" i="2" a="1"/>
  <c r="J35" i="2" s="1"/>
  <c r="E35" i="2" a="1"/>
  <c r="E35" i="2" s="1"/>
  <c r="L34" i="2" a="1"/>
  <c r="L34" i="2" s="1"/>
  <c r="J34" i="2" a="1"/>
  <c r="J34" i="2" s="1"/>
  <c r="H34" i="2" a="1"/>
  <c r="H34" i="2" s="1"/>
  <c r="F34" i="2" a="1"/>
  <c r="F34" i="2" s="1"/>
  <c r="D34" i="2" a="1"/>
  <c r="D34" i="2" s="1"/>
  <c r="M33" i="2" a="1"/>
  <c r="M33" i="2" s="1"/>
  <c r="K33" i="2" a="1"/>
  <c r="K33" i="2" s="1"/>
  <c r="I33" i="2" a="1"/>
  <c r="I33" i="2" s="1"/>
  <c r="G33" i="2" a="1"/>
  <c r="G33" i="2" s="1"/>
  <c r="E33" i="2" a="1"/>
  <c r="E33" i="2" s="1"/>
  <c r="C33" i="2"/>
  <c r="L32" i="2" a="1"/>
  <c r="L32" i="2" s="1"/>
  <c r="J32" i="2" a="1"/>
  <c r="J32" i="2" s="1"/>
  <c r="H32" i="2" a="1"/>
  <c r="H32" i="2" s="1"/>
  <c r="F32" i="2" a="1"/>
  <c r="F32" i="2" s="1"/>
  <c r="D32" i="2" a="1"/>
  <c r="D32" i="2" s="1"/>
  <c r="M31" i="2" a="1"/>
  <c r="M31" i="2" s="1"/>
  <c r="K31" i="2" a="1"/>
  <c r="K31" i="2" s="1"/>
  <c r="I31" i="2" a="1"/>
  <c r="I31" i="2" s="1"/>
  <c r="G31" i="2" a="1"/>
  <c r="G31" i="2" s="1"/>
  <c r="E31" i="2" a="1"/>
  <c r="E31" i="2" s="1"/>
  <c r="C31" i="2"/>
  <c r="L30" i="2" a="1"/>
  <c r="L30" i="2" s="1"/>
  <c r="J30" i="2" a="1"/>
  <c r="J30" i="2" s="1"/>
  <c r="H30" i="2" a="1"/>
  <c r="H30" i="2" s="1"/>
  <c r="F30" i="2" a="1"/>
  <c r="F30" i="2" s="1"/>
  <c r="D30" i="2" a="1"/>
  <c r="D30" i="2" s="1"/>
  <c r="I29" i="2" a="1"/>
  <c r="I29" i="2" s="1"/>
  <c r="F28" i="2" a="1"/>
  <c r="F28" i="2" s="1"/>
  <c r="K27" i="2" a="1"/>
  <c r="K27" i="2" s="1"/>
  <c r="C27" i="2"/>
  <c r="H26" i="2" a="1"/>
  <c r="H26" i="2" s="1"/>
  <c r="M25" i="2" a="1"/>
  <c r="M25" i="2" s="1"/>
  <c r="E25" i="2" a="1"/>
  <c r="E25" i="2" s="1"/>
  <c r="G29" i="2" a="1"/>
  <c r="G29" i="2" s="1"/>
  <c r="L28" i="2" a="1"/>
  <c r="L28" i="2" s="1"/>
  <c r="D28" i="2" a="1"/>
  <c r="D28" i="2" s="1"/>
  <c r="I27" i="2" a="1"/>
  <c r="I27" i="2" s="1"/>
  <c r="F26" i="2" a="1"/>
  <c r="F26" i="2" s="1"/>
  <c r="K25" i="2" a="1"/>
  <c r="K25" i="2" s="1"/>
  <c r="C25" i="2"/>
  <c r="M29" i="2" a="1"/>
  <c r="M29" i="2" s="1"/>
  <c r="E29" i="2" a="1"/>
  <c r="E29" i="2" s="1"/>
  <c r="J28" i="2" a="1"/>
  <c r="J28" i="2" s="1"/>
  <c r="G27" i="2" a="1"/>
  <c r="G27" i="2" s="1"/>
  <c r="L26" i="2" a="1"/>
  <c r="L26" i="2" s="1"/>
  <c r="D26" i="2" a="1"/>
  <c r="D26" i="2" s="1"/>
  <c r="I25" i="2" a="1"/>
  <c r="I25" i="2" s="1"/>
  <c r="F23" i="1"/>
  <c r="K29" i="2" a="1"/>
  <c r="K29" i="2" s="1"/>
  <c r="C29" i="2"/>
  <c r="H28" i="2" a="1"/>
  <c r="H28" i="2" s="1"/>
  <c r="M27" i="2" a="1"/>
  <c r="M27" i="2" s="1"/>
  <c r="E27" i="2" a="1"/>
  <c r="E27" i="2" s="1"/>
  <c r="J26" i="2" a="1"/>
  <c r="J26" i="2" s="1"/>
  <c r="G25" i="2" a="1"/>
  <c r="G25" i="2" s="1"/>
  <c r="D120" i="5"/>
  <c r="D116" i="5"/>
  <c r="D112" i="5"/>
  <c r="D108" i="5"/>
  <c r="D104" i="5"/>
  <c r="D100" i="5"/>
  <c r="D96" i="5"/>
  <c r="D92" i="5"/>
  <c r="D88" i="5"/>
  <c r="D84" i="5"/>
  <c r="D80" i="5"/>
  <c r="D76" i="5"/>
  <c r="D72" i="5"/>
  <c r="D125" i="5"/>
  <c r="D69" i="5"/>
  <c r="D59" i="5"/>
  <c r="D55" i="5"/>
  <c r="D51" i="5"/>
  <c r="D47" i="5"/>
  <c r="D43" i="5"/>
  <c r="D39" i="5"/>
  <c r="D35" i="5"/>
  <c r="D31" i="5"/>
  <c r="D27" i="5"/>
  <c r="D23" i="5"/>
  <c r="E129" i="3"/>
  <c r="H126" i="3"/>
  <c r="E121" i="3"/>
  <c r="H118" i="3"/>
  <c r="E113" i="3"/>
  <c r="H110" i="3"/>
  <c r="E105" i="3"/>
  <c r="H102" i="3"/>
  <c r="E97" i="3"/>
  <c r="H94" i="3"/>
  <c r="E89" i="3"/>
  <c r="H86" i="3"/>
  <c r="D131" i="3"/>
  <c r="D123" i="3"/>
  <c r="D115" i="3"/>
  <c r="D107" i="3"/>
  <c r="D99" i="3"/>
  <c r="D91" i="3"/>
  <c r="H129" i="3"/>
  <c r="E124" i="3"/>
  <c r="H121" i="3"/>
  <c r="H113" i="3"/>
  <c r="E108" i="3"/>
  <c r="H97" i="3"/>
  <c r="E92" i="3"/>
  <c r="E81" i="3"/>
  <c r="H78" i="3"/>
  <c r="E73" i="3"/>
  <c r="H70" i="3"/>
  <c r="E65" i="3"/>
  <c r="H62" i="3"/>
  <c r="E57" i="3"/>
  <c r="H54" i="3"/>
  <c r="E49" i="3"/>
  <c r="H46" i="3"/>
  <c r="E41" i="3"/>
  <c r="H38" i="3"/>
  <c r="E33" i="3"/>
  <c r="H30" i="3"/>
  <c r="E25" i="3"/>
  <c r="H22" i="3"/>
  <c r="D126" i="3"/>
  <c r="D116" i="3"/>
  <c r="D100" i="3"/>
  <c r="D85" i="3"/>
  <c r="D77" i="3"/>
  <c r="D69" i="3"/>
  <c r="D61" i="3"/>
  <c r="D53" i="3"/>
  <c r="D45" i="3"/>
  <c r="D37" i="3"/>
  <c r="D29" i="3"/>
  <c r="D21" i="3"/>
  <c r="D120" i="3"/>
  <c r="H107" i="3"/>
  <c r="E102" i="3"/>
  <c r="H91" i="3"/>
  <c r="E86" i="3"/>
  <c r="H83" i="3"/>
  <c r="E78" i="3"/>
  <c r="H75" i="3"/>
  <c r="E70" i="3"/>
  <c r="H67" i="3"/>
  <c r="E62" i="3"/>
  <c r="H59" i="3"/>
  <c r="E54" i="3"/>
  <c r="H51" i="3"/>
  <c r="E46" i="3"/>
  <c r="H43" i="3"/>
  <c r="E38" i="3"/>
  <c r="H35" i="3"/>
  <c r="E30" i="3"/>
  <c r="H27" i="3"/>
  <c r="E22" i="3"/>
  <c r="D122" i="3"/>
  <c r="D114" i="3"/>
  <c r="D98" i="3"/>
  <c r="D84" i="3"/>
  <c r="D76" i="3"/>
  <c r="D68" i="3"/>
  <c r="D60" i="3"/>
  <c r="D52" i="3"/>
  <c r="D44" i="3"/>
  <c r="D36" i="3"/>
  <c r="D28" i="3"/>
  <c r="D20" i="3"/>
  <c r="H50" i="3"/>
  <c r="E37" i="3"/>
  <c r="E29" i="3"/>
  <c r="E21" i="3"/>
  <c r="D108" i="3"/>
  <c r="D92" i="3"/>
  <c r="D81" i="3"/>
  <c r="D73" i="3"/>
  <c r="F62" i="3"/>
  <c r="H115" i="3"/>
  <c r="E94" i="3"/>
  <c r="H79" i="3"/>
  <c r="E66" i="3"/>
  <c r="H55" i="3"/>
  <c r="H47" i="3"/>
  <c r="E34" i="3"/>
  <c r="E26" i="3"/>
  <c r="D64" i="3"/>
  <c r="D56" i="3"/>
  <c r="D131" i="5"/>
  <c r="D122" i="5"/>
  <c r="D123" i="5"/>
  <c r="D124" i="5"/>
  <c r="D119" i="5"/>
  <c r="D115" i="5"/>
  <c r="D111" i="5"/>
  <c r="D107" i="5"/>
  <c r="D103" i="5"/>
  <c r="D99" i="5"/>
  <c r="D95" i="5"/>
  <c r="D91" i="5"/>
  <c r="D87" i="5"/>
  <c r="D83" i="5"/>
  <c r="D79" i="5"/>
  <c r="D75" i="5"/>
  <c r="D71" i="5"/>
  <c r="D58" i="5"/>
  <c r="D54" i="5"/>
  <c r="D50" i="5"/>
  <c r="D46" i="5"/>
  <c r="D42" i="5"/>
  <c r="D38" i="5"/>
  <c r="D34" i="5"/>
  <c r="D30" i="5"/>
  <c r="D26" i="5"/>
  <c r="D22" i="5"/>
  <c r="D63" i="5"/>
  <c r="E131" i="3"/>
  <c r="H128" i="3"/>
  <c r="E123" i="3"/>
  <c r="H120" i="3"/>
  <c r="E115" i="3"/>
  <c r="H112" i="3"/>
  <c r="E107" i="3"/>
  <c r="H104" i="3"/>
  <c r="E99" i="3"/>
  <c r="H96" i="3"/>
  <c r="E91" i="3"/>
  <c r="H88" i="3"/>
  <c r="D125" i="3"/>
  <c r="D117" i="3"/>
  <c r="D109" i="3"/>
  <c r="D101" i="3"/>
  <c r="D93" i="3"/>
  <c r="H131" i="3"/>
  <c r="E126" i="3"/>
  <c r="H123" i="3"/>
  <c r="E118" i="3"/>
  <c r="E112" i="3"/>
  <c r="H101" i="3"/>
  <c r="E96" i="3"/>
  <c r="E83" i="3"/>
  <c r="H80" i="3"/>
  <c r="E75" i="3"/>
  <c r="H72" i="3"/>
  <c r="E67" i="3"/>
  <c r="H64" i="3"/>
  <c r="E59" i="3"/>
  <c r="H56" i="3"/>
  <c r="E51" i="3"/>
  <c r="H48" i="3"/>
  <c r="E43" i="3"/>
  <c r="H40" i="3"/>
  <c r="E35" i="3"/>
  <c r="H32" i="3"/>
  <c r="E27" i="3"/>
  <c r="H24" i="3"/>
  <c r="D104" i="3"/>
  <c r="D88" i="3"/>
  <c r="D79" i="3"/>
  <c r="D71" i="3"/>
  <c r="D63" i="3"/>
  <c r="D55" i="3"/>
  <c r="D47" i="3"/>
  <c r="D39" i="3"/>
  <c r="D31" i="3"/>
  <c r="D23" i="3"/>
  <c r="D128" i="3"/>
  <c r="H111" i="3"/>
  <c r="E106" i="3"/>
  <c r="H95" i="3"/>
  <c r="E90" i="3"/>
  <c r="H85" i="3"/>
  <c r="E80" i="3"/>
  <c r="H77" i="3"/>
  <c r="E72" i="3"/>
  <c r="H69" i="3"/>
  <c r="E64" i="3"/>
  <c r="H61" i="3"/>
  <c r="E56" i="3"/>
  <c r="H53" i="3"/>
  <c r="E48" i="3"/>
  <c r="H45" i="3"/>
  <c r="E40" i="3"/>
  <c r="H37" i="3"/>
  <c r="E32" i="3"/>
  <c r="H29" i="3"/>
  <c r="E24" i="3"/>
  <c r="H21" i="3"/>
  <c r="D130" i="3"/>
  <c r="D102" i="3"/>
  <c r="D86" i="3"/>
  <c r="D78" i="3"/>
  <c r="D70" i="3"/>
  <c r="D62" i="3"/>
  <c r="D54" i="3"/>
  <c r="D46" i="3"/>
  <c r="D38" i="3"/>
  <c r="D30" i="3"/>
  <c r="D22" i="3"/>
  <c r="H58" i="3"/>
  <c r="H34" i="3"/>
  <c r="H26" i="3"/>
  <c r="D65" i="3"/>
  <c r="D57" i="3"/>
  <c r="D49" i="3"/>
  <c r="D41" i="3"/>
  <c r="D33" i="3"/>
  <c r="D25" i="3"/>
  <c r="F125" i="3"/>
  <c r="E110" i="3"/>
  <c r="H99" i="3"/>
  <c r="E82" i="3"/>
  <c r="H71" i="3"/>
  <c r="H63" i="3"/>
  <c r="E50" i="3"/>
  <c r="H39" i="3"/>
  <c r="H31" i="3"/>
  <c r="D106" i="3"/>
  <c r="D90" i="3"/>
  <c r="D80" i="3"/>
  <c r="D40" i="3"/>
  <c r="D130" i="5"/>
  <c r="D126" i="5"/>
  <c r="D127" i="5"/>
  <c r="D128" i="5"/>
  <c r="D118" i="5"/>
  <c r="D114" i="5"/>
  <c r="D110" i="5"/>
  <c r="D106" i="5"/>
  <c r="D102" i="5"/>
  <c r="D98" i="5"/>
  <c r="D94" i="5"/>
  <c r="D90" i="5"/>
  <c r="D86" i="5"/>
  <c r="D82" i="5"/>
  <c r="D78" i="5"/>
  <c r="D74" i="5"/>
  <c r="D70" i="5"/>
  <c r="D64" i="5"/>
  <c r="D61" i="5"/>
  <c r="D57" i="5"/>
  <c r="D53" i="5"/>
  <c r="D49" i="5"/>
  <c r="D45" i="5"/>
  <c r="D41" i="5"/>
  <c r="D37" i="5"/>
  <c r="D33" i="5"/>
  <c r="D29" i="5"/>
  <c r="D25" i="5"/>
  <c r="D21" i="5"/>
  <c r="D62" i="5"/>
  <c r="H130" i="3"/>
  <c r="E125" i="3"/>
  <c r="H122" i="3"/>
  <c r="E117" i="3"/>
  <c r="H114" i="3"/>
  <c r="E109" i="3"/>
  <c r="H106" i="3"/>
  <c r="E101" i="3"/>
  <c r="H98" i="3"/>
  <c r="E93" i="3"/>
  <c r="H90" i="3"/>
  <c r="D67" i="5"/>
  <c r="D127" i="3"/>
  <c r="D119" i="3"/>
  <c r="D111" i="3"/>
  <c r="D103" i="3"/>
  <c r="D95" i="3"/>
  <c r="D87" i="3"/>
  <c r="E128" i="3"/>
  <c r="H125" i="3"/>
  <c r="E120" i="3"/>
  <c r="H117" i="3"/>
  <c r="E116" i="3"/>
  <c r="H105" i="3"/>
  <c r="E100" i="3"/>
  <c r="H89" i="3"/>
  <c r="E85" i="3"/>
  <c r="H82" i="3"/>
  <c r="E77" i="3"/>
  <c r="H74" i="3"/>
  <c r="E69" i="3"/>
  <c r="H66" i="3"/>
  <c r="E61" i="3"/>
  <c r="E53" i="3"/>
  <c r="E45" i="3"/>
  <c r="H42" i="3"/>
  <c r="E74" i="3"/>
  <c r="E58" i="3"/>
  <c r="E42" i="3"/>
  <c r="H23" i="3"/>
  <c r="D72" i="3"/>
  <c r="D48" i="3"/>
  <c r="D117" i="5"/>
  <c r="D101" i="5"/>
  <c r="D85" i="5"/>
  <c r="D60" i="5"/>
  <c r="D44" i="5"/>
  <c r="D28" i="5"/>
  <c r="E127" i="3"/>
  <c r="H116" i="3"/>
  <c r="E111" i="3"/>
  <c r="H100" i="3"/>
  <c r="E95" i="3"/>
  <c r="D121" i="3"/>
  <c r="D105" i="3"/>
  <c r="D89" i="3"/>
  <c r="E104" i="3"/>
  <c r="H93" i="3"/>
  <c r="D112" i="3"/>
  <c r="D83" i="3"/>
  <c r="D67" i="3"/>
  <c r="D51" i="3"/>
  <c r="D35" i="3"/>
  <c r="D82" i="3"/>
  <c r="D66" i="3"/>
  <c r="D50" i="3"/>
  <c r="D34" i="3"/>
  <c r="D26" i="3"/>
  <c r="E44" i="3"/>
  <c r="E28" i="3"/>
  <c r="D74" i="3"/>
  <c r="D58" i="3"/>
  <c r="D42" i="3"/>
  <c r="D32" i="3"/>
  <c r="D105" i="5"/>
  <c r="D73" i="5"/>
  <c r="D68" i="5"/>
  <c r="D32" i="5"/>
  <c r="H127" i="3"/>
  <c r="E71" i="3"/>
  <c r="E55" i="3"/>
  <c r="E39" i="3"/>
  <c r="E23" i="3"/>
  <c r="E114" i="3"/>
  <c r="E84" i="3"/>
  <c r="H57" i="3"/>
  <c r="E36" i="3"/>
  <c r="E20" i="3"/>
  <c r="D94" i="3"/>
  <c r="D129" i="5"/>
  <c r="D113" i="5"/>
  <c r="D97" i="5"/>
  <c r="D81" i="5"/>
  <c r="D65" i="5"/>
  <c r="D56" i="5"/>
  <c r="D40" i="5"/>
  <c r="D24" i="5"/>
  <c r="E130" i="3"/>
  <c r="H119" i="3"/>
  <c r="H84" i="3"/>
  <c r="E79" i="3"/>
  <c r="H68" i="3"/>
  <c r="E63" i="3"/>
  <c r="H52" i="3"/>
  <c r="E47" i="3"/>
  <c r="H36" i="3"/>
  <c r="E31" i="3"/>
  <c r="H20" i="3"/>
  <c r="E98" i="3"/>
  <c r="H87" i="3"/>
  <c r="H81" i="3"/>
  <c r="E76" i="3"/>
  <c r="H65" i="3"/>
  <c r="E60" i="3"/>
  <c r="H49" i="3"/>
  <c r="H33" i="3"/>
  <c r="D110" i="3"/>
  <c r="D121" i="5"/>
  <c r="E122" i="3"/>
  <c r="H60" i="3"/>
  <c r="H44" i="3"/>
  <c r="H28" i="3"/>
  <c r="H103" i="3"/>
  <c r="E68" i="3"/>
  <c r="E52" i="3"/>
  <c r="H41" i="3"/>
  <c r="H25" i="3"/>
  <c r="D109" i="5"/>
  <c r="D93" i="5"/>
  <c r="D77" i="5"/>
  <c r="D52" i="5"/>
  <c r="D36" i="5"/>
  <c r="D20" i="5"/>
  <c r="D66" i="5"/>
  <c r="H124" i="3"/>
  <c r="E119" i="3"/>
  <c r="H108" i="3"/>
  <c r="E103" i="3"/>
  <c r="H92" i="3"/>
  <c r="E87" i="3"/>
  <c r="D129" i="3"/>
  <c r="D113" i="3"/>
  <c r="D97" i="3"/>
  <c r="D124" i="3"/>
  <c r="H109" i="3"/>
  <c r="E88" i="3"/>
  <c r="D118" i="3"/>
  <c r="D96" i="3"/>
  <c r="D75" i="3"/>
  <c r="D59" i="3"/>
  <c r="D43" i="3"/>
  <c r="D27" i="3"/>
  <c r="D24" i="3"/>
  <c r="D89" i="5"/>
  <c r="D48" i="5"/>
  <c r="H76" i="3"/>
  <c r="H73" i="3"/>
  <c r="C30" i="4" l="1"/>
  <c r="L41" i="2" a="1"/>
  <c r="L41" i="2" s="1"/>
  <c r="J41" i="2" a="1"/>
  <c r="J41" i="2" s="1"/>
  <c r="H41" i="2" a="1"/>
  <c r="H41" i="2" s="1"/>
  <c r="F41" i="2" a="1"/>
  <c r="F41" i="2" s="1"/>
  <c r="D41" i="2" a="1"/>
  <c r="D41" i="2" s="1"/>
  <c r="M40" i="2" a="1"/>
  <c r="M40" i="2" s="1"/>
  <c r="K40" i="2" a="1"/>
  <c r="K40" i="2" s="1"/>
  <c r="I40" i="2" a="1"/>
  <c r="I40" i="2" s="1"/>
  <c r="G40" i="2" a="1"/>
  <c r="G40" i="2" s="1"/>
  <c r="E40" i="2" a="1"/>
  <c r="E40" i="2" s="1"/>
  <c r="C40" i="2"/>
  <c r="M41" i="2" a="1"/>
  <c r="M41" i="2" s="1"/>
  <c r="K41" i="2" a="1"/>
  <c r="K41" i="2" s="1"/>
  <c r="I41" i="2" a="1"/>
  <c r="I41" i="2" s="1"/>
  <c r="G41" i="2" a="1"/>
  <c r="G41" i="2" s="1"/>
  <c r="E41" i="2" a="1"/>
  <c r="E41" i="2" s="1"/>
  <c r="F40" i="2" a="1"/>
  <c r="F40" i="2" s="1"/>
  <c r="H40" i="2" a="1"/>
  <c r="H40" i="2" s="1"/>
  <c r="J40" i="2" a="1"/>
  <c r="J40" i="2" s="1"/>
  <c r="H24" i="1"/>
  <c r="L40" i="2" a="1"/>
  <c r="L40" i="2" s="1"/>
  <c r="D40" i="2" a="1"/>
  <c r="D40" i="2" s="1"/>
  <c r="F24" i="1"/>
  <c r="F56" i="1"/>
  <c r="F25" i="1" l="1"/>
  <c r="H25" i="1"/>
  <c r="F105" i="3"/>
  <c r="F82" i="3"/>
  <c r="F66" i="3"/>
  <c r="F50" i="3"/>
  <c r="F34" i="3"/>
  <c r="F18" i="3"/>
  <c r="F22" i="3"/>
  <c r="F119" i="3"/>
  <c r="F124" i="3"/>
  <c r="F108" i="3"/>
  <c r="F92" i="3"/>
  <c r="F78" i="3"/>
  <c r="F127" i="3"/>
  <c r="F53" i="3"/>
  <c r="F110" i="3"/>
  <c r="F16" i="3"/>
  <c r="F55" i="3"/>
  <c r="F29" i="3"/>
  <c r="F31" i="3"/>
  <c r="F8" i="3"/>
  <c r="F79" i="3"/>
  <c r="F115" i="3"/>
  <c r="F91" i="3"/>
  <c r="F43" i="3"/>
  <c r="F101" i="3"/>
  <c r="F80" i="3"/>
  <c r="F120" i="3"/>
  <c r="F104" i="3"/>
  <c r="F88" i="3"/>
  <c r="F121" i="3"/>
  <c r="F10" i="3"/>
  <c r="F103" i="3"/>
  <c r="F81" i="3"/>
  <c r="F65" i="3"/>
  <c r="F49" i="3"/>
  <c r="F33" i="3"/>
  <c r="F17" i="3"/>
  <c r="F54" i="3"/>
  <c r="F14" i="3"/>
  <c r="F122" i="3"/>
  <c r="F106" i="3"/>
  <c r="F90" i="3"/>
  <c r="F93" i="3"/>
  <c r="F76" i="3"/>
  <c r="F60" i="3"/>
  <c r="F44" i="3"/>
  <c r="F28" i="3"/>
  <c r="F117" i="3"/>
  <c r="F107" i="3"/>
  <c r="F83" i="3"/>
  <c r="F67" i="3"/>
  <c r="F51" i="3"/>
  <c r="F35" i="3"/>
  <c r="F19" i="3"/>
  <c r="F70" i="3"/>
  <c r="F111" i="3"/>
  <c r="F72" i="3"/>
  <c r="F40" i="3"/>
  <c r="F63" i="3"/>
  <c r="F118" i="3"/>
  <c r="F86" i="3"/>
  <c r="F64" i="3"/>
  <c r="F32" i="3"/>
  <c r="F23" i="3"/>
  <c r="F131" i="3"/>
  <c r="F30" i="3"/>
  <c r="F77" i="3"/>
  <c r="F130" i="3"/>
  <c r="F114" i="3"/>
  <c r="F75" i="3"/>
  <c r="F6" i="3"/>
  <c r="F56" i="3"/>
  <c r="F7" i="3"/>
  <c r="F13" i="3"/>
  <c r="F89" i="3"/>
  <c r="F74" i="3"/>
  <c r="F58" i="3"/>
  <c r="F42" i="3"/>
  <c r="F26" i="3"/>
  <c r="F9" i="3"/>
  <c r="F46" i="3"/>
  <c r="F95" i="3"/>
  <c r="F45" i="3"/>
  <c r="F129" i="3"/>
  <c r="F123" i="3"/>
  <c r="F11" i="3"/>
  <c r="F113" i="3"/>
  <c r="F69" i="3"/>
  <c r="F116" i="3"/>
  <c r="F100" i="3"/>
  <c r="F38" i="3"/>
  <c r="F85" i="3"/>
  <c r="F37" i="3"/>
  <c r="F126" i="3"/>
  <c r="F94" i="3"/>
  <c r="F71" i="3"/>
  <c r="F39" i="3"/>
  <c r="F21" i="3"/>
  <c r="F47" i="3"/>
  <c r="F15" i="3"/>
  <c r="F128" i="3"/>
  <c r="F112" i="3"/>
  <c r="F96" i="3"/>
  <c r="F87" i="3"/>
  <c r="F73" i="3"/>
  <c r="F57" i="3"/>
  <c r="F41" i="3"/>
  <c r="F25" i="3"/>
  <c r="F98" i="3"/>
  <c r="F109" i="3"/>
  <c r="F84" i="3"/>
  <c r="F68" i="3"/>
  <c r="F52" i="3"/>
  <c r="F36" i="3"/>
  <c r="F12" i="3"/>
  <c r="F59" i="3"/>
  <c r="F27" i="3"/>
  <c r="F97" i="3"/>
  <c r="F61" i="3"/>
  <c r="F24" i="3"/>
  <c r="F99" i="3"/>
  <c r="F102" i="3"/>
  <c r="F48" i="3"/>
</calcChain>
</file>

<file path=xl/sharedStrings.xml><?xml version="1.0" encoding="utf-8"?>
<sst xmlns="http://schemas.openxmlformats.org/spreadsheetml/2006/main" count="1856" uniqueCount="443">
  <si>
    <t>🌿  PLANILHA MESTRA DE CULTIVO  —  Cannabis Medicinal Indoor  v3</t>
  </si>
  <si>
    <t>Configure abaixo. Toda a planilha se recalcula automaticamente.</t>
  </si>
  <si>
    <t>⚙️  CONFIGURAÇÕES GERAIS</t>
  </si>
  <si>
    <t>📅 Data Dia 1 (Clone)</t>
  </si>
  <si>
    <t>🌱 Semanas de Clone</t>
  </si>
  <si>
    <t>← semanas</t>
  </si>
  <si>
    <t>🌿 Strain / Cultivar</t>
  </si>
  <si>
    <t>Ex: OG Kush</t>
  </si>
  <si>
    <t>🌿 Semanas de Vegetativo</t>
  </si>
  <si>
    <t>💡 Ambiente</t>
  </si>
  <si>
    <t>Indoor LED</t>
  </si>
  <si>
    <t>🌸 Semanas de Floração</t>
  </si>
  <si>
    <t>📐 Área (m²)</t>
  </si>
  <si>
    <t>1.2</t>
  </si>
  <si>
    <t>🚿 Semanas de Flush</t>
  </si>
  <si>
    <t>🪴 Nº de Plantas</t>
  </si>
  <si>
    <t>4</t>
  </si>
  <si>
    <t>💊  PROTOCOLO DE NUTRIÇÃO  —  Escolha sua linha de produtos</t>
  </si>
  <si>
    <t>🧪 Linha de Adubação</t>
  </si>
  <si>
    <t>BioBizz</t>
  </si>
  <si>
    <t>← Escolha no dropdown</t>
  </si>
  <si>
    <t>Orgânico certificado (Holanda). Solo. Produtos: Bio·Grow, Bio·Bloom, Top·Max, Fish·Mix, Root Juice, Alg·A·Mic. pH: 6.2–6.5</t>
  </si>
  <si>
    <t>Remo Nutrients</t>
  </si>
  <si>
    <t>Mineral/orgânico (Canadá). Solo, coco, hidro. Produtos: Micro, Grow, Bloom, Magnifical, Astroflower, Kelp, Roots. pH: 5.8–6.3</t>
  </si>
  <si>
    <t>General Organics</t>
  </si>
  <si>
    <t>GO Box da GH (EUA). Solo orgânico. Produtos: BioThrive Grow/Bloom, BioRoot, BioBud, BioWeed, CaMg+, BioMarine. pH: auto</t>
  </si>
  <si>
    <t>SuperSoil</t>
  </si>
  <si>
    <t>Solo vivo preparado. Coberturas secas: farinha de osso, torta de mamona, guano de morcego, farinha de alga, cinzas. pH: auto</t>
  </si>
  <si>
    <t>Genérico</t>
  </si>
  <si>
    <t>Campos em branco para você preencher com seus próprios produtos e doses. Totalmente personalizável.</t>
  </si>
  <si>
    <t>📆  CALENDÁRIO DE FASES  (automático)</t>
  </si>
  <si>
    <t>Fase</t>
  </si>
  <si>
    <t>Semanas</t>
  </si>
  <si>
    <t>Início</t>
  </si>
  <si>
    <t>Fim</t>
  </si>
  <si>
    <t>Total dias</t>
  </si>
  <si>
    <t>🌱 CLONE</t>
  </si>
  <si>
    <t>🌿 VEGETATIVO</t>
  </si>
  <si>
    <t>🌸 FLORAÇÃO</t>
  </si>
  <si>
    <t>🚿 FLUSH</t>
  </si>
  <si>
    <t>✂️ COLHEITA</t>
  </si>
  <si>
    <t>"—"</t>
  </si>
  <si>
    <t>"1 dia"</t>
  </si>
  <si>
    <t>💊  PROTOCOLO DE ADUBAÇÃO  —  Personalizado conforme linha escolhida na Configuração</t>
  </si>
  <si>
    <t>Protocolo ativo: veja célula H12 na aba Configuração  |  Altere lá para mudar todos os produtos e doses</t>
  </si>
  <si>
    <t>Semana</t>
  </si>
  <si>
    <t>Data início</t>
  </si>
  <si>
    <t>Produto 1</t>
  </si>
  <si>
    <t>Dose 1</t>
  </si>
  <si>
    <t>Produto 2</t>
  </si>
  <si>
    <t>Dose 2</t>
  </si>
  <si>
    <t>Produto 3</t>
  </si>
  <si>
    <t>Dose 3</t>
  </si>
  <si>
    <t>Suplemento</t>
  </si>
  <si>
    <t>pH alvo</t>
  </si>
  <si>
    <t>EC alvo</t>
  </si>
  <si>
    <t>Observação</t>
  </si>
  <si>
    <t>💡  Altere o Protocolo de Nutrição na aba 🌱 Configuração para mudar todos os produtos e doses automaticamente</t>
  </si>
  <si>
    <t>Root Juice</t>
  </si>
  <si>
    <t>0.3 mL/L</t>
  </si>
  <si>
    <t>—</t>
  </si>
  <si>
    <t>6.2–6.5</t>
  </si>
  <si>
    <t>baixo</t>
  </si>
  <si>
    <t>Solo úmido — estimular raízes</t>
  </si>
  <si>
    <t>Alg·A·Mic</t>
  </si>
  <si>
    <t>0.5 mL/L</t>
  </si>
  <si>
    <t>Alg·A·Mic recupera e fortalece</t>
  </si>
  <si>
    <t>Bio·Grow</t>
  </si>
  <si>
    <t>Início suave de N antes da vega</t>
  </si>
  <si>
    <t>1 mL/L</t>
  </si>
  <si>
    <t>Pronto para vegetativo</t>
  </si>
  <si>
    <t>Fish·Mix</t>
  </si>
  <si>
    <t>Alg·A·Mic 1mL</t>
  </si>
  <si>
    <t>0.8</t>
  </si>
  <si>
    <t>Fish·Mix em veg = mais N orgânico</t>
  </si>
  <si>
    <t>2 mL/L</t>
  </si>
  <si>
    <t>1.0</t>
  </si>
  <si>
    <t>Aumentar progressivamente</t>
  </si>
  <si>
    <t>Foliar: Fish·Mix + Alg·A·Mic 1mL/L</t>
  </si>
  <si>
    <t>3 mL/L</t>
  </si>
  <si>
    <t>1.4</t>
  </si>
  <si>
    <t>LST / estrutura vegetativa</t>
  </si>
  <si>
    <t>4 mL/L</t>
  </si>
  <si>
    <t>1.5</t>
  </si>
  <si>
    <t>Pré-floração — reduzir Fish·Mix</t>
  </si>
  <si>
    <t>Substituir Fish·Mix por Bio·Grow antes da flora</t>
  </si>
  <si>
    <t>Bio·Bloom</t>
  </si>
  <si>
    <t>Semana de transição — introduzir Bloom</t>
  </si>
  <si>
    <t>Semana extra de vega</t>
  </si>
  <si>
    <t>Top·Max</t>
  </si>
  <si>
    <t>1.6</t>
  </si>
  <si>
    <t>Manter Bio·Grow em S1–S3 flora</t>
  </si>
  <si>
    <t>1.7</t>
  </si>
  <si>
    <t>Formação de pistils</t>
  </si>
  <si>
    <t>1.8</t>
  </si>
  <si>
    <t>Início do enchimento</t>
  </si>
  <si>
    <t>1.9</t>
  </si>
  <si>
    <t>Parar Bio·Grow — fase de flora plena</t>
  </si>
  <si>
    <t>2.0</t>
  </si>
  <si>
    <t>Pico de floração</t>
  </si>
  <si>
    <t>Enchimento máximo</t>
  </si>
  <si>
    <t>Amadurecimento — manter bloom alto</t>
  </si>
  <si>
    <t>Pré-flush — analisar tricomas</t>
  </si>
  <si>
    <t>Semana extra (sativa)</t>
  </si>
  <si>
    <t>Reduzir — semana final</t>
  </si>
  <si>
    <t>Último adubo antes flush</t>
  </si>
  <si>
    <t>Água pura</t>
  </si>
  <si>
    <t>Enzimas 1mL</t>
  </si>
  <si>
    <t>6.2</t>
  </si>
  <si>
    <t>&lt; 0.3</t>
  </si>
  <si>
    <t>Lavar substrato — analisar tricomas</t>
  </si>
  <si>
    <t>&lt; 0.2</t>
  </si>
  <si>
    <t>Tricomas âmbar? Colheita próxima</t>
  </si>
  <si>
    <t>Remo Roots</t>
  </si>
  <si>
    <t>Magnifical</t>
  </si>
  <si>
    <t>5.8–6.0</t>
  </si>
  <si>
    <t>Roots = estimulador de raízes Remo</t>
  </si>
  <si>
    <t>Magnifical = CalMag Remo</t>
  </si>
  <si>
    <t>Micro</t>
  </si>
  <si>
    <t>Grow</t>
  </si>
  <si>
    <t>5.8–6.2</t>
  </si>
  <si>
    <t>0.4</t>
  </si>
  <si>
    <t>Introduzir base suave antes da vega</t>
  </si>
  <si>
    <t>0.6</t>
  </si>
  <si>
    <t>Pronto para vega — confirmar raízes</t>
  </si>
  <si>
    <t>1.3 mL/L</t>
  </si>
  <si>
    <t>Magnifical 0.5</t>
  </si>
  <si>
    <t>6.0–6.3</t>
  </si>
  <si>
    <t>Micro+Grow = base Remo para vega</t>
  </si>
  <si>
    <t>1.5 mL/L</t>
  </si>
  <si>
    <t>Aumentar conforme tabela oficial</t>
  </si>
  <si>
    <t>1.8 mL/L</t>
  </si>
  <si>
    <t>Magnifical 1.0</t>
  </si>
  <si>
    <t>Semana 3 da tabela Remo</t>
  </si>
  <si>
    <t>2.1 mL/L</t>
  </si>
  <si>
    <t>Semana 4 da tabela Remo — pico vega</t>
  </si>
  <si>
    <t>Manter se continuar vega</t>
  </si>
  <si>
    <t>Bloom</t>
  </si>
  <si>
    <t>1.0 mL/L</t>
  </si>
  <si>
    <t>Introduzir Bloom — transição</t>
  </si>
  <si>
    <t>Reduzir Grow, aumentar Bloom</t>
  </si>
  <si>
    <t>Apenas Micro+Bloom em floração Remo</t>
  </si>
  <si>
    <t>Sem Grow a partir daqui</t>
  </si>
  <si>
    <t>Tabela oficial: 2.1 mL/L S1–S4</t>
  </si>
  <si>
    <t>Astroflower</t>
  </si>
  <si>
    <t>Astroflower = estimulante floração</t>
  </si>
  <si>
    <t>2.6 mL/L</t>
  </si>
  <si>
    <t>2.0 mL/L</t>
  </si>
  <si>
    <t>Kelp 1.0 mL</t>
  </si>
  <si>
    <t>Tabela oficial: 2.6 mL/L S5–S7</t>
  </si>
  <si>
    <t>Pico de floração Remo</t>
  </si>
  <si>
    <t>Tabela oficial S7</t>
  </si>
  <si>
    <t>Semana extra — sativa</t>
  </si>
  <si>
    <t>Semana extra</t>
  </si>
  <si>
    <t>Reduzir para flush</t>
  </si>
  <si>
    <t>Último adubo</t>
  </si>
  <si>
    <t>Flush Remo — 1 semana padrão</t>
  </si>
  <si>
    <t>Analisar tricomas — colheita?</t>
  </si>
  <si>
    <t>BioRoot</t>
  </si>
  <si>
    <t>CaMg+</t>
  </si>
  <si>
    <t>6.2–7.0</t>
  </si>
  <si>
    <t>GO não precisa ajustar pH em solo</t>
  </si>
  <si>
    <t>BioWeed</t>
  </si>
  <si>
    <t>0.7 mL/L</t>
  </si>
  <si>
    <t>BioWeed = extrato de algas GO</t>
  </si>
  <si>
    <t>BioThrive G</t>
  </si>
  <si>
    <t>Introduzir BioThrive Grow suave</t>
  </si>
  <si>
    <t>Pronto para vega</t>
  </si>
  <si>
    <t>BioWeed 0.7</t>
  </si>
  <si>
    <t>N/A</t>
  </si>
  <si>
    <t>GO não requer EC — pH auto-regula</t>
  </si>
  <si>
    <t>Sem necessidade de ajuste pH em solo</t>
  </si>
  <si>
    <t>Semana 3 veg GO</t>
  </si>
  <si>
    <t>Reduzir BioRoot gradualmente</t>
  </si>
  <si>
    <t>Manter Grow puro na vega</t>
  </si>
  <si>
    <t>BioThrive B</t>
  </si>
  <si>
    <t>Semana transição — introduzir Bloom</t>
  </si>
  <si>
    <t>Transição flora — reduzir Grow</t>
  </si>
  <si>
    <t>Semana extra de vega GO</t>
  </si>
  <si>
    <t>BioBud</t>
  </si>
  <si>
    <t>BioBud = estimulante flores GO</t>
  </si>
  <si>
    <t>Early Flower GO</t>
  </si>
  <si>
    <t>Mid Flower GO</t>
  </si>
  <si>
    <t>BioMarine 0.7</t>
  </si>
  <si>
    <t>BioMarine = peixe fermentado GO</t>
  </si>
  <si>
    <t>Pico floração GO</t>
  </si>
  <si>
    <t>Late Flower GO</t>
  </si>
  <si>
    <t>Reduzir CaMg+ final</t>
  </si>
  <si>
    <t>Late Flower GO — pré-flush</t>
  </si>
  <si>
    <t>Semana extra — reduzir dose</t>
  </si>
  <si>
    <t>Semana extra GO (sativa)</t>
  </si>
  <si>
    <t>Semana extra GO</t>
  </si>
  <si>
    <t>Último adubo GO</t>
  </si>
  <si>
    <t>GO: ripen/rinse — 1 semana</t>
  </si>
  <si>
    <t>Analisar tricomas</t>
  </si>
  <si>
    <t>Chá de compostagem</t>
  </si>
  <si>
    <t>1–2L/planta</t>
  </si>
  <si>
    <t>Biorrizas</t>
  </si>
  <si>
    <t>auto</t>
  </si>
  <si>
    <t>Solo vivo — sem adubação química</t>
  </si>
  <si>
    <t>Manter solo úmido e vivo</t>
  </si>
  <si>
    <t>Cobertura: farinha de alga</t>
  </si>
  <si>
    <t>5g/L solo</t>
  </si>
  <si>
    <t>Farinha de alga = fósforo e K suave</t>
  </si>
  <si>
    <t>Molasses 2 mL/L</t>
  </si>
  <si>
    <t>Mel de cana alimenta microbioma</t>
  </si>
  <si>
    <t>2L/planta</t>
  </si>
  <si>
    <t>Vermicomposto</t>
  </si>
  <si>
    <t>SuperSoil já contém todos os nutrientes</t>
  </si>
  <si>
    <t>Cobertura: torta de mamona</t>
  </si>
  <si>
    <t>10g/vaso</t>
  </si>
  <si>
    <t>Cobertura: farinha de osso</t>
  </si>
  <si>
    <t>Torta de mamona = N lento | Osso = P</t>
  </si>
  <si>
    <t>Mel de cana alimenta fungos e bactérias</t>
  </si>
  <si>
    <t>Observar vigor — solo vivo trabalha</t>
  </si>
  <si>
    <t>Cobertura: cinzas de madeira</t>
  </si>
  <si>
    <t>3g/L</t>
  </si>
  <si>
    <t>Alga = micro. | Cinzas = K e Ca</t>
  </si>
  <si>
    <t>Microrganismos</t>
  </si>
  <si>
    <t>Pré-flora — ativar P e K no solo</t>
  </si>
  <si>
    <t>Cobertura: guano de morcego</t>
  </si>
  <si>
    <t>5g/L</t>
  </si>
  <si>
    <t>Guano P alto = preparo para flora</t>
  </si>
  <si>
    <t>Semana extra de vega SuperSoil</t>
  </si>
  <si>
    <t>Chá</t>
  </si>
  <si>
    <t>Guano P alto = floração forte</t>
  </si>
  <si>
    <t>Solo vivo em pico — não interferir</t>
  </si>
  <si>
    <t>Molasses 2mL</t>
  </si>
  <si>
    <t>Alga = K e micronutrientes florais</t>
  </si>
  <si>
    <t>Cobertura: fosfato natural</t>
  </si>
  <si>
    <t>Fósforo natural = buds densos</t>
  </si>
  <si>
    <t>Alimentar microbioma — enchimento</t>
  </si>
  <si>
    <t>Semana de pico — micro + K</t>
  </si>
  <si>
    <t>Reduzir intervenções — amadurecimento</t>
  </si>
  <si>
    <t>Pré-flush SuperSoil</t>
  </si>
  <si>
    <t>Parar coberturas — lavar suave</t>
  </si>
  <si>
    <t>Última semana — observar tricomas</t>
  </si>
  <si>
    <t>SuperSoil: flush mais curto — solo limpo</t>
  </si>
  <si>
    <t>Analisar tricomas — colheita próxima</t>
  </si>
  <si>
    <t>← Preencha</t>
  </si>
  <si>
    <t>Personalize suas doses</t>
  </si>
  <si>
    <t>📅  CRONOGRAMA COMPLETO DO CULTIVO  —  Dinâmico por Semanas</t>
  </si>
  <si>
    <t>Adubação e MIP mostrados apenas no 1º dia de cada semana. Consulte as abas específicas para detalhes e doses completas.</t>
  </si>
  <si>
    <t>Dia</t>
  </si>
  <si>
    <t>Data</t>
  </si>
  <si>
    <t>Ação / Marco</t>
  </si>
  <si>
    <t>💊 Adubação</t>
  </si>
  <si>
    <t>🐛 MIP — Pragas</t>
  </si>
  <si>
    <t>🐛  MIP — CONTROLE INTEGRADO DE PRAGAS  (Preventivo)</t>
  </si>
  <si>
    <t>Datas calculadas automaticamente. Sem foliar em floração avançada (&gt; S3).</t>
  </si>
  <si>
    <t>🛡️  PRODUTOS</t>
  </si>
  <si>
    <t>Produto</t>
  </si>
  <si>
    <t>Dose</t>
  </si>
  <si>
    <t>Aplicação</t>
  </si>
  <si>
    <t>Alvo</t>
  </si>
  <si>
    <t>Freq.</t>
  </si>
  <si>
    <t>🌿 Óleo de Nim</t>
  </si>
  <si>
    <t>2–3 mL/L</t>
  </si>
  <si>
    <t>Foliar (clone/vega) | Solo (flora)</t>
  </si>
  <si>
    <t>Acaricida, inseticida, fungicida</t>
  </si>
  <si>
    <t>A cada 7 dias</t>
  </si>
  <si>
    <t>⚠️ NÃO foliar em flora &gt; S3</t>
  </si>
  <si>
    <t>🍄 Beauveria bassiana</t>
  </si>
  <si>
    <t>5–10 g/L</t>
  </si>
  <si>
    <t>Foliar e solo</t>
  </si>
  <si>
    <t>Tripes, mosca branca</t>
  </si>
  <si>
    <t>A cada 14 dias</t>
  </si>
  <si>
    <t>Refrigerar após abrir</t>
  </si>
  <si>
    <t>🦠 Trichoderma</t>
  </si>
  <si>
    <t>2–5 g/L</t>
  </si>
  <si>
    <t>Solo / substrato</t>
  </si>
  <si>
    <t>Fungos solo, Pythium</t>
  </si>
  <si>
    <t>A cada 21 dias</t>
  </si>
  <si>
    <t>Aplicar ao regar</t>
  </si>
  <si>
    <t>🌱 Extrato de Alho</t>
  </si>
  <si>
    <t>Foliar</t>
  </si>
  <si>
    <t>Repelente geral</t>
  </si>
  <si>
    <t>A cada 10 dias</t>
  </si>
  <si>
    <t>Combina com Nim</t>
  </si>
  <si>
    <t>🐞 B. thuringiensis</t>
  </si>
  <si>
    <t>5 mL/L</t>
  </si>
  <si>
    <t>Lagartas</t>
  </si>
  <si>
    <t>Quando necessário</t>
  </si>
  <si>
    <t>Bioinseticida</t>
  </si>
  <si>
    <t>🟡 Calda Sulfocálcica</t>
  </si>
  <si>
    <t>1–3%</t>
  </si>
  <si>
    <t>Foliar (clone/vega)</t>
  </si>
  <si>
    <t>Ácaros, oídio</t>
  </si>
  <si>
    <t>A cada 14–21 dias</t>
  </si>
  <si>
    <t>⚠️ Não misturar com Nim</t>
  </si>
  <si>
    <t>🔵 Calda Bordalesa</t>
  </si>
  <si>
    <t>0.5–1%</t>
  </si>
  <si>
    <t>Foliar até Flora S2</t>
  </si>
  <si>
    <t>Fungos, Botrytis</t>
  </si>
  <si>
    <t>A cada 15–21 dias</t>
  </si>
  <si>
    <t>⚠️ NÃO em flora avançada</t>
  </si>
  <si>
    <t>📅  CALENDÁRIO DE APLICAÇÕES  —  Datas calculadas automaticamente</t>
  </si>
  <si>
    <t>Via</t>
  </si>
  <si>
    <t>Clon S1</t>
  </si>
  <si>
    <t>Clone</t>
  </si>
  <si>
    <t>Nim (2 mL/L)</t>
  </si>
  <si>
    <t>Foliar leve</t>
  </si>
  <si>
    <t>Preventivo geral</t>
  </si>
  <si>
    <t>Clon S2</t>
  </si>
  <si>
    <t>Beauveria bassiana (5 g/L)</t>
  </si>
  <si>
    <t>Foliar + solo</t>
  </si>
  <si>
    <t>Vege S1</t>
  </si>
  <si>
    <t>Vegetativo</t>
  </si>
  <si>
    <t>Vege S2</t>
  </si>
  <si>
    <t>Vege S3</t>
  </si>
  <si>
    <t>Calda Sulfocálcica (1%)</t>
  </si>
  <si>
    <t>Vege S4</t>
  </si>
  <si>
    <t>Trichoderma (3 g/L)</t>
  </si>
  <si>
    <t>Solo (rega)</t>
  </si>
  <si>
    <t>Solo saudável = planta forte</t>
  </si>
  <si>
    <t>Vege S5</t>
  </si>
  <si>
    <t>Calda Bordalesa (0.5%)</t>
  </si>
  <si>
    <t>⚠️ Não combinar com Nim</t>
  </si>
  <si>
    <t>Vege S6</t>
  </si>
  <si>
    <t>⚠️ ÚLTIMA foliar com Nim</t>
  </si>
  <si>
    <t>Flor S1</t>
  </si>
  <si>
    <t>Floração</t>
  </si>
  <si>
    <t>Solo apenas</t>
  </si>
  <si>
    <t>⚠️ SEM FOLIAR em floração</t>
  </si>
  <si>
    <t>Flor S2</t>
  </si>
  <si>
    <t>Flor S3</t>
  </si>
  <si>
    <t>⚠️ Umidade &lt; 45%</t>
  </si>
  <si>
    <t>Flor S4</t>
  </si>
  <si>
    <t>Inspecionar buds</t>
  </si>
  <si>
    <t>Flor S5</t>
  </si>
  <si>
    <t>Inspeção + Trichoderma</t>
  </si>
  <si>
    <t>⚠️ Verificar mofo</t>
  </si>
  <si>
    <t>Flus S1</t>
  </si>
  <si>
    <t>Flush</t>
  </si>
  <si>
    <t>Inspeção final</t>
  </si>
  <si>
    <t>Visual</t>
  </si>
  <si>
    <t>Sem aplicações — analisar tricomas</t>
  </si>
  <si>
    <t>⚠️  COMPATIBILIDADE</t>
  </si>
  <si>
    <t>Regra</t>
  </si>
  <si>
    <t>Detalhe</t>
  </si>
  <si>
    <t>❌ Não misturar</t>
  </si>
  <si>
    <t>Sulfocálcica + Nim — fitotoxidade grave</t>
  </si>
  <si>
    <t>Sulfocálcica + Bordalesa — nunca mesma semana</t>
  </si>
  <si>
    <t>❌ Nunca foliar</t>
  </si>
  <si>
    <t>Qualquer foliar após Flora S3</t>
  </si>
  <si>
    <t>⏱️ Intervalo</t>
  </si>
  <si>
    <t>7–10 dias entre Sulfocálcica e outro foliar</t>
  </si>
  <si>
    <t>🌙 Horário</t>
  </si>
  <si>
    <t>Sempre ao entardecer — evitar sol forte</t>
  </si>
  <si>
    <t>✅ Combina</t>
  </si>
  <si>
    <t>Bordalesa + Trichoderma solo (dias diferentes)</t>
  </si>
  <si>
    <t>📊  DIÁRIO DE CULTIVO — Registro Diário de Parâmetros</t>
  </si>
  <si>
    <t>Linhas geradas conforme duração configurada. Alertas automáticos.</t>
  </si>
  <si>
    <t>Temp °C</t>
  </si>
  <si>
    <t>Umid %</t>
  </si>
  <si>
    <t>pH água</t>
  </si>
  <si>
    <t>CE mS/cm</t>
  </si>
  <si>
    <t>pH runoff</t>
  </si>
  <si>
    <t>Rega L</t>
  </si>
  <si>
    <t>Observações</t>
  </si>
  <si>
    <t>Status</t>
  </si>
  <si>
    <t>📖  GUIA RÁPIDO — Parâmetros e Referências</t>
  </si>
  <si>
    <t>🌡️ TEMPERATURA</t>
  </si>
  <si>
    <t>Parâmetro</t>
  </si>
  <si>
    <t>Valor ideal</t>
  </si>
  <si>
    <t>Dia (luz acesa)</t>
  </si>
  <si>
    <t>22–26°C (ideal 24°C)</t>
  </si>
  <si>
    <t>Noite</t>
  </si>
  <si>
    <t>18–22°C</t>
  </si>
  <si>
    <t>Máximo</t>
  </si>
  <si>
    <t>30°C</t>
  </si>
  <si>
    <t>23–26°C</t>
  </si>
  <si>
    <t>💧 UMIDADE</t>
  </si>
  <si>
    <t>70–80%</t>
  </si>
  <si>
    <t>55–70%</t>
  </si>
  <si>
    <t>Floração S1–S4</t>
  </si>
  <si>
    <t>45–55%</t>
  </si>
  <si>
    <t>Floração S5+</t>
  </si>
  <si>
    <t>35–45%</t>
  </si>
  <si>
    <t>&lt; 40%</t>
  </si>
  <si>
    <t>⚗️ pH DA ÁGUA</t>
  </si>
  <si>
    <t>Terra orgânica</t>
  </si>
  <si>
    <t>6.0–6.8</t>
  </si>
  <si>
    <t>Coco</t>
  </si>
  <si>
    <t>Hidro</t>
  </si>
  <si>
    <t>5.5–6.1</t>
  </si>
  <si>
    <t>Run-off</t>
  </si>
  <si>
    <t>±0.3 do pH entrada</t>
  </si>
  <si>
    <t>📊 EC (mS/cm)</t>
  </si>
  <si>
    <t>0.0–0.4</t>
  </si>
  <si>
    <t>Vega inicial</t>
  </si>
  <si>
    <t>0.8–1.2</t>
  </si>
  <si>
    <t>Vega pleno</t>
  </si>
  <si>
    <t>1.2–1.6</t>
  </si>
  <si>
    <t>Flora início</t>
  </si>
  <si>
    <t>1.4–1.8</t>
  </si>
  <si>
    <t>Flora pico</t>
  </si>
  <si>
    <t>1.8–2.2</t>
  </si>
  <si>
    <t>🔬 TRICOMAS</t>
  </si>
  <si>
    <t>Transparentes</t>
  </si>
  <si>
    <t>Imaturos — não colher</t>
  </si>
  <si>
    <t>Leitosos</t>
  </si>
  <si>
    <t>Efeito cerebral</t>
  </si>
  <si>
    <t>Âmbar 10–20%</t>
  </si>
  <si>
    <t>Efeito equilibrado (ideal médico)</t>
  </si>
  <si>
    <t>Âmbar 30–50%</t>
  </si>
  <si>
    <t>Sedativo / corporal</t>
  </si>
  <si>
    <t>Âmbar &gt; 50%</t>
  </si>
  <si>
    <t>THC → CBN</t>
  </si>
  <si>
    <t>💡 FOTOPERÍODO</t>
  </si>
  <si>
    <t>18–24h luz</t>
  </si>
  <si>
    <t>Vega</t>
  </si>
  <si>
    <t>18h/6h</t>
  </si>
  <si>
    <t>12h/12h</t>
  </si>
  <si>
    <t>Oscilação</t>
  </si>
  <si>
    <t>Máx ±15 min</t>
  </si>
  <si>
    <t>📐 FLORA POR CEPA</t>
  </si>
  <si>
    <t>Índica pura</t>
  </si>
  <si>
    <t>8–9 sem</t>
  </si>
  <si>
    <t>Índica-dom.</t>
  </si>
  <si>
    <t>9–10 sem</t>
  </si>
  <si>
    <t>Híbrido</t>
  </si>
  <si>
    <t>9–11 sem</t>
  </si>
  <si>
    <t>Sativa-dom.</t>
  </si>
  <si>
    <t>11–13 sem</t>
  </si>
  <si>
    <t>Sativa pura</t>
  </si>
  <si>
    <t>13–16 sem</t>
  </si>
  <si>
    <t>Root Juice 0.3 mL/L</t>
  </si>
  <si>
    <t/>
  </si>
  <si>
    <t>Root Juice 0.3 mL/L | Alg·A·Mic 0.5 mL/L</t>
  </si>
  <si>
    <t>Bio·Grow 1 mL/L | Fish·Mix 1 mL/L + Alg·A·Mic 1mL</t>
  </si>
  <si>
    <t>Bio·Grow 2 mL/L | Fish·Mix 2 mL/L</t>
  </si>
  <si>
    <t>Bio·Grow 2 mL/L | Fish·Mix 2 mL/L + Alg·A·Mic 1mL</t>
  </si>
  <si>
    <t>Bio·Grow 3 mL/L | Fish·Mix 3 mL/L</t>
  </si>
  <si>
    <t>Bio·Grow 4 mL/L | Fish·Mix 3 mL/L + Alg·A·Mic 1mL</t>
  </si>
  <si>
    <t>Bio·Grow 4 mL/L</t>
  </si>
  <si>
    <t>Bio·Grow 1 mL/L | Bio·Bloom 1 mL/L + Alg·A·Mic 1mL</t>
  </si>
  <si>
    <t>Bio·Grow 1 mL/L | Bio·Bloom 2 mL/L</t>
  </si>
  <si>
    <t>Bio·Grow 1 mL/L | Bio·Bloom 3 mL/L</t>
  </si>
  <si>
    <t>Bio·Bloom 3 mL/L</t>
  </si>
  <si>
    <t>Bio·Bloom 4 mL/L</t>
  </si>
  <si>
    <t>Bio·Bloom 4 mL/L + Alg·A·Mic 1mL</t>
  </si>
  <si>
    <t>Água pura — + Enzimas 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</si>
</sst>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FFFF"/>
      <name val="Arial"/>
    </font>
    <font>
      <sz val="11"/>
      <name val="Calibri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1B4332"/>
      <name val="Arial"/>
    </font>
    <font>
      <b/>
      <sz val="11"/>
      <color rgb="FF212529"/>
      <name val="Arial"/>
    </font>
    <font>
      <b/>
      <sz val="14"/>
      <color rgb="FF212529"/>
      <name val="Arial"/>
    </font>
    <font>
      <i/>
      <sz val="9"/>
      <color rgb="FF2D6A4F"/>
      <name val="Arial"/>
    </font>
    <font>
      <sz val="11"/>
      <color rgb="FF212529"/>
      <name val="Arial"/>
    </font>
    <font>
      <b/>
      <sz val="12"/>
      <color rgb="FFFFFFFF"/>
      <name val="Arial"/>
    </font>
    <font>
      <b/>
      <sz val="11"/>
      <color rgb="FF1B4332"/>
      <name val="Arial"/>
    </font>
    <font>
      <b/>
      <sz val="13"/>
      <color rgb="FF212529"/>
      <name val="Arial"/>
    </font>
    <font>
      <sz val="9"/>
      <color rgb="FF212529"/>
      <name val="Arial"/>
    </font>
    <font>
      <b/>
      <sz val="10"/>
      <color rgb="FF2196F3"/>
      <name val="Arial"/>
    </font>
    <font>
      <b/>
      <sz val="10"/>
      <color rgb="FF7B2D8B"/>
      <name val="Arial"/>
    </font>
    <font>
      <b/>
      <sz val="10"/>
      <color rgb="FF212529"/>
      <name val="Arial"/>
    </font>
    <font>
      <b/>
      <sz val="10"/>
      <color rgb="FFFFFFFF"/>
      <name val="Arial"/>
    </font>
    <font>
      <sz val="11"/>
      <color rgb="FF1B4332"/>
      <name val="Arial"/>
    </font>
    <font>
      <sz val="11"/>
      <color rgb="FF2196F3"/>
      <name val="Arial"/>
    </font>
    <font>
      <sz val="11"/>
      <color rgb="FF7B2D8B"/>
      <name val="Arial"/>
    </font>
    <font>
      <b/>
      <sz val="10"/>
      <color rgb="FFE63946"/>
      <name val="Arial"/>
    </font>
    <font>
      <sz val="11"/>
      <color rgb="FFE63946"/>
      <name val="Arial"/>
    </font>
    <font>
      <sz val="1"/>
      <color rgb="FFFFFFFF"/>
      <name val="Arial"/>
    </font>
    <font>
      <b/>
      <sz val="13"/>
      <color rgb="FFFFFFFF"/>
      <name val="Arial"/>
    </font>
    <font>
      <b/>
      <sz val="12"/>
      <color rgb="FF1B4332"/>
      <name val="Arial"/>
    </font>
    <font>
      <b/>
      <sz val="9"/>
      <color rgb="FFFFFFFF"/>
      <name val="Arial"/>
    </font>
    <font>
      <b/>
      <sz val="12"/>
      <color rgb="FF2196F3"/>
      <name val="Arial"/>
    </font>
    <font>
      <b/>
      <sz val="12"/>
      <color rgb="FF7B2D8B"/>
      <name val="Arial"/>
    </font>
    <font>
      <b/>
      <sz val="12"/>
      <color rgb="FFE63946"/>
      <name val="Arial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1B4332"/>
      <name val="Arial"/>
    </font>
    <font>
      <sz val="9"/>
      <color rgb="FF1B4332"/>
      <name val="Arial"/>
    </font>
    <font>
      <sz val="9"/>
      <color rgb="FFE63946"/>
      <name val="Arial"/>
    </font>
    <font>
      <b/>
      <sz val="9"/>
      <color rgb="FF212529"/>
      <name val="Arial"/>
    </font>
    <font>
      <b/>
      <sz val="9"/>
      <color rgb="FF2196F3"/>
      <name val="Arial"/>
    </font>
    <font>
      <b/>
      <sz val="9"/>
      <color rgb="FF7B2D8B"/>
      <name val="Arial"/>
    </font>
    <font>
      <b/>
      <sz val="9"/>
      <color rgb="FFE63946"/>
      <name val="Arial"/>
    </font>
    <font>
      <sz val="10"/>
      <color rgb="FF21252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B7E4C7"/>
        <bgColor rgb="FFB7E4C7"/>
      </patternFill>
    </fill>
    <fill>
      <patternFill patternType="solid">
        <fgColor rgb="FFFFD166"/>
        <bgColor rgb="FFFFD16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9D5F0"/>
        <bgColor rgb="FFE9D5F0"/>
      </patternFill>
    </fill>
    <fill>
      <patternFill patternType="solid">
        <fgColor rgb="FFFFF3CD"/>
        <bgColor rgb="FFFFF3CD"/>
      </patternFill>
    </fill>
    <fill>
      <patternFill patternType="solid">
        <fgColor rgb="FFE9ECEF"/>
        <bgColor rgb="FFE9ECEF"/>
      </patternFill>
    </fill>
    <fill>
      <patternFill patternType="solid">
        <fgColor rgb="FFFFE5E5"/>
        <bgColor rgb="FFFFE5E5"/>
      </patternFill>
    </fill>
    <fill>
      <patternFill patternType="solid">
        <fgColor rgb="FFD8F3DC"/>
        <bgColor rgb="FFD8F3DC"/>
      </patternFill>
    </fill>
    <fill>
      <patternFill patternType="solid">
        <fgColor rgb="FFEBF5FB"/>
        <bgColor rgb="FFEBF5FB"/>
      </patternFill>
    </fill>
    <fill>
      <patternFill patternType="solid">
        <fgColor rgb="FFE63946"/>
        <bgColor rgb="FFE63946"/>
      </patternFill>
    </fill>
    <fill>
      <patternFill patternType="solid">
        <fgColor rgb="FF7B2D8B"/>
        <bgColor rgb="FF7B2D8B"/>
      </patternFill>
    </fill>
  </fills>
  <borders count="7">
    <border>
      <left/>
      <right/>
      <top/>
      <bottom/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1" fillId="0" borderId="0" xfId="0" applyFont="1" applyAlignment="1"/>
    <xf numFmtId="0" fontId="6" fillId="4" borderId="4" xfId="0" applyFont="1" applyFill="1" applyBorder="1" applyAlignment="1">
      <alignment horizontal="left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/>
    <xf numFmtId="14" fontId="24" fillId="7" borderId="6" xfId="0" applyNumberFormat="1" applyFont="1" applyFill="1" applyBorder="1" applyAlignment="1"/>
    <xf numFmtId="0" fontId="27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4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14" fontId="14" fillId="4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14" fontId="14" fillId="8" borderId="4" xfId="0" applyNumberFormat="1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14" fontId="14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14" fontId="14" fillId="12" borderId="4" xfId="0" applyNumberFormat="1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" fillId="0" borderId="0" xfId="0" applyFont="1"/>
    <xf numFmtId="0" fontId="18" fillId="2" borderId="4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horizontal="left" vertical="center" wrapText="1"/>
    </xf>
    <xf numFmtId="0" fontId="35" fillId="6" borderId="4" xfId="0" applyFont="1" applyFill="1" applyBorder="1" applyAlignment="1">
      <alignment horizontal="left" vertical="center" wrapText="1"/>
    </xf>
    <xf numFmtId="0" fontId="27" fillId="6" borderId="4" xfId="0" applyFont="1" applyFill="1" applyBorder="1" applyAlignment="1">
      <alignment horizontal="center" vertical="center" wrapText="1"/>
    </xf>
    <xf numFmtId="14" fontId="14" fillId="6" borderId="4" xfId="0" applyNumberFormat="1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34" fillId="13" borderId="4" xfId="0" applyFont="1" applyFill="1" applyBorder="1" applyAlignment="1">
      <alignment horizontal="left" vertical="center" wrapText="1"/>
    </xf>
    <xf numFmtId="0" fontId="35" fillId="12" borderId="4" xfId="0" applyFont="1" applyFill="1" applyBorder="1" applyAlignment="1">
      <alignment horizontal="left" vertical="center" wrapText="1"/>
    </xf>
    <xf numFmtId="0" fontId="36" fillId="6" borderId="4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left" vertical="center" wrapText="1"/>
    </xf>
    <xf numFmtId="0" fontId="36" fillId="4" borderId="4" xfId="0" applyFont="1" applyFill="1" applyBorder="1" applyAlignment="1">
      <alignment horizontal="left" vertical="center" wrapText="1"/>
    </xf>
    <xf numFmtId="0" fontId="37" fillId="8" borderId="4" xfId="0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left" vertical="center" wrapText="1"/>
    </xf>
    <xf numFmtId="0" fontId="36" fillId="8" borderId="4" xfId="0" applyFont="1" applyFill="1" applyBorder="1" applyAlignment="1">
      <alignment horizontal="left" vertical="center" wrapText="1"/>
    </xf>
    <xf numFmtId="0" fontId="38" fillId="9" borderId="4" xfId="0" applyFont="1" applyFill="1" applyBorder="1" applyAlignment="1">
      <alignment horizontal="center" vertical="center" wrapText="1"/>
    </xf>
    <xf numFmtId="0" fontId="38" fillId="9" borderId="4" xfId="0" applyFont="1" applyFill="1" applyBorder="1" applyAlignment="1">
      <alignment horizontal="left" vertical="center" wrapText="1"/>
    </xf>
    <xf numFmtId="0" fontId="36" fillId="9" borderId="4" xfId="0" applyFont="1" applyFill="1" applyBorder="1" applyAlignment="1">
      <alignment horizontal="left" vertical="center" wrapText="1"/>
    </xf>
    <xf numFmtId="0" fontId="39" fillId="12" borderId="4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/>
    </xf>
    <xf numFmtId="14" fontId="14" fillId="7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4" fontId="14" fillId="4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40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40" fillId="7" borderId="4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0" fillId="5" borderId="1" xfId="0" applyFont="1" applyFill="1" applyBorder="1" applyAlignment="1">
      <alignment horizontal="center" vertical="center" wrapText="1"/>
    </xf>
    <xf numFmtId="14" fontId="10" fillId="5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14" fontId="23" fillId="1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14" fontId="21" fillId="9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4" fontId="19" fillId="4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14" fontId="20" fillId="8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5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36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K1000"/>
  <sheetViews>
    <sheetView showGridLines="0" tabSelected="1" workbookViewId="0">
      <selection activeCell="L3" sqref="L3"/>
    </sheetView>
  </sheetViews>
  <sheetFormatPr defaultColWidth="14.44140625" defaultRowHeight="15" customHeight="1"/>
  <cols>
    <col min="1" max="1" width="3" customWidth="1"/>
    <col min="2" max="10" width="21.21875" customWidth="1"/>
    <col min="11" max="11" width="3" customWidth="1"/>
    <col min="12" max="26" width="8.6640625" customWidth="1"/>
  </cols>
  <sheetData>
    <row r="1" spans="1:11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1.75" customHeight="1">
      <c r="A2" s="1"/>
      <c r="B2" s="93" t="s">
        <v>0</v>
      </c>
      <c r="C2" s="86"/>
      <c r="D2" s="86"/>
      <c r="E2" s="86"/>
      <c r="F2" s="86"/>
      <c r="G2" s="86"/>
      <c r="H2" s="86"/>
      <c r="I2" s="86"/>
      <c r="J2" s="88"/>
      <c r="K2" s="1"/>
    </row>
    <row r="3" spans="1:11" ht="19.5" customHeight="1">
      <c r="A3" s="1"/>
      <c r="B3" s="94" t="s">
        <v>1</v>
      </c>
      <c r="C3" s="86"/>
      <c r="D3" s="86"/>
      <c r="E3" s="86"/>
      <c r="F3" s="86"/>
      <c r="G3" s="86"/>
      <c r="H3" s="86"/>
      <c r="I3" s="86"/>
      <c r="J3" s="88"/>
      <c r="K3" s="1"/>
    </row>
    <row r="4" spans="1:11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7.75" customHeight="1">
      <c r="A5" s="1"/>
      <c r="B5" s="95" t="s">
        <v>2</v>
      </c>
      <c r="C5" s="86"/>
      <c r="D5" s="86"/>
      <c r="E5" s="86"/>
      <c r="F5" s="86"/>
      <c r="G5" s="86"/>
      <c r="H5" s="86"/>
      <c r="I5" s="86"/>
      <c r="J5" s="88"/>
      <c r="K5" s="1"/>
    </row>
    <row r="6" spans="1:11" ht="25.5" customHeight="1">
      <c r="A6" s="1"/>
      <c r="B6" s="2" t="s">
        <v>3</v>
      </c>
      <c r="C6" s="1"/>
      <c r="D6" s="3"/>
      <c r="E6" s="1"/>
      <c r="F6" s="2" t="s">
        <v>4</v>
      </c>
      <c r="G6" s="1"/>
      <c r="H6" s="4">
        <v>2</v>
      </c>
      <c r="I6" s="1"/>
      <c r="J6" s="5" t="s">
        <v>5</v>
      </c>
      <c r="K6" s="1"/>
    </row>
    <row r="7" spans="1:11" ht="25.5" customHeight="1">
      <c r="A7" s="1"/>
      <c r="B7" s="2" t="s">
        <v>6</v>
      </c>
      <c r="C7" s="1"/>
      <c r="D7" s="6" t="s">
        <v>7</v>
      </c>
      <c r="E7" s="1"/>
      <c r="F7" s="2" t="s">
        <v>8</v>
      </c>
      <c r="G7" s="1"/>
      <c r="H7" s="4">
        <v>6</v>
      </c>
      <c r="I7" s="1"/>
      <c r="J7" s="5" t="s">
        <v>5</v>
      </c>
      <c r="K7" s="1"/>
    </row>
    <row r="8" spans="1:11" ht="25.5" customHeight="1">
      <c r="A8" s="1"/>
      <c r="B8" s="2" t="s">
        <v>9</v>
      </c>
      <c r="C8" s="1"/>
      <c r="D8" s="6" t="s">
        <v>10</v>
      </c>
      <c r="E8" s="1"/>
      <c r="F8" s="2" t="s">
        <v>11</v>
      </c>
      <c r="G8" s="1"/>
      <c r="H8" s="4">
        <v>9</v>
      </c>
      <c r="I8" s="1"/>
      <c r="J8" s="5" t="s">
        <v>5</v>
      </c>
      <c r="K8" s="1"/>
    </row>
    <row r="9" spans="1:11" ht="25.5" customHeight="1">
      <c r="A9" s="1"/>
      <c r="B9" s="2" t="s">
        <v>12</v>
      </c>
      <c r="C9" s="1"/>
      <c r="D9" s="6" t="s">
        <v>13</v>
      </c>
      <c r="E9" s="1"/>
      <c r="F9" s="2" t="s">
        <v>14</v>
      </c>
      <c r="G9" s="1"/>
      <c r="H9" s="4">
        <v>1</v>
      </c>
      <c r="I9" s="1"/>
      <c r="J9" s="5" t="s">
        <v>5</v>
      </c>
      <c r="K9" s="1"/>
    </row>
    <row r="10" spans="1:11" ht="25.5" customHeight="1">
      <c r="A10" s="1"/>
      <c r="B10" s="2" t="s">
        <v>15</v>
      </c>
      <c r="C10" s="1"/>
      <c r="D10" s="6" t="s">
        <v>16</v>
      </c>
      <c r="E10" s="1"/>
      <c r="F10" s="1"/>
      <c r="G10" s="1"/>
      <c r="H10" s="1"/>
      <c r="I10" s="1"/>
      <c r="J10" s="1"/>
      <c r="K10" s="1"/>
    </row>
    <row r="11" spans="1:11" ht="31.5" customHeight="1">
      <c r="A11" s="1"/>
      <c r="B11" s="96" t="s">
        <v>17</v>
      </c>
      <c r="C11" s="86"/>
      <c r="D11" s="86"/>
      <c r="E11" s="86"/>
      <c r="F11" s="86"/>
      <c r="G11" s="86"/>
      <c r="H11" s="86"/>
      <c r="I11" s="86"/>
      <c r="J11" s="88"/>
      <c r="K11" s="1"/>
    </row>
    <row r="12" spans="1:11" ht="39.75" customHeight="1">
      <c r="A12" s="1"/>
      <c r="B12" s="7" t="s">
        <v>18</v>
      </c>
      <c r="C12" s="1"/>
      <c r="D12" s="1"/>
      <c r="E12" s="1"/>
      <c r="F12" s="1"/>
      <c r="G12" s="1"/>
      <c r="H12" s="8" t="s">
        <v>19</v>
      </c>
      <c r="I12" s="1"/>
      <c r="J12" s="5" t="s">
        <v>20</v>
      </c>
      <c r="K12" s="1"/>
    </row>
    <row r="13" spans="1:11" ht="36" customHeight="1">
      <c r="A13" s="1"/>
      <c r="B13" s="97" t="s">
        <v>19</v>
      </c>
      <c r="C13" s="69"/>
      <c r="D13" s="85" t="s">
        <v>21</v>
      </c>
      <c r="E13" s="86"/>
      <c r="F13" s="86"/>
      <c r="G13" s="86"/>
      <c r="H13" s="86"/>
      <c r="I13" s="86"/>
      <c r="J13" s="69"/>
      <c r="K13" s="1"/>
    </row>
    <row r="14" spans="1:11" ht="36" customHeight="1">
      <c r="A14" s="1"/>
      <c r="B14" s="89" t="s">
        <v>22</v>
      </c>
      <c r="C14" s="69"/>
      <c r="D14" s="85" t="s">
        <v>23</v>
      </c>
      <c r="E14" s="86"/>
      <c r="F14" s="86"/>
      <c r="G14" s="86"/>
      <c r="H14" s="86"/>
      <c r="I14" s="86"/>
      <c r="J14" s="69"/>
      <c r="K14" s="1"/>
    </row>
    <row r="15" spans="1:11" ht="36" customHeight="1">
      <c r="A15" s="1"/>
      <c r="B15" s="90" t="s">
        <v>24</v>
      </c>
      <c r="C15" s="69"/>
      <c r="D15" s="85" t="s">
        <v>25</v>
      </c>
      <c r="E15" s="86"/>
      <c r="F15" s="86"/>
      <c r="G15" s="86"/>
      <c r="H15" s="86"/>
      <c r="I15" s="86"/>
      <c r="J15" s="69"/>
      <c r="K15" s="1"/>
    </row>
    <row r="16" spans="1:11" ht="36" customHeight="1">
      <c r="A16" s="1"/>
      <c r="B16" s="91" t="s">
        <v>26</v>
      </c>
      <c r="C16" s="69"/>
      <c r="D16" s="85" t="s">
        <v>27</v>
      </c>
      <c r="E16" s="86"/>
      <c r="F16" s="86"/>
      <c r="G16" s="86"/>
      <c r="H16" s="86"/>
      <c r="I16" s="86"/>
      <c r="J16" s="69"/>
      <c r="K16" s="1"/>
    </row>
    <row r="17" spans="1:11" ht="36" customHeight="1">
      <c r="A17" s="1"/>
      <c r="B17" s="92" t="s">
        <v>28</v>
      </c>
      <c r="C17" s="69"/>
      <c r="D17" s="85" t="s">
        <v>29</v>
      </c>
      <c r="E17" s="86"/>
      <c r="F17" s="86"/>
      <c r="G17" s="86"/>
      <c r="H17" s="86"/>
      <c r="I17" s="86"/>
      <c r="J17" s="69"/>
      <c r="K17" s="1"/>
    </row>
    <row r="18" spans="1:1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7.75" customHeight="1">
      <c r="A19" s="1"/>
      <c r="B19" s="87" t="s">
        <v>30</v>
      </c>
      <c r="C19" s="86"/>
      <c r="D19" s="86"/>
      <c r="E19" s="86"/>
      <c r="F19" s="86"/>
      <c r="G19" s="86"/>
      <c r="H19" s="86"/>
      <c r="I19" s="86"/>
      <c r="J19" s="88"/>
      <c r="K19" s="1"/>
    </row>
    <row r="20" spans="1:11" ht="24" customHeight="1">
      <c r="A20" s="1"/>
      <c r="B20" s="75" t="s">
        <v>31</v>
      </c>
      <c r="C20" s="69"/>
      <c r="D20" s="75" t="s">
        <v>32</v>
      </c>
      <c r="E20" s="69"/>
      <c r="F20" s="75" t="s">
        <v>33</v>
      </c>
      <c r="G20" s="69"/>
      <c r="H20" s="75" t="s">
        <v>34</v>
      </c>
      <c r="I20" s="69"/>
      <c r="J20" s="75" t="s">
        <v>35</v>
      </c>
      <c r="K20" s="69"/>
    </row>
    <row r="21" spans="1:11" ht="25.5" customHeight="1">
      <c r="A21" s="1"/>
      <c r="B21" s="76" t="s">
        <v>36</v>
      </c>
      <c r="C21" s="69"/>
      <c r="D21" s="81" t="str">
        <f t="shared" ref="D21:D24" si="0">H6&amp;" sem"</f>
        <v>2 sem</v>
      </c>
      <c r="E21" s="69"/>
      <c r="F21" s="82">
        <f>B56</f>
        <v>0</v>
      </c>
      <c r="G21" s="69"/>
      <c r="H21" s="82">
        <f>B56+B55-1</f>
        <v>13</v>
      </c>
      <c r="I21" s="69"/>
      <c r="J21" s="81">
        <f>B55</f>
        <v>14</v>
      </c>
      <c r="K21" s="69"/>
    </row>
    <row r="22" spans="1:11" ht="25.5" customHeight="1">
      <c r="A22" s="1"/>
      <c r="B22" s="77" t="s">
        <v>37</v>
      </c>
      <c r="C22" s="69"/>
      <c r="D22" s="83" t="str">
        <f t="shared" si="0"/>
        <v>6 sem</v>
      </c>
      <c r="E22" s="69"/>
      <c r="F22" s="84">
        <f>C56</f>
        <v>14</v>
      </c>
      <c r="G22" s="69"/>
      <c r="H22" s="84">
        <f>C56+C55-1</f>
        <v>55</v>
      </c>
      <c r="I22" s="69"/>
      <c r="J22" s="83">
        <f>C55</f>
        <v>42</v>
      </c>
      <c r="K22" s="69"/>
    </row>
    <row r="23" spans="1:11" ht="25.5" customHeight="1">
      <c r="A23" s="1"/>
      <c r="B23" s="72" t="s">
        <v>38</v>
      </c>
      <c r="C23" s="69"/>
      <c r="D23" s="79" t="str">
        <f t="shared" si="0"/>
        <v>9 sem</v>
      </c>
      <c r="E23" s="69"/>
      <c r="F23" s="80">
        <f>D56</f>
        <v>56</v>
      </c>
      <c r="G23" s="69"/>
      <c r="H23" s="80">
        <f>D56+D55-1</f>
        <v>118</v>
      </c>
      <c r="I23" s="69"/>
      <c r="J23" s="79">
        <f>D55</f>
        <v>63</v>
      </c>
      <c r="K23" s="69"/>
    </row>
    <row r="24" spans="1:11" ht="25.5" customHeight="1">
      <c r="A24" s="1"/>
      <c r="B24" s="73" t="s">
        <v>39</v>
      </c>
      <c r="C24" s="69"/>
      <c r="D24" s="68" t="str">
        <f t="shared" si="0"/>
        <v>1 sem</v>
      </c>
      <c r="E24" s="69"/>
      <c r="F24" s="74">
        <f>E56</f>
        <v>119</v>
      </c>
      <c r="G24" s="69"/>
      <c r="H24" s="74">
        <f>E56+E55-1</f>
        <v>125</v>
      </c>
      <c r="I24" s="69"/>
      <c r="J24" s="68">
        <f>E55</f>
        <v>7</v>
      </c>
      <c r="K24" s="69"/>
    </row>
    <row r="25" spans="1:11" ht="25.5" customHeight="1">
      <c r="A25" s="1"/>
      <c r="B25" s="78" t="s">
        <v>40</v>
      </c>
      <c r="C25" s="69"/>
      <c r="D25" s="70" t="s">
        <v>41</v>
      </c>
      <c r="E25" s="69"/>
      <c r="F25" s="71">
        <f>F56</f>
        <v>126</v>
      </c>
      <c r="G25" s="69"/>
      <c r="H25" s="71">
        <f>F56</f>
        <v>126</v>
      </c>
      <c r="I25" s="69"/>
      <c r="J25" s="70" t="s">
        <v>42</v>
      </c>
      <c r="K25" s="69"/>
    </row>
    <row r="26" spans="1:1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.5" customHeight="1">
      <c r="A55" s="1"/>
      <c r="B55" s="9">
        <f>H6*7</f>
        <v>14</v>
      </c>
      <c r="C55" s="9">
        <f>H7*7</f>
        <v>42</v>
      </c>
      <c r="D55" s="9">
        <f>H8*7</f>
        <v>63</v>
      </c>
      <c r="E55" s="9">
        <f>H9*7</f>
        <v>7</v>
      </c>
      <c r="F55" s="9">
        <f>B55+C55+D55+E55</f>
        <v>126</v>
      </c>
      <c r="G55" s="1"/>
      <c r="H55" s="1"/>
      <c r="I55" s="1"/>
      <c r="J55" s="1"/>
      <c r="K55" s="1"/>
    </row>
    <row r="56" spans="1:11" ht="1.5" customHeight="1">
      <c r="A56" s="1"/>
      <c r="B56" s="10">
        <f>D6</f>
        <v>0</v>
      </c>
      <c r="C56" s="10">
        <f t="shared" ref="C56:F56" si="1">B56+B55</f>
        <v>14</v>
      </c>
      <c r="D56" s="10">
        <f t="shared" si="1"/>
        <v>56</v>
      </c>
      <c r="E56" s="10">
        <f t="shared" si="1"/>
        <v>119</v>
      </c>
      <c r="F56" s="10">
        <f t="shared" si="1"/>
        <v>126</v>
      </c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45">
    <mergeCell ref="B2:J2"/>
    <mergeCell ref="B3:J3"/>
    <mergeCell ref="B5:J5"/>
    <mergeCell ref="B11:J11"/>
    <mergeCell ref="B13:C13"/>
    <mergeCell ref="D13:J13"/>
    <mergeCell ref="D14:J14"/>
    <mergeCell ref="D15:J15"/>
    <mergeCell ref="D16:J16"/>
    <mergeCell ref="D17:J17"/>
    <mergeCell ref="B19:J19"/>
    <mergeCell ref="B14:C14"/>
    <mergeCell ref="B15:C15"/>
    <mergeCell ref="B16:C16"/>
    <mergeCell ref="B17:C17"/>
    <mergeCell ref="H21:I21"/>
    <mergeCell ref="J21:K21"/>
    <mergeCell ref="D22:E22"/>
    <mergeCell ref="F22:G22"/>
    <mergeCell ref="F20:G20"/>
    <mergeCell ref="H20:I20"/>
    <mergeCell ref="J20:K20"/>
    <mergeCell ref="H22:I22"/>
    <mergeCell ref="J22:K22"/>
    <mergeCell ref="B20:C20"/>
    <mergeCell ref="B21:C21"/>
    <mergeCell ref="B22:C22"/>
    <mergeCell ref="B25:C25"/>
    <mergeCell ref="F25:G25"/>
    <mergeCell ref="D23:E23"/>
    <mergeCell ref="F23:G23"/>
    <mergeCell ref="D20:E20"/>
    <mergeCell ref="D21:E21"/>
    <mergeCell ref="F21:G21"/>
    <mergeCell ref="J24:K24"/>
    <mergeCell ref="D25:E25"/>
    <mergeCell ref="J25:K25"/>
    <mergeCell ref="H25:I25"/>
    <mergeCell ref="B23:C23"/>
    <mergeCell ref="B24:C24"/>
    <mergeCell ref="D24:E24"/>
    <mergeCell ref="F24:G24"/>
    <mergeCell ref="H24:I24"/>
    <mergeCell ref="H23:I23"/>
    <mergeCell ref="J23:K23"/>
  </mergeCells>
  <dataValidations count="6">
    <dataValidation type="list" allowBlank="1" showInputMessage="1" showErrorMessage="1" prompt="Protocolo inválido - Escolha: BioBizz, Remo Nutrients, General Organics, SuperSoil ou Genérico" sqref="H12">
      <formula1>"BioBizz,Remo Nutrients,General Organics,SuperSoil,Genérico"</formula1>
    </dataValidation>
    <dataValidation type="list" allowBlank="1" sqref="H8">
      <formula1>"8,9,10,11,12,13,14,15,16"</formula1>
    </dataValidation>
    <dataValidation type="list" allowBlank="1" sqref="H7">
      <formula1>"4,5,6,7,8,9,10,11,12"</formula1>
    </dataValidation>
    <dataValidation type="list" allowBlank="1" sqref="H6">
      <formula1>"1,2,3,4"</formula1>
    </dataValidation>
    <dataValidation type="list" allowBlank="1" sqref="D8">
      <formula1>"Indoor LED,Indoor HPS,Indoor CMH,Indoor Misto"</formula1>
    </dataValidation>
    <dataValidation type="list" allowBlank="1" sqref="H9">
      <formula1>"1,2"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I1000"/>
  <sheetViews>
    <sheetView showGridLines="0" workbookViewId="0">
      <selection activeCell="C21" sqref="C21"/>
    </sheetView>
  </sheetViews>
  <sheetFormatPr defaultColWidth="14.44140625" defaultRowHeight="15" customHeight="1"/>
  <cols>
    <col min="1" max="1" width="3" customWidth="1"/>
    <col min="2" max="2" width="6" customWidth="1"/>
    <col min="3" max="3" width="14" customWidth="1"/>
    <col min="4" max="4" width="12" customWidth="1"/>
    <col min="5" max="5" width="16" customWidth="1"/>
    <col min="6" max="6" width="20" customWidth="1"/>
    <col min="7" max="7" width="28" customWidth="1"/>
    <col min="8" max="8" width="26" customWidth="1"/>
    <col min="9" max="26" width="8.6640625" customWidth="1"/>
  </cols>
  <sheetData>
    <row r="1" spans="1:9" ht="14.4">
      <c r="A1" s="1"/>
      <c r="B1" s="1"/>
      <c r="C1" s="1"/>
      <c r="D1" s="1"/>
      <c r="E1" s="1"/>
      <c r="F1" s="1"/>
      <c r="G1" s="33"/>
      <c r="H1" s="1"/>
      <c r="I1" s="33"/>
    </row>
    <row r="2" spans="1:9" ht="45" customHeight="1">
      <c r="A2" s="1"/>
      <c r="B2" s="104" t="s">
        <v>241</v>
      </c>
      <c r="C2" s="86"/>
      <c r="D2" s="86"/>
      <c r="E2" s="86"/>
      <c r="F2" s="86"/>
      <c r="G2" s="86"/>
      <c r="H2" s="88"/>
      <c r="I2" s="33"/>
    </row>
    <row r="3" spans="1:9" ht="18" customHeight="1">
      <c r="A3" s="1"/>
      <c r="B3" s="105" t="s">
        <v>242</v>
      </c>
      <c r="C3" s="86"/>
      <c r="D3" s="86"/>
      <c r="E3" s="86"/>
      <c r="F3" s="86"/>
      <c r="G3" s="86"/>
      <c r="H3" s="88"/>
      <c r="I3" s="33"/>
    </row>
    <row r="4" spans="1:9" ht="14.4">
      <c r="A4" s="1"/>
      <c r="B4" s="1"/>
      <c r="C4" s="1"/>
      <c r="D4" s="1"/>
      <c r="E4" s="1"/>
      <c r="F4" s="1"/>
      <c r="G4" s="33"/>
      <c r="H4" s="1"/>
      <c r="I4" s="33"/>
    </row>
    <row r="5" spans="1:9" ht="27.75" customHeight="1">
      <c r="A5" s="1"/>
      <c r="B5" s="34" t="s">
        <v>243</v>
      </c>
      <c r="C5" s="34" t="s">
        <v>244</v>
      </c>
      <c r="D5" s="34" t="s">
        <v>31</v>
      </c>
      <c r="E5" s="34" t="s">
        <v>45</v>
      </c>
      <c r="F5" s="34" t="s">
        <v>245</v>
      </c>
      <c r="G5" s="34" t="s">
        <v>246</v>
      </c>
      <c r="H5" s="34" t="s">
        <v>247</v>
      </c>
      <c r="I5" s="33"/>
    </row>
    <row r="6" spans="1:9" ht="19.5" customHeight="1">
      <c r="A6" s="1"/>
      <c r="B6" s="35">
        <f>IF(1&lt;='🌱 Configuração'!$F$55,1,"")</f>
        <v>1</v>
      </c>
      <c r="C6" s="13">
        <f>IF(1&lt;='🌱 Configuração'!$F$55,'🌱 Configuração'!$B$56+0,"")</f>
        <v>0</v>
      </c>
      <c r="D6" s="36" t="str">
        <f>IF(1&gt;'🌱 Configuração'!$F$55,"",IF('🌱 Configuração'!$B$56+0&lt;'🌱 Configuração'!$C$56,"🌱 Clone",IF('🌱 Configuração'!$B$56+0&lt;'🌱 Configuração'!$D$56,"🌿 Vegetativo",IF('🌱 Configuração'!$B$56+0&lt;'🌱 Configuração'!$E$56,"🌸 Floração","🚿 Flush"))))</f>
        <v>🌱 Clone</v>
      </c>
      <c r="E6" s="15" t="str">
        <f>IF(1&gt;'🌱 Configuração'!$F$55,"",IF('🌱 Configuração'!$B$56+0&lt;'🌱 Configuração'!$C$56,"Clone S"&amp;INT((1-1)/7)+1,IF('🌱 Configuração'!$B$56+0&lt;'🌱 Configuração'!$D$56,"Vega S"&amp;INT(('🌱 Configuração'!$B$56+0-'🌱 Configuração'!$C$56)/7)+1,IF('🌱 Configuração'!$B$56+0&lt;'🌱 Configuração'!$E$56,"Flora S"&amp;INT(('🌱 Configuração'!$B$56+0-'🌱 Configuração'!$D$56)/7)+1,"Flush S"&amp;INT(('🌱 Configuração'!$B$56+0-'🌱 Configuração'!$E$56)/7)+1))))</f>
        <v>Clone S1</v>
      </c>
      <c r="F6" s="14" t="str">
        <f>IF(1&gt;'🌱 Configuração'!$F$55,"",IF('🌱 Configuração'!$B$56+0='🌱 Configuração'!$C$56,"🌿 INÍCIO VEGA — luz 18h/dia",IF('🌱 Configuração'!$B$56+0='🌱 Configuração'!$D$56,"🌸 INÍCIO FLORAÇÃO — mudar 12/12 🔴",IF('🌱 Configuração'!$B$56+0='🌱 Configuração'!$E$56,"🚿 INÍCIO FLUSH — parar nutrição",IF('🌱 Configuração'!$B$56+0='🌱 Configuração'!$F$56-1,"🔬 Véspera da colheita — analisar tricomas",IF('🌱 Configuração'!$B$56+0='🌱 Configuração'!$F$56,"✂️ COLHEITA — Parabéns! 🎉",""))))))</f>
        <v/>
      </c>
      <c r="G6" s="37" t="s">
        <v>427</v>
      </c>
      <c r="H6" s="38" t="str">
        <f>IF(1&gt;'🌱 Configuração'!$F$55,"",IF('🌱 Configuração'!$B$56+0&lt;'🌱 Configuração'!$C$56,IF(1=1,"🌿 Nim (2 mL/L) — foliar leve",IF(1=8,"🍄 Beauveria bassiana — foliar + solo","")),IF('🌱 Configuração'!$B$56+0&lt;'🌱 Configuração'!$D$56,IF(AND('🌱 Configuração'!$B$56+0&gt;='🌱 Configuração'!$C$56,'🌱 Configuração'!$B$56+0&lt;'🌱 Configuração'!$D$56,MOD('🌱 Configuração'!$B$56+0-'🌱 Configuração'!$C$56,7)=0,INT(('🌱 Configuração'!$B$56+0-'🌱 Configuração'!$C$56)/7)+1=1),"🌿 Nim (2 mL/L) — foliar preventivo",IF(AND('🌱 Configuração'!$B$56+0&gt;='🌱 Configuração'!$C$56,'🌱 Configuração'!$B$56+0&lt;'🌱 Configuração'!$D$56,MOD('🌱 Configuração'!$B$56+0-'🌱 Configuração'!$C$56,7)=0,INT(('🌱 Configuração'!$B$56+0-'🌱 Configuração'!$C$56)/7)+1=2),"🍄 Beauveria bassiana — foliar + solo",IF(AND('🌱 Configuração'!$B$56+0&gt;='🌱 Configuração'!$C$56,'🌱 Configuração'!$B$56+0&lt;'🌱 Configuração'!$D$56,MOD('🌱 Configuração'!$B$56+0-'🌱 Configuração'!$C$56,7)=0,INT(('🌱 Configuração'!$B$56+0-'🌱 Configuração'!$C$56)/7)+1=3),"🟡 Calda Sulfocálcica (1%) — foliar",IF(AND('🌱 Configuração'!$B$56+0&gt;='🌱 Configuração'!$C$56,'🌱 Configuração'!$B$56+0&lt;'🌱 Configuração'!$D$56,MOD('🌱 Configuração'!$B$56+0-'🌱 Configuração'!$C$56,7)=0,INT(('🌱 Configuração'!$B$56+0-'🌱 Configuração'!$C$56)/7)+1=4),"🦠 Trichoderma (3 g/L) — solo",IF(AND('🌱 Configuração'!$B$56+0&gt;='🌱 Configuração'!$C$56,'🌱 Configuração'!$B$56+0&lt;'🌱 Configuração'!$D$56,MOD('🌱 Configuração'!$B$56+0-'🌱 Configuração'!$C$56,7)=0,INT(('🌱 Configuração'!$B$56+0-'🌱 Configuração'!$C$56)/7)+1=5),"🔵 Calda Bordalesa (0.5%) — foliar",IF(AND('🌱 Configuração'!$B$56+0&gt;='🌱 Configuração'!$C$56,'🌱 Configuração'!$B$56+0&lt;'🌱 Configuração'!$D$56,MOD('🌱 Configuração'!$B$56+0-'🌱 Configuração'!$C$56,7)=0,INT(('🌱 Configuração'!$B$56+0-'🌱 Configuração'!$C$56)/7)+1=6),"🌿 Nim (2 mL/L) — ⚠️ ÚLTIMA foliar",IF(AND('🌱 Configuração'!$B$56+0&gt;='🌱 Configuração'!$C$56,'🌱 Configuração'!$B$56+0&lt;'🌱 Configuração'!$D$56,MOD('🌱 Configuração'!$B$56+0-'🌱 Configuração'!$C$56,7)=0,INT(('🌱 Configuração'!$B$56+0-'🌱 Configuração'!$C$56)/7)+1=7),"🦠 Trichoderma — solo",IF(AND('🌱 Configuração'!$B$56+0&gt;='🌱 Configuração'!$C$56,'🌱 Configuração'!$B$56+0&lt;'🌱 Configuração'!$D$56,MOD('🌱 Configuração'!$B$56+0-'🌱 Configuração'!$C$56,7)=0,INT(('🌱 Configuração'!$B$56+0-'🌱 Configuração'!$C$56)/7)+1=8),"🍄 Beauveria — solo","")))))))),IF('🌱 Configuração'!$B$56+0&lt;'🌱 Configuração'!$E$56,IF(AND('🌱 Configuração'!$B$56+0&gt;='🌱 Configuração'!$D$56,'🌱 Configuração'!$B$56+0&lt;'🌱 Configuração'!$E$56,MOD('🌱 Configuração'!$B$56+0-'🌱 Configuração'!$D$56,7)=0,INT(('🌱 Configuração'!$B$56+0-'🌱 Configuração'!$D$56)/7)+1=1),"🍄 Beauveria bassiana — SOLO apenas",IF(AND('🌱 Configuração'!$B$56+0&gt;='🌱 Configuração'!$D$56,'🌱 Configuração'!$B$56+0&lt;'🌱 Configuração'!$E$56,MOD('🌱 Configuração'!$B$56+0-'🌱 Configuração'!$D$56,7)=0,INT(('🌱 Configuração'!$B$56+0-'🌱 Configuração'!$D$56)/7)+1=2),"🦠 Trichoderma (3 g/L) — solo",IF(AND('🌱 Configuração'!$B$56+0&gt;='🌱 Configuração'!$D$56,'🌱 Configuração'!$B$56+0&lt;'🌱 Configuração'!$E$56,MOD('🌱 Configuração'!$B$56+0-'🌱 Configuração'!$D$56,7)=0,INT(('🌱 Configuração'!$B$56+0-'🌱 Configuração'!$D$56)/7)+1=3),"🍄 Beauveria bassiana — solo | ⚠️ Umid &lt;45%",IF(AND('🌱 Configuração'!$B$56+0&gt;='🌱 Configuração'!$D$56,'🌱 Configuração'!$B$56+0&lt;'🌱 Configuração'!$E$56,MOD('🌱 Configuração'!$B$56+0-'🌱 Configuração'!$D$56,7)=0,INT(('🌱 Configuração'!$B$56+0-'🌱 Configuração'!$D$56)/7)+1=4),"🦠 Trichoderma — solo | Inspecionar buds",IF(AND('🌱 Configuração'!$B$56+0&gt;='🌱 Configuração'!$D$56,'🌱 Configuração'!$B$56+0&lt;'🌱 Configuração'!$E$56,MOD('🌱 Configuração'!$B$56+0-'🌱 Configuração'!$D$56,7)=0,INT(('🌱 Configuração'!$B$56+0-'🌱 Configuração'!$D$56)/7)+1=5),"🍄 Beauveria + inspeção visual buds",IF(AND('🌱 Configuração'!$B$56+0&gt;='🌱 Configuração'!$D$56,'🌱 Configuração'!$B$56+0&lt;'🌱 Configuração'!$E$56,MOD('🌱 Configuração'!$B$56+0-'🌱 Configuração'!$D$56,7)=0,INT(('🌱 Configuração'!$B$56+0-'🌱 Configuração'!$D$56)/7)+1=6),"🦠 Trichoderma + ⚠️ Verificar mofo","")))))),IF(AND('🌱 Configuração'!$B$56+0&gt;='🌱 Configuração'!$E$56,MOD('🌱 Configuração'!$B$56+0-'🌱 Configuração'!$E$56,7)=0),"🔬 Inspeção final — analisar tricomas","")))))</f>
        <v>🌿 Nim (2 mL/L) — foliar leve</v>
      </c>
      <c r="I6" s="33"/>
    </row>
    <row r="7" spans="1:9" ht="19.5" customHeight="1">
      <c r="A7" s="1"/>
      <c r="B7" s="39">
        <f>IF(2&lt;='🌱 Configuração'!$F$55,2,"")</f>
        <v>2</v>
      </c>
      <c r="C7" s="40">
        <f>IF(2&lt;='🌱 Configuração'!$F$55,'🌱 Configuração'!$B$56+1,"")</f>
        <v>1</v>
      </c>
      <c r="D7" s="41" t="str">
        <f>IF(2&gt;'🌱 Configuração'!$F$55,"",IF('🌱 Configuração'!$B$56+1&lt;'🌱 Configuração'!$C$56,"🌱 Clone",IF('🌱 Configuração'!$B$56+1&lt;'🌱 Configuração'!$D$56,"🌿 Vegetativo",IF('🌱 Configuração'!$B$56+1&lt;'🌱 Configuração'!$E$56,"🌸 Floração","🚿 Flush"))))</f>
        <v>🌱 Clone</v>
      </c>
      <c r="E7" s="42" t="str">
        <f>IF(2&gt;'🌱 Configuração'!$F$55,"",IF('🌱 Configuração'!$B$56+1&lt;'🌱 Configuração'!$C$56,"Clone S"&amp;INT((2-1)/7)+1,IF('🌱 Configuração'!$B$56+1&lt;'🌱 Configuração'!$D$56,"Vega S"&amp;INT(('🌱 Configuração'!$B$56+1-'🌱 Configuração'!$C$56)/7)+1,IF('🌱 Configuração'!$B$56+1&lt;'🌱 Configuração'!$E$56,"Flora S"&amp;INT(('🌱 Configuração'!$B$56+1-'🌱 Configuração'!$D$56)/7)+1,"Flush S"&amp;INT(('🌱 Configuração'!$B$56+1-'🌱 Configuração'!$E$56)/7)+1))))</f>
        <v>Clone S1</v>
      </c>
      <c r="F7" s="43" t="str">
        <f>IF(2&gt;'🌱 Configuração'!$F$55,"",IF('🌱 Configuração'!$B$56+1='🌱 Configuração'!$C$56,"🌿 INÍCIO VEGA — luz 18h/dia",IF('🌱 Configuração'!$B$56+1='🌱 Configuração'!$D$56,"🌸 INÍCIO FLORAÇÃO — mudar 12/12 🔴",IF('🌱 Configuração'!$B$56+1='🌱 Configuração'!$E$56,"🚿 INÍCIO FLUSH — parar nutrição",IF('🌱 Configuração'!$B$56+1='🌱 Configuração'!$F$56-1,"🔬 Véspera da colheita — analisar tricomas",IF('🌱 Configuração'!$B$56+1='🌱 Configuração'!$F$56,"✂️ COLHEITA — Parabéns! 🎉",""))))))</f>
        <v/>
      </c>
      <c r="G7" s="44" t="s">
        <v>428</v>
      </c>
      <c r="H7" s="45" t="str">
        <f>IF(2&gt;'🌱 Configuração'!$F$55,"",IF('🌱 Configuração'!$B$56+1&lt;'🌱 Configuração'!$C$56,IF(2=1,"🌿 Nim (2 mL/L) — foliar leve",IF(2=8,"🍄 Beauveria bassiana — foliar + solo","")),IF('🌱 Configuração'!$B$56+1&lt;'🌱 Configuração'!$D$56,IF(AND('🌱 Configuração'!$B$56+1&gt;='🌱 Configuração'!$C$56,'🌱 Configuração'!$B$56+1&lt;'🌱 Configuração'!$D$56,MOD('🌱 Configuração'!$B$56+1-'🌱 Configuração'!$C$56,7)=0,INT(('🌱 Configuração'!$B$56+1-'🌱 Configuração'!$C$56)/7)+1=1),"🌿 Nim (2 mL/L) — foliar preventivo",IF(AND('🌱 Configuração'!$B$56+1&gt;='🌱 Configuração'!$C$56,'🌱 Configuração'!$B$56+1&lt;'🌱 Configuração'!$D$56,MOD('🌱 Configuração'!$B$56+1-'🌱 Configuração'!$C$56,7)=0,INT(('🌱 Configuração'!$B$56+1-'🌱 Configuração'!$C$56)/7)+1=2),"🍄 Beauveria bassiana — foliar + solo",IF(AND('🌱 Configuração'!$B$56+1&gt;='🌱 Configuração'!$C$56,'🌱 Configuração'!$B$56+1&lt;'🌱 Configuração'!$D$56,MOD('🌱 Configuração'!$B$56+1-'🌱 Configuração'!$C$56,7)=0,INT(('🌱 Configuração'!$B$56+1-'🌱 Configuração'!$C$56)/7)+1=3),"🟡 Calda Sulfocálcica (1%) — foliar",IF(AND('🌱 Configuração'!$B$56+1&gt;='🌱 Configuração'!$C$56,'🌱 Configuração'!$B$56+1&lt;'🌱 Configuração'!$D$56,MOD('🌱 Configuração'!$B$56+1-'🌱 Configuração'!$C$56,7)=0,INT(('🌱 Configuração'!$B$56+1-'🌱 Configuração'!$C$56)/7)+1=4),"🦠 Trichoderma (3 g/L) — solo",IF(AND('🌱 Configuração'!$B$56+1&gt;='🌱 Configuração'!$C$56,'🌱 Configuração'!$B$56+1&lt;'🌱 Configuração'!$D$56,MOD('🌱 Configuração'!$B$56+1-'🌱 Configuração'!$C$56,7)=0,INT(('🌱 Configuração'!$B$56+1-'🌱 Configuração'!$C$56)/7)+1=5),"🔵 Calda Bordalesa (0.5%) — foliar",IF(AND('🌱 Configuração'!$B$56+1&gt;='🌱 Configuração'!$C$56,'🌱 Configuração'!$B$56+1&lt;'🌱 Configuração'!$D$56,MOD('🌱 Configuração'!$B$56+1-'🌱 Configuração'!$C$56,7)=0,INT(('🌱 Configuração'!$B$56+1-'🌱 Configuração'!$C$56)/7)+1=6),"🌿 Nim (2 mL/L) — ⚠️ ÚLTIMA foliar",IF(AND('🌱 Configuração'!$B$56+1&gt;='🌱 Configuração'!$C$56,'🌱 Configuração'!$B$56+1&lt;'🌱 Configuração'!$D$56,MOD('🌱 Configuração'!$B$56+1-'🌱 Configuração'!$C$56,7)=0,INT(('🌱 Configuração'!$B$56+1-'🌱 Configuração'!$C$56)/7)+1=7),"🦠 Trichoderma — solo",IF(AND('🌱 Configuração'!$B$56+1&gt;='🌱 Configuração'!$C$56,'🌱 Configuração'!$B$56+1&lt;'🌱 Configuração'!$D$56,MOD('🌱 Configuração'!$B$56+1-'🌱 Configuração'!$C$56,7)=0,INT(('🌱 Configuração'!$B$56+1-'🌱 Configuração'!$C$56)/7)+1=8),"🍄 Beauveria — solo","")))))))),IF('🌱 Configuração'!$B$56+1&lt;'🌱 Configuração'!$E$56,IF(AND('🌱 Configuração'!$B$56+1&gt;='🌱 Configuração'!$D$56,'🌱 Configuração'!$B$56+1&lt;'🌱 Configuração'!$E$56,MOD('🌱 Configuração'!$B$56+1-'🌱 Configuração'!$D$56,7)=0,INT(('🌱 Configuração'!$B$56+1-'🌱 Configuração'!$D$56)/7)+1=1),"🍄 Beauveria bassiana — SOLO apenas",IF(AND('🌱 Configuração'!$B$56+1&gt;='🌱 Configuração'!$D$56,'🌱 Configuração'!$B$56+1&lt;'🌱 Configuração'!$E$56,MOD('🌱 Configuração'!$B$56+1-'🌱 Configuração'!$D$56,7)=0,INT(('🌱 Configuração'!$B$56+1-'🌱 Configuração'!$D$56)/7)+1=2),"🦠 Trichoderma (3 g/L) — solo",IF(AND('🌱 Configuração'!$B$56+1&gt;='🌱 Configuração'!$D$56,'🌱 Configuração'!$B$56+1&lt;'🌱 Configuração'!$E$56,MOD('🌱 Configuração'!$B$56+1-'🌱 Configuração'!$D$56,7)=0,INT(('🌱 Configuração'!$B$56+1-'🌱 Configuração'!$D$56)/7)+1=3),"🍄 Beauveria bassiana — solo | ⚠️ Umid &lt;45%",IF(AND('🌱 Configuração'!$B$56+1&gt;='🌱 Configuração'!$D$56,'🌱 Configuração'!$B$56+1&lt;'🌱 Configuração'!$E$56,MOD('🌱 Configuração'!$B$56+1-'🌱 Configuração'!$D$56,7)=0,INT(('🌱 Configuração'!$B$56+1-'🌱 Configuração'!$D$56)/7)+1=4),"🦠 Trichoderma — solo | Inspecionar buds",IF(AND('🌱 Configuração'!$B$56+1&gt;='🌱 Configuração'!$D$56,'🌱 Configuração'!$B$56+1&lt;'🌱 Configuração'!$E$56,MOD('🌱 Configuração'!$B$56+1-'🌱 Configuração'!$D$56,7)=0,INT(('🌱 Configuração'!$B$56+1-'🌱 Configuração'!$D$56)/7)+1=5),"🍄 Beauveria + inspeção visual buds",IF(AND('🌱 Configuração'!$B$56+1&gt;='🌱 Configuração'!$D$56,'🌱 Configuração'!$B$56+1&lt;'🌱 Configuração'!$E$56,MOD('🌱 Configuração'!$B$56+1-'🌱 Configuração'!$D$56,7)=0,INT(('🌱 Configuração'!$B$56+1-'🌱 Configuração'!$D$56)/7)+1=6),"🦠 Trichoderma + ⚠️ Verificar mofo","")))))),IF(AND('🌱 Configuração'!$B$56+1&gt;='🌱 Configuração'!$E$56,MOD('🌱 Configuração'!$B$56+1-'🌱 Configuração'!$E$56,7)=0),"🔬 Inspeção final — analisar tricomas","")))))</f>
        <v/>
      </c>
      <c r="I7" s="33"/>
    </row>
    <row r="8" spans="1:9" ht="19.5" customHeight="1">
      <c r="A8" s="1"/>
      <c r="B8" s="35">
        <f>IF(3&lt;='🌱 Configuração'!$F$55,3,"")</f>
        <v>3</v>
      </c>
      <c r="C8" s="13">
        <f>IF(3&lt;='🌱 Configuração'!$F$55,'🌱 Configuração'!$B$56+2,"")</f>
        <v>2</v>
      </c>
      <c r="D8" s="36" t="str">
        <f>IF(3&gt;'🌱 Configuração'!$F$55,"",IF('🌱 Configuração'!$B$56+2&lt;'🌱 Configuração'!$C$56,"🌱 Clone",IF('🌱 Configuração'!$B$56+2&lt;'🌱 Configuração'!$D$56,"🌿 Vegetativo",IF('🌱 Configuração'!$B$56+2&lt;'🌱 Configuração'!$E$56,"🌸 Floração","🚿 Flush"))))</f>
        <v>🌱 Clone</v>
      </c>
      <c r="E8" s="15" t="str">
        <f>IF(3&gt;'🌱 Configuração'!$F$55,"",IF('🌱 Configuração'!$B$56+2&lt;'🌱 Configuração'!$C$56,"Clone S"&amp;INT((3-1)/7)+1,IF('🌱 Configuração'!$B$56+2&lt;'🌱 Configuração'!$D$56,"Vega S"&amp;INT(('🌱 Configuração'!$B$56+2-'🌱 Configuração'!$C$56)/7)+1,IF('🌱 Configuração'!$B$56+2&lt;'🌱 Configuração'!$E$56,"Flora S"&amp;INT(('🌱 Configuração'!$B$56+2-'🌱 Configuração'!$D$56)/7)+1,"Flush S"&amp;INT(('🌱 Configuração'!$B$56+2-'🌱 Configuração'!$E$56)/7)+1))))</f>
        <v>Clone S1</v>
      </c>
      <c r="F8" s="14" t="str">
        <f>IF(3&gt;'🌱 Configuração'!$F$55,"",IF('🌱 Configuração'!$B$56+2='🌱 Configuração'!$C$56,"🌿 INÍCIO VEGA — luz 18h/dia",IF('🌱 Configuração'!$B$56+2='🌱 Configuração'!$D$56,"🌸 INÍCIO FLORAÇÃO — mudar 12/12 🔴",IF('🌱 Configuração'!$B$56+2='🌱 Configuração'!$E$56,"🚿 INÍCIO FLUSH — parar nutrição",IF('🌱 Configuração'!$B$56+2='🌱 Configuração'!$F$56-1,"🔬 Véspera da colheita — analisar tricomas",IF('🌱 Configuração'!$B$56+2='🌱 Configuração'!$F$56,"✂️ COLHEITA — Parabéns! 🎉",""))))))</f>
        <v/>
      </c>
      <c r="G8" s="37" t="s">
        <v>428</v>
      </c>
      <c r="H8" s="38" t="str">
        <f>IF(3&gt;'🌱 Configuração'!$F$55,"",IF('🌱 Configuração'!$B$56+2&lt;'🌱 Configuração'!$C$56,IF(3=1,"🌿 Nim (2 mL/L) — foliar leve",IF(3=8,"🍄 Beauveria bassiana — foliar + solo","")),IF('🌱 Configuração'!$B$56+2&lt;'🌱 Configuração'!$D$56,IF(AND('🌱 Configuração'!$B$56+2&gt;='🌱 Configuração'!$C$56,'🌱 Configuração'!$B$56+2&lt;'🌱 Configuração'!$D$56,MOD('🌱 Configuração'!$B$56+2-'🌱 Configuração'!$C$56,7)=0,INT(('🌱 Configuração'!$B$56+2-'🌱 Configuração'!$C$56)/7)+1=1),"🌿 Nim (2 mL/L) — foliar preventivo",IF(AND('🌱 Configuração'!$B$56+2&gt;='🌱 Configuração'!$C$56,'🌱 Configuração'!$B$56+2&lt;'🌱 Configuração'!$D$56,MOD('🌱 Configuração'!$B$56+2-'🌱 Configuração'!$C$56,7)=0,INT(('🌱 Configuração'!$B$56+2-'🌱 Configuração'!$C$56)/7)+1=2),"🍄 Beauveria bassiana — foliar + solo",IF(AND('🌱 Configuração'!$B$56+2&gt;='🌱 Configuração'!$C$56,'🌱 Configuração'!$B$56+2&lt;'🌱 Configuração'!$D$56,MOD('🌱 Configuração'!$B$56+2-'🌱 Configuração'!$C$56,7)=0,INT(('🌱 Configuração'!$B$56+2-'🌱 Configuração'!$C$56)/7)+1=3),"🟡 Calda Sulfocálcica (1%) — foliar",IF(AND('🌱 Configuração'!$B$56+2&gt;='🌱 Configuração'!$C$56,'🌱 Configuração'!$B$56+2&lt;'🌱 Configuração'!$D$56,MOD('🌱 Configuração'!$B$56+2-'🌱 Configuração'!$C$56,7)=0,INT(('🌱 Configuração'!$B$56+2-'🌱 Configuração'!$C$56)/7)+1=4),"🦠 Trichoderma (3 g/L) — solo",IF(AND('🌱 Configuração'!$B$56+2&gt;='🌱 Configuração'!$C$56,'🌱 Configuração'!$B$56+2&lt;'🌱 Configuração'!$D$56,MOD('🌱 Configuração'!$B$56+2-'🌱 Configuração'!$C$56,7)=0,INT(('🌱 Configuração'!$B$56+2-'🌱 Configuração'!$C$56)/7)+1=5),"🔵 Calda Bordalesa (0.5%) — foliar",IF(AND('🌱 Configuração'!$B$56+2&gt;='🌱 Configuração'!$C$56,'🌱 Configuração'!$B$56+2&lt;'🌱 Configuração'!$D$56,MOD('🌱 Configuração'!$B$56+2-'🌱 Configuração'!$C$56,7)=0,INT(('🌱 Configuração'!$B$56+2-'🌱 Configuração'!$C$56)/7)+1=6),"🌿 Nim (2 mL/L) — ⚠️ ÚLTIMA foliar",IF(AND('🌱 Configuração'!$B$56+2&gt;='🌱 Configuração'!$C$56,'🌱 Configuração'!$B$56+2&lt;'🌱 Configuração'!$D$56,MOD('🌱 Configuração'!$B$56+2-'🌱 Configuração'!$C$56,7)=0,INT(('🌱 Configuração'!$B$56+2-'🌱 Configuração'!$C$56)/7)+1=7),"🦠 Trichoderma — solo",IF(AND('🌱 Configuração'!$B$56+2&gt;='🌱 Configuração'!$C$56,'🌱 Configuração'!$B$56+2&lt;'🌱 Configuração'!$D$56,MOD('🌱 Configuração'!$B$56+2-'🌱 Configuração'!$C$56,7)=0,INT(('🌱 Configuração'!$B$56+2-'🌱 Configuração'!$C$56)/7)+1=8),"🍄 Beauveria — solo","")))))))),IF('🌱 Configuração'!$B$56+2&lt;'🌱 Configuração'!$E$56,IF(AND('🌱 Configuração'!$B$56+2&gt;='🌱 Configuração'!$D$56,'🌱 Configuração'!$B$56+2&lt;'🌱 Configuração'!$E$56,MOD('🌱 Configuração'!$B$56+2-'🌱 Configuração'!$D$56,7)=0,INT(('🌱 Configuração'!$B$56+2-'🌱 Configuração'!$D$56)/7)+1=1),"🍄 Beauveria bassiana — SOLO apenas",IF(AND('🌱 Configuração'!$B$56+2&gt;='🌱 Configuração'!$D$56,'🌱 Configuração'!$B$56+2&lt;'🌱 Configuração'!$E$56,MOD('🌱 Configuração'!$B$56+2-'🌱 Configuração'!$D$56,7)=0,INT(('🌱 Configuração'!$B$56+2-'🌱 Configuração'!$D$56)/7)+1=2),"🦠 Trichoderma (3 g/L) — solo",IF(AND('🌱 Configuração'!$B$56+2&gt;='🌱 Configuração'!$D$56,'🌱 Configuração'!$B$56+2&lt;'🌱 Configuração'!$E$56,MOD('🌱 Configuração'!$B$56+2-'🌱 Configuração'!$D$56,7)=0,INT(('🌱 Configuração'!$B$56+2-'🌱 Configuração'!$D$56)/7)+1=3),"🍄 Beauveria bassiana — solo | ⚠️ Umid &lt;45%",IF(AND('🌱 Configuração'!$B$56+2&gt;='🌱 Configuração'!$D$56,'🌱 Configuração'!$B$56+2&lt;'🌱 Configuração'!$E$56,MOD('🌱 Configuração'!$B$56+2-'🌱 Configuração'!$D$56,7)=0,INT(('🌱 Configuração'!$B$56+2-'🌱 Configuração'!$D$56)/7)+1=4),"🦠 Trichoderma — solo | Inspecionar buds",IF(AND('🌱 Configuração'!$B$56+2&gt;='🌱 Configuração'!$D$56,'🌱 Configuração'!$B$56+2&lt;'🌱 Configuração'!$E$56,MOD('🌱 Configuração'!$B$56+2-'🌱 Configuração'!$D$56,7)=0,INT(('🌱 Configuração'!$B$56+2-'🌱 Configuração'!$D$56)/7)+1=5),"🍄 Beauveria + inspeção visual buds",IF(AND('🌱 Configuração'!$B$56+2&gt;='🌱 Configuração'!$D$56,'🌱 Configuração'!$B$56+2&lt;'🌱 Configuração'!$E$56,MOD('🌱 Configuração'!$B$56+2-'🌱 Configuração'!$D$56,7)=0,INT(('🌱 Configuração'!$B$56+2-'🌱 Configuração'!$D$56)/7)+1=6),"🦠 Trichoderma + ⚠️ Verificar mofo","")))))),IF(AND('🌱 Configuração'!$B$56+2&gt;='🌱 Configuração'!$E$56,MOD('🌱 Configuração'!$B$56+2-'🌱 Configuração'!$E$56,7)=0),"🔬 Inspeção final — analisar tricomas","")))))</f>
        <v/>
      </c>
      <c r="I8" s="33"/>
    </row>
    <row r="9" spans="1:9" ht="19.5" customHeight="1">
      <c r="A9" s="1"/>
      <c r="B9" s="39">
        <f>IF(4&lt;='🌱 Configuração'!$F$55,4,"")</f>
        <v>4</v>
      </c>
      <c r="C9" s="40">
        <f>IF(4&lt;='🌱 Configuração'!$F$55,'🌱 Configuração'!$B$56+3,"")</f>
        <v>3</v>
      </c>
      <c r="D9" s="41" t="str">
        <f>IF(4&gt;'🌱 Configuração'!$F$55,"",IF('🌱 Configuração'!$B$56+3&lt;'🌱 Configuração'!$C$56,"🌱 Clone",IF('🌱 Configuração'!$B$56+3&lt;'🌱 Configuração'!$D$56,"🌿 Vegetativo",IF('🌱 Configuração'!$B$56+3&lt;'🌱 Configuração'!$E$56,"🌸 Floração","🚿 Flush"))))</f>
        <v>🌱 Clone</v>
      </c>
      <c r="E9" s="42" t="str">
        <f>IF(4&gt;'🌱 Configuração'!$F$55,"",IF('🌱 Configuração'!$B$56+3&lt;'🌱 Configuração'!$C$56,"Clone S"&amp;INT((4-1)/7)+1,IF('🌱 Configuração'!$B$56+3&lt;'🌱 Configuração'!$D$56,"Vega S"&amp;INT(('🌱 Configuração'!$B$56+3-'🌱 Configuração'!$C$56)/7)+1,IF('🌱 Configuração'!$B$56+3&lt;'🌱 Configuração'!$E$56,"Flora S"&amp;INT(('🌱 Configuração'!$B$56+3-'🌱 Configuração'!$D$56)/7)+1,"Flush S"&amp;INT(('🌱 Configuração'!$B$56+3-'🌱 Configuração'!$E$56)/7)+1))))</f>
        <v>Clone S1</v>
      </c>
      <c r="F9" s="43" t="str">
        <f>IF(4&gt;'🌱 Configuração'!$F$55,"",IF('🌱 Configuração'!$B$56+3='🌱 Configuração'!$C$56,"🌿 INÍCIO VEGA — luz 18h/dia",IF('🌱 Configuração'!$B$56+3='🌱 Configuração'!$D$56,"🌸 INÍCIO FLORAÇÃO — mudar 12/12 🔴",IF('🌱 Configuração'!$B$56+3='🌱 Configuração'!$E$56,"🚿 INÍCIO FLUSH — parar nutrição",IF('🌱 Configuração'!$B$56+3='🌱 Configuração'!$F$56-1,"🔬 Véspera da colheita — analisar tricomas",IF('🌱 Configuração'!$B$56+3='🌱 Configuração'!$F$56,"✂️ COLHEITA — Parabéns! 🎉",""))))))</f>
        <v/>
      </c>
      <c r="G9" s="44" t="s">
        <v>428</v>
      </c>
      <c r="H9" s="45" t="str">
        <f>IF(4&gt;'🌱 Configuração'!$F$55,"",IF('🌱 Configuração'!$B$56+3&lt;'🌱 Configuração'!$C$56,IF(4=1,"🌿 Nim (2 mL/L) — foliar leve",IF(4=8,"🍄 Beauveria bassiana — foliar + solo","")),IF('🌱 Configuração'!$B$56+3&lt;'🌱 Configuração'!$D$56,IF(AND('🌱 Configuração'!$B$56+3&gt;='🌱 Configuração'!$C$56,'🌱 Configuração'!$B$56+3&lt;'🌱 Configuração'!$D$56,MOD('🌱 Configuração'!$B$56+3-'🌱 Configuração'!$C$56,7)=0,INT(('🌱 Configuração'!$B$56+3-'🌱 Configuração'!$C$56)/7)+1=1),"🌿 Nim (2 mL/L) — foliar preventivo",IF(AND('🌱 Configuração'!$B$56+3&gt;='🌱 Configuração'!$C$56,'🌱 Configuração'!$B$56+3&lt;'🌱 Configuração'!$D$56,MOD('🌱 Configuração'!$B$56+3-'🌱 Configuração'!$C$56,7)=0,INT(('🌱 Configuração'!$B$56+3-'🌱 Configuração'!$C$56)/7)+1=2),"🍄 Beauveria bassiana — foliar + solo",IF(AND('🌱 Configuração'!$B$56+3&gt;='🌱 Configuração'!$C$56,'🌱 Configuração'!$B$56+3&lt;'🌱 Configuração'!$D$56,MOD('🌱 Configuração'!$B$56+3-'🌱 Configuração'!$C$56,7)=0,INT(('🌱 Configuração'!$B$56+3-'🌱 Configuração'!$C$56)/7)+1=3),"🟡 Calda Sulfocálcica (1%) — foliar",IF(AND('🌱 Configuração'!$B$56+3&gt;='🌱 Configuração'!$C$56,'🌱 Configuração'!$B$56+3&lt;'🌱 Configuração'!$D$56,MOD('🌱 Configuração'!$B$56+3-'🌱 Configuração'!$C$56,7)=0,INT(('🌱 Configuração'!$B$56+3-'🌱 Configuração'!$C$56)/7)+1=4),"🦠 Trichoderma (3 g/L) — solo",IF(AND('🌱 Configuração'!$B$56+3&gt;='🌱 Configuração'!$C$56,'🌱 Configuração'!$B$56+3&lt;'🌱 Configuração'!$D$56,MOD('🌱 Configuração'!$B$56+3-'🌱 Configuração'!$C$56,7)=0,INT(('🌱 Configuração'!$B$56+3-'🌱 Configuração'!$C$56)/7)+1=5),"🔵 Calda Bordalesa (0.5%) — foliar",IF(AND('🌱 Configuração'!$B$56+3&gt;='🌱 Configuração'!$C$56,'🌱 Configuração'!$B$56+3&lt;'🌱 Configuração'!$D$56,MOD('🌱 Configuração'!$B$56+3-'🌱 Configuração'!$C$56,7)=0,INT(('🌱 Configuração'!$B$56+3-'🌱 Configuração'!$C$56)/7)+1=6),"🌿 Nim (2 mL/L) — ⚠️ ÚLTIMA foliar",IF(AND('🌱 Configuração'!$B$56+3&gt;='🌱 Configuração'!$C$56,'🌱 Configuração'!$B$56+3&lt;'🌱 Configuração'!$D$56,MOD('🌱 Configuração'!$B$56+3-'🌱 Configuração'!$C$56,7)=0,INT(('🌱 Configuração'!$B$56+3-'🌱 Configuração'!$C$56)/7)+1=7),"🦠 Trichoderma — solo",IF(AND('🌱 Configuração'!$B$56+3&gt;='🌱 Configuração'!$C$56,'🌱 Configuração'!$B$56+3&lt;'🌱 Configuração'!$D$56,MOD('🌱 Configuração'!$B$56+3-'🌱 Configuração'!$C$56,7)=0,INT(('🌱 Configuração'!$B$56+3-'🌱 Configuração'!$C$56)/7)+1=8),"🍄 Beauveria — solo","")))))))),IF('🌱 Configuração'!$B$56+3&lt;'🌱 Configuração'!$E$56,IF(AND('🌱 Configuração'!$B$56+3&gt;='🌱 Configuração'!$D$56,'🌱 Configuração'!$B$56+3&lt;'🌱 Configuração'!$E$56,MOD('🌱 Configuração'!$B$56+3-'🌱 Configuração'!$D$56,7)=0,INT(('🌱 Configuração'!$B$56+3-'🌱 Configuração'!$D$56)/7)+1=1),"🍄 Beauveria bassiana — SOLO apenas",IF(AND('🌱 Configuração'!$B$56+3&gt;='🌱 Configuração'!$D$56,'🌱 Configuração'!$B$56+3&lt;'🌱 Configuração'!$E$56,MOD('🌱 Configuração'!$B$56+3-'🌱 Configuração'!$D$56,7)=0,INT(('🌱 Configuração'!$B$56+3-'🌱 Configuração'!$D$56)/7)+1=2),"🦠 Trichoderma (3 g/L) — solo",IF(AND('🌱 Configuração'!$B$56+3&gt;='🌱 Configuração'!$D$56,'🌱 Configuração'!$B$56+3&lt;'🌱 Configuração'!$E$56,MOD('🌱 Configuração'!$B$56+3-'🌱 Configuração'!$D$56,7)=0,INT(('🌱 Configuração'!$B$56+3-'🌱 Configuração'!$D$56)/7)+1=3),"🍄 Beauveria bassiana — solo | ⚠️ Umid &lt;45%",IF(AND('🌱 Configuração'!$B$56+3&gt;='🌱 Configuração'!$D$56,'🌱 Configuração'!$B$56+3&lt;'🌱 Configuração'!$E$56,MOD('🌱 Configuração'!$B$56+3-'🌱 Configuração'!$D$56,7)=0,INT(('🌱 Configuração'!$B$56+3-'🌱 Configuração'!$D$56)/7)+1=4),"🦠 Trichoderma — solo | Inspecionar buds",IF(AND('🌱 Configuração'!$B$56+3&gt;='🌱 Configuração'!$D$56,'🌱 Configuração'!$B$56+3&lt;'🌱 Configuração'!$E$56,MOD('🌱 Configuração'!$B$56+3-'🌱 Configuração'!$D$56,7)=0,INT(('🌱 Configuração'!$B$56+3-'🌱 Configuração'!$D$56)/7)+1=5),"🍄 Beauveria + inspeção visual buds",IF(AND('🌱 Configuração'!$B$56+3&gt;='🌱 Configuração'!$D$56,'🌱 Configuração'!$B$56+3&lt;'🌱 Configuração'!$E$56,MOD('🌱 Configuração'!$B$56+3-'🌱 Configuração'!$D$56,7)=0,INT(('🌱 Configuração'!$B$56+3-'🌱 Configuração'!$D$56)/7)+1=6),"🦠 Trichoderma + ⚠️ Verificar mofo","")))))),IF(AND('🌱 Configuração'!$B$56+3&gt;='🌱 Configuração'!$E$56,MOD('🌱 Configuração'!$B$56+3-'🌱 Configuração'!$E$56,7)=0),"🔬 Inspeção final — analisar tricomas","")))))</f>
        <v/>
      </c>
      <c r="I9" s="33"/>
    </row>
    <row r="10" spans="1:9" ht="19.5" customHeight="1">
      <c r="A10" s="1"/>
      <c r="B10" s="35">
        <f>IF(5&lt;='🌱 Configuração'!$F$55,5,"")</f>
        <v>5</v>
      </c>
      <c r="C10" s="13">
        <f>IF(5&lt;='🌱 Configuração'!$F$55,'🌱 Configuração'!$B$56+4,"")</f>
        <v>4</v>
      </c>
      <c r="D10" s="36" t="str">
        <f>IF(5&gt;'🌱 Configuração'!$F$55,"",IF('🌱 Configuração'!$B$56+4&lt;'🌱 Configuração'!$C$56,"🌱 Clone",IF('🌱 Configuração'!$B$56+4&lt;'🌱 Configuração'!$D$56,"🌿 Vegetativo",IF('🌱 Configuração'!$B$56+4&lt;'🌱 Configuração'!$E$56,"🌸 Floração","🚿 Flush"))))</f>
        <v>🌱 Clone</v>
      </c>
      <c r="E10" s="15" t="str">
        <f>IF(5&gt;'🌱 Configuração'!$F$55,"",IF('🌱 Configuração'!$B$56+4&lt;'🌱 Configuração'!$C$56,"Clone S"&amp;INT((5-1)/7)+1,IF('🌱 Configuração'!$B$56+4&lt;'🌱 Configuração'!$D$56,"Vega S"&amp;INT(('🌱 Configuração'!$B$56+4-'🌱 Configuração'!$C$56)/7)+1,IF('🌱 Configuração'!$B$56+4&lt;'🌱 Configuração'!$E$56,"Flora S"&amp;INT(('🌱 Configuração'!$B$56+4-'🌱 Configuração'!$D$56)/7)+1,"Flush S"&amp;INT(('🌱 Configuração'!$B$56+4-'🌱 Configuração'!$E$56)/7)+1))))</f>
        <v>Clone S1</v>
      </c>
      <c r="F10" s="14" t="str">
        <f>IF(5&gt;'🌱 Configuração'!$F$55,"",IF('🌱 Configuração'!$B$56+4='🌱 Configuração'!$C$56,"🌿 INÍCIO VEGA — luz 18h/dia",IF('🌱 Configuração'!$B$56+4='🌱 Configuração'!$D$56,"🌸 INÍCIO FLORAÇÃO — mudar 12/12 🔴",IF('🌱 Configuração'!$B$56+4='🌱 Configuração'!$E$56,"🚿 INÍCIO FLUSH — parar nutrição",IF('🌱 Configuração'!$B$56+4='🌱 Configuração'!$F$56-1,"🔬 Véspera da colheita — analisar tricomas",IF('🌱 Configuração'!$B$56+4='🌱 Configuração'!$F$56,"✂️ COLHEITA — Parabéns! 🎉",""))))))</f>
        <v/>
      </c>
      <c r="G10" s="37" t="s">
        <v>428</v>
      </c>
      <c r="H10" s="38" t="str">
        <f>IF(5&gt;'🌱 Configuração'!$F$55,"",IF('🌱 Configuração'!$B$56+4&lt;'🌱 Configuração'!$C$56,IF(5=1,"🌿 Nim (2 mL/L) — foliar leve",IF(5=8,"🍄 Beauveria bassiana — foliar + solo","")),IF('🌱 Configuração'!$B$56+4&lt;'🌱 Configuração'!$D$56,IF(AND('🌱 Configuração'!$B$56+4&gt;='🌱 Configuração'!$C$56,'🌱 Configuração'!$B$56+4&lt;'🌱 Configuração'!$D$56,MOD('🌱 Configuração'!$B$56+4-'🌱 Configuração'!$C$56,7)=0,INT(('🌱 Configuração'!$B$56+4-'🌱 Configuração'!$C$56)/7)+1=1),"🌿 Nim (2 mL/L) — foliar preventivo",IF(AND('🌱 Configuração'!$B$56+4&gt;='🌱 Configuração'!$C$56,'🌱 Configuração'!$B$56+4&lt;'🌱 Configuração'!$D$56,MOD('🌱 Configuração'!$B$56+4-'🌱 Configuração'!$C$56,7)=0,INT(('🌱 Configuração'!$B$56+4-'🌱 Configuração'!$C$56)/7)+1=2),"🍄 Beauveria bassiana — foliar + solo",IF(AND('🌱 Configuração'!$B$56+4&gt;='🌱 Configuração'!$C$56,'🌱 Configuração'!$B$56+4&lt;'🌱 Configuração'!$D$56,MOD('🌱 Configuração'!$B$56+4-'🌱 Configuração'!$C$56,7)=0,INT(('🌱 Configuração'!$B$56+4-'🌱 Configuração'!$C$56)/7)+1=3),"🟡 Calda Sulfocálcica (1%) — foliar",IF(AND('🌱 Configuração'!$B$56+4&gt;='🌱 Configuração'!$C$56,'🌱 Configuração'!$B$56+4&lt;'🌱 Configuração'!$D$56,MOD('🌱 Configuração'!$B$56+4-'🌱 Configuração'!$C$56,7)=0,INT(('🌱 Configuração'!$B$56+4-'🌱 Configuração'!$C$56)/7)+1=4),"🦠 Trichoderma (3 g/L) — solo",IF(AND('🌱 Configuração'!$B$56+4&gt;='🌱 Configuração'!$C$56,'🌱 Configuração'!$B$56+4&lt;'🌱 Configuração'!$D$56,MOD('🌱 Configuração'!$B$56+4-'🌱 Configuração'!$C$56,7)=0,INT(('🌱 Configuração'!$B$56+4-'🌱 Configuração'!$C$56)/7)+1=5),"🔵 Calda Bordalesa (0.5%) — foliar",IF(AND('🌱 Configuração'!$B$56+4&gt;='🌱 Configuração'!$C$56,'🌱 Configuração'!$B$56+4&lt;'🌱 Configuração'!$D$56,MOD('🌱 Configuração'!$B$56+4-'🌱 Configuração'!$C$56,7)=0,INT(('🌱 Configuração'!$B$56+4-'🌱 Configuração'!$C$56)/7)+1=6),"🌿 Nim (2 mL/L) — ⚠️ ÚLTIMA foliar",IF(AND('🌱 Configuração'!$B$56+4&gt;='🌱 Configuração'!$C$56,'🌱 Configuração'!$B$56+4&lt;'🌱 Configuração'!$D$56,MOD('🌱 Configuração'!$B$56+4-'🌱 Configuração'!$C$56,7)=0,INT(('🌱 Configuração'!$B$56+4-'🌱 Configuração'!$C$56)/7)+1=7),"🦠 Trichoderma — solo",IF(AND('🌱 Configuração'!$B$56+4&gt;='🌱 Configuração'!$C$56,'🌱 Configuração'!$B$56+4&lt;'🌱 Configuração'!$D$56,MOD('🌱 Configuração'!$B$56+4-'🌱 Configuração'!$C$56,7)=0,INT(('🌱 Configuração'!$B$56+4-'🌱 Configuração'!$C$56)/7)+1=8),"🍄 Beauveria — solo","")))))))),IF('🌱 Configuração'!$B$56+4&lt;'🌱 Configuração'!$E$56,IF(AND('🌱 Configuração'!$B$56+4&gt;='🌱 Configuração'!$D$56,'🌱 Configuração'!$B$56+4&lt;'🌱 Configuração'!$E$56,MOD('🌱 Configuração'!$B$56+4-'🌱 Configuração'!$D$56,7)=0,INT(('🌱 Configuração'!$B$56+4-'🌱 Configuração'!$D$56)/7)+1=1),"🍄 Beauveria bassiana — SOLO apenas",IF(AND('🌱 Configuração'!$B$56+4&gt;='🌱 Configuração'!$D$56,'🌱 Configuração'!$B$56+4&lt;'🌱 Configuração'!$E$56,MOD('🌱 Configuração'!$B$56+4-'🌱 Configuração'!$D$56,7)=0,INT(('🌱 Configuração'!$B$56+4-'🌱 Configuração'!$D$56)/7)+1=2),"🦠 Trichoderma (3 g/L) — solo",IF(AND('🌱 Configuração'!$B$56+4&gt;='🌱 Configuração'!$D$56,'🌱 Configuração'!$B$56+4&lt;'🌱 Configuração'!$E$56,MOD('🌱 Configuração'!$B$56+4-'🌱 Configuração'!$D$56,7)=0,INT(('🌱 Configuração'!$B$56+4-'🌱 Configuração'!$D$56)/7)+1=3),"🍄 Beauveria bassiana — solo | ⚠️ Umid &lt;45%",IF(AND('🌱 Configuração'!$B$56+4&gt;='🌱 Configuração'!$D$56,'🌱 Configuração'!$B$56+4&lt;'🌱 Configuração'!$E$56,MOD('🌱 Configuração'!$B$56+4-'🌱 Configuração'!$D$56,7)=0,INT(('🌱 Configuração'!$B$56+4-'🌱 Configuração'!$D$56)/7)+1=4),"🦠 Trichoderma — solo | Inspecionar buds",IF(AND('🌱 Configuração'!$B$56+4&gt;='🌱 Configuração'!$D$56,'🌱 Configuração'!$B$56+4&lt;'🌱 Configuração'!$E$56,MOD('🌱 Configuração'!$B$56+4-'🌱 Configuração'!$D$56,7)=0,INT(('🌱 Configuração'!$B$56+4-'🌱 Configuração'!$D$56)/7)+1=5),"🍄 Beauveria + inspeção visual buds",IF(AND('🌱 Configuração'!$B$56+4&gt;='🌱 Configuração'!$D$56,'🌱 Configuração'!$B$56+4&lt;'🌱 Configuração'!$E$56,MOD('🌱 Configuração'!$B$56+4-'🌱 Configuração'!$D$56,7)=0,INT(('🌱 Configuração'!$B$56+4-'🌱 Configuração'!$D$56)/7)+1=6),"🦠 Trichoderma + ⚠️ Verificar mofo","")))))),IF(AND('🌱 Configuração'!$B$56+4&gt;='🌱 Configuração'!$E$56,MOD('🌱 Configuração'!$B$56+4-'🌱 Configuração'!$E$56,7)=0),"🔬 Inspeção final — analisar tricomas","")))))</f>
        <v/>
      </c>
      <c r="I10" s="33"/>
    </row>
    <row r="11" spans="1:9" ht="19.5" customHeight="1">
      <c r="A11" s="1"/>
      <c r="B11" s="39">
        <f>IF(6&lt;='🌱 Configuração'!$F$55,6,"")</f>
        <v>6</v>
      </c>
      <c r="C11" s="40">
        <f>IF(6&lt;='🌱 Configuração'!$F$55,'🌱 Configuração'!$B$56+5,"")</f>
        <v>5</v>
      </c>
      <c r="D11" s="41" t="str">
        <f>IF(6&gt;'🌱 Configuração'!$F$55,"",IF('🌱 Configuração'!$B$56+5&lt;'🌱 Configuração'!$C$56,"🌱 Clone",IF('🌱 Configuração'!$B$56+5&lt;'🌱 Configuração'!$D$56,"🌿 Vegetativo",IF('🌱 Configuração'!$B$56+5&lt;'🌱 Configuração'!$E$56,"🌸 Floração","🚿 Flush"))))</f>
        <v>🌱 Clone</v>
      </c>
      <c r="E11" s="42" t="str">
        <f>IF(6&gt;'🌱 Configuração'!$F$55,"",IF('🌱 Configuração'!$B$56+5&lt;'🌱 Configuração'!$C$56,"Clone S"&amp;INT((6-1)/7)+1,IF('🌱 Configuração'!$B$56+5&lt;'🌱 Configuração'!$D$56,"Vega S"&amp;INT(('🌱 Configuração'!$B$56+5-'🌱 Configuração'!$C$56)/7)+1,IF('🌱 Configuração'!$B$56+5&lt;'🌱 Configuração'!$E$56,"Flora S"&amp;INT(('🌱 Configuração'!$B$56+5-'🌱 Configuração'!$D$56)/7)+1,"Flush S"&amp;INT(('🌱 Configuração'!$B$56+5-'🌱 Configuração'!$E$56)/7)+1))))</f>
        <v>Clone S1</v>
      </c>
      <c r="F11" s="43" t="str">
        <f>IF(6&gt;'🌱 Configuração'!$F$55,"",IF('🌱 Configuração'!$B$56+5='🌱 Configuração'!$C$56,"🌿 INÍCIO VEGA — luz 18h/dia",IF('🌱 Configuração'!$B$56+5='🌱 Configuração'!$D$56,"🌸 INÍCIO FLORAÇÃO — mudar 12/12 🔴",IF('🌱 Configuração'!$B$56+5='🌱 Configuração'!$E$56,"🚿 INÍCIO FLUSH — parar nutrição",IF('🌱 Configuração'!$B$56+5='🌱 Configuração'!$F$56-1,"🔬 Véspera da colheita — analisar tricomas",IF('🌱 Configuração'!$B$56+5='🌱 Configuração'!$F$56,"✂️ COLHEITA — Parabéns! 🎉",""))))))</f>
        <v/>
      </c>
      <c r="G11" s="44" t="s">
        <v>428</v>
      </c>
      <c r="H11" s="45" t="str">
        <f>IF(6&gt;'🌱 Configuração'!$F$55,"",IF('🌱 Configuração'!$B$56+5&lt;'🌱 Configuração'!$C$56,IF(6=1,"🌿 Nim (2 mL/L) — foliar leve",IF(6=8,"🍄 Beauveria bassiana — foliar + solo","")),IF('🌱 Configuração'!$B$56+5&lt;'🌱 Configuração'!$D$56,IF(AND('🌱 Configuração'!$B$56+5&gt;='🌱 Configuração'!$C$56,'🌱 Configuração'!$B$56+5&lt;'🌱 Configuração'!$D$56,MOD('🌱 Configuração'!$B$56+5-'🌱 Configuração'!$C$56,7)=0,INT(('🌱 Configuração'!$B$56+5-'🌱 Configuração'!$C$56)/7)+1=1),"🌿 Nim (2 mL/L) — foliar preventivo",IF(AND('🌱 Configuração'!$B$56+5&gt;='🌱 Configuração'!$C$56,'🌱 Configuração'!$B$56+5&lt;'🌱 Configuração'!$D$56,MOD('🌱 Configuração'!$B$56+5-'🌱 Configuração'!$C$56,7)=0,INT(('🌱 Configuração'!$B$56+5-'🌱 Configuração'!$C$56)/7)+1=2),"🍄 Beauveria bassiana — foliar + solo",IF(AND('🌱 Configuração'!$B$56+5&gt;='🌱 Configuração'!$C$56,'🌱 Configuração'!$B$56+5&lt;'🌱 Configuração'!$D$56,MOD('🌱 Configuração'!$B$56+5-'🌱 Configuração'!$C$56,7)=0,INT(('🌱 Configuração'!$B$56+5-'🌱 Configuração'!$C$56)/7)+1=3),"🟡 Calda Sulfocálcica (1%) — foliar",IF(AND('🌱 Configuração'!$B$56+5&gt;='🌱 Configuração'!$C$56,'🌱 Configuração'!$B$56+5&lt;'🌱 Configuração'!$D$56,MOD('🌱 Configuração'!$B$56+5-'🌱 Configuração'!$C$56,7)=0,INT(('🌱 Configuração'!$B$56+5-'🌱 Configuração'!$C$56)/7)+1=4),"🦠 Trichoderma (3 g/L) — solo",IF(AND('🌱 Configuração'!$B$56+5&gt;='🌱 Configuração'!$C$56,'🌱 Configuração'!$B$56+5&lt;'🌱 Configuração'!$D$56,MOD('🌱 Configuração'!$B$56+5-'🌱 Configuração'!$C$56,7)=0,INT(('🌱 Configuração'!$B$56+5-'🌱 Configuração'!$C$56)/7)+1=5),"🔵 Calda Bordalesa (0.5%) — foliar",IF(AND('🌱 Configuração'!$B$56+5&gt;='🌱 Configuração'!$C$56,'🌱 Configuração'!$B$56+5&lt;'🌱 Configuração'!$D$56,MOD('🌱 Configuração'!$B$56+5-'🌱 Configuração'!$C$56,7)=0,INT(('🌱 Configuração'!$B$56+5-'🌱 Configuração'!$C$56)/7)+1=6),"🌿 Nim (2 mL/L) — ⚠️ ÚLTIMA foliar",IF(AND('🌱 Configuração'!$B$56+5&gt;='🌱 Configuração'!$C$56,'🌱 Configuração'!$B$56+5&lt;'🌱 Configuração'!$D$56,MOD('🌱 Configuração'!$B$56+5-'🌱 Configuração'!$C$56,7)=0,INT(('🌱 Configuração'!$B$56+5-'🌱 Configuração'!$C$56)/7)+1=7),"🦠 Trichoderma — solo",IF(AND('🌱 Configuração'!$B$56+5&gt;='🌱 Configuração'!$C$56,'🌱 Configuração'!$B$56+5&lt;'🌱 Configuração'!$D$56,MOD('🌱 Configuração'!$B$56+5-'🌱 Configuração'!$C$56,7)=0,INT(('🌱 Configuração'!$B$56+5-'🌱 Configuração'!$C$56)/7)+1=8),"🍄 Beauveria — solo","")))))))),IF('🌱 Configuração'!$B$56+5&lt;'🌱 Configuração'!$E$56,IF(AND('🌱 Configuração'!$B$56+5&gt;='🌱 Configuração'!$D$56,'🌱 Configuração'!$B$56+5&lt;'🌱 Configuração'!$E$56,MOD('🌱 Configuração'!$B$56+5-'🌱 Configuração'!$D$56,7)=0,INT(('🌱 Configuração'!$B$56+5-'🌱 Configuração'!$D$56)/7)+1=1),"🍄 Beauveria bassiana — SOLO apenas",IF(AND('🌱 Configuração'!$B$56+5&gt;='🌱 Configuração'!$D$56,'🌱 Configuração'!$B$56+5&lt;'🌱 Configuração'!$E$56,MOD('🌱 Configuração'!$B$56+5-'🌱 Configuração'!$D$56,7)=0,INT(('🌱 Configuração'!$B$56+5-'🌱 Configuração'!$D$56)/7)+1=2),"🦠 Trichoderma (3 g/L) — solo",IF(AND('🌱 Configuração'!$B$56+5&gt;='🌱 Configuração'!$D$56,'🌱 Configuração'!$B$56+5&lt;'🌱 Configuração'!$E$56,MOD('🌱 Configuração'!$B$56+5-'🌱 Configuração'!$D$56,7)=0,INT(('🌱 Configuração'!$B$56+5-'🌱 Configuração'!$D$56)/7)+1=3),"🍄 Beauveria bassiana — solo | ⚠️ Umid &lt;45%",IF(AND('🌱 Configuração'!$B$56+5&gt;='🌱 Configuração'!$D$56,'🌱 Configuração'!$B$56+5&lt;'🌱 Configuração'!$E$56,MOD('🌱 Configuração'!$B$56+5-'🌱 Configuração'!$D$56,7)=0,INT(('🌱 Configuração'!$B$56+5-'🌱 Configuração'!$D$56)/7)+1=4),"🦠 Trichoderma — solo | Inspecionar buds",IF(AND('🌱 Configuração'!$B$56+5&gt;='🌱 Configuração'!$D$56,'🌱 Configuração'!$B$56+5&lt;'🌱 Configuração'!$E$56,MOD('🌱 Configuração'!$B$56+5-'🌱 Configuração'!$D$56,7)=0,INT(('🌱 Configuração'!$B$56+5-'🌱 Configuração'!$D$56)/7)+1=5),"🍄 Beauveria + inspeção visual buds",IF(AND('🌱 Configuração'!$B$56+5&gt;='🌱 Configuração'!$D$56,'🌱 Configuração'!$B$56+5&lt;'🌱 Configuração'!$E$56,MOD('🌱 Configuração'!$B$56+5-'🌱 Configuração'!$D$56,7)=0,INT(('🌱 Configuração'!$B$56+5-'🌱 Configuração'!$D$56)/7)+1=6),"🦠 Trichoderma + ⚠️ Verificar mofo","")))))),IF(AND('🌱 Configuração'!$B$56+5&gt;='🌱 Configuração'!$E$56,MOD('🌱 Configuração'!$B$56+5-'🌱 Configuração'!$E$56,7)=0),"🔬 Inspeção final — analisar tricomas","")))))</f>
        <v/>
      </c>
      <c r="I11" s="33"/>
    </row>
    <row r="12" spans="1:9" ht="19.5" customHeight="1">
      <c r="A12" s="1"/>
      <c r="B12" s="35">
        <f>IF(7&lt;='🌱 Configuração'!$F$55,7,"")</f>
        <v>7</v>
      </c>
      <c r="C12" s="13">
        <f>IF(7&lt;='🌱 Configuração'!$F$55,'🌱 Configuração'!$B$56+6,"")</f>
        <v>6</v>
      </c>
      <c r="D12" s="36" t="str">
        <f>IF(7&gt;'🌱 Configuração'!$F$55,"",IF('🌱 Configuração'!$B$56+6&lt;'🌱 Configuração'!$C$56,"🌱 Clone",IF('🌱 Configuração'!$B$56+6&lt;'🌱 Configuração'!$D$56,"🌿 Vegetativo",IF('🌱 Configuração'!$B$56+6&lt;'🌱 Configuração'!$E$56,"🌸 Floração","🚿 Flush"))))</f>
        <v>🌱 Clone</v>
      </c>
      <c r="E12" s="15" t="str">
        <f>IF(7&gt;'🌱 Configuração'!$F$55,"",IF('🌱 Configuração'!$B$56+6&lt;'🌱 Configuração'!$C$56,"Clone S"&amp;INT((7-1)/7)+1,IF('🌱 Configuração'!$B$56+6&lt;'🌱 Configuração'!$D$56,"Vega S"&amp;INT(('🌱 Configuração'!$B$56+6-'🌱 Configuração'!$C$56)/7)+1,IF('🌱 Configuração'!$B$56+6&lt;'🌱 Configuração'!$E$56,"Flora S"&amp;INT(('🌱 Configuração'!$B$56+6-'🌱 Configuração'!$D$56)/7)+1,"Flush S"&amp;INT(('🌱 Configuração'!$B$56+6-'🌱 Configuração'!$E$56)/7)+1))))</f>
        <v>Clone S1</v>
      </c>
      <c r="F12" s="14" t="str">
        <f>IF(7&gt;'🌱 Configuração'!$F$55,"",IF('🌱 Configuração'!$B$56+6='🌱 Configuração'!$C$56,"🌿 INÍCIO VEGA — luz 18h/dia",IF('🌱 Configuração'!$B$56+6='🌱 Configuração'!$D$56,"🌸 INÍCIO FLORAÇÃO — mudar 12/12 🔴",IF('🌱 Configuração'!$B$56+6='🌱 Configuração'!$E$56,"🚿 INÍCIO FLUSH — parar nutrição",IF('🌱 Configuração'!$B$56+6='🌱 Configuração'!$F$56-1,"🔬 Véspera da colheita — analisar tricomas",IF('🌱 Configuração'!$B$56+6='🌱 Configuração'!$F$56,"✂️ COLHEITA — Parabéns! 🎉",""))))))</f>
        <v/>
      </c>
      <c r="G12" s="37" t="s">
        <v>428</v>
      </c>
      <c r="H12" s="38" t="str">
        <f>IF(7&gt;'🌱 Configuração'!$F$55,"",IF('🌱 Configuração'!$B$56+6&lt;'🌱 Configuração'!$C$56,IF(7=1,"🌿 Nim (2 mL/L) — foliar leve",IF(7=8,"🍄 Beauveria bassiana — foliar + solo","")),IF('🌱 Configuração'!$B$56+6&lt;'🌱 Configuração'!$D$56,IF(AND('🌱 Configuração'!$B$56+6&gt;='🌱 Configuração'!$C$56,'🌱 Configuração'!$B$56+6&lt;'🌱 Configuração'!$D$56,MOD('🌱 Configuração'!$B$56+6-'🌱 Configuração'!$C$56,7)=0,INT(('🌱 Configuração'!$B$56+6-'🌱 Configuração'!$C$56)/7)+1=1),"🌿 Nim (2 mL/L) — foliar preventivo",IF(AND('🌱 Configuração'!$B$56+6&gt;='🌱 Configuração'!$C$56,'🌱 Configuração'!$B$56+6&lt;'🌱 Configuração'!$D$56,MOD('🌱 Configuração'!$B$56+6-'🌱 Configuração'!$C$56,7)=0,INT(('🌱 Configuração'!$B$56+6-'🌱 Configuração'!$C$56)/7)+1=2),"🍄 Beauveria bassiana — foliar + solo",IF(AND('🌱 Configuração'!$B$56+6&gt;='🌱 Configuração'!$C$56,'🌱 Configuração'!$B$56+6&lt;'🌱 Configuração'!$D$56,MOD('🌱 Configuração'!$B$56+6-'🌱 Configuração'!$C$56,7)=0,INT(('🌱 Configuração'!$B$56+6-'🌱 Configuração'!$C$56)/7)+1=3),"🟡 Calda Sulfocálcica (1%) — foliar",IF(AND('🌱 Configuração'!$B$56+6&gt;='🌱 Configuração'!$C$56,'🌱 Configuração'!$B$56+6&lt;'🌱 Configuração'!$D$56,MOD('🌱 Configuração'!$B$56+6-'🌱 Configuração'!$C$56,7)=0,INT(('🌱 Configuração'!$B$56+6-'🌱 Configuração'!$C$56)/7)+1=4),"🦠 Trichoderma (3 g/L) — solo",IF(AND('🌱 Configuração'!$B$56+6&gt;='🌱 Configuração'!$C$56,'🌱 Configuração'!$B$56+6&lt;'🌱 Configuração'!$D$56,MOD('🌱 Configuração'!$B$56+6-'🌱 Configuração'!$C$56,7)=0,INT(('🌱 Configuração'!$B$56+6-'🌱 Configuração'!$C$56)/7)+1=5),"🔵 Calda Bordalesa (0.5%) — foliar",IF(AND('🌱 Configuração'!$B$56+6&gt;='🌱 Configuração'!$C$56,'🌱 Configuração'!$B$56+6&lt;'🌱 Configuração'!$D$56,MOD('🌱 Configuração'!$B$56+6-'🌱 Configuração'!$C$56,7)=0,INT(('🌱 Configuração'!$B$56+6-'🌱 Configuração'!$C$56)/7)+1=6),"🌿 Nim (2 mL/L) — ⚠️ ÚLTIMA foliar",IF(AND('🌱 Configuração'!$B$56+6&gt;='🌱 Configuração'!$C$56,'🌱 Configuração'!$B$56+6&lt;'🌱 Configuração'!$D$56,MOD('🌱 Configuração'!$B$56+6-'🌱 Configuração'!$C$56,7)=0,INT(('🌱 Configuração'!$B$56+6-'🌱 Configuração'!$C$56)/7)+1=7),"🦠 Trichoderma — solo",IF(AND('🌱 Configuração'!$B$56+6&gt;='🌱 Configuração'!$C$56,'🌱 Configuração'!$B$56+6&lt;'🌱 Configuração'!$D$56,MOD('🌱 Configuração'!$B$56+6-'🌱 Configuração'!$C$56,7)=0,INT(('🌱 Configuração'!$B$56+6-'🌱 Configuração'!$C$56)/7)+1=8),"🍄 Beauveria — solo","")))))))),IF('🌱 Configuração'!$B$56+6&lt;'🌱 Configuração'!$E$56,IF(AND('🌱 Configuração'!$B$56+6&gt;='🌱 Configuração'!$D$56,'🌱 Configuração'!$B$56+6&lt;'🌱 Configuração'!$E$56,MOD('🌱 Configuração'!$B$56+6-'🌱 Configuração'!$D$56,7)=0,INT(('🌱 Configuração'!$B$56+6-'🌱 Configuração'!$D$56)/7)+1=1),"🍄 Beauveria bassiana — SOLO apenas",IF(AND('🌱 Configuração'!$B$56+6&gt;='🌱 Configuração'!$D$56,'🌱 Configuração'!$B$56+6&lt;'🌱 Configuração'!$E$56,MOD('🌱 Configuração'!$B$56+6-'🌱 Configuração'!$D$56,7)=0,INT(('🌱 Configuração'!$B$56+6-'🌱 Configuração'!$D$56)/7)+1=2),"🦠 Trichoderma (3 g/L) — solo",IF(AND('🌱 Configuração'!$B$56+6&gt;='🌱 Configuração'!$D$56,'🌱 Configuração'!$B$56+6&lt;'🌱 Configuração'!$E$56,MOD('🌱 Configuração'!$B$56+6-'🌱 Configuração'!$D$56,7)=0,INT(('🌱 Configuração'!$B$56+6-'🌱 Configuração'!$D$56)/7)+1=3),"🍄 Beauveria bassiana — solo | ⚠️ Umid &lt;45%",IF(AND('🌱 Configuração'!$B$56+6&gt;='🌱 Configuração'!$D$56,'🌱 Configuração'!$B$56+6&lt;'🌱 Configuração'!$E$56,MOD('🌱 Configuração'!$B$56+6-'🌱 Configuração'!$D$56,7)=0,INT(('🌱 Configuração'!$B$56+6-'🌱 Configuração'!$D$56)/7)+1=4),"🦠 Trichoderma — solo | Inspecionar buds",IF(AND('🌱 Configuração'!$B$56+6&gt;='🌱 Configuração'!$D$56,'🌱 Configuração'!$B$56+6&lt;'🌱 Configuração'!$E$56,MOD('🌱 Configuração'!$B$56+6-'🌱 Configuração'!$D$56,7)=0,INT(('🌱 Configuração'!$B$56+6-'🌱 Configuração'!$D$56)/7)+1=5),"🍄 Beauveria + inspeção visual buds",IF(AND('🌱 Configuração'!$B$56+6&gt;='🌱 Configuração'!$D$56,'🌱 Configuração'!$B$56+6&lt;'🌱 Configuração'!$E$56,MOD('🌱 Configuração'!$B$56+6-'🌱 Configuração'!$D$56,7)=0,INT(('🌱 Configuração'!$B$56+6-'🌱 Configuração'!$D$56)/7)+1=6),"🦠 Trichoderma + ⚠️ Verificar mofo","")))))),IF(AND('🌱 Configuração'!$B$56+6&gt;='🌱 Configuração'!$E$56,MOD('🌱 Configuração'!$B$56+6-'🌱 Configuração'!$E$56,7)=0),"🔬 Inspeção final — analisar tricomas","")))))</f>
        <v/>
      </c>
      <c r="I12" s="33"/>
    </row>
    <row r="13" spans="1:9" ht="19.5" customHeight="1">
      <c r="A13" s="1"/>
      <c r="B13" s="39">
        <f>IF(8&lt;='🌱 Configuração'!$F$55,8,"")</f>
        <v>8</v>
      </c>
      <c r="C13" s="40">
        <f>IF(8&lt;='🌱 Configuração'!$F$55,'🌱 Configuração'!$B$56+7,"")</f>
        <v>7</v>
      </c>
      <c r="D13" s="41" t="str">
        <f>IF(8&gt;'🌱 Configuração'!$F$55,"",IF('🌱 Configuração'!$B$56+7&lt;'🌱 Configuração'!$C$56,"🌱 Clone",IF('🌱 Configuração'!$B$56+7&lt;'🌱 Configuração'!$D$56,"🌿 Vegetativo",IF('🌱 Configuração'!$B$56+7&lt;'🌱 Configuração'!$E$56,"🌸 Floração","🚿 Flush"))))</f>
        <v>🌱 Clone</v>
      </c>
      <c r="E13" s="42" t="str">
        <f>IF(8&gt;'🌱 Configuração'!$F$55,"",IF('🌱 Configuração'!$B$56+7&lt;'🌱 Configuração'!$C$56,"Clone S"&amp;INT((8-1)/7)+1,IF('🌱 Configuração'!$B$56+7&lt;'🌱 Configuração'!$D$56,"Vega S"&amp;INT(('🌱 Configuração'!$B$56+7-'🌱 Configuração'!$C$56)/7)+1,IF('🌱 Configuração'!$B$56+7&lt;'🌱 Configuração'!$E$56,"Flora S"&amp;INT(('🌱 Configuração'!$B$56+7-'🌱 Configuração'!$D$56)/7)+1,"Flush S"&amp;INT(('🌱 Configuração'!$B$56+7-'🌱 Configuração'!$E$56)/7)+1))))</f>
        <v>Clone S2</v>
      </c>
      <c r="F13" s="43" t="str">
        <f>IF(8&gt;'🌱 Configuração'!$F$55,"",IF('🌱 Configuração'!$B$56+7='🌱 Configuração'!$C$56,"🌿 INÍCIO VEGA — luz 18h/dia",IF('🌱 Configuração'!$B$56+7='🌱 Configuração'!$D$56,"🌸 INÍCIO FLORAÇÃO — mudar 12/12 🔴",IF('🌱 Configuração'!$B$56+7='🌱 Configuração'!$E$56,"🚿 INÍCIO FLUSH — parar nutrição",IF('🌱 Configuração'!$B$56+7='🌱 Configuração'!$F$56-1,"🔬 Véspera da colheita — analisar tricomas",IF('🌱 Configuração'!$B$56+7='🌱 Configuração'!$F$56,"✂️ COLHEITA — Parabéns! 🎉",""))))))</f>
        <v/>
      </c>
      <c r="G13" s="44" t="s">
        <v>429</v>
      </c>
      <c r="H13" s="45" t="str">
        <f>IF(8&gt;'🌱 Configuração'!$F$55,"",IF('🌱 Configuração'!$B$56+7&lt;'🌱 Configuração'!$C$56,IF(8=1,"🌿 Nim (2 mL/L) — foliar leve",IF(8=8,"🍄 Beauveria bassiana — foliar + solo","")),IF('🌱 Configuração'!$B$56+7&lt;'🌱 Configuração'!$D$56,IF(AND('🌱 Configuração'!$B$56+7&gt;='🌱 Configuração'!$C$56,'🌱 Configuração'!$B$56+7&lt;'🌱 Configuração'!$D$56,MOD('🌱 Configuração'!$B$56+7-'🌱 Configuração'!$C$56,7)=0,INT(('🌱 Configuração'!$B$56+7-'🌱 Configuração'!$C$56)/7)+1=1),"🌿 Nim (2 mL/L) — foliar preventivo",IF(AND('🌱 Configuração'!$B$56+7&gt;='🌱 Configuração'!$C$56,'🌱 Configuração'!$B$56+7&lt;'🌱 Configuração'!$D$56,MOD('🌱 Configuração'!$B$56+7-'🌱 Configuração'!$C$56,7)=0,INT(('🌱 Configuração'!$B$56+7-'🌱 Configuração'!$C$56)/7)+1=2),"🍄 Beauveria bassiana — foliar + solo",IF(AND('🌱 Configuração'!$B$56+7&gt;='🌱 Configuração'!$C$56,'🌱 Configuração'!$B$56+7&lt;'🌱 Configuração'!$D$56,MOD('🌱 Configuração'!$B$56+7-'🌱 Configuração'!$C$56,7)=0,INT(('🌱 Configuração'!$B$56+7-'🌱 Configuração'!$C$56)/7)+1=3),"🟡 Calda Sulfocálcica (1%) — foliar",IF(AND('🌱 Configuração'!$B$56+7&gt;='🌱 Configuração'!$C$56,'🌱 Configuração'!$B$56+7&lt;'🌱 Configuração'!$D$56,MOD('🌱 Configuração'!$B$56+7-'🌱 Configuração'!$C$56,7)=0,INT(('🌱 Configuração'!$B$56+7-'🌱 Configuração'!$C$56)/7)+1=4),"🦠 Trichoderma (3 g/L) — solo",IF(AND('🌱 Configuração'!$B$56+7&gt;='🌱 Configuração'!$C$56,'🌱 Configuração'!$B$56+7&lt;'🌱 Configuração'!$D$56,MOD('🌱 Configuração'!$B$56+7-'🌱 Configuração'!$C$56,7)=0,INT(('🌱 Configuração'!$B$56+7-'🌱 Configuração'!$C$56)/7)+1=5),"🔵 Calda Bordalesa (0.5%) — foliar",IF(AND('🌱 Configuração'!$B$56+7&gt;='🌱 Configuração'!$C$56,'🌱 Configuração'!$B$56+7&lt;'🌱 Configuração'!$D$56,MOD('🌱 Configuração'!$B$56+7-'🌱 Configuração'!$C$56,7)=0,INT(('🌱 Configuração'!$B$56+7-'🌱 Configuração'!$C$56)/7)+1=6),"🌿 Nim (2 mL/L) — ⚠️ ÚLTIMA foliar",IF(AND('🌱 Configuração'!$B$56+7&gt;='🌱 Configuração'!$C$56,'🌱 Configuração'!$B$56+7&lt;'🌱 Configuração'!$D$56,MOD('🌱 Configuração'!$B$56+7-'🌱 Configuração'!$C$56,7)=0,INT(('🌱 Configuração'!$B$56+7-'🌱 Configuração'!$C$56)/7)+1=7),"🦠 Trichoderma — solo",IF(AND('🌱 Configuração'!$B$56+7&gt;='🌱 Configuração'!$C$56,'🌱 Configuração'!$B$56+7&lt;'🌱 Configuração'!$D$56,MOD('🌱 Configuração'!$B$56+7-'🌱 Configuração'!$C$56,7)=0,INT(('🌱 Configuração'!$B$56+7-'🌱 Configuração'!$C$56)/7)+1=8),"🍄 Beauveria — solo","")))))))),IF('🌱 Configuração'!$B$56+7&lt;'🌱 Configuração'!$E$56,IF(AND('🌱 Configuração'!$B$56+7&gt;='🌱 Configuração'!$D$56,'🌱 Configuração'!$B$56+7&lt;'🌱 Configuração'!$E$56,MOD('🌱 Configuração'!$B$56+7-'🌱 Configuração'!$D$56,7)=0,INT(('🌱 Configuração'!$B$56+7-'🌱 Configuração'!$D$56)/7)+1=1),"🍄 Beauveria bassiana — SOLO apenas",IF(AND('🌱 Configuração'!$B$56+7&gt;='🌱 Configuração'!$D$56,'🌱 Configuração'!$B$56+7&lt;'🌱 Configuração'!$E$56,MOD('🌱 Configuração'!$B$56+7-'🌱 Configuração'!$D$56,7)=0,INT(('🌱 Configuração'!$B$56+7-'🌱 Configuração'!$D$56)/7)+1=2),"🦠 Trichoderma (3 g/L) — solo",IF(AND('🌱 Configuração'!$B$56+7&gt;='🌱 Configuração'!$D$56,'🌱 Configuração'!$B$56+7&lt;'🌱 Configuração'!$E$56,MOD('🌱 Configuração'!$B$56+7-'🌱 Configuração'!$D$56,7)=0,INT(('🌱 Configuração'!$B$56+7-'🌱 Configuração'!$D$56)/7)+1=3),"🍄 Beauveria bassiana — solo | ⚠️ Umid &lt;45%",IF(AND('🌱 Configuração'!$B$56+7&gt;='🌱 Configuração'!$D$56,'🌱 Configuração'!$B$56+7&lt;'🌱 Configuração'!$E$56,MOD('🌱 Configuração'!$B$56+7-'🌱 Configuração'!$D$56,7)=0,INT(('🌱 Configuração'!$B$56+7-'🌱 Configuração'!$D$56)/7)+1=4),"🦠 Trichoderma — solo | Inspecionar buds",IF(AND('🌱 Configuração'!$B$56+7&gt;='🌱 Configuração'!$D$56,'🌱 Configuração'!$B$56+7&lt;'🌱 Configuração'!$E$56,MOD('🌱 Configuração'!$B$56+7-'🌱 Configuração'!$D$56,7)=0,INT(('🌱 Configuração'!$B$56+7-'🌱 Configuração'!$D$56)/7)+1=5),"🍄 Beauveria + inspeção visual buds",IF(AND('🌱 Configuração'!$B$56+7&gt;='🌱 Configuração'!$D$56,'🌱 Configuração'!$B$56+7&lt;'🌱 Configuração'!$E$56,MOD('🌱 Configuração'!$B$56+7-'🌱 Configuração'!$D$56,7)=0,INT(('🌱 Configuração'!$B$56+7-'🌱 Configuração'!$D$56)/7)+1=6),"🦠 Trichoderma + ⚠️ Verificar mofo","")))))),IF(AND('🌱 Configuração'!$B$56+7&gt;='🌱 Configuração'!$E$56,MOD('🌱 Configuração'!$B$56+7-'🌱 Configuração'!$E$56,7)=0),"🔬 Inspeção final — analisar tricomas","")))))</f>
        <v>🍄 Beauveria bassiana — foliar + solo</v>
      </c>
      <c r="I13" s="33"/>
    </row>
    <row r="14" spans="1:9" ht="19.5" customHeight="1">
      <c r="A14" s="1"/>
      <c r="B14" s="35">
        <f>IF(9&lt;='🌱 Configuração'!$F$55,9,"")</f>
        <v>9</v>
      </c>
      <c r="C14" s="13">
        <f>IF(9&lt;='🌱 Configuração'!$F$55,'🌱 Configuração'!$B$56+8,"")</f>
        <v>8</v>
      </c>
      <c r="D14" s="36" t="str">
        <f>IF(9&gt;'🌱 Configuração'!$F$55,"",IF('🌱 Configuração'!$B$56+8&lt;'🌱 Configuração'!$C$56,"🌱 Clone",IF('🌱 Configuração'!$B$56+8&lt;'🌱 Configuração'!$D$56,"🌿 Vegetativo",IF('🌱 Configuração'!$B$56+8&lt;'🌱 Configuração'!$E$56,"🌸 Floração","🚿 Flush"))))</f>
        <v>🌱 Clone</v>
      </c>
      <c r="E14" s="15" t="str">
        <f>IF(9&gt;'🌱 Configuração'!$F$55,"",IF('🌱 Configuração'!$B$56+8&lt;'🌱 Configuração'!$C$56,"Clone S"&amp;INT((9-1)/7)+1,IF('🌱 Configuração'!$B$56+8&lt;'🌱 Configuração'!$D$56,"Vega S"&amp;INT(('🌱 Configuração'!$B$56+8-'🌱 Configuração'!$C$56)/7)+1,IF('🌱 Configuração'!$B$56+8&lt;'🌱 Configuração'!$E$56,"Flora S"&amp;INT(('🌱 Configuração'!$B$56+8-'🌱 Configuração'!$D$56)/7)+1,"Flush S"&amp;INT(('🌱 Configuração'!$B$56+8-'🌱 Configuração'!$E$56)/7)+1))))</f>
        <v>Clone S2</v>
      </c>
      <c r="F14" s="14" t="str">
        <f>IF(9&gt;'🌱 Configuração'!$F$55,"",IF('🌱 Configuração'!$B$56+8='🌱 Configuração'!$C$56,"🌿 INÍCIO VEGA — luz 18h/dia",IF('🌱 Configuração'!$B$56+8='🌱 Configuração'!$D$56,"🌸 INÍCIO FLORAÇÃO — mudar 12/12 🔴",IF('🌱 Configuração'!$B$56+8='🌱 Configuração'!$E$56,"🚿 INÍCIO FLUSH — parar nutrição",IF('🌱 Configuração'!$B$56+8='🌱 Configuração'!$F$56-1,"🔬 Véspera da colheita — analisar tricomas",IF('🌱 Configuração'!$B$56+8='🌱 Configuração'!$F$56,"✂️ COLHEITA — Parabéns! 🎉",""))))))</f>
        <v/>
      </c>
      <c r="G14" s="37" t="s">
        <v>428</v>
      </c>
      <c r="H14" s="38" t="str">
        <f>IF(9&gt;'🌱 Configuração'!$F$55,"",IF('🌱 Configuração'!$B$56+8&lt;'🌱 Configuração'!$C$56,IF(9=1,"🌿 Nim (2 mL/L) — foliar leve",IF(9=8,"🍄 Beauveria bassiana — foliar + solo","")),IF('🌱 Configuração'!$B$56+8&lt;'🌱 Configuração'!$D$56,IF(AND('🌱 Configuração'!$B$56+8&gt;='🌱 Configuração'!$C$56,'🌱 Configuração'!$B$56+8&lt;'🌱 Configuração'!$D$56,MOD('🌱 Configuração'!$B$56+8-'🌱 Configuração'!$C$56,7)=0,INT(('🌱 Configuração'!$B$56+8-'🌱 Configuração'!$C$56)/7)+1=1),"🌿 Nim (2 mL/L) — foliar preventivo",IF(AND('🌱 Configuração'!$B$56+8&gt;='🌱 Configuração'!$C$56,'🌱 Configuração'!$B$56+8&lt;'🌱 Configuração'!$D$56,MOD('🌱 Configuração'!$B$56+8-'🌱 Configuração'!$C$56,7)=0,INT(('🌱 Configuração'!$B$56+8-'🌱 Configuração'!$C$56)/7)+1=2),"🍄 Beauveria bassiana — foliar + solo",IF(AND('🌱 Configuração'!$B$56+8&gt;='🌱 Configuração'!$C$56,'🌱 Configuração'!$B$56+8&lt;'🌱 Configuração'!$D$56,MOD('🌱 Configuração'!$B$56+8-'🌱 Configuração'!$C$56,7)=0,INT(('🌱 Configuração'!$B$56+8-'🌱 Configuração'!$C$56)/7)+1=3),"🟡 Calda Sulfocálcica (1%) — foliar",IF(AND('🌱 Configuração'!$B$56+8&gt;='🌱 Configuração'!$C$56,'🌱 Configuração'!$B$56+8&lt;'🌱 Configuração'!$D$56,MOD('🌱 Configuração'!$B$56+8-'🌱 Configuração'!$C$56,7)=0,INT(('🌱 Configuração'!$B$56+8-'🌱 Configuração'!$C$56)/7)+1=4),"🦠 Trichoderma (3 g/L) — solo",IF(AND('🌱 Configuração'!$B$56+8&gt;='🌱 Configuração'!$C$56,'🌱 Configuração'!$B$56+8&lt;'🌱 Configuração'!$D$56,MOD('🌱 Configuração'!$B$56+8-'🌱 Configuração'!$C$56,7)=0,INT(('🌱 Configuração'!$B$56+8-'🌱 Configuração'!$C$56)/7)+1=5),"🔵 Calda Bordalesa (0.5%) — foliar",IF(AND('🌱 Configuração'!$B$56+8&gt;='🌱 Configuração'!$C$56,'🌱 Configuração'!$B$56+8&lt;'🌱 Configuração'!$D$56,MOD('🌱 Configuração'!$B$56+8-'🌱 Configuração'!$C$56,7)=0,INT(('🌱 Configuração'!$B$56+8-'🌱 Configuração'!$C$56)/7)+1=6),"🌿 Nim (2 mL/L) — ⚠️ ÚLTIMA foliar",IF(AND('🌱 Configuração'!$B$56+8&gt;='🌱 Configuração'!$C$56,'🌱 Configuração'!$B$56+8&lt;'🌱 Configuração'!$D$56,MOD('🌱 Configuração'!$B$56+8-'🌱 Configuração'!$C$56,7)=0,INT(('🌱 Configuração'!$B$56+8-'🌱 Configuração'!$C$56)/7)+1=7),"🦠 Trichoderma — solo",IF(AND('🌱 Configuração'!$B$56+8&gt;='🌱 Configuração'!$C$56,'🌱 Configuração'!$B$56+8&lt;'🌱 Configuração'!$D$56,MOD('🌱 Configuração'!$B$56+8-'🌱 Configuração'!$C$56,7)=0,INT(('🌱 Configuração'!$B$56+8-'🌱 Configuração'!$C$56)/7)+1=8),"🍄 Beauveria — solo","")))))))),IF('🌱 Configuração'!$B$56+8&lt;'🌱 Configuração'!$E$56,IF(AND('🌱 Configuração'!$B$56+8&gt;='🌱 Configuração'!$D$56,'🌱 Configuração'!$B$56+8&lt;'🌱 Configuração'!$E$56,MOD('🌱 Configuração'!$B$56+8-'🌱 Configuração'!$D$56,7)=0,INT(('🌱 Configuração'!$B$56+8-'🌱 Configuração'!$D$56)/7)+1=1),"🍄 Beauveria bassiana — SOLO apenas",IF(AND('🌱 Configuração'!$B$56+8&gt;='🌱 Configuração'!$D$56,'🌱 Configuração'!$B$56+8&lt;'🌱 Configuração'!$E$56,MOD('🌱 Configuração'!$B$56+8-'🌱 Configuração'!$D$56,7)=0,INT(('🌱 Configuração'!$B$56+8-'🌱 Configuração'!$D$56)/7)+1=2),"🦠 Trichoderma (3 g/L) — solo",IF(AND('🌱 Configuração'!$B$56+8&gt;='🌱 Configuração'!$D$56,'🌱 Configuração'!$B$56+8&lt;'🌱 Configuração'!$E$56,MOD('🌱 Configuração'!$B$56+8-'🌱 Configuração'!$D$56,7)=0,INT(('🌱 Configuração'!$B$56+8-'🌱 Configuração'!$D$56)/7)+1=3),"🍄 Beauveria bassiana — solo | ⚠️ Umid &lt;45%",IF(AND('🌱 Configuração'!$B$56+8&gt;='🌱 Configuração'!$D$56,'🌱 Configuração'!$B$56+8&lt;'🌱 Configuração'!$E$56,MOD('🌱 Configuração'!$B$56+8-'🌱 Configuração'!$D$56,7)=0,INT(('🌱 Configuração'!$B$56+8-'🌱 Configuração'!$D$56)/7)+1=4),"🦠 Trichoderma — solo | Inspecionar buds",IF(AND('🌱 Configuração'!$B$56+8&gt;='🌱 Configuração'!$D$56,'🌱 Configuração'!$B$56+8&lt;'🌱 Configuração'!$E$56,MOD('🌱 Configuração'!$B$56+8-'🌱 Configuração'!$D$56,7)=0,INT(('🌱 Configuração'!$B$56+8-'🌱 Configuração'!$D$56)/7)+1=5),"🍄 Beauveria + inspeção visual buds",IF(AND('🌱 Configuração'!$B$56+8&gt;='🌱 Configuração'!$D$56,'🌱 Configuração'!$B$56+8&lt;'🌱 Configuração'!$E$56,MOD('🌱 Configuração'!$B$56+8-'🌱 Configuração'!$D$56,7)=0,INT(('🌱 Configuração'!$B$56+8-'🌱 Configuração'!$D$56)/7)+1=6),"🦠 Trichoderma + ⚠️ Verificar mofo","")))))),IF(AND('🌱 Configuração'!$B$56+8&gt;='🌱 Configuração'!$E$56,MOD('🌱 Configuração'!$B$56+8-'🌱 Configuração'!$E$56,7)=0),"🔬 Inspeção final — analisar tricomas","")))))</f>
        <v/>
      </c>
      <c r="I14" s="33"/>
    </row>
    <row r="15" spans="1:9" ht="19.5" customHeight="1">
      <c r="A15" s="1"/>
      <c r="B15" s="39">
        <f>IF(10&lt;='🌱 Configuração'!$F$55,10,"")</f>
        <v>10</v>
      </c>
      <c r="C15" s="40">
        <f>IF(10&lt;='🌱 Configuração'!$F$55,'🌱 Configuração'!$B$56+9,"")</f>
        <v>9</v>
      </c>
      <c r="D15" s="41" t="str">
        <f>IF(10&gt;'🌱 Configuração'!$F$55,"",IF('🌱 Configuração'!$B$56+9&lt;'🌱 Configuração'!$C$56,"🌱 Clone",IF('🌱 Configuração'!$B$56+9&lt;'🌱 Configuração'!$D$56,"🌿 Vegetativo",IF('🌱 Configuração'!$B$56+9&lt;'🌱 Configuração'!$E$56,"🌸 Floração","🚿 Flush"))))</f>
        <v>🌱 Clone</v>
      </c>
      <c r="E15" s="42" t="str">
        <f>IF(10&gt;'🌱 Configuração'!$F$55,"",IF('🌱 Configuração'!$B$56+9&lt;'🌱 Configuração'!$C$56,"Clone S"&amp;INT((10-1)/7)+1,IF('🌱 Configuração'!$B$56+9&lt;'🌱 Configuração'!$D$56,"Vega S"&amp;INT(('🌱 Configuração'!$B$56+9-'🌱 Configuração'!$C$56)/7)+1,IF('🌱 Configuração'!$B$56+9&lt;'🌱 Configuração'!$E$56,"Flora S"&amp;INT(('🌱 Configuração'!$B$56+9-'🌱 Configuração'!$D$56)/7)+1,"Flush S"&amp;INT(('🌱 Configuração'!$B$56+9-'🌱 Configuração'!$E$56)/7)+1))))</f>
        <v>Clone S2</v>
      </c>
      <c r="F15" s="43" t="str">
        <f>IF(10&gt;'🌱 Configuração'!$F$55,"",IF('🌱 Configuração'!$B$56+9='🌱 Configuração'!$C$56,"🌿 INÍCIO VEGA — luz 18h/dia",IF('🌱 Configuração'!$B$56+9='🌱 Configuração'!$D$56,"🌸 INÍCIO FLORAÇÃO — mudar 12/12 🔴",IF('🌱 Configuração'!$B$56+9='🌱 Configuração'!$E$56,"🚿 INÍCIO FLUSH — parar nutrição",IF('🌱 Configuração'!$B$56+9='🌱 Configuração'!$F$56-1,"🔬 Véspera da colheita — analisar tricomas",IF('🌱 Configuração'!$B$56+9='🌱 Configuração'!$F$56,"✂️ COLHEITA — Parabéns! 🎉",""))))))</f>
        <v/>
      </c>
      <c r="G15" s="44" t="s">
        <v>428</v>
      </c>
      <c r="H15" s="45" t="str">
        <f>IF(10&gt;'🌱 Configuração'!$F$55,"",IF('🌱 Configuração'!$B$56+9&lt;'🌱 Configuração'!$C$56,IF(10=1,"🌿 Nim (2 mL/L) — foliar leve",IF(10=8,"🍄 Beauveria bassiana — foliar + solo","")),IF('🌱 Configuração'!$B$56+9&lt;'🌱 Configuração'!$D$56,IF(AND('🌱 Configuração'!$B$56+9&gt;='🌱 Configuração'!$C$56,'🌱 Configuração'!$B$56+9&lt;'🌱 Configuração'!$D$56,MOD('🌱 Configuração'!$B$56+9-'🌱 Configuração'!$C$56,7)=0,INT(('🌱 Configuração'!$B$56+9-'🌱 Configuração'!$C$56)/7)+1=1),"🌿 Nim (2 mL/L) — foliar preventivo",IF(AND('🌱 Configuração'!$B$56+9&gt;='🌱 Configuração'!$C$56,'🌱 Configuração'!$B$56+9&lt;'🌱 Configuração'!$D$56,MOD('🌱 Configuração'!$B$56+9-'🌱 Configuração'!$C$56,7)=0,INT(('🌱 Configuração'!$B$56+9-'🌱 Configuração'!$C$56)/7)+1=2),"🍄 Beauveria bassiana — foliar + solo",IF(AND('🌱 Configuração'!$B$56+9&gt;='🌱 Configuração'!$C$56,'🌱 Configuração'!$B$56+9&lt;'🌱 Configuração'!$D$56,MOD('🌱 Configuração'!$B$56+9-'🌱 Configuração'!$C$56,7)=0,INT(('🌱 Configuração'!$B$56+9-'🌱 Configuração'!$C$56)/7)+1=3),"🟡 Calda Sulfocálcica (1%) — foliar",IF(AND('🌱 Configuração'!$B$56+9&gt;='🌱 Configuração'!$C$56,'🌱 Configuração'!$B$56+9&lt;'🌱 Configuração'!$D$56,MOD('🌱 Configuração'!$B$56+9-'🌱 Configuração'!$C$56,7)=0,INT(('🌱 Configuração'!$B$56+9-'🌱 Configuração'!$C$56)/7)+1=4),"🦠 Trichoderma (3 g/L) — solo",IF(AND('🌱 Configuração'!$B$56+9&gt;='🌱 Configuração'!$C$56,'🌱 Configuração'!$B$56+9&lt;'🌱 Configuração'!$D$56,MOD('🌱 Configuração'!$B$56+9-'🌱 Configuração'!$C$56,7)=0,INT(('🌱 Configuração'!$B$56+9-'🌱 Configuração'!$C$56)/7)+1=5),"🔵 Calda Bordalesa (0.5%) — foliar",IF(AND('🌱 Configuração'!$B$56+9&gt;='🌱 Configuração'!$C$56,'🌱 Configuração'!$B$56+9&lt;'🌱 Configuração'!$D$56,MOD('🌱 Configuração'!$B$56+9-'🌱 Configuração'!$C$56,7)=0,INT(('🌱 Configuração'!$B$56+9-'🌱 Configuração'!$C$56)/7)+1=6),"🌿 Nim (2 mL/L) — ⚠️ ÚLTIMA foliar",IF(AND('🌱 Configuração'!$B$56+9&gt;='🌱 Configuração'!$C$56,'🌱 Configuração'!$B$56+9&lt;'🌱 Configuração'!$D$56,MOD('🌱 Configuração'!$B$56+9-'🌱 Configuração'!$C$56,7)=0,INT(('🌱 Configuração'!$B$56+9-'🌱 Configuração'!$C$56)/7)+1=7),"🦠 Trichoderma — solo",IF(AND('🌱 Configuração'!$B$56+9&gt;='🌱 Configuração'!$C$56,'🌱 Configuração'!$B$56+9&lt;'🌱 Configuração'!$D$56,MOD('🌱 Configuração'!$B$56+9-'🌱 Configuração'!$C$56,7)=0,INT(('🌱 Configuração'!$B$56+9-'🌱 Configuração'!$C$56)/7)+1=8),"🍄 Beauveria — solo","")))))))),IF('🌱 Configuração'!$B$56+9&lt;'🌱 Configuração'!$E$56,IF(AND('🌱 Configuração'!$B$56+9&gt;='🌱 Configuração'!$D$56,'🌱 Configuração'!$B$56+9&lt;'🌱 Configuração'!$E$56,MOD('🌱 Configuração'!$B$56+9-'🌱 Configuração'!$D$56,7)=0,INT(('🌱 Configuração'!$B$56+9-'🌱 Configuração'!$D$56)/7)+1=1),"🍄 Beauveria bassiana — SOLO apenas",IF(AND('🌱 Configuração'!$B$56+9&gt;='🌱 Configuração'!$D$56,'🌱 Configuração'!$B$56+9&lt;'🌱 Configuração'!$E$56,MOD('🌱 Configuração'!$B$56+9-'🌱 Configuração'!$D$56,7)=0,INT(('🌱 Configuração'!$B$56+9-'🌱 Configuração'!$D$56)/7)+1=2),"🦠 Trichoderma (3 g/L) — solo",IF(AND('🌱 Configuração'!$B$56+9&gt;='🌱 Configuração'!$D$56,'🌱 Configuração'!$B$56+9&lt;'🌱 Configuração'!$E$56,MOD('🌱 Configuração'!$B$56+9-'🌱 Configuração'!$D$56,7)=0,INT(('🌱 Configuração'!$B$56+9-'🌱 Configuração'!$D$56)/7)+1=3),"🍄 Beauveria bassiana — solo | ⚠️ Umid &lt;45%",IF(AND('🌱 Configuração'!$B$56+9&gt;='🌱 Configuração'!$D$56,'🌱 Configuração'!$B$56+9&lt;'🌱 Configuração'!$E$56,MOD('🌱 Configuração'!$B$56+9-'🌱 Configuração'!$D$56,7)=0,INT(('🌱 Configuração'!$B$56+9-'🌱 Configuração'!$D$56)/7)+1=4),"🦠 Trichoderma — solo | Inspecionar buds",IF(AND('🌱 Configuração'!$B$56+9&gt;='🌱 Configuração'!$D$56,'🌱 Configuração'!$B$56+9&lt;'🌱 Configuração'!$E$56,MOD('🌱 Configuração'!$B$56+9-'🌱 Configuração'!$D$56,7)=0,INT(('🌱 Configuração'!$B$56+9-'🌱 Configuração'!$D$56)/7)+1=5),"🍄 Beauveria + inspeção visual buds",IF(AND('🌱 Configuração'!$B$56+9&gt;='🌱 Configuração'!$D$56,'🌱 Configuração'!$B$56+9&lt;'🌱 Configuração'!$E$56,MOD('🌱 Configuração'!$B$56+9-'🌱 Configuração'!$D$56,7)=0,INT(('🌱 Configuração'!$B$56+9-'🌱 Configuração'!$D$56)/7)+1=6),"🦠 Trichoderma + ⚠️ Verificar mofo","")))))),IF(AND('🌱 Configuração'!$B$56+9&gt;='🌱 Configuração'!$E$56,MOD('🌱 Configuração'!$B$56+9-'🌱 Configuração'!$E$56,7)=0),"🔬 Inspeção final — analisar tricomas","")))))</f>
        <v/>
      </c>
      <c r="I15" s="33"/>
    </row>
    <row r="16" spans="1:9" ht="19.5" customHeight="1">
      <c r="A16" s="1"/>
      <c r="B16" s="35">
        <f>IF(11&lt;='🌱 Configuração'!$F$55,11,"")</f>
        <v>11</v>
      </c>
      <c r="C16" s="13">
        <f>IF(11&lt;='🌱 Configuração'!$F$55,'🌱 Configuração'!$B$56+10,"")</f>
        <v>10</v>
      </c>
      <c r="D16" s="36" t="str">
        <f>IF(11&gt;'🌱 Configuração'!$F$55,"",IF('🌱 Configuração'!$B$56+10&lt;'🌱 Configuração'!$C$56,"🌱 Clone",IF('🌱 Configuração'!$B$56+10&lt;'🌱 Configuração'!$D$56,"🌿 Vegetativo",IF('🌱 Configuração'!$B$56+10&lt;'🌱 Configuração'!$E$56,"🌸 Floração","🚿 Flush"))))</f>
        <v>🌱 Clone</v>
      </c>
      <c r="E16" s="15" t="str">
        <f>IF(11&gt;'🌱 Configuração'!$F$55,"",IF('🌱 Configuração'!$B$56+10&lt;'🌱 Configuração'!$C$56,"Clone S"&amp;INT((11-1)/7)+1,IF('🌱 Configuração'!$B$56+10&lt;'🌱 Configuração'!$D$56,"Vega S"&amp;INT(('🌱 Configuração'!$B$56+10-'🌱 Configuração'!$C$56)/7)+1,IF('🌱 Configuração'!$B$56+10&lt;'🌱 Configuração'!$E$56,"Flora S"&amp;INT(('🌱 Configuração'!$B$56+10-'🌱 Configuração'!$D$56)/7)+1,"Flush S"&amp;INT(('🌱 Configuração'!$B$56+10-'🌱 Configuração'!$E$56)/7)+1))))</f>
        <v>Clone S2</v>
      </c>
      <c r="F16" s="14" t="str">
        <f>IF(11&gt;'🌱 Configuração'!$F$55,"",IF('🌱 Configuração'!$B$56+10='🌱 Configuração'!$C$56,"🌿 INÍCIO VEGA — luz 18h/dia",IF('🌱 Configuração'!$B$56+10='🌱 Configuração'!$D$56,"🌸 INÍCIO FLORAÇÃO — mudar 12/12 🔴",IF('🌱 Configuração'!$B$56+10='🌱 Configuração'!$E$56,"🚿 INÍCIO FLUSH — parar nutrição",IF('🌱 Configuração'!$B$56+10='🌱 Configuração'!$F$56-1,"🔬 Véspera da colheita — analisar tricomas",IF('🌱 Configuração'!$B$56+10='🌱 Configuração'!$F$56,"✂️ COLHEITA — Parabéns! 🎉",""))))))</f>
        <v/>
      </c>
      <c r="G16" s="37" t="s">
        <v>428</v>
      </c>
      <c r="H16" s="38" t="str">
        <f>IF(11&gt;'🌱 Configuração'!$F$55,"",IF('🌱 Configuração'!$B$56+10&lt;'🌱 Configuração'!$C$56,IF(11=1,"🌿 Nim (2 mL/L) — foliar leve",IF(11=8,"🍄 Beauveria bassiana — foliar + solo","")),IF('🌱 Configuração'!$B$56+10&lt;'🌱 Configuração'!$D$56,IF(AND('🌱 Configuração'!$B$56+10&gt;='🌱 Configuração'!$C$56,'🌱 Configuração'!$B$56+10&lt;'🌱 Configuração'!$D$56,MOD('🌱 Configuração'!$B$56+10-'🌱 Configuração'!$C$56,7)=0,INT(('🌱 Configuração'!$B$56+10-'🌱 Configuração'!$C$56)/7)+1=1),"🌿 Nim (2 mL/L) — foliar preventivo",IF(AND('🌱 Configuração'!$B$56+10&gt;='🌱 Configuração'!$C$56,'🌱 Configuração'!$B$56+10&lt;'🌱 Configuração'!$D$56,MOD('🌱 Configuração'!$B$56+10-'🌱 Configuração'!$C$56,7)=0,INT(('🌱 Configuração'!$B$56+10-'🌱 Configuração'!$C$56)/7)+1=2),"🍄 Beauveria bassiana — foliar + solo",IF(AND('🌱 Configuração'!$B$56+10&gt;='🌱 Configuração'!$C$56,'🌱 Configuração'!$B$56+10&lt;'🌱 Configuração'!$D$56,MOD('🌱 Configuração'!$B$56+10-'🌱 Configuração'!$C$56,7)=0,INT(('🌱 Configuração'!$B$56+10-'🌱 Configuração'!$C$56)/7)+1=3),"🟡 Calda Sulfocálcica (1%) — foliar",IF(AND('🌱 Configuração'!$B$56+10&gt;='🌱 Configuração'!$C$56,'🌱 Configuração'!$B$56+10&lt;'🌱 Configuração'!$D$56,MOD('🌱 Configuração'!$B$56+10-'🌱 Configuração'!$C$56,7)=0,INT(('🌱 Configuração'!$B$56+10-'🌱 Configuração'!$C$56)/7)+1=4),"🦠 Trichoderma (3 g/L) — solo",IF(AND('🌱 Configuração'!$B$56+10&gt;='🌱 Configuração'!$C$56,'🌱 Configuração'!$B$56+10&lt;'🌱 Configuração'!$D$56,MOD('🌱 Configuração'!$B$56+10-'🌱 Configuração'!$C$56,7)=0,INT(('🌱 Configuração'!$B$56+10-'🌱 Configuração'!$C$56)/7)+1=5),"🔵 Calda Bordalesa (0.5%) — foliar",IF(AND('🌱 Configuração'!$B$56+10&gt;='🌱 Configuração'!$C$56,'🌱 Configuração'!$B$56+10&lt;'🌱 Configuração'!$D$56,MOD('🌱 Configuração'!$B$56+10-'🌱 Configuração'!$C$56,7)=0,INT(('🌱 Configuração'!$B$56+10-'🌱 Configuração'!$C$56)/7)+1=6),"🌿 Nim (2 mL/L) — ⚠️ ÚLTIMA foliar",IF(AND('🌱 Configuração'!$B$56+10&gt;='🌱 Configuração'!$C$56,'🌱 Configuração'!$B$56+10&lt;'🌱 Configuração'!$D$56,MOD('🌱 Configuração'!$B$56+10-'🌱 Configuração'!$C$56,7)=0,INT(('🌱 Configuração'!$B$56+10-'🌱 Configuração'!$C$56)/7)+1=7),"🦠 Trichoderma — solo",IF(AND('🌱 Configuração'!$B$56+10&gt;='🌱 Configuração'!$C$56,'🌱 Configuração'!$B$56+10&lt;'🌱 Configuração'!$D$56,MOD('🌱 Configuração'!$B$56+10-'🌱 Configuração'!$C$56,7)=0,INT(('🌱 Configuração'!$B$56+10-'🌱 Configuração'!$C$56)/7)+1=8),"🍄 Beauveria — solo","")))))))),IF('🌱 Configuração'!$B$56+10&lt;'🌱 Configuração'!$E$56,IF(AND('🌱 Configuração'!$B$56+10&gt;='🌱 Configuração'!$D$56,'🌱 Configuração'!$B$56+10&lt;'🌱 Configuração'!$E$56,MOD('🌱 Configuração'!$B$56+10-'🌱 Configuração'!$D$56,7)=0,INT(('🌱 Configuração'!$B$56+10-'🌱 Configuração'!$D$56)/7)+1=1),"🍄 Beauveria bassiana — SOLO apenas",IF(AND('🌱 Configuração'!$B$56+10&gt;='🌱 Configuração'!$D$56,'🌱 Configuração'!$B$56+10&lt;'🌱 Configuração'!$E$56,MOD('🌱 Configuração'!$B$56+10-'🌱 Configuração'!$D$56,7)=0,INT(('🌱 Configuração'!$B$56+10-'🌱 Configuração'!$D$56)/7)+1=2),"🦠 Trichoderma (3 g/L) — solo",IF(AND('🌱 Configuração'!$B$56+10&gt;='🌱 Configuração'!$D$56,'🌱 Configuração'!$B$56+10&lt;'🌱 Configuração'!$E$56,MOD('🌱 Configuração'!$B$56+10-'🌱 Configuração'!$D$56,7)=0,INT(('🌱 Configuração'!$B$56+10-'🌱 Configuração'!$D$56)/7)+1=3),"🍄 Beauveria bassiana — solo | ⚠️ Umid &lt;45%",IF(AND('🌱 Configuração'!$B$56+10&gt;='🌱 Configuração'!$D$56,'🌱 Configuração'!$B$56+10&lt;'🌱 Configuração'!$E$56,MOD('🌱 Configuração'!$B$56+10-'🌱 Configuração'!$D$56,7)=0,INT(('🌱 Configuração'!$B$56+10-'🌱 Configuração'!$D$56)/7)+1=4),"🦠 Trichoderma — solo | Inspecionar buds",IF(AND('🌱 Configuração'!$B$56+10&gt;='🌱 Configuração'!$D$56,'🌱 Configuração'!$B$56+10&lt;'🌱 Configuração'!$E$56,MOD('🌱 Configuração'!$B$56+10-'🌱 Configuração'!$D$56,7)=0,INT(('🌱 Configuração'!$B$56+10-'🌱 Configuração'!$D$56)/7)+1=5),"🍄 Beauveria + inspeção visual buds",IF(AND('🌱 Configuração'!$B$56+10&gt;='🌱 Configuração'!$D$56,'🌱 Configuração'!$B$56+10&lt;'🌱 Configuração'!$E$56,MOD('🌱 Configuração'!$B$56+10-'🌱 Configuração'!$D$56,7)=0,INT(('🌱 Configuração'!$B$56+10-'🌱 Configuração'!$D$56)/7)+1=6),"🦠 Trichoderma + ⚠️ Verificar mofo","")))))),IF(AND('🌱 Configuração'!$B$56+10&gt;='🌱 Configuração'!$E$56,MOD('🌱 Configuração'!$B$56+10-'🌱 Configuração'!$E$56,7)=0),"🔬 Inspeção final — analisar tricomas","")))))</f>
        <v/>
      </c>
      <c r="I16" s="33"/>
    </row>
    <row r="17" spans="1:9" ht="19.5" customHeight="1">
      <c r="A17" s="1"/>
      <c r="B17" s="39">
        <f>IF(12&lt;='🌱 Configuração'!$F$55,12,"")</f>
        <v>12</v>
      </c>
      <c r="C17" s="40">
        <f>IF(12&lt;='🌱 Configuração'!$F$55,'🌱 Configuração'!$B$56+11,"")</f>
        <v>11</v>
      </c>
      <c r="D17" s="41" t="str">
        <f>IF(12&gt;'🌱 Configuração'!$F$55,"",IF('🌱 Configuração'!$B$56+11&lt;'🌱 Configuração'!$C$56,"🌱 Clone",IF('🌱 Configuração'!$B$56+11&lt;'🌱 Configuração'!$D$56,"🌿 Vegetativo",IF('🌱 Configuração'!$B$56+11&lt;'🌱 Configuração'!$E$56,"🌸 Floração","🚿 Flush"))))</f>
        <v>🌱 Clone</v>
      </c>
      <c r="E17" s="42" t="str">
        <f>IF(12&gt;'🌱 Configuração'!$F$55,"",IF('🌱 Configuração'!$B$56+11&lt;'🌱 Configuração'!$C$56,"Clone S"&amp;INT((12-1)/7)+1,IF('🌱 Configuração'!$B$56+11&lt;'🌱 Configuração'!$D$56,"Vega S"&amp;INT(('🌱 Configuração'!$B$56+11-'🌱 Configuração'!$C$56)/7)+1,IF('🌱 Configuração'!$B$56+11&lt;'🌱 Configuração'!$E$56,"Flora S"&amp;INT(('🌱 Configuração'!$B$56+11-'🌱 Configuração'!$D$56)/7)+1,"Flush S"&amp;INT(('🌱 Configuração'!$B$56+11-'🌱 Configuração'!$E$56)/7)+1))))</f>
        <v>Clone S2</v>
      </c>
      <c r="F17" s="43" t="str">
        <f>IF(12&gt;'🌱 Configuração'!$F$55,"",IF('🌱 Configuração'!$B$56+11='🌱 Configuração'!$C$56,"🌿 INÍCIO VEGA — luz 18h/dia",IF('🌱 Configuração'!$B$56+11='🌱 Configuração'!$D$56,"🌸 INÍCIO FLORAÇÃO — mudar 12/12 🔴",IF('🌱 Configuração'!$B$56+11='🌱 Configuração'!$E$56,"🚿 INÍCIO FLUSH — parar nutrição",IF('🌱 Configuração'!$B$56+11='🌱 Configuração'!$F$56-1,"🔬 Véspera da colheita — analisar tricomas",IF('🌱 Configuração'!$B$56+11='🌱 Configuração'!$F$56,"✂️ COLHEITA — Parabéns! 🎉",""))))))</f>
        <v/>
      </c>
      <c r="G17" s="44" t="s">
        <v>428</v>
      </c>
      <c r="H17" s="45" t="str">
        <f>IF(12&gt;'🌱 Configuração'!$F$55,"",IF('🌱 Configuração'!$B$56+11&lt;'🌱 Configuração'!$C$56,IF(12=1,"🌿 Nim (2 mL/L) — foliar leve",IF(12=8,"🍄 Beauveria bassiana — foliar + solo","")),IF('🌱 Configuração'!$B$56+11&lt;'🌱 Configuração'!$D$56,IF(AND('🌱 Configuração'!$B$56+11&gt;='🌱 Configuração'!$C$56,'🌱 Configuração'!$B$56+11&lt;'🌱 Configuração'!$D$56,MOD('🌱 Configuração'!$B$56+11-'🌱 Configuração'!$C$56,7)=0,INT(('🌱 Configuração'!$B$56+11-'🌱 Configuração'!$C$56)/7)+1=1),"🌿 Nim (2 mL/L) — foliar preventivo",IF(AND('🌱 Configuração'!$B$56+11&gt;='🌱 Configuração'!$C$56,'🌱 Configuração'!$B$56+11&lt;'🌱 Configuração'!$D$56,MOD('🌱 Configuração'!$B$56+11-'🌱 Configuração'!$C$56,7)=0,INT(('🌱 Configuração'!$B$56+11-'🌱 Configuração'!$C$56)/7)+1=2),"🍄 Beauveria bassiana — foliar + solo",IF(AND('🌱 Configuração'!$B$56+11&gt;='🌱 Configuração'!$C$56,'🌱 Configuração'!$B$56+11&lt;'🌱 Configuração'!$D$56,MOD('🌱 Configuração'!$B$56+11-'🌱 Configuração'!$C$56,7)=0,INT(('🌱 Configuração'!$B$56+11-'🌱 Configuração'!$C$56)/7)+1=3),"🟡 Calda Sulfocálcica (1%) — foliar",IF(AND('🌱 Configuração'!$B$56+11&gt;='🌱 Configuração'!$C$56,'🌱 Configuração'!$B$56+11&lt;'🌱 Configuração'!$D$56,MOD('🌱 Configuração'!$B$56+11-'🌱 Configuração'!$C$56,7)=0,INT(('🌱 Configuração'!$B$56+11-'🌱 Configuração'!$C$56)/7)+1=4),"🦠 Trichoderma (3 g/L) — solo",IF(AND('🌱 Configuração'!$B$56+11&gt;='🌱 Configuração'!$C$56,'🌱 Configuração'!$B$56+11&lt;'🌱 Configuração'!$D$56,MOD('🌱 Configuração'!$B$56+11-'🌱 Configuração'!$C$56,7)=0,INT(('🌱 Configuração'!$B$56+11-'🌱 Configuração'!$C$56)/7)+1=5),"🔵 Calda Bordalesa (0.5%) — foliar",IF(AND('🌱 Configuração'!$B$56+11&gt;='🌱 Configuração'!$C$56,'🌱 Configuração'!$B$56+11&lt;'🌱 Configuração'!$D$56,MOD('🌱 Configuração'!$B$56+11-'🌱 Configuração'!$C$56,7)=0,INT(('🌱 Configuração'!$B$56+11-'🌱 Configuração'!$C$56)/7)+1=6),"🌿 Nim (2 mL/L) — ⚠️ ÚLTIMA foliar",IF(AND('🌱 Configuração'!$B$56+11&gt;='🌱 Configuração'!$C$56,'🌱 Configuração'!$B$56+11&lt;'🌱 Configuração'!$D$56,MOD('🌱 Configuração'!$B$56+11-'🌱 Configuração'!$C$56,7)=0,INT(('🌱 Configuração'!$B$56+11-'🌱 Configuração'!$C$56)/7)+1=7),"🦠 Trichoderma — solo",IF(AND('🌱 Configuração'!$B$56+11&gt;='🌱 Configuração'!$C$56,'🌱 Configuração'!$B$56+11&lt;'🌱 Configuração'!$D$56,MOD('🌱 Configuração'!$B$56+11-'🌱 Configuração'!$C$56,7)=0,INT(('🌱 Configuração'!$B$56+11-'🌱 Configuração'!$C$56)/7)+1=8),"🍄 Beauveria — solo","")))))))),IF('🌱 Configuração'!$B$56+11&lt;'🌱 Configuração'!$E$56,IF(AND('🌱 Configuração'!$B$56+11&gt;='🌱 Configuração'!$D$56,'🌱 Configuração'!$B$56+11&lt;'🌱 Configuração'!$E$56,MOD('🌱 Configuração'!$B$56+11-'🌱 Configuração'!$D$56,7)=0,INT(('🌱 Configuração'!$B$56+11-'🌱 Configuração'!$D$56)/7)+1=1),"🍄 Beauveria bassiana — SOLO apenas",IF(AND('🌱 Configuração'!$B$56+11&gt;='🌱 Configuração'!$D$56,'🌱 Configuração'!$B$56+11&lt;'🌱 Configuração'!$E$56,MOD('🌱 Configuração'!$B$56+11-'🌱 Configuração'!$D$56,7)=0,INT(('🌱 Configuração'!$B$56+11-'🌱 Configuração'!$D$56)/7)+1=2),"🦠 Trichoderma (3 g/L) — solo",IF(AND('🌱 Configuração'!$B$56+11&gt;='🌱 Configuração'!$D$56,'🌱 Configuração'!$B$56+11&lt;'🌱 Configuração'!$E$56,MOD('🌱 Configuração'!$B$56+11-'🌱 Configuração'!$D$56,7)=0,INT(('🌱 Configuração'!$B$56+11-'🌱 Configuração'!$D$56)/7)+1=3),"🍄 Beauveria bassiana — solo | ⚠️ Umid &lt;45%",IF(AND('🌱 Configuração'!$B$56+11&gt;='🌱 Configuração'!$D$56,'🌱 Configuração'!$B$56+11&lt;'🌱 Configuração'!$E$56,MOD('🌱 Configuração'!$B$56+11-'🌱 Configuração'!$D$56,7)=0,INT(('🌱 Configuração'!$B$56+11-'🌱 Configuração'!$D$56)/7)+1=4),"🦠 Trichoderma — solo | Inspecionar buds",IF(AND('🌱 Configuração'!$B$56+11&gt;='🌱 Configuração'!$D$56,'🌱 Configuração'!$B$56+11&lt;'🌱 Configuração'!$E$56,MOD('🌱 Configuração'!$B$56+11-'🌱 Configuração'!$D$56,7)=0,INT(('🌱 Configuração'!$B$56+11-'🌱 Configuração'!$D$56)/7)+1=5),"🍄 Beauveria + inspeção visual buds",IF(AND('🌱 Configuração'!$B$56+11&gt;='🌱 Configuração'!$D$56,'🌱 Configuração'!$B$56+11&lt;'🌱 Configuração'!$E$56,MOD('🌱 Configuração'!$B$56+11-'🌱 Configuração'!$D$56,7)=0,INT(('🌱 Configuração'!$B$56+11-'🌱 Configuração'!$D$56)/7)+1=6),"🦠 Trichoderma + ⚠️ Verificar mofo","")))))),IF(AND('🌱 Configuração'!$B$56+11&gt;='🌱 Configuração'!$E$56,MOD('🌱 Configuração'!$B$56+11-'🌱 Configuração'!$E$56,7)=0),"🔬 Inspeção final — analisar tricomas","")))))</f>
        <v/>
      </c>
      <c r="I17" s="33"/>
    </row>
    <row r="18" spans="1:9" ht="19.5" customHeight="1">
      <c r="A18" s="1"/>
      <c r="B18" s="35">
        <f>IF(13&lt;='🌱 Configuração'!$F$55,13,"")</f>
        <v>13</v>
      </c>
      <c r="C18" s="13">
        <f>IF(13&lt;='🌱 Configuração'!$F$55,'🌱 Configuração'!$B$56+12,"")</f>
        <v>12</v>
      </c>
      <c r="D18" s="36" t="str">
        <f>IF(13&gt;'🌱 Configuração'!$F$55,"",IF('🌱 Configuração'!$B$56+12&lt;'🌱 Configuração'!$C$56,"🌱 Clone",IF('🌱 Configuração'!$B$56+12&lt;'🌱 Configuração'!$D$56,"🌿 Vegetativo",IF('🌱 Configuração'!$B$56+12&lt;'🌱 Configuração'!$E$56,"🌸 Floração","🚿 Flush"))))</f>
        <v>🌱 Clone</v>
      </c>
      <c r="E18" s="15" t="str">
        <f>IF(13&gt;'🌱 Configuração'!$F$55,"",IF('🌱 Configuração'!$B$56+12&lt;'🌱 Configuração'!$C$56,"Clone S"&amp;INT((13-1)/7)+1,IF('🌱 Configuração'!$B$56+12&lt;'🌱 Configuração'!$D$56,"Vega S"&amp;INT(('🌱 Configuração'!$B$56+12-'🌱 Configuração'!$C$56)/7)+1,IF('🌱 Configuração'!$B$56+12&lt;'🌱 Configuração'!$E$56,"Flora S"&amp;INT(('🌱 Configuração'!$B$56+12-'🌱 Configuração'!$D$56)/7)+1,"Flush S"&amp;INT(('🌱 Configuração'!$B$56+12-'🌱 Configuração'!$E$56)/7)+1))))</f>
        <v>Clone S2</v>
      </c>
      <c r="F18" s="14" t="str">
        <f>IF(13&gt;'🌱 Configuração'!$F$55,"",IF('🌱 Configuração'!$B$56+12='🌱 Configuração'!$C$56,"🌿 INÍCIO VEGA — luz 18h/dia",IF('🌱 Configuração'!$B$56+12='🌱 Configuração'!$D$56,"🌸 INÍCIO FLORAÇÃO — mudar 12/12 🔴",IF('🌱 Configuração'!$B$56+12='🌱 Configuração'!$E$56,"🚿 INÍCIO FLUSH — parar nutrição",IF('🌱 Configuração'!$B$56+12='🌱 Configuração'!$F$56-1,"🔬 Véspera da colheita — analisar tricomas",IF('🌱 Configuração'!$B$56+12='🌱 Configuração'!$F$56,"✂️ COLHEITA — Parabéns! 🎉",""))))))</f>
        <v/>
      </c>
      <c r="G18" s="37" t="s">
        <v>428</v>
      </c>
      <c r="H18" s="38" t="str">
        <f>IF(13&gt;'🌱 Configuração'!$F$55,"",IF('🌱 Configuração'!$B$56+12&lt;'🌱 Configuração'!$C$56,IF(13=1,"🌿 Nim (2 mL/L) — foliar leve",IF(13=8,"🍄 Beauveria bassiana — foliar + solo","")),IF('🌱 Configuração'!$B$56+12&lt;'🌱 Configuração'!$D$56,IF(AND('🌱 Configuração'!$B$56+12&gt;='🌱 Configuração'!$C$56,'🌱 Configuração'!$B$56+12&lt;'🌱 Configuração'!$D$56,MOD('🌱 Configuração'!$B$56+12-'🌱 Configuração'!$C$56,7)=0,INT(('🌱 Configuração'!$B$56+12-'🌱 Configuração'!$C$56)/7)+1=1),"🌿 Nim (2 mL/L) — foliar preventivo",IF(AND('🌱 Configuração'!$B$56+12&gt;='🌱 Configuração'!$C$56,'🌱 Configuração'!$B$56+12&lt;'🌱 Configuração'!$D$56,MOD('🌱 Configuração'!$B$56+12-'🌱 Configuração'!$C$56,7)=0,INT(('🌱 Configuração'!$B$56+12-'🌱 Configuração'!$C$56)/7)+1=2),"🍄 Beauveria bassiana — foliar + solo",IF(AND('🌱 Configuração'!$B$56+12&gt;='🌱 Configuração'!$C$56,'🌱 Configuração'!$B$56+12&lt;'🌱 Configuração'!$D$56,MOD('🌱 Configuração'!$B$56+12-'🌱 Configuração'!$C$56,7)=0,INT(('🌱 Configuração'!$B$56+12-'🌱 Configuração'!$C$56)/7)+1=3),"🟡 Calda Sulfocálcica (1%) — foliar",IF(AND('🌱 Configuração'!$B$56+12&gt;='🌱 Configuração'!$C$56,'🌱 Configuração'!$B$56+12&lt;'🌱 Configuração'!$D$56,MOD('🌱 Configuração'!$B$56+12-'🌱 Configuração'!$C$56,7)=0,INT(('🌱 Configuração'!$B$56+12-'🌱 Configuração'!$C$56)/7)+1=4),"🦠 Trichoderma (3 g/L) — solo",IF(AND('🌱 Configuração'!$B$56+12&gt;='🌱 Configuração'!$C$56,'🌱 Configuração'!$B$56+12&lt;'🌱 Configuração'!$D$56,MOD('🌱 Configuração'!$B$56+12-'🌱 Configuração'!$C$56,7)=0,INT(('🌱 Configuração'!$B$56+12-'🌱 Configuração'!$C$56)/7)+1=5),"🔵 Calda Bordalesa (0.5%) — foliar",IF(AND('🌱 Configuração'!$B$56+12&gt;='🌱 Configuração'!$C$56,'🌱 Configuração'!$B$56+12&lt;'🌱 Configuração'!$D$56,MOD('🌱 Configuração'!$B$56+12-'🌱 Configuração'!$C$56,7)=0,INT(('🌱 Configuração'!$B$56+12-'🌱 Configuração'!$C$56)/7)+1=6),"🌿 Nim (2 mL/L) — ⚠️ ÚLTIMA foliar",IF(AND('🌱 Configuração'!$B$56+12&gt;='🌱 Configuração'!$C$56,'🌱 Configuração'!$B$56+12&lt;'🌱 Configuração'!$D$56,MOD('🌱 Configuração'!$B$56+12-'🌱 Configuração'!$C$56,7)=0,INT(('🌱 Configuração'!$B$56+12-'🌱 Configuração'!$C$56)/7)+1=7),"🦠 Trichoderma — solo",IF(AND('🌱 Configuração'!$B$56+12&gt;='🌱 Configuração'!$C$56,'🌱 Configuração'!$B$56+12&lt;'🌱 Configuração'!$D$56,MOD('🌱 Configuração'!$B$56+12-'🌱 Configuração'!$C$56,7)=0,INT(('🌱 Configuração'!$B$56+12-'🌱 Configuração'!$C$56)/7)+1=8),"🍄 Beauveria — solo","")))))))),IF('🌱 Configuração'!$B$56+12&lt;'🌱 Configuração'!$E$56,IF(AND('🌱 Configuração'!$B$56+12&gt;='🌱 Configuração'!$D$56,'🌱 Configuração'!$B$56+12&lt;'🌱 Configuração'!$E$56,MOD('🌱 Configuração'!$B$56+12-'🌱 Configuração'!$D$56,7)=0,INT(('🌱 Configuração'!$B$56+12-'🌱 Configuração'!$D$56)/7)+1=1),"🍄 Beauveria bassiana — SOLO apenas",IF(AND('🌱 Configuração'!$B$56+12&gt;='🌱 Configuração'!$D$56,'🌱 Configuração'!$B$56+12&lt;'🌱 Configuração'!$E$56,MOD('🌱 Configuração'!$B$56+12-'🌱 Configuração'!$D$56,7)=0,INT(('🌱 Configuração'!$B$56+12-'🌱 Configuração'!$D$56)/7)+1=2),"🦠 Trichoderma (3 g/L) — solo",IF(AND('🌱 Configuração'!$B$56+12&gt;='🌱 Configuração'!$D$56,'🌱 Configuração'!$B$56+12&lt;'🌱 Configuração'!$E$56,MOD('🌱 Configuração'!$B$56+12-'🌱 Configuração'!$D$56,7)=0,INT(('🌱 Configuração'!$B$56+12-'🌱 Configuração'!$D$56)/7)+1=3),"🍄 Beauveria bassiana — solo | ⚠️ Umid &lt;45%",IF(AND('🌱 Configuração'!$B$56+12&gt;='🌱 Configuração'!$D$56,'🌱 Configuração'!$B$56+12&lt;'🌱 Configuração'!$E$56,MOD('🌱 Configuração'!$B$56+12-'🌱 Configuração'!$D$56,7)=0,INT(('🌱 Configuração'!$B$56+12-'🌱 Configuração'!$D$56)/7)+1=4),"🦠 Trichoderma — solo | Inspecionar buds",IF(AND('🌱 Configuração'!$B$56+12&gt;='🌱 Configuração'!$D$56,'🌱 Configuração'!$B$56+12&lt;'🌱 Configuração'!$E$56,MOD('🌱 Configuração'!$B$56+12-'🌱 Configuração'!$D$56,7)=0,INT(('🌱 Configuração'!$B$56+12-'🌱 Configuração'!$D$56)/7)+1=5),"🍄 Beauveria + inspeção visual buds",IF(AND('🌱 Configuração'!$B$56+12&gt;='🌱 Configuração'!$D$56,'🌱 Configuração'!$B$56+12&lt;'🌱 Configuração'!$E$56,MOD('🌱 Configuração'!$B$56+12-'🌱 Configuração'!$D$56,7)=0,INT(('🌱 Configuração'!$B$56+12-'🌱 Configuração'!$D$56)/7)+1=6),"🦠 Trichoderma + ⚠️ Verificar mofo","")))))),IF(AND('🌱 Configuração'!$B$56+12&gt;='🌱 Configuração'!$E$56,MOD('🌱 Configuração'!$B$56+12-'🌱 Configuração'!$E$56,7)=0),"🔬 Inspeção final — analisar tricomas","")))))</f>
        <v/>
      </c>
      <c r="I18" s="33"/>
    </row>
    <row r="19" spans="1:9" ht="19.5" customHeight="1">
      <c r="A19" s="1"/>
      <c r="B19" s="39">
        <f>IF(14&lt;='🌱 Configuração'!$F$55,14,"")</f>
        <v>14</v>
      </c>
      <c r="C19" s="40">
        <f>IF(14&lt;='🌱 Configuração'!$F$55,'🌱 Configuração'!$B$56+13,"")</f>
        <v>13</v>
      </c>
      <c r="D19" s="41" t="str">
        <f>IF(14&gt;'🌱 Configuração'!$F$55,"",IF('🌱 Configuração'!$B$56+13&lt;'🌱 Configuração'!$C$56,"🌱 Clone",IF('🌱 Configuração'!$B$56+13&lt;'🌱 Configuração'!$D$56,"🌿 Vegetativo",IF('🌱 Configuração'!$B$56+13&lt;'🌱 Configuração'!$E$56,"🌸 Floração","🚿 Flush"))))</f>
        <v>🌱 Clone</v>
      </c>
      <c r="E19" s="42" t="str">
        <f>IF(14&gt;'🌱 Configuração'!$F$55,"",IF('🌱 Configuração'!$B$56+13&lt;'🌱 Configuração'!$C$56,"Clone S"&amp;INT((14-1)/7)+1,IF('🌱 Configuração'!$B$56+13&lt;'🌱 Configuração'!$D$56,"Vega S"&amp;INT(('🌱 Configuração'!$B$56+13-'🌱 Configuração'!$C$56)/7)+1,IF('🌱 Configuração'!$B$56+13&lt;'🌱 Configuração'!$E$56,"Flora S"&amp;INT(('🌱 Configuração'!$B$56+13-'🌱 Configuração'!$D$56)/7)+1,"Flush S"&amp;INT(('🌱 Configuração'!$B$56+13-'🌱 Configuração'!$E$56)/7)+1))))</f>
        <v>Clone S2</v>
      </c>
      <c r="F19" s="43" t="str">
        <f>IF(14&gt;'🌱 Configuração'!$F$55,"",IF('🌱 Configuração'!$B$56+13='🌱 Configuração'!$C$56,"🌿 INÍCIO VEGA — luz 18h/dia",IF('🌱 Configuração'!$B$56+13='🌱 Configuração'!$D$56,"🌸 INÍCIO FLORAÇÃO — mudar 12/12 🔴",IF('🌱 Configuração'!$B$56+13='🌱 Configuração'!$E$56,"🚿 INÍCIO FLUSH — parar nutrição",IF('🌱 Configuração'!$B$56+13='🌱 Configuração'!$F$56-1,"🔬 Véspera da colheita — analisar tricomas",IF('🌱 Configuração'!$B$56+13='🌱 Configuração'!$F$56,"✂️ COLHEITA — Parabéns! 🎉",""))))))</f>
        <v/>
      </c>
      <c r="G19" s="44" t="s">
        <v>428</v>
      </c>
      <c r="H19" s="45" t="str">
        <f>IF(14&gt;'🌱 Configuração'!$F$55,"",IF('🌱 Configuração'!$B$56+13&lt;'🌱 Configuração'!$C$56,IF(14=1,"🌿 Nim (2 mL/L) — foliar leve",IF(14=8,"🍄 Beauveria bassiana — foliar + solo","")),IF('🌱 Configuração'!$B$56+13&lt;'🌱 Configuração'!$D$56,IF(AND('🌱 Configuração'!$B$56+13&gt;='🌱 Configuração'!$C$56,'🌱 Configuração'!$B$56+13&lt;'🌱 Configuração'!$D$56,MOD('🌱 Configuração'!$B$56+13-'🌱 Configuração'!$C$56,7)=0,INT(('🌱 Configuração'!$B$56+13-'🌱 Configuração'!$C$56)/7)+1=1),"🌿 Nim (2 mL/L) — foliar preventivo",IF(AND('🌱 Configuração'!$B$56+13&gt;='🌱 Configuração'!$C$56,'🌱 Configuração'!$B$56+13&lt;'🌱 Configuração'!$D$56,MOD('🌱 Configuração'!$B$56+13-'🌱 Configuração'!$C$56,7)=0,INT(('🌱 Configuração'!$B$56+13-'🌱 Configuração'!$C$56)/7)+1=2),"🍄 Beauveria bassiana — foliar + solo",IF(AND('🌱 Configuração'!$B$56+13&gt;='🌱 Configuração'!$C$56,'🌱 Configuração'!$B$56+13&lt;'🌱 Configuração'!$D$56,MOD('🌱 Configuração'!$B$56+13-'🌱 Configuração'!$C$56,7)=0,INT(('🌱 Configuração'!$B$56+13-'🌱 Configuração'!$C$56)/7)+1=3),"🟡 Calda Sulfocálcica (1%) — foliar",IF(AND('🌱 Configuração'!$B$56+13&gt;='🌱 Configuração'!$C$56,'🌱 Configuração'!$B$56+13&lt;'🌱 Configuração'!$D$56,MOD('🌱 Configuração'!$B$56+13-'🌱 Configuração'!$C$56,7)=0,INT(('🌱 Configuração'!$B$56+13-'🌱 Configuração'!$C$56)/7)+1=4),"🦠 Trichoderma (3 g/L) — solo",IF(AND('🌱 Configuração'!$B$56+13&gt;='🌱 Configuração'!$C$56,'🌱 Configuração'!$B$56+13&lt;'🌱 Configuração'!$D$56,MOD('🌱 Configuração'!$B$56+13-'🌱 Configuração'!$C$56,7)=0,INT(('🌱 Configuração'!$B$56+13-'🌱 Configuração'!$C$56)/7)+1=5),"🔵 Calda Bordalesa (0.5%) — foliar",IF(AND('🌱 Configuração'!$B$56+13&gt;='🌱 Configuração'!$C$56,'🌱 Configuração'!$B$56+13&lt;'🌱 Configuração'!$D$56,MOD('🌱 Configuração'!$B$56+13-'🌱 Configuração'!$C$56,7)=0,INT(('🌱 Configuração'!$B$56+13-'🌱 Configuração'!$C$56)/7)+1=6),"🌿 Nim (2 mL/L) — ⚠️ ÚLTIMA foliar",IF(AND('🌱 Configuração'!$B$56+13&gt;='🌱 Configuração'!$C$56,'🌱 Configuração'!$B$56+13&lt;'🌱 Configuração'!$D$56,MOD('🌱 Configuração'!$B$56+13-'🌱 Configuração'!$C$56,7)=0,INT(('🌱 Configuração'!$B$56+13-'🌱 Configuração'!$C$56)/7)+1=7),"🦠 Trichoderma — solo",IF(AND('🌱 Configuração'!$B$56+13&gt;='🌱 Configuração'!$C$56,'🌱 Configuração'!$B$56+13&lt;'🌱 Configuração'!$D$56,MOD('🌱 Configuração'!$B$56+13-'🌱 Configuração'!$C$56,7)=0,INT(('🌱 Configuração'!$B$56+13-'🌱 Configuração'!$C$56)/7)+1=8),"🍄 Beauveria — solo","")))))))),IF('🌱 Configuração'!$B$56+13&lt;'🌱 Configuração'!$E$56,IF(AND('🌱 Configuração'!$B$56+13&gt;='🌱 Configuração'!$D$56,'🌱 Configuração'!$B$56+13&lt;'🌱 Configuração'!$E$56,MOD('🌱 Configuração'!$B$56+13-'🌱 Configuração'!$D$56,7)=0,INT(('🌱 Configuração'!$B$56+13-'🌱 Configuração'!$D$56)/7)+1=1),"🍄 Beauveria bassiana — SOLO apenas",IF(AND('🌱 Configuração'!$B$56+13&gt;='🌱 Configuração'!$D$56,'🌱 Configuração'!$B$56+13&lt;'🌱 Configuração'!$E$56,MOD('🌱 Configuração'!$B$56+13-'🌱 Configuração'!$D$56,7)=0,INT(('🌱 Configuração'!$B$56+13-'🌱 Configuração'!$D$56)/7)+1=2),"🦠 Trichoderma (3 g/L) — solo",IF(AND('🌱 Configuração'!$B$56+13&gt;='🌱 Configuração'!$D$56,'🌱 Configuração'!$B$56+13&lt;'🌱 Configuração'!$E$56,MOD('🌱 Configuração'!$B$56+13-'🌱 Configuração'!$D$56,7)=0,INT(('🌱 Configuração'!$B$56+13-'🌱 Configuração'!$D$56)/7)+1=3),"🍄 Beauveria bassiana — solo | ⚠️ Umid &lt;45%",IF(AND('🌱 Configuração'!$B$56+13&gt;='🌱 Configuração'!$D$56,'🌱 Configuração'!$B$56+13&lt;'🌱 Configuração'!$E$56,MOD('🌱 Configuração'!$B$56+13-'🌱 Configuração'!$D$56,7)=0,INT(('🌱 Configuração'!$B$56+13-'🌱 Configuração'!$D$56)/7)+1=4),"🦠 Trichoderma — solo | Inspecionar buds",IF(AND('🌱 Configuração'!$B$56+13&gt;='🌱 Configuração'!$D$56,'🌱 Configuração'!$B$56+13&lt;'🌱 Configuração'!$E$56,MOD('🌱 Configuração'!$B$56+13-'🌱 Configuração'!$D$56,7)=0,INT(('🌱 Configuração'!$B$56+13-'🌱 Configuração'!$D$56)/7)+1=5),"🍄 Beauveria + inspeção visual buds",IF(AND('🌱 Configuração'!$B$56+13&gt;='🌱 Configuração'!$D$56,'🌱 Configuração'!$B$56+13&lt;'🌱 Configuração'!$E$56,MOD('🌱 Configuração'!$B$56+13-'🌱 Configuração'!$D$56,7)=0,INT(('🌱 Configuração'!$B$56+13-'🌱 Configuração'!$D$56)/7)+1=6),"🦠 Trichoderma + ⚠️ Verificar mofo","")))))),IF(AND('🌱 Configuração'!$B$56+13&gt;='🌱 Configuração'!$E$56,MOD('🌱 Configuração'!$B$56+13-'🌱 Configuração'!$E$56,7)=0),"🔬 Inspeção final — analisar tricomas","")))))</f>
        <v/>
      </c>
      <c r="I19" s="33"/>
    </row>
    <row r="20" spans="1:9" ht="19.5" customHeight="1">
      <c r="A20" s="1"/>
      <c r="B20" s="35">
        <f>IF(15&lt;='🌱 Configuração'!$F$55,15,"")</f>
        <v>15</v>
      </c>
      <c r="C20" s="13">
        <f>IF(15&lt;='🌱 Configuração'!$F$55,'🌱 Configuração'!$B$56+14,"")</f>
        <v>14</v>
      </c>
      <c r="D20" s="36" t="str">
        <f>IF(15&gt;'🌱 Configuração'!$F$55,"",IF('🌱 Configuração'!$B$56+14&lt;'🌱 Configuração'!$C$56,"🌱 Clone",IF('🌱 Configuração'!$B$56+14&lt;'🌱 Configuração'!$D$56,"🌿 Vegetativo",IF('🌱 Configuração'!$B$56+14&lt;'🌱 Configuração'!$E$56,"🌸 Floração","🚿 Flush"))))</f>
        <v>🌿 Vegetativo</v>
      </c>
      <c r="E20" s="15" t="str">
        <f>IF(15&gt;'🌱 Configuração'!$F$55,"",IF('🌱 Configuração'!$B$56+14&lt;'🌱 Configuração'!$C$56,"Clone S"&amp;INT((15-1)/7)+1,IF('🌱 Configuração'!$B$56+14&lt;'🌱 Configuração'!$D$56,"Vega S"&amp;INT(('🌱 Configuração'!$B$56+14-'🌱 Configuração'!$C$56)/7)+1,IF('🌱 Configuração'!$B$56+14&lt;'🌱 Configuração'!$E$56,"Flora S"&amp;INT(('🌱 Configuração'!$B$56+14-'🌱 Configuração'!$D$56)/7)+1,"Flush S"&amp;INT(('🌱 Configuração'!$B$56+14-'🌱 Configuração'!$E$56)/7)+1))))</f>
        <v>Vega S1</v>
      </c>
      <c r="F20" s="14" t="str">
        <f>IF(15&gt;'🌱 Configuração'!$F$55,"",IF('🌱 Configuração'!$B$56+14='🌱 Configuração'!$C$56,"🌿 INÍCIO VEGA — luz 18h/dia",IF('🌱 Configuração'!$B$56+14='🌱 Configuração'!$D$56,"🌸 INÍCIO FLORAÇÃO — mudar 12/12 🔴",IF('🌱 Configuração'!$B$56+14='🌱 Configuração'!$E$56,"🚿 INÍCIO FLUSH — parar nutrição",IF('🌱 Configuração'!$B$56+14='🌱 Configuração'!$F$56-1,"🔬 Véspera da colheita — analisar tricomas",IF('🌱 Configuração'!$B$56+14='🌱 Configuração'!$F$56,"✂️ COLHEITA — Parabéns! 🎉",""))))))</f>
        <v>🌿 INÍCIO VEGA — luz 18h/dia</v>
      </c>
      <c r="G20" s="37" t="s">
        <v>430</v>
      </c>
      <c r="H20" s="38" t="str">
        <f>IF(15&gt;'🌱 Configuração'!$F$55,"",IF('🌱 Configuração'!$B$56+14&lt;'🌱 Configuração'!$C$56,IF(15=1,"🌿 Nim (2 mL/L) — foliar leve",IF(15=8,"🍄 Beauveria bassiana — foliar + solo","")),IF('🌱 Configuração'!$B$56+14&lt;'🌱 Configuração'!$D$56,IF(AND('🌱 Configuração'!$B$56+14&gt;='🌱 Configuração'!$C$56,'🌱 Configuração'!$B$56+14&lt;'🌱 Configuração'!$D$56,MOD('🌱 Configuração'!$B$56+14-'🌱 Configuração'!$C$56,7)=0,INT(('🌱 Configuração'!$B$56+14-'🌱 Configuração'!$C$56)/7)+1=1),"🌿 Nim (2 mL/L) — foliar preventivo",IF(AND('🌱 Configuração'!$B$56+14&gt;='🌱 Configuração'!$C$56,'🌱 Configuração'!$B$56+14&lt;'🌱 Configuração'!$D$56,MOD('🌱 Configuração'!$B$56+14-'🌱 Configuração'!$C$56,7)=0,INT(('🌱 Configuração'!$B$56+14-'🌱 Configuração'!$C$56)/7)+1=2),"🍄 Beauveria bassiana — foliar + solo",IF(AND('🌱 Configuração'!$B$56+14&gt;='🌱 Configuração'!$C$56,'🌱 Configuração'!$B$56+14&lt;'🌱 Configuração'!$D$56,MOD('🌱 Configuração'!$B$56+14-'🌱 Configuração'!$C$56,7)=0,INT(('🌱 Configuração'!$B$56+14-'🌱 Configuração'!$C$56)/7)+1=3),"🟡 Calda Sulfocálcica (1%) — foliar",IF(AND('🌱 Configuração'!$B$56+14&gt;='🌱 Configuração'!$C$56,'🌱 Configuração'!$B$56+14&lt;'🌱 Configuração'!$D$56,MOD('🌱 Configuração'!$B$56+14-'🌱 Configuração'!$C$56,7)=0,INT(('🌱 Configuração'!$B$56+14-'🌱 Configuração'!$C$56)/7)+1=4),"🦠 Trichoderma (3 g/L) — solo",IF(AND('🌱 Configuração'!$B$56+14&gt;='🌱 Configuração'!$C$56,'🌱 Configuração'!$B$56+14&lt;'🌱 Configuração'!$D$56,MOD('🌱 Configuração'!$B$56+14-'🌱 Configuração'!$C$56,7)=0,INT(('🌱 Configuração'!$B$56+14-'🌱 Configuração'!$C$56)/7)+1=5),"🔵 Calda Bordalesa (0.5%) — foliar",IF(AND('🌱 Configuração'!$B$56+14&gt;='🌱 Configuração'!$C$56,'🌱 Configuração'!$B$56+14&lt;'🌱 Configuração'!$D$56,MOD('🌱 Configuração'!$B$56+14-'🌱 Configuração'!$C$56,7)=0,INT(('🌱 Configuração'!$B$56+14-'🌱 Configuração'!$C$56)/7)+1=6),"🌿 Nim (2 mL/L) — ⚠️ ÚLTIMA foliar",IF(AND('🌱 Configuração'!$B$56+14&gt;='🌱 Configuração'!$C$56,'🌱 Configuração'!$B$56+14&lt;'🌱 Configuração'!$D$56,MOD('🌱 Configuração'!$B$56+14-'🌱 Configuração'!$C$56,7)=0,INT(('🌱 Configuração'!$B$56+14-'🌱 Configuração'!$C$56)/7)+1=7),"🦠 Trichoderma — solo",IF(AND('🌱 Configuração'!$B$56+14&gt;='🌱 Configuração'!$C$56,'🌱 Configuração'!$B$56+14&lt;'🌱 Configuração'!$D$56,MOD('🌱 Configuração'!$B$56+14-'🌱 Configuração'!$C$56,7)=0,INT(('🌱 Configuração'!$B$56+14-'🌱 Configuração'!$C$56)/7)+1=8),"🍄 Beauveria — solo","")))))))),IF('🌱 Configuração'!$B$56+14&lt;'🌱 Configuração'!$E$56,IF(AND('🌱 Configuração'!$B$56+14&gt;='🌱 Configuração'!$D$56,'🌱 Configuração'!$B$56+14&lt;'🌱 Configuração'!$E$56,MOD('🌱 Configuração'!$B$56+14-'🌱 Configuração'!$D$56,7)=0,INT(('🌱 Configuração'!$B$56+14-'🌱 Configuração'!$D$56)/7)+1=1),"🍄 Beauveria bassiana — SOLO apenas",IF(AND('🌱 Configuração'!$B$56+14&gt;='🌱 Configuração'!$D$56,'🌱 Configuração'!$B$56+14&lt;'🌱 Configuração'!$E$56,MOD('🌱 Configuração'!$B$56+14-'🌱 Configuração'!$D$56,7)=0,INT(('🌱 Configuração'!$B$56+14-'🌱 Configuração'!$D$56)/7)+1=2),"🦠 Trichoderma (3 g/L) — solo",IF(AND('🌱 Configuração'!$B$56+14&gt;='🌱 Configuração'!$D$56,'🌱 Configuração'!$B$56+14&lt;'🌱 Configuração'!$E$56,MOD('🌱 Configuração'!$B$56+14-'🌱 Configuração'!$D$56,7)=0,INT(('🌱 Configuração'!$B$56+14-'🌱 Configuração'!$D$56)/7)+1=3),"🍄 Beauveria bassiana — solo | ⚠️ Umid &lt;45%",IF(AND('🌱 Configuração'!$B$56+14&gt;='🌱 Configuração'!$D$56,'🌱 Configuração'!$B$56+14&lt;'🌱 Configuração'!$E$56,MOD('🌱 Configuração'!$B$56+14-'🌱 Configuração'!$D$56,7)=0,INT(('🌱 Configuração'!$B$56+14-'🌱 Configuração'!$D$56)/7)+1=4),"🦠 Trichoderma — solo | Inspecionar buds",IF(AND('🌱 Configuração'!$B$56+14&gt;='🌱 Configuração'!$D$56,'🌱 Configuração'!$B$56+14&lt;'🌱 Configuração'!$E$56,MOD('🌱 Configuração'!$B$56+14-'🌱 Configuração'!$D$56,7)=0,INT(('🌱 Configuração'!$B$56+14-'🌱 Configuração'!$D$56)/7)+1=5),"🍄 Beauveria + inspeção visual buds",IF(AND('🌱 Configuração'!$B$56+14&gt;='🌱 Configuração'!$D$56,'🌱 Configuração'!$B$56+14&lt;'🌱 Configuração'!$E$56,MOD('🌱 Configuração'!$B$56+14-'🌱 Configuração'!$D$56,7)=0,INT(('🌱 Configuração'!$B$56+14-'🌱 Configuração'!$D$56)/7)+1=6),"🦠 Trichoderma + ⚠️ Verificar mofo","")))))),IF(AND('🌱 Configuração'!$B$56+14&gt;='🌱 Configuração'!$E$56,MOD('🌱 Configuração'!$B$56+14-'🌱 Configuração'!$E$56,7)=0),"🔬 Inspeção final — analisar tricomas","")))))</f>
        <v>🌿 Nim (2 mL/L) — foliar preventivo</v>
      </c>
      <c r="I20" s="33"/>
    </row>
    <row r="21" spans="1:9" ht="19.5" customHeight="1">
      <c r="A21" s="1"/>
      <c r="B21" s="39">
        <f>IF(16&lt;='🌱 Configuração'!$F$55,16,"")</f>
        <v>16</v>
      </c>
      <c r="C21" s="40">
        <f>IF(16&lt;='🌱 Configuração'!$F$55,'🌱 Configuração'!$B$56+15,"")</f>
        <v>15</v>
      </c>
      <c r="D21" s="41" t="str">
        <f>IF(16&gt;'🌱 Configuração'!$F$55,"",IF('🌱 Configuração'!$B$56+15&lt;'🌱 Configuração'!$C$56,"🌱 Clone",IF('🌱 Configuração'!$B$56+15&lt;'🌱 Configuração'!$D$56,"🌿 Vegetativo",IF('🌱 Configuração'!$B$56+15&lt;'🌱 Configuração'!$E$56,"🌸 Floração","🚿 Flush"))))</f>
        <v>🌿 Vegetativo</v>
      </c>
      <c r="E21" s="42" t="str">
        <f>IF(16&gt;'🌱 Configuração'!$F$55,"",IF('🌱 Configuração'!$B$56+15&lt;'🌱 Configuração'!$C$56,"Clone S"&amp;INT((16-1)/7)+1,IF('🌱 Configuração'!$B$56+15&lt;'🌱 Configuração'!$D$56,"Vega S"&amp;INT(('🌱 Configuração'!$B$56+15-'🌱 Configuração'!$C$56)/7)+1,IF('🌱 Configuração'!$B$56+15&lt;'🌱 Configuração'!$E$56,"Flora S"&amp;INT(('🌱 Configuração'!$B$56+15-'🌱 Configuração'!$D$56)/7)+1,"Flush S"&amp;INT(('🌱 Configuração'!$B$56+15-'🌱 Configuração'!$E$56)/7)+1))))</f>
        <v>Vega S1</v>
      </c>
      <c r="F21" s="43" t="str">
        <f>IF(16&gt;'🌱 Configuração'!$F$55,"",IF('🌱 Configuração'!$B$56+15='🌱 Configuração'!$C$56,"🌿 INÍCIO VEGA — luz 18h/dia",IF('🌱 Configuração'!$B$56+15='🌱 Configuração'!$D$56,"🌸 INÍCIO FLORAÇÃO — mudar 12/12 🔴",IF('🌱 Configuração'!$B$56+15='🌱 Configuração'!$E$56,"🚿 INÍCIO FLUSH — parar nutrição",IF('🌱 Configuração'!$B$56+15='🌱 Configuração'!$F$56-1,"🔬 Véspera da colheita — analisar tricomas",IF('🌱 Configuração'!$B$56+15='🌱 Configuração'!$F$56,"✂️ COLHEITA — Parabéns! 🎉",""))))))</f>
        <v/>
      </c>
      <c r="G21" s="44" t="s">
        <v>428</v>
      </c>
      <c r="H21" s="45" t="str">
        <f>IF(16&gt;'🌱 Configuração'!$F$55,"",IF('🌱 Configuração'!$B$56+15&lt;'🌱 Configuração'!$C$56,IF(16=1,"🌿 Nim (2 mL/L) — foliar leve",IF(16=8,"🍄 Beauveria bassiana — foliar + solo","")),IF('🌱 Configuração'!$B$56+15&lt;'🌱 Configuração'!$D$56,IF(AND('🌱 Configuração'!$B$56+15&gt;='🌱 Configuração'!$C$56,'🌱 Configuração'!$B$56+15&lt;'🌱 Configuração'!$D$56,MOD('🌱 Configuração'!$B$56+15-'🌱 Configuração'!$C$56,7)=0,INT(('🌱 Configuração'!$B$56+15-'🌱 Configuração'!$C$56)/7)+1=1),"🌿 Nim (2 mL/L) — foliar preventivo",IF(AND('🌱 Configuração'!$B$56+15&gt;='🌱 Configuração'!$C$56,'🌱 Configuração'!$B$56+15&lt;'🌱 Configuração'!$D$56,MOD('🌱 Configuração'!$B$56+15-'🌱 Configuração'!$C$56,7)=0,INT(('🌱 Configuração'!$B$56+15-'🌱 Configuração'!$C$56)/7)+1=2),"🍄 Beauveria bassiana — foliar + solo",IF(AND('🌱 Configuração'!$B$56+15&gt;='🌱 Configuração'!$C$56,'🌱 Configuração'!$B$56+15&lt;'🌱 Configuração'!$D$56,MOD('🌱 Configuração'!$B$56+15-'🌱 Configuração'!$C$56,7)=0,INT(('🌱 Configuração'!$B$56+15-'🌱 Configuração'!$C$56)/7)+1=3),"🟡 Calda Sulfocálcica (1%) — foliar",IF(AND('🌱 Configuração'!$B$56+15&gt;='🌱 Configuração'!$C$56,'🌱 Configuração'!$B$56+15&lt;'🌱 Configuração'!$D$56,MOD('🌱 Configuração'!$B$56+15-'🌱 Configuração'!$C$56,7)=0,INT(('🌱 Configuração'!$B$56+15-'🌱 Configuração'!$C$56)/7)+1=4),"🦠 Trichoderma (3 g/L) — solo",IF(AND('🌱 Configuração'!$B$56+15&gt;='🌱 Configuração'!$C$56,'🌱 Configuração'!$B$56+15&lt;'🌱 Configuração'!$D$56,MOD('🌱 Configuração'!$B$56+15-'🌱 Configuração'!$C$56,7)=0,INT(('🌱 Configuração'!$B$56+15-'🌱 Configuração'!$C$56)/7)+1=5),"🔵 Calda Bordalesa (0.5%) — foliar",IF(AND('🌱 Configuração'!$B$56+15&gt;='🌱 Configuração'!$C$56,'🌱 Configuração'!$B$56+15&lt;'🌱 Configuração'!$D$56,MOD('🌱 Configuração'!$B$56+15-'🌱 Configuração'!$C$56,7)=0,INT(('🌱 Configuração'!$B$56+15-'🌱 Configuração'!$C$56)/7)+1=6),"🌿 Nim (2 mL/L) — ⚠️ ÚLTIMA foliar",IF(AND('🌱 Configuração'!$B$56+15&gt;='🌱 Configuração'!$C$56,'🌱 Configuração'!$B$56+15&lt;'🌱 Configuração'!$D$56,MOD('🌱 Configuração'!$B$56+15-'🌱 Configuração'!$C$56,7)=0,INT(('🌱 Configuração'!$B$56+15-'🌱 Configuração'!$C$56)/7)+1=7),"🦠 Trichoderma — solo",IF(AND('🌱 Configuração'!$B$56+15&gt;='🌱 Configuração'!$C$56,'🌱 Configuração'!$B$56+15&lt;'🌱 Configuração'!$D$56,MOD('🌱 Configuração'!$B$56+15-'🌱 Configuração'!$C$56,7)=0,INT(('🌱 Configuração'!$B$56+15-'🌱 Configuração'!$C$56)/7)+1=8),"🍄 Beauveria — solo","")))))))),IF('🌱 Configuração'!$B$56+15&lt;'🌱 Configuração'!$E$56,IF(AND('🌱 Configuração'!$B$56+15&gt;='🌱 Configuração'!$D$56,'🌱 Configuração'!$B$56+15&lt;'🌱 Configuração'!$E$56,MOD('🌱 Configuração'!$B$56+15-'🌱 Configuração'!$D$56,7)=0,INT(('🌱 Configuração'!$B$56+15-'🌱 Configuração'!$D$56)/7)+1=1),"🍄 Beauveria bassiana — SOLO apenas",IF(AND('🌱 Configuração'!$B$56+15&gt;='🌱 Configuração'!$D$56,'🌱 Configuração'!$B$56+15&lt;'🌱 Configuração'!$E$56,MOD('🌱 Configuração'!$B$56+15-'🌱 Configuração'!$D$56,7)=0,INT(('🌱 Configuração'!$B$56+15-'🌱 Configuração'!$D$56)/7)+1=2),"🦠 Trichoderma (3 g/L) — solo",IF(AND('🌱 Configuração'!$B$56+15&gt;='🌱 Configuração'!$D$56,'🌱 Configuração'!$B$56+15&lt;'🌱 Configuração'!$E$56,MOD('🌱 Configuração'!$B$56+15-'🌱 Configuração'!$D$56,7)=0,INT(('🌱 Configuração'!$B$56+15-'🌱 Configuração'!$D$56)/7)+1=3),"🍄 Beauveria bassiana — solo | ⚠️ Umid &lt;45%",IF(AND('🌱 Configuração'!$B$56+15&gt;='🌱 Configuração'!$D$56,'🌱 Configuração'!$B$56+15&lt;'🌱 Configuração'!$E$56,MOD('🌱 Configuração'!$B$56+15-'🌱 Configuração'!$D$56,7)=0,INT(('🌱 Configuração'!$B$56+15-'🌱 Configuração'!$D$56)/7)+1=4),"🦠 Trichoderma — solo | Inspecionar buds",IF(AND('🌱 Configuração'!$B$56+15&gt;='🌱 Configuração'!$D$56,'🌱 Configuração'!$B$56+15&lt;'🌱 Configuração'!$E$56,MOD('🌱 Configuração'!$B$56+15-'🌱 Configuração'!$D$56,7)=0,INT(('🌱 Configuração'!$B$56+15-'🌱 Configuração'!$D$56)/7)+1=5),"🍄 Beauveria + inspeção visual buds",IF(AND('🌱 Configuração'!$B$56+15&gt;='🌱 Configuração'!$D$56,'🌱 Configuração'!$B$56+15&lt;'🌱 Configuração'!$E$56,MOD('🌱 Configuração'!$B$56+15-'🌱 Configuração'!$D$56,7)=0,INT(('🌱 Configuração'!$B$56+15-'🌱 Configuração'!$D$56)/7)+1=6),"🦠 Trichoderma + ⚠️ Verificar mofo","")))))),IF(AND('🌱 Configuração'!$B$56+15&gt;='🌱 Configuração'!$E$56,MOD('🌱 Configuração'!$B$56+15-'🌱 Configuração'!$E$56,7)=0),"🔬 Inspeção final — analisar tricomas","")))))</f>
        <v/>
      </c>
      <c r="I21" s="33"/>
    </row>
    <row r="22" spans="1:9" ht="19.5" customHeight="1">
      <c r="A22" s="1"/>
      <c r="B22" s="35">
        <f>IF(17&lt;='🌱 Configuração'!$F$55,17,"")</f>
        <v>17</v>
      </c>
      <c r="C22" s="13">
        <f>IF(17&lt;='🌱 Configuração'!$F$55,'🌱 Configuração'!$B$56+16,"")</f>
        <v>16</v>
      </c>
      <c r="D22" s="36" t="str">
        <f>IF(17&gt;'🌱 Configuração'!$F$55,"",IF('🌱 Configuração'!$B$56+16&lt;'🌱 Configuração'!$C$56,"🌱 Clone",IF('🌱 Configuração'!$B$56+16&lt;'🌱 Configuração'!$D$56,"🌿 Vegetativo",IF('🌱 Configuração'!$B$56+16&lt;'🌱 Configuração'!$E$56,"🌸 Floração","🚿 Flush"))))</f>
        <v>🌿 Vegetativo</v>
      </c>
      <c r="E22" s="15" t="str">
        <f>IF(17&gt;'🌱 Configuração'!$F$55,"",IF('🌱 Configuração'!$B$56+16&lt;'🌱 Configuração'!$C$56,"Clone S"&amp;INT((17-1)/7)+1,IF('🌱 Configuração'!$B$56+16&lt;'🌱 Configuração'!$D$56,"Vega S"&amp;INT(('🌱 Configuração'!$B$56+16-'🌱 Configuração'!$C$56)/7)+1,IF('🌱 Configuração'!$B$56+16&lt;'🌱 Configuração'!$E$56,"Flora S"&amp;INT(('🌱 Configuração'!$B$56+16-'🌱 Configuração'!$D$56)/7)+1,"Flush S"&amp;INT(('🌱 Configuração'!$B$56+16-'🌱 Configuração'!$E$56)/7)+1))))</f>
        <v>Vega S1</v>
      </c>
      <c r="F22" s="14" t="str">
        <f>IF(17&gt;'🌱 Configuração'!$F$55,"",IF('🌱 Configuração'!$B$56+16='🌱 Configuração'!$C$56,"🌿 INÍCIO VEGA — luz 18h/dia",IF('🌱 Configuração'!$B$56+16='🌱 Configuração'!$D$56,"🌸 INÍCIO FLORAÇÃO — mudar 12/12 🔴",IF('🌱 Configuração'!$B$56+16='🌱 Configuração'!$E$56,"🚿 INÍCIO FLUSH — parar nutrição",IF('🌱 Configuração'!$B$56+16='🌱 Configuração'!$F$56-1,"🔬 Véspera da colheita — analisar tricomas",IF('🌱 Configuração'!$B$56+16='🌱 Configuração'!$F$56,"✂️ COLHEITA — Parabéns! 🎉",""))))))</f>
        <v/>
      </c>
      <c r="G22" s="37" t="s">
        <v>428</v>
      </c>
      <c r="H22" s="38" t="str">
        <f>IF(17&gt;'🌱 Configuração'!$F$55,"",IF('🌱 Configuração'!$B$56+16&lt;'🌱 Configuração'!$C$56,IF(17=1,"🌿 Nim (2 mL/L) — foliar leve",IF(17=8,"🍄 Beauveria bassiana — foliar + solo","")),IF('🌱 Configuração'!$B$56+16&lt;'🌱 Configuração'!$D$56,IF(AND('🌱 Configuração'!$B$56+16&gt;='🌱 Configuração'!$C$56,'🌱 Configuração'!$B$56+16&lt;'🌱 Configuração'!$D$56,MOD('🌱 Configuração'!$B$56+16-'🌱 Configuração'!$C$56,7)=0,INT(('🌱 Configuração'!$B$56+16-'🌱 Configuração'!$C$56)/7)+1=1),"🌿 Nim (2 mL/L) — foliar preventivo",IF(AND('🌱 Configuração'!$B$56+16&gt;='🌱 Configuração'!$C$56,'🌱 Configuração'!$B$56+16&lt;'🌱 Configuração'!$D$56,MOD('🌱 Configuração'!$B$56+16-'🌱 Configuração'!$C$56,7)=0,INT(('🌱 Configuração'!$B$56+16-'🌱 Configuração'!$C$56)/7)+1=2),"🍄 Beauveria bassiana — foliar + solo",IF(AND('🌱 Configuração'!$B$56+16&gt;='🌱 Configuração'!$C$56,'🌱 Configuração'!$B$56+16&lt;'🌱 Configuração'!$D$56,MOD('🌱 Configuração'!$B$56+16-'🌱 Configuração'!$C$56,7)=0,INT(('🌱 Configuração'!$B$56+16-'🌱 Configuração'!$C$56)/7)+1=3),"🟡 Calda Sulfocálcica (1%) — foliar",IF(AND('🌱 Configuração'!$B$56+16&gt;='🌱 Configuração'!$C$56,'🌱 Configuração'!$B$56+16&lt;'🌱 Configuração'!$D$56,MOD('🌱 Configuração'!$B$56+16-'🌱 Configuração'!$C$56,7)=0,INT(('🌱 Configuração'!$B$56+16-'🌱 Configuração'!$C$56)/7)+1=4),"🦠 Trichoderma (3 g/L) — solo",IF(AND('🌱 Configuração'!$B$56+16&gt;='🌱 Configuração'!$C$56,'🌱 Configuração'!$B$56+16&lt;'🌱 Configuração'!$D$56,MOD('🌱 Configuração'!$B$56+16-'🌱 Configuração'!$C$56,7)=0,INT(('🌱 Configuração'!$B$56+16-'🌱 Configuração'!$C$56)/7)+1=5),"🔵 Calda Bordalesa (0.5%) — foliar",IF(AND('🌱 Configuração'!$B$56+16&gt;='🌱 Configuração'!$C$56,'🌱 Configuração'!$B$56+16&lt;'🌱 Configuração'!$D$56,MOD('🌱 Configuração'!$B$56+16-'🌱 Configuração'!$C$56,7)=0,INT(('🌱 Configuração'!$B$56+16-'🌱 Configuração'!$C$56)/7)+1=6),"🌿 Nim (2 mL/L) — ⚠️ ÚLTIMA foliar",IF(AND('🌱 Configuração'!$B$56+16&gt;='🌱 Configuração'!$C$56,'🌱 Configuração'!$B$56+16&lt;'🌱 Configuração'!$D$56,MOD('🌱 Configuração'!$B$56+16-'🌱 Configuração'!$C$56,7)=0,INT(('🌱 Configuração'!$B$56+16-'🌱 Configuração'!$C$56)/7)+1=7),"🦠 Trichoderma — solo",IF(AND('🌱 Configuração'!$B$56+16&gt;='🌱 Configuração'!$C$56,'🌱 Configuração'!$B$56+16&lt;'🌱 Configuração'!$D$56,MOD('🌱 Configuração'!$B$56+16-'🌱 Configuração'!$C$56,7)=0,INT(('🌱 Configuração'!$B$56+16-'🌱 Configuração'!$C$56)/7)+1=8),"🍄 Beauveria — solo","")))))))),IF('🌱 Configuração'!$B$56+16&lt;'🌱 Configuração'!$E$56,IF(AND('🌱 Configuração'!$B$56+16&gt;='🌱 Configuração'!$D$56,'🌱 Configuração'!$B$56+16&lt;'🌱 Configuração'!$E$56,MOD('🌱 Configuração'!$B$56+16-'🌱 Configuração'!$D$56,7)=0,INT(('🌱 Configuração'!$B$56+16-'🌱 Configuração'!$D$56)/7)+1=1),"🍄 Beauveria bassiana — SOLO apenas",IF(AND('🌱 Configuração'!$B$56+16&gt;='🌱 Configuração'!$D$56,'🌱 Configuração'!$B$56+16&lt;'🌱 Configuração'!$E$56,MOD('🌱 Configuração'!$B$56+16-'🌱 Configuração'!$D$56,7)=0,INT(('🌱 Configuração'!$B$56+16-'🌱 Configuração'!$D$56)/7)+1=2),"🦠 Trichoderma (3 g/L) — solo",IF(AND('🌱 Configuração'!$B$56+16&gt;='🌱 Configuração'!$D$56,'🌱 Configuração'!$B$56+16&lt;'🌱 Configuração'!$E$56,MOD('🌱 Configuração'!$B$56+16-'🌱 Configuração'!$D$56,7)=0,INT(('🌱 Configuração'!$B$56+16-'🌱 Configuração'!$D$56)/7)+1=3),"🍄 Beauveria bassiana — solo | ⚠️ Umid &lt;45%",IF(AND('🌱 Configuração'!$B$56+16&gt;='🌱 Configuração'!$D$56,'🌱 Configuração'!$B$56+16&lt;'🌱 Configuração'!$E$56,MOD('🌱 Configuração'!$B$56+16-'🌱 Configuração'!$D$56,7)=0,INT(('🌱 Configuração'!$B$56+16-'🌱 Configuração'!$D$56)/7)+1=4),"🦠 Trichoderma — solo | Inspecionar buds",IF(AND('🌱 Configuração'!$B$56+16&gt;='🌱 Configuração'!$D$56,'🌱 Configuração'!$B$56+16&lt;'🌱 Configuração'!$E$56,MOD('🌱 Configuração'!$B$56+16-'🌱 Configuração'!$D$56,7)=0,INT(('🌱 Configuração'!$B$56+16-'🌱 Configuração'!$D$56)/7)+1=5),"🍄 Beauveria + inspeção visual buds",IF(AND('🌱 Configuração'!$B$56+16&gt;='🌱 Configuração'!$D$56,'🌱 Configuração'!$B$56+16&lt;'🌱 Configuração'!$E$56,MOD('🌱 Configuração'!$B$56+16-'🌱 Configuração'!$D$56,7)=0,INT(('🌱 Configuração'!$B$56+16-'🌱 Configuração'!$D$56)/7)+1=6),"🦠 Trichoderma + ⚠️ Verificar mofo","")))))),IF(AND('🌱 Configuração'!$B$56+16&gt;='🌱 Configuração'!$E$56,MOD('🌱 Configuração'!$B$56+16-'🌱 Configuração'!$E$56,7)=0),"🔬 Inspeção final — analisar tricomas","")))))</f>
        <v/>
      </c>
      <c r="I22" s="33"/>
    </row>
    <row r="23" spans="1:9" ht="19.5" customHeight="1">
      <c r="A23" s="1"/>
      <c r="B23" s="39">
        <f>IF(18&lt;='🌱 Configuração'!$F$55,18,"")</f>
        <v>18</v>
      </c>
      <c r="C23" s="40">
        <f>IF(18&lt;='🌱 Configuração'!$F$55,'🌱 Configuração'!$B$56+17,"")</f>
        <v>17</v>
      </c>
      <c r="D23" s="41" t="str">
        <f>IF(18&gt;'🌱 Configuração'!$F$55,"",IF('🌱 Configuração'!$B$56+17&lt;'🌱 Configuração'!$C$56,"🌱 Clone",IF('🌱 Configuração'!$B$56+17&lt;'🌱 Configuração'!$D$56,"🌿 Vegetativo",IF('🌱 Configuração'!$B$56+17&lt;'🌱 Configuração'!$E$56,"🌸 Floração","🚿 Flush"))))</f>
        <v>🌿 Vegetativo</v>
      </c>
      <c r="E23" s="42" t="str">
        <f>IF(18&gt;'🌱 Configuração'!$F$55,"",IF('🌱 Configuração'!$B$56+17&lt;'🌱 Configuração'!$C$56,"Clone S"&amp;INT((18-1)/7)+1,IF('🌱 Configuração'!$B$56+17&lt;'🌱 Configuração'!$D$56,"Vega S"&amp;INT(('🌱 Configuração'!$B$56+17-'🌱 Configuração'!$C$56)/7)+1,IF('🌱 Configuração'!$B$56+17&lt;'🌱 Configuração'!$E$56,"Flora S"&amp;INT(('🌱 Configuração'!$B$56+17-'🌱 Configuração'!$D$56)/7)+1,"Flush S"&amp;INT(('🌱 Configuração'!$B$56+17-'🌱 Configuração'!$E$56)/7)+1))))</f>
        <v>Vega S1</v>
      </c>
      <c r="F23" s="43" t="str">
        <f>IF(18&gt;'🌱 Configuração'!$F$55,"",IF('🌱 Configuração'!$B$56+17='🌱 Configuração'!$C$56,"🌿 INÍCIO VEGA — luz 18h/dia",IF('🌱 Configuração'!$B$56+17='🌱 Configuração'!$D$56,"🌸 INÍCIO FLORAÇÃO — mudar 12/12 🔴",IF('🌱 Configuração'!$B$56+17='🌱 Configuração'!$E$56,"🚿 INÍCIO FLUSH — parar nutrição",IF('🌱 Configuração'!$B$56+17='🌱 Configuração'!$F$56-1,"🔬 Véspera da colheita — analisar tricomas",IF('🌱 Configuração'!$B$56+17='🌱 Configuração'!$F$56,"✂️ COLHEITA — Parabéns! 🎉",""))))))</f>
        <v/>
      </c>
      <c r="G23" s="44" t="s">
        <v>428</v>
      </c>
      <c r="H23" s="45" t="str">
        <f>IF(18&gt;'🌱 Configuração'!$F$55,"",IF('🌱 Configuração'!$B$56+17&lt;'🌱 Configuração'!$C$56,IF(18=1,"🌿 Nim (2 mL/L) — foliar leve",IF(18=8,"🍄 Beauveria bassiana — foliar + solo","")),IF('🌱 Configuração'!$B$56+17&lt;'🌱 Configuração'!$D$56,IF(AND('🌱 Configuração'!$B$56+17&gt;='🌱 Configuração'!$C$56,'🌱 Configuração'!$B$56+17&lt;'🌱 Configuração'!$D$56,MOD('🌱 Configuração'!$B$56+17-'🌱 Configuração'!$C$56,7)=0,INT(('🌱 Configuração'!$B$56+17-'🌱 Configuração'!$C$56)/7)+1=1),"🌿 Nim (2 mL/L) — foliar preventivo",IF(AND('🌱 Configuração'!$B$56+17&gt;='🌱 Configuração'!$C$56,'🌱 Configuração'!$B$56+17&lt;'🌱 Configuração'!$D$56,MOD('🌱 Configuração'!$B$56+17-'🌱 Configuração'!$C$56,7)=0,INT(('🌱 Configuração'!$B$56+17-'🌱 Configuração'!$C$56)/7)+1=2),"🍄 Beauveria bassiana — foliar + solo",IF(AND('🌱 Configuração'!$B$56+17&gt;='🌱 Configuração'!$C$56,'🌱 Configuração'!$B$56+17&lt;'🌱 Configuração'!$D$56,MOD('🌱 Configuração'!$B$56+17-'🌱 Configuração'!$C$56,7)=0,INT(('🌱 Configuração'!$B$56+17-'🌱 Configuração'!$C$56)/7)+1=3),"🟡 Calda Sulfocálcica (1%) — foliar",IF(AND('🌱 Configuração'!$B$56+17&gt;='🌱 Configuração'!$C$56,'🌱 Configuração'!$B$56+17&lt;'🌱 Configuração'!$D$56,MOD('🌱 Configuração'!$B$56+17-'🌱 Configuração'!$C$56,7)=0,INT(('🌱 Configuração'!$B$56+17-'🌱 Configuração'!$C$56)/7)+1=4),"🦠 Trichoderma (3 g/L) — solo",IF(AND('🌱 Configuração'!$B$56+17&gt;='🌱 Configuração'!$C$56,'🌱 Configuração'!$B$56+17&lt;'🌱 Configuração'!$D$56,MOD('🌱 Configuração'!$B$56+17-'🌱 Configuração'!$C$56,7)=0,INT(('🌱 Configuração'!$B$56+17-'🌱 Configuração'!$C$56)/7)+1=5),"🔵 Calda Bordalesa (0.5%) — foliar",IF(AND('🌱 Configuração'!$B$56+17&gt;='🌱 Configuração'!$C$56,'🌱 Configuração'!$B$56+17&lt;'🌱 Configuração'!$D$56,MOD('🌱 Configuração'!$B$56+17-'🌱 Configuração'!$C$56,7)=0,INT(('🌱 Configuração'!$B$56+17-'🌱 Configuração'!$C$56)/7)+1=6),"🌿 Nim (2 mL/L) — ⚠️ ÚLTIMA foliar",IF(AND('🌱 Configuração'!$B$56+17&gt;='🌱 Configuração'!$C$56,'🌱 Configuração'!$B$56+17&lt;'🌱 Configuração'!$D$56,MOD('🌱 Configuração'!$B$56+17-'🌱 Configuração'!$C$56,7)=0,INT(('🌱 Configuração'!$B$56+17-'🌱 Configuração'!$C$56)/7)+1=7),"🦠 Trichoderma — solo",IF(AND('🌱 Configuração'!$B$56+17&gt;='🌱 Configuração'!$C$56,'🌱 Configuração'!$B$56+17&lt;'🌱 Configuração'!$D$56,MOD('🌱 Configuração'!$B$56+17-'🌱 Configuração'!$C$56,7)=0,INT(('🌱 Configuração'!$B$56+17-'🌱 Configuração'!$C$56)/7)+1=8),"🍄 Beauveria — solo","")))))))),IF('🌱 Configuração'!$B$56+17&lt;'🌱 Configuração'!$E$56,IF(AND('🌱 Configuração'!$B$56+17&gt;='🌱 Configuração'!$D$56,'🌱 Configuração'!$B$56+17&lt;'🌱 Configuração'!$E$56,MOD('🌱 Configuração'!$B$56+17-'🌱 Configuração'!$D$56,7)=0,INT(('🌱 Configuração'!$B$56+17-'🌱 Configuração'!$D$56)/7)+1=1),"🍄 Beauveria bassiana — SOLO apenas",IF(AND('🌱 Configuração'!$B$56+17&gt;='🌱 Configuração'!$D$56,'🌱 Configuração'!$B$56+17&lt;'🌱 Configuração'!$E$56,MOD('🌱 Configuração'!$B$56+17-'🌱 Configuração'!$D$56,7)=0,INT(('🌱 Configuração'!$B$56+17-'🌱 Configuração'!$D$56)/7)+1=2),"🦠 Trichoderma (3 g/L) — solo",IF(AND('🌱 Configuração'!$B$56+17&gt;='🌱 Configuração'!$D$56,'🌱 Configuração'!$B$56+17&lt;'🌱 Configuração'!$E$56,MOD('🌱 Configuração'!$B$56+17-'🌱 Configuração'!$D$56,7)=0,INT(('🌱 Configuração'!$B$56+17-'🌱 Configuração'!$D$56)/7)+1=3),"🍄 Beauveria bassiana — solo | ⚠️ Umid &lt;45%",IF(AND('🌱 Configuração'!$B$56+17&gt;='🌱 Configuração'!$D$56,'🌱 Configuração'!$B$56+17&lt;'🌱 Configuração'!$E$56,MOD('🌱 Configuração'!$B$56+17-'🌱 Configuração'!$D$56,7)=0,INT(('🌱 Configuração'!$B$56+17-'🌱 Configuração'!$D$56)/7)+1=4),"🦠 Trichoderma — solo | Inspecionar buds",IF(AND('🌱 Configuração'!$B$56+17&gt;='🌱 Configuração'!$D$56,'🌱 Configuração'!$B$56+17&lt;'🌱 Configuração'!$E$56,MOD('🌱 Configuração'!$B$56+17-'🌱 Configuração'!$D$56,7)=0,INT(('🌱 Configuração'!$B$56+17-'🌱 Configuração'!$D$56)/7)+1=5),"🍄 Beauveria + inspeção visual buds",IF(AND('🌱 Configuração'!$B$56+17&gt;='🌱 Configuração'!$D$56,'🌱 Configuração'!$B$56+17&lt;'🌱 Configuração'!$E$56,MOD('🌱 Configuração'!$B$56+17-'🌱 Configuração'!$D$56,7)=0,INT(('🌱 Configuração'!$B$56+17-'🌱 Configuração'!$D$56)/7)+1=6),"🦠 Trichoderma + ⚠️ Verificar mofo","")))))),IF(AND('🌱 Configuração'!$B$56+17&gt;='🌱 Configuração'!$E$56,MOD('🌱 Configuração'!$B$56+17-'🌱 Configuração'!$E$56,7)=0),"🔬 Inspeção final — analisar tricomas","")))))</f>
        <v/>
      </c>
      <c r="I23" s="33"/>
    </row>
    <row r="24" spans="1:9" ht="19.5" customHeight="1">
      <c r="A24" s="1"/>
      <c r="B24" s="35">
        <f>IF(19&lt;='🌱 Configuração'!$F$55,19,"")</f>
        <v>19</v>
      </c>
      <c r="C24" s="13">
        <f>IF(19&lt;='🌱 Configuração'!$F$55,'🌱 Configuração'!$B$56+18,"")</f>
        <v>18</v>
      </c>
      <c r="D24" s="36" t="str">
        <f>IF(19&gt;'🌱 Configuração'!$F$55,"",IF('🌱 Configuração'!$B$56+18&lt;'🌱 Configuração'!$C$56,"🌱 Clone",IF('🌱 Configuração'!$B$56+18&lt;'🌱 Configuração'!$D$56,"🌿 Vegetativo",IF('🌱 Configuração'!$B$56+18&lt;'🌱 Configuração'!$E$56,"🌸 Floração","🚿 Flush"))))</f>
        <v>🌿 Vegetativo</v>
      </c>
      <c r="E24" s="15" t="str">
        <f>IF(19&gt;'🌱 Configuração'!$F$55,"",IF('🌱 Configuração'!$B$56+18&lt;'🌱 Configuração'!$C$56,"Clone S"&amp;INT((19-1)/7)+1,IF('🌱 Configuração'!$B$56+18&lt;'🌱 Configuração'!$D$56,"Vega S"&amp;INT(('🌱 Configuração'!$B$56+18-'🌱 Configuração'!$C$56)/7)+1,IF('🌱 Configuração'!$B$56+18&lt;'🌱 Configuração'!$E$56,"Flora S"&amp;INT(('🌱 Configuração'!$B$56+18-'🌱 Configuração'!$D$56)/7)+1,"Flush S"&amp;INT(('🌱 Configuração'!$B$56+18-'🌱 Configuração'!$E$56)/7)+1))))</f>
        <v>Vega S1</v>
      </c>
      <c r="F24" s="14" t="str">
        <f>IF(19&gt;'🌱 Configuração'!$F$55,"",IF('🌱 Configuração'!$B$56+18='🌱 Configuração'!$C$56,"🌿 INÍCIO VEGA — luz 18h/dia",IF('🌱 Configuração'!$B$56+18='🌱 Configuração'!$D$56,"🌸 INÍCIO FLORAÇÃO — mudar 12/12 🔴",IF('🌱 Configuração'!$B$56+18='🌱 Configuração'!$E$56,"🚿 INÍCIO FLUSH — parar nutrição",IF('🌱 Configuração'!$B$56+18='🌱 Configuração'!$F$56-1,"🔬 Véspera da colheita — analisar tricomas",IF('🌱 Configuração'!$B$56+18='🌱 Configuração'!$F$56,"✂️ COLHEITA — Parabéns! 🎉",""))))))</f>
        <v/>
      </c>
      <c r="G24" s="37" t="s">
        <v>428</v>
      </c>
      <c r="H24" s="38" t="str">
        <f>IF(19&gt;'🌱 Configuração'!$F$55,"",IF('🌱 Configuração'!$B$56+18&lt;'🌱 Configuração'!$C$56,IF(19=1,"🌿 Nim (2 mL/L) — foliar leve",IF(19=8,"🍄 Beauveria bassiana — foliar + solo","")),IF('🌱 Configuração'!$B$56+18&lt;'🌱 Configuração'!$D$56,IF(AND('🌱 Configuração'!$B$56+18&gt;='🌱 Configuração'!$C$56,'🌱 Configuração'!$B$56+18&lt;'🌱 Configuração'!$D$56,MOD('🌱 Configuração'!$B$56+18-'🌱 Configuração'!$C$56,7)=0,INT(('🌱 Configuração'!$B$56+18-'🌱 Configuração'!$C$56)/7)+1=1),"🌿 Nim (2 mL/L) — foliar preventivo",IF(AND('🌱 Configuração'!$B$56+18&gt;='🌱 Configuração'!$C$56,'🌱 Configuração'!$B$56+18&lt;'🌱 Configuração'!$D$56,MOD('🌱 Configuração'!$B$56+18-'🌱 Configuração'!$C$56,7)=0,INT(('🌱 Configuração'!$B$56+18-'🌱 Configuração'!$C$56)/7)+1=2),"🍄 Beauveria bassiana — foliar + solo",IF(AND('🌱 Configuração'!$B$56+18&gt;='🌱 Configuração'!$C$56,'🌱 Configuração'!$B$56+18&lt;'🌱 Configuração'!$D$56,MOD('🌱 Configuração'!$B$56+18-'🌱 Configuração'!$C$56,7)=0,INT(('🌱 Configuração'!$B$56+18-'🌱 Configuração'!$C$56)/7)+1=3),"🟡 Calda Sulfocálcica (1%) — foliar",IF(AND('🌱 Configuração'!$B$56+18&gt;='🌱 Configuração'!$C$56,'🌱 Configuração'!$B$56+18&lt;'🌱 Configuração'!$D$56,MOD('🌱 Configuração'!$B$56+18-'🌱 Configuração'!$C$56,7)=0,INT(('🌱 Configuração'!$B$56+18-'🌱 Configuração'!$C$56)/7)+1=4),"🦠 Trichoderma (3 g/L) — solo",IF(AND('🌱 Configuração'!$B$56+18&gt;='🌱 Configuração'!$C$56,'🌱 Configuração'!$B$56+18&lt;'🌱 Configuração'!$D$56,MOD('🌱 Configuração'!$B$56+18-'🌱 Configuração'!$C$56,7)=0,INT(('🌱 Configuração'!$B$56+18-'🌱 Configuração'!$C$56)/7)+1=5),"🔵 Calda Bordalesa (0.5%) — foliar",IF(AND('🌱 Configuração'!$B$56+18&gt;='🌱 Configuração'!$C$56,'🌱 Configuração'!$B$56+18&lt;'🌱 Configuração'!$D$56,MOD('🌱 Configuração'!$B$56+18-'🌱 Configuração'!$C$56,7)=0,INT(('🌱 Configuração'!$B$56+18-'🌱 Configuração'!$C$56)/7)+1=6),"🌿 Nim (2 mL/L) — ⚠️ ÚLTIMA foliar",IF(AND('🌱 Configuração'!$B$56+18&gt;='🌱 Configuração'!$C$56,'🌱 Configuração'!$B$56+18&lt;'🌱 Configuração'!$D$56,MOD('🌱 Configuração'!$B$56+18-'🌱 Configuração'!$C$56,7)=0,INT(('🌱 Configuração'!$B$56+18-'🌱 Configuração'!$C$56)/7)+1=7),"🦠 Trichoderma — solo",IF(AND('🌱 Configuração'!$B$56+18&gt;='🌱 Configuração'!$C$56,'🌱 Configuração'!$B$56+18&lt;'🌱 Configuração'!$D$56,MOD('🌱 Configuração'!$B$56+18-'🌱 Configuração'!$C$56,7)=0,INT(('🌱 Configuração'!$B$56+18-'🌱 Configuração'!$C$56)/7)+1=8),"🍄 Beauveria — solo","")))))))),IF('🌱 Configuração'!$B$56+18&lt;'🌱 Configuração'!$E$56,IF(AND('🌱 Configuração'!$B$56+18&gt;='🌱 Configuração'!$D$56,'🌱 Configuração'!$B$56+18&lt;'🌱 Configuração'!$E$56,MOD('🌱 Configuração'!$B$56+18-'🌱 Configuração'!$D$56,7)=0,INT(('🌱 Configuração'!$B$56+18-'🌱 Configuração'!$D$56)/7)+1=1),"🍄 Beauveria bassiana — SOLO apenas",IF(AND('🌱 Configuração'!$B$56+18&gt;='🌱 Configuração'!$D$56,'🌱 Configuração'!$B$56+18&lt;'🌱 Configuração'!$E$56,MOD('🌱 Configuração'!$B$56+18-'🌱 Configuração'!$D$56,7)=0,INT(('🌱 Configuração'!$B$56+18-'🌱 Configuração'!$D$56)/7)+1=2),"🦠 Trichoderma (3 g/L) — solo",IF(AND('🌱 Configuração'!$B$56+18&gt;='🌱 Configuração'!$D$56,'🌱 Configuração'!$B$56+18&lt;'🌱 Configuração'!$E$56,MOD('🌱 Configuração'!$B$56+18-'🌱 Configuração'!$D$56,7)=0,INT(('🌱 Configuração'!$B$56+18-'🌱 Configuração'!$D$56)/7)+1=3),"🍄 Beauveria bassiana — solo | ⚠️ Umid &lt;45%",IF(AND('🌱 Configuração'!$B$56+18&gt;='🌱 Configuração'!$D$56,'🌱 Configuração'!$B$56+18&lt;'🌱 Configuração'!$E$56,MOD('🌱 Configuração'!$B$56+18-'🌱 Configuração'!$D$56,7)=0,INT(('🌱 Configuração'!$B$56+18-'🌱 Configuração'!$D$56)/7)+1=4),"🦠 Trichoderma — solo | Inspecionar buds",IF(AND('🌱 Configuração'!$B$56+18&gt;='🌱 Configuração'!$D$56,'🌱 Configuração'!$B$56+18&lt;'🌱 Configuração'!$E$56,MOD('🌱 Configuração'!$B$56+18-'🌱 Configuração'!$D$56,7)=0,INT(('🌱 Configuração'!$B$56+18-'🌱 Configuração'!$D$56)/7)+1=5),"🍄 Beauveria + inspeção visual buds",IF(AND('🌱 Configuração'!$B$56+18&gt;='🌱 Configuração'!$D$56,'🌱 Configuração'!$B$56+18&lt;'🌱 Configuração'!$E$56,MOD('🌱 Configuração'!$B$56+18-'🌱 Configuração'!$D$56,7)=0,INT(('🌱 Configuração'!$B$56+18-'🌱 Configuração'!$D$56)/7)+1=6),"🦠 Trichoderma + ⚠️ Verificar mofo","")))))),IF(AND('🌱 Configuração'!$B$56+18&gt;='🌱 Configuração'!$E$56,MOD('🌱 Configuração'!$B$56+18-'🌱 Configuração'!$E$56,7)=0),"🔬 Inspeção final — analisar tricomas","")))))</f>
        <v/>
      </c>
      <c r="I24" s="33"/>
    </row>
    <row r="25" spans="1:9" ht="19.5" customHeight="1">
      <c r="A25" s="1"/>
      <c r="B25" s="39">
        <f>IF(20&lt;='🌱 Configuração'!$F$55,20,"")</f>
        <v>20</v>
      </c>
      <c r="C25" s="40">
        <f>IF(20&lt;='🌱 Configuração'!$F$55,'🌱 Configuração'!$B$56+19,"")</f>
        <v>19</v>
      </c>
      <c r="D25" s="41" t="str">
        <f>IF(20&gt;'🌱 Configuração'!$F$55,"",IF('🌱 Configuração'!$B$56+19&lt;'🌱 Configuração'!$C$56,"🌱 Clone",IF('🌱 Configuração'!$B$56+19&lt;'🌱 Configuração'!$D$56,"🌿 Vegetativo",IF('🌱 Configuração'!$B$56+19&lt;'🌱 Configuração'!$E$56,"🌸 Floração","🚿 Flush"))))</f>
        <v>🌿 Vegetativo</v>
      </c>
      <c r="E25" s="42" t="str">
        <f>IF(20&gt;'🌱 Configuração'!$F$55,"",IF('🌱 Configuração'!$B$56+19&lt;'🌱 Configuração'!$C$56,"Clone S"&amp;INT((20-1)/7)+1,IF('🌱 Configuração'!$B$56+19&lt;'🌱 Configuração'!$D$56,"Vega S"&amp;INT(('🌱 Configuração'!$B$56+19-'🌱 Configuração'!$C$56)/7)+1,IF('🌱 Configuração'!$B$56+19&lt;'🌱 Configuração'!$E$56,"Flora S"&amp;INT(('🌱 Configuração'!$B$56+19-'🌱 Configuração'!$D$56)/7)+1,"Flush S"&amp;INT(('🌱 Configuração'!$B$56+19-'🌱 Configuração'!$E$56)/7)+1))))</f>
        <v>Vega S1</v>
      </c>
      <c r="F25" s="43" t="str">
        <f>IF(20&gt;'🌱 Configuração'!$F$55,"",IF('🌱 Configuração'!$B$56+19='🌱 Configuração'!$C$56,"🌿 INÍCIO VEGA — luz 18h/dia",IF('🌱 Configuração'!$B$56+19='🌱 Configuração'!$D$56,"🌸 INÍCIO FLORAÇÃO — mudar 12/12 🔴",IF('🌱 Configuração'!$B$56+19='🌱 Configuração'!$E$56,"🚿 INÍCIO FLUSH — parar nutrição",IF('🌱 Configuração'!$B$56+19='🌱 Configuração'!$F$56-1,"🔬 Véspera da colheita — analisar tricomas",IF('🌱 Configuração'!$B$56+19='🌱 Configuração'!$F$56,"✂️ COLHEITA — Parabéns! 🎉",""))))))</f>
        <v/>
      </c>
      <c r="G25" s="44" t="s">
        <v>428</v>
      </c>
      <c r="H25" s="45" t="str">
        <f>IF(20&gt;'🌱 Configuração'!$F$55,"",IF('🌱 Configuração'!$B$56+19&lt;'🌱 Configuração'!$C$56,IF(20=1,"🌿 Nim (2 mL/L) — foliar leve",IF(20=8,"🍄 Beauveria bassiana — foliar + solo","")),IF('🌱 Configuração'!$B$56+19&lt;'🌱 Configuração'!$D$56,IF(AND('🌱 Configuração'!$B$56+19&gt;='🌱 Configuração'!$C$56,'🌱 Configuração'!$B$56+19&lt;'🌱 Configuração'!$D$56,MOD('🌱 Configuração'!$B$56+19-'🌱 Configuração'!$C$56,7)=0,INT(('🌱 Configuração'!$B$56+19-'🌱 Configuração'!$C$56)/7)+1=1),"🌿 Nim (2 mL/L) — foliar preventivo",IF(AND('🌱 Configuração'!$B$56+19&gt;='🌱 Configuração'!$C$56,'🌱 Configuração'!$B$56+19&lt;'🌱 Configuração'!$D$56,MOD('🌱 Configuração'!$B$56+19-'🌱 Configuração'!$C$56,7)=0,INT(('🌱 Configuração'!$B$56+19-'🌱 Configuração'!$C$56)/7)+1=2),"🍄 Beauveria bassiana — foliar + solo",IF(AND('🌱 Configuração'!$B$56+19&gt;='🌱 Configuração'!$C$56,'🌱 Configuração'!$B$56+19&lt;'🌱 Configuração'!$D$56,MOD('🌱 Configuração'!$B$56+19-'🌱 Configuração'!$C$56,7)=0,INT(('🌱 Configuração'!$B$56+19-'🌱 Configuração'!$C$56)/7)+1=3),"🟡 Calda Sulfocálcica (1%) — foliar",IF(AND('🌱 Configuração'!$B$56+19&gt;='🌱 Configuração'!$C$56,'🌱 Configuração'!$B$56+19&lt;'🌱 Configuração'!$D$56,MOD('🌱 Configuração'!$B$56+19-'🌱 Configuração'!$C$56,7)=0,INT(('🌱 Configuração'!$B$56+19-'🌱 Configuração'!$C$56)/7)+1=4),"🦠 Trichoderma (3 g/L) — solo",IF(AND('🌱 Configuração'!$B$56+19&gt;='🌱 Configuração'!$C$56,'🌱 Configuração'!$B$56+19&lt;'🌱 Configuração'!$D$56,MOD('🌱 Configuração'!$B$56+19-'🌱 Configuração'!$C$56,7)=0,INT(('🌱 Configuração'!$B$56+19-'🌱 Configuração'!$C$56)/7)+1=5),"🔵 Calda Bordalesa (0.5%) — foliar",IF(AND('🌱 Configuração'!$B$56+19&gt;='🌱 Configuração'!$C$56,'🌱 Configuração'!$B$56+19&lt;'🌱 Configuração'!$D$56,MOD('🌱 Configuração'!$B$56+19-'🌱 Configuração'!$C$56,7)=0,INT(('🌱 Configuração'!$B$56+19-'🌱 Configuração'!$C$56)/7)+1=6),"🌿 Nim (2 mL/L) — ⚠️ ÚLTIMA foliar",IF(AND('🌱 Configuração'!$B$56+19&gt;='🌱 Configuração'!$C$56,'🌱 Configuração'!$B$56+19&lt;'🌱 Configuração'!$D$56,MOD('🌱 Configuração'!$B$56+19-'🌱 Configuração'!$C$56,7)=0,INT(('🌱 Configuração'!$B$56+19-'🌱 Configuração'!$C$56)/7)+1=7),"🦠 Trichoderma — solo",IF(AND('🌱 Configuração'!$B$56+19&gt;='🌱 Configuração'!$C$56,'🌱 Configuração'!$B$56+19&lt;'🌱 Configuração'!$D$56,MOD('🌱 Configuração'!$B$56+19-'🌱 Configuração'!$C$56,7)=0,INT(('🌱 Configuração'!$B$56+19-'🌱 Configuração'!$C$56)/7)+1=8),"🍄 Beauveria — solo","")))))))),IF('🌱 Configuração'!$B$56+19&lt;'🌱 Configuração'!$E$56,IF(AND('🌱 Configuração'!$B$56+19&gt;='🌱 Configuração'!$D$56,'🌱 Configuração'!$B$56+19&lt;'🌱 Configuração'!$E$56,MOD('🌱 Configuração'!$B$56+19-'🌱 Configuração'!$D$56,7)=0,INT(('🌱 Configuração'!$B$56+19-'🌱 Configuração'!$D$56)/7)+1=1),"🍄 Beauveria bassiana — SOLO apenas",IF(AND('🌱 Configuração'!$B$56+19&gt;='🌱 Configuração'!$D$56,'🌱 Configuração'!$B$56+19&lt;'🌱 Configuração'!$E$56,MOD('🌱 Configuração'!$B$56+19-'🌱 Configuração'!$D$56,7)=0,INT(('🌱 Configuração'!$B$56+19-'🌱 Configuração'!$D$56)/7)+1=2),"🦠 Trichoderma (3 g/L) — solo",IF(AND('🌱 Configuração'!$B$56+19&gt;='🌱 Configuração'!$D$56,'🌱 Configuração'!$B$56+19&lt;'🌱 Configuração'!$E$56,MOD('🌱 Configuração'!$B$56+19-'🌱 Configuração'!$D$56,7)=0,INT(('🌱 Configuração'!$B$56+19-'🌱 Configuração'!$D$56)/7)+1=3),"🍄 Beauveria bassiana — solo | ⚠️ Umid &lt;45%",IF(AND('🌱 Configuração'!$B$56+19&gt;='🌱 Configuração'!$D$56,'🌱 Configuração'!$B$56+19&lt;'🌱 Configuração'!$E$56,MOD('🌱 Configuração'!$B$56+19-'🌱 Configuração'!$D$56,7)=0,INT(('🌱 Configuração'!$B$56+19-'🌱 Configuração'!$D$56)/7)+1=4),"🦠 Trichoderma — solo | Inspecionar buds",IF(AND('🌱 Configuração'!$B$56+19&gt;='🌱 Configuração'!$D$56,'🌱 Configuração'!$B$56+19&lt;'🌱 Configuração'!$E$56,MOD('🌱 Configuração'!$B$56+19-'🌱 Configuração'!$D$56,7)=0,INT(('🌱 Configuração'!$B$56+19-'🌱 Configuração'!$D$56)/7)+1=5),"🍄 Beauveria + inspeção visual buds",IF(AND('🌱 Configuração'!$B$56+19&gt;='🌱 Configuração'!$D$56,'🌱 Configuração'!$B$56+19&lt;'🌱 Configuração'!$E$56,MOD('🌱 Configuração'!$B$56+19-'🌱 Configuração'!$D$56,7)=0,INT(('🌱 Configuração'!$B$56+19-'🌱 Configuração'!$D$56)/7)+1=6),"🦠 Trichoderma + ⚠️ Verificar mofo","")))))),IF(AND('🌱 Configuração'!$B$56+19&gt;='🌱 Configuração'!$E$56,MOD('🌱 Configuração'!$B$56+19-'🌱 Configuração'!$E$56,7)=0),"🔬 Inspeção final — analisar tricomas","")))))</f>
        <v/>
      </c>
      <c r="I25" s="33"/>
    </row>
    <row r="26" spans="1:9" ht="19.5" customHeight="1">
      <c r="A26" s="1"/>
      <c r="B26" s="35">
        <f>IF(21&lt;='🌱 Configuração'!$F$55,21,"")</f>
        <v>21</v>
      </c>
      <c r="C26" s="13">
        <f>IF(21&lt;='🌱 Configuração'!$F$55,'🌱 Configuração'!$B$56+20,"")</f>
        <v>20</v>
      </c>
      <c r="D26" s="36" t="str">
        <f>IF(21&gt;'🌱 Configuração'!$F$55,"",IF('🌱 Configuração'!$B$56+20&lt;'🌱 Configuração'!$C$56,"🌱 Clone",IF('🌱 Configuração'!$B$56+20&lt;'🌱 Configuração'!$D$56,"🌿 Vegetativo",IF('🌱 Configuração'!$B$56+20&lt;'🌱 Configuração'!$E$56,"🌸 Floração","🚿 Flush"))))</f>
        <v>🌿 Vegetativo</v>
      </c>
      <c r="E26" s="15" t="str">
        <f>IF(21&gt;'🌱 Configuração'!$F$55,"",IF('🌱 Configuração'!$B$56+20&lt;'🌱 Configuração'!$C$56,"Clone S"&amp;INT((21-1)/7)+1,IF('🌱 Configuração'!$B$56+20&lt;'🌱 Configuração'!$D$56,"Vega S"&amp;INT(('🌱 Configuração'!$B$56+20-'🌱 Configuração'!$C$56)/7)+1,IF('🌱 Configuração'!$B$56+20&lt;'🌱 Configuração'!$E$56,"Flora S"&amp;INT(('🌱 Configuração'!$B$56+20-'🌱 Configuração'!$D$56)/7)+1,"Flush S"&amp;INT(('🌱 Configuração'!$B$56+20-'🌱 Configuração'!$E$56)/7)+1))))</f>
        <v>Vega S1</v>
      </c>
      <c r="F26" s="14" t="str">
        <f>IF(21&gt;'🌱 Configuração'!$F$55,"",IF('🌱 Configuração'!$B$56+20='🌱 Configuração'!$C$56,"🌿 INÍCIO VEGA — luz 18h/dia",IF('🌱 Configuração'!$B$56+20='🌱 Configuração'!$D$56,"🌸 INÍCIO FLORAÇÃO — mudar 12/12 🔴",IF('🌱 Configuração'!$B$56+20='🌱 Configuração'!$E$56,"🚿 INÍCIO FLUSH — parar nutrição",IF('🌱 Configuração'!$B$56+20='🌱 Configuração'!$F$56-1,"🔬 Véspera da colheita — analisar tricomas",IF('🌱 Configuração'!$B$56+20='🌱 Configuração'!$F$56,"✂️ COLHEITA — Parabéns! 🎉",""))))))</f>
        <v/>
      </c>
      <c r="G26" s="37" t="s">
        <v>428</v>
      </c>
      <c r="H26" s="38" t="str">
        <f>IF(21&gt;'🌱 Configuração'!$F$55,"",IF('🌱 Configuração'!$B$56+20&lt;'🌱 Configuração'!$C$56,IF(21=1,"🌿 Nim (2 mL/L) — foliar leve",IF(21=8,"🍄 Beauveria bassiana — foliar + solo","")),IF('🌱 Configuração'!$B$56+20&lt;'🌱 Configuração'!$D$56,IF(AND('🌱 Configuração'!$B$56+20&gt;='🌱 Configuração'!$C$56,'🌱 Configuração'!$B$56+20&lt;'🌱 Configuração'!$D$56,MOD('🌱 Configuração'!$B$56+20-'🌱 Configuração'!$C$56,7)=0,INT(('🌱 Configuração'!$B$56+20-'🌱 Configuração'!$C$56)/7)+1=1),"🌿 Nim (2 mL/L) — foliar preventivo",IF(AND('🌱 Configuração'!$B$56+20&gt;='🌱 Configuração'!$C$56,'🌱 Configuração'!$B$56+20&lt;'🌱 Configuração'!$D$56,MOD('🌱 Configuração'!$B$56+20-'🌱 Configuração'!$C$56,7)=0,INT(('🌱 Configuração'!$B$56+20-'🌱 Configuração'!$C$56)/7)+1=2),"🍄 Beauveria bassiana — foliar + solo",IF(AND('🌱 Configuração'!$B$56+20&gt;='🌱 Configuração'!$C$56,'🌱 Configuração'!$B$56+20&lt;'🌱 Configuração'!$D$56,MOD('🌱 Configuração'!$B$56+20-'🌱 Configuração'!$C$56,7)=0,INT(('🌱 Configuração'!$B$56+20-'🌱 Configuração'!$C$56)/7)+1=3),"🟡 Calda Sulfocálcica (1%) — foliar",IF(AND('🌱 Configuração'!$B$56+20&gt;='🌱 Configuração'!$C$56,'🌱 Configuração'!$B$56+20&lt;'🌱 Configuração'!$D$56,MOD('🌱 Configuração'!$B$56+20-'🌱 Configuração'!$C$56,7)=0,INT(('🌱 Configuração'!$B$56+20-'🌱 Configuração'!$C$56)/7)+1=4),"🦠 Trichoderma (3 g/L) — solo",IF(AND('🌱 Configuração'!$B$56+20&gt;='🌱 Configuração'!$C$56,'🌱 Configuração'!$B$56+20&lt;'🌱 Configuração'!$D$56,MOD('🌱 Configuração'!$B$56+20-'🌱 Configuração'!$C$56,7)=0,INT(('🌱 Configuração'!$B$56+20-'🌱 Configuração'!$C$56)/7)+1=5),"🔵 Calda Bordalesa (0.5%) — foliar",IF(AND('🌱 Configuração'!$B$56+20&gt;='🌱 Configuração'!$C$56,'🌱 Configuração'!$B$56+20&lt;'🌱 Configuração'!$D$56,MOD('🌱 Configuração'!$B$56+20-'🌱 Configuração'!$C$56,7)=0,INT(('🌱 Configuração'!$B$56+20-'🌱 Configuração'!$C$56)/7)+1=6),"🌿 Nim (2 mL/L) — ⚠️ ÚLTIMA foliar",IF(AND('🌱 Configuração'!$B$56+20&gt;='🌱 Configuração'!$C$56,'🌱 Configuração'!$B$56+20&lt;'🌱 Configuração'!$D$56,MOD('🌱 Configuração'!$B$56+20-'🌱 Configuração'!$C$56,7)=0,INT(('🌱 Configuração'!$B$56+20-'🌱 Configuração'!$C$56)/7)+1=7),"🦠 Trichoderma — solo",IF(AND('🌱 Configuração'!$B$56+20&gt;='🌱 Configuração'!$C$56,'🌱 Configuração'!$B$56+20&lt;'🌱 Configuração'!$D$56,MOD('🌱 Configuração'!$B$56+20-'🌱 Configuração'!$C$56,7)=0,INT(('🌱 Configuração'!$B$56+20-'🌱 Configuração'!$C$56)/7)+1=8),"🍄 Beauveria — solo","")))))))),IF('🌱 Configuração'!$B$56+20&lt;'🌱 Configuração'!$E$56,IF(AND('🌱 Configuração'!$B$56+20&gt;='🌱 Configuração'!$D$56,'🌱 Configuração'!$B$56+20&lt;'🌱 Configuração'!$E$56,MOD('🌱 Configuração'!$B$56+20-'🌱 Configuração'!$D$56,7)=0,INT(('🌱 Configuração'!$B$56+20-'🌱 Configuração'!$D$56)/7)+1=1),"🍄 Beauveria bassiana — SOLO apenas",IF(AND('🌱 Configuração'!$B$56+20&gt;='🌱 Configuração'!$D$56,'🌱 Configuração'!$B$56+20&lt;'🌱 Configuração'!$E$56,MOD('🌱 Configuração'!$B$56+20-'🌱 Configuração'!$D$56,7)=0,INT(('🌱 Configuração'!$B$56+20-'🌱 Configuração'!$D$56)/7)+1=2),"🦠 Trichoderma (3 g/L) — solo",IF(AND('🌱 Configuração'!$B$56+20&gt;='🌱 Configuração'!$D$56,'🌱 Configuração'!$B$56+20&lt;'🌱 Configuração'!$E$56,MOD('🌱 Configuração'!$B$56+20-'🌱 Configuração'!$D$56,7)=0,INT(('🌱 Configuração'!$B$56+20-'🌱 Configuração'!$D$56)/7)+1=3),"🍄 Beauveria bassiana — solo | ⚠️ Umid &lt;45%",IF(AND('🌱 Configuração'!$B$56+20&gt;='🌱 Configuração'!$D$56,'🌱 Configuração'!$B$56+20&lt;'🌱 Configuração'!$E$56,MOD('🌱 Configuração'!$B$56+20-'🌱 Configuração'!$D$56,7)=0,INT(('🌱 Configuração'!$B$56+20-'🌱 Configuração'!$D$56)/7)+1=4),"🦠 Trichoderma — solo | Inspecionar buds",IF(AND('🌱 Configuração'!$B$56+20&gt;='🌱 Configuração'!$D$56,'🌱 Configuração'!$B$56+20&lt;'🌱 Configuração'!$E$56,MOD('🌱 Configuração'!$B$56+20-'🌱 Configuração'!$D$56,7)=0,INT(('🌱 Configuração'!$B$56+20-'🌱 Configuração'!$D$56)/7)+1=5),"🍄 Beauveria + inspeção visual buds",IF(AND('🌱 Configuração'!$B$56+20&gt;='🌱 Configuração'!$D$56,'🌱 Configuração'!$B$56+20&lt;'🌱 Configuração'!$E$56,MOD('🌱 Configuração'!$B$56+20-'🌱 Configuração'!$D$56,7)=0,INT(('🌱 Configuração'!$B$56+20-'🌱 Configuração'!$D$56)/7)+1=6),"🦠 Trichoderma + ⚠️ Verificar mofo","")))))),IF(AND('🌱 Configuração'!$B$56+20&gt;='🌱 Configuração'!$E$56,MOD('🌱 Configuração'!$B$56+20-'🌱 Configuração'!$E$56,7)=0),"🔬 Inspeção final — analisar tricomas","")))))</f>
        <v/>
      </c>
      <c r="I26" s="33"/>
    </row>
    <row r="27" spans="1:9" ht="19.5" customHeight="1">
      <c r="A27" s="1"/>
      <c r="B27" s="39">
        <f>IF(22&lt;='🌱 Configuração'!$F$55,22,"")</f>
        <v>22</v>
      </c>
      <c r="C27" s="40">
        <f>IF(22&lt;='🌱 Configuração'!$F$55,'🌱 Configuração'!$B$56+21,"")</f>
        <v>21</v>
      </c>
      <c r="D27" s="41" t="str">
        <f>IF(22&gt;'🌱 Configuração'!$F$55,"",IF('🌱 Configuração'!$B$56+21&lt;'🌱 Configuração'!$C$56,"🌱 Clone",IF('🌱 Configuração'!$B$56+21&lt;'🌱 Configuração'!$D$56,"🌿 Vegetativo",IF('🌱 Configuração'!$B$56+21&lt;'🌱 Configuração'!$E$56,"🌸 Floração","🚿 Flush"))))</f>
        <v>🌿 Vegetativo</v>
      </c>
      <c r="E27" s="42" t="str">
        <f>IF(22&gt;'🌱 Configuração'!$F$55,"",IF('🌱 Configuração'!$B$56+21&lt;'🌱 Configuração'!$C$56,"Clone S"&amp;INT((22-1)/7)+1,IF('🌱 Configuração'!$B$56+21&lt;'🌱 Configuração'!$D$56,"Vega S"&amp;INT(('🌱 Configuração'!$B$56+21-'🌱 Configuração'!$C$56)/7)+1,IF('🌱 Configuração'!$B$56+21&lt;'🌱 Configuração'!$E$56,"Flora S"&amp;INT(('🌱 Configuração'!$B$56+21-'🌱 Configuração'!$D$56)/7)+1,"Flush S"&amp;INT(('🌱 Configuração'!$B$56+21-'🌱 Configuração'!$E$56)/7)+1))))</f>
        <v>Vega S2</v>
      </c>
      <c r="F27" s="43" t="str">
        <f>IF(22&gt;'🌱 Configuração'!$F$55,"",IF('🌱 Configuração'!$B$56+21='🌱 Configuração'!$C$56,"🌿 INÍCIO VEGA — luz 18h/dia",IF('🌱 Configuração'!$B$56+21='🌱 Configuração'!$D$56,"🌸 INÍCIO FLORAÇÃO — mudar 12/12 🔴",IF('🌱 Configuração'!$B$56+21='🌱 Configuração'!$E$56,"🚿 INÍCIO FLUSH — parar nutrição",IF('🌱 Configuração'!$B$56+21='🌱 Configuração'!$F$56-1,"🔬 Véspera da colheita — analisar tricomas",IF('🌱 Configuração'!$B$56+21='🌱 Configuração'!$F$56,"✂️ COLHEITA — Parabéns! 🎉",""))))))</f>
        <v/>
      </c>
      <c r="G27" s="44" t="s">
        <v>431</v>
      </c>
      <c r="H27" s="45" t="str">
        <f>IF(22&gt;'🌱 Configuração'!$F$55,"",IF('🌱 Configuração'!$B$56+21&lt;'🌱 Configuração'!$C$56,IF(22=1,"🌿 Nim (2 mL/L) — foliar leve",IF(22=8,"🍄 Beauveria bassiana — foliar + solo","")),IF('🌱 Configuração'!$B$56+21&lt;'🌱 Configuração'!$D$56,IF(AND('🌱 Configuração'!$B$56+21&gt;='🌱 Configuração'!$C$56,'🌱 Configuração'!$B$56+21&lt;'🌱 Configuração'!$D$56,MOD('🌱 Configuração'!$B$56+21-'🌱 Configuração'!$C$56,7)=0,INT(('🌱 Configuração'!$B$56+21-'🌱 Configuração'!$C$56)/7)+1=1),"🌿 Nim (2 mL/L) — foliar preventivo",IF(AND('🌱 Configuração'!$B$56+21&gt;='🌱 Configuração'!$C$56,'🌱 Configuração'!$B$56+21&lt;'🌱 Configuração'!$D$56,MOD('🌱 Configuração'!$B$56+21-'🌱 Configuração'!$C$56,7)=0,INT(('🌱 Configuração'!$B$56+21-'🌱 Configuração'!$C$56)/7)+1=2),"🍄 Beauveria bassiana — foliar + solo",IF(AND('🌱 Configuração'!$B$56+21&gt;='🌱 Configuração'!$C$56,'🌱 Configuração'!$B$56+21&lt;'🌱 Configuração'!$D$56,MOD('🌱 Configuração'!$B$56+21-'🌱 Configuração'!$C$56,7)=0,INT(('🌱 Configuração'!$B$56+21-'🌱 Configuração'!$C$56)/7)+1=3),"🟡 Calda Sulfocálcica (1%) — foliar",IF(AND('🌱 Configuração'!$B$56+21&gt;='🌱 Configuração'!$C$56,'🌱 Configuração'!$B$56+21&lt;'🌱 Configuração'!$D$56,MOD('🌱 Configuração'!$B$56+21-'🌱 Configuração'!$C$56,7)=0,INT(('🌱 Configuração'!$B$56+21-'🌱 Configuração'!$C$56)/7)+1=4),"🦠 Trichoderma (3 g/L) — solo",IF(AND('🌱 Configuração'!$B$56+21&gt;='🌱 Configuração'!$C$56,'🌱 Configuração'!$B$56+21&lt;'🌱 Configuração'!$D$56,MOD('🌱 Configuração'!$B$56+21-'🌱 Configuração'!$C$56,7)=0,INT(('🌱 Configuração'!$B$56+21-'🌱 Configuração'!$C$56)/7)+1=5),"🔵 Calda Bordalesa (0.5%) — foliar",IF(AND('🌱 Configuração'!$B$56+21&gt;='🌱 Configuração'!$C$56,'🌱 Configuração'!$B$56+21&lt;'🌱 Configuração'!$D$56,MOD('🌱 Configuração'!$B$56+21-'🌱 Configuração'!$C$56,7)=0,INT(('🌱 Configuração'!$B$56+21-'🌱 Configuração'!$C$56)/7)+1=6),"🌿 Nim (2 mL/L) — ⚠️ ÚLTIMA foliar",IF(AND('🌱 Configuração'!$B$56+21&gt;='🌱 Configuração'!$C$56,'🌱 Configuração'!$B$56+21&lt;'🌱 Configuração'!$D$56,MOD('🌱 Configuração'!$B$56+21-'🌱 Configuração'!$C$56,7)=0,INT(('🌱 Configuração'!$B$56+21-'🌱 Configuração'!$C$56)/7)+1=7),"🦠 Trichoderma — solo",IF(AND('🌱 Configuração'!$B$56+21&gt;='🌱 Configuração'!$C$56,'🌱 Configuração'!$B$56+21&lt;'🌱 Configuração'!$D$56,MOD('🌱 Configuração'!$B$56+21-'🌱 Configuração'!$C$56,7)=0,INT(('🌱 Configuração'!$B$56+21-'🌱 Configuração'!$C$56)/7)+1=8),"🍄 Beauveria — solo","")))))))),IF('🌱 Configuração'!$B$56+21&lt;'🌱 Configuração'!$E$56,IF(AND('🌱 Configuração'!$B$56+21&gt;='🌱 Configuração'!$D$56,'🌱 Configuração'!$B$56+21&lt;'🌱 Configuração'!$E$56,MOD('🌱 Configuração'!$B$56+21-'🌱 Configuração'!$D$56,7)=0,INT(('🌱 Configuração'!$B$56+21-'🌱 Configuração'!$D$56)/7)+1=1),"🍄 Beauveria bassiana — SOLO apenas",IF(AND('🌱 Configuração'!$B$56+21&gt;='🌱 Configuração'!$D$56,'🌱 Configuração'!$B$56+21&lt;'🌱 Configuração'!$E$56,MOD('🌱 Configuração'!$B$56+21-'🌱 Configuração'!$D$56,7)=0,INT(('🌱 Configuração'!$B$56+21-'🌱 Configuração'!$D$56)/7)+1=2),"🦠 Trichoderma (3 g/L) — solo",IF(AND('🌱 Configuração'!$B$56+21&gt;='🌱 Configuração'!$D$56,'🌱 Configuração'!$B$56+21&lt;'🌱 Configuração'!$E$56,MOD('🌱 Configuração'!$B$56+21-'🌱 Configuração'!$D$56,7)=0,INT(('🌱 Configuração'!$B$56+21-'🌱 Configuração'!$D$56)/7)+1=3),"🍄 Beauveria bassiana — solo | ⚠️ Umid &lt;45%",IF(AND('🌱 Configuração'!$B$56+21&gt;='🌱 Configuração'!$D$56,'🌱 Configuração'!$B$56+21&lt;'🌱 Configuração'!$E$56,MOD('🌱 Configuração'!$B$56+21-'🌱 Configuração'!$D$56,7)=0,INT(('🌱 Configuração'!$B$56+21-'🌱 Configuração'!$D$56)/7)+1=4),"🦠 Trichoderma — solo | Inspecionar buds",IF(AND('🌱 Configuração'!$B$56+21&gt;='🌱 Configuração'!$D$56,'🌱 Configuração'!$B$56+21&lt;'🌱 Configuração'!$E$56,MOD('🌱 Configuração'!$B$56+21-'🌱 Configuração'!$D$56,7)=0,INT(('🌱 Configuração'!$B$56+21-'🌱 Configuração'!$D$56)/7)+1=5),"🍄 Beauveria + inspeção visual buds",IF(AND('🌱 Configuração'!$B$56+21&gt;='🌱 Configuração'!$D$56,'🌱 Configuração'!$B$56+21&lt;'🌱 Configuração'!$E$56,MOD('🌱 Configuração'!$B$56+21-'🌱 Configuração'!$D$56,7)=0,INT(('🌱 Configuração'!$B$56+21-'🌱 Configuração'!$D$56)/7)+1=6),"🦠 Trichoderma + ⚠️ Verificar mofo","")))))),IF(AND('🌱 Configuração'!$B$56+21&gt;='🌱 Configuração'!$E$56,MOD('🌱 Configuração'!$B$56+21-'🌱 Configuração'!$E$56,7)=0),"🔬 Inspeção final — analisar tricomas","")))))</f>
        <v>🍄 Beauveria bassiana — foliar + solo</v>
      </c>
      <c r="I27" s="33"/>
    </row>
    <row r="28" spans="1:9" ht="19.5" customHeight="1">
      <c r="A28" s="1"/>
      <c r="B28" s="35">
        <f>IF(23&lt;='🌱 Configuração'!$F$55,23,"")</f>
        <v>23</v>
      </c>
      <c r="C28" s="13">
        <f>IF(23&lt;='🌱 Configuração'!$F$55,'🌱 Configuração'!$B$56+22,"")</f>
        <v>22</v>
      </c>
      <c r="D28" s="36" t="str">
        <f>IF(23&gt;'🌱 Configuração'!$F$55,"",IF('🌱 Configuração'!$B$56+22&lt;'🌱 Configuração'!$C$56,"🌱 Clone",IF('🌱 Configuração'!$B$56+22&lt;'🌱 Configuração'!$D$56,"🌿 Vegetativo",IF('🌱 Configuração'!$B$56+22&lt;'🌱 Configuração'!$E$56,"🌸 Floração","🚿 Flush"))))</f>
        <v>🌿 Vegetativo</v>
      </c>
      <c r="E28" s="15" t="str">
        <f>IF(23&gt;'🌱 Configuração'!$F$55,"",IF('🌱 Configuração'!$B$56+22&lt;'🌱 Configuração'!$C$56,"Clone S"&amp;INT((23-1)/7)+1,IF('🌱 Configuração'!$B$56+22&lt;'🌱 Configuração'!$D$56,"Vega S"&amp;INT(('🌱 Configuração'!$B$56+22-'🌱 Configuração'!$C$56)/7)+1,IF('🌱 Configuração'!$B$56+22&lt;'🌱 Configuração'!$E$56,"Flora S"&amp;INT(('🌱 Configuração'!$B$56+22-'🌱 Configuração'!$D$56)/7)+1,"Flush S"&amp;INT(('🌱 Configuração'!$B$56+22-'🌱 Configuração'!$E$56)/7)+1))))</f>
        <v>Vega S2</v>
      </c>
      <c r="F28" s="14" t="str">
        <f>IF(23&gt;'🌱 Configuração'!$F$55,"",IF('🌱 Configuração'!$B$56+22='🌱 Configuração'!$C$56,"🌿 INÍCIO VEGA — luz 18h/dia",IF('🌱 Configuração'!$B$56+22='🌱 Configuração'!$D$56,"🌸 INÍCIO FLORAÇÃO — mudar 12/12 🔴",IF('🌱 Configuração'!$B$56+22='🌱 Configuração'!$E$56,"🚿 INÍCIO FLUSH — parar nutrição",IF('🌱 Configuração'!$B$56+22='🌱 Configuração'!$F$56-1,"🔬 Véspera da colheita — analisar tricomas",IF('🌱 Configuração'!$B$56+22='🌱 Configuração'!$F$56,"✂️ COLHEITA — Parabéns! 🎉",""))))))</f>
        <v/>
      </c>
      <c r="G28" s="37" t="s">
        <v>428</v>
      </c>
      <c r="H28" s="38" t="str">
        <f>IF(23&gt;'🌱 Configuração'!$F$55,"",IF('🌱 Configuração'!$B$56+22&lt;'🌱 Configuração'!$C$56,IF(23=1,"🌿 Nim (2 mL/L) — foliar leve",IF(23=8,"🍄 Beauveria bassiana — foliar + solo","")),IF('🌱 Configuração'!$B$56+22&lt;'🌱 Configuração'!$D$56,IF(AND('🌱 Configuração'!$B$56+22&gt;='🌱 Configuração'!$C$56,'🌱 Configuração'!$B$56+22&lt;'🌱 Configuração'!$D$56,MOD('🌱 Configuração'!$B$56+22-'🌱 Configuração'!$C$56,7)=0,INT(('🌱 Configuração'!$B$56+22-'🌱 Configuração'!$C$56)/7)+1=1),"🌿 Nim (2 mL/L) — foliar preventivo",IF(AND('🌱 Configuração'!$B$56+22&gt;='🌱 Configuração'!$C$56,'🌱 Configuração'!$B$56+22&lt;'🌱 Configuração'!$D$56,MOD('🌱 Configuração'!$B$56+22-'🌱 Configuração'!$C$56,7)=0,INT(('🌱 Configuração'!$B$56+22-'🌱 Configuração'!$C$56)/7)+1=2),"🍄 Beauveria bassiana — foliar + solo",IF(AND('🌱 Configuração'!$B$56+22&gt;='🌱 Configuração'!$C$56,'🌱 Configuração'!$B$56+22&lt;'🌱 Configuração'!$D$56,MOD('🌱 Configuração'!$B$56+22-'🌱 Configuração'!$C$56,7)=0,INT(('🌱 Configuração'!$B$56+22-'🌱 Configuração'!$C$56)/7)+1=3),"🟡 Calda Sulfocálcica (1%) — foliar",IF(AND('🌱 Configuração'!$B$56+22&gt;='🌱 Configuração'!$C$56,'🌱 Configuração'!$B$56+22&lt;'🌱 Configuração'!$D$56,MOD('🌱 Configuração'!$B$56+22-'🌱 Configuração'!$C$56,7)=0,INT(('🌱 Configuração'!$B$56+22-'🌱 Configuração'!$C$56)/7)+1=4),"🦠 Trichoderma (3 g/L) — solo",IF(AND('🌱 Configuração'!$B$56+22&gt;='🌱 Configuração'!$C$56,'🌱 Configuração'!$B$56+22&lt;'🌱 Configuração'!$D$56,MOD('🌱 Configuração'!$B$56+22-'🌱 Configuração'!$C$56,7)=0,INT(('🌱 Configuração'!$B$56+22-'🌱 Configuração'!$C$56)/7)+1=5),"🔵 Calda Bordalesa (0.5%) — foliar",IF(AND('🌱 Configuração'!$B$56+22&gt;='🌱 Configuração'!$C$56,'🌱 Configuração'!$B$56+22&lt;'🌱 Configuração'!$D$56,MOD('🌱 Configuração'!$B$56+22-'🌱 Configuração'!$C$56,7)=0,INT(('🌱 Configuração'!$B$56+22-'🌱 Configuração'!$C$56)/7)+1=6),"🌿 Nim (2 mL/L) — ⚠️ ÚLTIMA foliar",IF(AND('🌱 Configuração'!$B$56+22&gt;='🌱 Configuração'!$C$56,'🌱 Configuração'!$B$56+22&lt;'🌱 Configuração'!$D$56,MOD('🌱 Configuração'!$B$56+22-'🌱 Configuração'!$C$56,7)=0,INT(('🌱 Configuração'!$B$56+22-'🌱 Configuração'!$C$56)/7)+1=7),"🦠 Trichoderma — solo",IF(AND('🌱 Configuração'!$B$56+22&gt;='🌱 Configuração'!$C$56,'🌱 Configuração'!$B$56+22&lt;'🌱 Configuração'!$D$56,MOD('🌱 Configuração'!$B$56+22-'🌱 Configuração'!$C$56,7)=0,INT(('🌱 Configuração'!$B$56+22-'🌱 Configuração'!$C$56)/7)+1=8),"🍄 Beauveria — solo","")))))))),IF('🌱 Configuração'!$B$56+22&lt;'🌱 Configuração'!$E$56,IF(AND('🌱 Configuração'!$B$56+22&gt;='🌱 Configuração'!$D$56,'🌱 Configuração'!$B$56+22&lt;'🌱 Configuração'!$E$56,MOD('🌱 Configuração'!$B$56+22-'🌱 Configuração'!$D$56,7)=0,INT(('🌱 Configuração'!$B$56+22-'🌱 Configuração'!$D$56)/7)+1=1),"🍄 Beauveria bassiana — SOLO apenas",IF(AND('🌱 Configuração'!$B$56+22&gt;='🌱 Configuração'!$D$56,'🌱 Configuração'!$B$56+22&lt;'🌱 Configuração'!$E$56,MOD('🌱 Configuração'!$B$56+22-'🌱 Configuração'!$D$56,7)=0,INT(('🌱 Configuração'!$B$56+22-'🌱 Configuração'!$D$56)/7)+1=2),"🦠 Trichoderma (3 g/L) — solo",IF(AND('🌱 Configuração'!$B$56+22&gt;='🌱 Configuração'!$D$56,'🌱 Configuração'!$B$56+22&lt;'🌱 Configuração'!$E$56,MOD('🌱 Configuração'!$B$56+22-'🌱 Configuração'!$D$56,7)=0,INT(('🌱 Configuração'!$B$56+22-'🌱 Configuração'!$D$56)/7)+1=3),"🍄 Beauveria bassiana — solo | ⚠️ Umid &lt;45%",IF(AND('🌱 Configuração'!$B$56+22&gt;='🌱 Configuração'!$D$56,'🌱 Configuração'!$B$56+22&lt;'🌱 Configuração'!$E$56,MOD('🌱 Configuração'!$B$56+22-'🌱 Configuração'!$D$56,7)=0,INT(('🌱 Configuração'!$B$56+22-'🌱 Configuração'!$D$56)/7)+1=4),"🦠 Trichoderma — solo | Inspecionar buds",IF(AND('🌱 Configuração'!$B$56+22&gt;='🌱 Configuração'!$D$56,'🌱 Configuração'!$B$56+22&lt;'🌱 Configuração'!$E$56,MOD('🌱 Configuração'!$B$56+22-'🌱 Configuração'!$D$56,7)=0,INT(('🌱 Configuração'!$B$56+22-'🌱 Configuração'!$D$56)/7)+1=5),"🍄 Beauveria + inspeção visual buds",IF(AND('🌱 Configuração'!$B$56+22&gt;='🌱 Configuração'!$D$56,'🌱 Configuração'!$B$56+22&lt;'🌱 Configuração'!$E$56,MOD('🌱 Configuração'!$B$56+22-'🌱 Configuração'!$D$56,7)=0,INT(('🌱 Configuração'!$B$56+22-'🌱 Configuração'!$D$56)/7)+1=6),"🦠 Trichoderma + ⚠️ Verificar mofo","")))))),IF(AND('🌱 Configuração'!$B$56+22&gt;='🌱 Configuração'!$E$56,MOD('🌱 Configuração'!$B$56+22-'🌱 Configuração'!$E$56,7)=0),"🔬 Inspeção final — analisar tricomas","")))))</f>
        <v/>
      </c>
      <c r="I28" s="33"/>
    </row>
    <row r="29" spans="1:9" ht="19.5" customHeight="1">
      <c r="A29" s="1"/>
      <c r="B29" s="39">
        <f>IF(24&lt;='🌱 Configuração'!$F$55,24,"")</f>
        <v>24</v>
      </c>
      <c r="C29" s="40">
        <f>IF(24&lt;='🌱 Configuração'!$F$55,'🌱 Configuração'!$B$56+23,"")</f>
        <v>23</v>
      </c>
      <c r="D29" s="41" t="str">
        <f>IF(24&gt;'🌱 Configuração'!$F$55,"",IF('🌱 Configuração'!$B$56+23&lt;'🌱 Configuração'!$C$56,"🌱 Clone",IF('🌱 Configuração'!$B$56+23&lt;'🌱 Configuração'!$D$56,"🌿 Vegetativo",IF('🌱 Configuração'!$B$56+23&lt;'🌱 Configuração'!$E$56,"🌸 Floração","🚿 Flush"))))</f>
        <v>🌿 Vegetativo</v>
      </c>
      <c r="E29" s="42" t="str">
        <f>IF(24&gt;'🌱 Configuração'!$F$55,"",IF('🌱 Configuração'!$B$56+23&lt;'🌱 Configuração'!$C$56,"Clone S"&amp;INT((24-1)/7)+1,IF('🌱 Configuração'!$B$56+23&lt;'🌱 Configuração'!$D$56,"Vega S"&amp;INT(('🌱 Configuração'!$B$56+23-'🌱 Configuração'!$C$56)/7)+1,IF('🌱 Configuração'!$B$56+23&lt;'🌱 Configuração'!$E$56,"Flora S"&amp;INT(('🌱 Configuração'!$B$56+23-'🌱 Configuração'!$D$56)/7)+1,"Flush S"&amp;INT(('🌱 Configuração'!$B$56+23-'🌱 Configuração'!$E$56)/7)+1))))</f>
        <v>Vega S2</v>
      </c>
      <c r="F29" s="43" t="str">
        <f>IF(24&gt;'🌱 Configuração'!$F$55,"",IF('🌱 Configuração'!$B$56+23='🌱 Configuração'!$C$56,"🌿 INÍCIO VEGA — luz 18h/dia",IF('🌱 Configuração'!$B$56+23='🌱 Configuração'!$D$56,"🌸 INÍCIO FLORAÇÃO — mudar 12/12 🔴",IF('🌱 Configuração'!$B$56+23='🌱 Configuração'!$E$56,"🚿 INÍCIO FLUSH — parar nutrição",IF('🌱 Configuração'!$B$56+23='🌱 Configuração'!$F$56-1,"🔬 Véspera da colheita — analisar tricomas",IF('🌱 Configuração'!$B$56+23='🌱 Configuração'!$F$56,"✂️ COLHEITA — Parabéns! 🎉",""))))))</f>
        <v/>
      </c>
      <c r="G29" s="44" t="s">
        <v>428</v>
      </c>
      <c r="H29" s="45" t="str">
        <f>IF(24&gt;'🌱 Configuração'!$F$55,"",IF('🌱 Configuração'!$B$56+23&lt;'🌱 Configuração'!$C$56,IF(24=1,"🌿 Nim (2 mL/L) — foliar leve",IF(24=8,"🍄 Beauveria bassiana — foliar + solo","")),IF('🌱 Configuração'!$B$56+23&lt;'🌱 Configuração'!$D$56,IF(AND('🌱 Configuração'!$B$56+23&gt;='🌱 Configuração'!$C$56,'🌱 Configuração'!$B$56+23&lt;'🌱 Configuração'!$D$56,MOD('🌱 Configuração'!$B$56+23-'🌱 Configuração'!$C$56,7)=0,INT(('🌱 Configuração'!$B$56+23-'🌱 Configuração'!$C$56)/7)+1=1),"🌿 Nim (2 mL/L) — foliar preventivo",IF(AND('🌱 Configuração'!$B$56+23&gt;='🌱 Configuração'!$C$56,'🌱 Configuração'!$B$56+23&lt;'🌱 Configuração'!$D$56,MOD('🌱 Configuração'!$B$56+23-'🌱 Configuração'!$C$56,7)=0,INT(('🌱 Configuração'!$B$56+23-'🌱 Configuração'!$C$56)/7)+1=2),"🍄 Beauveria bassiana — foliar + solo",IF(AND('🌱 Configuração'!$B$56+23&gt;='🌱 Configuração'!$C$56,'🌱 Configuração'!$B$56+23&lt;'🌱 Configuração'!$D$56,MOD('🌱 Configuração'!$B$56+23-'🌱 Configuração'!$C$56,7)=0,INT(('🌱 Configuração'!$B$56+23-'🌱 Configuração'!$C$56)/7)+1=3),"🟡 Calda Sulfocálcica (1%) — foliar",IF(AND('🌱 Configuração'!$B$56+23&gt;='🌱 Configuração'!$C$56,'🌱 Configuração'!$B$56+23&lt;'🌱 Configuração'!$D$56,MOD('🌱 Configuração'!$B$56+23-'🌱 Configuração'!$C$56,7)=0,INT(('🌱 Configuração'!$B$56+23-'🌱 Configuração'!$C$56)/7)+1=4),"🦠 Trichoderma (3 g/L) — solo",IF(AND('🌱 Configuração'!$B$56+23&gt;='🌱 Configuração'!$C$56,'🌱 Configuração'!$B$56+23&lt;'🌱 Configuração'!$D$56,MOD('🌱 Configuração'!$B$56+23-'🌱 Configuração'!$C$56,7)=0,INT(('🌱 Configuração'!$B$56+23-'🌱 Configuração'!$C$56)/7)+1=5),"🔵 Calda Bordalesa (0.5%) — foliar",IF(AND('🌱 Configuração'!$B$56+23&gt;='🌱 Configuração'!$C$56,'🌱 Configuração'!$B$56+23&lt;'🌱 Configuração'!$D$56,MOD('🌱 Configuração'!$B$56+23-'🌱 Configuração'!$C$56,7)=0,INT(('🌱 Configuração'!$B$56+23-'🌱 Configuração'!$C$56)/7)+1=6),"🌿 Nim (2 mL/L) — ⚠️ ÚLTIMA foliar",IF(AND('🌱 Configuração'!$B$56+23&gt;='🌱 Configuração'!$C$56,'🌱 Configuração'!$B$56+23&lt;'🌱 Configuração'!$D$56,MOD('🌱 Configuração'!$B$56+23-'🌱 Configuração'!$C$56,7)=0,INT(('🌱 Configuração'!$B$56+23-'🌱 Configuração'!$C$56)/7)+1=7),"🦠 Trichoderma — solo",IF(AND('🌱 Configuração'!$B$56+23&gt;='🌱 Configuração'!$C$56,'🌱 Configuração'!$B$56+23&lt;'🌱 Configuração'!$D$56,MOD('🌱 Configuração'!$B$56+23-'🌱 Configuração'!$C$56,7)=0,INT(('🌱 Configuração'!$B$56+23-'🌱 Configuração'!$C$56)/7)+1=8),"🍄 Beauveria — solo","")))))))),IF('🌱 Configuração'!$B$56+23&lt;'🌱 Configuração'!$E$56,IF(AND('🌱 Configuração'!$B$56+23&gt;='🌱 Configuração'!$D$56,'🌱 Configuração'!$B$56+23&lt;'🌱 Configuração'!$E$56,MOD('🌱 Configuração'!$B$56+23-'🌱 Configuração'!$D$56,7)=0,INT(('🌱 Configuração'!$B$56+23-'🌱 Configuração'!$D$56)/7)+1=1),"🍄 Beauveria bassiana — SOLO apenas",IF(AND('🌱 Configuração'!$B$56+23&gt;='🌱 Configuração'!$D$56,'🌱 Configuração'!$B$56+23&lt;'🌱 Configuração'!$E$56,MOD('🌱 Configuração'!$B$56+23-'🌱 Configuração'!$D$56,7)=0,INT(('🌱 Configuração'!$B$56+23-'🌱 Configuração'!$D$56)/7)+1=2),"🦠 Trichoderma (3 g/L) — solo",IF(AND('🌱 Configuração'!$B$56+23&gt;='🌱 Configuração'!$D$56,'🌱 Configuração'!$B$56+23&lt;'🌱 Configuração'!$E$56,MOD('🌱 Configuração'!$B$56+23-'🌱 Configuração'!$D$56,7)=0,INT(('🌱 Configuração'!$B$56+23-'🌱 Configuração'!$D$56)/7)+1=3),"🍄 Beauveria bassiana — solo | ⚠️ Umid &lt;45%",IF(AND('🌱 Configuração'!$B$56+23&gt;='🌱 Configuração'!$D$56,'🌱 Configuração'!$B$56+23&lt;'🌱 Configuração'!$E$56,MOD('🌱 Configuração'!$B$56+23-'🌱 Configuração'!$D$56,7)=0,INT(('🌱 Configuração'!$B$56+23-'🌱 Configuração'!$D$56)/7)+1=4),"🦠 Trichoderma — solo | Inspecionar buds",IF(AND('🌱 Configuração'!$B$56+23&gt;='🌱 Configuração'!$D$56,'🌱 Configuração'!$B$56+23&lt;'🌱 Configuração'!$E$56,MOD('🌱 Configuração'!$B$56+23-'🌱 Configuração'!$D$56,7)=0,INT(('🌱 Configuração'!$B$56+23-'🌱 Configuração'!$D$56)/7)+1=5),"🍄 Beauveria + inspeção visual buds",IF(AND('🌱 Configuração'!$B$56+23&gt;='🌱 Configuração'!$D$56,'🌱 Configuração'!$B$56+23&lt;'🌱 Configuração'!$E$56,MOD('🌱 Configuração'!$B$56+23-'🌱 Configuração'!$D$56,7)=0,INT(('🌱 Configuração'!$B$56+23-'🌱 Configuração'!$D$56)/7)+1=6),"🦠 Trichoderma + ⚠️ Verificar mofo","")))))),IF(AND('🌱 Configuração'!$B$56+23&gt;='🌱 Configuração'!$E$56,MOD('🌱 Configuração'!$B$56+23-'🌱 Configuração'!$E$56,7)=0),"🔬 Inspeção final — analisar tricomas","")))))</f>
        <v/>
      </c>
      <c r="I29" s="33"/>
    </row>
    <row r="30" spans="1:9" ht="19.5" customHeight="1">
      <c r="A30" s="1"/>
      <c r="B30" s="35">
        <f>IF(25&lt;='🌱 Configuração'!$F$55,25,"")</f>
        <v>25</v>
      </c>
      <c r="C30" s="13">
        <f>IF(25&lt;='🌱 Configuração'!$F$55,'🌱 Configuração'!$B$56+24,"")</f>
        <v>24</v>
      </c>
      <c r="D30" s="36" t="str">
        <f>IF(25&gt;'🌱 Configuração'!$F$55,"",IF('🌱 Configuração'!$B$56+24&lt;'🌱 Configuração'!$C$56,"🌱 Clone",IF('🌱 Configuração'!$B$56+24&lt;'🌱 Configuração'!$D$56,"🌿 Vegetativo",IF('🌱 Configuração'!$B$56+24&lt;'🌱 Configuração'!$E$56,"🌸 Floração","🚿 Flush"))))</f>
        <v>🌿 Vegetativo</v>
      </c>
      <c r="E30" s="15" t="str">
        <f>IF(25&gt;'🌱 Configuração'!$F$55,"",IF('🌱 Configuração'!$B$56+24&lt;'🌱 Configuração'!$C$56,"Clone S"&amp;INT((25-1)/7)+1,IF('🌱 Configuração'!$B$56+24&lt;'🌱 Configuração'!$D$56,"Vega S"&amp;INT(('🌱 Configuração'!$B$56+24-'🌱 Configuração'!$C$56)/7)+1,IF('🌱 Configuração'!$B$56+24&lt;'🌱 Configuração'!$E$56,"Flora S"&amp;INT(('🌱 Configuração'!$B$56+24-'🌱 Configuração'!$D$56)/7)+1,"Flush S"&amp;INT(('🌱 Configuração'!$B$56+24-'🌱 Configuração'!$E$56)/7)+1))))</f>
        <v>Vega S2</v>
      </c>
      <c r="F30" s="14" t="str">
        <f>IF(25&gt;'🌱 Configuração'!$F$55,"",IF('🌱 Configuração'!$B$56+24='🌱 Configuração'!$C$56,"🌿 INÍCIO VEGA — luz 18h/dia",IF('🌱 Configuração'!$B$56+24='🌱 Configuração'!$D$56,"🌸 INÍCIO FLORAÇÃO — mudar 12/12 🔴",IF('🌱 Configuração'!$B$56+24='🌱 Configuração'!$E$56,"🚿 INÍCIO FLUSH — parar nutrição",IF('🌱 Configuração'!$B$56+24='🌱 Configuração'!$F$56-1,"🔬 Véspera da colheita — analisar tricomas",IF('🌱 Configuração'!$B$56+24='🌱 Configuração'!$F$56,"✂️ COLHEITA — Parabéns! 🎉",""))))))</f>
        <v/>
      </c>
      <c r="G30" s="37" t="s">
        <v>428</v>
      </c>
      <c r="H30" s="38" t="str">
        <f>IF(25&gt;'🌱 Configuração'!$F$55,"",IF('🌱 Configuração'!$B$56+24&lt;'🌱 Configuração'!$C$56,IF(25=1,"🌿 Nim (2 mL/L) — foliar leve",IF(25=8,"🍄 Beauveria bassiana — foliar + solo","")),IF('🌱 Configuração'!$B$56+24&lt;'🌱 Configuração'!$D$56,IF(AND('🌱 Configuração'!$B$56+24&gt;='🌱 Configuração'!$C$56,'🌱 Configuração'!$B$56+24&lt;'🌱 Configuração'!$D$56,MOD('🌱 Configuração'!$B$56+24-'🌱 Configuração'!$C$56,7)=0,INT(('🌱 Configuração'!$B$56+24-'🌱 Configuração'!$C$56)/7)+1=1),"🌿 Nim (2 mL/L) — foliar preventivo",IF(AND('🌱 Configuração'!$B$56+24&gt;='🌱 Configuração'!$C$56,'🌱 Configuração'!$B$56+24&lt;'🌱 Configuração'!$D$56,MOD('🌱 Configuração'!$B$56+24-'🌱 Configuração'!$C$56,7)=0,INT(('🌱 Configuração'!$B$56+24-'🌱 Configuração'!$C$56)/7)+1=2),"🍄 Beauveria bassiana — foliar + solo",IF(AND('🌱 Configuração'!$B$56+24&gt;='🌱 Configuração'!$C$56,'🌱 Configuração'!$B$56+24&lt;'🌱 Configuração'!$D$56,MOD('🌱 Configuração'!$B$56+24-'🌱 Configuração'!$C$56,7)=0,INT(('🌱 Configuração'!$B$56+24-'🌱 Configuração'!$C$56)/7)+1=3),"🟡 Calda Sulfocálcica (1%) — foliar",IF(AND('🌱 Configuração'!$B$56+24&gt;='🌱 Configuração'!$C$56,'🌱 Configuração'!$B$56+24&lt;'🌱 Configuração'!$D$56,MOD('🌱 Configuração'!$B$56+24-'🌱 Configuração'!$C$56,7)=0,INT(('🌱 Configuração'!$B$56+24-'🌱 Configuração'!$C$56)/7)+1=4),"🦠 Trichoderma (3 g/L) — solo",IF(AND('🌱 Configuração'!$B$56+24&gt;='🌱 Configuração'!$C$56,'🌱 Configuração'!$B$56+24&lt;'🌱 Configuração'!$D$56,MOD('🌱 Configuração'!$B$56+24-'🌱 Configuração'!$C$56,7)=0,INT(('🌱 Configuração'!$B$56+24-'🌱 Configuração'!$C$56)/7)+1=5),"🔵 Calda Bordalesa (0.5%) — foliar",IF(AND('🌱 Configuração'!$B$56+24&gt;='🌱 Configuração'!$C$56,'🌱 Configuração'!$B$56+24&lt;'🌱 Configuração'!$D$56,MOD('🌱 Configuração'!$B$56+24-'🌱 Configuração'!$C$56,7)=0,INT(('🌱 Configuração'!$B$56+24-'🌱 Configuração'!$C$56)/7)+1=6),"🌿 Nim (2 mL/L) — ⚠️ ÚLTIMA foliar",IF(AND('🌱 Configuração'!$B$56+24&gt;='🌱 Configuração'!$C$56,'🌱 Configuração'!$B$56+24&lt;'🌱 Configuração'!$D$56,MOD('🌱 Configuração'!$B$56+24-'🌱 Configuração'!$C$56,7)=0,INT(('🌱 Configuração'!$B$56+24-'🌱 Configuração'!$C$56)/7)+1=7),"🦠 Trichoderma — solo",IF(AND('🌱 Configuração'!$B$56+24&gt;='🌱 Configuração'!$C$56,'🌱 Configuração'!$B$56+24&lt;'🌱 Configuração'!$D$56,MOD('🌱 Configuração'!$B$56+24-'🌱 Configuração'!$C$56,7)=0,INT(('🌱 Configuração'!$B$56+24-'🌱 Configuração'!$C$56)/7)+1=8),"🍄 Beauveria — solo","")))))))),IF('🌱 Configuração'!$B$56+24&lt;'🌱 Configuração'!$E$56,IF(AND('🌱 Configuração'!$B$56+24&gt;='🌱 Configuração'!$D$56,'🌱 Configuração'!$B$56+24&lt;'🌱 Configuração'!$E$56,MOD('🌱 Configuração'!$B$56+24-'🌱 Configuração'!$D$56,7)=0,INT(('🌱 Configuração'!$B$56+24-'🌱 Configuração'!$D$56)/7)+1=1),"🍄 Beauveria bassiana — SOLO apenas",IF(AND('🌱 Configuração'!$B$56+24&gt;='🌱 Configuração'!$D$56,'🌱 Configuração'!$B$56+24&lt;'🌱 Configuração'!$E$56,MOD('🌱 Configuração'!$B$56+24-'🌱 Configuração'!$D$56,7)=0,INT(('🌱 Configuração'!$B$56+24-'🌱 Configuração'!$D$56)/7)+1=2),"🦠 Trichoderma (3 g/L) — solo",IF(AND('🌱 Configuração'!$B$56+24&gt;='🌱 Configuração'!$D$56,'🌱 Configuração'!$B$56+24&lt;'🌱 Configuração'!$E$56,MOD('🌱 Configuração'!$B$56+24-'🌱 Configuração'!$D$56,7)=0,INT(('🌱 Configuração'!$B$56+24-'🌱 Configuração'!$D$56)/7)+1=3),"🍄 Beauveria bassiana — solo | ⚠️ Umid &lt;45%",IF(AND('🌱 Configuração'!$B$56+24&gt;='🌱 Configuração'!$D$56,'🌱 Configuração'!$B$56+24&lt;'🌱 Configuração'!$E$56,MOD('🌱 Configuração'!$B$56+24-'🌱 Configuração'!$D$56,7)=0,INT(('🌱 Configuração'!$B$56+24-'🌱 Configuração'!$D$56)/7)+1=4),"🦠 Trichoderma — solo | Inspecionar buds",IF(AND('🌱 Configuração'!$B$56+24&gt;='🌱 Configuração'!$D$56,'🌱 Configuração'!$B$56+24&lt;'🌱 Configuração'!$E$56,MOD('🌱 Configuração'!$B$56+24-'🌱 Configuração'!$D$56,7)=0,INT(('🌱 Configuração'!$B$56+24-'🌱 Configuração'!$D$56)/7)+1=5),"🍄 Beauveria + inspeção visual buds",IF(AND('🌱 Configuração'!$B$56+24&gt;='🌱 Configuração'!$D$56,'🌱 Configuração'!$B$56+24&lt;'🌱 Configuração'!$E$56,MOD('🌱 Configuração'!$B$56+24-'🌱 Configuração'!$D$56,7)=0,INT(('🌱 Configuração'!$B$56+24-'🌱 Configuração'!$D$56)/7)+1=6),"🦠 Trichoderma + ⚠️ Verificar mofo","")))))),IF(AND('🌱 Configuração'!$B$56+24&gt;='🌱 Configuração'!$E$56,MOD('🌱 Configuração'!$B$56+24-'🌱 Configuração'!$E$56,7)=0),"🔬 Inspeção final — analisar tricomas","")))))</f>
        <v/>
      </c>
      <c r="I30" s="33"/>
    </row>
    <row r="31" spans="1:9" ht="19.5" customHeight="1">
      <c r="A31" s="1"/>
      <c r="B31" s="39">
        <f>IF(26&lt;='🌱 Configuração'!$F$55,26,"")</f>
        <v>26</v>
      </c>
      <c r="C31" s="40">
        <f>IF(26&lt;='🌱 Configuração'!$F$55,'🌱 Configuração'!$B$56+25,"")</f>
        <v>25</v>
      </c>
      <c r="D31" s="41" t="str">
        <f>IF(26&gt;'🌱 Configuração'!$F$55,"",IF('🌱 Configuração'!$B$56+25&lt;'🌱 Configuração'!$C$56,"🌱 Clone",IF('🌱 Configuração'!$B$56+25&lt;'🌱 Configuração'!$D$56,"🌿 Vegetativo",IF('🌱 Configuração'!$B$56+25&lt;'🌱 Configuração'!$E$56,"🌸 Floração","🚿 Flush"))))</f>
        <v>🌿 Vegetativo</v>
      </c>
      <c r="E31" s="42" t="str">
        <f>IF(26&gt;'🌱 Configuração'!$F$55,"",IF('🌱 Configuração'!$B$56+25&lt;'🌱 Configuração'!$C$56,"Clone S"&amp;INT((26-1)/7)+1,IF('🌱 Configuração'!$B$56+25&lt;'🌱 Configuração'!$D$56,"Vega S"&amp;INT(('🌱 Configuração'!$B$56+25-'🌱 Configuração'!$C$56)/7)+1,IF('🌱 Configuração'!$B$56+25&lt;'🌱 Configuração'!$E$56,"Flora S"&amp;INT(('🌱 Configuração'!$B$56+25-'🌱 Configuração'!$D$56)/7)+1,"Flush S"&amp;INT(('🌱 Configuração'!$B$56+25-'🌱 Configuração'!$E$56)/7)+1))))</f>
        <v>Vega S2</v>
      </c>
      <c r="F31" s="43" t="str">
        <f>IF(26&gt;'🌱 Configuração'!$F$55,"",IF('🌱 Configuração'!$B$56+25='🌱 Configuração'!$C$56,"🌿 INÍCIO VEGA — luz 18h/dia",IF('🌱 Configuração'!$B$56+25='🌱 Configuração'!$D$56,"🌸 INÍCIO FLORAÇÃO — mudar 12/12 🔴",IF('🌱 Configuração'!$B$56+25='🌱 Configuração'!$E$56,"🚿 INÍCIO FLUSH — parar nutrição",IF('🌱 Configuração'!$B$56+25='🌱 Configuração'!$F$56-1,"🔬 Véspera da colheita — analisar tricomas",IF('🌱 Configuração'!$B$56+25='🌱 Configuração'!$F$56,"✂️ COLHEITA — Parabéns! 🎉",""))))))</f>
        <v/>
      </c>
      <c r="G31" s="44" t="s">
        <v>428</v>
      </c>
      <c r="H31" s="45" t="str">
        <f>IF(26&gt;'🌱 Configuração'!$F$55,"",IF('🌱 Configuração'!$B$56+25&lt;'🌱 Configuração'!$C$56,IF(26=1,"🌿 Nim (2 mL/L) — foliar leve",IF(26=8,"🍄 Beauveria bassiana — foliar + solo","")),IF('🌱 Configuração'!$B$56+25&lt;'🌱 Configuração'!$D$56,IF(AND('🌱 Configuração'!$B$56+25&gt;='🌱 Configuração'!$C$56,'🌱 Configuração'!$B$56+25&lt;'🌱 Configuração'!$D$56,MOD('🌱 Configuração'!$B$56+25-'🌱 Configuração'!$C$56,7)=0,INT(('🌱 Configuração'!$B$56+25-'🌱 Configuração'!$C$56)/7)+1=1),"🌿 Nim (2 mL/L) — foliar preventivo",IF(AND('🌱 Configuração'!$B$56+25&gt;='🌱 Configuração'!$C$56,'🌱 Configuração'!$B$56+25&lt;'🌱 Configuração'!$D$56,MOD('🌱 Configuração'!$B$56+25-'🌱 Configuração'!$C$56,7)=0,INT(('🌱 Configuração'!$B$56+25-'🌱 Configuração'!$C$56)/7)+1=2),"🍄 Beauveria bassiana — foliar + solo",IF(AND('🌱 Configuração'!$B$56+25&gt;='🌱 Configuração'!$C$56,'🌱 Configuração'!$B$56+25&lt;'🌱 Configuração'!$D$56,MOD('🌱 Configuração'!$B$56+25-'🌱 Configuração'!$C$56,7)=0,INT(('🌱 Configuração'!$B$56+25-'🌱 Configuração'!$C$56)/7)+1=3),"🟡 Calda Sulfocálcica (1%) — foliar",IF(AND('🌱 Configuração'!$B$56+25&gt;='🌱 Configuração'!$C$56,'🌱 Configuração'!$B$56+25&lt;'🌱 Configuração'!$D$56,MOD('🌱 Configuração'!$B$56+25-'🌱 Configuração'!$C$56,7)=0,INT(('🌱 Configuração'!$B$56+25-'🌱 Configuração'!$C$56)/7)+1=4),"🦠 Trichoderma (3 g/L) — solo",IF(AND('🌱 Configuração'!$B$56+25&gt;='🌱 Configuração'!$C$56,'🌱 Configuração'!$B$56+25&lt;'🌱 Configuração'!$D$56,MOD('🌱 Configuração'!$B$56+25-'🌱 Configuração'!$C$56,7)=0,INT(('🌱 Configuração'!$B$56+25-'🌱 Configuração'!$C$56)/7)+1=5),"🔵 Calda Bordalesa (0.5%) — foliar",IF(AND('🌱 Configuração'!$B$56+25&gt;='🌱 Configuração'!$C$56,'🌱 Configuração'!$B$56+25&lt;'🌱 Configuração'!$D$56,MOD('🌱 Configuração'!$B$56+25-'🌱 Configuração'!$C$56,7)=0,INT(('🌱 Configuração'!$B$56+25-'🌱 Configuração'!$C$56)/7)+1=6),"🌿 Nim (2 mL/L) — ⚠️ ÚLTIMA foliar",IF(AND('🌱 Configuração'!$B$56+25&gt;='🌱 Configuração'!$C$56,'🌱 Configuração'!$B$56+25&lt;'🌱 Configuração'!$D$56,MOD('🌱 Configuração'!$B$56+25-'🌱 Configuração'!$C$56,7)=0,INT(('🌱 Configuração'!$B$56+25-'🌱 Configuração'!$C$56)/7)+1=7),"🦠 Trichoderma — solo",IF(AND('🌱 Configuração'!$B$56+25&gt;='🌱 Configuração'!$C$56,'🌱 Configuração'!$B$56+25&lt;'🌱 Configuração'!$D$56,MOD('🌱 Configuração'!$B$56+25-'🌱 Configuração'!$C$56,7)=0,INT(('🌱 Configuração'!$B$56+25-'🌱 Configuração'!$C$56)/7)+1=8),"🍄 Beauveria — solo","")))))))),IF('🌱 Configuração'!$B$56+25&lt;'🌱 Configuração'!$E$56,IF(AND('🌱 Configuração'!$B$56+25&gt;='🌱 Configuração'!$D$56,'🌱 Configuração'!$B$56+25&lt;'🌱 Configuração'!$E$56,MOD('🌱 Configuração'!$B$56+25-'🌱 Configuração'!$D$56,7)=0,INT(('🌱 Configuração'!$B$56+25-'🌱 Configuração'!$D$56)/7)+1=1),"🍄 Beauveria bassiana — SOLO apenas",IF(AND('🌱 Configuração'!$B$56+25&gt;='🌱 Configuração'!$D$56,'🌱 Configuração'!$B$56+25&lt;'🌱 Configuração'!$E$56,MOD('🌱 Configuração'!$B$56+25-'🌱 Configuração'!$D$56,7)=0,INT(('🌱 Configuração'!$B$56+25-'🌱 Configuração'!$D$56)/7)+1=2),"🦠 Trichoderma (3 g/L) — solo",IF(AND('🌱 Configuração'!$B$56+25&gt;='🌱 Configuração'!$D$56,'🌱 Configuração'!$B$56+25&lt;'🌱 Configuração'!$E$56,MOD('🌱 Configuração'!$B$56+25-'🌱 Configuração'!$D$56,7)=0,INT(('🌱 Configuração'!$B$56+25-'🌱 Configuração'!$D$56)/7)+1=3),"🍄 Beauveria bassiana — solo | ⚠️ Umid &lt;45%",IF(AND('🌱 Configuração'!$B$56+25&gt;='🌱 Configuração'!$D$56,'🌱 Configuração'!$B$56+25&lt;'🌱 Configuração'!$E$56,MOD('🌱 Configuração'!$B$56+25-'🌱 Configuração'!$D$56,7)=0,INT(('🌱 Configuração'!$B$56+25-'🌱 Configuração'!$D$56)/7)+1=4),"🦠 Trichoderma — solo | Inspecionar buds",IF(AND('🌱 Configuração'!$B$56+25&gt;='🌱 Configuração'!$D$56,'🌱 Configuração'!$B$56+25&lt;'🌱 Configuração'!$E$56,MOD('🌱 Configuração'!$B$56+25-'🌱 Configuração'!$D$56,7)=0,INT(('🌱 Configuração'!$B$56+25-'🌱 Configuração'!$D$56)/7)+1=5),"🍄 Beauveria + inspeção visual buds",IF(AND('🌱 Configuração'!$B$56+25&gt;='🌱 Configuração'!$D$56,'🌱 Configuração'!$B$56+25&lt;'🌱 Configuração'!$E$56,MOD('🌱 Configuração'!$B$56+25-'🌱 Configuração'!$D$56,7)=0,INT(('🌱 Configuração'!$B$56+25-'🌱 Configuração'!$D$56)/7)+1=6),"🦠 Trichoderma + ⚠️ Verificar mofo","")))))),IF(AND('🌱 Configuração'!$B$56+25&gt;='🌱 Configuração'!$E$56,MOD('🌱 Configuração'!$B$56+25-'🌱 Configuração'!$E$56,7)=0),"🔬 Inspeção final — analisar tricomas","")))))</f>
        <v/>
      </c>
      <c r="I31" s="33"/>
    </row>
    <row r="32" spans="1:9" ht="19.5" customHeight="1">
      <c r="A32" s="1"/>
      <c r="B32" s="35">
        <f>IF(27&lt;='🌱 Configuração'!$F$55,27,"")</f>
        <v>27</v>
      </c>
      <c r="C32" s="13">
        <f>IF(27&lt;='🌱 Configuração'!$F$55,'🌱 Configuração'!$B$56+26,"")</f>
        <v>26</v>
      </c>
      <c r="D32" s="36" t="str">
        <f>IF(27&gt;'🌱 Configuração'!$F$55,"",IF('🌱 Configuração'!$B$56+26&lt;'🌱 Configuração'!$C$56,"🌱 Clone",IF('🌱 Configuração'!$B$56+26&lt;'🌱 Configuração'!$D$56,"🌿 Vegetativo",IF('🌱 Configuração'!$B$56+26&lt;'🌱 Configuração'!$E$56,"🌸 Floração","🚿 Flush"))))</f>
        <v>🌿 Vegetativo</v>
      </c>
      <c r="E32" s="15" t="str">
        <f>IF(27&gt;'🌱 Configuração'!$F$55,"",IF('🌱 Configuração'!$B$56+26&lt;'🌱 Configuração'!$C$56,"Clone S"&amp;INT((27-1)/7)+1,IF('🌱 Configuração'!$B$56+26&lt;'🌱 Configuração'!$D$56,"Vega S"&amp;INT(('🌱 Configuração'!$B$56+26-'🌱 Configuração'!$C$56)/7)+1,IF('🌱 Configuração'!$B$56+26&lt;'🌱 Configuração'!$E$56,"Flora S"&amp;INT(('🌱 Configuração'!$B$56+26-'🌱 Configuração'!$D$56)/7)+1,"Flush S"&amp;INT(('🌱 Configuração'!$B$56+26-'🌱 Configuração'!$E$56)/7)+1))))</f>
        <v>Vega S2</v>
      </c>
      <c r="F32" s="14" t="str">
        <f>IF(27&gt;'🌱 Configuração'!$F$55,"",IF('🌱 Configuração'!$B$56+26='🌱 Configuração'!$C$56,"🌿 INÍCIO VEGA — luz 18h/dia",IF('🌱 Configuração'!$B$56+26='🌱 Configuração'!$D$56,"🌸 INÍCIO FLORAÇÃO — mudar 12/12 🔴",IF('🌱 Configuração'!$B$56+26='🌱 Configuração'!$E$56,"🚿 INÍCIO FLUSH — parar nutrição",IF('🌱 Configuração'!$B$56+26='🌱 Configuração'!$F$56-1,"🔬 Véspera da colheita — analisar tricomas",IF('🌱 Configuração'!$B$56+26='🌱 Configuração'!$F$56,"✂️ COLHEITA — Parabéns! 🎉",""))))))</f>
        <v/>
      </c>
      <c r="G32" s="37" t="s">
        <v>428</v>
      </c>
      <c r="H32" s="38" t="str">
        <f>IF(27&gt;'🌱 Configuração'!$F$55,"",IF('🌱 Configuração'!$B$56+26&lt;'🌱 Configuração'!$C$56,IF(27=1,"🌿 Nim (2 mL/L) — foliar leve",IF(27=8,"🍄 Beauveria bassiana — foliar + solo","")),IF('🌱 Configuração'!$B$56+26&lt;'🌱 Configuração'!$D$56,IF(AND('🌱 Configuração'!$B$56+26&gt;='🌱 Configuração'!$C$56,'🌱 Configuração'!$B$56+26&lt;'🌱 Configuração'!$D$56,MOD('🌱 Configuração'!$B$56+26-'🌱 Configuração'!$C$56,7)=0,INT(('🌱 Configuração'!$B$56+26-'🌱 Configuração'!$C$56)/7)+1=1),"🌿 Nim (2 mL/L) — foliar preventivo",IF(AND('🌱 Configuração'!$B$56+26&gt;='🌱 Configuração'!$C$56,'🌱 Configuração'!$B$56+26&lt;'🌱 Configuração'!$D$56,MOD('🌱 Configuração'!$B$56+26-'🌱 Configuração'!$C$56,7)=0,INT(('🌱 Configuração'!$B$56+26-'🌱 Configuração'!$C$56)/7)+1=2),"🍄 Beauveria bassiana — foliar + solo",IF(AND('🌱 Configuração'!$B$56+26&gt;='🌱 Configuração'!$C$56,'🌱 Configuração'!$B$56+26&lt;'🌱 Configuração'!$D$56,MOD('🌱 Configuração'!$B$56+26-'🌱 Configuração'!$C$56,7)=0,INT(('🌱 Configuração'!$B$56+26-'🌱 Configuração'!$C$56)/7)+1=3),"🟡 Calda Sulfocálcica (1%) — foliar",IF(AND('🌱 Configuração'!$B$56+26&gt;='🌱 Configuração'!$C$56,'🌱 Configuração'!$B$56+26&lt;'🌱 Configuração'!$D$56,MOD('🌱 Configuração'!$B$56+26-'🌱 Configuração'!$C$56,7)=0,INT(('🌱 Configuração'!$B$56+26-'🌱 Configuração'!$C$56)/7)+1=4),"🦠 Trichoderma (3 g/L) — solo",IF(AND('🌱 Configuração'!$B$56+26&gt;='🌱 Configuração'!$C$56,'🌱 Configuração'!$B$56+26&lt;'🌱 Configuração'!$D$56,MOD('🌱 Configuração'!$B$56+26-'🌱 Configuração'!$C$56,7)=0,INT(('🌱 Configuração'!$B$56+26-'🌱 Configuração'!$C$56)/7)+1=5),"🔵 Calda Bordalesa (0.5%) — foliar",IF(AND('🌱 Configuração'!$B$56+26&gt;='🌱 Configuração'!$C$56,'🌱 Configuração'!$B$56+26&lt;'🌱 Configuração'!$D$56,MOD('🌱 Configuração'!$B$56+26-'🌱 Configuração'!$C$56,7)=0,INT(('🌱 Configuração'!$B$56+26-'🌱 Configuração'!$C$56)/7)+1=6),"🌿 Nim (2 mL/L) — ⚠️ ÚLTIMA foliar",IF(AND('🌱 Configuração'!$B$56+26&gt;='🌱 Configuração'!$C$56,'🌱 Configuração'!$B$56+26&lt;'🌱 Configuração'!$D$56,MOD('🌱 Configuração'!$B$56+26-'🌱 Configuração'!$C$56,7)=0,INT(('🌱 Configuração'!$B$56+26-'🌱 Configuração'!$C$56)/7)+1=7),"🦠 Trichoderma — solo",IF(AND('🌱 Configuração'!$B$56+26&gt;='🌱 Configuração'!$C$56,'🌱 Configuração'!$B$56+26&lt;'🌱 Configuração'!$D$56,MOD('🌱 Configuração'!$B$56+26-'🌱 Configuração'!$C$56,7)=0,INT(('🌱 Configuração'!$B$56+26-'🌱 Configuração'!$C$56)/7)+1=8),"🍄 Beauveria — solo","")))))))),IF('🌱 Configuração'!$B$56+26&lt;'🌱 Configuração'!$E$56,IF(AND('🌱 Configuração'!$B$56+26&gt;='🌱 Configuração'!$D$56,'🌱 Configuração'!$B$56+26&lt;'🌱 Configuração'!$E$56,MOD('🌱 Configuração'!$B$56+26-'🌱 Configuração'!$D$56,7)=0,INT(('🌱 Configuração'!$B$56+26-'🌱 Configuração'!$D$56)/7)+1=1),"🍄 Beauveria bassiana — SOLO apenas",IF(AND('🌱 Configuração'!$B$56+26&gt;='🌱 Configuração'!$D$56,'🌱 Configuração'!$B$56+26&lt;'🌱 Configuração'!$E$56,MOD('🌱 Configuração'!$B$56+26-'🌱 Configuração'!$D$56,7)=0,INT(('🌱 Configuração'!$B$56+26-'🌱 Configuração'!$D$56)/7)+1=2),"🦠 Trichoderma (3 g/L) — solo",IF(AND('🌱 Configuração'!$B$56+26&gt;='🌱 Configuração'!$D$56,'🌱 Configuração'!$B$56+26&lt;'🌱 Configuração'!$E$56,MOD('🌱 Configuração'!$B$56+26-'🌱 Configuração'!$D$56,7)=0,INT(('🌱 Configuração'!$B$56+26-'🌱 Configuração'!$D$56)/7)+1=3),"🍄 Beauveria bassiana — solo | ⚠️ Umid &lt;45%",IF(AND('🌱 Configuração'!$B$56+26&gt;='🌱 Configuração'!$D$56,'🌱 Configuração'!$B$56+26&lt;'🌱 Configuração'!$E$56,MOD('🌱 Configuração'!$B$56+26-'🌱 Configuração'!$D$56,7)=0,INT(('🌱 Configuração'!$B$56+26-'🌱 Configuração'!$D$56)/7)+1=4),"🦠 Trichoderma — solo | Inspecionar buds",IF(AND('🌱 Configuração'!$B$56+26&gt;='🌱 Configuração'!$D$56,'🌱 Configuração'!$B$56+26&lt;'🌱 Configuração'!$E$56,MOD('🌱 Configuração'!$B$56+26-'🌱 Configuração'!$D$56,7)=0,INT(('🌱 Configuração'!$B$56+26-'🌱 Configuração'!$D$56)/7)+1=5),"🍄 Beauveria + inspeção visual buds",IF(AND('🌱 Configuração'!$B$56+26&gt;='🌱 Configuração'!$D$56,'🌱 Configuração'!$B$56+26&lt;'🌱 Configuração'!$E$56,MOD('🌱 Configuração'!$B$56+26-'🌱 Configuração'!$D$56,7)=0,INT(('🌱 Configuração'!$B$56+26-'🌱 Configuração'!$D$56)/7)+1=6),"🦠 Trichoderma + ⚠️ Verificar mofo","")))))),IF(AND('🌱 Configuração'!$B$56+26&gt;='🌱 Configuração'!$E$56,MOD('🌱 Configuração'!$B$56+26-'🌱 Configuração'!$E$56,7)=0),"🔬 Inspeção final — analisar tricomas","")))))</f>
        <v/>
      </c>
      <c r="I32" s="33"/>
    </row>
    <row r="33" spans="1:9" ht="19.5" customHeight="1">
      <c r="A33" s="1"/>
      <c r="B33" s="39">
        <f>IF(28&lt;='🌱 Configuração'!$F$55,28,"")</f>
        <v>28</v>
      </c>
      <c r="C33" s="40">
        <f>IF(28&lt;='🌱 Configuração'!$F$55,'🌱 Configuração'!$B$56+27,"")</f>
        <v>27</v>
      </c>
      <c r="D33" s="41" t="str">
        <f>IF(28&gt;'🌱 Configuração'!$F$55,"",IF('🌱 Configuração'!$B$56+27&lt;'🌱 Configuração'!$C$56,"🌱 Clone",IF('🌱 Configuração'!$B$56+27&lt;'🌱 Configuração'!$D$56,"🌿 Vegetativo",IF('🌱 Configuração'!$B$56+27&lt;'🌱 Configuração'!$E$56,"🌸 Floração","🚿 Flush"))))</f>
        <v>🌿 Vegetativo</v>
      </c>
      <c r="E33" s="42" t="str">
        <f>IF(28&gt;'🌱 Configuração'!$F$55,"",IF('🌱 Configuração'!$B$56+27&lt;'🌱 Configuração'!$C$56,"Clone S"&amp;INT((28-1)/7)+1,IF('🌱 Configuração'!$B$56+27&lt;'🌱 Configuração'!$D$56,"Vega S"&amp;INT(('🌱 Configuração'!$B$56+27-'🌱 Configuração'!$C$56)/7)+1,IF('🌱 Configuração'!$B$56+27&lt;'🌱 Configuração'!$E$56,"Flora S"&amp;INT(('🌱 Configuração'!$B$56+27-'🌱 Configuração'!$D$56)/7)+1,"Flush S"&amp;INT(('🌱 Configuração'!$B$56+27-'🌱 Configuração'!$E$56)/7)+1))))</f>
        <v>Vega S2</v>
      </c>
      <c r="F33" s="43" t="str">
        <f>IF(28&gt;'🌱 Configuração'!$F$55,"",IF('🌱 Configuração'!$B$56+27='🌱 Configuração'!$C$56,"🌿 INÍCIO VEGA — luz 18h/dia",IF('🌱 Configuração'!$B$56+27='🌱 Configuração'!$D$56,"🌸 INÍCIO FLORAÇÃO — mudar 12/12 🔴",IF('🌱 Configuração'!$B$56+27='🌱 Configuração'!$E$56,"🚿 INÍCIO FLUSH — parar nutrição",IF('🌱 Configuração'!$B$56+27='🌱 Configuração'!$F$56-1,"🔬 Véspera da colheita — analisar tricomas",IF('🌱 Configuração'!$B$56+27='🌱 Configuração'!$F$56,"✂️ COLHEITA — Parabéns! 🎉",""))))))</f>
        <v/>
      </c>
      <c r="G33" s="44" t="s">
        <v>428</v>
      </c>
      <c r="H33" s="45" t="str">
        <f>IF(28&gt;'🌱 Configuração'!$F$55,"",IF('🌱 Configuração'!$B$56+27&lt;'🌱 Configuração'!$C$56,IF(28=1,"🌿 Nim (2 mL/L) — foliar leve",IF(28=8,"🍄 Beauveria bassiana — foliar + solo","")),IF('🌱 Configuração'!$B$56+27&lt;'🌱 Configuração'!$D$56,IF(AND('🌱 Configuração'!$B$56+27&gt;='🌱 Configuração'!$C$56,'🌱 Configuração'!$B$56+27&lt;'🌱 Configuração'!$D$56,MOD('🌱 Configuração'!$B$56+27-'🌱 Configuração'!$C$56,7)=0,INT(('🌱 Configuração'!$B$56+27-'🌱 Configuração'!$C$56)/7)+1=1),"🌿 Nim (2 mL/L) — foliar preventivo",IF(AND('🌱 Configuração'!$B$56+27&gt;='🌱 Configuração'!$C$56,'🌱 Configuração'!$B$56+27&lt;'🌱 Configuração'!$D$56,MOD('🌱 Configuração'!$B$56+27-'🌱 Configuração'!$C$56,7)=0,INT(('🌱 Configuração'!$B$56+27-'🌱 Configuração'!$C$56)/7)+1=2),"🍄 Beauveria bassiana — foliar + solo",IF(AND('🌱 Configuração'!$B$56+27&gt;='🌱 Configuração'!$C$56,'🌱 Configuração'!$B$56+27&lt;'🌱 Configuração'!$D$56,MOD('🌱 Configuração'!$B$56+27-'🌱 Configuração'!$C$56,7)=0,INT(('🌱 Configuração'!$B$56+27-'🌱 Configuração'!$C$56)/7)+1=3),"🟡 Calda Sulfocálcica (1%) — foliar",IF(AND('🌱 Configuração'!$B$56+27&gt;='🌱 Configuração'!$C$56,'🌱 Configuração'!$B$56+27&lt;'🌱 Configuração'!$D$56,MOD('🌱 Configuração'!$B$56+27-'🌱 Configuração'!$C$56,7)=0,INT(('🌱 Configuração'!$B$56+27-'🌱 Configuração'!$C$56)/7)+1=4),"🦠 Trichoderma (3 g/L) — solo",IF(AND('🌱 Configuração'!$B$56+27&gt;='🌱 Configuração'!$C$56,'🌱 Configuração'!$B$56+27&lt;'🌱 Configuração'!$D$56,MOD('🌱 Configuração'!$B$56+27-'🌱 Configuração'!$C$56,7)=0,INT(('🌱 Configuração'!$B$56+27-'🌱 Configuração'!$C$56)/7)+1=5),"🔵 Calda Bordalesa (0.5%) — foliar",IF(AND('🌱 Configuração'!$B$56+27&gt;='🌱 Configuração'!$C$56,'🌱 Configuração'!$B$56+27&lt;'🌱 Configuração'!$D$56,MOD('🌱 Configuração'!$B$56+27-'🌱 Configuração'!$C$56,7)=0,INT(('🌱 Configuração'!$B$56+27-'🌱 Configuração'!$C$56)/7)+1=6),"🌿 Nim (2 mL/L) — ⚠️ ÚLTIMA foliar",IF(AND('🌱 Configuração'!$B$56+27&gt;='🌱 Configuração'!$C$56,'🌱 Configuração'!$B$56+27&lt;'🌱 Configuração'!$D$56,MOD('🌱 Configuração'!$B$56+27-'🌱 Configuração'!$C$56,7)=0,INT(('🌱 Configuração'!$B$56+27-'🌱 Configuração'!$C$56)/7)+1=7),"🦠 Trichoderma — solo",IF(AND('🌱 Configuração'!$B$56+27&gt;='🌱 Configuração'!$C$56,'🌱 Configuração'!$B$56+27&lt;'🌱 Configuração'!$D$56,MOD('🌱 Configuração'!$B$56+27-'🌱 Configuração'!$C$56,7)=0,INT(('🌱 Configuração'!$B$56+27-'🌱 Configuração'!$C$56)/7)+1=8),"🍄 Beauveria — solo","")))))))),IF('🌱 Configuração'!$B$56+27&lt;'🌱 Configuração'!$E$56,IF(AND('🌱 Configuração'!$B$56+27&gt;='🌱 Configuração'!$D$56,'🌱 Configuração'!$B$56+27&lt;'🌱 Configuração'!$E$56,MOD('🌱 Configuração'!$B$56+27-'🌱 Configuração'!$D$56,7)=0,INT(('🌱 Configuração'!$B$56+27-'🌱 Configuração'!$D$56)/7)+1=1),"🍄 Beauveria bassiana — SOLO apenas",IF(AND('🌱 Configuração'!$B$56+27&gt;='🌱 Configuração'!$D$56,'🌱 Configuração'!$B$56+27&lt;'🌱 Configuração'!$E$56,MOD('🌱 Configuração'!$B$56+27-'🌱 Configuração'!$D$56,7)=0,INT(('🌱 Configuração'!$B$56+27-'🌱 Configuração'!$D$56)/7)+1=2),"🦠 Trichoderma (3 g/L) — solo",IF(AND('🌱 Configuração'!$B$56+27&gt;='🌱 Configuração'!$D$56,'🌱 Configuração'!$B$56+27&lt;'🌱 Configuração'!$E$56,MOD('🌱 Configuração'!$B$56+27-'🌱 Configuração'!$D$56,7)=0,INT(('🌱 Configuração'!$B$56+27-'🌱 Configuração'!$D$56)/7)+1=3),"🍄 Beauveria bassiana — solo | ⚠️ Umid &lt;45%",IF(AND('🌱 Configuração'!$B$56+27&gt;='🌱 Configuração'!$D$56,'🌱 Configuração'!$B$56+27&lt;'🌱 Configuração'!$E$56,MOD('🌱 Configuração'!$B$56+27-'🌱 Configuração'!$D$56,7)=0,INT(('🌱 Configuração'!$B$56+27-'🌱 Configuração'!$D$56)/7)+1=4),"🦠 Trichoderma — solo | Inspecionar buds",IF(AND('🌱 Configuração'!$B$56+27&gt;='🌱 Configuração'!$D$56,'🌱 Configuração'!$B$56+27&lt;'🌱 Configuração'!$E$56,MOD('🌱 Configuração'!$B$56+27-'🌱 Configuração'!$D$56,7)=0,INT(('🌱 Configuração'!$B$56+27-'🌱 Configuração'!$D$56)/7)+1=5),"🍄 Beauveria + inspeção visual buds",IF(AND('🌱 Configuração'!$B$56+27&gt;='🌱 Configuração'!$D$56,'🌱 Configuração'!$B$56+27&lt;'🌱 Configuração'!$E$56,MOD('🌱 Configuração'!$B$56+27-'🌱 Configuração'!$D$56,7)=0,INT(('🌱 Configuração'!$B$56+27-'🌱 Configuração'!$D$56)/7)+1=6),"🦠 Trichoderma + ⚠️ Verificar mofo","")))))),IF(AND('🌱 Configuração'!$B$56+27&gt;='🌱 Configuração'!$E$56,MOD('🌱 Configuração'!$B$56+27-'🌱 Configuração'!$E$56,7)=0),"🔬 Inspeção final — analisar tricomas","")))))</f>
        <v/>
      </c>
      <c r="I33" s="33"/>
    </row>
    <row r="34" spans="1:9" ht="19.5" customHeight="1">
      <c r="A34" s="1"/>
      <c r="B34" s="35">
        <f>IF(29&lt;='🌱 Configuração'!$F$55,29,"")</f>
        <v>29</v>
      </c>
      <c r="C34" s="13">
        <f>IF(29&lt;='🌱 Configuração'!$F$55,'🌱 Configuração'!$B$56+28,"")</f>
        <v>28</v>
      </c>
      <c r="D34" s="36" t="str">
        <f>IF(29&gt;'🌱 Configuração'!$F$55,"",IF('🌱 Configuração'!$B$56+28&lt;'🌱 Configuração'!$C$56,"🌱 Clone",IF('🌱 Configuração'!$B$56+28&lt;'🌱 Configuração'!$D$56,"🌿 Vegetativo",IF('🌱 Configuração'!$B$56+28&lt;'🌱 Configuração'!$E$56,"🌸 Floração","🚿 Flush"))))</f>
        <v>🌿 Vegetativo</v>
      </c>
      <c r="E34" s="15" t="str">
        <f>IF(29&gt;'🌱 Configuração'!$F$55,"",IF('🌱 Configuração'!$B$56+28&lt;'🌱 Configuração'!$C$56,"Clone S"&amp;INT((29-1)/7)+1,IF('🌱 Configuração'!$B$56+28&lt;'🌱 Configuração'!$D$56,"Vega S"&amp;INT(('🌱 Configuração'!$B$56+28-'🌱 Configuração'!$C$56)/7)+1,IF('🌱 Configuração'!$B$56+28&lt;'🌱 Configuração'!$E$56,"Flora S"&amp;INT(('🌱 Configuração'!$B$56+28-'🌱 Configuração'!$D$56)/7)+1,"Flush S"&amp;INT(('🌱 Configuração'!$B$56+28-'🌱 Configuração'!$E$56)/7)+1))))</f>
        <v>Vega S3</v>
      </c>
      <c r="F34" s="14" t="str">
        <f>IF(29&gt;'🌱 Configuração'!$F$55,"",IF('🌱 Configuração'!$B$56+28='🌱 Configuração'!$C$56,"🌿 INÍCIO VEGA — luz 18h/dia",IF('🌱 Configuração'!$B$56+28='🌱 Configuração'!$D$56,"🌸 INÍCIO FLORAÇÃO — mudar 12/12 🔴",IF('🌱 Configuração'!$B$56+28='🌱 Configuração'!$E$56,"🚿 INÍCIO FLUSH — parar nutrição",IF('🌱 Configuração'!$B$56+28='🌱 Configuração'!$F$56-1,"🔬 Véspera da colheita — analisar tricomas",IF('🌱 Configuração'!$B$56+28='🌱 Configuração'!$F$56,"✂️ COLHEITA — Parabéns! 🎉",""))))))</f>
        <v/>
      </c>
      <c r="G34" s="37" t="s">
        <v>432</v>
      </c>
      <c r="H34" s="38" t="str">
        <f>IF(29&gt;'🌱 Configuração'!$F$55,"",IF('🌱 Configuração'!$B$56+28&lt;'🌱 Configuração'!$C$56,IF(29=1,"🌿 Nim (2 mL/L) — foliar leve",IF(29=8,"🍄 Beauveria bassiana — foliar + solo","")),IF('🌱 Configuração'!$B$56+28&lt;'🌱 Configuração'!$D$56,IF(AND('🌱 Configuração'!$B$56+28&gt;='🌱 Configuração'!$C$56,'🌱 Configuração'!$B$56+28&lt;'🌱 Configuração'!$D$56,MOD('🌱 Configuração'!$B$56+28-'🌱 Configuração'!$C$56,7)=0,INT(('🌱 Configuração'!$B$56+28-'🌱 Configuração'!$C$56)/7)+1=1),"🌿 Nim (2 mL/L) — foliar preventivo",IF(AND('🌱 Configuração'!$B$56+28&gt;='🌱 Configuração'!$C$56,'🌱 Configuração'!$B$56+28&lt;'🌱 Configuração'!$D$56,MOD('🌱 Configuração'!$B$56+28-'🌱 Configuração'!$C$56,7)=0,INT(('🌱 Configuração'!$B$56+28-'🌱 Configuração'!$C$56)/7)+1=2),"🍄 Beauveria bassiana — foliar + solo",IF(AND('🌱 Configuração'!$B$56+28&gt;='🌱 Configuração'!$C$56,'🌱 Configuração'!$B$56+28&lt;'🌱 Configuração'!$D$56,MOD('🌱 Configuração'!$B$56+28-'🌱 Configuração'!$C$56,7)=0,INT(('🌱 Configuração'!$B$56+28-'🌱 Configuração'!$C$56)/7)+1=3),"🟡 Calda Sulfocálcica (1%) — foliar",IF(AND('🌱 Configuração'!$B$56+28&gt;='🌱 Configuração'!$C$56,'🌱 Configuração'!$B$56+28&lt;'🌱 Configuração'!$D$56,MOD('🌱 Configuração'!$B$56+28-'🌱 Configuração'!$C$56,7)=0,INT(('🌱 Configuração'!$B$56+28-'🌱 Configuração'!$C$56)/7)+1=4),"🦠 Trichoderma (3 g/L) — solo",IF(AND('🌱 Configuração'!$B$56+28&gt;='🌱 Configuração'!$C$56,'🌱 Configuração'!$B$56+28&lt;'🌱 Configuração'!$D$56,MOD('🌱 Configuração'!$B$56+28-'🌱 Configuração'!$C$56,7)=0,INT(('🌱 Configuração'!$B$56+28-'🌱 Configuração'!$C$56)/7)+1=5),"🔵 Calda Bordalesa (0.5%) — foliar",IF(AND('🌱 Configuração'!$B$56+28&gt;='🌱 Configuração'!$C$56,'🌱 Configuração'!$B$56+28&lt;'🌱 Configuração'!$D$56,MOD('🌱 Configuração'!$B$56+28-'🌱 Configuração'!$C$56,7)=0,INT(('🌱 Configuração'!$B$56+28-'🌱 Configuração'!$C$56)/7)+1=6),"🌿 Nim (2 mL/L) — ⚠️ ÚLTIMA foliar",IF(AND('🌱 Configuração'!$B$56+28&gt;='🌱 Configuração'!$C$56,'🌱 Configuração'!$B$56+28&lt;'🌱 Configuração'!$D$56,MOD('🌱 Configuração'!$B$56+28-'🌱 Configuração'!$C$56,7)=0,INT(('🌱 Configuração'!$B$56+28-'🌱 Configuração'!$C$56)/7)+1=7),"🦠 Trichoderma — solo",IF(AND('🌱 Configuração'!$B$56+28&gt;='🌱 Configuração'!$C$56,'🌱 Configuração'!$B$56+28&lt;'🌱 Configuração'!$D$56,MOD('🌱 Configuração'!$B$56+28-'🌱 Configuração'!$C$56,7)=0,INT(('🌱 Configuração'!$B$56+28-'🌱 Configuração'!$C$56)/7)+1=8),"🍄 Beauveria — solo","")))))))),IF('🌱 Configuração'!$B$56+28&lt;'🌱 Configuração'!$E$56,IF(AND('🌱 Configuração'!$B$56+28&gt;='🌱 Configuração'!$D$56,'🌱 Configuração'!$B$56+28&lt;'🌱 Configuração'!$E$56,MOD('🌱 Configuração'!$B$56+28-'🌱 Configuração'!$D$56,7)=0,INT(('🌱 Configuração'!$B$56+28-'🌱 Configuração'!$D$56)/7)+1=1),"🍄 Beauveria bassiana — SOLO apenas",IF(AND('🌱 Configuração'!$B$56+28&gt;='🌱 Configuração'!$D$56,'🌱 Configuração'!$B$56+28&lt;'🌱 Configuração'!$E$56,MOD('🌱 Configuração'!$B$56+28-'🌱 Configuração'!$D$56,7)=0,INT(('🌱 Configuração'!$B$56+28-'🌱 Configuração'!$D$56)/7)+1=2),"🦠 Trichoderma (3 g/L) — solo",IF(AND('🌱 Configuração'!$B$56+28&gt;='🌱 Configuração'!$D$56,'🌱 Configuração'!$B$56+28&lt;'🌱 Configuração'!$E$56,MOD('🌱 Configuração'!$B$56+28-'🌱 Configuração'!$D$56,7)=0,INT(('🌱 Configuração'!$B$56+28-'🌱 Configuração'!$D$56)/7)+1=3),"🍄 Beauveria bassiana — solo | ⚠️ Umid &lt;45%",IF(AND('🌱 Configuração'!$B$56+28&gt;='🌱 Configuração'!$D$56,'🌱 Configuração'!$B$56+28&lt;'🌱 Configuração'!$E$56,MOD('🌱 Configuração'!$B$56+28-'🌱 Configuração'!$D$56,7)=0,INT(('🌱 Configuração'!$B$56+28-'🌱 Configuração'!$D$56)/7)+1=4),"🦠 Trichoderma — solo | Inspecionar buds",IF(AND('🌱 Configuração'!$B$56+28&gt;='🌱 Configuração'!$D$56,'🌱 Configuração'!$B$56+28&lt;'🌱 Configuração'!$E$56,MOD('🌱 Configuração'!$B$56+28-'🌱 Configuração'!$D$56,7)=0,INT(('🌱 Configuração'!$B$56+28-'🌱 Configuração'!$D$56)/7)+1=5),"🍄 Beauveria + inspeção visual buds",IF(AND('🌱 Configuração'!$B$56+28&gt;='🌱 Configuração'!$D$56,'🌱 Configuração'!$B$56+28&lt;'🌱 Configuração'!$E$56,MOD('🌱 Configuração'!$B$56+28-'🌱 Configuração'!$D$56,7)=0,INT(('🌱 Configuração'!$B$56+28-'🌱 Configuração'!$D$56)/7)+1=6),"🦠 Trichoderma + ⚠️ Verificar mofo","")))))),IF(AND('🌱 Configuração'!$B$56+28&gt;='🌱 Configuração'!$E$56,MOD('🌱 Configuração'!$B$56+28-'🌱 Configuração'!$E$56,7)=0),"🔬 Inspeção final — analisar tricomas","")))))</f>
        <v>🟡 Calda Sulfocálcica (1%) — foliar</v>
      </c>
      <c r="I34" s="33"/>
    </row>
    <row r="35" spans="1:9" ht="19.5" customHeight="1">
      <c r="A35" s="1"/>
      <c r="B35" s="39">
        <f>IF(30&lt;='🌱 Configuração'!$F$55,30,"")</f>
        <v>30</v>
      </c>
      <c r="C35" s="40">
        <f>IF(30&lt;='🌱 Configuração'!$F$55,'🌱 Configuração'!$B$56+29,"")</f>
        <v>29</v>
      </c>
      <c r="D35" s="41" t="str">
        <f>IF(30&gt;'🌱 Configuração'!$F$55,"",IF('🌱 Configuração'!$B$56+29&lt;'🌱 Configuração'!$C$56,"🌱 Clone",IF('🌱 Configuração'!$B$56+29&lt;'🌱 Configuração'!$D$56,"🌿 Vegetativo",IF('🌱 Configuração'!$B$56+29&lt;'🌱 Configuração'!$E$56,"🌸 Floração","🚿 Flush"))))</f>
        <v>🌿 Vegetativo</v>
      </c>
      <c r="E35" s="42" t="str">
        <f>IF(30&gt;'🌱 Configuração'!$F$55,"",IF('🌱 Configuração'!$B$56+29&lt;'🌱 Configuração'!$C$56,"Clone S"&amp;INT((30-1)/7)+1,IF('🌱 Configuração'!$B$56+29&lt;'🌱 Configuração'!$D$56,"Vega S"&amp;INT(('🌱 Configuração'!$B$56+29-'🌱 Configuração'!$C$56)/7)+1,IF('🌱 Configuração'!$B$56+29&lt;'🌱 Configuração'!$E$56,"Flora S"&amp;INT(('🌱 Configuração'!$B$56+29-'🌱 Configuração'!$D$56)/7)+1,"Flush S"&amp;INT(('🌱 Configuração'!$B$56+29-'🌱 Configuração'!$E$56)/7)+1))))</f>
        <v>Vega S3</v>
      </c>
      <c r="F35" s="43" t="str">
        <f>IF(30&gt;'🌱 Configuração'!$F$55,"",IF('🌱 Configuração'!$B$56+29='🌱 Configuração'!$C$56,"🌿 INÍCIO VEGA — luz 18h/dia",IF('🌱 Configuração'!$B$56+29='🌱 Configuração'!$D$56,"🌸 INÍCIO FLORAÇÃO — mudar 12/12 🔴",IF('🌱 Configuração'!$B$56+29='🌱 Configuração'!$E$56,"🚿 INÍCIO FLUSH — parar nutrição",IF('🌱 Configuração'!$B$56+29='🌱 Configuração'!$F$56-1,"🔬 Véspera da colheita — analisar tricomas",IF('🌱 Configuração'!$B$56+29='🌱 Configuração'!$F$56,"✂️ COLHEITA — Parabéns! 🎉",""))))))</f>
        <v/>
      </c>
      <c r="G35" s="44" t="s">
        <v>428</v>
      </c>
      <c r="H35" s="45" t="str">
        <f>IF(30&gt;'🌱 Configuração'!$F$55,"",IF('🌱 Configuração'!$B$56+29&lt;'🌱 Configuração'!$C$56,IF(30=1,"🌿 Nim (2 mL/L) — foliar leve",IF(30=8,"🍄 Beauveria bassiana — foliar + solo","")),IF('🌱 Configuração'!$B$56+29&lt;'🌱 Configuração'!$D$56,IF(AND('🌱 Configuração'!$B$56+29&gt;='🌱 Configuração'!$C$56,'🌱 Configuração'!$B$56+29&lt;'🌱 Configuração'!$D$56,MOD('🌱 Configuração'!$B$56+29-'🌱 Configuração'!$C$56,7)=0,INT(('🌱 Configuração'!$B$56+29-'🌱 Configuração'!$C$56)/7)+1=1),"🌿 Nim (2 mL/L) — foliar preventivo",IF(AND('🌱 Configuração'!$B$56+29&gt;='🌱 Configuração'!$C$56,'🌱 Configuração'!$B$56+29&lt;'🌱 Configuração'!$D$56,MOD('🌱 Configuração'!$B$56+29-'🌱 Configuração'!$C$56,7)=0,INT(('🌱 Configuração'!$B$56+29-'🌱 Configuração'!$C$56)/7)+1=2),"🍄 Beauveria bassiana — foliar + solo",IF(AND('🌱 Configuração'!$B$56+29&gt;='🌱 Configuração'!$C$56,'🌱 Configuração'!$B$56+29&lt;'🌱 Configuração'!$D$56,MOD('🌱 Configuração'!$B$56+29-'🌱 Configuração'!$C$56,7)=0,INT(('🌱 Configuração'!$B$56+29-'🌱 Configuração'!$C$56)/7)+1=3),"🟡 Calda Sulfocálcica (1%) — foliar",IF(AND('🌱 Configuração'!$B$56+29&gt;='🌱 Configuração'!$C$56,'🌱 Configuração'!$B$56+29&lt;'🌱 Configuração'!$D$56,MOD('🌱 Configuração'!$B$56+29-'🌱 Configuração'!$C$56,7)=0,INT(('🌱 Configuração'!$B$56+29-'🌱 Configuração'!$C$56)/7)+1=4),"🦠 Trichoderma (3 g/L) — solo",IF(AND('🌱 Configuração'!$B$56+29&gt;='🌱 Configuração'!$C$56,'🌱 Configuração'!$B$56+29&lt;'🌱 Configuração'!$D$56,MOD('🌱 Configuração'!$B$56+29-'🌱 Configuração'!$C$56,7)=0,INT(('🌱 Configuração'!$B$56+29-'🌱 Configuração'!$C$56)/7)+1=5),"🔵 Calda Bordalesa (0.5%) — foliar",IF(AND('🌱 Configuração'!$B$56+29&gt;='🌱 Configuração'!$C$56,'🌱 Configuração'!$B$56+29&lt;'🌱 Configuração'!$D$56,MOD('🌱 Configuração'!$B$56+29-'🌱 Configuração'!$C$56,7)=0,INT(('🌱 Configuração'!$B$56+29-'🌱 Configuração'!$C$56)/7)+1=6),"🌿 Nim (2 mL/L) — ⚠️ ÚLTIMA foliar",IF(AND('🌱 Configuração'!$B$56+29&gt;='🌱 Configuração'!$C$56,'🌱 Configuração'!$B$56+29&lt;'🌱 Configuração'!$D$56,MOD('🌱 Configuração'!$B$56+29-'🌱 Configuração'!$C$56,7)=0,INT(('🌱 Configuração'!$B$56+29-'🌱 Configuração'!$C$56)/7)+1=7),"🦠 Trichoderma — solo",IF(AND('🌱 Configuração'!$B$56+29&gt;='🌱 Configuração'!$C$56,'🌱 Configuração'!$B$56+29&lt;'🌱 Configuração'!$D$56,MOD('🌱 Configuração'!$B$56+29-'🌱 Configuração'!$C$56,7)=0,INT(('🌱 Configuração'!$B$56+29-'🌱 Configuração'!$C$56)/7)+1=8),"🍄 Beauveria — solo","")))))))),IF('🌱 Configuração'!$B$56+29&lt;'🌱 Configuração'!$E$56,IF(AND('🌱 Configuração'!$B$56+29&gt;='🌱 Configuração'!$D$56,'🌱 Configuração'!$B$56+29&lt;'🌱 Configuração'!$E$56,MOD('🌱 Configuração'!$B$56+29-'🌱 Configuração'!$D$56,7)=0,INT(('🌱 Configuração'!$B$56+29-'🌱 Configuração'!$D$56)/7)+1=1),"🍄 Beauveria bassiana — SOLO apenas",IF(AND('🌱 Configuração'!$B$56+29&gt;='🌱 Configuração'!$D$56,'🌱 Configuração'!$B$56+29&lt;'🌱 Configuração'!$E$56,MOD('🌱 Configuração'!$B$56+29-'🌱 Configuração'!$D$56,7)=0,INT(('🌱 Configuração'!$B$56+29-'🌱 Configuração'!$D$56)/7)+1=2),"🦠 Trichoderma (3 g/L) — solo",IF(AND('🌱 Configuração'!$B$56+29&gt;='🌱 Configuração'!$D$56,'🌱 Configuração'!$B$56+29&lt;'🌱 Configuração'!$E$56,MOD('🌱 Configuração'!$B$56+29-'🌱 Configuração'!$D$56,7)=0,INT(('🌱 Configuração'!$B$56+29-'🌱 Configuração'!$D$56)/7)+1=3),"🍄 Beauveria bassiana — solo | ⚠️ Umid &lt;45%",IF(AND('🌱 Configuração'!$B$56+29&gt;='🌱 Configuração'!$D$56,'🌱 Configuração'!$B$56+29&lt;'🌱 Configuração'!$E$56,MOD('🌱 Configuração'!$B$56+29-'🌱 Configuração'!$D$56,7)=0,INT(('🌱 Configuração'!$B$56+29-'🌱 Configuração'!$D$56)/7)+1=4),"🦠 Trichoderma — solo | Inspecionar buds",IF(AND('🌱 Configuração'!$B$56+29&gt;='🌱 Configuração'!$D$56,'🌱 Configuração'!$B$56+29&lt;'🌱 Configuração'!$E$56,MOD('🌱 Configuração'!$B$56+29-'🌱 Configuração'!$D$56,7)=0,INT(('🌱 Configuração'!$B$56+29-'🌱 Configuração'!$D$56)/7)+1=5),"🍄 Beauveria + inspeção visual buds",IF(AND('🌱 Configuração'!$B$56+29&gt;='🌱 Configuração'!$D$56,'🌱 Configuração'!$B$56+29&lt;'🌱 Configuração'!$E$56,MOD('🌱 Configuração'!$B$56+29-'🌱 Configuração'!$D$56,7)=0,INT(('🌱 Configuração'!$B$56+29-'🌱 Configuração'!$D$56)/7)+1=6),"🦠 Trichoderma + ⚠️ Verificar mofo","")))))),IF(AND('🌱 Configuração'!$B$56+29&gt;='🌱 Configuração'!$E$56,MOD('🌱 Configuração'!$B$56+29-'🌱 Configuração'!$E$56,7)=0),"🔬 Inspeção final — analisar tricomas","")))))</f>
        <v/>
      </c>
      <c r="I35" s="33"/>
    </row>
    <row r="36" spans="1:9" ht="19.5" customHeight="1">
      <c r="A36" s="1"/>
      <c r="B36" s="35">
        <f>IF(31&lt;='🌱 Configuração'!$F$55,31,"")</f>
        <v>31</v>
      </c>
      <c r="C36" s="13">
        <f>IF(31&lt;='🌱 Configuração'!$F$55,'🌱 Configuração'!$B$56+30,"")</f>
        <v>30</v>
      </c>
      <c r="D36" s="36" t="str">
        <f>IF(31&gt;'🌱 Configuração'!$F$55,"",IF('🌱 Configuração'!$B$56+30&lt;'🌱 Configuração'!$C$56,"🌱 Clone",IF('🌱 Configuração'!$B$56+30&lt;'🌱 Configuração'!$D$56,"🌿 Vegetativo",IF('🌱 Configuração'!$B$56+30&lt;'🌱 Configuração'!$E$56,"🌸 Floração","🚿 Flush"))))</f>
        <v>🌿 Vegetativo</v>
      </c>
      <c r="E36" s="15" t="str">
        <f>IF(31&gt;'🌱 Configuração'!$F$55,"",IF('🌱 Configuração'!$B$56+30&lt;'🌱 Configuração'!$C$56,"Clone S"&amp;INT((31-1)/7)+1,IF('🌱 Configuração'!$B$56+30&lt;'🌱 Configuração'!$D$56,"Vega S"&amp;INT(('🌱 Configuração'!$B$56+30-'🌱 Configuração'!$C$56)/7)+1,IF('🌱 Configuração'!$B$56+30&lt;'🌱 Configuração'!$E$56,"Flora S"&amp;INT(('🌱 Configuração'!$B$56+30-'🌱 Configuração'!$D$56)/7)+1,"Flush S"&amp;INT(('🌱 Configuração'!$B$56+30-'🌱 Configuração'!$E$56)/7)+1))))</f>
        <v>Vega S3</v>
      </c>
      <c r="F36" s="14" t="str">
        <f>IF(31&gt;'🌱 Configuração'!$F$55,"",IF('🌱 Configuração'!$B$56+30='🌱 Configuração'!$C$56,"🌿 INÍCIO VEGA — luz 18h/dia",IF('🌱 Configuração'!$B$56+30='🌱 Configuração'!$D$56,"🌸 INÍCIO FLORAÇÃO — mudar 12/12 🔴",IF('🌱 Configuração'!$B$56+30='🌱 Configuração'!$E$56,"🚿 INÍCIO FLUSH — parar nutrição",IF('🌱 Configuração'!$B$56+30='🌱 Configuração'!$F$56-1,"🔬 Véspera da colheita — analisar tricomas",IF('🌱 Configuração'!$B$56+30='🌱 Configuração'!$F$56,"✂️ COLHEITA — Parabéns! 🎉",""))))))</f>
        <v/>
      </c>
      <c r="G36" s="37" t="s">
        <v>428</v>
      </c>
      <c r="H36" s="38" t="str">
        <f>IF(31&gt;'🌱 Configuração'!$F$55,"",IF('🌱 Configuração'!$B$56+30&lt;'🌱 Configuração'!$C$56,IF(31=1,"🌿 Nim (2 mL/L) — foliar leve",IF(31=8,"🍄 Beauveria bassiana — foliar + solo","")),IF('🌱 Configuração'!$B$56+30&lt;'🌱 Configuração'!$D$56,IF(AND('🌱 Configuração'!$B$56+30&gt;='🌱 Configuração'!$C$56,'🌱 Configuração'!$B$56+30&lt;'🌱 Configuração'!$D$56,MOD('🌱 Configuração'!$B$56+30-'🌱 Configuração'!$C$56,7)=0,INT(('🌱 Configuração'!$B$56+30-'🌱 Configuração'!$C$56)/7)+1=1),"🌿 Nim (2 mL/L) — foliar preventivo",IF(AND('🌱 Configuração'!$B$56+30&gt;='🌱 Configuração'!$C$56,'🌱 Configuração'!$B$56+30&lt;'🌱 Configuração'!$D$56,MOD('🌱 Configuração'!$B$56+30-'🌱 Configuração'!$C$56,7)=0,INT(('🌱 Configuração'!$B$56+30-'🌱 Configuração'!$C$56)/7)+1=2),"🍄 Beauveria bassiana — foliar + solo",IF(AND('🌱 Configuração'!$B$56+30&gt;='🌱 Configuração'!$C$56,'🌱 Configuração'!$B$56+30&lt;'🌱 Configuração'!$D$56,MOD('🌱 Configuração'!$B$56+30-'🌱 Configuração'!$C$56,7)=0,INT(('🌱 Configuração'!$B$56+30-'🌱 Configuração'!$C$56)/7)+1=3),"🟡 Calda Sulfocálcica (1%) — foliar",IF(AND('🌱 Configuração'!$B$56+30&gt;='🌱 Configuração'!$C$56,'🌱 Configuração'!$B$56+30&lt;'🌱 Configuração'!$D$56,MOD('🌱 Configuração'!$B$56+30-'🌱 Configuração'!$C$56,7)=0,INT(('🌱 Configuração'!$B$56+30-'🌱 Configuração'!$C$56)/7)+1=4),"🦠 Trichoderma (3 g/L) — solo",IF(AND('🌱 Configuração'!$B$56+30&gt;='🌱 Configuração'!$C$56,'🌱 Configuração'!$B$56+30&lt;'🌱 Configuração'!$D$56,MOD('🌱 Configuração'!$B$56+30-'🌱 Configuração'!$C$56,7)=0,INT(('🌱 Configuração'!$B$56+30-'🌱 Configuração'!$C$56)/7)+1=5),"🔵 Calda Bordalesa (0.5%) — foliar",IF(AND('🌱 Configuração'!$B$56+30&gt;='🌱 Configuração'!$C$56,'🌱 Configuração'!$B$56+30&lt;'🌱 Configuração'!$D$56,MOD('🌱 Configuração'!$B$56+30-'🌱 Configuração'!$C$56,7)=0,INT(('🌱 Configuração'!$B$56+30-'🌱 Configuração'!$C$56)/7)+1=6),"🌿 Nim (2 mL/L) — ⚠️ ÚLTIMA foliar",IF(AND('🌱 Configuração'!$B$56+30&gt;='🌱 Configuração'!$C$56,'🌱 Configuração'!$B$56+30&lt;'🌱 Configuração'!$D$56,MOD('🌱 Configuração'!$B$56+30-'🌱 Configuração'!$C$56,7)=0,INT(('🌱 Configuração'!$B$56+30-'🌱 Configuração'!$C$56)/7)+1=7),"🦠 Trichoderma — solo",IF(AND('🌱 Configuração'!$B$56+30&gt;='🌱 Configuração'!$C$56,'🌱 Configuração'!$B$56+30&lt;'🌱 Configuração'!$D$56,MOD('🌱 Configuração'!$B$56+30-'🌱 Configuração'!$C$56,7)=0,INT(('🌱 Configuração'!$B$56+30-'🌱 Configuração'!$C$56)/7)+1=8),"🍄 Beauveria — solo","")))))))),IF('🌱 Configuração'!$B$56+30&lt;'🌱 Configuração'!$E$56,IF(AND('🌱 Configuração'!$B$56+30&gt;='🌱 Configuração'!$D$56,'🌱 Configuração'!$B$56+30&lt;'🌱 Configuração'!$E$56,MOD('🌱 Configuração'!$B$56+30-'🌱 Configuração'!$D$56,7)=0,INT(('🌱 Configuração'!$B$56+30-'🌱 Configuração'!$D$56)/7)+1=1),"🍄 Beauveria bassiana — SOLO apenas",IF(AND('🌱 Configuração'!$B$56+30&gt;='🌱 Configuração'!$D$56,'🌱 Configuração'!$B$56+30&lt;'🌱 Configuração'!$E$56,MOD('🌱 Configuração'!$B$56+30-'🌱 Configuração'!$D$56,7)=0,INT(('🌱 Configuração'!$B$56+30-'🌱 Configuração'!$D$56)/7)+1=2),"🦠 Trichoderma (3 g/L) — solo",IF(AND('🌱 Configuração'!$B$56+30&gt;='🌱 Configuração'!$D$56,'🌱 Configuração'!$B$56+30&lt;'🌱 Configuração'!$E$56,MOD('🌱 Configuração'!$B$56+30-'🌱 Configuração'!$D$56,7)=0,INT(('🌱 Configuração'!$B$56+30-'🌱 Configuração'!$D$56)/7)+1=3),"🍄 Beauveria bassiana — solo | ⚠️ Umid &lt;45%",IF(AND('🌱 Configuração'!$B$56+30&gt;='🌱 Configuração'!$D$56,'🌱 Configuração'!$B$56+30&lt;'🌱 Configuração'!$E$56,MOD('🌱 Configuração'!$B$56+30-'🌱 Configuração'!$D$56,7)=0,INT(('🌱 Configuração'!$B$56+30-'🌱 Configuração'!$D$56)/7)+1=4),"🦠 Trichoderma — solo | Inspecionar buds",IF(AND('🌱 Configuração'!$B$56+30&gt;='🌱 Configuração'!$D$56,'🌱 Configuração'!$B$56+30&lt;'🌱 Configuração'!$E$56,MOD('🌱 Configuração'!$B$56+30-'🌱 Configuração'!$D$56,7)=0,INT(('🌱 Configuração'!$B$56+30-'🌱 Configuração'!$D$56)/7)+1=5),"🍄 Beauveria + inspeção visual buds",IF(AND('🌱 Configuração'!$B$56+30&gt;='🌱 Configuração'!$D$56,'🌱 Configuração'!$B$56+30&lt;'🌱 Configuração'!$E$56,MOD('🌱 Configuração'!$B$56+30-'🌱 Configuração'!$D$56,7)=0,INT(('🌱 Configuração'!$B$56+30-'🌱 Configuração'!$D$56)/7)+1=6),"🦠 Trichoderma + ⚠️ Verificar mofo","")))))),IF(AND('🌱 Configuração'!$B$56+30&gt;='🌱 Configuração'!$E$56,MOD('🌱 Configuração'!$B$56+30-'🌱 Configuração'!$E$56,7)=0),"🔬 Inspeção final — analisar tricomas","")))))</f>
        <v/>
      </c>
      <c r="I36" s="33"/>
    </row>
    <row r="37" spans="1:9" ht="19.5" customHeight="1">
      <c r="A37" s="1"/>
      <c r="B37" s="39">
        <f>IF(32&lt;='🌱 Configuração'!$F$55,32,"")</f>
        <v>32</v>
      </c>
      <c r="C37" s="40">
        <f>IF(32&lt;='🌱 Configuração'!$F$55,'🌱 Configuração'!$B$56+31,"")</f>
        <v>31</v>
      </c>
      <c r="D37" s="41" t="str">
        <f>IF(32&gt;'🌱 Configuração'!$F$55,"",IF('🌱 Configuração'!$B$56+31&lt;'🌱 Configuração'!$C$56,"🌱 Clone",IF('🌱 Configuração'!$B$56+31&lt;'🌱 Configuração'!$D$56,"🌿 Vegetativo",IF('🌱 Configuração'!$B$56+31&lt;'🌱 Configuração'!$E$56,"🌸 Floração","🚿 Flush"))))</f>
        <v>🌿 Vegetativo</v>
      </c>
      <c r="E37" s="42" t="str">
        <f>IF(32&gt;'🌱 Configuração'!$F$55,"",IF('🌱 Configuração'!$B$56+31&lt;'🌱 Configuração'!$C$56,"Clone S"&amp;INT((32-1)/7)+1,IF('🌱 Configuração'!$B$56+31&lt;'🌱 Configuração'!$D$56,"Vega S"&amp;INT(('🌱 Configuração'!$B$56+31-'🌱 Configuração'!$C$56)/7)+1,IF('🌱 Configuração'!$B$56+31&lt;'🌱 Configuração'!$E$56,"Flora S"&amp;INT(('🌱 Configuração'!$B$56+31-'🌱 Configuração'!$D$56)/7)+1,"Flush S"&amp;INT(('🌱 Configuração'!$B$56+31-'🌱 Configuração'!$E$56)/7)+1))))</f>
        <v>Vega S3</v>
      </c>
      <c r="F37" s="43" t="str">
        <f>IF(32&gt;'🌱 Configuração'!$F$55,"",IF('🌱 Configuração'!$B$56+31='🌱 Configuração'!$C$56,"🌿 INÍCIO VEGA — luz 18h/dia",IF('🌱 Configuração'!$B$56+31='🌱 Configuração'!$D$56,"🌸 INÍCIO FLORAÇÃO — mudar 12/12 🔴",IF('🌱 Configuração'!$B$56+31='🌱 Configuração'!$E$56,"🚿 INÍCIO FLUSH — parar nutrição",IF('🌱 Configuração'!$B$56+31='🌱 Configuração'!$F$56-1,"🔬 Véspera da colheita — analisar tricomas",IF('🌱 Configuração'!$B$56+31='🌱 Configuração'!$F$56,"✂️ COLHEITA — Parabéns! 🎉",""))))))</f>
        <v/>
      </c>
      <c r="G37" s="44" t="s">
        <v>428</v>
      </c>
      <c r="H37" s="45" t="str">
        <f>IF(32&gt;'🌱 Configuração'!$F$55,"",IF('🌱 Configuração'!$B$56+31&lt;'🌱 Configuração'!$C$56,IF(32=1,"🌿 Nim (2 mL/L) — foliar leve",IF(32=8,"🍄 Beauveria bassiana — foliar + solo","")),IF('🌱 Configuração'!$B$56+31&lt;'🌱 Configuração'!$D$56,IF(AND('🌱 Configuração'!$B$56+31&gt;='🌱 Configuração'!$C$56,'🌱 Configuração'!$B$56+31&lt;'🌱 Configuração'!$D$56,MOD('🌱 Configuração'!$B$56+31-'🌱 Configuração'!$C$56,7)=0,INT(('🌱 Configuração'!$B$56+31-'🌱 Configuração'!$C$56)/7)+1=1),"🌿 Nim (2 mL/L) — foliar preventivo",IF(AND('🌱 Configuração'!$B$56+31&gt;='🌱 Configuração'!$C$56,'🌱 Configuração'!$B$56+31&lt;'🌱 Configuração'!$D$56,MOD('🌱 Configuração'!$B$56+31-'🌱 Configuração'!$C$56,7)=0,INT(('🌱 Configuração'!$B$56+31-'🌱 Configuração'!$C$56)/7)+1=2),"🍄 Beauveria bassiana — foliar + solo",IF(AND('🌱 Configuração'!$B$56+31&gt;='🌱 Configuração'!$C$56,'🌱 Configuração'!$B$56+31&lt;'🌱 Configuração'!$D$56,MOD('🌱 Configuração'!$B$56+31-'🌱 Configuração'!$C$56,7)=0,INT(('🌱 Configuração'!$B$56+31-'🌱 Configuração'!$C$56)/7)+1=3),"🟡 Calda Sulfocálcica (1%) — foliar",IF(AND('🌱 Configuração'!$B$56+31&gt;='🌱 Configuração'!$C$56,'🌱 Configuração'!$B$56+31&lt;'🌱 Configuração'!$D$56,MOD('🌱 Configuração'!$B$56+31-'🌱 Configuração'!$C$56,7)=0,INT(('🌱 Configuração'!$B$56+31-'🌱 Configuração'!$C$56)/7)+1=4),"🦠 Trichoderma (3 g/L) — solo",IF(AND('🌱 Configuração'!$B$56+31&gt;='🌱 Configuração'!$C$56,'🌱 Configuração'!$B$56+31&lt;'🌱 Configuração'!$D$56,MOD('🌱 Configuração'!$B$56+31-'🌱 Configuração'!$C$56,7)=0,INT(('🌱 Configuração'!$B$56+31-'🌱 Configuração'!$C$56)/7)+1=5),"🔵 Calda Bordalesa (0.5%) — foliar",IF(AND('🌱 Configuração'!$B$56+31&gt;='🌱 Configuração'!$C$56,'🌱 Configuração'!$B$56+31&lt;'🌱 Configuração'!$D$56,MOD('🌱 Configuração'!$B$56+31-'🌱 Configuração'!$C$56,7)=0,INT(('🌱 Configuração'!$B$56+31-'🌱 Configuração'!$C$56)/7)+1=6),"🌿 Nim (2 mL/L) — ⚠️ ÚLTIMA foliar",IF(AND('🌱 Configuração'!$B$56+31&gt;='🌱 Configuração'!$C$56,'🌱 Configuração'!$B$56+31&lt;'🌱 Configuração'!$D$56,MOD('🌱 Configuração'!$B$56+31-'🌱 Configuração'!$C$56,7)=0,INT(('🌱 Configuração'!$B$56+31-'🌱 Configuração'!$C$56)/7)+1=7),"🦠 Trichoderma — solo",IF(AND('🌱 Configuração'!$B$56+31&gt;='🌱 Configuração'!$C$56,'🌱 Configuração'!$B$56+31&lt;'🌱 Configuração'!$D$56,MOD('🌱 Configuração'!$B$56+31-'🌱 Configuração'!$C$56,7)=0,INT(('🌱 Configuração'!$B$56+31-'🌱 Configuração'!$C$56)/7)+1=8),"🍄 Beauveria — solo","")))))))),IF('🌱 Configuração'!$B$56+31&lt;'🌱 Configuração'!$E$56,IF(AND('🌱 Configuração'!$B$56+31&gt;='🌱 Configuração'!$D$56,'🌱 Configuração'!$B$56+31&lt;'🌱 Configuração'!$E$56,MOD('🌱 Configuração'!$B$56+31-'🌱 Configuração'!$D$56,7)=0,INT(('🌱 Configuração'!$B$56+31-'🌱 Configuração'!$D$56)/7)+1=1),"🍄 Beauveria bassiana — SOLO apenas",IF(AND('🌱 Configuração'!$B$56+31&gt;='🌱 Configuração'!$D$56,'🌱 Configuração'!$B$56+31&lt;'🌱 Configuração'!$E$56,MOD('🌱 Configuração'!$B$56+31-'🌱 Configuração'!$D$56,7)=0,INT(('🌱 Configuração'!$B$56+31-'🌱 Configuração'!$D$56)/7)+1=2),"🦠 Trichoderma (3 g/L) — solo",IF(AND('🌱 Configuração'!$B$56+31&gt;='🌱 Configuração'!$D$56,'🌱 Configuração'!$B$56+31&lt;'🌱 Configuração'!$E$56,MOD('🌱 Configuração'!$B$56+31-'🌱 Configuração'!$D$56,7)=0,INT(('🌱 Configuração'!$B$56+31-'🌱 Configuração'!$D$56)/7)+1=3),"🍄 Beauveria bassiana — solo | ⚠️ Umid &lt;45%",IF(AND('🌱 Configuração'!$B$56+31&gt;='🌱 Configuração'!$D$56,'🌱 Configuração'!$B$56+31&lt;'🌱 Configuração'!$E$56,MOD('🌱 Configuração'!$B$56+31-'🌱 Configuração'!$D$56,7)=0,INT(('🌱 Configuração'!$B$56+31-'🌱 Configuração'!$D$56)/7)+1=4),"🦠 Trichoderma — solo | Inspecionar buds",IF(AND('🌱 Configuração'!$B$56+31&gt;='🌱 Configuração'!$D$56,'🌱 Configuração'!$B$56+31&lt;'🌱 Configuração'!$E$56,MOD('🌱 Configuração'!$B$56+31-'🌱 Configuração'!$D$56,7)=0,INT(('🌱 Configuração'!$B$56+31-'🌱 Configuração'!$D$56)/7)+1=5),"🍄 Beauveria + inspeção visual buds",IF(AND('🌱 Configuração'!$B$56+31&gt;='🌱 Configuração'!$D$56,'🌱 Configuração'!$B$56+31&lt;'🌱 Configuração'!$E$56,MOD('🌱 Configuração'!$B$56+31-'🌱 Configuração'!$D$56,7)=0,INT(('🌱 Configuração'!$B$56+31-'🌱 Configuração'!$D$56)/7)+1=6),"🦠 Trichoderma + ⚠️ Verificar mofo","")))))),IF(AND('🌱 Configuração'!$B$56+31&gt;='🌱 Configuração'!$E$56,MOD('🌱 Configuração'!$B$56+31-'🌱 Configuração'!$E$56,7)=0),"🔬 Inspeção final — analisar tricomas","")))))</f>
        <v/>
      </c>
      <c r="I37" s="33"/>
    </row>
    <row r="38" spans="1:9" ht="19.5" customHeight="1">
      <c r="A38" s="1"/>
      <c r="B38" s="35">
        <f>IF(33&lt;='🌱 Configuração'!$F$55,33,"")</f>
        <v>33</v>
      </c>
      <c r="C38" s="13">
        <f>IF(33&lt;='🌱 Configuração'!$F$55,'🌱 Configuração'!$B$56+32,"")</f>
        <v>32</v>
      </c>
      <c r="D38" s="36" t="str">
        <f>IF(33&gt;'🌱 Configuração'!$F$55,"",IF('🌱 Configuração'!$B$56+32&lt;'🌱 Configuração'!$C$56,"🌱 Clone",IF('🌱 Configuração'!$B$56+32&lt;'🌱 Configuração'!$D$56,"🌿 Vegetativo",IF('🌱 Configuração'!$B$56+32&lt;'🌱 Configuração'!$E$56,"🌸 Floração","🚿 Flush"))))</f>
        <v>🌿 Vegetativo</v>
      </c>
      <c r="E38" s="15" t="str">
        <f>IF(33&gt;'🌱 Configuração'!$F$55,"",IF('🌱 Configuração'!$B$56+32&lt;'🌱 Configuração'!$C$56,"Clone S"&amp;INT((33-1)/7)+1,IF('🌱 Configuração'!$B$56+32&lt;'🌱 Configuração'!$D$56,"Vega S"&amp;INT(('🌱 Configuração'!$B$56+32-'🌱 Configuração'!$C$56)/7)+1,IF('🌱 Configuração'!$B$56+32&lt;'🌱 Configuração'!$E$56,"Flora S"&amp;INT(('🌱 Configuração'!$B$56+32-'🌱 Configuração'!$D$56)/7)+1,"Flush S"&amp;INT(('🌱 Configuração'!$B$56+32-'🌱 Configuração'!$E$56)/7)+1))))</f>
        <v>Vega S3</v>
      </c>
      <c r="F38" s="14" t="str">
        <f>IF(33&gt;'🌱 Configuração'!$F$55,"",IF('🌱 Configuração'!$B$56+32='🌱 Configuração'!$C$56,"🌿 INÍCIO VEGA — luz 18h/dia",IF('🌱 Configuração'!$B$56+32='🌱 Configuração'!$D$56,"🌸 INÍCIO FLORAÇÃO — mudar 12/12 🔴",IF('🌱 Configuração'!$B$56+32='🌱 Configuração'!$E$56,"🚿 INÍCIO FLUSH — parar nutrição",IF('🌱 Configuração'!$B$56+32='🌱 Configuração'!$F$56-1,"🔬 Véspera da colheita — analisar tricomas",IF('🌱 Configuração'!$B$56+32='🌱 Configuração'!$F$56,"✂️ COLHEITA — Parabéns! 🎉",""))))))</f>
        <v/>
      </c>
      <c r="G38" s="37" t="s">
        <v>428</v>
      </c>
      <c r="H38" s="38" t="str">
        <f>IF(33&gt;'🌱 Configuração'!$F$55,"",IF('🌱 Configuração'!$B$56+32&lt;'🌱 Configuração'!$C$56,IF(33=1,"🌿 Nim (2 mL/L) — foliar leve",IF(33=8,"🍄 Beauveria bassiana — foliar + solo","")),IF('🌱 Configuração'!$B$56+32&lt;'🌱 Configuração'!$D$56,IF(AND('🌱 Configuração'!$B$56+32&gt;='🌱 Configuração'!$C$56,'🌱 Configuração'!$B$56+32&lt;'🌱 Configuração'!$D$56,MOD('🌱 Configuração'!$B$56+32-'🌱 Configuração'!$C$56,7)=0,INT(('🌱 Configuração'!$B$56+32-'🌱 Configuração'!$C$56)/7)+1=1),"🌿 Nim (2 mL/L) — foliar preventivo",IF(AND('🌱 Configuração'!$B$56+32&gt;='🌱 Configuração'!$C$56,'🌱 Configuração'!$B$56+32&lt;'🌱 Configuração'!$D$56,MOD('🌱 Configuração'!$B$56+32-'🌱 Configuração'!$C$56,7)=0,INT(('🌱 Configuração'!$B$56+32-'🌱 Configuração'!$C$56)/7)+1=2),"🍄 Beauveria bassiana — foliar + solo",IF(AND('🌱 Configuração'!$B$56+32&gt;='🌱 Configuração'!$C$56,'🌱 Configuração'!$B$56+32&lt;'🌱 Configuração'!$D$56,MOD('🌱 Configuração'!$B$56+32-'🌱 Configuração'!$C$56,7)=0,INT(('🌱 Configuração'!$B$56+32-'🌱 Configuração'!$C$56)/7)+1=3),"🟡 Calda Sulfocálcica (1%) — foliar",IF(AND('🌱 Configuração'!$B$56+32&gt;='🌱 Configuração'!$C$56,'🌱 Configuração'!$B$56+32&lt;'🌱 Configuração'!$D$56,MOD('🌱 Configuração'!$B$56+32-'🌱 Configuração'!$C$56,7)=0,INT(('🌱 Configuração'!$B$56+32-'🌱 Configuração'!$C$56)/7)+1=4),"🦠 Trichoderma (3 g/L) — solo",IF(AND('🌱 Configuração'!$B$56+32&gt;='🌱 Configuração'!$C$56,'🌱 Configuração'!$B$56+32&lt;'🌱 Configuração'!$D$56,MOD('🌱 Configuração'!$B$56+32-'🌱 Configuração'!$C$56,7)=0,INT(('🌱 Configuração'!$B$56+32-'🌱 Configuração'!$C$56)/7)+1=5),"🔵 Calda Bordalesa (0.5%) — foliar",IF(AND('🌱 Configuração'!$B$56+32&gt;='🌱 Configuração'!$C$56,'🌱 Configuração'!$B$56+32&lt;'🌱 Configuração'!$D$56,MOD('🌱 Configuração'!$B$56+32-'🌱 Configuração'!$C$56,7)=0,INT(('🌱 Configuração'!$B$56+32-'🌱 Configuração'!$C$56)/7)+1=6),"🌿 Nim (2 mL/L) — ⚠️ ÚLTIMA foliar",IF(AND('🌱 Configuração'!$B$56+32&gt;='🌱 Configuração'!$C$56,'🌱 Configuração'!$B$56+32&lt;'🌱 Configuração'!$D$56,MOD('🌱 Configuração'!$B$56+32-'🌱 Configuração'!$C$56,7)=0,INT(('🌱 Configuração'!$B$56+32-'🌱 Configuração'!$C$56)/7)+1=7),"🦠 Trichoderma — solo",IF(AND('🌱 Configuração'!$B$56+32&gt;='🌱 Configuração'!$C$56,'🌱 Configuração'!$B$56+32&lt;'🌱 Configuração'!$D$56,MOD('🌱 Configuração'!$B$56+32-'🌱 Configuração'!$C$56,7)=0,INT(('🌱 Configuração'!$B$56+32-'🌱 Configuração'!$C$56)/7)+1=8),"🍄 Beauveria — solo","")))))))),IF('🌱 Configuração'!$B$56+32&lt;'🌱 Configuração'!$E$56,IF(AND('🌱 Configuração'!$B$56+32&gt;='🌱 Configuração'!$D$56,'🌱 Configuração'!$B$56+32&lt;'🌱 Configuração'!$E$56,MOD('🌱 Configuração'!$B$56+32-'🌱 Configuração'!$D$56,7)=0,INT(('🌱 Configuração'!$B$56+32-'🌱 Configuração'!$D$56)/7)+1=1),"🍄 Beauveria bassiana — SOLO apenas",IF(AND('🌱 Configuração'!$B$56+32&gt;='🌱 Configuração'!$D$56,'🌱 Configuração'!$B$56+32&lt;'🌱 Configuração'!$E$56,MOD('🌱 Configuração'!$B$56+32-'🌱 Configuração'!$D$56,7)=0,INT(('🌱 Configuração'!$B$56+32-'🌱 Configuração'!$D$56)/7)+1=2),"🦠 Trichoderma (3 g/L) — solo",IF(AND('🌱 Configuração'!$B$56+32&gt;='🌱 Configuração'!$D$56,'🌱 Configuração'!$B$56+32&lt;'🌱 Configuração'!$E$56,MOD('🌱 Configuração'!$B$56+32-'🌱 Configuração'!$D$56,7)=0,INT(('🌱 Configuração'!$B$56+32-'🌱 Configuração'!$D$56)/7)+1=3),"🍄 Beauveria bassiana — solo | ⚠️ Umid &lt;45%",IF(AND('🌱 Configuração'!$B$56+32&gt;='🌱 Configuração'!$D$56,'🌱 Configuração'!$B$56+32&lt;'🌱 Configuração'!$E$56,MOD('🌱 Configuração'!$B$56+32-'🌱 Configuração'!$D$56,7)=0,INT(('🌱 Configuração'!$B$56+32-'🌱 Configuração'!$D$56)/7)+1=4),"🦠 Trichoderma — solo | Inspecionar buds",IF(AND('🌱 Configuração'!$B$56+32&gt;='🌱 Configuração'!$D$56,'🌱 Configuração'!$B$56+32&lt;'🌱 Configuração'!$E$56,MOD('🌱 Configuração'!$B$56+32-'🌱 Configuração'!$D$56,7)=0,INT(('🌱 Configuração'!$B$56+32-'🌱 Configuração'!$D$56)/7)+1=5),"🍄 Beauveria + inspeção visual buds",IF(AND('🌱 Configuração'!$B$56+32&gt;='🌱 Configuração'!$D$56,'🌱 Configuração'!$B$56+32&lt;'🌱 Configuração'!$E$56,MOD('🌱 Configuração'!$B$56+32-'🌱 Configuração'!$D$56,7)=0,INT(('🌱 Configuração'!$B$56+32-'🌱 Configuração'!$D$56)/7)+1=6),"🦠 Trichoderma + ⚠️ Verificar mofo","")))))),IF(AND('🌱 Configuração'!$B$56+32&gt;='🌱 Configuração'!$E$56,MOD('🌱 Configuração'!$B$56+32-'🌱 Configuração'!$E$56,7)=0),"🔬 Inspeção final — analisar tricomas","")))))</f>
        <v/>
      </c>
      <c r="I38" s="33"/>
    </row>
    <row r="39" spans="1:9" ht="19.5" customHeight="1">
      <c r="A39" s="1"/>
      <c r="B39" s="39">
        <f>IF(34&lt;='🌱 Configuração'!$F$55,34,"")</f>
        <v>34</v>
      </c>
      <c r="C39" s="40">
        <f>IF(34&lt;='🌱 Configuração'!$F$55,'🌱 Configuração'!$B$56+33,"")</f>
        <v>33</v>
      </c>
      <c r="D39" s="41" t="str">
        <f>IF(34&gt;'🌱 Configuração'!$F$55,"",IF('🌱 Configuração'!$B$56+33&lt;'🌱 Configuração'!$C$56,"🌱 Clone",IF('🌱 Configuração'!$B$56+33&lt;'🌱 Configuração'!$D$56,"🌿 Vegetativo",IF('🌱 Configuração'!$B$56+33&lt;'🌱 Configuração'!$E$56,"🌸 Floração","🚿 Flush"))))</f>
        <v>🌿 Vegetativo</v>
      </c>
      <c r="E39" s="42" t="str">
        <f>IF(34&gt;'🌱 Configuração'!$F$55,"",IF('🌱 Configuração'!$B$56+33&lt;'🌱 Configuração'!$C$56,"Clone S"&amp;INT((34-1)/7)+1,IF('🌱 Configuração'!$B$56+33&lt;'🌱 Configuração'!$D$56,"Vega S"&amp;INT(('🌱 Configuração'!$B$56+33-'🌱 Configuração'!$C$56)/7)+1,IF('🌱 Configuração'!$B$56+33&lt;'🌱 Configuração'!$E$56,"Flora S"&amp;INT(('🌱 Configuração'!$B$56+33-'🌱 Configuração'!$D$56)/7)+1,"Flush S"&amp;INT(('🌱 Configuração'!$B$56+33-'🌱 Configuração'!$E$56)/7)+1))))</f>
        <v>Vega S3</v>
      </c>
      <c r="F39" s="43" t="str">
        <f>IF(34&gt;'🌱 Configuração'!$F$55,"",IF('🌱 Configuração'!$B$56+33='🌱 Configuração'!$C$56,"🌿 INÍCIO VEGA — luz 18h/dia",IF('🌱 Configuração'!$B$56+33='🌱 Configuração'!$D$56,"🌸 INÍCIO FLORAÇÃO — mudar 12/12 🔴",IF('🌱 Configuração'!$B$56+33='🌱 Configuração'!$E$56,"🚿 INÍCIO FLUSH — parar nutrição",IF('🌱 Configuração'!$B$56+33='🌱 Configuração'!$F$56-1,"🔬 Véspera da colheita — analisar tricomas",IF('🌱 Configuração'!$B$56+33='🌱 Configuração'!$F$56,"✂️ COLHEITA — Parabéns! 🎉",""))))))</f>
        <v/>
      </c>
      <c r="G39" s="44" t="s">
        <v>428</v>
      </c>
      <c r="H39" s="45" t="str">
        <f>IF(34&gt;'🌱 Configuração'!$F$55,"",IF('🌱 Configuração'!$B$56+33&lt;'🌱 Configuração'!$C$56,IF(34=1,"🌿 Nim (2 mL/L) — foliar leve",IF(34=8,"🍄 Beauveria bassiana — foliar + solo","")),IF('🌱 Configuração'!$B$56+33&lt;'🌱 Configuração'!$D$56,IF(AND('🌱 Configuração'!$B$56+33&gt;='🌱 Configuração'!$C$56,'🌱 Configuração'!$B$56+33&lt;'🌱 Configuração'!$D$56,MOD('🌱 Configuração'!$B$56+33-'🌱 Configuração'!$C$56,7)=0,INT(('🌱 Configuração'!$B$56+33-'🌱 Configuração'!$C$56)/7)+1=1),"🌿 Nim (2 mL/L) — foliar preventivo",IF(AND('🌱 Configuração'!$B$56+33&gt;='🌱 Configuração'!$C$56,'🌱 Configuração'!$B$56+33&lt;'🌱 Configuração'!$D$56,MOD('🌱 Configuração'!$B$56+33-'🌱 Configuração'!$C$56,7)=0,INT(('🌱 Configuração'!$B$56+33-'🌱 Configuração'!$C$56)/7)+1=2),"🍄 Beauveria bassiana — foliar + solo",IF(AND('🌱 Configuração'!$B$56+33&gt;='🌱 Configuração'!$C$56,'🌱 Configuração'!$B$56+33&lt;'🌱 Configuração'!$D$56,MOD('🌱 Configuração'!$B$56+33-'🌱 Configuração'!$C$56,7)=0,INT(('🌱 Configuração'!$B$56+33-'🌱 Configuração'!$C$56)/7)+1=3),"🟡 Calda Sulfocálcica (1%) — foliar",IF(AND('🌱 Configuração'!$B$56+33&gt;='🌱 Configuração'!$C$56,'🌱 Configuração'!$B$56+33&lt;'🌱 Configuração'!$D$56,MOD('🌱 Configuração'!$B$56+33-'🌱 Configuração'!$C$56,7)=0,INT(('🌱 Configuração'!$B$56+33-'🌱 Configuração'!$C$56)/7)+1=4),"🦠 Trichoderma (3 g/L) — solo",IF(AND('🌱 Configuração'!$B$56+33&gt;='🌱 Configuração'!$C$56,'🌱 Configuração'!$B$56+33&lt;'🌱 Configuração'!$D$56,MOD('🌱 Configuração'!$B$56+33-'🌱 Configuração'!$C$56,7)=0,INT(('🌱 Configuração'!$B$56+33-'🌱 Configuração'!$C$56)/7)+1=5),"🔵 Calda Bordalesa (0.5%) — foliar",IF(AND('🌱 Configuração'!$B$56+33&gt;='🌱 Configuração'!$C$56,'🌱 Configuração'!$B$56+33&lt;'🌱 Configuração'!$D$56,MOD('🌱 Configuração'!$B$56+33-'🌱 Configuração'!$C$56,7)=0,INT(('🌱 Configuração'!$B$56+33-'🌱 Configuração'!$C$56)/7)+1=6),"🌿 Nim (2 mL/L) — ⚠️ ÚLTIMA foliar",IF(AND('🌱 Configuração'!$B$56+33&gt;='🌱 Configuração'!$C$56,'🌱 Configuração'!$B$56+33&lt;'🌱 Configuração'!$D$56,MOD('🌱 Configuração'!$B$56+33-'🌱 Configuração'!$C$56,7)=0,INT(('🌱 Configuração'!$B$56+33-'🌱 Configuração'!$C$56)/7)+1=7),"🦠 Trichoderma — solo",IF(AND('🌱 Configuração'!$B$56+33&gt;='🌱 Configuração'!$C$56,'🌱 Configuração'!$B$56+33&lt;'🌱 Configuração'!$D$56,MOD('🌱 Configuração'!$B$56+33-'🌱 Configuração'!$C$56,7)=0,INT(('🌱 Configuração'!$B$56+33-'🌱 Configuração'!$C$56)/7)+1=8),"🍄 Beauveria — solo","")))))))),IF('🌱 Configuração'!$B$56+33&lt;'🌱 Configuração'!$E$56,IF(AND('🌱 Configuração'!$B$56+33&gt;='🌱 Configuração'!$D$56,'🌱 Configuração'!$B$56+33&lt;'🌱 Configuração'!$E$56,MOD('🌱 Configuração'!$B$56+33-'🌱 Configuração'!$D$56,7)=0,INT(('🌱 Configuração'!$B$56+33-'🌱 Configuração'!$D$56)/7)+1=1),"🍄 Beauveria bassiana — SOLO apenas",IF(AND('🌱 Configuração'!$B$56+33&gt;='🌱 Configuração'!$D$56,'🌱 Configuração'!$B$56+33&lt;'🌱 Configuração'!$E$56,MOD('🌱 Configuração'!$B$56+33-'🌱 Configuração'!$D$56,7)=0,INT(('🌱 Configuração'!$B$56+33-'🌱 Configuração'!$D$56)/7)+1=2),"🦠 Trichoderma (3 g/L) — solo",IF(AND('🌱 Configuração'!$B$56+33&gt;='🌱 Configuração'!$D$56,'🌱 Configuração'!$B$56+33&lt;'🌱 Configuração'!$E$56,MOD('🌱 Configuração'!$B$56+33-'🌱 Configuração'!$D$56,7)=0,INT(('🌱 Configuração'!$B$56+33-'🌱 Configuração'!$D$56)/7)+1=3),"🍄 Beauveria bassiana — solo | ⚠️ Umid &lt;45%",IF(AND('🌱 Configuração'!$B$56+33&gt;='🌱 Configuração'!$D$56,'🌱 Configuração'!$B$56+33&lt;'🌱 Configuração'!$E$56,MOD('🌱 Configuração'!$B$56+33-'🌱 Configuração'!$D$56,7)=0,INT(('🌱 Configuração'!$B$56+33-'🌱 Configuração'!$D$56)/7)+1=4),"🦠 Trichoderma — solo | Inspecionar buds",IF(AND('🌱 Configuração'!$B$56+33&gt;='🌱 Configuração'!$D$56,'🌱 Configuração'!$B$56+33&lt;'🌱 Configuração'!$E$56,MOD('🌱 Configuração'!$B$56+33-'🌱 Configuração'!$D$56,7)=0,INT(('🌱 Configuração'!$B$56+33-'🌱 Configuração'!$D$56)/7)+1=5),"🍄 Beauveria + inspeção visual buds",IF(AND('🌱 Configuração'!$B$56+33&gt;='🌱 Configuração'!$D$56,'🌱 Configuração'!$B$56+33&lt;'🌱 Configuração'!$E$56,MOD('🌱 Configuração'!$B$56+33-'🌱 Configuração'!$D$56,7)=0,INT(('🌱 Configuração'!$B$56+33-'🌱 Configuração'!$D$56)/7)+1=6),"🦠 Trichoderma + ⚠️ Verificar mofo","")))))),IF(AND('🌱 Configuração'!$B$56+33&gt;='🌱 Configuração'!$E$56,MOD('🌱 Configuração'!$B$56+33-'🌱 Configuração'!$E$56,7)=0),"🔬 Inspeção final — analisar tricomas","")))))</f>
        <v/>
      </c>
      <c r="I39" s="33"/>
    </row>
    <row r="40" spans="1:9" ht="19.5" customHeight="1">
      <c r="A40" s="1"/>
      <c r="B40" s="35">
        <f>IF(35&lt;='🌱 Configuração'!$F$55,35,"")</f>
        <v>35</v>
      </c>
      <c r="C40" s="13">
        <f>IF(35&lt;='🌱 Configuração'!$F$55,'🌱 Configuração'!$B$56+34,"")</f>
        <v>34</v>
      </c>
      <c r="D40" s="36" t="str">
        <f>IF(35&gt;'🌱 Configuração'!$F$55,"",IF('🌱 Configuração'!$B$56+34&lt;'🌱 Configuração'!$C$56,"🌱 Clone",IF('🌱 Configuração'!$B$56+34&lt;'🌱 Configuração'!$D$56,"🌿 Vegetativo",IF('🌱 Configuração'!$B$56+34&lt;'🌱 Configuração'!$E$56,"🌸 Floração","🚿 Flush"))))</f>
        <v>🌿 Vegetativo</v>
      </c>
      <c r="E40" s="15" t="str">
        <f>IF(35&gt;'🌱 Configuração'!$F$55,"",IF('🌱 Configuração'!$B$56+34&lt;'🌱 Configuração'!$C$56,"Clone S"&amp;INT((35-1)/7)+1,IF('🌱 Configuração'!$B$56+34&lt;'🌱 Configuração'!$D$56,"Vega S"&amp;INT(('🌱 Configuração'!$B$56+34-'🌱 Configuração'!$C$56)/7)+1,IF('🌱 Configuração'!$B$56+34&lt;'🌱 Configuração'!$E$56,"Flora S"&amp;INT(('🌱 Configuração'!$B$56+34-'🌱 Configuração'!$D$56)/7)+1,"Flush S"&amp;INT(('🌱 Configuração'!$B$56+34-'🌱 Configuração'!$E$56)/7)+1))))</f>
        <v>Vega S3</v>
      </c>
      <c r="F40" s="14" t="str">
        <f>IF(35&gt;'🌱 Configuração'!$F$55,"",IF('🌱 Configuração'!$B$56+34='🌱 Configuração'!$C$56,"🌿 INÍCIO VEGA — luz 18h/dia",IF('🌱 Configuração'!$B$56+34='🌱 Configuração'!$D$56,"🌸 INÍCIO FLORAÇÃO — mudar 12/12 🔴",IF('🌱 Configuração'!$B$56+34='🌱 Configuração'!$E$56,"🚿 INÍCIO FLUSH — parar nutrição",IF('🌱 Configuração'!$B$56+34='🌱 Configuração'!$F$56-1,"🔬 Véspera da colheita — analisar tricomas",IF('🌱 Configuração'!$B$56+34='🌱 Configuração'!$F$56,"✂️ COLHEITA — Parabéns! 🎉",""))))))</f>
        <v/>
      </c>
      <c r="G40" s="37" t="s">
        <v>428</v>
      </c>
      <c r="H40" s="38" t="str">
        <f>IF(35&gt;'🌱 Configuração'!$F$55,"",IF('🌱 Configuração'!$B$56+34&lt;'🌱 Configuração'!$C$56,IF(35=1,"🌿 Nim (2 mL/L) — foliar leve",IF(35=8,"🍄 Beauveria bassiana — foliar + solo","")),IF('🌱 Configuração'!$B$56+34&lt;'🌱 Configuração'!$D$56,IF(AND('🌱 Configuração'!$B$56+34&gt;='🌱 Configuração'!$C$56,'🌱 Configuração'!$B$56+34&lt;'🌱 Configuração'!$D$56,MOD('🌱 Configuração'!$B$56+34-'🌱 Configuração'!$C$56,7)=0,INT(('🌱 Configuração'!$B$56+34-'🌱 Configuração'!$C$56)/7)+1=1),"🌿 Nim (2 mL/L) — foliar preventivo",IF(AND('🌱 Configuração'!$B$56+34&gt;='🌱 Configuração'!$C$56,'🌱 Configuração'!$B$56+34&lt;'🌱 Configuração'!$D$56,MOD('🌱 Configuração'!$B$56+34-'🌱 Configuração'!$C$56,7)=0,INT(('🌱 Configuração'!$B$56+34-'🌱 Configuração'!$C$56)/7)+1=2),"🍄 Beauveria bassiana — foliar + solo",IF(AND('🌱 Configuração'!$B$56+34&gt;='🌱 Configuração'!$C$56,'🌱 Configuração'!$B$56+34&lt;'🌱 Configuração'!$D$56,MOD('🌱 Configuração'!$B$56+34-'🌱 Configuração'!$C$56,7)=0,INT(('🌱 Configuração'!$B$56+34-'🌱 Configuração'!$C$56)/7)+1=3),"🟡 Calda Sulfocálcica (1%) — foliar",IF(AND('🌱 Configuração'!$B$56+34&gt;='🌱 Configuração'!$C$56,'🌱 Configuração'!$B$56+34&lt;'🌱 Configuração'!$D$56,MOD('🌱 Configuração'!$B$56+34-'🌱 Configuração'!$C$56,7)=0,INT(('🌱 Configuração'!$B$56+34-'🌱 Configuração'!$C$56)/7)+1=4),"🦠 Trichoderma (3 g/L) — solo",IF(AND('🌱 Configuração'!$B$56+34&gt;='🌱 Configuração'!$C$56,'🌱 Configuração'!$B$56+34&lt;'🌱 Configuração'!$D$56,MOD('🌱 Configuração'!$B$56+34-'🌱 Configuração'!$C$56,7)=0,INT(('🌱 Configuração'!$B$56+34-'🌱 Configuração'!$C$56)/7)+1=5),"🔵 Calda Bordalesa (0.5%) — foliar",IF(AND('🌱 Configuração'!$B$56+34&gt;='🌱 Configuração'!$C$56,'🌱 Configuração'!$B$56+34&lt;'🌱 Configuração'!$D$56,MOD('🌱 Configuração'!$B$56+34-'🌱 Configuração'!$C$56,7)=0,INT(('🌱 Configuração'!$B$56+34-'🌱 Configuração'!$C$56)/7)+1=6),"🌿 Nim (2 mL/L) — ⚠️ ÚLTIMA foliar",IF(AND('🌱 Configuração'!$B$56+34&gt;='🌱 Configuração'!$C$56,'🌱 Configuração'!$B$56+34&lt;'🌱 Configuração'!$D$56,MOD('🌱 Configuração'!$B$56+34-'🌱 Configuração'!$C$56,7)=0,INT(('🌱 Configuração'!$B$56+34-'🌱 Configuração'!$C$56)/7)+1=7),"🦠 Trichoderma — solo",IF(AND('🌱 Configuração'!$B$56+34&gt;='🌱 Configuração'!$C$56,'🌱 Configuração'!$B$56+34&lt;'🌱 Configuração'!$D$56,MOD('🌱 Configuração'!$B$56+34-'🌱 Configuração'!$C$56,7)=0,INT(('🌱 Configuração'!$B$56+34-'🌱 Configuração'!$C$56)/7)+1=8),"🍄 Beauveria — solo","")))))))),IF('🌱 Configuração'!$B$56+34&lt;'🌱 Configuração'!$E$56,IF(AND('🌱 Configuração'!$B$56+34&gt;='🌱 Configuração'!$D$56,'🌱 Configuração'!$B$56+34&lt;'🌱 Configuração'!$E$56,MOD('🌱 Configuração'!$B$56+34-'🌱 Configuração'!$D$56,7)=0,INT(('🌱 Configuração'!$B$56+34-'🌱 Configuração'!$D$56)/7)+1=1),"🍄 Beauveria bassiana — SOLO apenas",IF(AND('🌱 Configuração'!$B$56+34&gt;='🌱 Configuração'!$D$56,'🌱 Configuração'!$B$56+34&lt;'🌱 Configuração'!$E$56,MOD('🌱 Configuração'!$B$56+34-'🌱 Configuração'!$D$56,7)=0,INT(('🌱 Configuração'!$B$56+34-'🌱 Configuração'!$D$56)/7)+1=2),"🦠 Trichoderma (3 g/L) — solo",IF(AND('🌱 Configuração'!$B$56+34&gt;='🌱 Configuração'!$D$56,'🌱 Configuração'!$B$56+34&lt;'🌱 Configuração'!$E$56,MOD('🌱 Configuração'!$B$56+34-'🌱 Configuração'!$D$56,7)=0,INT(('🌱 Configuração'!$B$56+34-'🌱 Configuração'!$D$56)/7)+1=3),"🍄 Beauveria bassiana — solo | ⚠️ Umid &lt;45%",IF(AND('🌱 Configuração'!$B$56+34&gt;='🌱 Configuração'!$D$56,'🌱 Configuração'!$B$56+34&lt;'🌱 Configuração'!$E$56,MOD('🌱 Configuração'!$B$56+34-'🌱 Configuração'!$D$56,7)=0,INT(('🌱 Configuração'!$B$56+34-'🌱 Configuração'!$D$56)/7)+1=4),"🦠 Trichoderma — solo | Inspecionar buds",IF(AND('🌱 Configuração'!$B$56+34&gt;='🌱 Configuração'!$D$56,'🌱 Configuração'!$B$56+34&lt;'🌱 Configuração'!$E$56,MOD('🌱 Configuração'!$B$56+34-'🌱 Configuração'!$D$56,7)=0,INT(('🌱 Configuração'!$B$56+34-'🌱 Configuração'!$D$56)/7)+1=5),"🍄 Beauveria + inspeção visual buds",IF(AND('🌱 Configuração'!$B$56+34&gt;='🌱 Configuração'!$D$56,'🌱 Configuração'!$B$56+34&lt;'🌱 Configuração'!$E$56,MOD('🌱 Configuração'!$B$56+34-'🌱 Configuração'!$D$56,7)=0,INT(('🌱 Configuração'!$B$56+34-'🌱 Configuração'!$D$56)/7)+1=6),"🦠 Trichoderma + ⚠️ Verificar mofo","")))))),IF(AND('🌱 Configuração'!$B$56+34&gt;='🌱 Configuração'!$E$56,MOD('🌱 Configuração'!$B$56+34-'🌱 Configuração'!$E$56,7)=0),"🔬 Inspeção final — analisar tricomas","")))))</f>
        <v/>
      </c>
      <c r="I40" s="33"/>
    </row>
    <row r="41" spans="1:9" ht="19.5" customHeight="1">
      <c r="A41" s="1"/>
      <c r="B41" s="39">
        <f>IF(36&lt;='🌱 Configuração'!$F$55,36,"")</f>
        <v>36</v>
      </c>
      <c r="C41" s="40">
        <f>IF(36&lt;='🌱 Configuração'!$F$55,'🌱 Configuração'!$B$56+35,"")</f>
        <v>35</v>
      </c>
      <c r="D41" s="41" t="str">
        <f>IF(36&gt;'🌱 Configuração'!$F$55,"",IF('🌱 Configuração'!$B$56+35&lt;'🌱 Configuração'!$C$56,"🌱 Clone",IF('🌱 Configuração'!$B$56+35&lt;'🌱 Configuração'!$D$56,"🌿 Vegetativo",IF('🌱 Configuração'!$B$56+35&lt;'🌱 Configuração'!$E$56,"🌸 Floração","🚿 Flush"))))</f>
        <v>🌿 Vegetativo</v>
      </c>
      <c r="E41" s="42" t="str">
        <f>IF(36&gt;'🌱 Configuração'!$F$55,"",IF('🌱 Configuração'!$B$56+35&lt;'🌱 Configuração'!$C$56,"Clone S"&amp;INT((36-1)/7)+1,IF('🌱 Configuração'!$B$56+35&lt;'🌱 Configuração'!$D$56,"Vega S"&amp;INT(('🌱 Configuração'!$B$56+35-'🌱 Configuração'!$C$56)/7)+1,IF('🌱 Configuração'!$B$56+35&lt;'🌱 Configuração'!$E$56,"Flora S"&amp;INT(('🌱 Configuração'!$B$56+35-'🌱 Configuração'!$D$56)/7)+1,"Flush S"&amp;INT(('🌱 Configuração'!$B$56+35-'🌱 Configuração'!$E$56)/7)+1))))</f>
        <v>Vega S4</v>
      </c>
      <c r="F41" s="43" t="str">
        <f>IF(36&gt;'🌱 Configuração'!$F$55,"",IF('🌱 Configuração'!$B$56+35='🌱 Configuração'!$C$56,"🌿 INÍCIO VEGA — luz 18h/dia",IF('🌱 Configuração'!$B$56+35='🌱 Configuração'!$D$56,"🌸 INÍCIO FLORAÇÃO — mudar 12/12 🔴",IF('🌱 Configuração'!$B$56+35='🌱 Configuração'!$E$56,"🚿 INÍCIO FLUSH — parar nutrição",IF('🌱 Configuração'!$B$56+35='🌱 Configuração'!$F$56-1,"🔬 Véspera da colheita — analisar tricomas",IF('🌱 Configuração'!$B$56+35='🌱 Configuração'!$F$56,"✂️ COLHEITA — Parabéns! 🎉",""))))))</f>
        <v/>
      </c>
      <c r="G41" s="44" t="s">
        <v>433</v>
      </c>
      <c r="H41" s="45" t="str">
        <f>IF(36&gt;'🌱 Configuração'!$F$55,"",IF('🌱 Configuração'!$B$56+35&lt;'🌱 Configuração'!$C$56,IF(36=1,"🌿 Nim (2 mL/L) — foliar leve",IF(36=8,"🍄 Beauveria bassiana — foliar + solo","")),IF('🌱 Configuração'!$B$56+35&lt;'🌱 Configuração'!$D$56,IF(AND('🌱 Configuração'!$B$56+35&gt;='🌱 Configuração'!$C$56,'🌱 Configuração'!$B$56+35&lt;'🌱 Configuração'!$D$56,MOD('🌱 Configuração'!$B$56+35-'🌱 Configuração'!$C$56,7)=0,INT(('🌱 Configuração'!$B$56+35-'🌱 Configuração'!$C$56)/7)+1=1),"🌿 Nim (2 mL/L) — foliar preventivo",IF(AND('🌱 Configuração'!$B$56+35&gt;='🌱 Configuração'!$C$56,'🌱 Configuração'!$B$56+35&lt;'🌱 Configuração'!$D$56,MOD('🌱 Configuração'!$B$56+35-'🌱 Configuração'!$C$56,7)=0,INT(('🌱 Configuração'!$B$56+35-'🌱 Configuração'!$C$56)/7)+1=2),"🍄 Beauveria bassiana — foliar + solo",IF(AND('🌱 Configuração'!$B$56+35&gt;='🌱 Configuração'!$C$56,'🌱 Configuração'!$B$56+35&lt;'🌱 Configuração'!$D$56,MOD('🌱 Configuração'!$B$56+35-'🌱 Configuração'!$C$56,7)=0,INT(('🌱 Configuração'!$B$56+35-'🌱 Configuração'!$C$56)/7)+1=3),"🟡 Calda Sulfocálcica (1%) — foliar",IF(AND('🌱 Configuração'!$B$56+35&gt;='🌱 Configuração'!$C$56,'🌱 Configuração'!$B$56+35&lt;'🌱 Configuração'!$D$56,MOD('🌱 Configuração'!$B$56+35-'🌱 Configuração'!$C$56,7)=0,INT(('🌱 Configuração'!$B$56+35-'🌱 Configuração'!$C$56)/7)+1=4),"🦠 Trichoderma (3 g/L) — solo",IF(AND('🌱 Configuração'!$B$56+35&gt;='🌱 Configuração'!$C$56,'🌱 Configuração'!$B$56+35&lt;'🌱 Configuração'!$D$56,MOD('🌱 Configuração'!$B$56+35-'🌱 Configuração'!$C$56,7)=0,INT(('🌱 Configuração'!$B$56+35-'🌱 Configuração'!$C$56)/7)+1=5),"🔵 Calda Bordalesa (0.5%) — foliar",IF(AND('🌱 Configuração'!$B$56+35&gt;='🌱 Configuração'!$C$56,'🌱 Configuração'!$B$56+35&lt;'🌱 Configuração'!$D$56,MOD('🌱 Configuração'!$B$56+35-'🌱 Configuração'!$C$56,7)=0,INT(('🌱 Configuração'!$B$56+35-'🌱 Configuração'!$C$56)/7)+1=6),"🌿 Nim (2 mL/L) — ⚠️ ÚLTIMA foliar",IF(AND('🌱 Configuração'!$B$56+35&gt;='🌱 Configuração'!$C$56,'🌱 Configuração'!$B$56+35&lt;'🌱 Configuração'!$D$56,MOD('🌱 Configuração'!$B$56+35-'🌱 Configuração'!$C$56,7)=0,INT(('🌱 Configuração'!$B$56+35-'🌱 Configuração'!$C$56)/7)+1=7),"🦠 Trichoderma — solo",IF(AND('🌱 Configuração'!$B$56+35&gt;='🌱 Configuração'!$C$56,'🌱 Configuração'!$B$56+35&lt;'🌱 Configuração'!$D$56,MOD('🌱 Configuração'!$B$56+35-'🌱 Configuração'!$C$56,7)=0,INT(('🌱 Configuração'!$B$56+35-'🌱 Configuração'!$C$56)/7)+1=8),"🍄 Beauveria — solo","")))))))),IF('🌱 Configuração'!$B$56+35&lt;'🌱 Configuração'!$E$56,IF(AND('🌱 Configuração'!$B$56+35&gt;='🌱 Configuração'!$D$56,'🌱 Configuração'!$B$56+35&lt;'🌱 Configuração'!$E$56,MOD('🌱 Configuração'!$B$56+35-'🌱 Configuração'!$D$56,7)=0,INT(('🌱 Configuração'!$B$56+35-'🌱 Configuração'!$D$56)/7)+1=1),"🍄 Beauveria bassiana — SOLO apenas",IF(AND('🌱 Configuração'!$B$56+35&gt;='🌱 Configuração'!$D$56,'🌱 Configuração'!$B$56+35&lt;'🌱 Configuração'!$E$56,MOD('🌱 Configuração'!$B$56+35-'🌱 Configuração'!$D$56,7)=0,INT(('🌱 Configuração'!$B$56+35-'🌱 Configuração'!$D$56)/7)+1=2),"🦠 Trichoderma (3 g/L) — solo",IF(AND('🌱 Configuração'!$B$56+35&gt;='🌱 Configuração'!$D$56,'🌱 Configuração'!$B$56+35&lt;'🌱 Configuração'!$E$56,MOD('🌱 Configuração'!$B$56+35-'🌱 Configuração'!$D$56,7)=0,INT(('🌱 Configuração'!$B$56+35-'🌱 Configuração'!$D$56)/7)+1=3),"🍄 Beauveria bassiana — solo | ⚠️ Umid &lt;45%",IF(AND('🌱 Configuração'!$B$56+35&gt;='🌱 Configuração'!$D$56,'🌱 Configuração'!$B$56+35&lt;'🌱 Configuração'!$E$56,MOD('🌱 Configuração'!$B$56+35-'🌱 Configuração'!$D$56,7)=0,INT(('🌱 Configuração'!$B$56+35-'🌱 Configuração'!$D$56)/7)+1=4),"🦠 Trichoderma — solo | Inspecionar buds",IF(AND('🌱 Configuração'!$B$56+35&gt;='🌱 Configuração'!$D$56,'🌱 Configuração'!$B$56+35&lt;'🌱 Configuração'!$E$56,MOD('🌱 Configuração'!$B$56+35-'🌱 Configuração'!$D$56,7)=0,INT(('🌱 Configuração'!$B$56+35-'🌱 Configuração'!$D$56)/7)+1=5),"🍄 Beauveria + inspeção visual buds",IF(AND('🌱 Configuração'!$B$56+35&gt;='🌱 Configuração'!$D$56,'🌱 Configuração'!$B$56+35&lt;'🌱 Configuração'!$E$56,MOD('🌱 Configuração'!$B$56+35-'🌱 Configuração'!$D$56,7)=0,INT(('🌱 Configuração'!$B$56+35-'🌱 Configuração'!$D$56)/7)+1=6),"🦠 Trichoderma + ⚠️ Verificar mofo","")))))),IF(AND('🌱 Configuração'!$B$56+35&gt;='🌱 Configuração'!$E$56,MOD('🌱 Configuração'!$B$56+35-'🌱 Configuração'!$E$56,7)=0),"🔬 Inspeção final — analisar tricomas","")))))</f>
        <v>🦠 Trichoderma (3 g/L) — solo</v>
      </c>
      <c r="I41" s="33"/>
    </row>
    <row r="42" spans="1:9" ht="19.5" customHeight="1">
      <c r="A42" s="1"/>
      <c r="B42" s="35">
        <f>IF(37&lt;='🌱 Configuração'!$F$55,37,"")</f>
        <v>37</v>
      </c>
      <c r="C42" s="13">
        <f>IF(37&lt;='🌱 Configuração'!$F$55,'🌱 Configuração'!$B$56+36,"")</f>
        <v>36</v>
      </c>
      <c r="D42" s="36" t="str">
        <f>IF(37&gt;'🌱 Configuração'!$F$55,"",IF('🌱 Configuração'!$B$56+36&lt;'🌱 Configuração'!$C$56,"🌱 Clone",IF('🌱 Configuração'!$B$56+36&lt;'🌱 Configuração'!$D$56,"🌿 Vegetativo",IF('🌱 Configuração'!$B$56+36&lt;'🌱 Configuração'!$E$56,"🌸 Floração","🚿 Flush"))))</f>
        <v>🌿 Vegetativo</v>
      </c>
      <c r="E42" s="15" t="str">
        <f>IF(37&gt;'🌱 Configuração'!$F$55,"",IF('🌱 Configuração'!$B$56+36&lt;'🌱 Configuração'!$C$56,"Clone S"&amp;INT((37-1)/7)+1,IF('🌱 Configuração'!$B$56+36&lt;'🌱 Configuração'!$D$56,"Vega S"&amp;INT(('🌱 Configuração'!$B$56+36-'🌱 Configuração'!$C$56)/7)+1,IF('🌱 Configuração'!$B$56+36&lt;'🌱 Configuração'!$E$56,"Flora S"&amp;INT(('🌱 Configuração'!$B$56+36-'🌱 Configuração'!$D$56)/7)+1,"Flush S"&amp;INT(('🌱 Configuração'!$B$56+36-'🌱 Configuração'!$E$56)/7)+1))))</f>
        <v>Vega S4</v>
      </c>
      <c r="F42" s="14" t="str">
        <f>IF(37&gt;'🌱 Configuração'!$F$55,"",IF('🌱 Configuração'!$B$56+36='🌱 Configuração'!$C$56,"🌿 INÍCIO VEGA — luz 18h/dia",IF('🌱 Configuração'!$B$56+36='🌱 Configuração'!$D$56,"🌸 INÍCIO FLORAÇÃO — mudar 12/12 🔴",IF('🌱 Configuração'!$B$56+36='🌱 Configuração'!$E$56,"🚿 INÍCIO FLUSH — parar nutrição",IF('🌱 Configuração'!$B$56+36='🌱 Configuração'!$F$56-1,"🔬 Véspera da colheita — analisar tricomas",IF('🌱 Configuração'!$B$56+36='🌱 Configuração'!$F$56,"✂️ COLHEITA — Parabéns! 🎉",""))))))</f>
        <v/>
      </c>
      <c r="G42" s="37" t="s">
        <v>428</v>
      </c>
      <c r="H42" s="38" t="str">
        <f>IF(37&gt;'🌱 Configuração'!$F$55,"",IF('🌱 Configuração'!$B$56+36&lt;'🌱 Configuração'!$C$56,IF(37=1,"🌿 Nim (2 mL/L) — foliar leve",IF(37=8,"🍄 Beauveria bassiana — foliar + solo","")),IF('🌱 Configuração'!$B$56+36&lt;'🌱 Configuração'!$D$56,IF(AND('🌱 Configuração'!$B$56+36&gt;='🌱 Configuração'!$C$56,'🌱 Configuração'!$B$56+36&lt;'🌱 Configuração'!$D$56,MOD('🌱 Configuração'!$B$56+36-'🌱 Configuração'!$C$56,7)=0,INT(('🌱 Configuração'!$B$56+36-'🌱 Configuração'!$C$56)/7)+1=1),"🌿 Nim (2 mL/L) — foliar preventivo",IF(AND('🌱 Configuração'!$B$56+36&gt;='🌱 Configuração'!$C$56,'🌱 Configuração'!$B$56+36&lt;'🌱 Configuração'!$D$56,MOD('🌱 Configuração'!$B$56+36-'🌱 Configuração'!$C$56,7)=0,INT(('🌱 Configuração'!$B$56+36-'🌱 Configuração'!$C$56)/7)+1=2),"🍄 Beauveria bassiana — foliar + solo",IF(AND('🌱 Configuração'!$B$56+36&gt;='🌱 Configuração'!$C$56,'🌱 Configuração'!$B$56+36&lt;'🌱 Configuração'!$D$56,MOD('🌱 Configuração'!$B$56+36-'🌱 Configuração'!$C$56,7)=0,INT(('🌱 Configuração'!$B$56+36-'🌱 Configuração'!$C$56)/7)+1=3),"🟡 Calda Sulfocálcica (1%) — foliar",IF(AND('🌱 Configuração'!$B$56+36&gt;='🌱 Configuração'!$C$56,'🌱 Configuração'!$B$56+36&lt;'🌱 Configuração'!$D$56,MOD('🌱 Configuração'!$B$56+36-'🌱 Configuração'!$C$56,7)=0,INT(('🌱 Configuração'!$B$56+36-'🌱 Configuração'!$C$56)/7)+1=4),"🦠 Trichoderma (3 g/L) — solo",IF(AND('🌱 Configuração'!$B$56+36&gt;='🌱 Configuração'!$C$56,'🌱 Configuração'!$B$56+36&lt;'🌱 Configuração'!$D$56,MOD('🌱 Configuração'!$B$56+36-'🌱 Configuração'!$C$56,7)=0,INT(('🌱 Configuração'!$B$56+36-'🌱 Configuração'!$C$56)/7)+1=5),"🔵 Calda Bordalesa (0.5%) — foliar",IF(AND('🌱 Configuração'!$B$56+36&gt;='🌱 Configuração'!$C$56,'🌱 Configuração'!$B$56+36&lt;'🌱 Configuração'!$D$56,MOD('🌱 Configuração'!$B$56+36-'🌱 Configuração'!$C$56,7)=0,INT(('🌱 Configuração'!$B$56+36-'🌱 Configuração'!$C$56)/7)+1=6),"🌿 Nim (2 mL/L) — ⚠️ ÚLTIMA foliar",IF(AND('🌱 Configuração'!$B$56+36&gt;='🌱 Configuração'!$C$56,'🌱 Configuração'!$B$56+36&lt;'🌱 Configuração'!$D$56,MOD('🌱 Configuração'!$B$56+36-'🌱 Configuração'!$C$56,7)=0,INT(('🌱 Configuração'!$B$56+36-'🌱 Configuração'!$C$56)/7)+1=7),"🦠 Trichoderma — solo",IF(AND('🌱 Configuração'!$B$56+36&gt;='🌱 Configuração'!$C$56,'🌱 Configuração'!$B$56+36&lt;'🌱 Configuração'!$D$56,MOD('🌱 Configuração'!$B$56+36-'🌱 Configuração'!$C$56,7)=0,INT(('🌱 Configuração'!$B$56+36-'🌱 Configuração'!$C$56)/7)+1=8),"🍄 Beauveria — solo","")))))))),IF('🌱 Configuração'!$B$56+36&lt;'🌱 Configuração'!$E$56,IF(AND('🌱 Configuração'!$B$56+36&gt;='🌱 Configuração'!$D$56,'🌱 Configuração'!$B$56+36&lt;'🌱 Configuração'!$E$56,MOD('🌱 Configuração'!$B$56+36-'🌱 Configuração'!$D$56,7)=0,INT(('🌱 Configuração'!$B$56+36-'🌱 Configuração'!$D$56)/7)+1=1),"🍄 Beauveria bassiana — SOLO apenas",IF(AND('🌱 Configuração'!$B$56+36&gt;='🌱 Configuração'!$D$56,'🌱 Configuração'!$B$56+36&lt;'🌱 Configuração'!$E$56,MOD('🌱 Configuração'!$B$56+36-'🌱 Configuração'!$D$56,7)=0,INT(('🌱 Configuração'!$B$56+36-'🌱 Configuração'!$D$56)/7)+1=2),"🦠 Trichoderma (3 g/L) — solo",IF(AND('🌱 Configuração'!$B$56+36&gt;='🌱 Configuração'!$D$56,'🌱 Configuração'!$B$56+36&lt;'🌱 Configuração'!$E$56,MOD('🌱 Configuração'!$B$56+36-'🌱 Configuração'!$D$56,7)=0,INT(('🌱 Configuração'!$B$56+36-'🌱 Configuração'!$D$56)/7)+1=3),"🍄 Beauveria bassiana — solo | ⚠️ Umid &lt;45%",IF(AND('🌱 Configuração'!$B$56+36&gt;='🌱 Configuração'!$D$56,'🌱 Configuração'!$B$56+36&lt;'🌱 Configuração'!$E$56,MOD('🌱 Configuração'!$B$56+36-'🌱 Configuração'!$D$56,7)=0,INT(('🌱 Configuração'!$B$56+36-'🌱 Configuração'!$D$56)/7)+1=4),"🦠 Trichoderma — solo | Inspecionar buds",IF(AND('🌱 Configuração'!$B$56+36&gt;='🌱 Configuração'!$D$56,'🌱 Configuração'!$B$56+36&lt;'🌱 Configuração'!$E$56,MOD('🌱 Configuração'!$B$56+36-'🌱 Configuração'!$D$56,7)=0,INT(('🌱 Configuração'!$B$56+36-'🌱 Configuração'!$D$56)/7)+1=5),"🍄 Beauveria + inspeção visual buds",IF(AND('🌱 Configuração'!$B$56+36&gt;='🌱 Configuração'!$D$56,'🌱 Configuração'!$B$56+36&lt;'🌱 Configuração'!$E$56,MOD('🌱 Configuração'!$B$56+36-'🌱 Configuração'!$D$56,7)=0,INT(('🌱 Configuração'!$B$56+36-'🌱 Configuração'!$D$56)/7)+1=6),"🦠 Trichoderma + ⚠️ Verificar mofo","")))))),IF(AND('🌱 Configuração'!$B$56+36&gt;='🌱 Configuração'!$E$56,MOD('🌱 Configuração'!$B$56+36-'🌱 Configuração'!$E$56,7)=0),"🔬 Inspeção final — analisar tricomas","")))))</f>
        <v/>
      </c>
      <c r="I42" s="33"/>
    </row>
    <row r="43" spans="1:9" ht="19.5" customHeight="1">
      <c r="A43" s="1"/>
      <c r="B43" s="39">
        <f>IF(38&lt;='🌱 Configuração'!$F$55,38,"")</f>
        <v>38</v>
      </c>
      <c r="C43" s="40">
        <f>IF(38&lt;='🌱 Configuração'!$F$55,'🌱 Configuração'!$B$56+37,"")</f>
        <v>37</v>
      </c>
      <c r="D43" s="41" t="str">
        <f>IF(38&gt;'🌱 Configuração'!$F$55,"",IF('🌱 Configuração'!$B$56+37&lt;'🌱 Configuração'!$C$56,"🌱 Clone",IF('🌱 Configuração'!$B$56+37&lt;'🌱 Configuração'!$D$56,"🌿 Vegetativo",IF('🌱 Configuração'!$B$56+37&lt;'🌱 Configuração'!$E$56,"🌸 Floração","🚿 Flush"))))</f>
        <v>🌿 Vegetativo</v>
      </c>
      <c r="E43" s="42" t="str">
        <f>IF(38&gt;'🌱 Configuração'!$F$55,"",IF('🌱 Configuração'!$B$56+37&lt;'🌱 Configuração'!$C$56,"Clone S"&amp;INT((38-1)/7)+1,IF('🌱 Configuração'!$B$56+37&lt;'🌱 Configuração'!$D$56,"Vega S"&amp;INT(('🌱 Configuração'!$B$56+37-'🌱 Configuração'!$C$56)/7)+1,IF('🌱 Configuração'!$B$56+37&lt;'🌱 Configuração'!$E$56,"Flora S"&amp;INT(('🌱 Configuração'!$B$56+37-'🌱 Configuração'!$D$56)/7)+1,"Flush S"&amp;INT(('🌱 Configuração'!$B$56+37-'🌱 Configuração'!$E$56)/7)+1))))</f>
        <v>Vega S4</v>
      </c>
      <c r="F43" s="43" t="str">
        <f>IF(38&gt;'🌱 Configuração'!$F$55,"",IF('🌱 Configuração'!$B$56+37='🌱 Configuração'!$C$56,"🌿 INÍCIO VEGA — luz 18h/dia",IF('🌱 Configuração'!$B$56+37='🌱 Configuração'!$D$56,"🌸 INÍCIO FLORAÇÃO — mudar 12/12 🔴",IF('🌱 Configuração'!$B$56+37='🌱 Configuração'!$E$56,"🚿 INÍCIO FLUSH — parar nutrição",IF('🌱 Configuração'!$B$56+37='🌱 Configuração'!$F$56-1,"🔬 Véspera da colheita — analisar tricomas",IF('🌱 Configuração'!$B$56+37='🌱 Configuração'!$F$56,"✂️ COLHEITA — Parabéns! 🎉",""))))))</f>
        <v/>
      </c>
      <c r="G43" s="44" t="s">
        <v>428</v>
      </c>
      <c r="H43" s="45" t="str">
        <f>IF(38&gt;'🌱 Configuração'!$F$55,"",IF('🌱 Configuração'!$B$56+37&lt;'🌱 Configuração'!$C$56,IF(38=1,"🌿 Nim (2 mL/L) — foliar leve",IF(38=8,"🍄 Beauveria bassiana — foliar + solo","")),IF('🌱 Configuração'!$B$56+37&lt;'🌱 Configuração'!$D$56,IF(AND('🌱 Configuração'!$B$56+37&gt;='🌱 Configuração'!$C$56,'🌱 Configuração'!$B$56+37&lt;'🌱 Configuração'!$D$56,MOD('🌱 Configuração'!$B$56+37-'🌱 Configuração'!$C$56,7)=0,INT(('🌱 Configuração'!$B$56+37-'🌱 Configuração'!$C$56)/7)+1=1),"🌿 Nim (2 mL/L) — foliar preventivo",IF(AND('🌱 Configuração'!$B$56+37&gt;='🌱 Configuração'!$C$56,'🌱 Configuração'!$B$56+37&lt;'🌱 Configuração'!$D$56,MOD('🌱 Configuração'!$B$56+37-'🌱 Configuração'!$C$56,7)=0,INT(('🌱 Configuração'!$B$56+37-'🌱 Configuração'!$C$56)/7)+1=2),"🍄 Beauveria bassiana — foliar + solo",IF(AND('🌱 Configuração'!$B$56+37&gt;='🌱 Configuração'!$C$56,'🌱 Configuração'!$B$56+37&lt;'🌱 Configuração'!$D$56,MOD('🌱 Configuração'!$B$56+37-'🌱 Configuração'!$C$56,7)=0,INT(('🌱 Configuração'!$B$56+37-'🌱 Configuração'!$C$56)/7)+1=3),"🟡 Calda Sulfocálcica (1%) — foliar",IF(AND('🌱 Configuração'!$B$56+37&gt;='🌱 Configuração'!$C$56,'🌱 Configuração'!$B$56+37&lt;'🌱 Configuração'!$D$56,MOD('🌱 Configuração'!$B$56+37-'🌱 Configuração'!$C$56,7)=0,INT(('🌱 Configuração'!$B$56+37-'🌱 Configuração'!$C$56)/7)+1=4),"🦠 Trichoderma (3 g/L) — solo",IF(AND('🌱 Configuração'!$B$56+37&gt;='🌱 Configuração'!$C$56,'🌱 Configuração'!$B$56+37&lt;'🌱 Configuração'!$D$56,MOD('🌱 Configuração'!$B$56+37-'🌱 Configuração'!$C$56,7)=0,INT(('🌱 Configuração'!$B$56+37-'🌱 Configuração'!$C$56)/7)+1=5),"🔵 Calda Bordalesa (0.5%) — foliar",IF(AND('🌱 Configuração'!$B$56+37&gt;='🌱 Configuração'!$C$56,'🌱 Configuração'!$B$56+37&lt;'🌱 Configuração'!$D$56,MOD('🌱 Configuração'!$B$56+37-'🌱 Configuração'!$C$56,7)=0,INT(('🌱 Configuração'!$B$56+37-'🌱 Configuração'!$C$56)/7)+1=6),"🌿 Nim (2 mL/L) — ⚠️ ÚLTIMA foliar",IF(AND('🌱 Configuração'!$B$56+37&gt;='🌱 Configuração'!$C$56,'🌱 Configuração'!$B$56+37&lt;'🌱 Configuração'!$D$56,MOD('🌱 Configuração'!$B$56+37-'🌱 Configuração'!$C$56,7)=0,INT(('🌱 Configuração'!$B$56+37-'🌱 Configuração'!$C$56)/7)+1=7),"🦠 Trichoderma — solo",IF(AND('🌱 Configuração'!$B$56+37&gt;='🌱 Configuração'!$C$56,'🌱 Configuração'!$B$56+37&lt;'🌱 Configuração'!$D$56,MOD('🌱 Configuração'!$B$56+37-'🌱 Configuração'!$C$56,7)=0,INT(('🌱 Configuração'!$B$56+37-'🌱 Configuração'!$C$56)/7)+1=8),"🍄 Beauveria — solo","")))))))),IF('🌱 Configuração'!$B$56+37&lt;'🌱 Configuração'!$E$56,IF(AND('🌱 Configuração'!$B$56+37&gt;='🌱 Configuração'!$D$56,'🌱 Configuração'!$B$56+37&lt;'🌱 Configuração'!$E$56,MOD('🌱 Configuração'!$B$56+37-'🌱 Configuração'!$D$56,7)=0,INT(('🌱 Configuração'!$B$56+37-'🌱 Configuração'!$D$56)/7)+1=1),"🍄 Beauveria bassiana — SOLO apenas",IF(AND('🌱 Configuração'!$B$56+37&gt;='🌱 Configuração'!$D$56,'🌱 Configuração'!$B$56+37&lt;'🌱 Configuração'!$E$56,MOD('🌱 Configuração'!$B$56+37-'🌱 Configuração'!$D$56,7)=0,INT(('🌱 Configuração'!$B$56+37-'🌱 Configuração'!$D$56)/7)+1=2),"🦠 Trichoderma (3 g/L) — solo",IF(AND('🌱 Configuração'!$B$56+37&gt;='🌱 Configuração'!$D$56,'🌱 Configuração'!$B$56+37&lt;'🌱 Configuração'!$E$56,MOD('🌱 Configuração'!$B$56+37-'🌱 Configuração'!$D$56,7)=0,INT(('🌱 Configuração'!$B$56+37-'🌱 Configuração'!$D$56)/7)+1=3),"🍄 Beauveria bassiana — solo | ⚠️ Umid &lt;45%",IF(AND('🌱 Configuração'!$B$56+37&gt;='🌱 Configuração'!$D$56,'🌱 Configuração'!$B$56+37&lt;'🌱 Configuração'!$E$56,MOD('🌱 Configuração'!$B$56+37-'🌱 Configuração'!$D$56,7)=0,INT(('🌱 Configuração'!$B$56+37-'🌱 Configuração'!$D$56)/7)+1=4),"🦠 Trichoderma — solo | Inspecionar buds",IF(AND('🌱 Configuração'!$B$56+37&gt;='🌱 Configuração'!$D$56,'🌱 Configuração'!$B$56+37&lt;'🌱 Configuração'!$E$56,MOD('🌱 Configuração'!$B$56+37-'🌱 Configuração'!$D$56,7)=0,INT(('🌱 Configuração'!$B$56+37-'🌱 Configuração'!$D$56)/7)+1=5),"🍄 Beauveria + inspeção visual buds",IF(AND('🌱 Configuração'!$B$56+37&gt;='🌱 Configuração'!$D$56,'🌱 Configuração'!$B$56+37&lt;'🌱 Configuração'!$E$56,MOD('🌱 Configuração'!$B$56+37-'🌱 Configuração'!$D$56,7)=0,INT(('🌱 Configuração'!$B$56+37-'🌱 Configuração'!$D$56)/7)+1=6),"🦠 Trichoderma + ⚠️ Verificar mofo","")))))),IF(AND('🌱 Configuração'!$B$56+37&gt;='🌱 Configuração'!$E$56,MOD('🌱 Configuração'!$B$56+37-'🌱 Configuração'!$E$56,7)=0),"🔬 Inspeção final — analisar tricomas","")))))</f>
        <v/>
      </c>
      <c r="I43" s="33"/>
    </row>
    <row r="44" spans="1:9" ht="19.5" customHeight="1">
      <c r="A44" s="1"/>
      <c r="B44" s="35">
        <f>IF(39&lt;='🌱 Configuração'!$F$55,39,"")</f>
        <v>39</v>
      </c>
      <c r="C44" s="13">
        <f>IF(39&lt;='🌱 Configuração'!$F$55,'🌱 Configuração'!$B$56+38,"")</f>
        <v>38</v>
      </c>
      <c r="D44" s="36" t="str">
        <f>IF(39&gt;'🌱 Configuração'!$F$55,"",IF('🌱 Configuração'!$B$56+38&lt;'🌱 Configuração'!$C$56,"🌱 Clone",IF('🌱 Configuração'!$B$56+38&lt;'🌱 Configuração'!$D$56,"🌿 Vegetativo",IF('🌱 Configuração'!$B$56+38&lt;'🌱 Configuração'!$E$56,"🌸 Floração","🚿 Flush"))))</f>
        <v>🌿 Vegetativo</v>
      </c>
      <c r="E44" s="15" t="str">
        <f>IF(39&gt;'🌱 Configuração'!$F$55,"",IF('🌱 Configuração'!$B$56+38&lt;'🌱 Configuração'!$C$56,"Clone S"&amp;INT((39-1)/7)+1,IF('🌱 Configuração'!$B$56+38&lt;'🌱 Configuração'!$D$56,"Vega S"&amp;INT(('🌱 Configuração'!$B$56+38-'🌱 Configuração'!$C$56)/7)+1,IF('🌱 Configuração'!$B$56+38&lt;'🌱 Configuração'!$E$56,"Flora S"&amp;INT(('🌱 Configuração'!$B$56+38-'🌱 Configuração'!$D$56)/7)+1,"Flush S"&amp;INT(('🌱 Configuração'!$B$56+38-'🌱 Configuração'!$E$56)/7)+1))))</f>
        <v>Vega S4</v>
      </c>
      <c r="F44" s="14" t="str">
        <f>IF(39&gt;'🌱 Configuração'!$F$55,"",IF('🌱 Configuração'!$B$56+38='🌱 Configuração'!$C$56,"🌿 INÍCIO VEGA — luz 18h/dia",IF('🌱 Configuração'!$B$56+38='🌱 Configuração'!$D$56,"🌸 INÍCIO FLORAÇÃO — mudar 12/12 🔴",IF('🌱 Configuração'!$B$56+38='🌱 Configuração'!$E$56,"🚿 INÍCIO FLUSH — parar nutrição",IF('🌱 Configuração'!$B$56+38='🌱 Configuração'!$F$56-1,"🔬 Véspera da colheita — analisar tricomas",IF('🌱 Configuração'!$B$56+38='🌱 Configuração'!$F$56,"✂️ COLHEITA — Parabéns! 🎉",""))))))</f>
        <v/>
      </c>
      <c r="G44" s="37" t="s">
        <v>428</v>
      </c>
      <c r="H44" s="38" t="str">
        <f>IF(39&gt;'🌱 Configuração'!$F$55,"",IF('🌱 Configuração'!$B$56+38&lt;'🌱 Configuração'!$C$56,IF(39=1,"🌿 Nim (2 mL/L) — foliar leve",IF(39=8,"🍄 Beauveria bassiana — foliar + solo","")),IF('🌱 Configuração'!$B$56+38&lt;'🌱 Configuração'!$D$56,IF(AND('🌱 Configuração'!$B$56+38&gt;='🌱 Configuração'!$C$56,'🌱 Configuração'!$B$56+38&lt;'🌱 Configuração'!$D$56,MOD('🌱 Configuração'!$B$56+38-'🌱 Configuração'!$C$56,7)=0,INT(('🌱 Configuração'!$B$56+38-'🌱 Configuração'!$C$56)/7)+1=1),"🌿 Nim (2 mL/L) — foliar preventivo",IF(AND('🌱 Configuração'!$B$56+38&gt;='🌱 Configuração'!$C$56,'🌱 Configuração'!$B$56+38&lt;'🌱 Configuração'!$D$56,MOD('🌱 Configuração'!$B$56+38-'🌱 Configuração'!$C$56,7)=0,INT(('🌱 Configuração'!$B$56+38-'🌱 Configuração'!$C$56)/7)+1=2),"🍄 Beauveria bassiana — foliar + solo",IF(AND('🌱 Configuração'!$B$56+38&gt;='🌱 Configuração'!$C$56,'🌱 Configuração'!$B$56+38&lt;'🌱 Configuração'!$D$56,MOD('🌱 Configuração'!$B$56+38-'🌱 Configuração'!$C$56,7)=0,INT(('🌱 Configuração'!$B$56+38-'🌱 Configuração'!$C$56)/7)+1=3),"🟡 Calda Sulfocálcica (1%) — foliar",IF(AND('🌱 Configuração'!$B$56+38&gt;='🌱 Configuração'!$C$56,'🌱 Configuração'!$B$56+38&lt;'🌱 Configuração'!$D$56,MOD('🌱 Configuração'!$B$56+38-'🌱 Configuração'!$C$56,7)=0,INT(('🌱 Configuração'!$B$56+38-'🌱 Configuração'!$C$56)/7)+1=4),"🦠 Trichoderma (3 g/L) — solo",IF(AND('🌱 Configuração'!$B$56+38&gt;='🌱 Configuração'!$C$56,'🌱 Configuração'!$B$56+38&lt;'🌱 Configuração'!$D$56,MOD('🌱 Configuração'!$B$56+38-'🌱 Configuração'!$C$56,7)=0,INT(('🌱 Configuração'!$B$56+38-'🌱 Configuração'!$C$56)/7)+1=5),"🔵 Calda Bordalesa (0.5%) — foliar",IF(AND('🌱 Configuração'!$B$56+38&gt;='🌱 Configuração'!$C$56,'🌱 Configuração'!$B$56+38&lt;'🌱 Configuração'!$D$56,MOD('🌱 Configuração'!$B$56+38-'🌱 Configuração'!$C$56,7)=0,INT(('🌱 Configuração'!$B$56+38-'🌱 Configuração'!$C$56)/7)+1=6),"🌿 Nim (2 mL/L) — ⚠️ ÚLTIMA foliar",IF(AND('🌱 Configuração'!$B$56+38&gt;='🌱 Configuração'!$C$56,'🌱 Configuração'!$B$56+38&lt;'🌱 Configuração'!$D$56,MOD('🌱 Configuração'!$B$56+38-'🌱 Configuração'!$C$56,7)=0,INT(('🌱 Configuração'!$B$56+38-'🌱 Configuração'!$C$56)/7)+1=7),"🦠 Trichoderma — solo",IF(AND('🌱 Configuração'!$B$56+38&gt;='🌱 Configuração'!$C$56,'🌱 Configuração'!$B$56+38&lt;'🌱 Configuração'!$D$56,MOD('🌱 Configuração'!$B$56+38-'🌱 Configuração'!$C$56,7)=0,INT(('🌱 Configuração'!$B$56+38-'🌱 Configuração'!$C$56)/7)+1=8),"🍄 Beauveria — solo","")))))))),IF('🌱 Configuração'!$B$56+38&lt;'🌱 Configuração'!$E$56,IF(AND('🌱 Configuração'!$B$56+38&gt;='🌱 Configuração'!$D$56,'🌱 Configuração'!$B$56+38&lt;'🌱 Configuração'!$E$56,MOD('🌱 Configuração'!$B$56+38-'🌱 Configuração'!$D$56,7)=0,INT(('🌱 Configuração'!$B$56+38-'🌱 Configuração'!$D$56)/7)+1=1),"🍄 Beauveria bassiana — SOLO apenas",IF(AND('🌱 Configuração'!$B$56+38&gt;='🌱 Configuração'!$D$56,'🌱 Configuração'!$B$56+38&lt;'🌱 Configuração'!$E$56,MOD('🌱 Configuração'!$B$56+38-'🌱 Configuração'!$D$56,7)=0,INT(('🌱 Configuração'!$B$56+38-'🌱 Configuração'!$D$56)/7)+1=2),"🦠 Trichoderma (3 g/L) — solo",IF(AND('🌱 Configuração'!$B$56+38&gt;='🌱 Configuração'!$D$56,'🌱 Configuração'!$B$56+38&lt;'🌱 Configuração'!$E$56,MOD('🌱 Configuração'!$B$56+38-'🌱 Configuração'!$D$56,7)=0,INT(('🌱 Configuração'!$B$56+38-'🌱 Configuração'!$D$56)/7)+1=3),"🍄 Beauveria bassiana — solo | ⚠️ Umid &lt;45%",IF(AND('🌱 Configuração'!$B$56+38&gt;='🌱 Configuração'!$D$56,'🌱 Configuração'!$B$56+38&lt;'🌱 Configuração'!$E$56,MOD('🌱 Configuração'!$B$56+38-'🌱 Configuração'!$D$56,7)=0,INT(('🌱 Configuração'!$B$56+38-'🌱 Configuração'!$D$56)/7)+1=4),"🦠 Trichoderma — solo | Inspecionar buds",IF(AND('🌱 Configuração'!$B$56+38&gt;='🌱 Configuração'!$D$56,'🌱 Configuração'!$B$56+38&lt;'🌱 Configuração'!$E$56,MOD('🌱 Configuração'!$B$56+38-'🌱 Configuração'!$D$56,7)=0,INT(('🌱 Configuração'!$B$56+38-'🌱 Configuração'!$D$56)/7)+1=5),"🍄 Beauveria + inspeção visual buds",IF(AND('🌱 Configuração'!$B$56+38&gt;='🌱 Configuração'!$D$56,'🌱 Configuração'!$B$56+38&lt;'🌱 Configuração'!$E$56,MOD('🌱 Configuração'!$B$56+38-'🌱 Configuração'!$D$56,7)=0,INT(('🌱 Configuração'!$B$56+38-'🌱 Configuração'!$D$56)/7)+1=6),"🦠 Trichoderma + ⚠️ Verificar mofo","")))))),IF(AND('🌱 Configuração'!$B$56+38&gt;='🌱 Configuração'!$E$56,MOD('🌱 Configuração'!$B$56+38-'🌱 Configuração'!$E$56,7)=0),"🔬 Inspeção final — analisar tricomas","")))))</f>
        <v/>
      </c>
      <c r="I44" s="33"/>
    </row>
    <row r="45" spans="1:9" ht="19.5" customHeight="1">
      <c r="A45" s="1"/>
      <c r="B45" s="39">
        <f>IF(40&lt;='🌱 Configuração'!$F$55,40,"")</f>
        <v>40</v>
      </c>
      <c r="C45" s="40">
        <f>IF(40&lt;='🌱 Configuração'!$F$55,'🌱 Configuração'!$B$56+39,"")</f>
        <v>39</v>
      </c>
      <c r="D45" s="41" t="str">
        <f>IF(40&gt;'🌱 Configuração'!$F$55,"",IF('🌱 Configuração'!$B$56+39&lt;'🌱 Configuração'!$C$56,"🌱 Clone",IF('🌱 Configuração'!$B$56+39&lt;'🌱 Configuração'!$D$56,"🌿 Vegetativo",IF('🌱 Configuração'!$B$56+39&lt;'🌱 Configuração'!$E$56,"🌸 Floração","🚿 Flush"))))</f>
        <v>🌿 Vegetativo</v>
      </c>
      <c r="E45" s="42" t="str">
        <f>IF(40&gt;'🌱 Configuração'!$F$55,"",IF('🌱 Configuração'!$B$56+39&lt;'🌱 Configuração'!$C$56,"Clone S"&amp;INT((40-1)/7)+1,IF('🌱 Configuração'!$B$56+39&lt;'🌱 Configuração'!$D$56,"Vega S"&amp;INT(('🌱 Configuração'!$B$56+39-'🌱 Configuração'!$C$56)/7)+1,IF('🌱 Configuração'!$B$56+39&lt;'🌱 Configuração'!$E$56,"Flora S"&amp;INT(('🌱 Configuração'!$B$56+39-'🌱 Configuração'!$D$56)/7)+1,"Flush S"&amp;INT(('🌱 Configuração'!$B$56+39-'🌱 Configuração'!$E$56)/7)+1))))</f>
        <v>Vega S4</v>
      </c>
      <c r="F45" s="43" t="str">
        <f>IF(40&gt;'🌱 Configuração'!$F$55,"",IF('🌱 Configuração'!$B$56+39='🌱 Configuração'!$C$56,"🌿 INÍCIO VEGA — luz 18h/dia",IF('🌱 Configuração'!$B$56+39='🌱 Configuração'!$D$56,"🌸 INÍCIO FLORAÇÃO — mudar 12/12 🔴",IF('🌱 Configuração'!$B$56+39='🌱 Configuração'!$E$56,"🚿 INÍCIO FLUSH — parar nutrição",IF('🌱 Configuração'!$B$56+39='🌱 Configuração'!$F$56-1,"🔬 Véspera da colheita — analisar tricomas",IF('🌱 Configuração'!$B$56+39='🌱 Configuração'!$F$56,"✂️ COLHEITA — Parabéns! 🎉",""))))))</f>
        <v/>
      </c>
      <c r="G45" s="44" t="s">
        <v>428</v>
      </c>
      <c r="H45" s="45" t="str">
        <f>IF(40&gt;'🌱 Configuração'!$F$55,"",IF('🌱 Configuração'!$B$56+39&lt;'🌱 Configuração'!$C$56,IF(40=1,"🌿 Nim (2 mL/L) — foliar leve",IF(40=8,"🍄 Beauveria bassiana — foliar + solo","")),IF('🌱 Configuração'!$B$56+39&lt;'🌱 Configuração'!$D$56,IF(AND('🌱 Configuração'!$B$56+39&gt;='🌱 Configuração'!$C$56,'🌱 Configuração'!$B$56+39&lt;'🌱 Configuração'!$D$56,MOD('🌱 Configuração'!$B$56+39-'🌱 Configuração'!$C$56,7)=0,INT(('🌱 Configuração'!$B$56+39-'🌱 Configuração'!$C$56)/7)+1=1),"🌿 Nim (2 mL/L) — foliar preventivo",IF(AND('🌱 Configuração'!$B$56+39&gt;='🌱 Configuração'!$C$56,'🌱 Configuração'!$B$56+39&lt;'🌱 Configuração'!$D$56,MOD('🌱 Configuração'!$B$56+39-'🌱 Configuração'!$C$56,7)=0,INT(('🌱 Configuração'!$B$56+39-'🌱 Configuração'!$C$56)/7)+1=2),"🍄 Beauveria bassiana — foliar + solo",IF(AND('🌱 Configuração'!$B$56+39&gt;='🌱 Configuração'!$C$56,'🌱 Configuração'!$B$56+39&lt;'🌱 Configuração'!$D$56,MOD('🌱 Configuração'!$B$56+39-'🌱 Configuração'!$C$56,7)=0,INT(('🌱 Configuração'!$B$56+39-'🌱 Configuração'!$C$56)/7)+1=3),"🟡 Calda Sulfocálcica (1%) — foliar",IF(AND('🌱 Configuração'!$B$56+39&gt;='🌱 Configuração'!$C$56,'🌱 Configuração'!$B$56+39&lt;'🌱 Configuração'!$D$56,MOD('🌱 Configuração'!$B$56+39-'🌱 Configuração'!$C$56,7)=0,INT(('🌱 Configuração'!$B$56+39-'🌱 Configuração'!$C$56)/7)+1=4),"🦠 Trichoderma (3 g/L) — solo",IF(AND('🌱 Configuração'!$B$56+39&gt;='🌱 Configuração'!$C$56,'🌱 Configuração'!$B$56+39&lt;'🌱 Configuração'!$D$56,MOD('🌱 Configuração'!$B$56+39-'🌱 Configuração'!$C$56,7)=0,INT(('🌱 Configuração'!$B$56+39-'🌱 Configuração'!$C$56)/7)+1=5),"🔵 Calda Bordalesa (0.5%) — foliar",IF(AND('🌱 Configuração'!$B$56+39&gt;='🌱 Configuração'!$C$56,'🌱 Configuração'!$B$56+39&lt;'🌱 Configuração'!$D$56,MOD('🌱 Configuração'!$B$56+39-'🌱 Configuração'!$C$56,7)=0,INT(('🌱 Configuração'!$B$56+39-'🌱 Configuração'!$C$56)/7)+1=6),"🌿 Nim (2 mL/L) — ⚠️ ÚLTIMA foliar",IF(AND('🌱 Configuração'!$B$56+39&gt;='🌱 Configuração'!$C$56,'🌱 Configuração'!$B$56+39&lt;'🌱 Configuração'!$D$56,MOD('🌱 Configuração'!$B$56+39-'🌱 Configuração'!$C$56,7)=0,INT(('🌱 Configuração'!$B$56+39-'🌱 Configuração'!$C$56)/7)+1=7),"🦠 Trichoderma — solo",IF(AND('🌱 Configuração'!$B$56+39&gt;='🌱 Configuração'!$C$56,'🌱 Configuração'!$B$56+39&lt;'🌱 Configuração'!$D$56,MOD('🌱 Configuração'!$B$56+39-'🌱 Configuração'!$C$56,7)=0,INT(('🌱 Configuração'!$B$56+39-'🌱 Configuração'!$C$56)/7)+1=8),"🍄 Beauveria — solo","")))))))),IF('🌱 Configuração'!$B$56+39&lt;'🌱 Configuração'!$E$56,IF(AND('🌱 Configuração'!$B$56+39&gt;='🌱 Configuração'!$D$56,'🌱 Configuração'!$B$56+39&lt;'🌱 Configuração'!$E$56,MOD('🌱 Configuração'!$B$56+39-'🌱 Configuração'!$D$56,7)=0,INT(('🌱 Configuração'!$B$56+39-'🌱 Configuração'!$D$56)/7)+1=1),"🍄 Beauveria bassiana — SOLO apenas",IF(AND('🌱 Configuração'!$B$56+39&gt;='🌱 Configuração'!$D$56,'🌱 Configuração'!$B$56+39&lt;'🌱 Configuração'!$E$56,MOD('🌱 Configuração'!$B$56+39-'🌱 Configuração'!$D$56,7)=0,INT(('🌱 Configuração'!$B$56+39-'🌱 Configuração'!$D$56)/7)+1=2),"🦠 Trichoderma (3 g/L) — solo",IF(AND('🌱 Configuração'!$B$56+39&gt;='🌱 Configuração'!$D$56,'🌱 Configuração'!$B$56+39&lt;'🌱 Configuração'!$E$56,MOD('🌱 Configuração'!$B$56+39-'🌱 Configuração'!$D$56,7)=0,INT(('🌱 Configuração'!$B$56+39-'🌱 Configuração'!$D$56)/7)+1=3),"🍄 Beauveria bassiana — solo | ⚠️ Umid &lt;45%",IF(AND('🌱 Configuração'!$B$56+39&gt;='🌱 Configuração'!$D$56,'🌱 Configuração'!$B$56+39&lt;'🌱 Configuração'!$E$56,MOD('🌱 Configuração'!$B$56+39-'🌱 Configuração'!$D$56,7)=0,INT(('🌱 Configuração'!$B$56+39-'🌱 Configuração'!$D$56)/7)+1=4),"🦠 Trichoderma — solo | Inspecionar buds",IF(AND('🌱 Configuração'!$B$56+39&gt;='🌱 Configuração'!$D$56,'🌱 Configuração'!$B$56+39&lt;'🌱 Configuração'!$E$56,MOD('🌱 Configuração'!$B$56+39-'🌱 Configuração'!$D$56,7)=0,INT(('🌱 Configuração'!$B$56+39-'🌱 Configuração'!$D$56)/7)+1=5),"🍄 Beauveria + inspeção visual buds",IF(AND('🌱 Configuração'!$B$56+39&gt;='🌱 Configuração'!$D$56,'🌱 Configuração'!$B$56+39&lt;'🌱 Configuração'!$E$56,MOD('🌱 Configuração'!$B$56+39-'🌱 Configuração'!$D$56,7)=0,INT(('🌱 Configuração'!$B$56+39-'🌱 Configuração'!$D$56)/7)+1=6),"🦠 Trichoderma + ⚠️ Verificar mofo","")))))),IF(AND('🌱 Configuração'!$B$56+39&gt;='🌱 Configuração'!$E$56,MOD('🌱 Configuração'!$B$56+39-'🌱 Configuração'!$E$56,7)=0),"🔬 Inspeção final — analisar tricomas","")))))</f>
        <v/>
      </c>
      <c r="I45" s="33"/>
    </row>
    <row r="46" spans="1:9" ht="19.5" customHeight="1">
      <c r="A46" s="1"/>
      <c r="B46" s="35">
        <f>IF(41&lt;='🌱 Configuração'!$F$55,41,"")</f>
        <v>41</v>
      </c>
      <c r="C46" s="13">
        <f>IF(41&lt;='🌱 Configuração'!$F$55,'🌱 Configuração'!$B$56+40,"")</f>
        <v>40</v>
      </c>
      <c r="D46" s="36" t="str">
        <f>IF(41&gt;'🌱 Configuração'!$F$55,"",IF('🌱 Configuração'!$B$56+40&lt;'🌱 Configuração'!$C$56,"🌱 Clone",IF('🌱 Configuração'!$B$56+40&lt;'🌱 Configuração'!$D$56,"🌿 Vegetativo",IF('🌱 Configuração'!$B$56+40&lt;'🌱 Configuração'!$E$56,"🌸 Floração","🚿 Flush"))))</f>
        <v>🌿 Vegetativo</v>
      </c>
      <c r="E46" s="15" t="str">
        <f>IF(41&gt;'🌱 Configuração'!$F$55,"",IF('🌱 Configuração'!$B$56+40&lt;'🌱 Configuração'!$C$56,"Clone S"&amp;INT((41-1)/7)+1,IF('🌱 Configuração'!$B$56+40&lt;'🌱 Configuração'!$D$56,"Vega S"&amp;INT(('🌱 Configuração'!$B$56+40-'🌱 Configuração'!$C$56)/7)+1,IF('🌱 Configuração'!$B$56+40&lt;'🌱 Configuração'!$E$56,"Flora S"&amp;INT(('🌱 Configuração'!$B$56+40-'🌱 Configuração'!$D$56)/7)+1,"Flush S"&amp;INT(('🌱 Configuração'!$B$56+40-'🌱 Configuração'!$E$56)/7)+1))))</f>
        <v>Vega S4</v>
      </c>
      <c r="F46" s="14" t="str">
        <f>IF(41&gt;'🌱 Configuração'!$F$55,"",IF('🌱 Configuração'!$B$56+40='🌱 Configuração'!$C$56,"🌿 INÍCIO VEGA — luz 18h/dia",IF('🌱 Configuração'!$B$56+40='🌱 Configuração'!$D$56,"🌸 INÍCIO FLORAÇÃO — mudar 12/12 🔴",IF('🌱 Configuração'!$B$56+40='🌱 Configuração'!$E$56,"🚿 INÍCIO FLUSH — parar nutrição",IF('🌱 Configuração'!$B$56+40='🌱 Configuração'!$F$56-1,"🔬 Véspera da colheita — analisar tricomas",IF('🌱 Configuração'!$B$56+40='🌱 Configuração'!$F$56,"✂️ COLHEITA — Parabéns! 🎉",""))))))</f>
        <v/>
      </c>
      <c r="G46" s="37" t="s">
        <v>428</v>
      </c>
      <c r="H46" s="38" t="str">
        <f>IF(41&gt;'🌱 Configuração'!$F$55,"",IF('🌱 Configuração'!$B$56+40&lt;'🌱 Configuração'!$C$56,IF(41=1,"🌿 Nim (2 mL/L) — foliar leve",IF(41=8,"🍄 Beauveria bassiana — foliar + solo","")),IF('🌱 Configuração'!$B$56+40&lt;'🌱 Configuração'!$D$56,IF(AND('🌱 Configuração'!$B$56+40&gt;='🌱 Configuração'!$C$56,'🌱 Configuração'!$B$56+40&lt;'🌱 Configuração'!$D$56,MOD('🌱 Configuração'!$B$56+40-'🌱 Configuração'!$C$56,7)=0,INT(('🌱 Configuração'!$B$56+40-'🌱 Configuração'!$C$56)/7)+1=1),"🌿 Nim (2 mL/L) — foliar preventivo",IF(AND('🌱 Configuração'!$B$56+40&gt;='🌱 Configuração'!$C$56,'🌱 Configuração'!$B$56+40&lt;'🌱 Configuração'!$D$56,MOD('🌱 Configuração'!$B$56+40-'🌱 Configuração'!$C$56,7)=0,INT(('🌱 Configuração'!$B$56+40-'🌱 Configuração'!$C$56)/7)+1=2),"🍄 Beauveria bassiana — foliar + solo",IF(AND('🌱 Configuração'!$B$56+40&gt;='🌱 Configuração'!$C$56,'🌱 Configuração'!$B$56+40&lt;'🌱 Configuração'!$D$56,MOD('🌱 Configuração'!$B$56+40-'🌱 Configuração'!$C$56,7)=0,INT(('🌱 Configuração'!$B$56+40-'🌱 Configuração'!$C$56)/7)+1=3),"🟡 Calda Sulfocálcica (1%) — foliar",IF(AND('🌱 Configuração'!$B$56+40&gt;='🌱 Configuração'!$C$56,'🌱 Configuração'!$B$56+40&lt;'🌱 Configuração'!$D$56,MOD('🌱 Configuração'!$B$56+40-'🌱 Configuração'!$C$56,7)=0,INT(('🌱 Configuração'!$B$56+40-'🌱 Configuração'!$C$56)/7)+1=4),"🦠 Trichoderma (3 g/L) — solo",IF(AND('🌱 Configuração'!$B$56+40&gt;='🌱 Configuração'!$C$56,'🌱 Configuração'!$B$56+40&lt;'🌱 Configuração'!$D$56,MOD('🌱 Configuração'!$B$56+40-'🌱 Configuração'!$C$56,7)=0,INT(('🌱 Configuração'!$B$56+40-'🌱 Configuração'!$C$56)/7)+1=5),"🔵 Calda Bordalesa (0.5%) — foliar",IF(AND('🌱 Configuração'!$B$56+40&gt;='🌱 Configuração'!$C$56,'🌱 Configuração'!$B$56+40&lt;'🌱 Configuração'!$D$56,MOD('🌱 Configuração'!$B$56+40-'🌱 Configuração'!$C$56,7)=0,INT(('🌱 Configuração'!$B$56+40-'🌱 Configuração'!$C$56)/7)+1=6),"🌿 Nim (2 mL/L) — ⚠️ ÚLTIMA foliar",IF(AND('🌱 Configuração'!$B$56+40&gt;='🌱 Configuração'!$C$56,'🌱 Configuração'!$B$56+40&lt;'🌱 Configuração'!$D$56,MOD('🌱 Configuração'!$B$56+40-'🌱 Configuração'!$C$56,7)=0,INT(('🌱 Configuração'!$B$56+40-'🌱 Configuração'!$C$56)/7)+1=7),"🦠 Trichoderma — solo",IF(AND('🌱 Configuração'!$B$56+40&gt;='🌱 Configuração'!$C$56,'🌱 Configuração'!$B$56+40&lt;'🌱 Configuração'!$D$56,MOD('🌱 Configuração'!$B$56+40-'🌱 Configuração'!$C$56,7)=0,INT(('🌱 Configuração'!$B$56+40-'🌱 Configuração'!$C$56)/7)+1=8),"🍄 Beauveria — solo","")))))))),IF('🌱 Configuração'!$B$56+40&lt;'🌱 Configuração'!$E$56,IF(AND('🌱 Configuração'!$B$56+40&gt;='🌱 Configuração'!$D$56,'🌱 Configuração'!$B$56+40&lt;'🌱 Configuração'!$E$56,MOD('🌱 Configuração'!$B$56+40-'🌱 Configuração'!$D$56,7)=0,INT(('🌱 Configuração'!$B$56+40-'🌱 Configuração'!$D$56)/7)+1=1),"🍄 Beauveria bassiana — SOLO apenas",IF(AND('🌱 Configuração'!$B$56+40&gt;='🌱 Configuração'!$D$56,'🌱 Configuração'!$B$56+40&lt;'🌱 Configuração'!$E$56,MOD('🌱 Configuração'!$B$56+40-'🌱 Configuração'!$D$56,7)=0,INT(('🌱 Configuração'!$B$56+40-'🌱 Configuração'!$D$56)/7)+1=2),"🦠 Trichoderma (3 g/L) — solo",IF(AND('🌱 Configuração'!$B$56+40&gt;='🌱 Configuração'!$D$56,'🌱 Configuração'!$B$56+40&lt;'🌱 Configuração'!$E$56,MOD('🌱 Configuração'!$B$56+40-'🌱 Configuração'!$D$56,7)=0,INT(('🌱 Configuração'!$B$56+40-'🌱 Configuração'!$D$56)/7)+1=3),"🍄 Beauveria bassiana — solo | ⚠️ Umid &lt;45%",IF(AND('🌱 Configuração'!$B$56+40&gt;='🌱 Configuração'!$D$56,'🌱 Configuração'!$B$56+40&lt;'🌱 Configuração'!$E$56,MOD('🌱 Configuração'!$B$56+40-'🌱 Configuração'!$D$56,7)=0,INT(('🌱 Configuração'!$B$56+40-'🌱 Configuração'!$D$56)/7)+1=4),"🦠 Trichoderma — solo | Inspecionar buds",IF(AND('🌱 Configuração'!$B$56+40&gt;='🌱 Configuração'!$D$56,'🌱 Configuração'!$B$56+40&lt;'🌱 Configuração'!$E$56,MOD('🌱 Configuração'!$B$56+40-'🌱 Configuração'!$D$56,7)=0,INT(('🌱 Configuração'!$B$56+40-'🌱 Configuração'!$D$56)/7)+1=5),"🍄 Beauveria + inspeção visual buds",IF(AND('🌱 Configuração'!$B$56+40&gt;='🌱 Configuração'!$D$56,'🌱 Configuração'!$B$56+40&lt;'🌱 Configuração'!$E$56,MOD('🌱 Configuração'!$B$56+40-'🌱 Configuração'!$D$56,7)=0,INT(('🌱 Configuração'!$B$56+40-'🌱 Configuração'!$D$56)/7)+1=6),"🦠 Trichoderma + ⚠️ Verificar mofo","")))))),IF(AND('🌱 Configuração'!$B$56+40&gt;='🌱 Configuração'!$E$56,MOD('🌱 Configuração'!$B$56+40-'🌱 Configuração'!$E$56,7)=0),"🔬 Inspeção final — analisar tricomas","")))))</f>
        <v/>
      </c>
      <c r="I46" s="33"/>
    </row>
    <row r="47" spans="1:9" ht="19.5" customHeight="1">
      <c r="A47" s="1"/>
      <c r="B47" s="39">
        <f>IF(42&lt;='🌱 Configuração'!$F$55,42,"")</f>
        <v>42</v>
      </c>
      <c r="C47" s="40">
        <f>IF(42&lt;='🌱 Configuração'!$F$55,'🌱 Configuração'!$B$56+41,"")</f>
        <v>41</v>
      </c>
      <c r="D47" s="41" t="str">
        <f>IF(42&gt;'🌱 Configuração'!$F$55,"",IF('🌱 Configuração'!$B$56+41&lt;'🌱 Configuração'!$C$56,"🌱 Clone",IF('🌱 Configuração'!$B$56+41&lt;'🌱 Configuração'!$D$56,"🌿 Vegetativo",IF('🌱 Configuração'!$B$56+41&lt;'🌱 Configuração'!$E$56,"🌸 Floração","🚿 Flush"))))</f>
        <v>🌿 Vegetativo</v>
      </c>
      <c r="E47" s="42" t="str">
        <f>IF(42&gt;'🌱 Configuração'!$F$55,"",IF('🌱 Configuração'!$B$56+41&lt;'🌱 Configuração'!$C$56,"Clone S"&amp;INT((42-1)/7)+1,IF('🌱 Configuração'!$B$56+41&lt;'🌱 Configuração'!$D$56,"Vega S"&amp;INT(('🌱 Configuração'!$B$56+41-'🌱 Configuração'!$C$56)/7)+1,IF('🌱 Configuração'!$B$56+41&lt;'🌱 Configuração'!$E$56,"Flora S"&amp;INT(('🌱 Configuração'!$B$56+41-'🌱 Configuração'!$D$56)/7)+1,"Flush S"&amp;INT(('🌱 Configuração'!$B$56+41-'🌱 Configuração'!$E$56)/7)+1))))</f>
        <v>Vega S4</v>
      </c>
      <c r="F47" s="43" t="str">
        <f>IF(42&gt;'🌱 Configuração'!$F$55,"",IF('🌱 Configuração'!$B$56+41='🌱 Configuração'!$C$56,"🌿 INÍCIO VEGA — luz 18h/dia",IF('🌱 Configuração'!$B$56+41='🌱 Configuração'!$D$56,"🌸 INÍCIO FLORAÇÃO — mudar 12/12 🔴",IF('🌱 Configuração'!$B$56+41='🌱 Configuração'!$E$56,"🚿 INÍCIO FLUSH — parar nutrição",IF('🌱 Configuração'!$B$56+41='🌱 Configuração'!$F$56-1,"🔬 Véspera da colheita — analisar tricomas",IF('🌱 Configuração'!$B$56+41='🌱 Configuração'!$F$56,"✂️ COLHEITA — Parabéns! 🎉",""))))))</f>
        <v/>
      </c>
      <c r="G47" s="44" t="s">
        <v>428</v>
      </c>
      <c r="H47" s="45" t="str">
        <f>IF(42&gt;'🌱 Configuração'!$F$55,"",IF('🌱 Configuração'!$B$56+41&lt;'🌱 Configuração'!$C$56,IF(42=1,"🌿 Nim (2 mL/L) — foliar leve",IF(42=8,"🍄 Beauveria bassiana — foliar + solo","")),IF('🌱 Configuração'!$B$56+41&lt;'🌱 Configuração'!$D$56,IF(AND('🌱 Configuração'!$B$56+41&gt;='🌱 Configuração'!$C$56,'🌱 Configuração'!$B$56+41&lt;'🌱 Configuração'!$D$56,MOD('🌱 Configuração'!$B$56+41-'🌱 Configuração'!$C$56,7)=0,INT(('🌱 Configuração'!$B$56+41-'🌱 Configuração'!$C$56)/7)+1=1),"🌿 Nim (2 mL/L) — foliar preventivo",IF(AND('🌱 Configuração'!$B$56+41&gt;='🌱 Configuração'!$C$56,'🌱 Configuração'!$B$56+41&lt;'🌱 Configuração'!$D$56,MOD('🌱 Configuração'!$B$56+41-'🌱 Configuração'!$C$56,7)=0,INT(('🌱 Configuração'!$B$56+41-'🌱 Configuração'!$C$56)/7)+1=2),"🍄 Beauveria bassiana — foliar + solo",IF(AND('🌱 Configuração'!$B$56+41&gt;='🌱 Configuração'!$C$56,'🌱 Configuração'!$B$56+41&lt;'🌱 Configuração'!$D$56,MOD('🌱 Configuração'!$B$56+41-'🌱 Configuração'!$C$56,7)=0,INT(('🌱 Configuração'!$B$56+41-'🌱 Configuração'!$C$56)/7)+1=3),"🟡 Calda Sulfocálcica (1%) — foliar",IF(AND('🌱 Configuração'!$B$56+41&gt;='🌱 Configuração'!$C$56,'🌱 Configuração'!$B$56+41&lt;'🌱 Configuração'!$D$56,MOD('🌱 Configuração'!$B$56+41-'🌱 Configuração'!$C$56,7)=0,INT(('🌱 Configuração'!$B$56+41-'🌱 Configuração'!$C$56)/7)+1=4),"🦠 Trichoderma (3 g/L) — solo",IF(AND('🌱 Configuração'!$B$56+41&gt;='🌱 Configuração'!$C$56,'🌱 Configuração'!$B$56+41&lt;'🌱 Configuração'!$D$56,MOD('🌱 Configuração'!$B$56+41-'🌱 Configuração'!$C$56,7)=0,INT(('🌱 Configuração'!$B$56+41-'🌱 Configuração'!$C$56)/7)+1=5),"🔵 Calda Bordalesa (0.5%) — foliar",IF(AND('🌱 Configuração'!$B$56+41&gt;='🌱 Configuração'!$C$56,'🌱 Configuração'!$B$56+41&lt;'🌱 Configuração'!$D$56,MOD('🌱 Configuração'!$B$56+41-'🌱 Configuração'!$C$56,7)=0,INT(('🌱 Configuração'!$B$56+41-'🌱 Configuração'!$C$56)/7)+1=6),"🌿 Nim (2 mL/L) — ⚠️ ÚLTIMA foliar",IF(AND('🌱 Configuração'!$B$56+41&gt;='🌱 Configuração'!$C$56,'🌱 Configuração'!$B$56+41&lt;'🌱 Configuração'!$D$56,MOD('🌱 Configuração'!$B$56+41-'🌱 Configuração'!$C$56,7)=0,INT(('🌱 Configuração'!$B$56+41-'🌱 Configuração'!$C$56)/7)+1=7),"🦠 Trichoderma — solo",IF(AND('🌱 Configuração'!$B$56+41&gt;='🌱 Configuração'!$C$56,'🌱 Configuração'!$B$56+41&lt;'🌱 Configuração'!$D$56,MOD('🌱 Configuração'!$B$56+41-'🌱 Configuração'!$C$56,7)=0,INT(('🌱 Configuração'!$B$56+41-'🌱 Configuração'!$C$56)/7)+1=8),"🍄 Beauveria — solo","")))))))),IF('🌱 Configuração'!$B$56+41&lt;'🌱 Configuração'!$E$56,IF(AND('🌱 Configuração'!$B$56+41&gt;='🌱 Configuração'!$D$56,'🌱 Configuração'!$B$56+41&lt;'🌱 Configuração'!$E$56,MOD('🌱 Configuração'!$B$56+41-'🌱 Configuração'!$D$56,7)=0,INT(('🌱 Configuração'!$B$56+41-'🌱 Configuração'!$D$56)/7)+1=1),"🍄 Beauveria bassiana — SOLO apenas",IF(AND('🌱 Configuração'!$B$56+41&gt;='🌱 Configuração'!$D$56,'🌱 Configuração'!$B$56+41&lt;'🌱 Configuração'!$E$56,MOD('🌱 Configuração'!$B$56+41-'🌱 Configuração'!$D$56,7)=0,INT(('🌱 Configuração'!$B$56+41-'🌱 Configuração'!$D$56)/7)+1=2),"🦠 Trichoderma (3 g/L) — solo",IF(AND('🌱 Configuração'!$B$56+41&gt;='🌱 Configuração'!$D$56,'🌱 Configuração'!$B$56+41&lt;'🌱 Configuração'!$E$56,MOD('🌱 Configuração'!$B$56+41-'🌱 Configuração'!$D$56,7)=0,INT(('🌱 Configuração'!$B$56+41-'🌱 Configuração'!$D$56)/7)+1=3),"🍄 Beauveria bassiana — solo | ⚠️ Umid &lt;45%",IF(AND('🌱 Configuração'!$B$56+41&gt;='🌱 Configuração'!$D$56,'🌱 Configuração'!$B$56+41&lt;'🌱 Configuração'!$E$56,MOD('🌱 Configuração'!$B$56+41-'🌱 Configuração'!$D$56,7)=0,INT(('🌱 Configuração'!$B$56+41-'🌱 Configuração'!$D$56)/7)+1=4),"🦠 Trichoderma — solo | Inspecionar buds",IF(AND('🌱 Configuração'!$B$56+41&gt;='🌱 Configuração'!$D$56,'🌱 Configuração'!$B$56+41&lt;'🌱 Configuração'!$E$56,MOD('🌱 Configuração'!$B$56+41-'🌱 Configuração'!$D$56,7)=0,INT(('🌱 Configuração'!$B$56+41-'🌱 Configuração'!$D$56)/7)+1=5),"🍄 Beauveria + inspeção visual buds",IF(AND('🌱 Configuração'!$B$56+41&gt;='🌱 Configuração'!$D$56,'🌱 Configuração'!$B$56+41&lt;'🌱 Configuração'!$E$56,MOD('🌱 Configuração'!$B$56+41-'🌱 Configuração'!$D$56,7)=0,INT(('🌱 Configuração'!$B$56+41-'🌱 Configuração'!$D$56)/7)+1=6),"🦠 Trichoderma + ⚠️ Verificar mofo","")))))),IF(AND('🌱 Configuração'!$B$56+41&gt;='🌱 Configuração'!$E$56,MOD('🌱 Configuração'!$B$56+41-'🌱 Configuração'!$E$56,7)=0),"🔬 Inspeção final — analisar tricomas","")))))</f>
        <v/>
      </c>
      <c r="I47" s="33"/>
    </row>
    <row r="48" spans="1:9" ht="19.5" customHeight="1">
      <c r="A48" s="1"/>
      <c r="B48" s="35">
        <f>IF(43&lt;='🌱 Configuração'!$F$55,43,"")</f>
        <v>43</v>
      </c>
      <c r="C48" s="13">
        <f>IF(43&lt;='🌱 Configuração'!$F$55,'🌱 Configuração'!$B$56+42,"")</f>
        <v>42</v>
      </c>
      <c r="D48" s="36" t="str">
        <f>IF(43&gt;'🌱 Configuração'!$F$55,"",IF('🌱 Configuração'!$B$56+42&lt;'🌱 Configuração'!$C$56,"🌱 Clone",IF('🌱 Configuração'!$B$56+42&lt;'🌱 Configuração'!$D$56,"🌿 Vegetativo",IF('🌱 Configuração'!$B$56+42&lt;'🌱 Configuração'!$E$56,"🌸 Floração","🚿 Flush"))))</f>
        <v>🌿 Vegetativo</v>
      </c>
      <c r="E48" s="15" t="str">
        <f>IF(43&gt;'🌱 Configuração'!$F$55,"",IF('🌱 Configuração'!$B$56+42&lt;'🌱 Configuração'!$C$56,"Clone S"&amp;INT((43-1)/7)+1,IF('🌱 Configuração'!$B$56+42&lt;'🌱 Configuração'!$D$56,"Vega S"&amp;INT(('🌱 Configuração'!$B$56+42-'🌱 Configuração'!$C$56)/7)+1,IF('🌱 Configuração'!$B$56+42&lt;'🌱 Configuração'!$E$56,"Flora S"&amp;INT(('🌱 Configuração'!$B$56+42-'🌱 Configuração'!$D$56)/7)+1,"Flush S"&amp;INT(('🌱 Configuração'!$B$56+42-'🌱 Configuração'!$E$56)/7)+1))))</f>
        <v>Vega S5</v>
      </c>
      <c r="F48" s="14" t="str">
        <f>IF(43&gt;'🌱 Configuração'!$F$55,"",IF('🌱 Configuração'!$B$56+42='🌱 Configuração'!$C$56,"🌿 INÍCIO VEGA — luz 18h/dia",IF('🌱 Configuração'!$B$56+42='🌱 Configuração'!$D$56,"🌸 INÍCIO FLORAÇÃO — mudar 12/12 🔴",IF('🌱 Configuração'!$B$56+42='🌱 Configuração'!$E$56,"🚿 INÍCIO FLUSH — parar nutrição",IF('🌱 Configuração'!$B$56+42='🌱 Configuração'!$F$56-1,"🔬 Véspera da colheita — analisar tricomas",IF('🌱 Configuração'!$B$56+42='🌱 Configuração'!$F$56,"✂️ COLHEITA — Parabéns! 🎉",""))))))</f>
        <v/>
      </c>
      <c r="G48" s="37" t="s">
        <v>434</v>
      </c>
      <c r="H48" s="38" t="str">
        <f>IF(43&gt;'🌱 Configuração'!$F$55,"",IF('🌱 Configuração'!$B$56+42&lt;'🌱 Configuração'!$C$56,IF(43=1,"🌿 Nim (2 mL/L) — foliar leve",IF(43=8,"🍄 Beauveria bassiana — foliar + solo","")),IF('🌱 Configuração'!$B$56+42&lt;'🌱 Configuração'!$D$56,IF(AND('🌱 Configuração'!$B$56+42&gt;='🌱 Configuração'!$C$56,'🌱 Configuração'!$B$56+42&lt;'🌱 Configuração'!$D$56,MOD('🌱 Configuração'!$B$56+42-'🌱 Configuração'!$C$56,7)=0,INT(('🌱 Configuração'!$B$56+42-'🌱 Configuração'!$C$56)/7)+1=1),"🌿 Nim (2 mL/L) — foliar preventivo",IF(AND('🌱 Configuração'!$B$56+42&gt;='🌱 Configuração'!$C$56,'🌱 Configuração'!$B$56+42&lt;'🌱 Configuração'!$D$56,MOD('🌱 Configuração'!$B$56+42-'🌱 Configuração'!$C$56,7)=0,INT(('🌱 Configuração'!$B$56+42-'🌱 Configuração'!$C$56)/7)+1=2),"🍄 Beauveria bassiana — foliar + solo",IF(AND('🌱 Configuração'!$B$56+42&gt;='🌱 Configuração'!$C$56,'🌱 Configuração'!$B$56+42&lt;'🌱 Configuração'!$D$56,MOD('🌱 Configuração'!$B$56+42-'🌱 Configuração'!$C$56,7)=0,INT(('🌱 Configuração'!$B$56+42-'🌱 Configuração'!$C$56)/7)+1=3),"🟡 Calda Sulfocálcica (1%) — foliar",IF(AND('🌱 Configuração'!$B$56+42&gt;='🌱 Configuração'!$C$56,'🌱 Configuração'!$B$56+42&lt;'🌱 Configuração'!$D$56,MOD('🌱 Configuração'!$B$56+42-'🌱 Configuração'!$C$56,7)=0,INT(('🌱 Configuração'!$B$56+42-'🌱 Configuração'!$C$56)/7)+1=4),"🦠 Trichoderma (3 g/L) — solo",IF(AND('🌱 Configuração'!$B$56+42&gt;='🌱 Configuração'!$C$56,'🌱 Configuração'!$B$56+42&lt;'🌱 Configuração'!$D$56,MOD('🌱 Configuração'!$B$56+42-'🌱 Configuração'!$C$56,7)=0,INT(('🌱 Configuração'!$B$56+42-'🌱 Configuração'!$C$56)/7)+1=5),"🔵 Calda Bordalesa (0.5%) — foliar",IF(AND('🌱 Configuração'!$B$56+42&gt;='🌱 Configuração'!$C$56,'🌱 Configuração'!$B$56+42&lt;'🌱 Configuração'!$D$56,MOD('🌱 Configuração'!$B$56+42-'🌱 Configuração'!$C$56,7)=0,INT(('🌱 Configuração'!$B$56+42-'🌱 Configuração'!$C$56)/7)+1=6),"🌿 Nim (2 mL/L) — ⚠️ ÚLTIMA foliar",IF(AND('🌱 Configuração'!$B$56+42&gt;='🌱 Configuração'!$C$56,'🌱 Configuração'!$B$56+42&lt;'🌱 Configuração'!$D$56,MOD('🌱 Configuração'!$B$56+42-'🌱 Configuração'!$C$56,7)=0,INT(('🌱 Configuração'!$B$56+42-'🌱 Configuração'!$C$56)/7)+1=7),"🦠 Trichoderma — solo",IF(AND('🌱 Configuração'!$B$56+42&gt;='🌱 Configuração'!$C$56,'🌱 Configuração'!$B$56+42&lt;'🌱 Configuração'!$D$56,MOD('🌱 Configuração'!$B$56+42-'🌱 Configuração'!$C$56,7)=0,INT(('🌱 Configuração'!$B$56+42-'🌱 Configuração'!$C$56)/7)+1=8),"🍄 Beauveria — solo","")))))))),IF('🌱 Configuração'!$B$56+42&lt;'🌱 Configuração'!$E$56,IF(AND('🌱 Configuração'!$B$56+42&gt;='🌱 Configuração'!$D$56,'🌱 Configuração'!$B$56+42&lt;'🌱 Configuração'!$E$56,MOD('🌱 Configuração'!$B$56+42-'🌱 Configuração'!$D$56,7)=0,INT(('🌱 Configuração'!$B$56+42-'🌱 Configuração'!$D$56)/7)+1=1),"🍄 Beauveria bassiana — SOLO apenas",IF(AND('🌱 Configuração'!$B$56+42&gt;='🌱 Configuração'!$D$56,'🌱 Configuração'!$B$56+42&lt;'🌱 Configuração'!$E$56,MOD('🌱 Configuração'!$B$56+42-'🌱 Configuração'!$D$56,7)=0,INT(('🌱 Configuração'!$B$56+42-'🌱 Configuração'!$D$56)/7)+1=2),"🦠 Trichoderma (3 g/L) — solo",IF(AND('🌱 Configuração'!$B$56+42&gt;='🌱 Configuração'!$D$56,'🌱 Configuração'!$B$56+42&lt;'🌱 Configuração'!$E$56,MOD('🌱 Configuração'!$B$56+42-'🌱 Configuração'!$D$56,7)=0,INT(('🌱 Configuração'!$B$56+42-'🌱 Configuração'!$D$56)/7)+1=3),"🍄 Beauveria bassiana — solo | ⚠️ Umid &lt;45%",IF(AND('🌱 Configuração'!$B$56+42&gt;='🌱 Configuração'!$D$56,'🌱 Configuração'!$B$56+42&lt;'🌱 Configuração'!$E$56,MOD('🌱 Configuração'!$B$56+42-'🌱 Configuração'!$D$56,7)=0,INT(('🌱 Configuração'!$B$56+42-'🌱 Configuração'!$D$56)/7)+1=4),"🦠 Trichoderma — solo | Inspecionar buds",IF(AND('🌱 Configuração'!$B$56+42&gt;='🌱 Configuração'!$D$56,'🌱 Configuração'!$B$56+42&lt;'🌱 Configuração'!$E$56,MOD('🌱 Configuração'!$B$56+42-'🌱 Configuração'!$D$56,7)=0,INT(('🌱 Configuração'!$B$56+42-'🌱 Configuração'!$D$56)/7)+1=5),"🍄 Beauveria + inspeção visual buds",IF(AND('🌱 Configuração'!$B$56+42&gt;='🌱 Configuração'!$D$56,'🌱 Configuração'!$B$56+42&lt;'🌱 Configuração'!$E$56,MOD('🌱 Configuração'!$B$56+42-'🌱 Configuração'!$D$56,7)=0,INT(('🌱 Configuração'!$B$56+42-'🌱 Configuração'!$D$56)/7)+1=6),"🦠 Trichoderma + ⚠️ Verificar mofo","")))))),IF(AND('🌱 Configuração'!$B$56+42&gt;='🌱 Configuração'!$E$56,MOD('🌱 Configuração'!$B$56+42-'🌱 Configuração'!$E$56,7)=0),"🔬 Inspeção final — analisar tricomas","")))))</f>
        <v>🔵 Calda Bordalesa (0.5%) — foliar</v>
      </c>
      <c r="I48" s="33"/>
    </row>
    <row r="49" spans="1:9" ht="19.5" customHeight="1">
      <c r="A49" s="1"/>
      <c r="B49" s="39">
        <f>IF(44&lt;='🌱 Configuração'!$F$55,44,"")</f>
        <v>44</v>
      </c>
      <c r="C49" s="40">
        <f>IF(44&lt;='🌱 Configuração'!$F$55,'🌱 Configuração'!$B$56+43,"")</f>
        <v>43</v>
      </c>
      <c r="D49" s="41" t="str">
        <f>IF(44&gt;'🌱 Configuração'!$F$55,"",IF('🌱 Configuração'!$B$56+43&lt;'🌱 Configuração'!$C$56,"🌱 Clone",IF('🌱 Configuração'!$B$56+43&lt;'🌱 Configuração'!$D$56,"🌿 Vegetativo",IF('🌱 Configuração'!$B$56+43&lt;'🌱 Configuração'!$E$56,"🌸 Floração","🚿 Flush"))))</f>
        <v>🌿 Vegetativo</v>
      </c>
      <c r="E49" s="42" t="str">
        <f>IF(44&gt;'🌱 Configuração'!$F$55,"",IF('🌱 Configuração'!$B$56+43&lt;'🌱 Configuração'!$C$56,"Clone S"&amp;INT((44-1)/7)+1,IF('🌱 Configuração'!$B$56+43&lt;'🌱 Configuração'!$D$56,"Vega S"&amp;INT(('🌱 Configuração'!$B$56+43-'🌱 Configuração'!$C$56)/7)+1,IF('🌱 Configuração'!$B$56+43&lt;'🌱 Configuração'!$E$56,"Flora S"&amp;INT(('🌱 Configuração'!$B$56+43-'🌱 Configuração'!$D$56)/7)+1,"Flush S"&amp;INT(('🌱 Configuração'!$B$56+43-'🌱 Configuração'!$E$56)/7)+1))))</f>
        <v>Vega S5</v>
      </c>
      <c r="F49" s="43" t="str">
        <f>IF(44&gt;'🌱 Configuração'!$F$55,"",IF('🌱 Configuração'!$B$56+43='🌱 Configuração'!$C$56,"🌿 INÍCIO VEGA — luz 18h/dia",IF('🌱 Configuração'!$B$56+43='🌱 Configuração'!$D$56,"🌸 INÍCIO FLORAÇÃO — mudar 12/12 🔴",IF('🌱 Configuração'!$B$56+43='🌱 Configuração'!$E$56,"🚿 INÍCIO FLUSH — parar nutrição",IF('🌱 Configuração'!$B$56+43='🌱 Configuração'!$F$56-1,"🔬 Véspera da colheita — analisar tricomas",IF('🌱 Configuração'!$B$56+43='🌱 Configuração'!$F$56,"✂️ COLHEITA — Parabéns! 🎉",""))))))</f>
        <v/>
      </c>
      <c r="G49" s="44" t="s">
        <v>428</v>
      </c>
      <c r="H49" s="45" t="str">
        <f>IF(44&gt;'🌱 Configuração'!$F$55,"",IF('🌱 Configuração'!$B$56+43&lt;'🌱 Configuração'!$C$56,IF(44=1,"🌿 Nim (2 mL/L) — foliar leve",IF(44=8,"🍄 Beauveria bassiana — foliar + solo","")),IF('🌱 Configuração'!$B$56+43&lt;'🌱 Configuração'!$D$56,IF(AND('🌱 Configuração'!$B$56+43&gt;='🌱 Configuração'!$C$56,'🌱 Configuração'!$B$56+43&lt;'🌱 Configuração'!$D$56,MOD('🌱 Configuração'!$B$56+43-'🌱 Configuração'!$C$56,7)=0,INT(('🌱 Configuração'!$B$56+43-'🌱 Configuração'!$C$56)/7)+1=1),"🌿 Nim (2 mL/L) — foliar preventivo",IF(AND('🌱 Configuração'!$B$56+43&gt;='🌱 Configuração'!$C$56,'🌱 Configuração'!$B$56+43&lt;'🌱 Configuração'!$D$56,MOD('🌱 Configuração'!$B$56+43-'🌱 Configuração'!$C$56,7)=0,INT(('🌱 Configuração'!$B$56+43-'🌱 Configuração'!$C$56)/7)+1=2),"🍄 Beauveria bassiana — foliar + solo",IF(AND('🌱 Configuração'!$B$56+43&gt;='🌱 Configuração'!$C$56,'🌱 Configuração'!$B$56+43&lt;'🌱 Configuração'!$D$56,MOD('🌱 Configuração'!$B$56+43-'🌱 Configuração'!$C$56,7)=0,INT(('🌱 Configuração'!$B$56+43-'🌱 Configuração'!$C$56)/7)+1=3),"🟡 Calda Sulfocálcica (1%) — foliar",IF(AND('🌱 Configuração'!$B$56+43&gt;='🌱 Configuração'!$C$56,'🌱 Configuração'!$B$56+43&lt;'🌱 Configuração'!$D$56,MOD('🌱 Configuração'!$B$56+43-'🌱 Configuração'!$C$56,7)=0,INT(('🌱 Configuração'!$B$56+43-'🌱 Configuração'!$C$56)/7)+1=4),"🦠 Trichoderma (3 g/L) — solo",IF(AND('🌱 Configuração'!$B$56+43&gt;='🌱 Configuração'!$C$56,'🌱 Configuração'!$B$56+43&lt;'🌱 Configuração'!$D$56,MOD('🌱 Configuração'!$B$56+43-'🌱 Configuração'!$C$56,7)=0,INT(('🌱 Configuração'!$B$56+43-'🌱 Configuração'!$C$56)/7)+1=5),"🔵 Calda Bordalesa (0.5%) — foliar",IF(AND('🌱 Configuração'!$B$56+43&gt;='🌱 Configuração'!$C$56,'🌱 Configuração'!$B$56+43&lt;'🌱 Configuração'!$D$56,MOD('🌱 Configuração'!$B$56+43-'🌱 Configuração'!$C$56,7)=0,INT(('🌱 Configuração'!$B$56+43-'🌱 Configuração'!$C$56)/7)+1=6),"🌿 Nim (2 mL/L) — ⚠️ ÚLTIMA foliar",IF(AND('🌱 Configuração'!$B$56+43&gt;='🌱 Configuração'!$C$56,'🌱 Configuração'!$B$56+43&lt;'🌱 Configuração'!$D$56,MOD('🌱 Configuração'!$B$56+43-'🌱 Configuração'!$C$56,7)=0,INT(('🌱 Configuração'!$B$56+43-'🌱 Configuração'!$C$56)/7)+1=7),"🦠 Trichoderma — solo",IF(AND('🌱 Configuração'!$B$56+43&gt;='🌱 Configuração'!$C$56,'🌱 Configuração'!$B$56+43&lt;'🌱 Configuração'!$D$56,MOD('🌱 Configuração'!$B$56+43-'🌱 Configuração'!$C$56,7)=0,INT(('🌱 Configuração'!$B$56+43-'🌱 Configuração'!$C$56)/7)+1=8),"🍄 Beauveria — solo","")))))))),IF('🌱 Configuração'!$B$56+43&lt;'🌱 Configuração'!$E$56,IF(AND('🌱 Configuração'!$B$56+43&gt;='🌱 Configuração'!$D$56,'🌱 Configuração'!$B$56+43&lt;'🌱 Configuração'!$E$56,MOD('🌱 Configuração'!$B$56+43-'🌱 Configuração'!$D$56,7)=0,INT(('🌱 Configuração'!$B$56+43-'🌱 Configuração'!$D$56)/7)+1=1),"🍄 Beauveria bassiana — SOLO apenas",IF(AND('🌱 Configuração'!$B$56+43&gt;='🌱 Configuração'!$D$56,'🌱 Configuração'!$B$56+43&lt;'🌱 Configuração'!$E$56,MOD('🌱 Configuração'!$B$56+43-'🌱 Configuração'!$D$56,7)=0,INT(('🌱 Configuração'!$B$56+43-'🌱 Configuração'!$D$56)/7)+1=2),"🦠 Trichoderma (3 g/L) — solo",IF(AND('🌱 Configuração'!$B$56+43&gt;='🌱 Configuração'!$D$56,'🌱 Configuração'!$B$56+43&lt;'🌱 Configuração'!$E$56,MOD('🌱 Configuração'!$B$56+43-'🌱 Configuração'!$D$56,7)=0,INT(('🌱 Configuração'!$B$56+43-'🌱 Configuração'!$D$56)/7)+1=3),"🍄 Beauveria bassiana — solo | ⚠️ Umid &lt;45%",IF(AND('🌱 Configuração'!$B$56+43&gt;='🌱 Configuração'!$D$56,'🌱 Configuração'!$B$56+43&lt;'🌱 Configuração'!$E$56,MOD('🌱 Configuração'!$B$56+43-'🌱 Configuração'!$D$56,7)=0,INT(('🌱 Configuração'!$B$56+43-'🌱 Configuração'!$D$56)/7)+1=4),"🦠 Trichoderma — solo | Inspecionar buds",IF(AND('🌱 Configuração'!$B$56+43&gt;='🌱 Configuração'!$D$56,'🌱 Configuração'!$B$56+43&lt;'🌱 Configuração'!$E$56,MOD('🌱 Configuração'!$B$56+43-'🌱 Configuração'!$D$56,7)=0,INT(('🌱 Configuração'!$B$56+43-'🌱 Configuração'!$D$56)/7)+1=5),"🍄 Beauveria + inspeção visual buds",IF(AND('🌱 Configuração'!$B$56+43&gt;='🌱 Configuração'!$D$56,'🌱 Configuração'!$B$56+43&lt;'🌱 Configuração'!$E$56,MOD('🌱 Configuração'!$B$56+43-'🌱 Configuração'!$D$56,7)=0,INT(('🌱 Configuração'!$B$56+43-'🌱 Configuração'!$D$56)/7)+1=6),"🦠 Trichoderma + ⚠️ Verificar mofo","")))))),IF(AND('🌱 Configuração'!$B$56+43&gt;='🌱 Configuração'!$E$56,MOD('🌱 Configuração'!$B$56+43-'🌱 Configuração'!$E$56,7)=0),"🔬 Inspeção final — analisar tricomas","")))))</f>
        <v/>
      </c>
      <c r="I49" s="33"/>
    </row>
    <row r="50" spans="1:9" ht="19.5" customHeight="1">
      <c r="A50" s="1"/>
      <c r="B50" s="35">
        <f>IF(45&lt;='🌱 Configuração'!$F$55,45,"")</f>
        <v>45</v>
      </c>
      <c r="C50" s="13">
        <f>IF(45&lt;='🌱 Configuração'!$F$55,'🌱 Configuração'!$B$56+44,"")</f>
        <v>44</v>
      </c>
      <c r="D50" s="36" t="str">
        <f>IF(45&gt;'🌱 Configuração'!$F$55,"",IF('🌱 Configuração'!$B$56+44&lt;'🌱 Configuração'!$C$56,"🌱 Clone",IF('🌱 Configuração'!$B$56+44&lt;'🌱 Configuração'!$D$56,"🌿 Vegetativo",IF('🌱 Configuração'!$B$56+44&lt;'🌱 Configuração'!$E$56,"🌸 Floração","🚿 Flush"))))</f>
        <v>🌿 Vegetativo</v>
      </c>
      <c r="E50" s="15" t="str">
        <f>IF(45&gt;'🌱 Configuração'!$F$55,"",IF('🌱 Configuração'!$B$56+44&lt;'🌱 Configuração'!$C$56,"Clone S"&amp;INT((45-1)/7)+1,IF('🌱 Configuração'!$B$56+44&lt;'🌱 Configuração'!$D$56,"Vega S"&amp;INT(('🌱 Configuração'!$B$56+44-'🌱 Configuração'!$C$56)/7)+1,IF('🌱 Configuração'!$B$56+44&lt;'🌱 Configuração'!$E$56,"Flora S"&amp;INT(('🌱 Configuração'!$B$56+44-'🌱 Configuração'!$D$56)/7)+1,"Flush S"&amp;INT(('🌱 Configuração'!$B$56+44-'🌱 Configuração'!$E$56)/7)+1))))</f>
        <v>Vega S5</v>
      </c>
      <c r="F50" s="14" t="str">
        <f>IF(45&gt;'🌱 Configuração'!$F$55,"",IF('🌱 Configuração'!$B$56+44='🌱 Configuração'!$C$56,"🌿 INÍCIO VEGA — luz 18h/dia",IF('🌱 Configuração'!$B$56+44='🌱 Configuração'!$D$56,"🌸 INÍCIO FLORAÇÃO — mudar 12/12 🔴",IF('🌱 Configuração'!$B$56+44='🌱 Configuração'!$E$56,"🚿 INÍCIO FLUSH — parar nutrição",IF('🌱 Configuração'!$B$56+44='🌱 Configuração'!$F$56-1,"🔬 Véspera da colheita — analisar tricomas",IF('🌱 Configuração'!$B$56+44='🌱 Configuração'!$F$56,"✂️ COLHEITA — Parabéns! 🎉",""))))))</f>
        <v/>
      </c>
      <c r="G50" s="37" t="s">
        <v>428</v>
      </c>
      <c r="H50" s="38" t="str">
        <f>IF(45&gt;'🌱 Configuração'!$F$55,"",IF('🌱 Configuração'!$B$56+44&lt;'🌱 Configuração'!$C$56,IF(45=1,"🌿 Nim (2 mL/L) — foliar leve",IF(45=8,"🍄 Beauveria bassiana — foliar + solo","")),IF('🌱 Configuração'!$B$56+44&lt;'🌱 Configuração'!$D$56,IF(AND('🌱 Configuração'!$B$56+44&gt;='🌱 Configuração'!$C$56,'🌱 Configuração'!$B$56+44&lt;'🌱 Configuração'!$D$56,MOD('🌱 Configuração'!$B$56+44-'🌱 Configuração'!$C$56,7)=0,INT(('🌱 Configuração'!$B$56+44-'🌱 Configuração'!$C$56)/7)+1=1),"🌿 Nim (2 mL/L) — foliar preventivo",IF(AND('🌱 Configuração'!$B$56+44&gt;='🌱 Configuração'!$C$56,'🌱 Configuração'!$B$56+44&lt;'🌱 Configuração'!$D$56,MOD('🌱 Configuração'!$B$56+44-'🌱 Configuração'!$C$56,7)=0,INT(('🌱 Configuração'!$B$56+44-'🌱 Configuração'!$C$56)/7)+1=2),"🍄 Beauveria bassiana — foliar + solo",IF(AND('🌱 Configuração'!$B$56+44&gt;='🌱 Configuração'!$C$56,'🌱 Configuração'!$B$56+44&lt;'🌱 Configuração'!$D$56,MOD('🌱 Configuração'!$B$56+44-'🌱 Configuração'!$C$56,7)=0,INT(('🌱 Configuração'!$B$56+44-'🌱 Configuração'!$C$56)/7)+1=3),"🟡 Calda Sulfocálcica (1%) — foliar",IF(AND('🌱 Configuração'!$B$56+44&gt;='🌱 Configuração'!$C$56,'🌱 Configuração'!$B$56+44&lt;'🌱 Configuração'!$D$56,MOD('🌱 Configuração'!$B$56+44-'🌱 Configuração'!$C$56,7)=0,INT(('🌱 Configuração'!$B$56+44-'🌱 Configuração'!$C$56)/7)+1=4),"🦠 Trichoderma (3 g/L) — solo",IF(AND('🌱 Configuração'!$B$56+44&gt;='🌱 Configuração'!$C$56,'🌱 Configuração'!$B$56+44&lt;'🌱 Configuração'!$D$56,MOD('🌱 Configuração'!$B$56+44-'🌱 Configuração'!$C$56,7)=0,INT(('🌱 Configuração'!$B$56+44-'🌱 Configuração'!$C$56)/7)+1=5),"🔵 Calda Bordalesa (0.5%) — foliar",IF(AND('🌱 Configuração'!$B$56+44&gt;='🌱 Configuração'!$C$56,'🌱 Configuração'!$B$56+44&lt;'🌱 Configuração'!$D$56,MOD('🌱 Configuração'!$B$56+44-'🌱 Configuração'!$C$56,7)=0,INT(('🌱 Configuração'!$B$56+44-'🌱 Configuração'!$C$56)/7)+1=6),"🌿 Nim (2 mL/L) — ⚠️ ÚLTIMA foliar",IF(AND('🌱 Configuração'!$B$56+44&gt;='🌱 Configuração'!$C$56,'🌱 Configuração'!$B$56+44&lt;'🌱 Configuração'!$D$56,MOD('🌱 Configuração'!$B$56+44-'🌱 Configuração'!$C$56,7)=0,INT(('🌱 Configuração'!$B$56+44-'🌱 Configuração'!$C$56)/7)+1=7),"🦠 Trichoderma — solo",IF(AND('🌱 Configuração'!$B$56+44&gt;='🌱 Configuração'!$C$56,'🌱 Configuração'!$B$56+44&lt;'🌱 Configuração'!$D$56,MOD('🌱 Configuração'!$B$56+44-'🌱 Configuração'!$C$56,7)=0,INT(('🌱 Configuração'!$B$56+44-'🌱 Configuração'!$C$56)/7)+1=8),"🍄 Beauveria — solo","")))))))),IF('🌱 Configuração'!$B$56+44&lt;'🌱 Configuração'!$E$56,IF(AND('🌱 Configuração'!$B$56+44&gt;='🌱 Configuração'!$D$56,'🌱 Configuração'!$B$56+44&lt;'🌱 Configuração'!$E$56,MOD('🌱 Configuração'!$B$56+44-'🌱 Configuração'!$D$56,7)=0,INT(('🌱 Configuração'!$B$56+44-'🌱 Configuração'!$D$56)/7)+1=1),"🍄 Beauveria bassiana — SOLO apenas",IF(AND('🌱 Configuração'!$B$56+44&gt;='🌱 Configuração'!$D$56,'🌱 Configuração'!$B$56+44&lt;'🌱 Configuração'!$E$56,MOD('🌱 Configuração'!$B$56+44-'🌱 Configuração'!$D$56,7)=0,INT(('🌱 Configuração'!$B$56+44-'🌱 Configuração'!$D$56)/7)+1=2),"🦠 Trichoderma (3 g/L) — solo",IF(AND('🌱 Configuração'!$B$56+44&gt;='🌱 Configuração'!$D$56,'🌱 Configuração'!$B$56+44&lt;'🌱 Configuração'!$E$56,MOD('🌱 Configuração'!$B$56+44-'🌱 Configuração'!$D$56,7)=0,INT(('🌱 Configuração'!$B$56+44-'🌱 Configuração'!$D$56)/7)+1=3),"🍄 Beauveria bassiana — solo | ⚠️ Umid &lt;45%",IF(AND('🌱 Configuração'!$B$56+44&gt;='🌱 Configuração'!$D$56,'🌱 Configuração'!$B$56+44&lt;'🌱 Configuração'!$E$56,MOD('🌱 Configuração'!$B$56+44-'🌱 Configuração'!$D$56,7)=0,INT(('🌱 Configuração'!$B$56+44-'🌱 Configuração'!$D$56)/7)+1=4),"🦠 Trichoderma — solo | Inspecionar buds",IF(AND('🌱 Configuração'!$B$56+44&gt;='🌱 Configuração'!$D$56,'🌱 Configuração'!$B$56+44&lt;'🌱 Configuração'!$E$56,MOD('🌱 Configuração'!$B$56+44-'🌱 Configuração'!$D$56,7)=0,INT(('🌱 Configuração'!$B$56+44-'🌱 Configuração'!$D$56)/7)+1=5),"🍄 Beauveria + inspeção visual buds",IF(AND('🌱 Configuração'!$B$56+44&gt;='🌱 Configuração'!$D$56,'🌱 Configuração'!$B$56+44&lt;'🌱 Configuração'!$E$56,MOD('🌱 Configuração'!$B$56+44-'🌱 Configuração'!$D$56,7)=0,INT(('🌱 Configuração'!$B$56+44-'🌱 Configuração'!$D$56)/7)+1=6),"🦠 Trichoderma + ⚠️ Verificar mofo","")))))),IF(AND('🌱 Configuração'!$B$56+44&gt;='🌱 Configuração'!$E$56,MOD('🌱 Configuração'!$B$56+44-'🌱 Configuração'!$E$56,7)=0),"🔬 Inspeção final — analisar tricomas","")))))</f>
        <v/>
      </c>
      <c r="I50" s="33"/>
    </row>
    <row r="51" spans="1:9" ht="19.5" customHeight="1">
      <c r="A51" s="1"/>
      <c r="B51" s="39">
        <f>IF(46&lt;='🌱 Configuração'!$F$55,46,"")</f>
        <v>46</v>
      </c>
      <c r="C51" s="40">
        <f>IF(46&lt;='🌱 Configuração'!$F$55,'🌱 Configuração'!$B$56+45,"")</f>
        <v>45</v>
      </c>
      <c r="D51" s="41" t="str">
        <f>IF(46&gt;'🌱 Configuração'!$F$55,"",IF('🌱 Configuração'!$B$56+45&lt;'🌱 Configuração'!$C$56,"🌱 Clone",IF('🌱 Configuração'!$B$56+45&lt;'🌱 Configuração'!$D$56,"🌿 Vegetativo",IF('🌱 Configuração'!$B$56+45&lt;'🌱 Configuração'!$E$56,"🌸 Floração","🚿 Flush"))))</f>
        <v>🌿 Vegetativo</v>
      </c>
      <c r="E51" s="42" t="str">
        <f>IF(46&gt;'🌱 Configuração'!$F$55,"",IF('🌱 Configuração'!$B$56+45&lt;'🌱 Configuração'!$C$56,"Clone S"&amp;INT((46-1)/7)+1,IF('🌱 Configuração'!$B$56+45&lt;'🌱 Configuração'!$D$56,"Vega S"&amp;INT(('🌱 Configuração'!$B$56+45-'🌱 Configuração'!$C$56)/7)+1,IF('🌱 Configuração'!$B$56+45&lt;'🌱 Configuração'!$E$56,"Flora S"&amp;INT(('🌱 Configuração'!$B$56+45-'🌱 Configuração'!$D$56)/7)+1,"Flush S"&amp;INT(('🌱 Configuração'!$B$56+45-'🌱 Configuração'!$E$56)/7)+1))))</f>
        <v>Vega S5</v>
      </c>
      <c r="F51" s="43" t="str">
        <f>IF(46&gt;'🌱 Configuração'!$F$55,"",IF('🌱 Configuração'!$B$56+45='🌱 Configuração'!$C$56,"🌿 INÍCIO VEGA — luz 18h/dia",IF('🌱 Configuração'!$B$56+45='🌱 Configuração'!$D$56,"🌸 INÍCIO FLORAÇÃO — mudar 12/12 🔴",IF('🌱 Configuração'!$B$56+45='🌱 Configuração'!$E$56,"🚿 INÍCIO FLUSH — parar nutrição",IF('🌱 Configuração'!$B$56+45='🌱 Configuração'!$F$56-1,"🔬 Véspera da colheita — analisar tricomas",IF('🌱 Configuração'!$B$56+45='🌱 Configuração'!$F$56,"✂️ COLHEITA — Parabéns! 🎉",""))))))</f>
        <v/>
      </c>
      <c r="G51" s="44" t="s">
        <v>428</v>
      </c>
      <c r="H51" s="45" t="str">
        <f>IF(46&gt;'🌱 Configuração'!$F$55,"",IF('🌱 Configuração'!$B$56+45&lt;'🌱 Configuração'!$C$56,IF(46=1,"🌿 Nim (2 mL/L) — foliar leve",IF(46=8,"🍄 Beauveria bassiana — foliar + solo","")),IF('🌱 Configuração'!$B$56+45&lt;'🌱 Configuração'!$D$56,IF(AND('🌱 Configuração'!$B$56+45&gt;='🌱 Configuração'!$C$56,'🌱 Configuração'!$B$56+45&lt;'🌱 Configuração'!$D$56,MOD('🌱 Configuração'!$B$56+45-'🌱 Configuração'!$C$56,7)=0,INT(('🌱 Configuração'!$B$56+45-'🌱 Configuração'!$C$56)/7)+1=1),"🌿 Nim (2 mL/L) — foliar preventivo",IF(AND('🌱 Configuração'!$B$56+45&gt;='🌱 Configuração'!$C$56,'🌱 Configuração'!$B$56+45&lt;'🌱 Configuração'!$D$56,MOD('🌱 Configuração'!$B$56+45-'🌱 Configuração'!$C$56,7)=0,INT(('🌱 Configuração'!$B$56+45-'🌱 Configuração'!$C$56)/7)+1=2),"🍄 Beauveria bassiana — foliar + solo",IF(AND('🌱 Configuração'!$B$56+45&gt;='🌱 Configuração'!$C$56,'🌱 Configuração'!$B$56+45&lt;'🌱 Configuração'!$D$56,MOD('🌱 Configuração'!$B$56+45-'🌱 Configuração'!$C$56,7)=0,INT(('🌱 Configuração'!$B$56+45-'🌱 Configuração'!$C$56)/7)+1=3),"🟡 Calda Sulfocálcica (1%) — foliar",IF(AND('🌱 Configuração'!$B$56+45&gt;='🌱 Configuração'!$C$56,'🌱 Configuração'!$B$56+45&lt;'🌱 Configuração'!$D$56,MOD('🌱 Configuração'!$B$56+45-'🌱 Configuração'!$C$56,7)=0,INT(('🌱 Configuração'!$B$56+45-'🌱 Configuração'!$C$56)/7)+1=4),"🦠 Trichoderma (3 g/L) — solo",IF(AND('🌱 Configuração'!$B$56+45&gt;='🌱 Configuração'!$C$56,'🌱 Configuração'!$B$56+45&lt;'🌱 Configuração'!$D$56,MOD('🌱 Configuração'!$B$56+45-'🌱 Configuração'!$C$56,7)=0,INT(('🌱 Configuração'!$B$56+45-'🌱 Configuração'!$C$56)/7)+1=5),"🔵 Calda Bordalesa (0.5%) — foliar",IF(AND('🌱 Configuração'!$B$56+45&gt;='🌱 Configuração'!$C$56,'🌱 Configuração'!$B$56+45&lt;'🌱 Configuração'!$D$56,MOD('🌱 Configuração'!$B$56+45-'🌱 Configuração'!$C$56,7)=0,INT(('🌱 Configuração'!$B$56+45-'🌱 Configuração'!$C$56)/7)+1=6),"🌿 Nim (2 mL/L) — ⚠️ ÚLTIMA foliar",IF(AND('🌱 Configuração'!$B$56+45&gt;='🌱 Configuração'!$C$56,'🌱 Configuração'!$B$56+45&lt;'🌱 Configuração'!$D$56,MOD('🌱 Configuração'!$B$56+45-'🌱 Configuração'!$C$56,7)=0,INT(('🌱 Configuração'!$B$56+45-'🌱 Configuração'!$C$56)/7)+1=7),"🦠 Trichoderma — solo",IF(AND('🌱 Configuração'!$B$56+45&gt;='🌱 Configuração'!$C$56,'🌱 Configuração'!$B$56+45&lt;'🌱 Configuração'!$D$56,MOD('🌱 Configuração'!$B$56+45-'🌱 Configuração'!$C$56,7)=0,INT(('🌱 Configuração'!$B$56+45-'🌱 Configuração'!$C$56)/7)+1=8),"🍄 Beauveria — solo","")))))))),IF('🌱 Configuração'!$B$56+45&lt;'🌱 Configuração'!$E$56,IF(AND('🌱 Configuração'!$B$56+45&gt;='🌱 Configuração'!$D$56,'🌱 Configuração'!$B$56+45&lt;'🌱 Configuração'!$E$56,MOD('🌱 Configuração'!$B$56+45-'🌱 Configuração'!$D$56,7)=0,INT(('🌱 Configuração'!$B$56+45-'🌱 Configuração'!$D$56)/7)+1=1),"🍄 Beauveria bassiana — SOLO apenas",IF(AND('🌱 Configuração'!$B$56+45&gt;='🌱 Configuração'!$D$56,'🌱 Configuração'!$B$56+45&lt;'🌱 Configuração'!$E$56,MOD('🌱 Configuração'!$B$56+45-'🌱 Configuração'!$D$56,7)=0,INT(('🌱 Configuração'!$B$56+45-'🌱 Configuração'!$D$56)/7)+1=2),"🦠 Trichoderma (3 g/L) — solo",IF(AND('🌱 Configuração'!$B$56+45&gt;='🌱 Configuração'!$D$56,'🌱 Configuração'!$B$56+45&lt;'🌱 Configuração'!$E$56,MOD('🌱 Configuração'!$B$56+45-'🌱 Configuração'!$D$56,7)=0,INT(('🌱 Configuração'!$B$56+45-'🌱 Configuração'!$D$56)/7)+1=3),"🍄 Beauveria bassiana — solo | ⚠️ Umid &lt;45%",IF(AND('🌱 Configuração'!$B$56+45&gt;='🌱 Configuração'!$D$56,'🌱 Configuração'!$B$56+45&lt;'🌱 Configuração'!$E$56,MOD('🌱 Configuração'!$B$56+45-'🌱 Configuração'!$D$56,7)=0,INT(('🌱 Configuração'!$B$56+45-'🌱 Configuração'!$D$56)/7)+1=4),"🦠 Trichoderma — solo | Inspecionar buds",IF(AND('🌱 Configuração'!$B$56+45&gt;='🌱 Configuração'!$D$56,'🌱 Configuração'!$B$56+45&lt;'🌱 Configuração'!$E$56,MOD('🌱 Configuração'!$B$56+45-'🌱 Configuração'!$D$56,7)=0,INT(('🌱 Configuração'!$B$56+45-'🌱 Configuração'!$D$56)/7)+1=5),"🍄 Beauveria + inspeção visual buds",IF(AND('🌱 Configuração'!$B$56+45&gt;='🌱 Configuração'!$D$56,'🌱 Configuração'!$B$56+45&lt;'🌱 Configuração'!$E$56,MOD('🌱 Configuração'!$B$56+45-'🌱 Configuração'!$D$56,7)=0,INT(('🌱 Configuração'!$B$56+45-'🌱 Configuração'!$D$56)/7)+1=6),"🦠 Trichoderma + ⚠️ Verificar mofo","")))))),IF(AND('🌱 Configuração'!$B$56+45&gt;='🌱 Configuração'!$E$56,MOD('🌱 Configuração'!$B$56+45-'🌱 Configuração'!$E$56,7)=0),"🔬 Inspeção final — analisar tricomas","")))))</f>
        <v/>
      </c>
      <c r="I51" s="33"/>
    </row>
    <row r="52" spans="1:9" ht="19.5" customHeight="1">
      <c r="A52" s="1"/>
      <c r="B52" s="35">
        <f>IF(47&lt;='🌱 Configuração'!$F$55,47,"")</f>
        <v>47</v>
      </c>
      <c r="C52" s="13">
        <f>IF(47&lt;='🌱 Configuração'!$F$55,'🌱 Configuração'!$B$56+46,"")</f>
        <v>46</v>
      </c>
      <c r="D52" s="36" t="str">
        <f>IF(47&gt;'🌱 Configuração'!$F$55,"",IF('🌱 Configuração'!$B$56+46&lt;'🌱 Configuração'!$C$56,"🌱 Clone",IF('🌱 Configuração'!$B$56+46&lt;'🌱 Configuração'!$D$56,"🌿 Vegetativo",IF('🌱 Configuração'!$B$56+46&lt;'🌱 Configuração'!$E$56,"🌸 Floração","🚿 Flush"))))</f>
        <v>🌿 Vegetativo</v>
      </c>
      <c r="E52" s="15" t="str">
        <f>IF(47&gt;'🌱 Configuração'!$F$55,"",IF('🌱 Configuração'!$B$56+46&lt;'🌱 Configuração'!$C$56,"Clone S"&amp;INT((47-1)/7)+1,IF('🌱 Configuração'!$B$56+46&lt;'🌱 Configuração'!$D$56,"Vega S"&amp;INT(('🌱 Configuração'!$B$56+46-'🌱 Configuração'!$C$56)/7)+1,IF('🌱 Configuração'!$B$56+46&lt;'🌱 Configuração'!$E$56,"Flora S"&amp;INT(('🌱 Configuração'!$B$56+46-'🌱 Configuração'!$D$56)/7)+1,"Flush S"&amp;INT(('🌱 Configuração'!$B$56+46-'🌱 Configuração'!$E$56)/7)+1))))</f>
        <v>Vega S5</v>
      </c>
      <c r="F52" s="14" t="str">
        <f>IF(47&gt;'🌱 Configuração'!$F$55,"",IF('🌱 Configuração'!$B$56+46='🌱 Configuração'!$C$56,"🌿 INÍCIO VEGA — luz 18h/dia",IF('🌱 Configuração'!$B$56+46='🌱 Configuração'!$D$56,"🌸 INÍCIO FLORAÇÃO — mudar 12/12 🔴",IF('🌱 Configuração'!$B$56+46='🌱 Configuração'!$E$56,"🚿 INÍCIO FLUSH — parar nutrição",IF('🌱 Configuração'!$B$56+46='🌱 Configuração'!$F$56-1,"🔬 Véspera da colheita — analisar tricomas",IF('🌱 Configuração'!$B$56+46='🌱 Configuração'!$F$56,"✂️ COLHEITA — Parabéns! 🎉",""))))))</f>
        <v/>
      </c>
      <c r="G52" s="37" t="s">
        <v>428</v>
      </c>
      <c r="H52" s="38" t="str">
        <f>IF(47&gt;'🌱 Configuração'!$F$55,"",IF('🌱 Configuração'!$B$56+46&lt;'🌱 Configuração'!$C$56,IF(47=1,"🌿 Nim (2 mL/L) — foliar leve",IF(47=8,"🍄 Beauveria bassiana — foliar + solo","")),IF('🌱 Configuração'!$B$56+46&lt;'🌱 Configuração'!$D$56,IF(AND('🌱 Configuração'!$B$56+46&gt;='🌱 Configuração'!$C$56,'🌱 Configuração'!$B$56+46&lt;'🌱 Configuração'!$D$56,MOD('🌱 Configuração'!$B$56+46-'🌱 Configuração'!$C$56,7)=0,INT(('🌱 Configuração'!$B$56+46-'🌱 Configuração'!$C$56)/7)+1=1),"🌿 Nim (2 mL/L) — foliar preventivo",IF(AND('🌱 Configuração'!$B$56+46&gt;='🌱 Configuração'!$C$56,'🌱 Configuração'!$B$56+46&lt;'🌱 Configuração'!$D$56,MOD('🌱 Configuração'!$B$56+46-'🌱 Configuração'!$C$56,7)=0,INT(('🌱 Configuração'!$B$56+46-'🌱 Configuração'!$C$56)/7)+1=2),"🍄 Beauveria bassiana — foliar + solo",IF(AND('🌱 Configuração'!$B$56+46&gt;='🌱 Configuração'!$C$56,'🌱 Configuração'!$B$56+46&lt;'🌱 Configuração'!$D$56,MOD('🌱 Configuração'!$B$56+46-'🌱 Configuração'!$C$56,7)=0,INT(('🌱 Configuração'!$B$56+46-'🌱 Configuração'!$C$56)/7)+1=3),"🟡 Calda Sulfocálcica (1%) — foliar",IF(AND('🌱 Configuração'!$B$56+46&gt;='🌱 Configuração'!$C$56,'🌱 Configuração'!$B$56+46&lt;'🌱 Configuração'!$D$56,MOD('🌱 Configuração'!$B$56+46-'🌱 Configuração'!$C$56,7)=0,INT(('🌱 Configuração'!$B$56+46-'🌱 Configuração'!$C$56)/7)+1=4),"🦠 Trichoderma (3 g/L) — solo",IF(AND('🌱 Configuração'!$B$56+46&gt;='🌱 Configuração'!$C$56,'🌱 Configuração'!$B$56+46&lt;'🌱 Configuração'!$D$56,MOD('🌱 Configuração'!$B$56+46-'🌱 Configuração'!$C$56,7)=0,INT(('🌱 Configuração'!$B$56+46-'🌱 Configuração'!$C$56)/7)+1=5),"🔵 Calda Bordalesa (0.5%) — foliar",IF(AND('🌱 Configuração'!$B$56+46&gt;='🌱 Configuração'!$C$56,'🌱 Configuração'!$B$56+46&lt;'🌱 Configuração'!$D$56,MOD('🌱 Configuração'!$B$56+46-'🌱 Configuração'!$C$56,7)=0,INT(('🌱 Configuração'!$B$56+46-'🌱 Configuração'!$C$56)/7)+1=6),"🌿 Nim (2 mL/L) — ⚠️ ÚLTIMA foliar",IF(AND('🌱 Configuração'!$B$56+46&gt;='🌱 Configuração'!$C$56,'🌱 Configuração'!$B$56+46&lt;'🌱 Configuração'!$D$56,MOD('🌱 Configuração'!$B$56+46-'🌱 Configuração'!$C$56,7)=0,INT(('🌱 Configuração'!$B$56+46-'🌱 Configuração'!$C$56)/7)+1=7),"🦠 Trichoderma — solo",IF(AND('🌱 Configuração'!$B$56+46&gt;='🌱 Configuração'!$C$56,'🌱 Configuração'!$B$56+46&lt;'🌱 Configuração'!$D$56,MOD('🌱 Configuração'!$B$56+46-'🌱 Configuração'!$C$56,7)=0,INT(('🌱 Configuração'!$B$56+46-'🌱 Configuração'!$C$56)/7)+1=8),"🍄 Beauveria — solo","")))))))),IF('🌱 Configuração'!$B$56+46&lt;'🌱 Configuração'!$E$56,IF(AND('🌱 Configuração'!$B$56+46&gt;='🌱 Configuração'!$D$56,'🌱 Configuração'!$B$56+46&lt;'🌱 Configuração'!$E$56,MOD('🌱 Configuração'!$B$56+46-'🌱 Configuração'!$D$56,7)=0,INT(('🌱 Configuração'!$B$56+46-'🌱 Configuração'!$D$56)/7)+1=1),"🍄 Beauveria bassiana — SOLO apenas",IF(AND('🌱 Configuração'!$B$56+46&gt;='🌱 Configuração'!$D$56,'🌱 Configuração'!$B$56+46&lt;'🌱 Configuração'!$E$56,MOD('🌱 Configuração'!$B$56+46-'🌱 Configuração'!$D$56,7)=0,INT(('🌱 Configuração'!$B$56+46-'🌱 Configuração'!$D$56)/7)+1=2),"🦠 Trichoderma (3 g/L) — solo",IF(AND('🌱 Configuração'!$B$56+46&gt;='🌱 Configuração'!$D$56,'🌱 Configuração'!$B$56+46&lt;'🌱 Configuração'!$E$56,MOD('🌱 Configuração'!$B$56+46-'🌱 Configuração'!$D$56,7)=0,INT(('🌱 Configuração'!$B$56+46-'🌱 Configuração'!$D$56)/7)+1=3),"🍄 Beauveria bassiana — solo | ⚠️ Umid &lt;45%",IF(AND('🌱 Configuração'!$B$56+46&gt;='🌱 Configuração'!$D$56,'🌱 Configuração'!$B$56+46&lt;'🌱 Configuração'!$E$56,MOD('🌱 Configuração'!$B$56+46-'🌱 Configuração'!$D$56,7)=0,INT(('🌱 Configuração'!$B$56+46-'🌱 Configuração'!$D$56)/7)+1=4),"🦠 Trichoderma — solo | Inspecionar buds",IF(AND('🌱 Configuração'!$B$56+46&gt;='🌱 Configuração'!$D$56,'🌱 Configuração'!$B$56+46&lt;'🌱 Configuração'!$E$56,MOD('🌱 Configuração'!$B$56+46-'🌱 Configuração'!$D$56,7)=0,INT(('🌱 Configuração'!$B$56+46-'🌱 Configuração'!$D$56)/7)+1=5),"🍄 Beauveria + inspeção visual buds",IF(AND('🌱 Configuração'!$B$56+46&gt;='🌱 Configuração'!$D$56,'🌱 Configuração'!$B$56+46&lt;'🌱 Configuração'!$E$56,MOD('🌱 Configuração'!$B$56+46-'🌱 Configuração'!$D$56,7)=0,INT(('🌱 Configuração'!$B$56+46-'🌱 Configuração'!$D$56)/7)+1=6),"🦠 Trichoderma + ⚠️ Verificar mofo","")))))),IF(AND('🌱 Configuração'!$B$56+46&gt;='🌱 Configuração'!$E$56,MOD('🌱 Configuração'!$B$56+46-'🌱 Configuração'!$E$56,7)=0),"🔬 Inspeção final — analisar tricomas","")))))</f>
        <v/>
      </c>
      <c r="I52" s="33"/>
    </row>
    <row r="53" spans="1:9" ht="19.5" customHeight="1">
      <c r="A53" s="1"/>
      <c r="B53" s="39">
        <f>IF(48&lt;='🌱 Configuração'!$F$55,48,"")</f>
        <v>48</v>
      </c>
      <c r="C53" s="40">
        <f>IF(48&lt;='🌱 Configuração'!$F$55,'🌱 Configuração'!$B$56+47,"")</f>
        <v>47</v>
      </c>
      <c r="D53" s="41" t="str">
        <f>IF(48&gt;'🌱 Configuração'!$F$55,"",IF('🌱 Configuração'!$B$56+47&lt;'🌱 Configuração'!$C$56,"🌱 Clone",IF('🌱 Configuração'!$B$56+47&lt;'🌱 Configuração'!$D$56,"🌿 Vegetativo",IF('🌱 Configuração'!$B$56+47&lt;'🌱 Configuração'!$E$56,"🌸 Floração","🚿 Flush"))))</f>
        <v>🌿 Vegetativo</v>
      </c>
      <c r="E53" s="42" t="str">
        <f>IF(48&gt;'🌱 Configuração'!$F$55,"",IF('🌱 Configuração'!$B$56+47&lt;'🌱 Configuração'!$C$56,"Clone S"&amp;INT((48-1)/7)+1,IF('🌱 Configuração'!$B$56+47&lt;'🌱 Configuração'!$D$56,"Vega S"&amp;INT(('🌱 Configuração'!$B$56+47-'🌱 Configuração'!$C$56)/7)+1,IF('🌱 Configuração'!$B$56+47&lt;'🌱 Configuração'!$E$56,"Flora S"&amp;INT(('🌱 Configuração'!$B$56+47-'🌱 Configuração'!$D$56)/7)+1,"Flush S"&amp;INT(('🌱 Configuração'!$B$56+47-'🌱 Configuração'!$E$56)/7)+1))))</f>
        <v>Vega S5</v>
      </c>
      <c r="F53" s="43" t="str">
        <f>IF(48&gt;'🌱 Configuração'!$F$55,"",IF('🌱 Configuração'!$B$56+47='🌱 Configuração'!$C$56,"🌿 INÍCIO VEGA — luz 18h/dia",IF('🌱 Configuração'!$B$56+47='🌱 Configuração'!$D$56,"🌸 INÍCIO FLORAÇÃO — mudar 12/12 🔴",IF('🌱 Configuração'!$B$56+47='🌱 Configuração'!$E$56,"🚿 INÍCIO FLUSH — parar nutrição",IF('🌱 Configuração'!$B$56+47='🌱 Configuração'!$F$56-1,"🔬 Véspera da colheita — analisar tricomas",IF('🌱 Configuração'!$B$56+47='🌱 Configuração'!$F$56,"✂️ COLHEITA — Parabéns! 🎉",""))))))</f>
        <v/>
      </c>
      <c r="G53" s="44" t="s">
        <v>428</v>
      </c>
      <c r="H53" s="45" t="str">
        <f>IF(48&gt;'🌱 Configuração'!$F$55,"",IF('🌱 Configuração'!$B$56+47&lt;'🌱 Configuração'!$C$56,IF(48=1,"🌿 Nim (2 mL/L) — foliar leve",IF(48=8,"🍄 Beauveria bassiana — foliar + solo","")),IF('🌱 Configuração'!$B$56+47&lt;'🌱 Configuração'!$D$56,IF(AND('🌱 Configuração'!$B$56+47&gt;='🌱 Configuração'!$C$56,'🌱 Configuração'!$B$56+47&lt;'🌱 Configuração'!$D$56,MOD('🌱 Configuração'!$B$56+47-'🌱 Configuração'!$C$56,7)=0,INT(('🌱 Configuração'!$B$56+47-'🌱 Configuração'!$C$56)/7)+1=1),"🌿 Nim (2 mL/L) — foliar preventivo",IF(AND('🌱 Configuração'!$B$56+47&gt;='🌱 Configuração'!$C$56,'🌱 Configuração'!$B$56+47&lt;'🌱 Configuração'!$D$56,MOD('🌱 Configuração'!$B$56+47-'🌱 Configuração'!$C$56,7)=0,INT(('🌱 Configuração'!$B$56+47-'🌱 Configuração'!$C$56)/7)+1=2),"🍄 Beauveria bassiana — foliar + solo",IF(AND('🌱 Configuração'!$B$56+47&gt;='🌱 Configuração'!$C$56,'🌱 Configuração'!$B$56+47&lt;'🌱 Configuração'!$D$56,MOD('🌱 Configuração'!$B$56+47-'🌱 Configuração'!$C$56,7)=0,INT(('🌱 Configuração'!$B$56+47-'🌱 Configuração'!$C$56)/7)+1=3),"🟡 Calda Sulfocálcica (1%) — foliar",IF(AND('🌱 Configuração'!$B$56+47&gt;='🌱 Configuração'!$C$56,'🌱 Configuração'!$B$56+47&lt;'🌱 Configuração'!$D$56,MOD('🌱 Configuração'!$B$56+47-'🌱 Configuração'!$C$56,7)=0,INT(('🌱 Configuração'!$B$56+47-'🌱 Configuração'!$C$56)/7)+1=4),"🦠 Trichoderma (3 g/L) — solo",IF(AND('🌱 Configuração'!$B$56+47&gt;='🌱 Configuração'!$C$56,'🌱 Configuração'!$B$56+47&lt;'🌱 Configuração'!$D$56,MOD('🌱 Configuração'!$B$56+47-'🌱 Configuração'!$C$56,7)=0,INT(('🌱 Configuração'!$B$56+47-'🌱 Configuração'!$C$56)/7)+1=5),"🔵 Calda Bordalesa (0.5%) — foliar",IF(AND('🌱 Configuração'!$B$56+47&gt;='🌱 Configuração'!$C$56,'🌱 Configuração'!$B$56+47&lt;'🌱 Configuração'!$D$56,MOD('🌱 Configuração'!$B$56+47-'🌱 Configuração'!$C$56,7)=0,INT(('🌱 Configuração'!$B$56+47-'🌱 Configuração'!$C$56)/7)+1=6),"🌿 Nim (2 mL/L) — ⚠️ ÚLTIMA foliar",IF(AND('🌱 Configuração'!$B$56+47&gt;='🌱 Configuração'!$C$56,'🌱 Configuração'!$B$56+47&lt;'🌱 Configuração'!$D$56,MOD('🌱 Configuração'!$B$56+47-'🌱 Configuração'!$C$56,7)=0,INT(('🌱 Configuração'!$B$56+47-'🌱 Configuração'!$C$56)/7)+1=7),"🦠 Trichoderma — solo",IF(AND('🌱 Configuração'!$B$56+47&gt;='🌱 Configuração'!$C$56,'🌱 Configuração'!$B$56+47&lt;'🌱 Configuração'!$D$56,MOD('🌱 Configuração'!$B$56+47-'🌱 Configuração'!$C$56,7)=0,INT(('🌱 Configuração'!$B$56+47-'🌱 Configuração'!$C$56)/7)+1=8),"🍄 Beauveria — solo","")))))))),IF('🌱 Configuração'!$B$56+47&lt;'🌱 Configuração'!$E$56,IF(AND('🌱 Configuração'!$B$56+47&gt;='🌱 Configuração'!$D$56,'🌱 Configuração'!$B$56+47&lt;'🌱 Configuração'!$E$56,MOD('🌱 Configuração'!$B$56+47-'🌱 Configuração'!$D$56,7)=0,INT(('🌱 Configuração'!$B$56+47-'🌱 Configuração'!$D$56)/7)+1=1),"🍄 Beauveria bassiana — SOLO apenas",IF(AND('🌱 Configuração'!$B$56+47&gt;='🌱 Configuração'!$D$56,'🌱 Configuração'!$B$56+47&lt;'🌱 Configuração'!$E$56,MOD('🌱 Configuração'!$B$56+47-'🌱 Configuração'!$D$56,7)=0,INT(('🌱 Configuração'!$B$56+47-'🌱 Configuração'!$D$56)/7)+1=2),"🦠 Trichoderma (3 g/L) — solo",IF(AND('🌱 Configuração'!$B$56+47&gt;='🌱 Configuração'!$D$56,'🌱 Configuração'!$B$56+47&lt;'🌱 Configuração'!$E$56,MOD('🌱 Configuração'!$B$56+47-'🌱 Configuração'!$D$56,7)=0,INT(('🌱 Configuração'!$B$56+47-'🌱 Configuração'!$D$56)/7)+1=3),"🍄 Beauveria bassiana — solo | ⚠️ Umid &lt;45%",IF(AND('🌱 Configuração'!$B$56+47&gt;='🌱 Configuração'!$D$56,'🌱 Configuração'!$B$56+47&lt;'🌱 Configuração'!$E$56,MOD('🌱 Configuração'!$B$56+47-'🌱 Configuração'!$D$56,7)=0,INT(('🌱 Configuração'!$B$56+47-'🌱 Configuração'!$D$56)/7)+1=4),"🦠 Trichoderma — solo | Inspecionar buds",IF(AND('🌱 Configuração'!$B$56+47&gt;='🌱 Configuração'!$D$56,'🌱 Configuração'!$B$56+47&lt;'🌱 Configuração'!$E$56,MOD('🌱 Configuração'!$B$56+47-'🌱 Configuração'!$D$56,7)=0,INT(('🌱 Configuração'!$B$56+47-'🌱 Configuração'!$D$56)/7)+1=5),"🍄 Beauveria + inspeção visual buds",IF(AND('🌱 Configuração'!$B$56+47&gt;='🌱 Configuração'!$D$56,'🌱 Configuração'!$B$56+47&lt;'🌱 Configuração'!$E$56,MOD('🌱 Configuração'!$B$56+47-'🌱 Configuração'!$D$56,7)=0,INT(('🌱 Configuração'!$B$56+47-'🌱 Configuração'!$D$56)/7)+1=6),"🦠 Trichoderma + ⚠️ Verificar mofo","")))))),IF(AND('🌱 Configuração'!$B$56+47&gt;='🌱 Configuração'!$E$56,MOD('🌱 Configuração'!$B$56+47-'🌱 Configuração'!$E$56,7)=0),"🔬 Inspeção final — analisar tricomas","")))))</f>
        <v/>
      </c>
      <c r="I53" s="33"/>
    </row>
    <row r="54" spans="1:9" ht="19.5" customHeight="1">
      <c r="A54" s="1"/>
      <c r="B54" s="35">
        <f>IF(49&lt;='🌱 Configuração'!$F$55,49,"")</f>
        <v>49</v>
      </c>
      <c r="C54" s="13">
        <f>IF(49&lt;='🌱 Configuração'!$F$55,'🌱 Configuração'!$B$56+48,"")</f>
        <v>48</v>
      </c>
      <c r="D54" s="36" t="str">
        <f>IF(49&gt;'🌱 Configuração'!$F$55,"",IF('🌱 Configuração'!$B$56+48&lt;'🌱 Configuração'!$C$56,"🌱 Clone",IF('🌱 Configuração'!$B$56+48&lt;'🌱 Configuração'!$D$56,"🌿 Vegetativo",IF('🌱 Configuração'!$B$56+48&lt;'🌱 Configuração'!$E$56,"🌸 Floração","🚿 Flush"))))</f>
        <v>🌿 Vegetativo</v>
      </c>
      <c r="E54" s="15" t="str">
        <f>IF(49&gt;'🌱 Configuração'!$F$55,"",IF('🌱 Configuração'!$B$56+48&lt;'🌱 Configuração'!$C$56,"Clone S"&amp;INT((49-1)/7)+1,IF('🌱 Configuração'!$B$56+48&lt;'🌱 Configuração'!$D$56,"Vega S"&amp;INT(('🌱 Configuração'!$B$56+48-'🌱 Configuração'!$C$56)/7)+1,IF('🌱 Configuração'!$B$56+48&lt;'🌱 Configuração'!$E$56,"Flora S"&amp;INT(('🌱 Configuração'!$B$56+48-'🌱 Configuração'!$D$56)/7)+1,"Flush S"&amp;INT(('🌱 Configuração'!$B$56+48-'🌱 Configuração'!$E$56)/7)+1))))</f>
        <v>Vega S5</v>
      </c>
      <c r="F54" s="14" t="str">
        <f>IF(49&gt;'🌱 Configuração'!$F$55,"",IF('🌱 Configuração'!$B$56+48='🌱 Configuração'!$C$56,"🌿 INÍCIO VEGA — luz 18h/dia",IF('🌱 Configuração'!$B$56+48='🌱 Configuração'!$D$56,"🌸 INÍCIO FLORAÇÃO — mudar 12/12 🔴",IF('🌱 Configuração'!$B$56+48='🌱 Configuração'!$E$56,"🚿 INÍCIO FLUSH — parar nutrição",IF('🌱 Configuração'!$B$56+48='🌱 Configuração'!$F$56-1,"🔬 Véspera da colheita — analisar tricomas",IF('🌱 Configuração'!$B$56+48='🌱 Configuração'!$F$56,"✂️ COLHEITA — Parabéns! 🎉",""))))))</f>
        <v/>
      </c>
      <c r="G54" s="37" t="s">
        <v>428</v>
      </c>
      <c r="H54" s="38" t="str">
        <f>IF(49&gt;'🌱 Configuração'!$F$55,"",IF('🌱 Configuração'!$B$56+48&lt;'🌱 Configuração'!$C$56,IF(49=1,"🌿 Nim (2 mL/L) — foliar leve",IF(49=8,"🍄 Beauveria bassiana — foliar + solo","")),IF('🌱 Configuração'!$B$56+48&lt;'🌱 Configuração'!$D$56,IF(AND('🌱 Configuração'!$B$56+48&gt;='🌱 Configuração'!$C$56,'🌱 Configuração'!$B$56+48&lt;'🌱 Configuração'!$D$56,MOD('🌱 Configuração'!$B$56+48-'🌱 Configuração'!$C$56,7)=0,INT(('🌱 Configuração'!$B$56+48-'🌱 Configuração'!$C$56)/7)+1=1),"🌿 Nim (2 mL/L) — foliar preventivo",IF(AND('🌱 Configuração'!$B$56+48&gt;='🌱 Configuração'!$C$56,'🌱 Configuração'!$B$56+48&lt;'🌱 Configuração'!$D$56,MOD('🌱 Configuração'!$B$56+48-'🌱 Configuração'!$C$56,7)=0,INT(('🌱 Configuração'!$B$56+48-'🌱 Configuração'!$C$56)/7)+1=2),"🍄 Beauveria bassiana — foliar + solo",IF(AND('🌱 Configuração'!$B$56+48&gt;='🌱 Configuração'!$C$56,'🌱 Configuração'!$B$56+48&lt;'🌱 Configuração'!$D$56,MOD('🌱 Configuração'!$B$56+48-'🌱 Configuração'!$C$56,7)=0,INT(('🌱 Configuração'!$B$56+48-'🌱 Configuração'!$C$56)/7)+1=3),"🟡 Calda Sulfocálcica (1%) — foliar",IF(AND('🌱 Configuração'!$B$56+48&gt;='🌱 Configuração'!$C$56,'🌱 Configuração'!$B$56+48&lt;'🌱 Configuração'!$D$56,MOD('🌱 Configuração'!$B$56+48-'🌱 Configuração'!$C$56,7)=0,INT(('🌱 Configuração'!$B$56+48-'🌱 Configuração'!$C$56)/7)+1=4),"🦠 Trichoderma (3 g/L) — solo",IF(AND('🌱 Configuração'!$B$56+48&gt;='🌱 Configuração'!$C$56,'🌱 Configuração'!$B$56+48&lt;'🌱 Configuração'!$D$56,MOD('🌱 Configuração'!$B$56+48-'🌱 Configuração'!$C$56,7)=0,INT(('🌱 Configuração'!$B$56+48-'🌱 Configuração'!$C$56)/7)+1=5),"🔵 Calda Bordalesa (0.5%) — foliar",IF(AND('🌱 Configuração'!$B$56+48&gt;='🌱 Configuração'!$C$56,'🌱 Configuração'!$B$56+48&lt;'🌱 Configuração'!$D$56,MOD('🌱 Configuração'!$B$56+48-'🌱 Configuração'!$C$56,7)=0,INT(('🌱 Configuração'!$B$56+48-'🌱 Configuração'!$C$56)/7)+1=6),"🌿 Nim (2 mL/L) — ⚠️ ÚLTIMA foliar",IF(AND('🌱 Configuração'!$B$56+48&gt;='🌱 Configuração'!$C$56,'🌱 Configuração'!$B$56+48&lt;'🌱 Configuração'!$D$56,MOD('🌱 Configuração'!$B$56+48-'🌱 Configuração'!$C$56,7)=0,INT(('🌱 Configuração'!$B$56+48-'🌱 Configuração'!$C$56)/7)+1=7),"🦠 Trichoderma — solo",IF(AND('🌱 Configuração'!$B$56+48&gt;='🌱 Configuração'!$C$56,'🌱 Configuração'!$B$56+48&lt;'🌱 Configuração'!$D$56,MOD('🌱 Configuração'!$B$56+48-'🌱 Configuração'!$C$56,7)=0,INT(('🌱 Configuração'!$B$56+48-'🌱 Configuração'!$C$56)/7)+1=8),"🍄 Beauveria — solo","")))))))),IF('🌱 Configuração'!$B$56+48&lt;'🌱 Configuração'!$E$56,IF(AND('🌱 Configuração'!$B$56+48&gt;='🌱 Configuração'!$D$56,'🌱 Configuração'!$B$56+48&lt;'🌱 Configuração'!$E$56,MOD('🌱 Configuração'!$B$56+48-'🌱 Configuração'!$D$56,7)=0,INT(('🌱 Configuração'!$B$56+48-'🌱 Configuração'!$D$56)/7)+1=1),"🍄 Beauveria bassiana — SOLO apenas",IF(AND('🌱 Configuração'!$B$56+48&gt;='🌱 Configuração'!$D$56,'🌱 Configuração'!$B$56+48&lt;'🌱 Configuração'!$E$56,MOD('🌱 Configuração'!$B$56+48-'🌱 Configuração'!$D$56,7)=0,INT(('🌱 Configuração'!$B$56+48-'🌱 Configuração'!$D$56)/7)+1=2),"🦠 Trichoderma (3 g/L) — solo",IF(AND('🌱 Configuração'!$B$56+48&gt;='🌱 Configuração'!$D$56,'🌱 Configuração'!$B$56+48&lt;'🌱 Configuração'!$E$56,MOD('🌱 Configuração'!$B$56+48-'🌱 Configuração'!$D$56,7)=0,INT(('🌱 Configuração'!$B$56+48-'🌱 Configuração'!$D$56)/7)+1=3),"🍄 Beauveria bassiana — solo | ⚠️ Umid &lt;45%",IF(AND('🌱 Configuração'!$B$56+48&gt;='🌱 Configuração'!$D$56,'🌱 Configuração'!$B$56+48&lt;'🌱 Configuração'!$E$56,MOD('🌱 Configuração'!$B$56+48-'🌱 Configuração'!$D$56,7)=0,INT(('🌱 Configuração'!$B$56+48-'🌱 Configuração'!$D$56)/7)+1=4),"🦠 Trichoderma — solo | Inspecionar buds",IF(AND('🌱 Configuração'!$B$56+48&gt;='🌱 Configuração'!$D$56,'🌱 Configuração'!$B$56+48&lt;'🌱 Configuração'!$E$56,MOD('🌱 Configuração'!$B$56+48-'🌱 Configuração'!$D$56,7)=0,INT(('🌱 Configuração'!$B$56+48-'🌱 Configuração'!$D$56)/7)+1=5),"🍄 Beauveria + inspeção visual buds",IF(AND('🌱 Configuração'!$B$56+48&gt;='🌱 Configuração'!$D$56,'🌱 Configuração'!$B$56+48&lt;'🌱 Configuração'!$E$56,MOD('🌱 Configuração'!$B$56+48-'🌱 Configuração'!$D$56,7)=0,INT(('🌱 Configuração'!$B$56+48-'🌱 Configuração'!$D$56)/7)+1=6),"🦠 Trichoderma + ⚠️ Verificar mofo","")))))),IF(AND('🌱 Configuração'!$B$56+48&gt;='🌱 Configuração'!$E$56,MOD('🌱 Configuração'!$B$56+48-'🌱 Configuração'!$E$56,7)=0),"🔬 Inspeção final — analisar tricomas","")))))</f>
        <v/>
      </c>
      <c r="I54" s="33"/>
    </row>
    <row r="55" spans="1:9" ht="19.5" customHeight="1">
      <c r="A55" s="1"/>
      <c r="B55" s="39">
        <f>IF(50&lt;='🌱 Configuração'!$F$55,50,"")</f>
        <v>50</v>
      </c>
      <c r="C55" s="40">
        <f>IF(50&lt;='🌱 Configuração'!$F$55,'🌱 Configuração'!$B$56+49,"")</f>
        <v>49</v>
      </c>
      <c r="D55" s="41" t="str">
        <f>IF(50&gt;'🌱 Configuração'!$F$55,"",IF('🌱 Configuração'!$B$56+49&lt;'🌱 Configuração'!$C$56,"🌱 Clone",IF('🌱 Configuração'!$B$56+49&lt;'🌱 Configuração'!$D$56,"🌿 Vegetativo",IF('🌱 Configuração'!$B$56+49&lt;'🌱 Configuração'!$E$56,"🌸 Floração","🚿 Flush"))))</f>
        <v>🌿 Vegetativo</v>
      </c>
      <c r="E55" s="42" t="str">
        <f>IF(50&gt;'🌱 Configuração'!$F$55,"",IF('🌱 Configuração'!$B$56+49&lt;'🌱 Configuração'!$C$56,"Clone S"&amp;INT((50-1)/7)+1,IF('🌱 Configuração'!$B$56+49&lt;'🌱 Configuração'!$D$56,"Vega S"&amp;INT(('🌱 Configuração'!$B$56+49-'🌱 Configuração'!$C$56)/7)+1,IF('🌱 Configuração'!$B$56+49&lt;'🌱 Configuração'!$E$56,"Flora S"&amp;INT(('🌱 Configuração'!$B$56+49-'🌱 Configuração'!$D$56)/7)+1,"Flush S"&amp;INT(('🌱 Configuração'!$B$56+49-'🌱 Configuração'!$E$56)/7)+1))))</f>
        <v>Vega S6</v>
      </c>
      <c r="F55" s="43" t="str">
        <f>IF(50&gt;'🌱 Configuração'!$F$55,"",IF('🌱 Configuração'!$B$56+49='🌱 Configuração'!$C$56,"🌿 INÍCIO VEGA — luz 18h/dia",IF('🌱 Configuração'!$B$56+49='🌱 Configuração'!$D$56,"🌸 INÍCIO FLORAÇÃO — mudar 12/12 🔴",IF('🌱 Configuração'!$B$56+49='🌱 Configuração'!$E$56,"🚿 INÍCIO FLUSH — parar nutrição",IF('🌱 Configuração'!$B$56+49='🌱 Configuração'!$F$56-1,"🔬 Véspera da colheita — analisar tricomas",IF('🌱 Configuração'!$B$56+49='🌱 Configuração'!$F$56,"✂️ COLHEITA — Parabéns! 🎉",""))))))</f>
        <v/>
      </c>
      <c r="G55" s="44" t="s">
        <v>435</v>
      </c>
      <c r="H55" s="45" t="str">
        <f>IF(50&gt;'🌱 Configuração'!$F$55,"",IF('🌱 Configuração'!$B$56+49&lt;'🌱 Configuração'!$C$56,IF(50=1,"🌿 Nim (2 mL/L) — foliar leve",IF(50=8,"🍄 Beauveria bassiana — foliar + solo","")),IF('🌱 Configuração'!$B$56+49&lt;'🌱 Configuração'!$D$56,IF(AND('🌱 Configuração'!$B$56+49&gt;='🌱 Configuração'!$C$56,'🌱 Configuração'!$B$56+49&lt;'🌱 Configuração'!$D$56,MOD('🌱 Configuração'!$B$56+49-'🌱 Configuração'!$C$56,7)=0,INT(('🌱 Configuração'!$B$56+49-'🌱 Configuração'!$C$56)/7)+1=1),"🌿 Nim (2 mL/L) — foliar preventivo",IF(AND('🌱 Configuração'!$B$56+49&gt;='🌱 Configuração'!$C$56,'🌱 Configuração'!$B$56+49&lt;'🌱 Configuração'!$D$56,MOD('🌱 Configuração'!$B$56+49-'🌱 Configuração'!$C$56,7)=0,INT(('🌱 Configuração'!$B$56+49-'🌱 Configuração'!$C$56)/7)+1=2),"🍄 Beauveria bassiana — foliar + solo",IF(AND('🌱 Configuração'!$B$56+49&gt;='🌱 Configuração'!$C$56,'🌱 Configuração'!$B$56+49&lt;'🌱 Configuração'!$D$56,MOD('🌱 Configuração'!$B$56+49-'🌱 Configuração'!$C$56,7)=0,INT(('🌱 Configuração'!$B$56+49-'🌱 Configuração'!$C$56)/7)+1=3),"🟡 Calda Sulfocálcica (1%) — foliar",IF(AND('🌱 Configuração'!$B$56+49&gt;='🌱 Configuração'!$C$56,'🌱 Configuração'!$B$56+49&lt;'🌱 Configuração'!$D$56,MOD('🌱 Configuração'!$B$56+49-'🌱 Configuração'!$C$56,7)=0,INT(('🌱 Configuração'!$B$56+49-'🌱 Configuração'!$C$56)/7)+1=4),"🦠 Trichoderma (3 g/L) — solo",IF(AND('🌱 Configuração'!$B$56+49&gt;='🌱 Configuração'!$C$56,'🌱 Configuração'!$B$56+49&lt;'🌱 Configuração'!$D$56,MOD('🌱 Configuração'!$B$56+49-'🌱 Configuração'!$C$56,7)=0,INT(('🌱 Configuração'!$B$56+49-'🌱 Configuração'!$C$56)/7)+1=5),"🔵 Calda Bordalesa (0.5%) — foliar",IF(AND('🌱 Configuração'!$B$56+49&gt;='🌱 Configuração'!$C$56,'🌱 Configuração'!$B$56+49&lt;'🌱 Configuração'!$D$56,MOD('🌱 Configuração'!$B$56+49-'🌱 Configuração'!$C$56,7)=0,INT(('🌱 Configuração'!$B$56+49-'🌱 Configuração'!$C$56)/7)+1=6),"🌿 Nim (2 mL/L) — ⚠️ ÚLTIMA foliar",IF(AND('🌱 Configuração'!$B$56+49&gt;='🌱 Configuração'!$C$56,'🌱 Configuração'!$B$56+49&lt;'🌱 Configuração'!$D$56,MOD('🌱 Configuração'!$B$56+49-'🌱 Configuração'!$C$56,7)=0,INT(('🌱 Configuração'!$B$56+49-'🌱 Configuração'!$C$56)/7)+1=7),"🦠 Trichoderma — solo",IF(AND('🌱 Configuração'!$B$56+49&gt;='🌱 Configuração'!$C$56,'🌱 Configuração'!$B$56+49&lt;'🌱 Configuração'!$D$56,MOD('🌱 Configuração'!$B$56+49-'🌱 Configuração'!$C$56,7)=0,INT(('🌱 Configuração'!$B$56+49-'🌱 Configuração'!$C$56)/7)+1=8),"🍄 Beauveria — solo","")))))))),IF('🌱 Configuração'!$B$56+49&lt;'🌱 Configuração'!$E$56,IF(AND('🌱 Configuração'!$B$56+49&gt;='🌱 Configuração'!$D$56,'🌱 Configuração'!$B$56+49&lt;'🌱 Configuração'!$E$56,MOD('🌱 Configuração'!$B$56+49-'🌱 Configuração'!$D$56,7)=0,INT(('🌱 Configuração'!$B$56+49-'🌱 Configuração'!$D$56)/7)+1=1),"🍄 Beauveria bassiana — SOLO apenas",IF(AND('🌱 Configuração'!$B$56+49&gt;='🌱 Configuração'!$D$56,'🌱 Configuração'!$B$56+49&lt;'🌱 Configuração'!$E$56,MOD('🌱 Configuração'!$B$56+49-'🌱 Configuração'!$D$56,7)=0,INT(('🌱 Configuração'!$B$56+49-'🌱 Configuração'!$D$56)/7)+1=2),"🦠 Trichoderma (3 g/L) — solo",IF(AND('🌱 Configuração'!$B$56+49&gt;='🌱 Configuração'!$D$56,'🌱 Configuração'!$B$56+49&lt;'🌱 Configuração'!$E$56,MOD('🌱 Configuração'!$B$56+49-'🌱 Configuração'!$D$56,7)=0,INT(('🌱 Configuração'!$B$56+49-'🌱 Configuração'!$D$56)/7)+1=3),"🍄 Beauveria bassiana — solo | ⚠️ Umid &lt;45%",IF(AND('🌱 Configuração'!$B$56+49&gt;='🌱 Configuração'!$D$56,'🌱 Configuração'!$B$56+49&lt;'🌱 Configuração'!$E$56,MOD('🌱 Configuração'!$B$56+49-'🌱 Configuração'!$D$56,7)=0,INT(('🌱 Configuração'!$B$56+49-'🌱 Configuração'!$D$56)/7)+1=4),"🦠 Trichoderma — solo | Inspecionar buds",IF(AND('🌱 Configuração'!$B$56+49&gt;='🌱 Configuração'!$D$56,'🌱 Configuração'!$B$56+49&lt;'🌱 Configuração'!$E$56,MOD('🌱 Configuração'!$B$56+49-'🌱 Configuração'!$D$56,7)=0,INT(('🌱 Configuração'!$B$56+49-'🌱 Configuração'!$D$56)/7)+1=5),"🍄 Beauveria + inspeção visual buds",IF(AND('🌱 Configuração'!$B$56+49&gt;='🌱 Configuração'!$D$56,'🌱 Configuração'!$B$56+49&lt;'🌱 Configuração'!$E$56,MOD('🌱 Configuração'!$B$56+49-'🌱 Configuração'!$D$56,7)=0,INT(('🌱 Configuração'!$B$56+49-'🌱 Configuração'!$D$56)/7)+1=6),"🦠 Trichoderma + ⚠️ Verificar mofo","")))))),IF(AND('🌱 Configuração'!$B$56+49&gt;='🌱 Configuração'!$E$56,MOD('🌱 Configuração'!$B$56+49-'🌱 Configuração'!$E$56,7)=0),"🔬 Inspeção final — analisar tricomas","")))))</f>
        <v>🌿 Nim (2 mL/L) — ⚠️ ÚLTIMA foliar</v>
      </c>
      <c r="I55" s="33"/>
    </row>
    <row r="56" spans="1:9" ht="19.5" customHeight="1">
      <c r="A56" s="1"/>
      <c r="B56" s="35">
        <f>IF(51&lt;='🌱 Configuração'!$F$55,51,"")</f>
        <v>51</v>
      </c>
      <c r="C56" s="13">
        <f>IF(51&lt;='🌱 Configuração'!$F$55,'🌱 Configuração'!$B$56+50,"")</f>
        <v>50</v>
      </c>
      <c r="D56" s="36" t="str">
        <f>IF(51&gt;'🌱 Configuração'!$F$55,"",IF('🌱 Configuração'!$B$56+50&lt;'🌱 Configuração'!$C$56,"🌱 Clone",IF('🌱 Configuração'!$B$56+50&lt;'🌱 Configuração'!$D$56,"🌿 Vegetativo",IF('🌱 Configuração'!$B$56+50&lt;'🌱 Configuração'!$E$56,"🌸 Floração","🚿 Flush"))))</f>
        <v>🌿 Vegetativo</v>
      </c>
      <c r="E56" s="15" t="str">
        <f>IF(51&gt;'🌱 Configuração'!$F$55,"",IF('🌱 Configuração'!$B$56+50&lt;'🌱 Configuração'!$C$56,"Clone S"&amp;INT((51-1)/7)+1,IF('🌱 Configuração'!$B$56+50&lt;'🌱 Configuração'!$D$56,"Vega S"&amp;INT(('🌱 Configuração'!$B$56+50-'🌱 Configuração'!$C$56)/7)+1,IF('🌱 Configuração'!$B$56+50&lt;'🌱 Configuração'!$E$56,"Flora S"&amp;INT(('🌱 Configuração'!$B$56+50-'🌱 Configuração'!$D$56)/7)+1,"Flush S"&amp;INT(('🌱 Configuração'!$B$56+50-'🌱 Configuração'!$E$56)/7)+1))))</f>
        <v>Vega S6</v>
      </c>
      <c r="F56" s="14" t="str">
        <f>IF(51&gt;'🌱 Configuração'!$F$55,"",IF('🌱 Configuração'!$B$56+50='🌱 Configuração'!$C$56,"🌿 INÍCIO VEGA — luz 18h/dia",IF('🌱 Configuração'!$B$56+50='🌱 Configuração'!$D$56,"🌸 INÍCIO FLORAÇÃO — mudar 12/12 🔴",IF('🌱 Configuração'!$B$56+50='🌱 Configuração'!$E$56,"🚿 INÍCIO FLUSH — parar nutrição",IF('🌱 Configuração'!$B$56+50='🌱 Configuração'!$F$56-1,"🔬 Véspera da colheita — analisar tricomas",IF('🌱 Configuração'!$B$56+50='🌱 Configuração'!$F$56,"✂️ COLHEITA — Parabéns! 🎉",""))))))</f>
        <v/>
      </c>
      <c r="G56" s="37" t="s">
        <v>428</v>
      </c>
      <c r="H56" s="38" t="str">
        <f>IF(51&gt;'🌱 Configuração'!$F$55,"",IF('🌱 Configuração'!$B$56+50&lt;'🌱 Configuração'!$C$56,IF(51=1,"🌿 Nim (2 mL/L) — foliar leve",IF(51=8,"🍄 Beauveria bassiana — foliar + solo","")),IF('🌱 Configuração'!$B$56+50&lt;'🌱 Configuração'!$D$56,IF(AND('🌱 Configuração'!$B$56+50&gt;='🌱 Configuração'!$C$56,'🌱 Configuração'!$B$56+50&lt;'🌱 Configuração'!$D$56,MOD('🌱 Configuração'!$B$56+50-'🌱 Configuração'!$C$56,7)=0,INT(('🌱 Configuração'!$B$56+50-'🌱 Configuração'!$C$56)/7)+1=1),"🌿 Nim (2 mL/L) — foliar preventivo",IF(AND('🌱 Configuração'!$B$56+50&gt;='🌱 Configuração'!$C$56,'🌱 Configuração'!$B$56+50&lt;'🌱 Configuração'!$D$56,MOD('🌱 Configuração'!$B$56+50-'🌱 Configuração'!$C$56,7)=0,INT(('🌱 Configuração'!$B$56+50-'🌱 Configuração'!$C$56)/7)+1=2),"🍄 Beauveria bassiana — foliar + solo",IF(AND('🌱 Configuração'!$B$56+50&gt;='🌱 Configuração'!$C$56,'🌱 Configuração'!$B$56+50&lt;'🌱 Configuração'!$D$56,MOD('🌱 Configuração'!$B$56+50-'🌱 Configuração'!$C$56,7)=0,INT(('🌱 Configuração'!$B$56+50-'🌱 Configuração'!$C$56)/7)+1=3),"🟡 Calda Sulfocálcica (1%) — foliar",IF(AND('🌱 Configuração'!$B$56+50&gt;='🌱 Configuração'!$C$56,'🌱 Configuração'!$B$56+50&lt;'🌱 Configuração'!$D$56,MOD('🌱 Configuração'!$B$56+50-'🌱 Configuração'!$C$56,7)=0,INT(('🌱 Configuração'!$B$56+50-'🌱 Configuração'!$C$56)/7)+1=4),"🦠 Trichoderma (3 g/L) — solo",IF(AND('🌱 Configuração'!$B$56+50&gt;='🌱 Configuração'!$C$56,'🌱 Configuração'!$B$56+50&lt;'🌱 Configuração'!$D$56,MOD('🌱 Configuração'!$B$56+50-'🌱 Configuração'!$C$56,7)=0,INT(('🌱 Configuração'!$B$56+50-'🌱 Configuração'!$C$56)/7)+1=5),"🔵 Calda Bordalesa (0.5%) — foliar",IF(AND('🌱 Configuração'!$B$56+50&gt;='🌱 Configuração'!$C$56,'🌱 Configuração'!$B$56+50&lt;'🌱 Configuração'!$D$56,MOD('🌱 Configuração'!$B$56+50-'🌱 Configuração'!$C$56,7)=0,INT(('🌱 Configuração'!$B$56+50-'🌱 Configuração'!$C$56)/7)+1=6),"🌿 Nim (2 mL/L) — ⚠️ ÚLTIMA foliar",IF(AND('🌱 Configuração'!$B$56+50&gt;='🌱 Configuração'!$C$56,'🌱 Configuração'!$B$56+50&lt;'🌱 Configuração'!$D$56,MOD('🌱 Configuração'!$B$56+50-'🌱 Configuração'!$C$56,7)=0,INT(('🌱 Configuração'!$B$56+50-'🌱 Configuração'!$C$56)/7)+1=7),"🦠 Trichoderma — solo",IF(AND('🌱 Configuração'!$B$56+50&gt;='🌱 Configuração'!$C$56,'🌱 Configuração'!$B$56+50&lt;'🌱 Configuração'!$D$56,MOD('🌱 Configuração'!$B$56+50-'🌱 Configuração'!$C$56,7)=0,INT(('🌱 Configuração'!$B$56+50-'🌱 Configuração'!$C$56)/7)+1=8),"🍄 Beauveria — solo","")))))))),IF('🌱 Configuração'!$B$56+50&lt;'🌱 Configuração'!$E$56,IF(AND('🌱 Configuração'!$B$56+50&gt;='🌱 Configuração'!$D$56,'🌱 Configuração'!$B$56+50&lt;'🌱 Configuração'!$E$56,MOD('🌱 Configuração'!$B$56+50-'🌱 Configuração'!$D$56,7)=0,INT(('🌱 Configuração'!$B$56+50-'🌱 Configuração'!$D$56)/7)+1=1),"🍄 Beauveria bassiana — SOLO apenas",IF(AND('🌱 Configuração'!$B$56+50&gt;='🌱 Configuração'!$D$56,'🌱 Configuração'!$B$56+50&lt;'🌱 Configuração'!$E$56,MOD('🌱 Configuração'!$B$56+50-'🌱 Configuração'!$D$56,7)=0,INT(('🌱 Configuração'!$B$56+50-'🌱 Configuração'!$D$56)/7)+1=2),"🦠 Trichoderma (3 g/L) — solo",IF(AND('🌱 Configuração'!$B$56+50&gt;='🌱 Configuração'!$D$56,'🌱 Configuração'!$B$56+50&lt;'🌱 Configuração'!$E$56,MOD('🌱 Configuração'!$B$56+50-'🌱 Configuração'!$D$56,7)=0,INT(('🌱 Configuração'!$B$56+50-'🌱 Configuração'!$D$56)/7)+1=3),"🍄 Beauveria bassiana — solo | ⚠️ Umid &lt;45%",IF(AND('🌱 Configuração'!$B$56+50&gt;='🌱 Configuração'!$D$56,'🌱 Configuração'!$B$56+50&lt;'🌱 Configuração'!$E$56,MOD('🌱 Configuração'!$B$56+50-'🌱 Configuração'!$D$56,7)=0,INT(('🌱 Configuração'!$B$56+50-'🌱 Configuração'!$D$56)/7)+1=4),"🦠 Trichoderma — solo | Inspecionar buds",IF(AND('🌱 Configuração'!$B$56+50&gt;='🌱 Configuração'!$D$56,'🌱 Configuração'!$B$56+50&lt;'🌱 Configuração'!$E$56,MOD('🌱 Configuração'!$B$56+50-'🌱 Configuração'!$D$56,7)=0,INT(('🌱 Configuração'!$B$56+50-'🌱 Configuração'!$D$56)/7)+1=5),"🍄 Beauveria + inspeção visual buds",IF(AND('🌱 Configuração'!$B$56+50&gt;='🌱 Configuração'!$D$56,'🌱 Configuração'!$B$56+50&lt;'🌱 Configuração'!$E$56,MOD('🌱 Configuração'!$B$56+50-'🌱 Configuração'!$D$56,7)=0,INT(('🌱 Configuração'!$B$56+50-'🌱 Configuração'!$D$56)/7)+1=6),"🦠 Trichoderma + ⚠️ Verificar mofo","")))))),IF(AND('🌱 Configuração'!$B$56+50&gt;='🌱 Configuração'!$E$56,MOD('🌱 Configuração'!$B$56+50-'🌱 Configuração'!$E$56,7)=0),"🔬 Inspeção final — analisar tricomas","")))))</f>
        <v/>
      </c>
      <c r="I56" s="33"/>
    </row>
    <row r="57" spans="1:9" ht="19.5" customHeight="1">
      <c r="A57" s="1"/>
      <c r="B57" s="39">
        <f>IF(52&lt;='🌱 Configuração'!$F$55,52,"")</f>
        <v>52</v>
      </c>
      <c r="C57" s="40">
        <f>IF(52&lt;='🌱 Configuração'!$F$55,'🌱 Configuração'!$B$56+51,"")</f>
        <v>51</v>
      </c>
      <c r="D57" s="41" t="str">
        <f>IF(52&gt;'🌱 Configuração'!$F$55,"",IF('🌱 Configuração'!$B$56+51&lt;'🌱 Configuração'!$C$56,"🌱 Clone",IF('🌱 Configuração'!$B$56+51&lt;'🌱 Configuração'!$D$56,"🌿 Vegetativo",IF('🌱 Configuração'!$B$56+51&lt;'🌱 Configuração'!$E$56,"🌸 Floração","🚿 Flush"))))</f>
        <v>🌿 Vegetativo</v>
      </c>
      <c r="E57" s="42" t="str">
        <f>IF(52&gt;'🌱 Configuração'!$F$55,"",IF('🌱 Configuração'!$B$56+51&lt;'🌱 Configuração'!$C$56,"Clone S"&amp;INT((52-1)/7)+1,IF('🌱 Configuração'!$B$56+51&lt;'🌱 Configuração'!$D$56,"Vega S"&amp;INT(('🌱 Configuração'!$B$56+51-'🌱 Configuração'!$C$56)/7)+1,IF('🌱 Configuração'!$B$56+51&lt;'🌱 Configuração'!$E$56,"Flora S"&amp;INT(('🌱 Configuração'!$B$56+51-'🌱 Configuração'!$D$56)/7)+1,"Flush S"&amp;INT(('🌱 Configuração'!$B$56+51-'🌱 Configuração'!$E$56)/7)+1))))</f>
        <v>Vega S6</v>
      </c>
      <c r="F57" s="43" t="str">
        <f>IF(52&gt;'🌱 Configuração'!$F$55,"",IF('🌱 Configuração'!$B$56+51='🌱 Configuração'!$C$56,"🌿 INÍCIO VEGA — luz 18h/dia",IF('🌱 Configuração'!$B$56+51='🌱 Configuração'!$D$56,"🌸 INÍCIO FLORAÇÃO — mudar 12/12 🔴",IF('🌱 Configuração'!$B$56+51='🌱 Configuração'!$E$56,"🚿 INÍCIO FLUSH — parar nutrição",IF('🌱 Configuração'!$B$56+51='🌱 Configuração'!$F$56-1,"🔬 Véspera da colheita — analisar tricomas",IF('🌱 Configuração'!$B$56+51='🌱 Configuração'!$F$56,"✂️ COLHEITA — Parabéns! 🎉",""))))))</f>
        <v/>
      </c>
      <c r="G57" s="44" t="s">
        <v>428</v>
      </c>
      <c r="H57" s="45" t="str">
        <f>IF(52&gt;'🌱 Configuração'!$F$55,"",IF('🌱 Configuração'!$B$56+51&lt;'🌱 Configuração'!$C$56,IF(52=1,"🌿 Nim (2 mL/L) — foliar leve",IF(52=8,"🍄 Beauveria bassiana — foliar + solo","")),IF('🌱 Configuração'!$B$56+51&lt;'🌱 Configuração'!$D$56,IF(AND('🌱 Configuração'!$B$56+51&gt;='🌱 Configuração'!$C$56,'🌱 Configuração'!$B$56+51&lt;'🌱 Configuração'!$D$56,MOD('🌱 Configuração'!$B$56+51-'🌱 Configuração'!$C$56,7)=0,INT(('🌱 Configuração'!$B$56+51-'🌱 Configuração'!$C$56)/7)+1=1),"🌿 Nim (2 mL/L) — foliar preventivo",IF(AND('🌱 Configuração'!$B$56+51&gt;='🌱 Configuração'!$C$56,'🌱 Configuração'!$B$56+51&lt;'🌱 Configuração'!$D$56,MOD('🌱 Configuração'!$B$56+51-'🌱 Configuração'!$C$56,7)=0,INT(('🌱 Configuração'!$B$56+51-'🌱 Configuração'!$C$56)/7)+1=2),"🍄 Beauveria bassiana — foliar + solo",IF(AND('🌱 Configuração'!$B$56+51&gt;='🌱 Configuração'!$C$56,'🌱 Configuração'!$B$56+51&lt;'🌱 Configuração'!$D$56,MOD('🌱 Configuração'!$B$56+51-'🌱 Configuração'!$C$56,7)=0,INT(('🌱 Configuração'!$B$56+51-'🌱 Configuração'!$C$56)/7)+1=3),"🟡 Calda Sulfocálcica (1%) — foliar",IF(AND('🌱 Configuração'!$B$56+51&gt;='🌱 Configuração'!$C$56,'🌱 Configuração'!$B$56+51&lt;'🌱 Configuração'!$D$56,MOD('🌱 Configuração'!$B$56+51-'🌱 Configuração'!$C$56,7)=0,INT(('🌱 Configuração'!$B$56+51-'🌱 Configuração'!$C$56)/7)+1=4),"🦠 Trichoderma (3 g/L) — solo",IF(AND('🌱 Configuração'!$B$56+51&gt;='🌱 Configuração'!$C$56,'🌱 Configuração'!$B$56+51&lt;'🌱 Configuração'!$D$56,MOD('🌱 Configuração'!$B$56+51-'🌱 Configuração'!$C$56,7)=0,INT(('🌱 Configuração'!$B$56+51-'🌱 Configuração'!$C$56)/7)+1=5),"🔵 Calda Bordalesa (0.5%) — foliar",IF(AND('🌱 Configuração'!$B$56+51&gt;='🌱 Configuração'!$C$56,'🌱 Configuração'!$B$56+51&lt;'🌱 Configuração'!$D$56,MOD('🌱 Configuração'!$B$56+51-'🌱 Configuração'!$C$56,7)=0,INT(('🌱 Configuração'!$B$56+51-'🌱 Configuração'!$C$56)/7)+1=6),"🌿 Nim (2 mL/L) — ⚠️ ÚLTIMA foliar",IF(AND('🌱 Configuração'!$B$56+51&gt;='🌱 Configuração'!$C$56,'🌱 Configuração'!$B$56+51&lt;'🌱 Configuração'!$D$56,MOD('🌱 Configuração'!$B$56+51-'🌱 Configuração'!$C$56,7)=0,INT(('🌱 Configuração'!$B$56+51-'🌱 Configuração'!$C$56)/7)+1=7),"🦠 Trichoderma — solo",IF(AND('🌱 Configuração'!$B$56+51&gt;='🌱 Configuração'!$C$56,'🌱 Configuração'!$B$56+51&lt;'🌱 Configuração'!$D$56,MOD('🌱 Configuração'!$B$56+51-'🌱 Configuração'!$C$56,7)=0,INT(('🌱 Configuração'!$B$56+51-'🌱 Configuração'!$C$56)/7)+1=8),"🍄 Beauveria — solo","")))))))),IF('🌱 Configuração'!$B$56+51&lt;'🌱 Configuração'!$E$56,IF(AND('🌱 Configuração'!$B$56+51&gt;='🌱 Configuração'!$D$56,'🌱 Configuração'!$B$56+51&lt;'🌱 Configuração'!$E$56,MOD('🌱 Configuração'!$B$56+51-'🌱 Configuração'!$D$56,7)=0,INT(('🌱 Configuração'!$B$56+51-'🌱 Configuração'!$D$56)/7)+1=1),"🍄 Beauveria bassiana — SOLO apenas",IF(AND('🌱 Configuração'!$B$56+51&gt;='🌱 Configuração'!$D$56,'🌱 Configuração'!$B$56+51&lt;'🌱 Configuração'!$E$56,MOD('🌱 Configuração'!$B$56+51-'🌱 Configuração'!$D$56,7)=0,INT(('🌱 Configuração'!$B$56+51-'🌱 Configuração'!$D$56)/7)+1=2),"🦠 Trichoderma (3 g/L) — solo",IF(AND('🌱 Configuração'!$B$56+51&gt;='🌱 Configuração'!$D$56,'🌱 Configuração'!$B$56+51&lt;'🌱 Configuração'!$E$56,MOD('🌱 Configuração'!$B$56+51-'🌱 Configuração'!$D$56,7)=0,INT(('🌱 Configuração'!$B$56+51-'🌱 Configuração'!$D$56)/7)+1=3),"🍄 Beauveria bassiana — solo | ⚠️ Umid &lt;45%",IF(AND('🌱 Configuração'!$B$56+51&gt;='🌱 Configuração'!$D$56,'🌱 Configuração'!$B$56+51&lt;'🌱 Configuração'!$E$56,MOD('🌱 Configuração'!$B$56+51-'🌱 Configuração'!$D$56,7)=0,INT(('🌱 Configuração'!$B$56+51-'🌱 Configuração'!$D$56)/7)+1=4),"🦠 Trichoderma — solo | Inspecionar buds",IF(AND('🌱 Configuração'!$B$56+51&gt;='🌱 Configuração'!$D$56,'🌱 Configuração'!$B$56+51&lt;'🌱 Configuração'!$E$56,MOD('🌱 Configuração'!$B$56+51-'🌱 Configuração'!$D$56,7)=0,INT(('🌱 Configuração'!$B$56+51-'🌱 Configuração'!$D$56)/7)+1=5),"🍄 Beauveria + inspeção visual buds",IF(AND('🌱 Configuração'!$B$56+51&gt;='🌱 Configuração'!$D$56,'🌱 Configuração'!$B$56+51&lt;'🌱 Configuração'!$E$56,MOD('🌱 Configuração'!$B$56+51-'🌱 Configuração'!$D$56,7)=0,INT(('🌱 Configuração'!$B$56+51-'🌱 Configuração'!$D$56)/7)+1=6),"🦠 Trichoderma + ⚠️ Verificar mofo","")))))),IF(AND('🌱 Configuração'!$B$56+51&gt;='🌱 Configuração'!$E$56,MOD('🌱 Configuração'!$B$56+51-'🌱 Configuração'!$E$56,7)=0),"🔬 Inspeção final — analisar tricomas","")))))</f>
        <v/>
      </c>
      <c r="I57" s="33"/>
    </row>
    <row r="58" spans="1:9" ht="19.5" customHeight="1">
      <c r="A58" s="1"/>
      <c r="B58" s="35">
        <f>IF(53&lt;='🌱 Configuração'!$F$55,53,"")</f>
        <v>53</v>
      </c>
      <c r="C58" s="13">
        <f>IF(53&lt;='🌱 Configuração'!$F$55,'🌱 Configuração'!$B$56+52,"")</f>
        <v>52</v>
      </c>
      <c r="D58" s="36" t="str">
        <f>IF(53&gt;'🌱 Configuração'!$F$55,"",IF('🌱 Configuração'!$B$56+52&lt;'🌱 Configuração'!$C$56,"🌱 Clone",IF('🌱 Configuração'!$B$56+52&lt;'🌱 Configuração'!$D$56,"🌿 Vegetativo",IF('🌱 Configuração'!$B$56+52&lt;'🌱 Configuração'!$E$56,"🌸 Floração","🚿 Flush"))))</f>
        <v>🌿 Vegetativo</v>
      </c>
      <c r="E58" s="15" t="str">
        <f>IF(53&gt;'🌱 Configuração'!$F$55,"",IF('🌱 Configuração'!$B$56+52&lt;'🌱 Configuração'!$C$56,"Clone S"&amp;INT((53-1)/7)+1,IF('🌱 Configuração'!$B$56+52&lt;'🌱 Configuração'!$D$56,"Vega S"&amp;INT(('🌱 Configuração'!$B$56+52-'🌱 Configuração'!$C$56)/7)+1,IF('🌱 Configuração'!$B$56+52&lt;'🌱 Configuração'!$E$56,"Flora S"&amp;INT(('🌱 Configuração'!$B$56+52-'🌱 Configuração'!$D$56)/7)+1,"Flush S"&amp;INT(('🌱 Configuração'!$B$56+52-'🌱 Configuração'!$E$56)/7)+1))))</f>
        <v>Vega S6</v>
      </c>
      <c r="F58" s="14" t="str">
        <f>IF(53&gt;'🌱 Configuração'!$F$55,"",IF('🌱 Configuração'!$B$56+52='🌱 Configuração'!$C$56,"🌿 INÍCIO VEGA — luz 18h/dia",IF('🌱 Configuração'!$B$56+52='🌱 Configuração'!$D$56,"🌸 INÍCIO FLORAÇÃO — mudar 12/12 🔴",IF('🌱 Configuração'!$B$56+52='🌱 Configuração'!$E$56,"🚿 INÍCIO FLUSH — parar nutrição",IF('🌱 Configuração'!$B$56+52='🌱 Configuração'!$F$56-1,"🔬 Véspera da colheita — analisar tricomas",IF('🌱 Configuração'!$B$56+52='🌱 Configuração'!$F$56,"✂️ COLHEITA — Parabéns! 🎉",""))))))</f>
        <v/>
      </c>
      <c r="G58" s="37" t="s">
        <v>428</v>
      </c>
      <c r="H58" s="38" t="str">
        <f>IF(53&gt;'🌱 Configuração'!$F$55,"",IF('🌱 Configuração'!$B$56+52&lt;'🌱 Configuração'!$C$56,IF(53=1,"🌿 Nim (2 mL/L) — foliar leve",IF(53=8,"🍄 Beauveria bassiana — foliar + solo","")),IF('🌱 Configuração'!$B$56+52&lt;'🌱 Configuração'!$D$56,IF(AND('🌱 Configuração'!$B$56+52&gt;='🌱 Configuração'!$C$56,'🌱 Configuração'!$B$56+52&lt;'🌱 Configuração'!$D$56,MOD('🌱 Configuração'!$B$56+52-'🌱 Configuração'!$C$56,7)=0,INT(('🌱 Configuração'!$B$56+52-'🌱 Configuração'!$C$56)/7)+1=1),"🌿 Nim (2 mL/L) — foliar preventivo",IF(AND('🌱 Configuração'!$B$56+52&gt;='🌱 Configuração'!$C$56,'🌱 Configuração'!$B$56+52&lt;'🌱 Configuração'!$D$56,MOD('🌱 Configuração'!$B$56+52-'🌱 Configuração'!$C$56,7)=0,INT(('🌱 Configuração'!$B$56+52-'🌱 Configuração'!$C$56)/7)+1=2),"🍄 Beauveria bassiana — foliar + solo",IF(AND('🌱 Configuração'!$B$56+52&gt;='🌱 Configuração'!$C$56,'🌱 Configuração'!$B$56+52&lt;'🌱 Configuração'!$D$56,MOD('🌱 Configuração'!$B$56+52-'🌱 Configuração'!$C$56,7)=0,INT(('🌱 Configuração'!$B$56+52-'🌱 Configuração'!$C$56)/7)+1=3),"🟡 Calda Sulfocálcica (1%) — foliar",IF(AND('🌱 Configuração'!$B$56+52&gt;='🌱 Configuração'!$C$56,'🌱 Configuração'!$B$56+52&lt;'🌱 Configuração'!$D$56,MOD('🌱 Configuração'!$B$56+52-'🌱 Configuração'!$C$56,7)=0,INT(('🌱 Configuração'!$B$56+52-'🌱 Configuração'!$C$56)/7)+1=4),"🦠 Trichoderma (3 g/L) — solo",IF(AND('🌱 Configuração'!$B$56+52&gt;='🌱 Configuração'!$C$56,'🌱 Configuração'!$B$56+52&lt;'🌱 Configuração'!$D$56,MOD('🌱 Configuração'!$B$56+52-'🌱 Configuração'!$C$56,7)=0,INT(('🌱 Configuração'!$B$56+52-'🌱 Configuração'!$C$56)/7)+1=5),"🔵 Calda Bordalesa (0.5%) — foliar",IF(AND('🌱 Configuração'!$B$56+52&gt;='🌱 Configuração'!$C$56,'🌱 Configuração'!$B$56+52&lt;'🌱 Configuração'!$D$56,MOD('🌱 Configuração'!$B$56+52-'🌱 Configuração'!$C$56,7)=0,INT(('🌱 Configuração'!$B$56+52-'🌱 Configuração'!$C$56)/7)+1=6),"🌿 Nim (2 mL/L) — ⚠️ ÚLTIMA foliar",IF(AND('🌱 Configuração'!$B$56+52&gt;='🌱 Configuração'!$C$56,'🌱 Configuração'!$B$56+52&lt;'🌱 Configuração'!$D$56,MOD('🌱 Configuração'!$B$56+52-'🌱 Configuração'!$C$56,7)=0,INT(('🌱 Configuração'!$B$56+52-'🌱 Configuração'!$C$56)/7)+1=7),"🦠 Trichoderma — solo",IF(AND('🌱 Configuração'!$B$56+52&gt;='🌱 Configuração'!$C$56,'🌱 Configuração'!$B$56+52&lt;'🌱 Configuração'!$D$56,MOD('🌱 Configuração'!$B$56+52-'🌱 Configuração'!$C$56,7)=0,INT(('🌱 Configuração'!$B$56+52-'🌱 Configuração'!$C$56)/7)+1=8),"🍄 Beauveria — solo","")))))))),IF('🌱 Configuração'!$B$56+52&lt;'🌱 Configuração'!$E$56,IF(AND('🌱 Configuração'!$B$56+52&gt;='🌱 Configuração'!$D$56,'🌱 Configuração'!$B$56+52&lt;'🌱 Configuração'!$E$56,MOD('🌱 Configuração'!$B$56+52-'🌱 Configuração'!$D$56,7)=0,INT(('🌱 Configuração'!$B$56+52-'🌱 Configuração'!$D$56)/7)+1=1),"🍄 Beauveria bassiana — SOLO apenas",IF(AND('🌱 Configuração'!$B$56+52&gt;='🌱 Configuração'!$D$56,'🌱 Configuração'!$B$56+52&lt;'🌱 Configuração'!$E$56,MOD('🌱 Configuração'!$B$56+52-'🌱 Configuração'!$D$56,7)=0,INT(('🌱 Configuração'!$B$56+52-'🌱 Configuração'!$D$56)/7)+1=2),"🦠 Trichoderma (3 g/L) — solo",IF(AND('🌱 Configuração'!$B$56+52&gt;='🌱 Configuração'!$D$56,'🌱 Configuração'!$B$56+52&lt;'🌱 Configuração'!$E$56,MOD('🌱 Configuração'!$B$56+52-'🌱 Configuração'!$D$56,7)=0,INT(('🌱 Configuração'!$B$56+52-'🌱 Configuração'!$D$56)/7)+1=3),"🍄 Beauveria bassiana — solo | ⚠️ Umid &lt;45%",IF(AND('🌱 Configuração'!$B$56+52&gt;='🌱 Configuração'!$D$56,'🌱 Configuração'!$B$56+52&lt;'🌱 Configuração'!$E$56,MOD('🌱 Configuração'!$B$56+52-'🌱 Configuração'!$D$56,7)=0,INT(('🌱 Configuração'!$B$56+52-'🌱 Configuração'!$D$56)/7)+1=4),"🦠 Trichoderma — solo | Inspecionar buds",IF(AND('🌱 Configuração'!$B$56+52&gt;='🌱 Configuração'!$D$56,'🌱 Configuração'!$B$56+52&lt;'🌱 Configuração'!$E$56,MOD('🌱 Configuração'!$B$56+52-'🌱 Configuração'!$D$56,7)=0,INT(('🌱 Configuração'!$B$56+52-'🌱 Configuração'!$D$56)/7)+1=5),"🍄 Beauveria + inspeção visual buds",IF(AND('🌱 Configuração'!$B$56+52&gt;='🌱 Configuração'!$D$56,'🌱 Configuração'!$B$56+52&lt;'🌱 Configuração'!$E$56,MOD('🌱 Configuração'!$B$56+52-'🌱 Configuração'!$D$56,7)=0,INT(('🌱 Configuração'!$B$56+52-'🌱 Configuração'!$D$56)/7)+1=6),"🦠 Trichoderma + ⚠️ Verificar mofo","")))))),IF(AND('🌱 Configuração'!$B$56+52&gt;='🌱 Configuração'!$E$56,MOD('🌱 Configuração'!$B$56+52-'🌱 Configuração'!$E$56,7)=0),"🔬 Inspeção final — analisar tricomas","")))))</f>
        <v/>
      </c>
      <c r="I58" s="33"/>
    </row>
    <row r="59" spans="1:9" ht="19.5" customHeight="1">
      <c r="A59" s="1"/>
      <c r="B59" s="39">
        <f>IF(54&lt;='🌱 Configuração'!$F$55,54,"")</f>
        <v>54</v>
      </c>
      <c r="C59" s="40">
        <f>IF(54&lt;='🌱 Configuração'!$F$55,'🌱 Configuração'!$B$56+53,"")</f>
        <v>53</v>
      </c>
      <c r="D59" s="41" t="str">
        <f>IF(54&gt;'🌱 Configuração'!$F$55,"",IF('🌱 Configuração'!$B$56+53&lt;'🌱 Configuração'!$C$56,"🌱 Clone",IF('🌱 Configuração'!$B$56+53&lt;'🌱 Configuração'!$D$56,"🌿 Vegetativo",IF('🌱 Configuração'!$B$56+53&lt;'🌱 Configuração'!$E$56,"🌸 Floração","🚿 Flush"))))</f>
        <v>🌿 Vegetativo</v>
      </c>
      <c r="E59" s="42" t="str">
        <f>IF(54&gt;'🌱 Configuração'!$F$55,"",IF('🌱 Configuração'!$B$56+53&lt;'🌱 Configuração'!$C$56,"Clone S"&amp;INT((54-1)/7)+1,IF('🌱 Configuração'!$B$56+53&lt;'🌱 Configuração'!$D$56,"Vega S"&amp;INT(('🌱 Configuração'!$B$56+53-'🌱 Configuração'!$C$56)/7)+1,IF('🌱 Configuração'!$B$56+53&lt;'🌱 Configuração'!$E$56,"Flora S"&amp;INT(('🌱 Configuração'!$B$56+53-'🌱 Configuração'!$D$56)/7)+1,"Flush S"&amp;INT(('🌱 Configuração'!$B$56+53-'🌱 Configuração'!$E$56)/7)+1))))</f>
        <v>Vega S6</v>
      </c>
      <c r="F59" s="43" t="str">
        <f>IF(54&gt;'🌱 Configuração'!$F$55,"",IF('🌱 Configuração'!$B$56+53='🌱 Configuração'!$C$56,"🌿 INÍCIO VEGA — luz 18h/dia",IF('🌱 Configuração'!$B$56+53='🌱 Configuração'!$D$56,"🌸 INÍCIO FLORAÇÃO — mudar 12/12 🔴",IF('🌱 Configuração'!$B$56+53='🌱 Configuração'!$E$56,"🚿 INÍCIO FLUSH — parar nutrição",IF('🌱 Configuração'!$B$56+53='🌱 Configuração'!$F$56-1,"🔬 Véspera da colheita — analisar tricomas",IF('🌱 Configuração'!$B$56+53='🌱 Configuração'!$F$56,"✂️ COLHEITA — Parabéns! 🎉",""))))))</f>
        <v/>
      </c>
      <c r="G59" s="44" t="s">
        <v>428</v>
      </c>
      <c r="H59" s="45" t="str">
        <f>IF(54&gt;'🌱 Configuração'!$F$55,"",IF('🌱 Configuração'!$B$56+53&lt;'🌱 Configuração'!$C$56,IF(54=1,"🌿 Nim (2 mL/L) — foliar leve",IF(54=8,"🍄 Beauveria bassiana — foliar + solo","")),IF('🌱 Configuração'!$B$56+53&lt;'🌱 Configuração'!$D$56,IF(AND('🌱 Configuração'!$B$56+53&gt;='🌱 Configuração'!$C$56,'🌱 Configuração'!$B$56+53&lt;'🌱 Configuração'!$D$56,MOD('🌱 Configuração'!$B$56+53-'🌱 Configuração'!$C$56,7)=0,INT(('🌱 Configuração'!$B$56+53-'🌱 Configuração'!$C$56)/7)+1=1),"🌿 Nim (2 mL/L) — foliar preventivo",IF(AND('🌱 Configuração'!$B$56+53&gt;='🌱 Configuração'!$C$56,'🌱 Configuração'!$B$56+53&lt;'🌱 Configuração'!$D$56,MOD('🌱 Configuração'!$B$56+53-'🌱 Configuração'!$C$56,7)=0,INT(('🌱 Configuração'!$B$56+53-'🌱 Configuração'!$C$56)/7)+1=2),"🍄 Beauveria bassiana — foliar + solo",IF(AND('🌱 Configuração'!$B$56+53&gt;='🌱 Configuração'!$C$56,'🌱 Configuração'!$B$56+53&lt;'🌱 Configuração'!$D$56,MOD('🌱 Configuração'!$B$56+53-'🌱 Configuração'!$C$56,7)=0,INT(('🌱 Configuração'!$B$56+53-'🌱 Configuração'!$C$56)/7)+1=3),"🟡 Calda Sulfocálcica (1%) — foliar",IF(AND('🌱 Configuração'!$B$56+53&gt;='🌱 Configuração'!$C$56,'🌱 Configuração'!$B$56+53&lt;'🌱 Configuração'!$D$56,MOD('🌱 Configuração'!$B$56+53-'🌱 Configuração'!$C$56,7)=0,INT(('🌱 Configuração'!$B$56+53-'🌱 Configuração'!$C$56)/7)+1=4),"🦠 Trichoderma (3 g/L) — solo",IF(AND('🌱 Configuração'!$B$56+53&gt;='🌱 Configuração'!$C$56,'🌱 Configuração'!$B$56+53&lt;'🌱 Configuração'!$D$56,MOD('🌱 Configuração'!$B$56+53-'🌱 Configuração'!$C$56,7)=0,INT(('🌱 Configuração'!$B$56+53-'🌱 Configuração'!$C$56)/7)+1=5),"🔵 Calda Bordalesa (0.5%) — foliar",IF(AND('🌱 Configuração'!$B$56+53&gt;='🌱 Configuração'!$C$56,'🌱 Configuração'!$B$56+53&lt;'🌱 Configuração'!$D$56,MOD('🌱 Configuração'!$B$56+53-'🌱 Configuração'!$C$56,7)=0,INT(('🌱 Configuração'!$B$56+53-'🌱 Configuração'!$C$56)/7)+1=6),"🌿 Nim (2 mL/L) — ⚠️ ÚLTIMA foliar",IF(AND('🌱 Configuração'!$B$56+53&gt;='🌱 Configuração'!$C$56,'🌱 Configuração'!$B$56+53&lt;'🌱 Configuração'!$D$56,MOD('🌱 Configuração'!$B$56+53-'🌱 Configuração'!$C$56,7)=0,INT(('🌱 Configuração'!$B$56+53-'🌱 Configuração'!$C$56)/7)+1=7),"🦠 Trichoderma — solo",IF(AND('🌱 Configuração'!$B$56+53&gt;='🌱 Configuração'!$C$56,'🌱 Configuração'!$B$56+53&lt;'🌱 Configuração'!$D$56,MOD('🌱 Configuração'!$B$56+53-'🌱 Configuração'!$C$56,7)=0,INT(('🌱 Configuração'!$B$56+53-'🌱 Configuração'!$C$56)/7)+1=8),"🍄 Beauveria — solo","")))))))),IF('🌱 Configuração'!$B$56+53&lt;'🌱 Configuração'!$E$56,IF(AND('🌱 Configuração'!$B$56+53&gt;='🌱 Configuração'!$D$56,'🌱 Configuração'!$B$56+53&lt;'🌱 Configuração'!$E$56,MOD('🌱 Configuração'!$B$56+53-'🌱 Configuração'!$D$56,7)=0,INT(('🌱 Configuração'!$B$56+53-'🌱 Configuração'!$D$56)/7)+1=1),"🍄 Beauveria bassiana — SOLO apenas",IF(AND('🌱 Configuração'!$B$56+53&gt;='🌱 Configuração'!$D$56,'🌱 Configuração'!$B$56+53&lt;'🌱 Configuração'!$E$56,MOD('🌱 Configuração'!$B$56+53-'🌱 Configuração'!$D$56,7)=0,INT(('🌱 Configuração'!$B$56+53-'🌱 Configuração'!$D$56)/7)+1=2),"🦠 Trichoderma (3 g/L) — solo",IF(AND('🌱 Configuração'!$B$56+53&gt;='🌱 Configuração'!$D$56,'🌱 Configuração'!$B$56+53&lt;'🌱 Configuração'!$E$56,MOD('🌱 Configuração'!$B$56+53-'🌱 Configuração'!$D$56,7)=0,INT(('🌱 Configuração'!$B$56+53-'🌱 Configuração'!$D$56)/7)+1=3),"🍄 Beauveria bassiana — solo | ⚠️ Umid &lt;45%",IF(AND('🌱 Configuração'!$B$56+53&gt;='🌱 Configuração'!$D$56,'🌱 Configuração'!$B$56+53&lt;'🌱 Configuração'!$E$56,MOD('🌱 Configuração'!$B$56+53-'🌱 Configuração'!$D$56,7)=0,INT(('🌱 Configuração'!$B$56+53-'🌱 Configuração'!$D$56)/7)+1=4),"🦠 Trichoderma — solo | Inspecionar buds",IF(AND('🌱 Configuração'!$B$56+53&gt;='🌱 Configuração'!$D$56,'🌱 Configuração'!$B$56+53&lt;'🌱 Configuração'!$E$56,MOD('🌱 Configuração'!$B$56+53-'🌱 Configuração'!$D$56,7)=0,INT(('🌱 Configuração'!$B$56+53-'🌱 Configuração'!$D$56)/7)+1=5),"🍄 Beauveria + inspeção visual buds",IF(AND('🌱 Configuração'!$B$56+53&gt;='🌱 Configuração'!$D$56,'🌱 Configuração'!$B$56+53&lt;'🌱 Configuração'!$E$56,MOD('🌱 Configuração'!$B$56+53-'🌱 Configuração'!$D$56,7)=0,INT(('🌱 Configuração'!$B$56+53-'🌱 Configuração'!$D$56)/7)+1=6),"🦠 Trichoderma + ⚠️ Verificar mofo","")))))),IF(AND('🌱 Configuração'!$B$56+53&gt;='🌱 Configuração'!$E$56,MOD('🌱 Configuração'!$B$56+53-'🌱 Configuração'!$E$56,7)=0),"🔬 Inspeção final — analisar tricomas","")))))</f>
        <v/>
      </c>
      <c r="I59" s="33"/>
    </row>
    <row r="60" spans="1:9" ht="19.5" customHeight="1">
      <c r="A60" s="1"/>
      <c r="B60" s="35">
        <f>IF(55&lt;='🌱 Configuração'!$F$55,55,"")</f>
        <v>55</v>
      </c>
      <c r="C60" s="13">
        <f>IF(55&lt;='🌱 Configuração'!$F$55,'🌱 Configuração'!$B$56+54,"")</f>
        <v>54</v>
      </c>
      <c r="D60" s="36" t="str">
        <f>IF(55&gt;'🌱 Configuração'!$F$55,"",IF('🌱 Configuração'!$B$56+54&lt;'🌱 Configuração'!$C$56,"🌱 Clone",IF('🌱 Configuração'!$B$56+54&lt;'🌱 Configuração'!$D$56,"🌿 Vegetativo",IF('🌱 Configuração'!$B$56+54&lt;'🌱 Configuração'!$E$56,"🌸 Floração","🚿 Flush"))))</f>
        <v>🌿 Vegetativo</v>
      </c>
      <c r="E60" s="15" t="str">
        <f>IF(55&gt;'🌱 Configuração'!$F$55,"",IF('🌱 Configuração'!$B$56+54&lt;'🌱 Configuração'!$C$56,"Clone S"&amp;INT((55-1)/7)+1,IF('🌱 Configuração'!$B$56+54&lt;'🌱 Configuração'!$D$56,"Vega S"&amp;INT(('🌱 Configuração'!$B$56+54-'🌱 Configuração'!$C$56)/7)+1,IF('🌱 Configuração'!$B$56+54&lt;'🌱 Configuração'!$E$56,"Flora S"&amp;INT(('🌱 Configuração'!$B$56+54-'🌱 Configuração'!$D$56)/7)+1,"Flush S"&amp;INT(('🌱 Configuração'!$B$56+54-'🌱 Configuração'!$E$56)/7)+1))))</f>
        <v>Vega S6</v>
      </c>
      <c r="F60" s="14" t="str">
        <f>IF(55&gt;'🌱 Configuração'!$F$55,"",IF('🌱 Configuração'!$B$56+54='🌱 Configuração'!$C$56,"🌿 INÍCIO VEGA — luz 18h/dia",IF('🌱 Configuração'!$B$56+54='🌱 Configuração'!$D$56,"🌸 INÍCIO FLORAÇÃO — mudar 12/12 🔴",IF('🌱 Configuração'!$B$56+54='🌱 Configuração'!$E$56,"🚿 INÍCIO FLUSH — parar nutrição",IF('🌱 Configuração'!$B$56+54='🌱 Configuração'!$F$56-1,"🔬 Véspera da colheita — analisar tricomas",IF('🌱 Configuração'!$B$56+54='🌱 Configuração'!$F$56,"✂️ COLHEITA — Parabéns! 🎉",""))))))</f>
        <v/>
      </c>
      <c r="G60" s="37" t="s">
        <v>428</v>
      </c>
      <c r="H60" s="38" t="str">
        <f>IF(55&gt;'🌱 Configuração'!$F$55,"",IF('🌱 Configuração'!$B$56+54&lt;'🌱 Configuração'!$C$56,IF(55=1,"🌿 Nim (2 mL/L) — foliar leve",IF(55=8,"🍄 Beauveria bassiana — foliar + solo","")),IF('🌱 Configuração'!$B$56+54&lt;'🌱 Configuração'!$D$56,IF(AND('🌱 Configuração'!$B$56+54&gt;='🌱 Configuração'!$C$56,'🌱 Configuração'!$B$56+54&lt;'🌱 Configuração'!$D$56,MOD('🌱 Configuração'!$B$56+54-'🌱 Configuração'!$C$56,7)=0,INT(('🌱 Configuração'!$B$56+54-'🌱 Configuração'!$C$56)/7)+1=1),"🌿 Nim (2 mL/L) — foliar preventivo",IF(AND('🌱 Configuração'!$B$56+54&gt;='🌱 Configuração'!$C$56,'🌱 Configuração'!$B$56+54&lt;'🌱 Configuração'!$D$56,MOD('🌱 Configuração'!$B$56+54-'🌱 Configuração'!$C$56,7)=0,INT(('🌱 Configuração'!$B$56+54-'🌱 Configuração'!$C$56)/7)+1=2),"🍄 Beauveria bassiana — foliar + solo",IF(AND('🌱 Configuração'!$B$56+54&gt;='🌱 Configuração'!$C$56,'🌱 Configuração'!$B$56+54&lt;'🌱 Configuração'!$D$56,MOD('🌱 Configuração'!$B$56+54-'🌱 Configuração'!$C$56,7)=0,INT(('🌱 Configuração'!$B$56+54-'🌱 Configuração'!$C$56)/7)+1=3),"🟡 Calda Sulfocálcica (1%) — foliar",IF(AND('🌱 Configuração'!$B$56+54&gt;='🌱 Configuração'!$C$56,'🌱 Configuração'!$B$56+54&lt;'🌱 Configuração'!$D$56,MOD('🌱 Configuração'!$B$56+54-'🌱 Configuração'!$C$56,7)=0,INT(('🌱 Configuração'!$B$56+54-'🌱 Configuração'!$C$56)/7)+1=4),"🦠 Trichoderma (3 g/L) — solo",IF(AND('🌱 Configuração'!$B$56+54&gt;='🌱 Configuração'!$C$56,'🌱 Configuração'!$B$56+54&lt;'🌱 Configuração'!$D$56,MOD('🌱 Configuração'!$B$56+54-'🌱 Configuração'!$C$56,7)=0,INT(('🌱 Configuração'!$B$56+54-'🌱 Configuração'!$C$56)/7)+1=5),"🔵 Calda Bordalesa (0.5%) — foliar",IF(AND('🌱 Configuração'!$B$56+54&gt;='🌱 Configuração'!$C$56,'🌱 Configuração'!$B$56+54&lt;'🌱 Configuração'!$D$56,MOD('🌱 Configuração'!$B$56+54-'🌱 Configuração'!$C$56,7)=0,INT(('🌱 Configuração'!$B$56+54-'🌱 Configuração'!$C$56)/7)+1=6),"🌿 Nim (2 mL/L) — ⚠️ ÚLTIMA foliar",IF(AND('🌱 Configuração'!$B$56+54&gt;='🌱 Configuração'!$C$56,'🌱 Configuração'!$B$56+54&lt;'🌱 Configuração'!$D$56,MOD('🌱 Configuração'!$B$56+54-'🌱 Configuração'!$C$56,7)=0,INT(('🌱 Configuração'!$B$56+54-'🌱 Configuração'!$C$56)/7)+1=7),"🦠 Trichoderma — solo",IF(AND('🌱 Configuração'!$B$56+54&gt;='🌱 Configuração'!$C$56,'🌱 Configuração'!$B$56+54&lt;'🌱 Configuração'!$D$56,MOD('🌱 Configuração'!$B$56+54-'🌱 Configuração'!$C$56,7)=0,INT(('🌱 Configuração'!$B$56+54-'🌱 Configuração'!$C$56)/7)+1=8),"🍄 Beauveria — solo","")))))))),IF('🌱 Configuração'!$B$56+54&lt;'🌱 Configuração'!$E$56,IF(AND('🌱 Configuração'!$B$56+54&gt;='🌱 Configuração'!$D$56,'🌱 Configuração'!$B$56+54&lt;'🌱 Configuração'!$E$56,MOD('🌱 Configuração'!$B$56+54-'🌱 Configuração'!$D$56,7)=0,INT(('🌱 Configuração'!$B$56+54-'🌱 Configuração'!$D$56)/7)+1=1),"🍄 Beauveria bassiana — SOLO apenas",IF(AND('🌱 Configuração'!$B$56+54&gt;='🌱 Configuração'!$D$56,'🌱 Configuração'!$B$56+54&lt;'🌱 Configuração'!$E$56,MOD('🌱 Configuração'!$B$56+54-'🌱 Configuração'!$D$56,7)=0,INT(('🌱 Configuração'!$B$56+54-'🌱 Configuração'!$D$56)/7)+1=2),"🦠 Trichoderma (3 g/L) — solo",IF(AND('🌱 Configuração'!$B$56+54&gt;='🌱 Configuração'!$D$56,'🌱 Configuração'!$B$56+54&lt;'🌱 Configuração'!$E$56,MOD('🌱 Configuração'!$B$56+54-'🌱 Configuração'!$D$56,7)=0,INT(('🌱 Configuração'!$B$56+54-'🌱 Configuração'!$D$56)/7)+1=3),"🍄 Beauveria bassiana — solo | ⚠️ Umid &lt;45%",IF(AND('🌱 Configuração'!$B$56+54&gt;='🌱 Configuração'!$D$56,'🌱 Configuração'!$B$56+54&lt;'🌱 Configuração'!$E$56,MOD('🌱 Configuração'!$B$56+54-'🌱 Configuração'!$D$56,7)=0,INT(('🌱 Configuração'!$B$56+54-'🌱 Configuração'!$D$56)/7)+1=4),"🦠 Trichoderma — solo | Inspecionar buds",IF(AND('🌱 Configuração'!$B$56+54&gt;='🌱 Configuração'!$D$56,'🌱 Configuração'!$B$56+54&lt;'🌱 Configuração'!$E$56,MOD('🌱 Configuração'!$B$56+54-'🌱 Configuração'!$D$56,7)=0,INT(('🌱 Configuração'!$B$56+54-'🌱 Configuração'!$D$56)/7)+1=5),"🍄 Beauveria + inspeção visual buds",IF(AND('🌱 Configuração'!$B$56+54&gt;='🌱 Configuração'!$D$56,'🌱 Configuração'!$B$56+54&lt;'🌱 Configuração'!$E$56,MOD('🌱 Configuração'!$B$56+54-'🌱 Configuração'!$D$56,7)=0,INT(('🌱 Configuração'!$B$56+54-'🌱 Configuração'!$D$56)/7)+1=6),"🦠 Trichoderma + ⚠️ Verificar mofo","")))))),IF(AND('🌱 Configuração'!$B$56+54&gt;='🌱 Configuração'!$E$56,MOD('🌱 Configuração'!$B$56+54-'🌱 Configuração'!$E$56,7)=0),"🔬 Inspeção final — analisar tricomas","")))))</f>
        <v/>
      </c>
      <c r="I60" s="33"/>
    </row>
    <row r="61" spans="1:9" ht="19.5" customHeight="1">
      <c r="A61" s="1"/>
      <c r="B61" s="39">
        <f>IF(56&lt;='🌱 Configuração'!$F$55,56,"")</f>
        <v>56</v>
      </c>
      <c r="C61" s="40">
        <f>IF(56&lt;='🌱 Configuração'!$F$55,'🌱 Configuração'!$B$56+55,"")</f>
        <v>55</v>
      </c>
      <c r="D61" s="41" t="str">
        <f>IF(56&gt;'🌱 Configuração'!$F$55,"",IF('🌱 Configuração'!$B$56+55&lt;'🌱 Configuração'!$C$56,"🌱 Clone",IF('🌱 Configuração'!$B$56+55&lt;'🌱 Configuração'!$D$56,"🌿 Vegetativo",IF('🌱 Configuração'!$B$56+55&lt;'🌱 Configuração'!$E$56,"🌸 Floração","🚿 Flush"))))</f>
        <v>🌿 Vegetativo</v>
      </c>
      <c r="E61" s="42" t="str">
        <f>IF(56&gt;'🌱 Configuração'!$F$55,"",IF('🌱 Configuração'!$B$56+55&lt;'🌱 Configuração'!$C$56,"Clone S"&amp;INT((56-1)/7)+1,IF('🌱 Configuração'!$B$56+55&lt;'🌱 Configuração'!$D$56,"Vega S"&amp;INT(('🌱 Configuração'!$B$56+55-'🌱 Configuração'!$C$56)/7)+1,IF('🌱 Configuração'!$B$56+55&lt;'🌱 Configuração'!$E$56,"Flora S"&amp;INT(('🌱 Configuração'!$B$56+55-'🌱 Configuração'!$D$56)/7)+1,"Flush S"&amp;INT(('🌱 Configuração'!$B$56+55-'🌱 Configuração'!$E$56)/7)+1))))</f>
        <v>Vega S6</v>
      </c>
      <c r="F61" s="43" t="str">
        <f>IF(56&gt;'🌱 Configuração'!$F$55,"",IF('🌱 Configuração'!$B$56+55='🌱 Configuração'!$C$56,"🌿 INÍCIO VEGA — luz 18h/dia",IF('🌱 Configuração'!$B$56+55='🌱 Configuração'!$D$56,"🌸 INÍCIO FLORAÇÃO — mudar 12/12 🔴",IF('🌱 Configuração'!$B$56+55='🌱 Configuração'!$E$56,"🚿 INÍCIO FLUSH — parar nutrição",IF('🌱 Configuração'!$B$56+55='🌱 Configuração'!$F$56-1,"🔬 Véspera da colheita — analisar tricomas",IF('🌱 Configuração'!$B$56+55='🌱 Configuração'!$F$56,"✂️ COLHEITA — Parabéns! 🎉",""))))))</f>
        <v/>
      </c>
      <c r="G61" s="44" t="s">
        <v>428</v>
      </c>
      <c r="H61" s="45" t="str">
        <f>IF(56&gt;'🌱 Configuração'!$F$55,"",IF('🌱 Configuração'!$B$56+55&lt;'🌱 Configuração'!$C$56,IF(56=1,"🌿 Nim (2 mL/L) — foliar leve",IF(56=8,"🍄 Beauveria bassiana — foliar + solo","")),IF('🌱 Configuração'!$B$56+55&lt;'🌱 Configuração'!$D$56,IF(AND('🌱 Configuração'!$B$56+55&gt;='🌱 Configuração'!$C$56,'🌱 Configuração'!$B$56+55&lt;'🌱 Configuração'!$D$56,MOD('🌱 Configuração'!$B$56+55-'🌱 Configuração'!$C$56,7)=0,INT(('🌱 Configuração'!$B$56+55-'🌱 Configuração'!$C$56)/7)+1=1),"🌿 Nim (2 mL/L) — foliar preventivo",IF(AND('🌱 Configuração'!$B$56+55&gt;='🌱 Configuração'!$C$56,'🌱 Configuração'!$B$56+55&lt;'🌱 Configuração'!$D$56,MOD('🌱 Configuração'!$B$56+55-'🌱 Configuração'!$C$56,7)=0,INT(('🌱 Configuração'!$B$56+55-'🌱 Configuração'!$C$56)/7)+1=2),"🍄 Beauveria bassiana — foliar + solo",IF(AND('🌱 Configuração'!$B$56+55&gt;='🌱 Configuração'!$C$56,'🌱 Configuração'!$B$56+55&lt;'🌱 Configuração'!$D$56,MOD('🌱 Configuração'!$B$56+55-'🌱 Configuração'!$C$56,7)=0,INT(('🌱 Configuração'!$B$56+55-'🌱 Configuração'!$C$56)/7)+1=3),"🟡 Calda Sulfocálcica (1%) — foliar",IF(AND('🌱 Configuração'!$B$56+55&gt;='🌱 Configuração'!$C$56,'🌱 Configuração'!$B$56+55&lt;'🌱 Configuração'!$D$56,MOD('🌱 Configuração'!$B$56+55-'🌱 Configuração'!$C$56,7)=0,INT(('🌱 Configuração'!$B$56+55-'🌱 Configuração'!$C$56)/7)+1=4),"🦠 Trichoderma (3 g/L) — solo",IF(AND('🌱 Configuração'!$B$56+55&gt;='🌱 Configuração'!$C$56,'🌱 Configuração'!$B$56+55&lt;'🌱 Configuração'!$D$56,MOD('🌱 Configuração'!$B$56+55-'🌱 Configuração'!$C$56,7)=0,INT(('🌱 Configuração'!$B$56+55-'🌱 Configuração'!$C$56)/7)+1=5),"🔵 Calda Bordalesa (0.5%) — foliar",IF(AND('🌱 Configuração'!$B$56+55&gt;='🌱 Configuração'!$C$56,'🌱 Configuração'!$B$56+55&lt;'🌱 Configuração'!$D$56,MOD('🌱 Configuração'!$B$56+55-'🌱 Configuração'!$C$56,7)=0,INT(('🌱 Configuração'!$B$56+55-'🌱 Configuração'!$C$56)/7)+1=6),"🌿 Nim (2 mL/L) — ⚠️ ÚLTIMA foliar",IF(AND('🌱 Configuração'!$B$56+55&gt;='🌱 Configuração'!$C$56,'🌱 Configuração'!$B$56+55&lt;'🌱 Configuração'!$D$56,MOD('🌱 Configuração'!$B$56+55-'🌱 Configuração'!$C$56,7)=0,INT(('🌱 Configuração'!$B$56+55-'🌱 Configuração'!$C$56)/7)+1=7),"🦠 Trichoderma — solo",IF(AND('🌱 Configuração'!$B$56+55&gt;='🌱 Configuração'!$C$56,'🌱 Configuração'!$B$56+55&lt;'🌱 Configuração'!$D$56,MOD('🌱 Configuração'!$B$56+55-'🌱 Configuração'!$C$56,7)=0,INT(('🌱 Configuração'!$B$56+55-'🌱 Configuração'!$C$56)/7)+1=8),"🍄 Beauveria — solo","")))))))),IF('🌱 Configuração'!$B$56+55&lt;'🌱 Configuração'!$E$56,IF(AND('🌱 Configuração'!$B$56+55&gt;='🌱 Configuração'!$D$56,'🌱 Configuração'!$B$56+55&lt;'🌱 Configuração'!$E$56,MOD('🌱 Configuração'!$B$56+55-'🌱 Configuração'!$D$56,7)=0,INT(('🌱 Configuração'!$B$56+55-'🌱 Configuração'!$D$56)/7)+1=1),"🍄 Beauveria bassiana — SOLO apenas",IF(AND('🌱 Configuração'!$B$56+55&gt;='🌱 Configuração'!$D$56,'🌱 Configuração'!$B$56+55&lt;'🌱 Configuração'!$E$56,MOD('🌱 Configuração'!$B$56+55-'🌱 Configuração'!$D$56,7)=0,INT(('🌱 Configuração'!$B$56+55-'🌱 Configuração'!$D$56)/7)+1=2),"🦠 Trichoderma (3 g/L) — solo",IF(AND('🌱 Configuração'!$B$56+55&gt;='🌱 Configuração'!$D$56,'🌱 Configuração'!$B$56+55&lt;'🌱 Configuração'!$E$56,MOD('🌱 Configuração'!$B$56+55-'🌱 Configuração'!$D$56,7)=0,INT(('🌱 Configuração'!$B$56+55-'🌱 Configuração'!$D$56)/7)+1=3),"🍄 Beauveria bassiana — solo | ⚠️ Umid &lt;45%",IF(AND('🌱 Configuração'!$B$56+55&gt;='🌱 Configuração'!$D$56,'🌱 Configuração'!$B$56+55&lt;'🌱 Configuração'!$E$56,MOD('🌱 Configuração'!$B$56+55-'🌱 Configuração'!$D$56,7)=0,INT(('🌱 Configuração'!$B$56+55-'🌱 Configuração'!$D$56)/7)+1=4),"🦠 Trichoderma — solo | Inspecionar buds",IF(AND('🌱 Configuração'!$B$56+55&gt;='🌱 Configuração'!$D$56,'🌱 Configuração'!$B$56+55&lt;'🌱 Configuração'!$E$56,MOD('🌱 Configuração'!$B$56+55-'🌱 Configuração'!$D$56,7)=0,INT(('🌱 Configuração'!$B$56+55-'🌱 Configuração'!$D$56)/7)+1=5),"🍄 Beauveria + inspeção visual buds",IF(AND('🌱 Configuração'!$B$56+55&gt;='🌱 Configuração'!$D$56,'🌱 Configuração'!$B$56+55&lt;'🌱 Configuração'!$E$56,MOD('🌱 Configuração'!$B$56+55-'🌱 Configuração'!$D$56,7)=0,INT(('🌱 Configuração'!$B$56+55-'🌱 Configuração'!$D$56)/7)+1=6),"🦠 Trichoderma + ⚠️ Verificar mofo","")))))),IF(AND('🌱 Configuração'!$B$56+55&gt;='🌱 Configuração'!$E$56,MOD('🌱 Configuração'!$B$56+55-'🌱 Configuração'!$E$56,7)=0),"🔬 Inspeção final — analisar tricomas","")))))</f>
        <v/>
      </c>
      <c r="I61" s="33"/>
    </row>
    <row r="62" spans="1:9" ht="19.5" customHeight="1">
      <c r="A62" s="1"/>
      <c r="B62" s="35">
        <f>IF(57&lt;='🌱 Configuração'!$F$55,57,"")</f>
        <v>57</v>
      </c>
      <c r="C62" s="13">
        <f>IF(57&lt;='🌱 Configuração'!$F$55,'🌱 Configuração'!$B$56+56,"")</f>
        <v>56</v>
      </c>
      <c r="D62" s="36" t="str">
        <f>IF(57&gt;'🌱 Configuração'!$F$55,"",IF('🌱 Configuração'!$B$56+56&lt;'🌱 Configuração'!$C$56,"🌱 Clone",IF('🌱 Configuração'!$B$56+56&lt;'🌱 Configuração'!$D$56,"🌿 Vegetativo",IF('🌱 Configuração'!$B$56+56&lt;'🌱 Configuração'!$E$56,"🌸 Floração","🚿 Flush"))))</f>
        <v>🌸 Floração</v>
      </c>
      <c r="E62" s="15" t="str">
        <f>IF(57&gt;'🌱 Configuração'!$F$55,"",IF('🌱 Configuração'!$B$56+56&lt;'🌱 Configuração'!$C$56,"Clone S"&amp;INT((57-1)/7)+1,IF('🌱 Configuração'!$B$56+56&lt;'🌱 Configuração'!$D$56,"Vega S"&amp;INT(('🌱 Configuração'!$B$56+56-'🌱 Configuração'!$C$56)/7)+1,IF('🌱 Configuração'!$B$56+56&lt;'🌱 Configuração'!$E$56,"Flora S"&amp;INT(('🌱 Configuração'!$B$56+56-'🌱 Configuração'!$D$56)/7)+1,"Flush S"&amp;INT(('🌱 Configuração'!$B$56+56-'🌱 Configuração'!$E$56)/7)+1))))</f>
        <v>Flora S1</v>
      </c>
      <c r="F62" s="14" t="str">
        <f>IF(57&gt;'🌱 Configuração'!$F$55,"",IF('🌱 Configuração'!$B$56+56='🌱 Configuração'!$C$56,"🌿 INÍCIO VEGA — luz 18h/dia",IF('🌱 Configuração'!$B$56+56='🌱 Configuração'!$D$56,"🌸 INÍCIO FLORAÇÃO — mudar 12/12 🔴",IF('🌱 Configuração'!$B$56+56='🌱 Configuração'!$E$56,"🚿 INÍCIO FLUSH — parar nutrição",IF('🌱 Configuração'!$B$56+56='🌱 Configuração'!$F$56-1,"🔬 Véspera da colheita — analisar tricomas",IF('🌱 Configuração'!$B$56+56='🌱 Configuração'!$F$56,"✂️ COLHEITA — Parabéns! 🎉",""))))))</f>
        <v>🌸 INÍCIO FLORAÇÃO — mudar 12/12 🔴</v>
      </c>
      <c r="G62" s="37" t="s">
        <v>436</v>
      </c>
      <c r="H62" s="38" t="str">
        <f>IF(57&gt;'🌱 Configuração'!$F$55,"",IF('🌱 Configuração'!$B$56+56&lt;'🌱 Configuração'!$C$56,IF(57=1,"🌿 Nim (2 mL/L) — foliar leve",IF(57=8,"🍄 Beauveria bassiana — foliar + solo","")),IF('🌱 Configuração'!$B$56+56&lt;'🌱 Configuração'!$D$56,IF(AND('🌱 Configuração'!$B$56+56&gt;='🌱 Configuração'!$C$56,'🌱 Configuração'!$B$56+56&lt;'🌱 Configuração'!$D$56,MOD('🌱 Configuração'!$B$56+56-'🌱 Configuração'!$C$56,7)=0,INT(('🌱 Configuração'!$B$56+56-'🌱 Configuração'!$C$56)/7)+1=1),"🌿 Nim (2 mL/L) — foliar preventivo",IF(AND('🌱 Configuração'!$B$56+56&gt;='🌱 Configuração'!$C$56,'🌱 Configuração'!$B$56+56&lt;'🌱 Configuração'!$D$56,MOD('🌱 Configuração'!$B$56+56-'🌱 Configuração'!$C$56,7)=0,INT(('🌱 Configuração'!$B$56+56-'🌱 Configuração'!$C$56)/7)+1=2),"🍄 Beauveria bassiana — foliar + solo",IF(AND('🌱 Configuração'!$B$56+56&gt;='🌱 Configuração'!$C$56,'🌱 Configuração'!$B$56+56&lt;'🌱 Configuração'!$D$56,MOD('🌱 Configuração'!$B$56+56-'🌱 Configuração'!$C$56,7)=0,INT(('🌱 Configuração'!$B$56+56-'🌱 Configuração'!$C$56)/7)+1=3),"🟡 Calda Sulfocálcica (1%) — foliar",IF(AND('🌱 Configuração'!$B$56+56&gt;='🌱 Configuração'!$C$56,'🌱 Configuração'!$B$56+56&lt;'🌱 Configuração'!$D$56,MOD('🌱 Configuração'!$B$56+56-'🌱 Configuração'!$C$56,7)=0,INT(('🌱 Configuração'!$B$56+56-'🌱 Configuração'!$C$56)/7)+1=4),"🦠 Trichoderma (3 g/L) — solo",IF(AND('🌱 Configuração'!$B$56+56&gt;='🌱 Configuração'!$C$56,'🌱 Configuração'!$B$56+56&lt;'🌱 Configuração'!$D$56,MOD('🌱 Configuração'!$B$56+56-'🌱 Configuração'!$C$56,7)=0,INT(('🌱 Configuração'!$B$56+56-'🌱 Configuração'!$C$56)/7)+1=5),"🔵 Calda Bordalesa (0.5%) — foliar",IF(AND('🌱 Configuração'!$B$56+56&gt;='🌱 Configuração'!$C$56,'🌱 Configuração'!$B$56+56&lt;'🌱 Configuração'!$D$56,MOD('🌱 Configuração'!$B$56+56-'🌱 Configuração'!$C$56,7)=0,INT(('🌱 Configuração'!$B$56+56-'🌱 Configuração'!$C$56)/7)+1=6),"🌿 Nim (2 mL/L) — ⚠️ ÚLTIMA foliar",IF(AND('🌱 Configuração'!$B$56+56&gt;='🌱 Configuração'!$C$56,'🌱 Configuração'!$B$56+56&lt;'🌱 Configuração'!$D$56,MOD('🌱 Configuração'!$B$56+56-'🌱 Configuração'!$C$56,7)=0,INT(('🌱 Configuração'!$B$56+56-'🌱 Configuração'!$C$56)/7)+1=7),"🦠 Trichoderma — solo",IF(AND('🌱 Configuração'!$B$56+56&gt;='🌱 Configuração'!$C$56,'🌱 Configuração'!$B$56+56&lt;'🌱 Configuração'!$D$56,MOD('🌱 Configuração'!$B$56+56-'🌱 Configuração'!$C$56,7)=0,INT(('🌱 Configuração'!$B$56+56-'🌱 Configuração'!$C$56)/7)+1=8),"🍄 Beauveria — solo","")))))))),IF('🌱 Configuração'!$B$56+56&lt;'🌱 Configuração'!$E$56,IF(AND('🌱 Configuração'!$B$56+56&gt;='🌱 Configuração'!$D$56,'🌱 Configuração'!$B$56+56&lt;'🌱 Configuração'!$E$56,MOD('🌱 Configuração'!$B$56+56-'🌱 Configuração'!$D$56,7)=0,INT(('🌱 Configuração'!$B$56+56-'🌱 Configuração'!$D$56)/7)+1=1),"🍄 Beauveria bassiana — SOLO apenas",IF(AND('🌱 Configuração'!$B$56+56&gt;='🌱 Configuração'!$D$56,'🌱 Configuração'!$B$56+56&lt;'🌱 Configuração'!$E$56,MOD('🌱 Configuração'!$B$56+56-'🌱 Configuração'!$D$56,7)=0,INT(('🌱 Configuração'!$B$56+56-'🌱 Configuração'!$D$56)/7)+1=2),"🦠 Trichoderma (3 g/L) — solo",IF(AND('🌱 Configuração'!$B$56+56&gt;='🌱 Configuração'!$D$56,'🌱 Configuração'!$B$56+56&lt;'🌱 Configuração'!$E$56,MOD('🌱 Configuração'!$B$56+56-'🌱 Configuração'!$D$56,7)=0,INT(('🌱 Configuração'!$B$56+56-'🌱 Configuração'!$D$56)/7)+1=3),"🍄 Beauveria bassiana — solo | ⚠️ Umid &lt;45%",IF(AND('🌱 Configuração'!$B$56+56&gt;='🌱 Configuração'!$D$56,'🌱 Configuração'!$B$56+56&lt;'🌱 Configuração'!$E$56,MOD('🌱 Configuração'!$B$56+56-'🌱 Configuração'!$D$56,7)=0,INT(('🌱 Configuração'!$B$56+56-'🌱 Configuração'!$D$56)/7)+1=4),"🦠 Trichoderma — solo | Inspecionar buds",IF(AND('🌱 Configuração'!$B$56+56&gt;='🌱 Configuração'!$D$56,'🌱 Configuração'!$B$56+56&lt;'🌱 Configuração'!$E$56,MOD('🌱 Configuração'!$B$56+56-'🌱 Configuração'!$D$56,7)=0,INT(('🌱 Configuração'!$B$56+56-'🌱 Configuração'!$D$56)/7)+1=5),"🍄 Beauveria + inspeção visual buds",IF(AND('🌱 Configuração'!$B$56+56&gt;='🌱 Configuração'!$D$56,'🌱 Configuração'!$B$56+56&lt;'🌱 Configuração'!$E$56,MOD('🌱 Configuração'!$B$56+56-'🌱 Configuração'!$D$56,7)=0,INT(('🌱 Configuração'!$B$56+56-'🌱 Configuração'!$D$56)/7)+1=6),"🦠 Trichoderma + ⚠️ Verificar mofo","")))))),IF(AND('🌱 Configuração'!$B$56+56&gt;='🌱 Configuração'!$E$56,MOD('🌱 Configuração'!$B$56+56-'🌱 Configuração'!$E$56,7)=0),"🔬 Inspeção final — analisar tricomas","")))))</f>
        <v>🍄 Beauveria bassiana — SOLO apenas</v>
      </c>
      <c r="I62" s="33"/>
    </row>
    <row r="63" spans="1:9" ht="19.5" customHeight="1">
      <c r="A63" s="1"/>
      <c r="B63" s="39">
        <f>IF(58&lt;='🌱 Configuração'!$F$55,58,"")</f>
        <v>58</v>
      </c>
      <c r="C63" s="40">
        <f>IF(58&lt;='🌱 Configuração'!$F$55,'🌱 Configuração'!$B$56+57,"")</f>
        <v>57</v>
      </c>
      <c r="D63" s="41" t="str">
        <f>IF(58&gt;'🌱 Configuração'!$F$55,"",IF('🌱 Configuração'!$B$56+57&lt;'🌱 Configuração'!$C$56,"🌱 Clone",IF('🌱 Configuração'!$B$56+57&lt;'🌱 Configuração'!$D$56,"🌿 Vegetativo",IF('🌱 Configuração'!$B$56+57&lt;'🌱 Configuração'!$E$56,"🌸 Floração","🚿 Flush"))))</f>
        <v>🌸 Floração</v>
      </c>
      <c r="E63" s="42" t="str">
        <f>IF(58&gt;'🌱 Configuração'!$F$55,"",IF('🌱 Configuração'!$B$56+57&lt;'🌱 Configuração'!$C$56,"Clone S"&amp;INT((58-1)/7)+1,IF('🌱 Configuração'!$B$56+57&lt;'🌱 Configuração'!$D$56,"Vega S"&amp;INT(('🌱 Configuração'!$B$56+57-'🌱 Configuração'!$C$56)/7)+1,IF('🌱 Configuração'!$B$56+57&lt;'🌱 Configuração'!$E$56,"Flora S"&amp;INT(('🌱 Configuração'!$B$56+57-'🌱 Configuração'!$D$56)/7)+1,"Flush S"&amp;INT(('🌱 Configuração'!$B$56+57-'🌱 Configuração'!$E$56)/7)+1))))</f>
        <v>Flora S1</v>
      </c>
      <c r="F63" s="43" t="str">
        <f>IF(58&gt;'🌱 Configuração'!$F$55,"",IF('🌱 Configuração'!$B$56+57='🌱 Configuração'!$C$56,"🌿 INÍCIO VEGA — luz 18h/dia",IF('🌱 Configuração'!$B$56+57='🌱 Configuração'!$D$56,"🌸 INÍCIO FLORAÇÃO — mudar 12/12 🔴",IF('🌱 Configuração'!$B$56+57='🌱 Configuração'!$E$56,"🚿 INÍCIO FLUSH — parar nutrição",IF('🌱 Configuração'!$B$56+57='🌱 Configuração'!$F$56-1,"🔬 Véspera da colheita — analisar tricomas",IF('🌱 Configuração'!$B$56+57='🌱 Configuração'!$F$56,"✂️ COLHEITA — Parabéns! 🎉",""))))))</f>
        <v/>
      </c>
      <c r="G63" s="44" t="s">
        <v>428</v>
      </c>
      <c r="H63" s="45" t="str">
        <f>IF(58&gt;'🌱 Configuração'!$F$55,"",IF('🌱 Configuração'!$B$56+57&lt;'🌱 Configuração'!$C$56,IF(58=1,"🌿 Nim (2 mL/L) — foliar leve",IF(58=8,"🍄 Beauveria bassiana — foliar + solo","")),IF('🌱 Configuração'!$B$56+57&lt;'🌱 Configuração'!$D$56,IF(AND('🌱 Configuração'!$B$56+57&gt;='🌱 Configuração'!$C$56,'🌱 Configuração'!$B$56+57&lt;'🌱 Configuração'!$D$56,MOD('🌱 Configuração'!$B$56+57-'🌱 Configuração'!$C$56,7)=0,INT(('🌱 Configuração'!$B$56+57-'🌱 Configuração'!$C$56)/7)+1=1),"🌿 Nim (2 mL/L) — foliar preventivo",IF(AND('🌱 Configuração'!$B$56+57&gt;='🌱 Configuração'!$C$56,'🌱 Configuração'!$B$56+57&lt;'🌱 Configuração'!$D$56,MOD('🌱 Configuração'!$B$56+57-'🌱 Configuração'!$C$56,7)=0,INT(('🌱 Configuração'!$B$56+57-'🌱 Configuração'!$C$56)/7)+1=2),"🍄 Beauveria bassiana — foliar + solo",IF(AND('🌱 Configuração'!$B$56+57&gt;='🌱 Configuração'!$C$56,'🌱 Configuração'!$B$56+57&lt;'🌱 Configuração'!$D$56,MOD('🌱 Configuração'!$B$56+57-'🌱 Configuração'!$C$56,7)=0,INT(('🌱 Configuração'!$B$56+57-'🌱 Configuração'!$C$56)/7)+1=3),"🟡 Calda Sulfocálcica (1%) — foliar",IF(AND('🌱 Configuração'!$B$56+57&gt;='🌱 Configuração'!$C$56,'🌱 Configuração'!$B$56+57&lt;'🌱 Configuração'!$D$56,MOD('🌱 Configuração'!$B$56+57-'🌱 Configuração'!$C$56,7)=0,INT(('🌱 Configuração'!$B$56+57-'🌱 Configuração'!$C$56)/7)+1=4),"🦠 Trichoderma (3 g/L) — solo",IF(AND('🌱 Configuração'!$B$56+57&gt;='🌱 Configuração'!$C$56,'🌱 Configuração'!$B$56+57&lt;'🌱 Configuração'!$D$56,MOD('🌱 Configuração'!$B$56+57-'🌱 Configuração'!$C$56,7)=0,INT(('🌱 Configuração'!$B$56+57-'🌱 Configuração'!$C$56)/7)+1=5),"🔵 Calda Bordalesa (0.5%) — foliar",IF(AND('🌱 Configuração'!$B$56+57&gt;='🌱 Configuração'!$C$56,'🌱 Configuração'!$B$56+57&lt;'🌱 Configuração'!$D$56,MOD('🌱 Configuração'!$B$56+57-'🌱 Configuração'!$C$56,7)=0,INT(('🌱 Configuração'!$B$56+57-'🌱 Configuração'!$C$56)/7)+1=6),"🌿 Nim (2 mL/L) — ⚠️ ÚLTIMA foliar",IF(AND('🌱 Configuração'!$B$56+57&gt;='🌱 Configuração'!$C$56,'🌱 Configuração'!$B$56+57&lt;'🌱 Configuração'!$D$56,MOD('🌱 Configuração'!$B$56+57-'🌱 Configuração'!$C$56,7)=0,INT(('🌱 Configuração'!$B$56+57-'🌱 Configuração'!$C$56)/7)+1=7),"🦠 Trichoderma — solo",IF(AND('🌱 Configuração'!$B$56+57&gt;='🌱 Configuração'!$C$56,'🌱 Configuração'!$B$56+57&lt;'🌱 Configuração'!$D$56,MOD('🌱 Configuração'!$B$56+57-'🌱 Configuração'!$C$56,7)=0,INT(('🌱 Configuração'!$B$56+57-'🌱 Configuração'!$C$56)/7)+1=8),"🍄 Beauveria — solo","")))))))),IF('🌱 Configuração'!$B$56+57&lt;'🌱 Configuração'!$E$56,IF(AND('🌱 Configuração'!$B$56+57&gt;='🌱 Configuração'!$D$56,'🌱 Configuração'!$B$56+57&lt;'🌱 Configuração'!$E$56,MOD('🌱 Configuração'!$B$56+57-'🌱 Configuração'!$D$56,7)=0,INT(('🌱 Configuração'!$B$56+57-'🌱 Configuração'!$D$56)/7)+1=1),"🍄 Beauveria bassiana — SOLO apenas",IF(AND('🌱 Configuração'!$B$56+57&gt;='🌱 Configuração'!$D$56,'🌱 Configuração'!$B$56+57&lt;'🌱 Configuração'!$E$56,MOD('🌱 Configuração'!$B$56+57-'🌱 Configuração'!$D$56,7)=0,INT(('🌱 Configuração'!$B$56+57-'🌱 Configuração'!$D$56)/7)+1=2),"🦠 Trichoderma (3 g/L) — solo",IF(AND('🌱 Configuração'!$B$56+57&gt;='🌱 Configuração'!$D$56,'🌱 Configuração'!$B$56+57&lt;'🌱 Configuração'!$E$56,MOD('🌱 Configuração'!$B$56+57-'🌱 Configuração'!$D$56,7)=0,INT(('🌱 Configuração'!$B$56+57-'🌱 Configuração'!$D$56)/7)+1=3),"🍄 Beauveria bassiana — solo | ⚠️ Umid &lt;45%",IF(AND('🌱 Configuração'!$B$56+57&gt;='🌱 Configuração'!$D$56,'🌱 Configuração'!$B$56+57&lt;'🌱 Configuração'!$E$56,MOD('🌱 Configuração'!$B$56+57-'🌱 Configuração'!$D$56,7)=0,INT(('🌱 Configuração'!$B$56+57-'🌱 Configuração'!$D$56)/7)+1=4),"🦠 Trichoderma — solo | Inspecionar buds",IF(AND('🌱 Configuração'!$B$56+57&gt;='🌱 Configuração'!$D$56,'🌱 Configuração'!$B$56+57&lt;'🌱 Configuração'!$E$56,MOD('🌱 Configuração'!$B$56+57-'🌱 Configuração'!$D$56,7)=0,INT(('🌱 Configuração'!$B$56+57-'🌱 Configuração'!$D$56)/7)+1=5),"🍄 Beauveria + inspeção visual buds",IF(AND('🌱 Configuração'!$B$56+57&gt;='🌱 Configuração'!$D$56,'🌱 Configuração'!$B$56+57&lt;'🌱 Configuração'!$E$56,MOD('🌱 Configuração'!$B$56+57-'🌱 Configuração'!$D$56,7)=0,INT(('🌱 Configuração'!$B$56+57-'🌱 Configuração'!$D$56)/7)+1=6),"🦠 Trichoderma + ⚠️ Verificar mofo","")))))),IF(AND('🌱 Configuração'!$B$56+57&gt;='🌱 Configuração'!$E$56,MOD('🌱 Configuração'!$B$56+57-'🌱 Configuração'!$E$56,7)=0),"🔬 Inspeção final — analisar tricomas","")))))</f>
        <v/>
      </c>
      <c r="I63" s="33"/>
    </row>
    <row r="64" spans="1:9" ht="19.5" customHeight="1">
      <c r="A64" s="1"/>
      <c r="B64" s="35">
        <f>IF(59&lt;='🌱 Configuração'!$F$55,59,"")</f>
        <v>59</v>
      </c>
      <c r="C64" s="13">
        <f>IF(59&lt;='🌱 Configuração'!$F$55,'🌱 Configuração'!$B$56+58,"")</f>
        <v>58</v>
      </c>
      <c r="D64" s="36" t="str">
        <f>IF(59&gt;'🌱 Configuração'!$F$55,"",IF('🌱 Configuração'!$B$56+58&lt;'🌱 Configuração'!$C$56,"🌱 Clone",IF('🌱 Configuração'!$B$56+58&lt;'🌱 Configuração'!$D$56,"🌿 Vegetativo",IF('🌱 Configuração'!$B$56+58&lt;'🌱 Configuração'!$E$56,"🌸 Floração","🚿 Flush"))))</f>
        <v>🌸 Floração</v>
      </c>
      <c r="E64" s="15" t="str">
        <f>IF(59&gt;'🌱 Configuração'!$F$55,"",IF('🌱 Configuração'!$B$56+58&lt;'🌱 Configuração'!$C$56,"Clone S"&amp;INT((59-1)/7)+1,IF('🌱 Configuração'!$B$56+58&lt;'🌱 Configuração'!$D$56,"Vega S"&amp;INT(('🌱 Configuração'!$B$56+58-'🌱 Configuração'!$C$56)/7)+1,IF('🌱 Configuração'!$B$56+58&lt;'🌱 Configuração'!$E$56,"Flora S"&amp;INT(('🌱 Configuração'!$B$56+58-'🌱 Configuração'!$D$56)/7)+1,"Flush S"&amp;INT(('🌱 Configuração'!$B$56+58-'🌱 Configuração'!$E$56)/7)+1))))</f>
        <v>Flora S1</v>
      </c>
      <c r="F64" s="14" t="str">
        <f>IF(59&gt;'🌱 Configuração'!$F$55,"",IF('🌱 Configuração'!$B$56+58='🌱 Configuração'!$C$56,"🌿 INÍCIO VEGA — luz 18h/dia",IF('🌱 Configuração'!$B$56+58='🌱 Configuração'!$D$56,"🌸 INÍCIO FLORAÇÃO — mudar 12/12 🔴",IF('🌱 Configuração'!$B$56+58='🌱 Configuração'!$E$56,"🚿 INÍCIO FLUSH — parar nutrição",IF('🌱 Configuração'!$B$56+58='🌱 Configuração'!$F$56-1,"🔬 Véspera da colheita — analisar tricomas",IF('🌱 Configuração'!$B$56+58='🌱 Configuração'!$F$56,"✂️ COLHEITA — Parabéns! 🎉",""))))))</f>
        <v/>
      </c>
      <c r="G64" s="37" t="s">
        <v>428</v>
      </c>
      <c r="H64" s="38" t="str">
        <f>IF(59&gt;'🌱 Configuração'!$F$55,"",IF('🌱 Configuração'!$B$56+58&lt;'🌱 Configuração'!$C$56,IF(59=1,"🌿 Nim (2 mL/L) — foliar leve",IF(59=8,"🍄 Beauveria bassiana — foliar + solo","")),IF('🌱 Configuração'!$B$56+58&lt;'🌱 Configuração'!$D$56,IF(AND('🌱 Configuração'!$B$56+58&gt;='🌱 Configuração'!$C$56,'🌱 Configuração'!$B$56+58&lt;'🌱 Configuração'!$D$56,MOD('🌱 Configuração'!$B$56+58-'🌱 Configuração'!$C$56,7)=0,INT(('🌱 Configuração'!$B$56+58-'🌱 Configuração'!$C$56)/7)+1=1),"🌿 Nim (2 mL/L) — foliar preventivo",IF(AND('🌱 Configuração'!$B$56+58&gt;='🌱 Configuração'!$C$56,'🌱 Configuração'!$B$56+58&lt;'🌱 Configuração'!$D$56,MOD('🌱 Configuração'!$B$56+58-'🌱 Configuração'!$C$56,7)=0,INT(('🌱 Configuração'!$B$56+58-'🌱 Configuração'!$C$56)/7)+1=2),"🍄 Beauveria bassiana — foliar + solo",IF(AND('🌱 Configuração'!$B$56+58&gt;='🌱 Configuração'!$C$56,'🌱 Configuração'!$B$56+58&lt;'🌱 Configuração'!$D$56,MOD('🌱 Configuração'!$B$56+58-'🌱 Configuração'!$C$56,7)=0,INT(('🌱 Configuração'!$B$56+58-'🌱 Configuração'!$C$56)/7)+1=3),"🟡 Calda Sulfocálcica (1%) — foliar",IF(AND('🌱 Configuração'!$B$56+58&gt;='🌱 Configuração'!$C$56,'🌱 Configuração'!$B$56+58&lt;'🌱 Configuração'!$D$56,MOD('🌱 Configuração'!$B$56+58-'🌱 Configuração'!$C$56,7)=0,INT(('🌱 Configuração'!$B$56+58-'🌱 Configuração'!$C$56)/7)+1=4),"🦠 Trichoderma (3 g/L) — solo",IF(AND('🌱 Configuração'!$B$56+58&gt;='🌱 Configuração'!$C$56,'🌱 Configuração'!$B$56+58&lt;'🌱 Configuração'!$D$56,MOD('🌱 Configuração'!$B$56+58-'🌱 Configuração'!$C$56,7)=0,INT(('🌱 Configuração'!$B$56+58-'🌱 Configuração'!$C$56)/7)+1=5),"🔵 Calda Bordalesa (0.5%) — foliar",IF(AND('🌱 Configuração'!$B$56+58&gt;='🌱 Configuração'!$C$56,'🌱 Configuração'!$B$56+58&lt;'🌱 Configuração'!$D$56,MOD('🌱 Configuração'!$B$56+58-'🌱 Configuração'!$C$56,7)=0,INT(('🌱 Configuração'!$B$56+58-'🌱 Configuração'!$C$56)/7)+1=6),"🌿 Nim (2 mL/L) — ⚠️ ÚLTIMA foliar",IF(AND('🌱 Configuração'!$B$56+58&gt;='🌱 Configuração'!$C$56,'🌱 Configuração'!$B$56+58&lt;'🌱 Configuração'!$D$56,MOD('🌱 Configuração'!$B$56+58-'🌱 Configuração'!$C$56,7)=0,INT(('🌱 Configuração'!$B$56+58-'🌱 Configuração'!$C$56)/7)+1=7),"🦠 Trichoderma — solo",IF(AND('🌱 Configuração'!$B$56+58&gt;='🌱 Configuração'!$C$56,'🌱 Configuração'!$B$56+58&lt;'🌱 Configuração'!$D$56,MOD('🌱 Configuração'!$B$56+58-'🌱 Configuração'!$C$56,7)=0,INT(('🌱 Configuração'!$B$56+58-'🌱 Configuração'!$C$56)/7)+1=8),"🍄 Beauveria — solo","")))))))),IF('🌱 Configuração'!$B$56+58&lt;'🌱 Configuração'!$E$56,IF(AND('🌱 Configuração'!$B$56+58&gt;='🌱 Configuração'!$D$56,'🌱 Configuração'!$B$56+58&lt;'🌱 Configuração'!$E$56,MOD('🌱 Configuração'!$B$56+58-'🌱 Configuração'!$D$56,7)=0,INT(('🌱 Configuração'!$B$56+58-'🌱 Configuração'!$D$56)/7)+1=1),"🍄 Beauveria bassiana — SOLO apenas",IF(AND('🌱 Configuração'!$B$56+58&gt;='🌱 Configuração'!$D$56,'🌱 Configuração'!$B$56+58&lt;'🌱 Configuração'!$E$56,MOD('🌱 Configuração'!$B$56+58-'🌱 Configuração'!$D$56,7)=0,INT(('🌱 Configuração'!$B$56+58-'🌱 Configuração'!$D$56)/7)+1=2),"🦠 Trichoderma (3 g/L) — solo",IF(AND('🌱 Configuração'!$B$56+58&gt;='🌱 Configuração'!$D$56,'🌱 Configuração'!$B$56+58&lt;'🌱 Configuração'!$E$56,MOD('🌱 Configuração'!$B$56+58-'🌱 Configuração'!$D$56,7)=0,INT(('🌱 Configuração'!$B$56+58-'🌱 Configuração'!$D$56)/7)+1=3),"🍄 Beauveria bassiana — solo | ⚠️ Umid &lt;45%",IF(AND('🌱 Configuração'!$B$56+58&gt;='🌱 Configuração'!$D$56,'🌱 Configuração'!$B$56+58&lt;'🌱 Configuração'!$E$56,MOD('🌱 Configuração'!$B$56+58-'🌱 Configuração'!$D$56,7)=0,INT(('🌱 Configuração'!$B$56+58-'🌱 Configuração'!$D$56)/7)+1=4),"🦠 Trichoderma — solo | Inspecionar buds",IF(AND('🌱 Configuração'!$B$56+58&gt;='🌱 Configuração'!$D$56,'🌱 Configuração'!$B$56+58&lt;'🌱 Configuração'!$E$56,MOD('🌱 Configuração'!$B$56+58-'🌱 Configuração'!$D$56,7)=0,INT(('🌱 Configuração'!$B$56+58-'🌱 Configuração'!$D$56)/7)+1=5),"🍄 Beauveria + inspeção visual buds",IF(AND('🌱 Configuração'!$B$56+58&gt;='🌱 Configuração'!$D$56,'🌱 Configuração'!$B$56+58&lt;'🌱 Configuração'!$E$56,MOD('🌱 Configuração'!$B$56+58-'🌱 Configuração'!$D$56,7)=0,INT(('🌱 Configuração'!$B$56+58-'🌱 Configuração'!$D$56)/7)+1=6),"🦠 Trichoderma + ⚠️ Verificar mofo","")))))),IF(AND('🌱 Configuração'!$B$56+58&gt;='🌱 Configuração'!$E$56,MOD('🌱 Configuração'!$B$56+58-'🌱 Configuração'!$E$56,7)=0),"🔬 Inspeção final — analisar tricomas","")))))</f>
        <v/>
      </c>
      <c r="I64" s="33"/>
    </row>
    <row r="65" spans="1:9" ht="19.5" customHeight="1">
      <c r="A65" s="1"/>
      <c r="B65" s="39">
        <f>IF(60&lt;='🌱 Configuração'!$F$55,60,"")</f>
        <v>60</v>
      </c>
      <c r="C65" s="40">
        <f>IF(60&lt;='🌱 Configuração'!$F$55,'🌱 Configuração'!$B$56+59,"")</f>
        <v>59</v>
      </c>
      <c r="D65" s="41" t="str">
        <f>IF(60&gt;'🌱 Configuração'!$F$55,"",IF('🌱 Configuração'!$B$56+59&lt;'🌱 Configuração'!$C$56,"🌱 Clone",IF('🌱 Configuração'!$B$56+59&lt;'🌱 Configuração'!$D$56,"🌿 Vegetativo",IF('🌱 Configuração'!$B$56+59&lt;'🌱 Configuração'!$E$56,"🌸 Floração","🚿 Flush"))))</f>
        <v>🌸 Floração</v>
      </c>
      <c r="E65" s="42" t="str">
        <f>IF(60&gt;'🌱 Configuração'!$F$55,"",IF('🌱 Configuração'!$B$56+59&lt;'🌱 Configuração'!$C$56,"Clone S"&amp;INT((60-1)/7)+1,IF('🌱 Configuração'!$B$56+59&lt;'🌱 Configuração'!$D$56,"Vega S"&amp;INT(('🌱 Configuração'!$B$56+59-'🌱 Configuração'!$C$56)/7)+1,IF('🌱 Configuração'!$B$56+59&lt;'🌱 Configuração'!$E$56,"Flora S"&amp;INT(('🌱 Configuração'!$B$56+59-'🌱 Configuração'!$D$56)/7)+1,"Flush S"&amp;INT(('🌱 Configuração'!$B$56+59-'🌱 Configuração'!$E$56)/7)+1))))</f>
        <v>Flora S1</v>
      </c>
      <c r="F65" s="43" t="str">
        <f>IF(60&gt;'🌱 Configuração'!$F$55,"",IF('🌱 Configuração'!$B$56+59='🌱 Configuração'!$C$56,"🌿 INÍCIO VEGA — luz 18h/dia",IF('🌱 Configuração'!$B$56+59='🌱 Configuração'!$D$56,"🌸 INÍCIO FLORAÇÃO — mudar 12/12 🔴",IF('🌱 Configuração'!$B$56+59='🌱 Configuração'!$E$56,"🚿 INÍCIO FLUSH — parar nutrição",IF('🌱 Configuração'!$B$56+59='🌱 Configuração'!$F$56-1,"🔬 Véspera da colheita — analisar tricomas",IF('🌱 Configuração'!$B$56+59='🌱 Configuração'!$F$56,"✂️ COLHEITA — Parabéns! 🎉",""))))))</f>
        <v/>
      </c>
      <c r="G65" s="44" t="s">
        <v>428</v>
      </c>
      <c r="H65" s="45" t="str">
        <f>IF(60&gt;'🌱 Configuração'!$F$55,"",IF('🌱 Configuração'!$B$56+59&lt;'🌱 Configuração'!$C$56,IF(60=1,"🌿 Nim (2 mL/L) — foliar leve",IF(60=8,"🍄 Beauveria bassiana — foliar + solo","")),IF('🌱 Configuração'!$B$56+59&lt;'🌱 Configuração'!$D$56,IF(AND('🌱 Configuração'!$B$56+59&gt;='🌱 Configuração'!$C$56,'🌱 Configuração'!$B$56+59&lt;'🌱 Configuração'!$D$56,MOD('🌱 Configuração'!$B$56+59-'🌱 Configuração'!$C$56,7)=0,INT(('🌱 Configuração'!$B$56+59-'🌱 Configuração'!$C$56)/7)+1=1),"🌿 Nim (2 mL/L) — foliar preventivo",IF(AND('🌱 Configuração'!$B$56+59&gt;='🌱 Configuração'!$C$56,'🌱 Configuração'!$B$56+59&lt;'🌱 Configuração'!$D$56,MOD('🌱 Configuração'!$B$56+59-'🌱 Configuração'!$C$56,7)=0,INT(('🌱 Configuração'!$B$56+59-'🌱 Configuração'!$C$56)/7)+1=2),"🍄 Beauveria bassiana — foliar + solo",IF(AND('🌱 Configuração'!$B$56+59&gt;='🌱 Configuração'!$C$56,'🌱 Configuração'!$B$56+59&lt;'🌱 Configuração'!$D$56,MOD('🌱 Configuração'!$B$56+59-'🌱 Configuração'!$C$56,7)=0,INT(('🌱 Configuração'!$B$56+59-'🌱 Configuração'!$C$56)/7)+1=3),"🟡 Calda Sulfocálcica (1%) — foliar",IF(AND('🌱 Configuração'!$B$56+59&gt;='🌱 Configuração'!$C$56,'🌱 Configuração'!$B$56+59&lt;'🌱 Configuração'!$D$56,MOD('🌱 Configuração'!$B$56+59-'🌱 Configuração'!$C$56,7)=0,INT(('🌱 Configuração'!$B$56+59-'🌱 Configuração'!$C$56)/7)+1=4),"🦠 Trichoderma (3 g/L) — solo",IF(AND('🌱 Configuração'!$B$56+59&gt;='🌱 Configuração'!$C$56,'🌱 Configuração'!$B$56+59&lt;'🌱 Configuração'!$D$56,MOD('🌱 Configuração'!$B$56+59-'🌱 Configuração'!$C$56,7)=0,INT(('🌱 Configuração'!$B$56+59-'🌱 Configuração'!$C$56)/7)+1=5),"🔵 Calda Bordalesa (0.5%) — foliar",IF(AND('🌱 Configuração'!$B$56+59&gt;='🌱 Configuração'!$C$56,'🌱 Configuração'!$B$56+59&lt;'🌱 Configuração'!$D$56,MOD('🌱 Configuração'!$B$56+59-'🌱 Configuração'!$C$56,7)=0,INT(('🌱 Configuração'!$B$56+59-'🌱 Configuração'!$C$56)/7)+1=6),"🌿 Nim (2 mL/L) — ⚠️ ÚLTIMA foliar",IF(AND('🌱 Configuração'!$B$56+59&gt;='🌱 Configuração'!$C$56,'🌱 Configuração'!$B$56+59&lt;'🌱 Configuração'!$D$56,MOD('🌱 Configuração'!$B$56+59-'🌱 Configuração'!$C$56,7)=0,INT(('🌱 Configuração'!$B$56+59-'🌱 Configuração'!$C$56)/7)+1=7),"🦠 Trichoderma — solo",IF(AND('🌱 Configuração'!$B$56+59&gt;='🌱 Configuração'!$C$56,'🌱 Configuração'!$B$56+59&lt;'🌱 Configuração'!$D$56,MOD('🌱 Configuração'!$B$56+59-'🌱 Configuração'!$C$56,7)=0,INT(('🌱 Configuração'!$B$56+59-'🌱 Configuração'!$C$56)/7)+1=8),"🍄 Beauveria — solo","")))))))),IF('🌱 Configuração'!$B$56+59&lt;'🌱 Configuração'!$E$56,IF(AND('🌱 Configuração'!$B$56+59&gt;='🌱 Configuração'!$D$56,'🌱 Configuração'!$B$56+59&lt;'🌱 Configuração'!$E$56,MOD('🌱 Configuração'!$B$56+59-'🌱 Configuração'!$D$56,7)=0,INT(('🌱 Configuração'!$B$56+59-'🌱 Configuração'!$D$56)/7)+1=1),"🍄 Beauveria bassiana — SOLO apenas",IF(AND('🌱 Configuração'!$B$56+59&gt;='🌱 Configuração'!$D$56,'🌱 Configuração'!$B$56+59&lt;'🌱 Configuração'!$E$56,MOD('🌱 Configuração'!$B$56+59-'🌱 Configuração'!$D$56,7)=0,INT(('🌱 Configuração'!$B$56+59-'🌱 Configuração'!$D$56)/7)+1=2),"🦠 Trichoderma (3 g/L) — solo",IF(AND('🌱 Configuração'!$B$56+59&gt;='🌱 Configuração'!$D$56,'🌱 Configuração'!$B$56+59&lt;'🌱 Configuração'!$E$56,MOD('🌱 Configuração'!$B$56+59-'🌱 Configuração'!$D$56,7)=0,INT(('🌱 Configuração'!$B$56+59-'🌱 Configuração'!$D$56)/7)+1=3),"🍄 Beauveria bassiana — solo | ⚠️ Umid &lt;45%",IF(AND('🌱 Configuração'!$B$56+59&gt;='🌱 Configuração'!$D$56,'🌱 Configuração'!$B$56+59&lt;'🌱 Configuração'!$E$56,MOD('🌱 Configuração'!$B$56+59-'🌱 Configuração'!$D$56,7)=0,INT(('🌱 Configuração'!$B$56+59-'🌱 Configuração'!$D$56)/7)+1=4),"🦠 Trichoderma — solo | Inspecionar buds",IF(AND('🌱 Configuração'!$B$56+59&gt;='🌱 Configuração'!$D$56,'🌱 Configuração'!$B$56+59&lt;'🌱 Configuração'!$E$56,MOD('🌱 Configuração'!$B$56+59-'🌱 Configuração'!$D$56,7)=0,INT(('🌱 Configuração'!$B$56+59-'🌱 Configuração'!$D$56)/7)+1=5),"🍄 Beauveria + inspeção visual buds",IF(AND('🌱 Configuração'!$B$56+59&gt;='🌱 Configuração'!$D$56,'🌱 Configuração'!$B$56+59&lt;'🌱 Configuração'!$E$56,MOD('🌱 Configuração'!$B$56+59-'🌱 Configuração'!$D$56,7)=0,INT(('🌱 Configuração'!$B$56+59-'🌱 Configuração'!$D$56)/7)+1=6),"🦠 Trichoderma + ⚠️ Verificar mofo","")))))),IF(AND('🌱 Configuração'!$B$56+59&gt;='🌱 Configuração'!$E$56,MOD('🌱 Configuração'!$B$56+59-'🌱 Configuração'!$E$56,7)=0),"🔬 Inspeção final — analisar tricomas","")))))</f>
        <v/>
      </c>
      <c r="I65" s="33"/>
    </row>
    <row r="66" spans="1:9" ht="19.5" customHeight="1">
      <c r="A66" s="1"/>
      <c r="B66" s="35">
        <f>IF(61&lt;='🌱 Configuração'!$F$55,61,"")</f>
        <v>61</v>
      </c>
      <c r="C66" s="13">
        <f>IF(61&lt;='🌱 Configuração'!$F$55,'🌱 Configuração'!$B$56+60,"")</f>
        <v>60</v>
      </c>
      <c r="D66" s="36" t="str">
        <f>IF(61&gt;'🌱 Configuração'!$F$55,"",IF('🌱 Configuração'!$B$56+60&lt;'🌱 Configuração'!$C$56,"🌱 Clone",IF('🌱 Configuração'!$B$56+60&lt;'🌱 Configuração'!$D$56,"🌿 Vegetativo",IF('🌱 Configuração'!$B$56+60&lt;'🌱 Configuração'!$E$56,"🌸 Floração","🚿 Flush"))))</f>
        <v>🌸 Floração</v>
      </c>
      <c r="E66" s="15" t="str">
        <f>IF(61&gt;'🌱 Configuração'!$F$55,"",IF('🌱 Configuração'!$B$56+60&lt;'🌱 Configuração'!$C$56,"Clone S"&amp;INT((61-1)/7)+1,IF('🌱 Configuração'!$B$56+60&lt;'🌱 Configuração'!$D$56,"Vega S"&amp;INT(('🌱 Configuração'!$B$56+60-'🌱 Configuração'!$C$56)/7)+1,IF('🌱 Configuração'!$B$56+60&lt;'🌱 Configuração'!$E$56,"Flora S"&amp;INT(('🌱 Configuração'!$B$56+60-'🌱 Configuração'!$D$56)/7)+1,"Flush S"&amp;INT(('🌱 Configuração'!$B$56+60-'🌱 Configuração'!$E$56)/7)+1))))</f>
        <v>Flora S1</v>
      </c>
      <c r="F66" s="14" t="str">
        <f>IF(61&gt;'🌱 Configuração'!$F$55,"",IF('🌱 Configuração'!$B$56+60='🌱 Configuração'!$C$56,"🌿 INÍCIO VEGA — luz 18h/dia",IF('🌱 Configuração'!$B$56+60='🌱 Configuração'!$D$56,"🌸 INÍCIO FLORAÇÃO — mudar 12/12 🔴",IF('🌱 Configuração'!$B$56+60='🌱 Configuração'!$E$56,"🚿 INÍCIO FLUSH — parar nutrição",IF('🌱 Configuração'!$B$56+60='🌱 Configuração'!$F$56-1,"🔬 Véspera da colheita — analisar tricomas",IF('🌱 Configuração'!$B$56+60='🌱 Configuração'!$F$56,"✂️ COLHEITA — Parabéns! 🎉",""))))))</f>
        <v/>
      </c>
      <c r="G66" s="37" t="s">
        <v>428</v>
      </c>
      <c r="H66" s="38" t="str">
        <f>IF(61&gt;'🌱 Configuração'!$F$55,"",IF('🌱 Configuração'!$B$56+60&lt;'🌱 Configuração'!$C$56,IF(61=1,"🌿 Nim (2 mL/L) — foliar leve",IF(61=8,"🍄 Beauveria bassiana — foliar + solo","")),IF('🌱 Configuração'!$B$56+60&lt;'🌱 Configuração'!$D$56,IF(AND('🌱 Configuração'!$B$56+60&gt;='🌱 Configuração'!$C$56,'🌱 Configuração'!$B$56+60&lt;'🌱 Configuração'!$D$56,MOD('🌱 Configuração'!$B$56+60-'🌱 Configuração'!$C$56,7)=0,INT(('🌱 Configuração'!$B$56+60-'🌱 Configuração'!$C$56)/7)+1=1),"🌿 Nim (2 mL/L) — foliar preventivo",IF(AND('🌱 Configuração'!$B$56+60&gt;='🌱 Configuração'!$C$56,'🌱 Configuração'!$B$56+60&lt;'🌱 Configuração'!$D$56,MOD('🌱 Configuração'!$B$56+60-'🌱 Configuração'!$C$56,7)=0,INT(('🌱 Configuração'!$B$56+60-'🌱 Configuração'!$C$56)/7)+1=2),"🍄 Beauveria bassiana — foliar + solo",IF(AND('🌱 Configuração'!$B$56+60&gt;='🌱 Configuração'!$C$56,'🌱 Configuração'!$B$56+60&lt;'🌱 Configuração'!$D$56,MOD('🌱 Configuração'!$B$56+60-'🌱 Configuração'!$C$56,7)=0,INT(('🌱 Configuração'!$B$56+60-'🌱 Configuração'!$C$56)/7)+1=3),"🟡 Calda Sulfocálcica (1%) — foliar",IF(AND('🌱 Configuração'!$B$56+60&gt;='🌱 Configuração'!$C$56,'🌱 Configuração'!$B$56+60&lt;'🌱 Configuração'!$D$56,MOD('🌱 Configuração'!$B$56+60-'🌱 Configuração'!$C$56,7)=0,INT(('🌱 Configuração'!$B$56+60-'🌱 Configuração'!$C$56)/7)+1=4),"🦠 Trichoderma (3 g/L) — solo",IF(AND('🌱 Configuração'!$B$56+60&gt;='🌱 Configuração'!$C$56,'🌱 Configuração'!$B$56+60&lt;'🌱 Configuração'!$D$56,MOD('🌱 Configuração'!$B$56+60-'🌱 Configuração'!$C$56,7)=0,INT(('🌱 Configuração'!$B$56+60-'🌱 Configuração'!$C$56)/7)+1=5),"🔵 Calda Bordalesa (0.5%) — foliar",IF(AND('🌱 Configuração'!$B$56+60&gt;='🌱 Configuração'!$C$56,'🌱 Configuração'!$B$56+60&lt;'🌱 Configuração'!$D$56,MOD('🌱 Configuração'!$B$56+60-'🌱 Configuração'!$C$56,7)=0,INT(('🌱 Configuração'!$B$56+60-'🌱 Configuração'!$C$56)/7)+1=6),"🌿 Nim (2 mL/L) — ⚠️ ÚLTIMA foliar",IF(AND('🌱 Configuração'!$B$56+60&gt;='🌱 Configuração'!$C$56,'🌱 Configuração'!$B$56+60&lt;'🌱 Configuração'!$D$56,MOD('🌱 Configuração'!$B$56+60-'🌱 Configuração'!$C$56,7)=0,INT(('🌱 Configuração'!$B$56+60-'🌱 Configuração'!$C$56)/7)+1=7),"🦠 Trichoderma — solo",IF(AND('🌱 Configuração'!$B$56+60&gt;='🌱 Configuração'!$C$56,'🌱 Configuração'!$B$56+60&lt;'🌱 Configuração'!$D$56,MOD('🌱 Configuração'!$B$56+60-'🌱 Configuração'!$C$56,7)=0,INT(('🌱 Configuração'!$B$56+60-'🌱 Configuração'!$C$56)/7)+1=8),"🍄 Beauveria — solo","")))))))),IF('🌱 Configuração'!$B$56+60&lt;'🌱 Configuração'!$E$56,IF(AND('🌱 Configuração'!$B$56+60&gt;='🌱 Configuração'!$D$56,'🌱 Configuração'!$B$56+60&lt;'🌱 Configuração'!$E$56,MOD('🌱 Configuração'!$B$56+60-'🌱 Configuração'!$D$56,7)=0,INT(('🌱 Configuração'!$B$56+60-'🌱 Configuração'!$D$56)/7)+1=1),"🍄 Beauveria bassiana — SOLO apenas",IF(AND('🌱 Configuração'!$B$56+60&gt;='🌱 Configuração'!$D$56,'🌱 Configuração'!$B$56+60&lt;'🌱 Configuração'!$E$56,MOD('🌱 Configuração'!$B$56+60-'🌱 Configuração'!$D$56,7)=0,INT(('🌱 Configuração'!$B$56+60-'🌱 Configuração'!$D$56)/7)+1=2),"🦠 Trichoderma (3 g/L) — solo",IF(AND('🌱 Configuração'!$B$56+60&gt;='🌱 Configuração'!$D$56,'🌱 Configuração'!$B$56+60&lt;'🌱 Configuração'!$E$56,MOD('🌱 Configuração'!$B$56+60-'🌱 Configuração'!$D$56,7)=0,INT(('🌱 Configuração'!$B$56+60-'🌱 Configuração'!$D$56)/7)+1=3),"🍄 Beauveria bassiana — solo | ⚠️ Umid &lt;45%",IF(AND('🌱 Configuração'!$B$56+60&gt;='🌱 Configuração'!$D$56,'🌱 Configuração'!$B$56+60&lt;'🌱 Configuração'!$E$56,MOD('🌱 Configuração'!$B$56+60-'🌱 Configuração'!$D$56,7)=0,INT(('🌱 Configuração'!$B$56+60-'🌱 Configuração'!$D$56)/7)+1=4),"🦠 Trichoderma — solo | Inspecionar buds",IF(AND('🌱 Configuração'!$B$56+60&gt;='🌱 Configuração'!$D$56,'🌱 Configuração'!$B$56+60&lt;'🌱 Configuração'!$E$56,MOD('🌱 Configuração'!$B$56+60-'🌱 Configuração'!$D$56,7)=0,INT(('🌱 Configuração'!$B$56+60-'🌱 Configuração'!$D$56)/7)+1=5),"🍄 Beauveria + inspeção visual buds",IF(AND('🌱 Configuração'!$B$56+60&gt;='🌱 Configuração'!$D$56,'🌱 Configuração'!$B$56+60&lt;'🌱 Configuração'!$E$56,MOD('🌱 Configuração'!$B$56+60-'🌱 Configuração'!$D$56,7)=0,INT(('🌱 Configuração'!$B$56+60-'🌱 Configuração'!$D$56)/7)+1=6),"🦠 Trichoderma + ⚠️ Verificar mofo","")))))),IF(AND('🌱 Configuração'!$B$56+60&gt;='🌱 Configuração'!$E$56,MOD('🌱 Configuração'!$B$56+60-'🌱 Configuração'!$E$56,7)=0),"🔬 Inspeção final — analisar tricomas","")))))</f>
        <v/>
      </c>
      <c r="I66" s="33"/>
    </row>
    <row r="67" spans="1:9" ht="19.5" customHeight="1">
      <c r="A67" s="1"/>
      <c r="B67" s="39">
        <f>IF(62&lt;='🌱 Configuração'!$F$55,62,"")</f>
        <v>62</v>
      </c>
      <c r="C67" s="40">
        <f>IF(62&lt;='🌱 Configuração'!$F$55,'🌱 Configuração'!$B$56+61,"")</f>
        <v>61</v>
      </c>
      <c r="D67" s="41" t="str">
        <f>IF(62&gt;'🌱 Configuração'!$F$55,"",IF('🌱 Configuração'!$B$56+61&lt;'🌱 Configuração'!$C$56,"🌱 Clone",IF('🌱 Configuração'!$B$56+61&lt;'🌱 Configuração'!$D$56,"🌿 Vegetativo",IF('🌱 Configuração'!$B$56+61&lt;'🌱 Configuração'!$E$56,"🌸 Floração","🚿 Flush"))))</f>
        <v>🌸 Floração</v>
      </c>
      <c r="E67" s="42" t="str">
        <f>IF(62&gt;'🌱 Configuração'!$F$55,"",IF('🌱 Configuração'!$B$56+61&lt;'🌱 Configuração'!$C$56,"Clone S"&amp;INT((62-1)/7)+1,IF('🌱 Configuração'!$B$56+61&lt;'🌱 Configuração'!$D$56,"Vega S"&amp;INT(('🌱 Configuração'!$B$56+61-'🌱 Configuração'!$C$56)/7)+1,IF('🌱 Configuração'!$B$56+61&lt;'🌱 Configuração'!$E$56,"Flora S"&amp;INT(('🌱 Configuração'!$B$56+61-'🌱 Configuração'!$D$56)/7)+1,"Flush S"&amp;INT(('🌱 Configuração'!$B$56+61-'🌱 Configuração'!$E$56)/7)+1))))</f>
        <v>Flora S1</v>
      </c>
      <c r="F67" s="43" t="str">
        <f>IF(62&gt;'🌱 Configuração'!$F$55,"",IF('🌱 Configuração'!$B$56+61='🌱 Configuração'!$C$56,"🌿 INÍCIO VEGA — luz 18h/dia",IF('🌱 Configuração'!$B$56+61='🌱 Configuração'!$D$56,"🌸 INÍCIO FLORAÇÃO — mudar 12/12 🔴",IF('🌱 Configuração'!$B$56+61='🌱 Configuração'!$E$56,"🚿 INÍCIO FLUSH — parar nutrição",IF('🌱 Configuração'!$B$56+61='🌱 Configuração'!$F$56-1,"🔬 Véspera da colheita — analisar tricomas",IF('🌱 Configuração'!$B$56+61='🌱 Configuração'!$F$56,"✂️ COLHEITA — Parabéns! 🎉",""))))))</f>
        <v/>
      </c>
      <c r="G67" s="44" t="s">
        <v>428</v>
      </c>
      <c r="H67" s="45" t="str">
        <f>IF(62&gt;'🌱 Configuração'!$F$55,"",IF('🌱 Configuração'!$B$56+61&lt;'🌱 Configuração'!$C$56,IF(62=1,"🌿 Nim (2 mL/L) — foliar leve",IF(62=8,"🍄 Beauveria bassiana — foliar + solo","")),IF('🌱 Configuração'!$B$56+61&lt;'🌱 Configuração'!$D$56,IF(AND('🌱 Configuração'!$B$56+61&gt;='🌱 Configuração'!$C$56,'🌱 Configuração'!$B$56+61&lt;'🌱 Configuração'!$D$56,MOD('🌱 Configuração'!$B$56+61-'🌱 Configuração'!$C$56,7)=0,INT(('🌱 Configuração'!$B$56+61-'🌱 Configuração'!$C$56)/7)+1=1),"🌿 Nim (2 mL/L) — foliar preventivo",IF(AND('🌱 Configuração'!$B$56+61&gt;='🌱 Configuração'!$C$56,'🌱 Configuração'!$B$56+61&lt;'🌱 Configuração'!$D$56,MOD('🌱 Configuração'!$B$56+61-'🌱 Configuração'!$C$56,7)=0,INT(('🌱 Configuração'!$B$56+61-'🌱 Configuração'!$C$56)/7)+1=2),"🍄 Beauveria bassiana — foliar + solo",IF(AND('🌱 Configuração'!$B$56+61&gt;='🌱 Configuração'!$C$56,'🌱 Configuração'!$B$56+61&lt;'🌱 Configuração'!$D$56,MOD('🌱 Configuração'!$B$56+61-'🌱 Configuração'!$C$56,7)=0,INT(('🌱 Configuração'!$B$56+61-'🌱 Configuração'!$C$56)/7)+1=3),"🟡 Calda Sulfocálcica (1%) — foliar",IF(AND('🌱 Configuração'!$B$56+61&gt;='🌱 Configuração'!$C$56,'🌱 Configuração'!$B$56+61&lt;'🌱 Configuração'!$D$56,MOD('🌱 Configuração'!$B$56+61-'🌱 Configuração'!$C$56,7)=0,INT(('🌱 Configuração'!$B$56+61-'🌱 Configuração'!$C$56)/7)+1=4),"🦠 Trichoderma (3 g/L) — solo",IF(AND('🌱 Configuração'!$B$56+61&gt;='🌱 Configuração'!$C$56,'🌱 Configuração'!$B$56+61&lt;'🌱 Configuração'!$D$56,MOD('🌱 Configuração'!$B$56+61-'🌱 Configuração'!$C$56,7)=0,INT(('🌱 Configuração'!$B$56+61-'🌱 Configuração'!$C$56)/7)+1=5),"🔵 Calda Bordalesa (0.5%) — foliar",IF(AND('🌱 Configuração'!$B$56+61&gt;='🌱 Configuração'!$C$56,'🌱 Configuração'!$B$56+61&lt;'🌱 Configuração'!$D$56,MOD('🌱 Configuração'!$B$56+61-'🌱 Configuração'!$C$56,7)=0,INT(('🌱 Configuração'!$B$56+61-'🌱 Configuração'!$C$56)/7)+1=6),"🌿 Nim (2 mL/L) — ⚠️ ÚLTIMA foliar",IF(AND('🌱 Configuração'!$B$56+61&gt;='🌱 Configuração'!$C$56,'🌱 Configuração'!$B$56+61&lt;'🌱 Configuração'!$D$56,MOD('🌱 Configuração'!$B$56+61-'🌱 Configuração'!$C$56,7)=0,INT(('🌱 Configuração'!$B$56+61-'🌱 Configuração'!$C$56)/7)+1=7),"🦠 Trichoderma — solo",IF(AND('🌱 Configuração'!$B$56+61&gt;='🌱 Configuração'!$C$56,'🌱 Configuração'!$B$56+61&lt;'🌱 Configuração'!$D$56,MOD('🌱 Configuração'!$B$56+61-'🌱 Configuração'!$C$56,7)=0,INT(('🌱 Configuração'!$B$56+61-'🌱 Configuração'!$C$56)/7)+1=8),"🍄 Beauveria — solo","")))))))),IF('🌱 Configuração'!$B$56+61&lt;'🌱 Configuração'!$E$56,IF(AND('🌱 Configuração'!$B$56+61&gt;='🌱 Configuração'!$D$56,'🌱 Configuração'!$B$56+61&lt;'🌱 Configuração'!$E$56,MOD('🌱 Configuração'!$B$56+61-'🌱 Configuração'!$D$56,7)=0,INT(('🌱 Configuração'!$B$56+61-'🌱 Configuração'!$D$56)/7)+1=1),"🍄 Beauveria bassiana — SOLO apenas",IF(AND('🌱 Configuração'!$B$56+61&gt;='🌱 Configuração'!$D$56,'🌱 Configuração'!$B$56+61&lt;'🌱 Configuração'!$E$56,MOD('🌱 Configuração'!$B$56+61-'🌱 Configuração'!$D$56,7)=0,INT(('🌱 Configuração'!$B$56+61-'🌱 Configuração'!$D$56)/7)+1=2),"🦠 Trichoderma (3 g/L) — solo",IF(AND('🌱 Configuração'!$B$56+61&gt;='🌱 Configuração'!$D$56,'🌱 Configuração'!$B$56+61&lt;'🌱 Configuração'!$E$56,MOD('🌱 Configuração'!$B$56+61-'🌱 Configuração'!$D$56,7)=0,INT(('🌱 Configuração'!$B$56+61-'🌱 Configuração'!$D$56)/7)+1=3),"🍄 Beauveria bassiana — solo | ⚠️ Umid &lt;45%",IF(AND('🌱 Configuração'!$B$56+61&gt;='🌱 Configuração'!$D$56,'🌱 Configuração'!$B$56+61&lt;'🌱 Configuração'!$E$56,MOD('🌱 Configuração'!$B$56+61-'🌱 Configuração'!$D$56,7)=0,INT(('🌱 Configuração'!$B$56+61-'🌱 Configuração'!$D$56)/7)+1=4),"🦠 Trichoderma — solo | Inspecionar buds",IF(AND('🌱 Configuração'!$B$56+61&gt;='🌱 Configuração'!$D$56,'🌱 Configuração'!$B$56+61&lt;'🌱 Configuração'!$E$56,MOD('🌱 Configuração'!$B$56+61-'🌱 Configuração'!$D$56,7)=0,INT(('🌱 Configuração'!$B$56+61-'🌱 Configuração'!$D$56)/7)+1=5),"🍄 Beauveria + inspeção visual buds",IF(AND('🌱 Configuração'!$B$56+61&gt;='🌱 Configuração'!$D$56,'🌱 Configuração'!$B$56+61&lt;'🌱 Configuração'!$E$56,MOD('🌱 Configuração'!$B$56+61-'🌱 Configuração'!$D$56,7)=0,INT(('🌱 Configuração'!$B$56+61-'🌱 Configuração'!$D$56)/7)+1=6),"🦠 Trichoderma + ⚠️ Verificar mofo","")))))),IF(AND('🌱 Configuração'!$B$56+61&gt;='🌱 Configuração'!$E$56,MOD('🌱 Configuração'!$B$56+61-'🌱 Configuração'!$E$56,7)=0),"🔬 Inspeção final — analisar tricomas","")))))</f>
        <v/>
      </c>
      <c r="I67" s="33"/>
    </row>
    <row r="68" spans="1:9" ht="19.5" customHeight="1">
      <c r="A68" s="1"/>
      <c r="B68" s="35">
        <f>IF(63&lt;='🌱 Configuração'!$F$55,63,"")</f>
        <v>63</v>
      </c>
      <c r="C68" s="13">
        <f>IF(63&lt;='🌱 Configuração'!$F$55,'🌱 Configuração'!$B$56+62,"")</f>
        <v>62</v>
      </c>
      <c r="D68" s="36" t="str">
        <f>IF(63&gt;'🌱 Configuração'!$F$55,"",IF('🌱 Configuração'!$B$56+62&lt;'🌱 Configuração'!$C$56,"🌱 Clone",IF('🌱 Configuração'!$B$56+62&lt;'🌱 Configuração'!$D$56,"🌿 Vegetativo",IF('🌱 Configuração'!$B$56+62&lt;'🌱 Configuração'!$E$56,"🌸 Floração","🚿 Flush"))))</f>
        <v>🌸 Floração</v>
      </c>
      <c r="E68" s="15" t="str">
        <f>IF(63&gt;'🌱 Configuração'!$F$55,"",IF('🌱 Configuração'!$B$56+62&lt;'🌱 Configuração'!$C$56,"Clone S"&amp;INT((63-1)/7)+1,IF('🌱 Configuração'!$B$56+62&lt;'🌱 Configuração'!$D$56,"Vega S"&amp;INT(('🌱 Configuração'!$B$56+62-'🌱 Configuração'!$C$56)/7)+1,IF('🌱 Configuração'!$B$56+62&lt;'🌱 Configuração'!$E$56,"Flora S"&amp;INT(('🌱 Configuração'!$B$56+62-'🌱 Configuração'!$D$56)/7)+1,"Flush S"&amp;INT(('🌱 Configuração'!$B$56+62-'🌱 Configuração'!$E$56)/7)+1))))</f>
        <v>Flora S1</v>
      </c>
      <c r="F68" s="14" t="str">
        <f>IF(63&gt;'🌱 Configuração'!$F$55,"",IF('🌱 Configuração'!$B$56+62='🌱 Configuração'!$C$56,"🌿 INÍCIO VEGA — luz 18h/dia",IF('🌱 Configuração'!$B$56+62='🌱 Configuração'!$D$56,"🌸 INÍCIO FLORAÇÃO — mudar 12/12 🔴",IF('🌱 Configuração'!$B$56+62='🌱 Configuração'!$E$56,"🚿 INÍCIO FLUSH — parar nutrição",IF('🌱 Configuração'!$B$56+62='🌱 Configuração'!$F$56-1,"🔬 Véspera da colheita — analisar tricomas",IF('🌱 Configuração'!$B$56+62='🌱 Configuração'!$F$56,"✂️ COLHEITA — Parabéns! 🎉",""))))))</f>
        <v/>
      </c>
      <c r="G68" s="37" t="s">
        <v>428</v>
      </c>
      <c r="H68" s="38" t="str">
        <f>IF(63&gt;'🌱 Configuração'!$F$55,"",IF('🌱 Configuração'!$B$56+62&lt;'🌱 Configuração'!$C$56,IF(63=1,"🌿 Nim (2 mL/L) — foliar leve",IF(63=8,"🍄 Beauveria bassiana — foliar + solo","")),IF('🌱 Configuração'!$B$56+62&lt;'🌱 Configuração'!$D$56,IF(AND('🌱 Configuração'!$B$56+62&gt;='🌱 Configuração'!$C$56,'🌱 Configuração'!$B$56+62&lt;'🌱 Configuração'!$D$56,MOD('🌱 Configuração'!$B$56+62-'🌱 Configuração'!$C$56,7)=0,INT(('🌱 Configuração'!$B$56+62-'🌱 Configuração'!$C$56)/7)+1=1),"🌿 Nim (2 mL/L) — foliar preventivo",IF(AND('🌱 Configuração'!$B$56+62&gt;='🌱 Configuração'!$C$56,'🌱 Configuração'!$B$56+62&lt;'🌱 Configuração'!$D$56,MOD('🌱 Configuração'!$B$56+62-'🌱 Configuração'!$C$56,7)=0,INT(('🌱 Configuração'!$B$56+62-'🌱 Configuração'!$C$56)/7)+1=2),"🍄 Beauveria bassiana — foliar + solo",IF(AND('🌱 Configuração'!$B$56+62&gt;='🌱 Configuração'!$C$56,'🌱 Configuração'!$B$56+62&lt;'🌱 Configuração'!$D$56,MOD('🌱 Configuração'!$B$56+62-'🌱 Configuração'!$C$56,7)=0,INT(('🌱 Configuração'!$B$56+62-'🌱 Configuração'!$C$56)/7)+1=3),"🟡 Calda Sulfocálcica (1%) — foliar",IF(AND('🌱 Configuração'!$B$56+62&gt;='🌱 Configuração'!$C$56,'🌱 Configuração'!$B$56+62&lt;'🌱 Configuração'!$D$56,MOD('🌱 Configuração'!$B$56+62-'🌱 Configuração'!$C$56,7)=0,INT(('🌱 Configuração'!$B$56+62-'🌱 Configuração'!$C$56)/7)+1=4),"🦠 Trichoderma (3 g/L) — solo",IF(AND('🌱 Configuração'!$B$56+62&gt;='🌱 Configuração'!$C$56,'🌱 Configuração'!$B$56+62&lt;'🌱 Configuração'!$D$56,MOD('🌱 Configuração'!$B$56+62-'🌱 Configuração'!$C$56,7)=0,INT(('🌱 Configuração'!$B$56+62-'🌱 Configuração'!$C$56)/7)+1=5),"🔵 Calda Bordalesa (0.5%) — foliar",IF(AND('🌱 Configuração'!$B$56+62&gt;='🌱 Configuração'!$C$56,'🌱 Configuração'!$B$56+62&lt;'🌱 Configuração'!$D$56,MOD('🌱 Configuração'!$B$56+62-'🌱 Configuração'!$C$56,7)=0,INT(('🌱 Configuração'!$B$56+62-'🌱 Configuração'!$C$56)/7)+1=6),"🌿 Nim (2 mL/L) — ⚠️ ÚLTIMA foliar",IF(AND('🌱 Configuração'!$B$56+62&gt;='🌱 Configuração'!$C$56,'🌱 Configuração'!$B$56+62&lt;'🌱 Configuração'!$D$56,MOD('🌱 Configuração'!$B$56+62-'🌱 Configuração'!$C$56,7)=0,INT(('🌱 Configuração'!$B$56+62-'🌱 Configuração'!$C$56)/7)+1=7),"🦠 Trichoderma — solo",IF(AND('🌱 Configuração'!$B$56+62&gt;='🌱 Configuração'!$C$56,'🌱 Configuração'!$B$56+62&lt;'🌱 Configuração'!$D$56,MOD('🌱 Configuração'!$B$56+62-'🌱 Configuração'!$C$56,7)=0,INT(('🌱 Configuração'!$B$56+62-'🌱 Configuração'!$C$56)/7)+1=8),"🍄 Beauveria — solo","")))))))),IF('🌱 Configuração'!$B$56+62&lt;'🌱 Configuração'!$E$56,IF(AND('🌱 Configuração'!$B$56+62&gt;='🌱 Configuração'!$D$56,'🌱 Configuração'!$B$56+62&lt;'🌱 Configuração'!$E$56,MOD('🌱 Configuração'!$B$56+62-'🌱 Configuração'!$D$56,7)=0,INT(('🌱 Configuração'!$B$56+62-'🌱 Configuração'!$D$56)/7)+1=1),"🍄 Beauveria bassiana — SOLO apenas",IF(AND('🌱 Configuração'!$B$56+62&gt;='🌱 Configuração'!$D$56,'🌱 Configuração'!$B$56+62&lt;'🌱 Configuração'!$E$56,MOD('🌱 Configuração'!$B$56+62-'🌱 Configuração'!$D$56,7)=0,INT(('🌱 Configuração'!$B$56+62-'🌱 Configuração'!$D$56)/7)+1=2),"🦠 Trichoderma (3 g/L) — solo",IF(AND('🌱 Configuração'!$B$56+62&gt;='🌱 Configuração'!$D$56,'🌱 Configuração'!$B$56+62&lt;'🌱 Configuração'!$E$56,MOD('🌱 Configuração'!$B$56+62-'🌱 Configuração'!$D$56,7)=0,INT(('🌱 Configuração'!$B$56+62-'🌱 Configuração'!$D$56)/7)+1=3),"🍄 Beauveria bassiana — solo | ⚠️ Umid &lt;45%",IF(AND('🌱 Configuração'!$B$56+62&gt;='🌱 Configuração'!$D$56,'🌱 Configuração'!$B$56+62&lt;'🌱 Configuração'!$E$56,MOD('🌱 Configuração'!$B$56+62-'🌱 Configuração'!$D$56,7)=0,INT(('🌱 Configuração'!$B$56+62-'🌱 Configuração'!$D$56)/7)+1=4),"🦠 Trichoderma — solo | Inspecionar buds",IF(AND('🌱 Configuração'!$B$56+62&gt;='🌱 Configuração'!$D$56,'🌱 Configuração'!$B$56+62&lt;'🌱 Configuração'!$E$56,MOD('🌱 Configuração'!$B$56+62-'🌱 Configuração'!$D$56,7)=0,INT(('🌱 Configuração'!$B$56+62-'🌱 Configuração'!$D$56)/7)+1=5),"🍄 Beauveria + inspeção visual buds",IF(AND('🌱 Configuração'!$B$56+62&gt;='🌱 Configuração'!$D$56,'🌱 Configuração'!$B$56+62&lt;'🌱 Configuração'!$E$56,MOD('🌱 Configuração'!$B$56+62-'🌱 Configuração'!$D$56,7)=0,INT(('🌱 Configuração'!$B$56+62-'🌱 Configuração'!$D$56)/7)+1=6),"🦠 Trichoderma + ⚠️ Verificar mofo","")))))),IF(AND('🌱 Configuração'!$B$56+62&gt;='🌱 Configuração'!$E$56,MOD('🌱 Configuração'!$B$56+62-'🌱 Configuração'!$E$56,7)=0),"🔬 Inspeção final — analisar tricomas","")))))</f>
        <v/>
      </c>
      <c r="I68" s="33"/>
    </row>
    <row r="69" spans="1:9" ht="19.5" customHeight="1">
      <c r="A69" s="1"/>
      <c r="B69" s="39">
        <f>IF(64&lt;='🌱 Configuração'!$F$55,64,"")</f>
        <v>64</v>
      </c>
      <c r="C69" s="40">
        <f>IF(64&lt;='🌱 Configuração'!$F$55,'🌱 Configuração'!$B$56+63,"")</f>
        <v>63</v>
      </c>
      <c r="D69" s="41" t="str">
        <f>IF(64&gt;'🌱 Configuração'!$F$55,"",IF('🌱 Configuração'!$B$56+63&lt;'🌱 Configuração'!$C$56,"🌱 Clone",IF('🌱 Configuração'!$B$56+63&lt;'🌱 Configuração'!$D$56,"🌿 Vegetativo",IF('🌱 Configuração'!$B$56+63&lt;'🌱 Configuração'!$E$56,"🌸 Floração","🚿 Flush"))))</f>
        <v>🌸 Floração</v>
      </c>
      <c r="E69" s="42" t="str">
        <f>IF(64&gt;'🌱 Configuração'!$F$55,"",IF('🌱 Configuração'!$B$56+63&lt;'🌱 Configuração'!$C$56,"Clone S"&amp;INT((64-1)/7)+1,IF('🌱 Configuração'!$B$56+63&lt;'🌱 Configuração'!$D$56,"Vega S"&amp;INT(('🌱 Configuração'!$B$56+63-'🌱 Configuração'!$C$56)/7)+1,IF('🌱 Configuração'!$B$56+63&lt;'🌱 Configuração'!$E$56,"Flora S"&amp;INT(('🌱 Configuração'!$B$56+63-'🌱 Configuração'!$D$56)/7)+1,"Flush S"&amp;INT(('🌱 Configuração'!$B$56+63-'🌱 Configuração'!$E$56)/7)+1))))</f>
        <v>Flora S2</v>
      </c>
      <c r="F69" s="43" t="str">
        <f>IF(64&gt;'🌱 Configuração'!$F$55,"",IF('🌱 Configuração'!$B$56+63='🌱 Configuração'!$C$56,"🌿 INÍCIO VEGA — luz 18h/dia",IF('🌱 Configuração'!$B$56+63='🌱 Configuração'!$D$56,"🌸 INÍCIO FLORAÇÃO — mudar 12/12 🔴",IF('🌱 Configuração'!$B$56+63='🌱 Configuração'!$E$56,"🚿 INÍCIO FLUSH — parar nutrição",IF('🌱 Configuração'!$B$56+63='🌱 Configuração'!$F$56-1,"🔬 Véspera da colheita — analisar tricomas",IF('🌱 Configuração'!$B$56+63='🌱 Configuração'!$F$56,"✂️ COLHEITA — Parabéns! 🎉",""))))))</f>
        <v/>
      </c>
      <c r="G69" s="44" t="s">
        <v>437</v>
      </c>
      <c r="H69" s="45" t="str">
        <f>IF(64&gt;'🌱 Configuração'!$F$55,"",IF('🌱 Configuração'!$B$56+63&lt;'🌱 Configuração'!$C$56,IF(64=1,"🌿 Nim (2 mL/L) — foliar leve",IF(64=8,"🍄 Beauveria bassiana — foliar + solo","")),IF('🌱 Configuração'!$B$56+63&lt;'🌱 Configuração'!$D$56,IF(AND('🌱 Configuração'!$B$56+63&gt;='🌱 Configuração'!$C$56,'🌱 Configuração'!$B$56+63&lt;'🌱 Configuração'!$D$56,MOD('🌱 Configuração'!$B$56+63-'🌱 Configuração'!$C$56,7)=0,INT(('🌱 Configuração'!$B$56+63-'🌱 Configuração'!$C$56)/7)+1=1),"🌿 Nim (2 mL/L) — foliar preventivo",IF(AND('🌱 Configuração'!$B$56+63&gt;='🌱 Configuração'!$C$56,'🌱 Configuração'!$B$56+63&lt;'🌱 Configuração'!$D$56,MOD('🌱 Configuração'!$B$56+63-'🌱 Configuração'!$C$56,7)=0,INT(('🌱 Configuração'!$B$56+63-'🌱 Configuração'!$C$56)/7)+1=2),"🍄 Beauveria bassiana — foliar + solo",IF(AND('🌱 Configuração'!$B$56+63&gt;='🌱 Configuração'!$C$56,'🌱 Configuração'!$B$56+63&lt;'🌱 Configuração'!$D$56,MOD('🌱 Configuração'!$B$56+63-'🌱 Configuração'!$C$56,7)=0,INT(('🌱 Configuração'!$B$56+63-'🌱 Configuração'!$C$56)/7)+1=3),"🟡 Calda Sulfocálcica (1%) — foliar",IF(AND('🌱 Configuração'!$B$56+63&gt;='🌱 Configuração'!$C$56,'🌱 Configuração'!$B$56+63&lt;'🌱 Configuração'!$D$56,MOD('🌱 Configuração'!$B$56+63-'🌱 Configuração'!$C$56,7)=0,INT(('🌱 Configuração'!$B$56+63-'🌱 Configuração'!$C$56)/7)+1=4),"🦠 Trichoderma (3 g/L) — solo",IF(AND('🌱 Configuração'!$B$56+63&gt;='🌱 Configuração'!$C$56,'🌱 Configuração'!$B$56+63&lt;'🌱 Configuração'!$D$56,MOD('🌱 Configuração'!$B$56+63-'🌱 Configuração'!$C$56,7)=0,INT(('🌱 Configuração'!$B$56+63-'🌱 Configuração'!$C$56)/7)+1=5),"🔵 Calda Bordalesa (0.5%) — foliar",IF(AND('🌱 Configuração'!$B$56+63&gt;='🌱 Configuração'!$C$56,'🌱 Configuração'!$B$56+63&lt;'🌱 Configuração'!$D$56,MOD('🌱 Configuração'!$B$56+63-'🌱 Configuração'!$C$56,7)=0,INT(('🌱 Configuração'!$B$56+63-'🌱 Configuração'!$C$56)/7)+1=6),"🌿 Nim (2 mL/L) — ⚠️ ÚLTIMA foliar",IF(AND('🌱 Configuração'!$B$56+63&gt;='🌱 Configuração'!$C$56,'🌱 Configuração'!$B$56+63&lt;'🌱 Configuração'!$D$56,MOD('🌱 Configuração'!$B$56+63-'🌱 Configuração'!$C$56,7)=0,INT(('🌱 Configuração'!$B$56+63-'🌱 Configuração'!$C$56)/7)+1=7),"🦠 Trichoderma — solo",IF(AND('🌱 Configuração'!$B$56+63&gt;='🌱 Configuração'!$C$56,'🌱 Configuração'!$B$56+63&lt;'🌱 Configuração'!$D$56,MOD('🌱 Configuração'!$B$56+63-'🌱 Configuração'!$C$56,7)=0,INT(('🌱 Configuração'!$B$56+63-'🌱 Configuração'!$C$56)/7)+1=8),"🍄 Beauveria — solo","")))))))),IF('🌱 Configuração'!$B$56+63&lt;'🌱 Configuração'!$E$56,IF(AND('🌱 Configuração'!$B$56+63&gt;='🌱 Configuração'!$D$56,'🌱 Configuração'!$B$56+63&lt;'🌱 Configuração'!$E$56,MOD('🌱 Configuração'!$B$56+63-'🌱 Configuração'!$D$56,7)=0,INT(('🌱 Configuração'!$B$56+63-'🌱 Configuração'!$D$56)/7)+1=1),"🍄 Beauveria bassiana — SOLO apenas",IF(AND('🌱 Configuração'!$B$56+63&gt;='🌱 Configuração'!$D$56,'🌱 Configuração'!$B$56+63&lt;'🌱 Configuração'!$E$56,MOD('🌱 Configuração'!$B$56+63-'🌱 Configuração'!$D$56,7)=0,INT(('🌱 Configuração'!$B$56+63-'🌱 Configuração'!$D$56)/7)+1=2),"🦠 Trichoderma (3 g/L) — solo",IF(AND('🌱 Configuração'!$B$56+63&gt;='🌱 Configuração'!$D$56,'🌱 Configuração'!$B$56+63&lt;'🌱 Configuração'!$E$56,MOD('🌱 Configuração'!$B$56+63-'🌱 Configuração'!$D$56,7)=0,INT(('🌱 Configuração'!$B$56+63-'🌱 Configuração'!$D$56)/7)+1=3),"🍄 Beauveria bassiana — solo | ⚠️ Umid &lt;45%",IF(AND('🌱 Configuração'!$B$56+63&gt;='🌱 Configuração'!$D$56,'🌱 Configuração'!$B$56+63&lt;'🌱 Configuração'!$E$56,MOD('🌱 Configuração'!$B$56+63-'🌱 Configuração'!$D$56,7)=0,INT(('🌱 Configuração'!$B$56+63-'🌱 Configuração'!$D$56)/7)+1=4),"🦠 Trichoderma — solo | Inspecionar buds",IF(AND('🌱 Configuração'!$B$56+63&gt;='🌱 Configuração'!$D$56,'🌱 Configuração'!$B$56+63&lt;'🌱 Configuração'!$E$56,MOD('🌱 Configuração'!$B$56+63-'🌱 Configuração'!$D$56,7)=0,INT(('🌱 Configuração'!$B$56+63-'🌱 Configuração'!$D$56)/7)+1=5),"🍄 Beauveria + inspeção visual buds",IF(AND('🌱 Configuração'!$B$56+63&gt;='🌱 Configuração'!$D$56,'🌱 Configuração'!$B$56+63&lt;'🌱 Configuração'!$E$56,MOD('🌱 Configuração'!$B$56+63-'🌱 Configuração'!$D$56,7)=0,INT(('🌱 Configuração'!$B$56+63-'🌱 Configuração'!$D$56)/7)+1=6),"🦠 Trichoderma + ⚠️ Verificar mofo","")))))),IF(AND('🌱 Configuração'!$B$56+63&gt;='🌱 Configuração'!$E$56,MOD('🌱 Configuração'!$B$56+63-'🌱 Configuração'!$E$56,7)=0),"🔬 Inspeção final — analisar tricomas","")))))</f>
        <v>🦠 Trichoderma (3 g/L) — solo</v>
      </c>
      <c r="I69" s="33"/>
    </row>
    <row r="70" spans="1:9" ht="19.5" customHeight="1">
      <c r="A70" s="1"/>
      <c r="B70" s="35">
        <f>IF(65&lt;='🌱 Configuração'!$F$55,65,"")</f>
        <v>65</v>
      </c>
      <c r="C70" s="13">
        <f>IF(65&lt;='🌱 Configuração'!$F$55,'🌱 Configuração'!$B$56+64,"")</f>
        <v>64</v>
      </c>
      <c r="D70" s="36" t="str">
        <f>IF(65&gt;'🌱 Configuração'!$F$55,"",IF('🌱 Configuração'!$B$56+64&lt;'🌱 Configuração'!$C$56,"🌱 Clone",IF('🌱 Configuração'!$B$56+64&lt;'🌱 Configuração'!$D$56,"🌿 Vegetativo",IF('🌱 Configuração'!$B$56+64&lt;'🌱 Configuração'!$E$56,"🌸 Floração","🚿 Flush"))))</f>
        <v>🌸 Floração</v>
      </c>
      <c r="E70" s="15" t="str">
        <f>IF(65&gt;'🌱 Configuração'!$F$55,"",IF('🌱 Configuração'!$B$56+64&lt;'🌱 Configuração'!$C$56,"Clone S"&amp;INT((65-1)/7)+1,IF('🌱 Configuração'!$B$56+64&lt;'🌱 Configuração'!$D$56,"Vega S"&amp;INT(('🌱 Configuração'!$B$56+64-'🌱 Configuração'!$C$56)/7)+1,IF('🌱 Configuração'!$B$56+64&lt;'🌱 Configuração'!$E$56,"Flora S"&amp;INT(('🌱 Configuração'!$B$56+64-'🌱 Configuração'!$D$56)/7)+1,"Flush S"&amp;INT(('🌱 Configuração'!$B$56+64-'🌱 Configuração'!$E$56)/7)+1))))</f>
        <v>Flora S2</v>
      </c>
      <c r="F70" s="14" t="str">
        <f>IF(65&gt;'🌱 Configuração'!$F$55,"",IF('🌱 Configuração'!$B$56+64='🌱 Configuração'!$C$56,"🌿 INÍCIO VEGA — luz 18h/dia",IF('🌱 Configuração'!$B$56+64='🌱 Configuração'!$D$56,"🌸 INÍCIO FLORAÇÃO — mudar 12/12 🔴",IF('🌱 Configuração'!$B$56+64='🌱 Configuração'!$E$56,"🚿 INÍCIO FLUSH — parar nutrição",IF('🌱 Configuração'!$B$56+64='🌱 Configuração'!$F$56-1,"🔬 Véspera da colheita — analisar tricomas",IF('🌱 Configuração'!$B$56+64='🌱 Configuração'!$F$56,"✂️ COLHEITA — Parabéns! 🎉",""))))))</f>
        <v/>
      </c>
      <c r="G70" s="37" t="s">
        <v>428</v>
      </c>
      <c r="H70" s="38" t="str">
        <f>IF(65&gt;'🌱 Configuração'!$F$55,"",IF('🌱 Configuração'!$B$56+64&lt;'🌱 Configuração'!$C$56,IF(65=1,"🌿 Nim (2 mL/L) — foliar leve",IF(65=8,"🍄 Beauveria bassiana — foliar + solo","")),IF('🌱 Configuração'!$B$56+64&lt;'🌱 Configuração'!$D$56,IF(AND('🌱 Configuração'!$B$56+64&gt;='🌱 Configuração'!$C$56,'🌱 Configuração'!$B$56+64&lt;'🌱 Configuração'!$D$56,MOD('🌱 Configuração'!$B$56+64-'🌱 Configuração'!$C$56,7)=0,INT(('🌱 Configuração'!$B$56+64-'🌱 Configuração'!$C$56)/7)+1=1),"🌿 Nim (2 mL/L) — foliar preventivo",IF(AND('🌱 Configuração'!$B$56+64&gt;='🌱 Configuração'!$C$56,'🌱 Configuração'!$B$56+64&lt;'🌱 Configuração'!$D$56,MOD('🌱 Configuração'!$B$56+64-'🌱 Configuração'!$C$56,7)=0,INT(('🌱 Configuração'!$B$56+64-'🌱 Configuração'!$C$56)/7)+1=2),"🍄 Beauveria bassiana — foliar + solo",IF(AND('🌱 Configuração'!$B$56+64&gt;='🌱 Configuração'!$C$56,'🌱 Configuração'!$B$56+64&lt;'🌱 Configuração'!$D$56,MOD('🌱 Configuração'!$B$56+64-'🌱 Configuração'!$C$56,7)=0,INT(('🌱 Configuração'!$B$56+64-'🌱 Configuração'!$C$56)/7)+1=3),"🟡 Calda Sulfocálcica (1%) — foliar",IF(AND('🌱 Configuração'!$B$56+64&gt;='🌱 Configuração'!$C$56,'🌱 Configuração'!$B$56+64&lt;'🌱 Configuração'!$D$56,MOD('🌱 Configuração'!$B$56+64-'🌱 Configuração'!$C$56,7)=0,INT(('🌱 Configuração'!$B$56+64-'🌱 Configuração'!$C$56)/7)+1=4),"🦠 Trichoderma (3 g/L) — solo",IF(AND('🌱 Configuração'!$B$56+64&gt;='🌱 Configuração'!$C$56,'🌱 Configuração'!$B$56+64&lt;'🌱 Configuração'!$D$56,MOD('🌱 Configuração'!$B$56+64-'🌱 Configuração'!$C$56,7)=0,INT(('🌱 Configuração'!$B$56+64-'🌱 Configuração'!$C$56)/7)+1=5),"🔵 Calda Bordalesa (0.5%) — foliar",IF(AND('🌱 Configuração'!$B$56+64&gt;='🌱 Configuração'!$C$56,'🌱 Configuração'!$B$56+64&lt;'🌱 Configuração'!$D$56,MOD('🌱 Configuração'!$B$56+64-'🌱 Configuração'!$C$56,7)=0,INT(('🌱 Configuração'!$B$56+64-'🌱 Configuração'!$C$56)/7)+1=6),"🌿 Nim (2 mL/L) — ⚠️ ÚLTIMA foliar",IF(AND('🌱 Configuração'!$B$56+64&gt;='🌱 Configuração'!$C$56,'🌱 Configuração'!$B$56+64&lt;'🌱 Configuração'!$D$56,MOD('🌱 Configuração'!$B$56+64-'🌱 Configuração'!$C$56,7)=0,INT(('🌱 Configuração'!$B$56+64-'🌱 Configuração'!$C$56)/7)+1=7),"🦠 Trichoderma — solo",IF(AND('🌱 Configuração'!$B$56+64&gt;='🌱 Configuração'!$C$56,'🌱 Configuração'!$B$56+64&lt;'🌱 Configuração'!$D$56,MOD('🌱 Configuração'!$B$56+64-'🌱 Configuração'!$C$56,7)=0,INT(('🌱 Configuração'!$B$56+64-'🌱 Configuração'!$C$56)/7)+1=8),"🍄 Beauveria — solo","")))))))),IF('🌱 Configuração'!$B$56+64&lt;'🌱 Configuração'!$E$56,IF(AND('🌱 Configuração'!$B$56+64&gt;='🌱 Configuração'!$D$56,'🌱 Configuração'!$B$56+64&lt;'🌱 Configuração'!$E$56,MOD('🌱 Configuração'!$B$56+64-'🌱 Configuração'!$D$56,7)=0,INT(('🌱 Configuração'!$B$56+64-'🌱 Configuração'!$D$56)/7)+1=1),"🍄 Beauveria bassiana — SOLO apenas",IF(AND('🌱 Configuração'!$B$56+64&gt;='🌱 Configuração'!$D$56,'🌱 Configuração'!$B$56+64&lt;'🌱 Configuração'!$E$56,MOD('🌱 Configuração'!$B$56+64-'🌱 Configuração'!$D$56,7)=0,INT(('🌱 Configuração'!$B$56+64-'🌱 Configuração'!$D$56)/7)+1=2),"🦠 Trichoderma (3 g/L) — solo",IF(AND('🌱 Configuração'!$B$56+64&gt;='🌱 Configuração'!$D$56,'🌱 Configuração'!$B$56+64&lt;'🌱 Configuração'!$E$56,MOD('🌱 Configuração'!$B$56+64-'🌱 Configuração'!$D$56,7)=0,INT(('🌱 Configuração'!$B$56+64-'🌱 Configuração'!$D$56)/7)+1=3),"🍄 Beauveria bassiana — solo | ⚠️ Umid &lt;45%",IF(AND('🌱 Configuração'!$B$56+64&gt;='🌱 Configuração'!$D$56,'🌱 Configuração'!$B$56+64&lt;'🌱 Configuração'!$E$56,MOD('🌱 Configuração'!$B$56+64-'🌱 Configuração'!$D$56,7)=0,INT(('🌱 Configuração'!$B$56+64-'🌱 Configuração'!$D$56)/7)+1=4),"🦠 Trichoderma — solo | Inspecionar buds",IF(AND('🌱 Configuração'!$B$56+64&gt;='🌱 Configuração'!$D$56,'🌱 Configuração'!$B$56+64&lt;'🌱 Configuração'!$E$56,MOD('🌱 Configuração'!$B$56+64-'🌱 Configuração'!$D$56,7)=0,INT(('🌱 Configuração'!$B$56+64-'🌱 Configuração'!$D$56)/7)+1=5),"🍄 Beauveria + inspeção visual buds",IF(AND('🌱 Configuração'!$B$56+64&gt;='🌱 Configuração'!$D$56,'🌱 Configuração'!$B$56+64&lt;'🌱 Configuração'!$E$56,MOD('🌱 Configuração'!$B$56+64-'🌱 Configuração'!$D$56,7)=0,INT(('🌱 Configuração'!$B$56+64-'🌱 Configuração'!$D$56)/7)+1=6),"🦠 Trichoderma + ⚠️ Verificar mofo","")))))),IF(AND('🌱 Configuração'!$B$56+64&gt;='🌱 Configuração'!$E$56,MOD('🌱 Configuração'!$B$56+64-'🌱 Configuração'!$E$56,7)=0),"🔬 Inspeção final — analisar tricomas","")))))</f>
        <v/>
      </c>
      <c r="I70" s="33"/>
    </row>
    <row r="71" spans="1:9" ht="19.5" customHeight="1">
      <c r="A71" s="1"/>
      <c r="B71" s="39">
        <f>IF(66&lt;='🌱 Configuração'!$F$55,66,"")</f>
        <v>66</v>
      </c>
      <c r="C71" s="40">
        <f>IF(66&lt;='🌱 Configuração'!$F$55,'🌱 Configuração'!$B$56+65,"")</f>
        <v>65</v>
      </c>
      <c r="D71" s="41" t="str">
        <f>IF(66&gt;'🌱 Configuração'!$F$55,"",IF('🌱 Configuração'!$B$56+65&lt;'🌱 Configuração'!$C$56,"🌱 Clone",IF('🌱 Configuração'!$B$56+65&lt;'🌱 Configuração'!$D$56,"🌿 Vegetativo",IF('🌱 Configuração'!$B$56+65&lt;'🌱 Configuração'!$E$56,"🌸 Floração","🚿 Flush"))))</f>
        <v>🌸 Floração</v>
      </c>
      <c r="E71" s="42" t="str">
        <f>IF(66&gt;'🌱 Configuração'!$F$55,"",IF('🌱 Configuração'!$B$56+65&lt;'🌱 Configuração'!$C$56,"Clone S"&amp;INT((66-1)/7)+1,IF('🌱 Configuração'!$B$56+65&lt;'🌱 Configuração'!$D$56,"Vega S"&amp;INT(('🌱 Configuração'!$B$56+65-'🌱 Configuração'!$C$56)/7)+1,IF('🌱 Configuração'!$B$56+65&lt;'🌱 Configuração'!$E$56,"Flora S"&amp;INT(('🌱 Configuração'!$B$56+65-'🌱 Configuração'!$D$56)/7)+1,"Flush S"&amp;INT(('🌱 Configuração'!$B$56+65-'🌱 Configuração'!$E$56)/7)+1))))</f>
        <v>Flora S2</v>
      </c>
      <c r="F71" s="43" t="str">
        <f>IF(66&gt;'🌱 Configuração'!$F$55,"",IF('🌱 Configuração'!$B$56+65='🌱 Configuração'!$C$56,"🌿 INÍCIO VEGA — luz 18h/dia",IF('🌱 Configuração'!$B$56+65='🌱 Configuração'!$D$56,"🌸 INÍCIO FLORAÇÃO — mudar 12/12 🔴",IF('🌱 Configuração'!$B$56+65='🌱 Configuração'!$E$56,"🚿 INÍCIO FLUSH — parar nutrição",IF('🌱 Configuração'!$B$56+65='🌱 Configuração'!$F$56-1,"🔬 Véspera da colheita — analisar tricomas",IF('🌱 Configuração'!$B$56+65='🌱 Configuração'!$F$56,"✂️ COLHEITA — Parabéns! 🎉",""))))))</f>
        <v/>
      </c>
      <c r="G71" s="44" t="s">
        <v>428</v>
      </c>
      <c r="H71" s="45" t="str">
        <f>IF(66&gt;'🌱 Configuração'!$F$55,"",IF('🌱 Configuração'!$B$56+65&lt;'🌱 Configuração'!$C$56,IF(66=1,"🌿 Nim (2 mL/L) — foliar leve",IF(66=8,"🍄 Beauveria bassiana — foliar + solo","")),IF('🌱 Configuração'!$B$56+65&lt;'🌱 Configuração'!$D$56,IF(AND('🌱 Configuração'!$B$56+65&gt;='🌱 Configuração'!$C$56,'🌱 Configuração'!$B$56+65&lt;'🌱 Configuração'!$D$56,MOD('🌱 Configuração'!$B$56+65-'🌱 Configuração'!$C$56,7)=0,INT(('🌱 Configuração'!$B$56+65-'🌱 Configuração'!$C$56)/7)+1=1),"🌿 Nim (2 mL/L) — foliar preventivo",IF(AND('🌱 Configuração'!$B$56+65&gt;='🌱 Configuração'!$C$56,'🌱 Configuração'!$B$56+65&lt;'🌱 Configuração'!$D$56,MOD('🌱 Configuração'!$B$56+65-'🌱 Configuração'!$C$56,7)=0,INT(('🌱 Configuração'!$B$56+65-'🌱 Configuração'!$C$56)/7)+1=2),"🍄 Beauveria bassiana — foliar + solo",IF(AND('🌱 Configuração'!$B$56+65&gt;='🌱 Configuração'!$C$56,'🌱 Configuração'!$B$56+65&lt;'🌱 Configuração'!$D$56,MOD('🌱 Configuração'!$B$56+65-'🌱 Configuração'!$C$56,7)=0,INT(('🌱 Configuração'!$B$56+65-'🌱 Configuração'!$C$56)/7)+1=3),"🟡 Calda Sulfocálcica (1%) — foliar",IF(AND('🌱 Configuração'!$B$56+65&gt;='🌱 Configuração'!$C$56,'🌱 Configuração'!$B$56+65&lt;'🌱 Configuração'!$D$56,MOD('🌱 Configuração'!$B$56+65-'🌱 Configuração'!$C$56,7)=0,INT(('🌱 Configuração'!$B$56+65-'🌱 Configuração'!$C$56)/7)+1=4),"🦠 Trichoderma (3 g/L) — solo",IF(AND('🌱 Configuração'!$B$56+65&gt;='🌱 Configuração'!$C$56,'🌱 Configuração'!$B$56+65&lt;'🌱 Configuração'!$D$56,MOD('🌱 Configuração'!$B$56+65-'🌱 Configuração'!$C$56,7)=0,INT(('🌱 Configuração'!$B$56+65-'🌱 Configuração'!$C$56)/7)+1=5),"🔵 Calda Bordalesa (0.5%) — foliar",IF(AND('🌱 Configuração'!$B$56+65&gt;='🌱 Configuração'!$C$56,'🌱 Configuração'!$B$56+65&lt;'🌱 Configuração'!$D$56,MOD('🌱 Configuração'!$B$56+65-'🌱 Configuração'!$C$56,7)=0,INT(('🌱 Configuração'!$B$56+65-'🌱 Configuração'!$C$56)/7)+1=6),"🌿 Nim (2 mL/L) — ⚠️ ÚLTIMA foliar",IF(AND('🌱 Configuração'!$B$56+65&gt;='🌱 Configuração'!$C$56,'🌱 Configuração'!$B$56+65&lt;'🌱 Configuração'!$D$56,MOD('🌱 Configuração'!$B$56+65-'🌱 Configuração'!$C$56,7)=0,INT(('🌱 Configuração'!$B$56+65-'🌱 Configuração'!$C$56)/7)+1=7),"🦠 Trichoderma — solo",IF(AND('🌱 Configuração'!$B$56+65&gt;='🌱 Configuração'!$C$56,'🌱 Configuração'!$B$56+65&lt;'🌱 Configuração'!$D$56,MOD('🌱 Configuração'!$B$56+65-'🌱 Configuração'!$C$56,7)=0,INT(('🌱 Configuração'!$B$56+65-'🌱 Configuração'!$C$56)/7)+1=8),"🍄 Beauveria — solo","")))))))),IF('🌱 Configuração'!$B$56+65&lt;'🌱 Configuração'!$E$56,IF(AND('🌱 Configuração'!$B$56+65&gt;='🌱 Configuração'!$D$56,'🌱 Configuração'!$B$56+65&lt;'🌱 Configuração'!$E$56,MOD('🌱 Configuração'!$B$56+65-'🌱 Configuração'!$D$56,7)=0,INT(('🌱 Configuração'!$B$56+65-'🌱 Configuração'!$D$56)/7)+1=1),"🍄 Beauveria bassiana — SOLO apenas",IF(AND('🌱 Configuração'!$B$56+65&gt;='🌱 Configuração'!$D$56,'🌱 Configuração'!$B$56+65&lt;'🌱 Configuração'!$E$56,MOD('🌱 Configuração'!$B$56+65-'🌱 Configuração'!$D$56,7)=0,INT(('🌱 Configuração'!$B$56+65-'🌱 Configuração'!$D$56)/7)+1=2),"🦠 Trichoderma (3 g/L) — solo",IF(AND('🌱 Configuração'!$B$56+65&gt;='🌱 Configuração'!$D$56,'🌱 Configuração'!$B$56+65&lt;'🌱 Configuração'!$E$56,MOD('🌱 Configuração'!$B$56+65-'🌱 Configuração'!$D$56,7)=0,INT(('🌱 Configuração'!$B$56+65-'🌱 Configuração'!$D$56)/7)+1=3),"🍄 Beauveria bassiana — solo | ⚠️ Umid &lt;45%",IF(AND('🌱 Configuração'!$B$56+65&gt;='🌱 Configuração'!$D$56,'🌱 Configuração'!$B$56+65&lt;'🌱 Configuração'!$E$56,MOD('🌱 Configuração'!$B$56+65-'🌱 Configuração'!$D$56,7)=0,INT(('🌱 Configuração'!$B$56+65-'🌱 Configuração'!$D$56)/7)+1=4),"🦠 Trichoderma — solo | Inspecionar buds",IF(AND('🌱 Configuração'!$B$56+65&gt;='🌱 Configuração'!$D$56,'🌱 Configuração'!$B$56+65&lt;'🌱 Configuração'!$E$56,MOD('🌱 Configuração'!$B$56+65-'🌱 Configuração'!$D$56,7)=0,INT(('🌱 Configuração'!$B$56+65-'🌱 Configuração'!$D$56)/7)+1=5),"🍄 Beauveria + inspeção visual buds",IF(AND('🌱 Configuração'!$B$56+65&gt;='🌱 Configuração'!$D$56,'🌱 Configuração'!$B$56+65&lt;'🌱 Configuração'!$E$56,MOD('🌱 Configuração'!$B$56+65-'🌱 Configuração'!$D$56,7)=0,INT(('🌱 Configuração'!$B$56+65-'🌱 Configuração'!$D$56)/7)+1=6),"🦠 Trichoderma + ⚠️ Verificar mofo","")))))),IF(AND('🌱 Configuração'!$B$56+65&gt;='🌱 Configuração'!$E$56,MOD('🌱 Configuração'!$B$56+65-'🌱 Configuração'!$E$56,7)=0),"🔬 Inspeção final — analisar tricomas","")))))</f>
        <v/>
      </c>
      <c r="I71" s="33"/>
    </row>
    <row r="72" spans="1:9" ht="19.5" customHeight="1">
      <c r="A72" s="1"/>
      <c r="B72" s="35">
        <f>IF(67&lt;='🌱 Configuração'!$F$55,67,"")</f>
        <v>67</v>
      </c>
      <c r="C72" s="13">
        <f>IF(67&lt;='🌱 Configuração'!$F$55,'🌱 Configuração'!$B$56+66,"")</f>
        <v>66</v>
      </c>
      <c r="D72" s="36" t="str">
        <f>IF(67&gt;'🌱 Configuração'!$F$55,"",IF('🌱 Configuração'!$B$56+66&lt;'🌱 Configuração'!$C$56,"🌱 Clone",IF('🌱 Configuração'!$B$56+66&lt;'🌱 Configuração'!$D$56,"🌿 Vegetativo",IF('🌱 Configuração'!$B$56+66&lt;'🌱 Configuração'!$E$56,"🌸 Floração","🚿 Flush"))))</f>
        <v>🌸 Floração</v>
      </c>
      <c r="E72" s="15" t="str">
        <f>IF(67&gt;'🌱 Configuração'!$F$55,"",IF('🌱 Configuração'!$B$56+66&lt;'🌱 Configuração'!$C$56,"Clone S"&amp;INT((67-1)/7)+1,IF('🌱 Configuração'!$B$56+66&lt;'🌱 Configuração'!$D$56,"Vega S"&amp;INT(('🌱 Configuração'!$B$56+66-'🌱 Configuração'!$C$56)/7)+1,IF('🌱 Configuração'!$B$56+66&lt;'🌱 Configuração'!$E$56,"Flora S"&amp;INT(('🌱 Configuração'!$B$56+66-'🌱 Configuração'!$D$56)/7)+1,"Flush S"&amp;INT(('🌱 Configuração'!$B$56+66-'🌱 Configuração'!$E$56)/7)+1))))</f>
        <v>Flora S2</v>
      </c>
      <c r="F72" s="14" t="str">
        <f>IF(67&gt;'🌱 Configuração'!$F$55,"",IF('🌱 Configuração'!$B$56+66='🌱 Configuração'!$C$56,"🌿 INÍCIO VEGA — luz 18h/dia",IF('🌱 Configuração'!$B$56+66='🌱 Configuração'!$D$56,"🌸 INÍCIO FLORAÇÃO — mudar 12/12 🔴",IF('🌱 Configuração'!$B$56+66='🌱 Configuração'!$E$56,"🚿 INÍCIO FLUSH — parar nutrição",IF('🌱 Configuração'!$B$56+66='🌱 Configuração'!$F$56-1,"🔬 Véspera da colheita — analisar tricomas",IF('🌱 Configuração'!$B$56+66='🌱 Configuração'!$F$56,"✂️ COLHEITA — Parabéns! 🎉",""))))))</f>
        <v/>
      </c>
      <c r="G72" s="37" t="s">
        <v>428</v>
      </c>
      <c r="H72" s="38" t="str">
        <f>IF(67&gt;'🌱 Configuração'!$F$55,"",IF('🌱 Configuração'!$B$56+66&lt;'🌱 Configuração'!$C$56,IF(67=1,"🌿 Nim (2 mL/L) — foliar leve",IF(67=8,"🍄 Beauveria bassiana — foliar + solo","")),IF('🌱 Configuração'!$B$56+66&lt;'🌱 Configuração'!$D$56,IF(AND('🌱 Configuração'!$B$56+66&gt;='🌱 Configuração'!$C$56,'🌱 Configuração'!$B$56+66&lt;'🌱 Configuração'!$D$56,MOD('🌱 Configuração'!$B$56+66-'🌱 Configuração'!$C$56,7)=0,INT(('🌱 Configuração'!$B$56+66-'🌱 Configuração'!$C$56)/7)+1=1),"🌿 Nim (2 mL/L) — foliar preventivo",IF(AND('🌱 Configuração'!$B$56+66&gt;='🌱 Configuração'!$C$56,'🌱 Configuração'!$B$56+66&lt;'🌱 Configuração'!$D$56,MOD('🌱 Configuração'!$B$56+66-'🌱 Configuração'!$C$56,7)=0,INT(('🌱 Configuração'!$B$56+66-'🌱 Configuração'!$C$56)/7)+1=2),"🍄 Beauveria bassiana — foliar + solo",IF(AND('🌱 Configuração'!$B$56+66&gt;='🌱 Configuração'!$C$56,'🌱 Configuração'!$B$56+66&lt;'🌱 Configuração'!$D$56,MOD('🌱 Configuração'!$B$56+66-'🌱 Configuração'!$C$56,7)=0,INT(('🌱 Configuração'!$B$56+66-'🌱 Configuração'!$C$56)/7)+1=3),"🟡 Calda Sulfocálcica (1%) — foliar",IF(AND('🌱 Configuração'!$B$56+66&gt;='🌱 Configuração'!$C$56,'🌱 Configuração'!$B$56+66&lt;'🌱 Configuração'!$D$56,MOD('🌱 Configuração'!$B$56+66-'🌱 Configuração'!$C$56,7)=0,INT(('🌱 Configuração'!$B$56+66-'🌱 Configuração'!$C$56)/7)+1=4),"🦠 Trichoderma (3 g/L) — solo",IF(AND('🌱 Configuração'!$B$56+66&gt;='🌱 Configuração'!$C$56,'🌱 Configuração'!$B$56+66&lt;'🌱 Configuração'!$D$56,MOD('🌱 Configuração'!$B$56+66-'🌱 Configuração'!$C$56,7)=0,INT(('🌱 Configuração'!$B$56+66-'🌱 Configuração'!$C$56)/7)+1=5),"🔵 Calda Bordalesa (0.5%) — foliar",IF(AND('🌱 Configuração'!$B$56+66&gt;='🌱 Configuração'!$C$56,'🌱 Configuração'!$B$56+66&lt;'🌱 Configuração'!$D$56,MOD('🌱 Configuração'!$B$56+66-'🌱 Configuração'!$C$56,7)=0,INT(('🌱 Configuração'!$B$56+66-'🌱 Configuração'!$C$56)/7)+1=6),"🌿 Nim (2 mL/L) — ⚠️ ÚLTIMA foliar",IF(AND('🌱 Configuração'!$B$56+66&gt;='🌱 Configuração'!$C$56,'🌱 Configuração'!$B$56+66&lt;'🌱 Configuração'!$D$56,MOD('🌱 Configuração'!$B$56+66-'🌱 Configuração'!$C$56,7)=0,INT(('🌱 Configuração'!$B$56+66-'🌱 Configuração'!$C$56)/7)+1=7),"🦠 Trichoderma — solo",IF(AND('🌱 Configuração'!$B$56+66&gt;='🌱 Configuração'!$C$56,'🌱 Configuração'!$B$56+66&lt;'🌱 Configuração'!$D$56,MOD('🌱 Configuração'!$B$56+66-'🌱 Configuração'!$C$56,7)=0,INT(('🌱 Configuração'!$B$56+66-'🌱 Configuração'!$C$56)/7)+1=8),"🍄 Beauveria — solo","")))))))),IF('🌱 Configuração'!$B$56+66&lt;'🌱 Configuração'!$E$56,IF(AND('🌱 Configuração'!$B$56+66&gt;='🌱 Configuração'!$D$56,'🌱 Configuração'!$B$56+66&lt;'🌱 Configuração'!$E$56,MOD('🌱 Configuração'!$B$56+66-'🌱 Configuração'!$D$56,7)=0,INT(('🌱 Configuração'!$B$56+66-'🌱 Configuração'!$D$56)/7)+1=1),"🍄 Beauveria bassiana — SOLO apenas",IF(AND('🌱 Configuração'!$B$56+66&gt;='🌱 Configuração'!$D$56,'🌱 Configuração'!$B$56+66&lt;'🌱 Configuração'!$E$56,MOD('🌱 Configuração'!$B$56+66-'🌱 Configuração'!$D$56,7)=0,INT(('🌱 Configuração'!$B$56+66-'🌱 Configuração'!$D$56)/7)+1=2),"🦠 Trichoderma (3 g/L) — solo",IF(AND('🌱 Configuração'!$B$56+66&gt;='🌱 Configuração'!$D$56,'🌱 Configuração'!$B$56+66&lt;'🌱 Configuração'!$E$56,MOD('🌱 Configuração'!$B$56+66-'🌱 Configuração'!$D$56,7)=0,INT(('🌱 Configuração'!$B$56+66-'🌱 Configuração'!$D$56)/7)+1=3),"🍄 Beauveria bassiana — solo | ⚠️ Umid &lt;45%",IF(AND('🌱 Configuração'!$B$56+66&gt;='🌱 Configuração'!$D$56,'🌱 Configuração'!$B$56+66&lt;'🌱 Configuração'!$E$56,MOD('🌱 Configuração'!$B$56+66-'🌱 Configuração'!$D$56,7)=0,INT(('🌱 Configuração'!$B$56+66-'🌱 Configuração'!$D$56)/7)+1=4),"🦠 Trichoderma — solo | Inspecionar buds",IF(AND('🌱 Configuração'!$B$56+66&gt;='🌱 Configuração'!$D$56,'🌱 Configuração'!$B$56+66&lt;'🌱 Configuração'!$E$56,MOD('🌱 Configuração'!$B$56+66-'🌱 Configuração'!$D$56,7)=0,INT(('🌱 Configuração'!$B$56+66-'🌱 Configuração'!$D$56)/7)+1=5),"🍄 Beauveria + inspeção visual buds",IF(AND('🌱 Configuração'!$B$56+66&gt;='🌱 Configuração'!$D$56,'🌱 Configuração'!$B$56+66&lt;'🌱 Configuração'!$E$56,MOD('🌱 Configuração'!$B$56+66-'🌱 Configuração'!$D$56,7)=0,INT(('🌱 Configuração'!$B$56+66-'🌱 Configuração'!$D$56)/7)+1=6),"🦠 Trichoderma + ⚠️ Verificar mofo","")))))),IF(AND('🌱 Configuração'!$B$56+66&gt;='🌱 Configuração'!$E$56,MOD('🌱 Configuração'!$B$56+66-'🌱 Configuração'!$E$56,7)=0),"🔬 Inspeção final — analisar tricomas","")))))</f>
        <v/>
      </c>
      <c r="I72" s="33"/>
    </row>
    <row r="73" spans="1:9" ht="19.5" customHeight="1">
      <c r="A73" s="1"/>
      <c r="B73" s="39">
        <f>IF(68&lt;='🌱 Configuração'!$F$55,68,"")</f>
        <v>68</v>
      </c>
      <c r="C73" s="40">
        <f>IF(68&lt;='🌱 Configuração'!$F$55,'🌱 Configuração'!$B$56+67,"")</f>
        <v>67</v>
      </c>
      <c r="D73" s="41" t="str">
        <f>IF(68&gt;'🌱 Configuração'!$F$55,"",IF('🌱 Configuração'!$B$56+67&lt;'🌱 Configuração'!$C$56,"🌱 Clone",IF('🌱 Configuração'!$B$56+67&lt;'🌱 Configuração'!$D$56,"🌿 Vegetativo",IF('🌱 Configuração'!$B$56+67&lt;'🌱 Configuração'!$E$56,"🌸 Floração","🚿 Flush"))))</f>
        <v>🌸 Floração</v>
      </c>
      <c r="E73" s="42" t="str">
        <f>IF(68&gt;'🌱 Configuração'!$F$55,"",IF('🌱 Configuração'!$B$56+67&lt;'🌱 Configuração'!$C$56,"Clone S"&amp;INT((68-1)/7)+1,IF('🌱 Configuração'!$B$56+67&lt;'🌱 Configuração'!$D$56,"Vega S"&amp;INT(('🌱 Configuração'!$B$56+67-'🌱 Configuração'!$C$56)/7)+1,IF('🌱 Configuração'!$B$56+67&lt;'🌱 Configuração'!$E$56,"Flora S"&amp;INT(('🌱 Configuração'!$B$56+67-'🌱 Configuração'!$D$56)/7)+1,"Flush S"&amp;INT(('🌱 Configuração'!$B$56+67-'🌱 Configuração'!$E$56)/7)+1))))</f>
        <v>Flora S2</v>
      </c>
      <c r="F73" s="43" t="str">
        <f>IF(68&gt;'🌱 Configuração'!$F$55,"",IF('🌱 Configuração'!$B$56+67='🌱 Configuração'!$C$56,"🌿 INÍCIO VEGA — luz 18h/dia",IF('🌱 Configuração'!$B$56+67='🌱 Configuração'!$D$56,"🌸 INÍCIO FLORAÇÃO — mudar 12/12 🔴",IF('🌱 Configuração'!$B$56+67='🌱 Configuração'!$E$56,"🚿 INÍCIO FLUSH — parar nutrição",IF('🌱 Configuração'!$B$56+67='🌱 Configuração'!$F$56-1,"🔬 Véspera da colheita — analisar tricomas",IF('🌱 Configuração'!$B$56+67='🌱 Configuração'!$F$56,"✂️ COLHEITA — Parabéns! 🎉",""))))))</f>
        <v/>
      </c>
      <c r="G73" s="44" t="s">
        <v>428</v>
      </c>
      <c r="H73" s="45" t="str">
        <f>IF(68&gt;'🌱 Configuração'!$F$55,"",IF('🌱 Configuração'!$B$56+67&lt;'🌱 Configuração'!$C$56,IF(68=1,"🌿 Nim (2 mL/L) — foliar leve",IF(68=8,"🍄 Beauveria bassiana — foliar + solo","")),IF('🌱 Configuração'!$B$56+67&lt;'🌱 Configuração'!$D$56,IF(AND('🌱 Configuração'!$B$56+67&gt;='🌱 Configuração'!$C$56,'🌱 Configuração'!$B$56+67&lt;'🌱 Configuração'!$D$56,MOD('🌱 Configuração'!$B$56+67-'🌱 Configuração'!$C$56,7)=0,INT(('🌱 Configuração'!$B$56+67-'🌱 Configuração'!$C$56)/7)+1=1),"🌿 Nim (2 mL/L) — foliar preventivo",IF(AND('🌱 Configuração'!$B$56+67&gt;='🌱 Configuração'!$C$56,'🌱 Configuração'!$B$56+67&lt;'🌱 Configuração'!$D$56,MOD('🌱 Configuração'!$B$56+67-'🌱 Configuração'!$C$56,7)=0,INT(('🌱 Configuração'!$B$56+67-'🌱 Configuração'!$C$56)/7)+1=2),"🍄 Beauveria bassiana — foliar + solo",IF(AND('🌱 Configuração'!$B$56+67&gt;='🌱 Configuração'!$C$56,'🌱 Configuração'!$B$56+67&lt;'🌱 Configuração'!$D$56,MOD('🌱 Configuração'!$B$56+67-'🌱 Configuração'!$C$56,7)=0,INT(('🌱 Configuração'!$B$56+67-'🌱 Configuração'!$C$56)/7)+1=3),"🟡 Calda Sulfocálcica (1%) — foliar",IF(AND('🌱 Configuração'!$B$56+67&gt;='🌱 Configuração'!$C$56,'🌱 Configuração'!$B$56+67&lt;'🌱 Configuração'!$D$56,MOD('🌱 Configuração'!$B$56+67-'🌱 Configuração'!$C$56,7)=0,INT(('🌱 Configuração'!$B$56+67-'🌱 Configuração'!$C$56)/7)+1=4),"🦠 Trichoderma (3 g/L) — solo",IF(AND('🌱 Configuração'!$B$56+67&gt;='🌱 Configuração'!$C$56,'🌱 Configuração'!$B$56+67&lt;'🌱 Configuração'!$D$56,MOD('🌱 Configuração'!$B$56+67-'🌱 Configuração'!$C$56,7)=0,INT(('🌱 Configuração'!$B$56+67-'🌱 Configuração'!$C$56)/7)+1=5),"🔵 Calda Bordalesa (0.5%) — foliar",IF(AND('🌱 Configuração'!$B$56+67&gt;='🌱 Configuração'!$C$56,'🌱 Configuração'!$B$56+67&lt;'🌱 Configuração'!$D$56,MOD('🌱 Configuração'!$B$56+67-'🌱 Configuração'!$C$56,7)=0,INT(('🌱 Configuração'!$B$56+67-'🌱 Configuração'!$C$56)/7)+1=6),"🌿 Nim (2 mL/L) — ⚠️ ÚLTIMA foliar",IF(AND('🌱 Configuração'!$B$56+67&gt;='🌱 Configuração'!$C$56,'🌱 Configuração'!$B$56+67&lt;'🌱 Configuração'!$D$56,MOD('🌱 Configuração'!$B$56+67-'🌱 Configuração'!$C$56,7)=0,INT(('🌱 Configuração'!$B$56+67-'🌱 Configuração'!$C$56)/7)+1=7),"🦠 Trichoderma — solo",IF(AND('🌱 Configuração'!$B$56+67&gt;='🌱 Configuração'!$C$56,'🌱 Configuração'!$B$56+67&lt;'🌱 Configuração'!$D$56,MOD('🌱 Configuração'!$B$56+67-'🌱 Configuração'!$C$56,7)=0,INT(('🌱 Configuração'!$B$56+67-'🌱 Configuração'!$C$56)/7)+1=8),"🍄 Beauveria — solo","")))))))),IF('🌱 Configuração'!$B$56+67&lt;'🌱 Configuração'!$E$56,IF(AND('🌱 Configuração'!$B$56+67&gt;='🌱 Configuração'!$D$56,'🌱 Configuração'!$B$56+67&lt;'🌱 Configuração'!$E$56,MOD('🌱 Configuração'!$B$56+67-'🌱 Configuração'!$D$56,7)=0,INT(('🌱 Configuração'!$B$56+67-'🌱 Configuração'!$D$56)/7)+1=1),"🍄 Beauveria bassiana — SOLO apenas",IF(AND('🌱 Configuração'!$B$56+67&gt;='🌱 Configuração'!$D$56,'🌱 Configuração'!$B$56+67&lt;'🌱 Configuração'!$E$56,MOD('🌱 Configuração'!$B$56+67-'🌱 Configuração'!$D$56,7)=0,INT(('🌱 Configuração'!$B$56+67-'🌱 Configuração'!$D$56)/7)+1=2),"🦠 Trichoderma (3 g/L) — solo",IF(AND('🌱 Configuração'!$B$56+67&gt;='🌱 Configuração'!$D$56,'🌱 Configuração'!$B$56+67&lt;'🌱 Configuração'!$E$56,MOD('🌱 Configuração'!$B$56+67-'🌱 Configuração'!$D$56,7)=0,INT(('🌱 Configuração'!$B$56+67-'🌱 Configuração'!$D$56)/7)+1=3),"🍄 Beauveria bassiana — solo | ⚠️ Umid &lt;45%",IF(AND('🌱 Configuração'!$B$56+67&gt;='🌱 Configuração'!$D$56,'🌱 Configuração'!$B$56+67&lt;'🌱 Configuração'!$E$56,MOD('🌱 Configuração'!$B$56+67-'🌱 Configuração'!$D$56,7)=0,INT(('🌱 Configuração'!$B$56+67-'🌱 Configuração'!$D$56)/7)+1=4),"🦠 Trichoderma — solo | Inspecionar buds",IF(AND('🌱 Configuração'!$B$56+67&gt;='🌱 Configuração'!$D$56,'🌱 Configuração'!$B$56+67&lt;'🌱 Configuração'!$E$56,MOD('🌱 Configuração'!$B$56+67-'🌱 Configuração'!$D$56,7)=0,INT(('🌱 Configuração'!$B$56+67-'🌱 Configuração'!$D$56)/7)+1=5),"🍄 Beauveria + inspeção visual buds",IF(AND('🌱 Configuração'!$B$56+67&gt;='🌱 Configuração'!$D$56,'🌱 Configuração'!$B$56+67&lt;'🌱 Configuração'!$E$56,MOD('🌱 Configuração'!$B$56+67-'🌱 Configuração'!$D$56,7)=0,INT(('🌱 Configuração'!$B$56+67-'🌱 Configuração'!$D$56)/7)+1=6),"🦠 Trichoderma + ⚠️ Verificar mofo","")))))),IF(AND('🌱 Configuração'!$B$56+67&gt;='🌱 Configuração'!$E$56,MOD('🌱 Configuração'!$B$56+67-'🌱 Configuração'!$E$56,7)=0),"🔬 Inspeção final — analisar tricomas","")))))</f>
        <v/>
      </c>
      <c r="I73" s="33"/>
    </row>
    <row r="74" spans="1:9" ht="19.5" customHeight="1">
      <c r="A74" s="1"/>
      <c r="B74" s="35">
        <f>IF(69&lt;='🌱 Configuração'!$F$55,69,"")</f>
        <v>69</v>
      </c>
      <c r="C74" s="13">
        <f>IF(69&lt;='🌱 Configuração'!$F$55,'🌱 Configuração'!$B$56+68,"")</f>
        <v>68</v>
      </c>
      <c r="D74" s="36" t="str">
        <f>IF(69&gt;'🌱 Configuração'!$F$55,"",IF('🌱 Configuração'!$B$56+68&lt;'🌱 Configuração'!$C$56,"🌱 Clone",IF('🌱 Configuração'!$B$56+68&lt;'🌱 Configuração'!$D$56,"🌿 Vegetativo",IF('🌱 Configuração'!$B$56+68&lt;'🌱 Configuração'!$E$56,"🌸 Floração","🚿 Flush"))))</f>
        <v>🌸 Floração</v>
      </c>
      <c r="E74" s="15" t="str">
        <f>IF(69&gt;'🌱 Configuração'!$F$55,"",IF('🌱 Configuração'!$B$56+68&lt;'🌱 Configuração'!$C$56,"Clone S"&amp;INT((69-1)/7)+1,IF('🌱 Configuração'!$B$56+68&lt;'🌱 Configuração'!$D$56,"Vega S"&amp;INT(('🌱 Configuração'!$B$56+68-'🌱 Configuração'!$C$56)/7)+1,IF('🌱 Configuração'!$B$56+68&lt;'🌱 Configuração'!$E$56,"Flora S"&amp;INT(('🌱 Configuração'!$B$56+68-'🌱 Configuração'!$D$56)/7)+1,"Flush S"&amp;INT(('🌱 Configuração'!$B$56+68-'🌱 Configuração'!$E$56)/7)+1))))</f>
        <v>Flora S2</v>
      </c>
      <c r="F74" s="14" t="str">
        <f>IF(69&gt;'🌱 Configuração'!$F$55,"",IF('🌱 Configuração'!$B$56+68='🌱 Configuração'!$C$56,"🌿 INÍCIO VEGA — luz 18h/dia",IF('🌱 Configuração'!$B$56+68='🌱 Configuração'!$D$56,"🌸 INÍCIO FLORAÇÃO — mudar 12/12 🔴",IF('🌱 Configuração'!$B$56+68='🌱 Configuração'!$E$56,"🚿 INÍCIO FLUSH — parar nutrição",IF('🌱 Configuração'!$B$56+68='🌱 Configuração'!$F$56-1,"🔬 Véspera da colheita — analisar tricomas",IF('🌱 Configuração'!$B$56+68='🌱 Configuração'!$F$56,"✂️ COLHEITA — Parabéns! 🎉",""))))))</f>
        <v/>
      </c>
      <c r="G74" s="37" t="s">
        <v>428</v>
      </c>
      <c r="H74" s="38" t="str">
        <f>IF(69&gt;'🌱 Configuração'!$F$55,"",IF('🌱 Configuração'!$B$56+68&lt;'🌱 Configuração'!$C$56,IF(69=1,"🌿 Nim (2 mL/L) — foliar leve",IF(69=8,"🍄 Beauveria bassiana — foliar + solo","")),IF('🌱 Configuração'!$B$56+68&lt;'🌱 Configuração'!$D$56,IF(AND('🌱 Configuração'!$B$56+68&gt;='🌱 Configuração'!$C$56,'🌱 Configuração'!$B$56+68&lt;'🌱 Configuração'!$D$56,MOD('🌱 Configuração'!$B$56+68-'🌱 Configuração'!$C$56,7)=0,INT(('🌱 Configuração'!$B$56+68-'🌱 Configuração'!$C$56)/7)+1=1),"🌿 Nim (2 mL/L) — foliar preventivo",IF(AND('🌱 Configuração'!$B$56+68&gt;='🌱 Configuração'!$C$56,'🌱 Configuração'!$B$56+68&lt;'🌱 Configuração'!$D$56,MOD('🌱 Configuração'!$B$56+68-'🌱 Configuração'!$C$56,7)=0,INT(('🌱 Configuração'!$B$56+68-'🌱 Configuração'!$C$56)/7)+1=2),"🍄 Beauveria bassiana — foliar + solo",IF(AND('🌱 Configuração'!$B$56+68&gt;='🌱 Configuração'!$C$56,'🌱 Configuração'!$B$56+68&lt;'🌱 Configuração'!$D$56,MOD('🌱 Configuração'!$B$56+68-'🌱 Configuração'!$C$56,7)=0,INT(('🌱 Configuração'!$B$56+68-'🌱 Configuração'!$C$56)/7)+1=3),"🟡 Calda Sulfocálcica (1%) — foliar",IF(AND('🌱 Configuração'!$B$56+68&gt;='🌱 Configuração'!$C$56,'🌱 Configuração'!$B$56+68&lt;'🌱 Configuração'!$D$56,MOD('🌱 Configuração'!$B$56+68-'🌱 Configuração'!$C$56,7)=0,INT(('🌱 Configuração'!$B$56+68-'🌱 Configuração'!$C$56)/7)+1=4),"🦠 Trichoderma (3 g/L) — solo",IF(AND('🌱 Configuração'!$B$56+68&gt;='🌱 Configuração'!$C$56,'🌱 Configuração'!$B$56+68&lt;'🌱 Configuração'!$D$56,MOD('🌱 Configuração'!$B$56+68-'🌱 Configuração'!$C$56,7)=0,INT(('🌱 Configuração'!$B$56+68-'🌱 Configuração'!$C$56)/7)+1=5),"🔵 Calda Bordalesa (0.5%) — foliar",IF(AND('🌱 Configuração'!$B$56+68&gt;='🌱 Configuração'!$C$56,'🌱 Configuração'!$B$56+68&lt;'🌱 Configuração'!$D$56,MOD('🌱 Configuração'!$B$56+68-'🌱 Configuração'!$C$56,7)=0,INT(('🌱 Configuração'!$B$56+68-'🌱 Configuração'!$C$56)/7)+1=6),"🌿 Nim (2 mL/L) — ⚠️ ÚLTIMA foliar",IF(AND('🌱 Configuração'!$B$56+68&gt;='🌱 Configuração'!$C$56,'🌱 Configuração'!$B$56+68&lt;'🌱 Configuração'!$D$56,MOD('🌱 Configuração'!$B$56+68-'🌱 Configuração'!$C$56,7)=0,INT(('🌱 Configuração'!$B$56+68-'🌱 Configuração'!$C$56)/7)+1=7),"🦠 Trichoderma — solo",IF(AND('🌱 Configuração'!$B$56+68&gt;='🌱 Configuração'!$C$56,'🌱 Configuração'!$B$56+68&lt;'🌱 Configuração'!$D$56,MOD('🌱 Configuração'!$B$56+68-'🌱 Configuração'!$C$56,7)=0,INT(('🌱 Configuração'!$B$56+68-'🌱 Configuração'!$C$56)/7)+1=8),"🍄 Beauveria — solo","")))))))),IF('🌱 Configuração'!$B$56+68&lt;'🌱 Configuração'!$E$56,IF(AND('🌱 Configuração'!$B$56+68&gt;='🌱 Configuração'!$D$56,'🌱 Configuração'!$B$56+68&lt;'🌱 Configuração'!$E$56,MOD('🌱 Configuração'!$B$56+68-'🌱 Configuração'!$D$56,7)=0,INT(('🌱 Configuração'!$B$56+68-'🌱 Configuração'!$D$56)/7)+1=1),"🍄 Beauveria bassiana — SOLO apenas",IF(AND('🌱 Configuração'!$B$56+68&gt;='🌱 Configuração'!$D$56,'🌱 Configuração'!$B$56+68&lt;'🌱 Configuração'!$E$56,MOD('🌱 Configuração'!$B$56+68-'🌱 Configuração'!$D$56,7)=0,INT(('🌱 Configuração'!$B$56+68-'🌱 Configuração'!$D$56)/7)+1=2),"🦠 Trichoderma (3 g/L) — solo",IF(AND('🌱 Configuração'!$B$56+68&gt;='🌱 Configuração'!$D$56,'🌱 Configuração'!$B$56+68&lt;'🌱 Configuração'!$E$56,MOD('🌱 Configuração'!$B$56+68-'🌱 Configuração'!$D$56,7)=0,INT(('🌱 Configuração'!$B$56+68-'🌱 Configuração'!$D$56)/7)+1=3),"🍄 Beauveria bassiana — solo | ⚠️ Umid &lt;45%",IF(AND('🌱 Configuração'!$B$56+68&gt;='🌱 Configuração'!$D$56,'🌱 Configuração'!$B$56+68&lt;'🌱 Configuração'!$E$56,MOD('🌱 Configuração'!$B$56+68-'🌱 Configuração'!$D$56,7)=0,INT(('🌱 Configuração'!$B$56+68-'🌱 Configuração'!$D$56)/7)+1=4),"🦠 Trichoderma — solo | Inspecionar buds",IF(AND('🌱 Configuração'!$B$56+68&gt;='🌱 Configuração'!$D$56,'🌱 Configuração'!$B$56+68&lt;'🌱 Configuração'!$E$56,MOD('🌱 Configuração'!$B$56+68-'🌱 Configuração'!$D$56,7)=0,INT(('🌱 Configuração'!$B$56+68-'🌱 Configuração'!$D$56)/7)+1=5),"🍄 Beauveria + inspeção visual buds",IF(AND('🌱 Configuração'!$B$56+68&gt;='🌱 Configuração'!$D$56,'🌱 Configuração'!$B$56+68&lt;'🌱 Configuração'!$E$56,MOD('🌱 Configuração'!$B$56+68-'🌱 Configuração'!$D$56,7)=0,INT(('🌱 Configuração'!$B$56+68-'🌱 Configuração'!$D$56)/7)+1=6),"🦠 Trichoderma + ⚠️ Verificar mofo","")))))),IF(AND('🌱 Configuração'!$B$56+68&gt;='🌱 Configuração'!$E$56,MOD('🌱 Configuração'!$B$56+68-'🌱 Configuração'!$E$56,7)=0),"🔬 Inspeção final — analisar tricomas","")))))</f>
        <v/>
      </c>
      <c r="I74" s="33"/>
    </row>
    <row r="75" spans="1:9" ht="19.5" customHeight="1">
      <c r="A75" s="1"/>
      <c r="B75" s="39">
        <f>IF(70&lt;='🌱 Configuração'!$F$55,70,"")</f>
        <v>70</v>
      </c>
      <c r="C75" s="40">
        <f>IF(70&lt;='🌱 Configuração'!$F$55,'🌱 Configuração'!$B$56+69,"")</f>
        <v>69</v>
      </c>
      <c r="D75" s="41" t="str">
        <f>IF(70&gt;'🌱 Configuração'!$F$55,"",IF('🌱 Configuração'!$B$56+69&lt;'🌱 Configuração'!$C$56,"🌱 Clone",IF('🌱 Configuração'!$B$56+69&lt;'🌱 Configuração'!$D$56,"🌿 Vegetativo",IF('🌱 Configuração'!$B$56+69&lt;'🌱 Configuração'!$E$56,"🌸 Floração","🚿 Flush"))))</f>
        <v>🌸 Floração</v>
      </c>
      <c r="E75" s="42" t="str">
        <f>IF(70&gt;'🌱 Configuração'!$F$55,"",IF('🌱 Configuração'!$B$56+69&lt;'🌱 Configuração'!$C$56,"Clone S"&amp;INT((70-1)/7)+1,IF('🌱 Configuração'!$B$56+69&lt;'🌱 Configuração'!$D$56,"Vega S"&amp;INT(('🌱 Configuração'!$B$56+69-'🌱 Configuração'!$C$56)/7)+1,IF('🌱 Configuração'!$B$56+69&lt;'🌱 Configuração'!$E$56,"Flora S"&amp;INT(('🌱 Configuração'!$B$56+69-'🌱 Configuração'!$D$56)/7)+1,"Flush S"&amp;INT(('🌱 Configuração'!$B$56+69-'🌱 Configuração'!$E$56)/7)+1))))</f>
        <v>Flora S2</v>
      </c>
      <c r="F75" s="43" t="str">
        <f>IF(70&gt;'🌱 Configuração'!$F$55,"",IF('🌱 Configuração'!$B$56+69='🌱 Configuração'!$C$56,"🌿 INÍCIO VEGA — luz 18h/dia",IF('🌱 Configuração'!$B$56+69='🌱 Configuração'!$D$56,"🌸 INÍCIO FLORAÇÃO — mudar 12/12 🔴",IF('🌱 Configuração'!$B$56+69='🌱 Configuração'!$E$56,"🚿 INÍCIO FLUSH — parar nutrição",IF('🌱 Configuração'!$B$56+69='🌱 Configuração'!$F$56-1,"🔬 Véspera da colheita — analisar tricomas",IF('🌱 Configuração'!$B$56+69='🌱 Configuração'!$F$56,"✂️ COLHEITA — Parabéns! 🎉",""))))))</f>
        <v/>
      </c>
      <c r="G75" s="44" t="s">
        <v>428</v>
      </c>
      <c r="H75" s="45" t="str">
        <f>IF(70&gt;'🌱 Configuração'!$F$55,"",IF('🌱 Configuração'!$B$56+69&lt;'🌱 Configuração'!$C$56,IF(70=1,"🌿 Nim (2 mL/L) — foliar leve",IF(70=8,"🍄 Beauveria bassiana — foliar + solo","")),IF('🌱 Configuração'!$B$56+69&lt;'🌱 Configuração'!$D$56,IF(AND('🌱 Configuração'!$B$56+69&gt;='🌱 Configuração'!$C$56,'🌱 Configuração'!$B$56+69&lt;'🌱 Configuração'!$D$56,MOD('🌱 Configuração'!$B$56+69-'🌱 Configuração'!$C$56,7)=0,INT(('🌱 Configuração'!$B$56+69-'🌱 Configuração'!$C$56)/7)+1=1),"🌿 Nim (2 mL/L) — foliar preventivo",IF(AND('🌱 Configuração'!$B$56+69&gt;='🌱 Configuração'!$C$56,'🌱 Configuração'!$B$56+69&lt;'🌱 Configuração'!$D$56,MOD('🌱 Configuração'!$B$56+69-'🌱 Configuração'!$C$56,7)=0,INT(('🌱 Configuração'!$B$56+69-'🌱 Configuração'!$C$56)/7)+1=2),"🍄 Beauveria bassiana — foliar + solo",IF(AND('🌱 Configuração'!$B$56+69&gt;='🌱 Configuração'!$C$56,'🌱 Configuração'!$B$56+69&lt;'🌱 Configuração'!$D$56,MOD('🌱 Configuração'!$B$56+69-'🌱 Configuração'!$C$56,7)=0,INT(('🌱 Configuração'!$B$56+69-'🌱 Configuração'!$C$56)/7)+1=3),"🟡 Calda Sulfocálcica (1%) — foliar",IF(AND('🌱 Configuração'!$B$56+69&gt;='🌱 Configuração'!$C$56,'🌱 Configuração'!$B$56+69&lt;'🌱 Configuração'!$D$56,MOD('🌱 Configuração'!$B$56+69-'🌱 Configuração'!$C$56,7)=0,INT(('🌱 Configuração'!$B$56+69-'🌱 Configuração'!$C$56)/7)+1=4),"🦠 Trichoderma (3 g/L) — solo",IF(AND('🌱 Configuração'!$B$56+69&gt;='🌱 Configuração'!$C$56,'🌱 Configuração'!$B$56+69&lt;'🌱 Configuração'!$D$56,MOD('🌱 Configuração'!$B$56+69-'🌱 Configuração'!$C$56,7)=0,INT(('🌱 Configuração'!$B$56+69-'🌱 Configuração'!$C$56)/7)+1=5),"🔵 Calda Bordalesa (0.5%) — foliar",IF(AND('🌱 Configuração'!$B$56+69&gt;='🌱 Configuração'!$C$56,'🌱 Configuração'!$B$56+69&lt;'🌱 Configuração'!$D$56,MOD('🌱 Configuração'!$B$56+69-'🌱 Configuração'!$C$56,7)=0,INT(('🌱 Configuração'!$B$56+69-'🌱 Configuração'!$C$56)/7)+1=6),"🌿 Nim (2 mL/L) — ⚠️ ÚLTIMA foliar",IF(AND('🌱 Configuração'!$B$56+69&gt;='🌱 Configuração'!$C$56,'🌱 Configuração'!$B$56+69&lt;'🌱 Configuração'!$D$56,MOD('🌱 Configuração'!$B$56+69-'🌱 Configuração'!$C$56,7)=0,INT(('🌱 Configuração'!$B$56+69-'🌱 Configuração'!$C$56)/7)+1=7),"🦠 Trichoderma — solo",IF(AND('🌱 Configuração'!$B$56+69&gt;='🌱 Configuração'!$C$56,'🌱 Configuração'!$B$56+69&lt;'🌱 Configuração'!$D$56,MOD('🌱 Configuração'!$B$56+69-'🌱 Configuração'!$C$56,7)=0,INT(('🌱 Configuração'!$B$56+69-'🌱 Configuração'!$C$56)/7)+1=8),"🍄 Beauveria — solo","")))))))),IF('🌱 Configuração'!$B$56+69&lt;'🌱 Configuração'!$E$56,IF(AND('🌱 Configuração'!$B$56+69&gt;='🌱 Configuração'!$D$56,'🌱 Configuração'!$B$56+69&lt;'🌱 Configuração'!$E$56,MOD('🌱 Configuração'!$B$56+69-'🌱 Configuração'!$D$56,7)=0,INT(('🌱 Configuração'!$B$56+69-'🌱 Configuração'!$D$56)/7)+1=1),"🍄 Beauveria bassiana — SOLO apenas",IF(AND('🌱 Configuração'!$B$56+69&gt;='🌱 Configuração'!$D$56,'🌱 Configuração'!$B$56+69&lt;'🌱 Configuração'!$E$56,MOD('🌱 Configuração'!$B$56+69-'🌱 Configuração'!$D$56,7)=0,INT(('🌱 Configuração'!$B$56+69-'🌱 Configuração'!$D$56)/7)+1=2),"🦠 Trichoderma (3 g/L) — solo",IF(AND('🌱 Configuração'!$B$56+69&gt;='🌱 Configuração'!$D$56,'🌱 Configuração'!$B$56+69&lt;'🌱 Configuração'!$E$56,MOD('🌱 Configuração'!$B$56+69-'🌱 Configuração'!$D$56,7)=0,INT(('🌱 Configuração'!$B$56+69-'🌱 Configuração'!$D$56)/7)+1=3),"🍄 Beauveria bassiana — solo | ⚠️ Umid &lt;45%",IF(AND('🌱 Configuração'!$B$56+69&gt;='🌱 Configuração'!$D$56,'🌱 Configuração'!$B$56+69&lt;'🌱 Configuração'!$E$56,MOD('🌱 Configuração'!$B$56+69-'🌱 Configuração'!$D$56,7)=0,INT(('🌱 Configuração'!$B$56+69-'🌱 Configuração'!$D$56)/7)+1=4),"🦠 Trichoderma — solo | Inspecionar buds",IF(AND('🌱 Configuração'!$B$56+69&gt;='🌱 Configuração'!$D$56,'🌱 Configuração'!$B$56+69&lt;'🌱 Configuração'!$E$56,MOD('🌱 Configuração'!$B$56+69-'🌱 Configuração'!$D$56,7)=0,INT(('🌱 Configuração'!$B$56+69-'🌱 Configuração'!$D$56)/7)+1=5),"🍄 Beauveria + inspeção visual buds",IF(AND('🌱 Configuração'!$B$56+69&gt;='🌱 Configuração'!$D$56,'🌱 Configuração'!$B$56+69&lt;'🌱 Configuração'!$E$56,MOD('🌱 Configuração'!$B$56+69-'🌱 Configuração'!$D$56,7)=0,INT(('🌱 Configuração'!$B$56+69-'🌱 Configuração'!$D$56)/7)+1=6),"🦠 Trichoderma + ⚠️ Verificar mofo","")))))),IF(AND('🌱 Configuração'!$B$56+69&gt;='🌱 Configuração'!$E$56,MOD('🌱 Configuração'!$B$56+69-'🌱 Configuração'!$E$56,7)=0),"🔬 Inspeção final — analisar tricomas","")))))</f>
        <v/>
      </c>
      <c r="I75" s="33"/>
    </row>
    <row r="76" spans="1:9" ht="19.5" customHeight="1">
      <c r="A76" s="1"/>
      <c r="B76" s="35">
        <f>IF(71&lt;='🌱 Configuração'!$F$55,71,"")</f>
        <v>71</v>
      </c>
      <c r="C76" s="13">
        <f>IF(71&lt;='🌱 Configuração'!$F$55,'🌱 Configuração'!$B$56+70,"")</f>
        <v>70</v>
      </c>
      <c r="D76" s="36" t="str">
        <f>IF(71&gt;'🌱 Configuração'!$F$55,"",IF('🌱 Configuração'!$B$56+70&lt;'🌱 Configuração'!$C$56,"🌱 Clone",IF('🌱 Configuração'!$B$56+70&lt;'🌱 Configuração'!$D$56,"🌿 Vegetativo",IF('🌱 Configuração'!$B$56+70&lt;'🌱 Configuração'!$E$56,"🌸 Floração","🚿 Flush"))))</f>
        <v>🌸 Floração</v>
      </c>
      <c r="E76" s="15" t="str">
        <f>IF(71&gt;'🌱 Configuração'!$F$55,"",IF('🌱 Configuração'!$B$56+70&lt;'🌱 Configuração'!$C$56,"Clone S"&amp;INT((71-1)/7)+1,IF('🌱 Configuração'!$B$56+70&lt;'🌱 Configuração'!$D$56,"Vega S"&amp;INT(('🌱 Configuração'!$B$56+70-'🌱 Configuração'!$C$56)/7)+1,IF('🌱 Configuração'!$B$56+70&lt;'🌱 Configuração'!$E$56,"Flora S"&amp;INT(('🌱 Configuração'!$B$56+70-'🌱 Configuração'!$D$56)/7)+1,"Flush S"&amp;INT(('🌱 Configuração'!$B$56+70-'🌱 Configuração'!$E$56)/7)+1))))</f>
        <v>Flora S3</v>
      </c>
      <c r="F76" s="14" t="str">
        <f>IF(71&gt;'🌱 Configuração'!$F$55,"",IF('🌱 Configuração'!$B$56+70='🌱 Configuração'!$C$56,"🌿 INÍCIO VEGA — luz 18h/dia",IF('🌱 Configuração'!$B$56+70='🌱 Configuração'!$D$56,"🌸 INÍCIO FLORAÇÃO — mudar 12/12 🔴",IF('🌱 Configuração'!$B$56+70='🌱 Configuração'!$E$56,"🚿 INÍCIO FLUSH — parar nutrição",IF('🌱 Configuração'!$B$56+70='🌱 Configuração'!$F$56-1,"🔬 Véspera da colheita — analisar tricomas",IF('🌱 Configuração'!$B$56+70='🌱 Configuração'!$F$56,"✂️ COLHEITA — Parabéns! 🎉",""))))))</f>
        <v/>
      </c>
      <c r="G76" s="37" t="s">
        <v>438</v>
      </c>
      <c r="H76" s="38" t="str">
        <f>IF(71&gt;'🌱 Configuração'!$F$55,"",IF('🌱 Configuração'!$B$56+70&lt;'🌱 Configuração'!$C$56,IF(71=1,"🌿 Nim (2 mL/L) — foliar leve",IF(71=8,"🍄 Beauveria bassiana — foliar + solo","")),IF('🌱 Configuração'!$B$56+70&lt;'🌱 Configuração'!$D$56,IF(AND('🌱 Configuração'!$B$56+70&gt;='🌱 Configuração'!$C$56,'🌱 Configuração'!$B$56+70&lt;'🌱 Configuração'!$D$56,MOD('🌱 Configuração'!$B$56+70-'🌱 Configuração'!$C$56,7)=0,INT(('🌱 Configuração'!$B$56+70-'🌱 Configuração'!$C$56)/7)+1=1),"🌿 Nim (2 mL/L) — foliar preventivo",IF(AND('🌱 Configuração'!$B$56+70&gt;='🌱 Configuração'!$C$56,'🌱 Configuração'!$B$56+70&lt;'🌱 Configuração'!$D$56,MOD('🌱 Configuração'!$B$56+70-'🌱 Configuração'!$C$56,7)=0,INT(('🌱 Configuração'!$B$56+70-'🌱 Configuração'!$C$56)/7)+1=2),"🍄 Beauveria bassiana — foliar + solo",IF(AND('🌱 Configuração'!$B$56+70&gt;='🌱 Configuração'!$C$56,'🌱 Configuração'!$B$56+70&lt;'🌱 Configuração'!$D$56,MOD('🌱 Configuração'!$B$56+70-'🌱 Configuração'!$C$56,7)=0,INT(('🌱 Configuração'!$B$56+70-'🌱 Configuração'!$C$56)/7)+1=3),"🟡 Calda Sulfocálcica (1%) — foliar",IF(AND('🌱 Configuração'!$B$56+70&gt;='🌱 Configuração'!$C$56,'🌱 Configuração'!$B$56+70&lt;'🌱 Configuração'!$D$56,MOD('🌱 Configuração'!$B$56+70-'🌱 Configuração'!$C$56,7)=0,INT(('🌱 Configuração'!$B$56+70-'🌱 Configuração'!$C$56)/7)+1=4),"🦠 Trichoderma (3 g/L) — solo",IF(AND('🌱 Configuração'!$B$56+70&gt;='🌱 Configuração'!$C$56,'🌱 Configuração'!$B$56+70&lt;'🌱 Configuração'!$D$56,MOD('🌱 Configuração'!$B$56+70-'🌱 Configuração'!$C$56,7)=0,INT(('🌱 Configuração'!$B$56+70-'🌱 Configuração'!$C$56)/7)+1=5),"🔵 Calda Bordalesa (0.5%) — foliar",IF(AND('🌱 Configuração'!$B$56+70&gt;='🌱 Configuração'!$C$56,'🌱 Configuração'!$B$56+70&lt;'🌱 Configuração'!$D$56,MOD('🌱 Configuração'!$B$56+70-'🌱 Configuração'!$C$56,7)=0,INT(('🌱 Configuração'!$B$56+70-'🌱 Configuração'!$C$56)/7)+1=6),"🌿 Nim (2 mL/L) — ⚠️ ÚLTIMA foliar",IF(AND('🌱 Configuração'!$B$56+70&gt;='🌱 Configuração'!$C$56,'🌱 Configuração'!$B$56+70&lt;'🌱 Configuração'!$D$56,MOD('🌱 Configuração'!$B$56+70-'🌱 Configuração'!$C$56,7)=0,INT(('🌱 Configuração'!$B$56+70-'🌱 Configuração'!$C$56)/7)+1=7),"🦠 Trichoderma — solo",IF(AND('🌱 Configuração'!$B$56+70&gt;='🌱 Configuração'!$C$56,'🌱 Configuração'!$B$56+70&lt;'🌱 Configuração'!$D$56,MOD('🌱 Configuração'!$B$56+70-'🌱 Configuração'!$C$56,7)=0,INT(('🌱 Configuração'!$B$56+70-'🌱 Configuração'!$C$56)/7)+1=8),"🍄 Beauveria — solo","")))))))),IF('🌱 Configuração'!$B$56+70&lt;'🌱 Configuração'!$E$56,IF(AND('🌱 Configuração'!$B$56+70&gt;='🌱 Configuração'!$D$56,'🌱 Configuração'!$B$56+70&lt;'🌱 Configuração'!$E$56,MOD('🌱 Configuração'!$B$56+70-'🌱 Configuração'!$D$56,7)=0,INT(('🌱 Configuração'!$B$56+70-'🌱 Configuração'!$D$56)/7)+1=1),"🍄 Beauveria bassiana — SOLO apenas",IF(AND('🌱 Configuração'!$B$56+70&gt;='🌱 Configuração'!$D$56,'🌱 Configuração'!$B$56+70&lt;'🌱 Configuração'!$E$56,MOD('🌱 Configuração'!$B$56+70-'🌱 Configuração'!$D$56,7)=0,INT(('🌱 Configuração'!$B$56+70-'🌱 Configuração'!$D$56)/7)+1=2),"🦠 Trichoderma (3 g/L) — solo",IF(AND('🌱 Configuração'!$B$56+70&gt;='🌱 Configuração'!$D$56,'🌱 Configuração'!$B$56+70&lt;'🌱 Configuração'!$E$56,MOD('🌱 Configuração'!$B$56+70-'🌱 Configuração'!$D$56,7)=0,INT(('🌱 Configuração'!$B$56+70-'🌱 Configuração'!$D$56)/7)+1=3),"🍄 Beauveria bassiana — solo | ⚠️ Umid &lt;45%",IF(AND('🌱 Configuração'!$B$56+70&gt;='🌱 Configuração'!$D$56,'🌱 Configuração'!$B$56+70&lt;'🌱 Configuração'!$E$56,MOD('🌱 Configuração'!$B$56+70-'🌱 Configuração'!$D$56,7)=0,INT(('🌱 Configuração'!$B$56+70-'🌱 Configuração'!$D$56)/7)+1=4),"🦠 Trichoderma — solo | Inspecionar buds",IF(AND('🌱 Configuração'!$B$56+70&gt;='🌱 Configuração'!$D$56,'🌱 Configuração'!$B$56+70&lt;'🌱 Configuração'!$E$56,MOD('🌱 Configuração'!$B$56+70-'🌱 Configuração'!$D$56,7)=0,INT(('🌱 Configuração'!$B$56+70-'🌱 Configuração'!$D$56)/7)+1=5),"🍄 Beauveria + inspeção visual buds",IF(AND('🌱 Configuração'!$B$56+70&gt;='🌱 Configuração'!$D$56,'🌱 Configuração'!$B$56+70&lt;'🌱 Configuração'!$E$56,MOD('🌱 Configuração'!$B$56+70-'🌱 Configuração'!$D$56,7)=0,INT(('🌱 Configuração'!$B$56+70-'🌱 Configuração'!$D$56)/7)+1=6),"🦠 Trichoderma + ⚠️ Verificar mofo","")))))),IF(AND('🌱 Configuração'!$B$56+70&gt;='🌱 Configuração'!$E$56,MOD('🌱 Configuração'!$B$56+70-'🌱 Configuração'!$E$56,7)=0),"🔬 Inspeção final — analisar tricomas","")))))</f>
        <v>🍄 Beauveria bassiana — solo | ⚠️ Umid &lt;45%</v>
      </c>
      <c r="I76" s="33"/>
    </row>
    <row r="77" spans="1:9" ht="19.5" customHeight="1">
      <c r="A77" s="1"/>
      <c r="B77" s="39">
        <f>IF(72&lt;='🌱 Configuração'!$F$55,72,"")</f>
        <v>72</v>
      </c>
      <c r="C77" s="40">
        <f>IF(72&lt;='🌱 Configuração'!$F$55,'🌱 Configuração'!$B$56+71,"")</f>
        <v>71</v>
      </c>
      <c r="D77" s="41" t="str">
        <f>IF(72&gt;'🌱 Configuração'!$F$55,"",IF('🌱 Configuração'!$B$56+71&lt;'🌱 Configuração'!$C$56,"🌱 Clone",IF('🌱 Configuração'!$B$56+71&lt;'🌱 Configuração'!$D$56,"🌿 Vegetativo",IF('🌱 Configuração'!$B$56+71&lt;'🌱 Configuração'!$E$56,"🌸 Floração","🚿 Flush"))))</f>
        <v>🌸 Floração</v>
      </c>
      <c r="E77" s="42" t="str">
        <f>IF(72&gt;'🌱 Configuração'!$F$55,"",IF('🌱 Configuração'!$B$56+71&lt;'🌱 Configuração'!$C$56,"Clone S"&amp;INT((72-1)/7)+1,IF('🌱 Configuração'!$B$56+71&lt;'🌱 Configuração'!$D$56,"Vega S"&amp;INT(('🌱 Configuração'!$B$56+71-'🌱 Configuração'!$C$56)/7)+1,IF('🌱 Configuração'!$B$56+71&lt;'🌱 Configuração'!$E$56,"Flora S"&amp;INT(('🌱 Configuração'!$B$56+71-'🌱 Configuração'!$D$56)/7)+1,"Flush S"&amp;INT(('🌱 Configuração'!$B$56+71-'🌱 Configuração'!$E$56)/7)+1))))</f>
        <v>Flora S3</v>
      </c>
      <c r="F77" s="43" t="str">
        <f>IF(72&gt;'🌱 Configuração'!$F$55,"",IF('🌱 Configuração'!$B$56+71='🌱 Configuração'!$C$56,"🌿 INÍCIO VEGA — luz 18h/dia",IF('🌱 Configuração'!$B$56+71='🌱 Configuração'!$D$56,"🌸 INÍCIO FLORAÇÃO — mudar 12/12 🔴",IF('🌱 Configuração'!$B$56+71='🌱 Configuração'!$E$56,"🚿 INÍCIO FLUSH — parar nutrição",IF('🌱 Configuração'!$B$56+71='🌱 Configuração'!$F$56-1,"🔬 Véspera da colheita — analisar tricomas",IF('🌱 Configuração'!$B$56+71='🌱 Configuração'!$F$56,"✂️ COLHEITA — Parabéns! 🎉",""))))))</f>
        <v/>
      </c>
      <c r="G77" s="44" t="s">
        <v>428</v>
      </c>
      <c r="H77" s="45" t="str">
        <f>IF(72&gt;'🌱 Configuração'!$F$55,"",IF('🌱 Configuração'!$B$56+71&lt;'🌱 Configuração'!$C$56,IF(72=1,"🌿 Nim (2 mL/L) — foliar leve",IF(72=8,"🍄 Beauveria bassiana — foliar + solo","")),IF('🌱 Configuração'!$B$56+71&lt;'🌱 Configuração'!$D$56,IF(AND('🌱 Configuração'!$B$56+71&gt;='🌱 Configuração'!$C$56,'🌱 Configuração'!$B$56+71&lt;'🌱 Configuração'!$D$56,MOD('🌱 Configuração'!$B$56+71-'🌱 Configuração'!$C$56,7)=0,INT(('🌱 Configuração'!$B$56+71-'🌱 Configuração'!$C$56)/7)+1=1),"🌿 Nim (2 mL/L) — foliar preventivo",IF(AND('🌱 Configuração'!$B$56+71&gt;='🌱 Configuração'!$C$56,'🌱 Configuração'!$B$56+71&lt;'🌱 Configuração'!$D$56,MOD('🌱 Configuração'!$B$56+71-'🌱 Configuração'!$C$56,7)=0,INT(('🌱 Configuração'!$B$56+71-'🌱 Configuração'!$C$56)/7)+1=2),"🍄 Beauveria bassiana — foliar + solo",IF(AND('🌱 Configuração'!$B$56+71&gt;='🌱 Configuração'!$C$56,'🌱 Configuração'!$B$56+71&lt;'🌱 Configuração'!$D$56,MOD('🌱 Configuração'!$B$56+71-'🌱 Configuração'!$C$56,7)=0,INT(('🌱 Configuração'!$B$56+71-'🌱 Configuração'!$C$56)/7)+1=3),"🟡 Calda Sulfocálcica (1%) — foliar",IF(AND('🌱 Configuração'!$B$56+71&gt;='🌱 Configuração'!$C$56,'🌱 Configuração'!$B$56+71&lt;'🌱 Configuração'!$D$56,MOD('🌱 Configuração'!$B$56+71-'🌱 Configuração'!$C$56,7)=0,INT(('🌱 Configuração'!$B$56+71-'🌱 Configuração'!$C$56)/7)+1=4),"🦠 Trichoderma (3 g/L) — solo",IF(AND('🌱 Configuração'!$B$56+71&gt;='🌱 Configuração'!$C$56,'🌱 Configuração'!$B$56+71&lt;'🌱 Configuração'!$D$56,MOD('🌱 Configuração'!$B$56+71-'🌱 Configuração'!$C$56,7)=0,INT(('🌱 Configuração'!$B$56+71-'🌱 Configuração'!$C$56)/7)+1=5),"🔵 Calda Bordalesa (0.5%) — foliar",IF(AND('🌱 Configuração'!$B$56+71&gt;='🌱 Configuração'!$C$56,'🌱 Configuração'!$B$56+71&lt;'🌱 Configuração'!$D$56,MOD('🌱 Configuração'!$B$56+71-'🌱 Configuração'!$C$56,7)=0,INT(('🌱 Configuração'!$B$56+71-'🌱 Configuração'!$C$56)/7)+1=6),"🌿 Nim (2 mL/L) — ⚠️ ÚLTIMA foliar",IF(AND('🌱 Configuração'!$B$56+71&gt;='🌱 Configuração'!$C$56,'🌱 Configuração'!$B$56+71&lt;'🌱 Configuração'!$D$56,MOD('🌱 Configuração'!$B$56+71-'🌱 Configuração'!$C$56,7)=0,INT(('🌱 Configuração'!$B$56+71-'🌱 Configuração'!$C$56)/7)+1=7),"🦠 Trichoderma — solo",IF(AND('🌱 Configuração'!$B$56+71&gt;='🌱 Configuração'!$C$56,'🌱 Configuração'!$B$56+71&lt;'🌱 Configuração'!$D$56,MOD('🌱 Configuração'!$B$56+71-'🌱 Configuração'!$C$56,7)=0,INT(('🌱 Configuração'!$B$56+71-'🌱 Configuração'!$C$56)/7)+1=8),"🍄 Beauveria — solo","")))))))),IF('🌱 Configuração'!$B$56+71&lt;'🌱 Configuração'!$E$56,IF(AND('🌱 Configuração'!$B$56+71&gt;='🌱 Configuração'!$D$56,'🌱 Configuração'!$B$56+71&lt;'🌱 Configuração'!$E$56,MOD('🌱 Configuração'!$B$56+71-'🌱 Configuração'!$D$56,7)=0,INT(('🌱 Configuração'!$B$56+71-'🌱 Configuração'!$D$56)/7)+1=1),"🍄 Beauveria bassiana — SOLO apenas",IF(AND('🌱 Configuração'!$B$56+71&gt;='🌱 Configuração'!$D$56,'🌱 Configuração'!$B$56+71&lt;'🌱 Configuração'!$E$56,MOD('🌱 Configuração'!$B$56+71-'🌱 Configuração'!$D$56,7)=0,INT(('🌱 Configuração'!$B$56+71-'🌱 Configuração'!$D$56)/7)+1=2),"🦠 Trichoderma (3 g/L) — solo",IF(AND('🌱 Configuração'!$B$56+71&gt;='🌱 Configuração'!$D$56,'🌱 Configuração'!$B$56+71&lt;'🌱 Configuração'!$E$56,MOD('🌱 Configuração'!$B$56+71-'🌱 Configuração'!$D$56,7)=0,INT(('🌱 Configuração'!$B$56+71-'🌱 Configuração'!$D$56)/7)+1=3),"🍄 Beauveria bassiana — solo | ⚠️ Umid &lt;45%",IF(AND('🌱 Configuração'!$B$56+71&gt;='🌱 Configuração'!$D$56,'🌱 Configuração'!$B$56+71&lt;'🌱 Configuração'!$E$56,MOD('🌱 Configuração'!$B$56+71-'🌱 Configuração'!$D$56,7)=0,INT(('🌱 Configuração'!$B$56+71-'🌱 Configuração'!$D$56)/7)+1=4),"🦠 Trichoderma — solo | Inspecionar buds",IF(AND('🌱 Configuração'!$B$56+71&gt;='🌱 Configuração'!$D$56,'🌱 Configuração'!$B$56+71&lt;'🌱 Configuração'!$E$56,MOD('🌱 Configuração'!$B$56+71-'🌱 Configuração'!$D$56,7)=0,INT(('🌱 Configuração'!$B$56+71-'🌱 Configuração'!$D$56)/7)+1=5),"🍄 Beauveria + inspeção visual buds",IF(AND('🌱 Configuração'!$B$56+71&gt;='🌱 Configuração'!$D$56,'🌱 Configuração'!$B$56+71&lt;'🌱 Configuração'!$E$56,MOD('🌱 Configuração'!$B$56+71-'🌱 Configuração'!$D$56,7)=0,INT(('🌱 Configuração'!$B$56+71-'🌱 Configuração'!$D$56)/7)+1=6),"🦠 Trichoderma + ⚠️ Verificar mofo","")))))),IF(AND('🌱 Configuração'!$B$56+71&gt;='🌱 Configuração'!$E$56,MOD('🌱 Configuração'!$B$56+71-'🌱 Configuração'!$E$56,7)=0),"🔬 Inspeção final — analisar tricomas","")))))</f>
        <v/>
      </c>
      <c r="I77" s="33"/>
    </row>
    <row r="78" spans="1:9" ht="19.5" customHeight="1">
      <c r="A78" s="1"/>
      <c r="B78" s="35">
        <f>IF(73&lt;='🌱 Configuração'!$F$55,73,"")</f>
        <v>73</v>
      </c>
      <c r="C78" s="13">
        <f>IF(73&lt;='🌱 Configuração'!$F$55,'🌱 Configuração'!$B$56+72,"")</f>
        <v>72</v>
      </c>
      <c r="D78" s="36" t="str">
        <f>IF(73&gt;'🌱 Configuração'!$F$55,"",IF('🌱 Configuração'!$B$56+72&lt;'🌱 Configuração'!$C$56,"🌱 Clone",IF('🌱 Configuração'!$B$56+72&lt;'🌱 Configuração'!$D$56,"🌿 Vegetativo",IF('🌱 Configuração'!$B$56+72&lt;'🌱 Configuração'!$E$56,"🌸 Floração","🚿 Flush"))))</f>
        <v>🌸 Floração</v>
      </c>
      <c r="E78" s="15" t="str">
        <f>IF(73&gt;'🌱 Configuração'!$F$55,"",IF('🌱 Configuração'!$B$56+72&lt;'🌱 Configuração'!$C$56,"Clone S"&amp;INT((73-1)/7)+1,IF('🌱 Configuração'!$B$56+72&lt;'🌱 Configuração'!$D$56,"Vega S"&amp;INT(('🌱 Configuração'!$B$56+72-'🌱 Configuração'!$C$56)/7)+1,IF('🌱 Configuração'!$B$56+72&lt;'🌱 Configuração'!$E$56,"Flora S"&amp;INT(('🌱 Configuração'!$B$56+72-'🌱 Configuração'!$D$56)/7)+1,"Flush S"&amp;INT(('🌱 Configuração'!$B$56+72-'🌱 Configuração'!$E$56)/7)+1))))</f>
        <v>Flora S3</v>
      </c>
      <c r="F78" s="14" t="str">
        <f>IF(73&gt;'🌱 Configuração'!$F$55,"",IF('🌱 Configuração'!$B$56+72='🌱 Configuração'!$C$56,"🌿 INÍCIO VEGA — luz 18h/dia",IF('🌱 Configuração'!$B$56+72='🌱 Configuração'!$D$56,"🌸 INÍCIO FLORAÇÃO — mudar 12/12 🔴",IF('🌱 Configuração'!$B$56+72='🌱 Configuração'!$E$56,"🚿 INÍCIO FLUSH — parar nutrição",IF('🌱 Configuração'!$B$56+72='🌱 Configuração'!$F$56-1,"🔬 Véspera da colheita — analisar tricomas",IF('🌱 Configuração'!$B$56+72='🌱 Configuração'!$F$56,"✂️ COLHEITA — Parabéns! 🎉",""))))))</f>
        <v/>
      </c>
      <c r="G78" s="37" t="s">
        <v>428</v>
      </c>
      <c r="H78" s="38" t="str">
        <f>IF(73&gt;'🌱 Configuração'!$F$55,"",IF('🌱 Configuração'!$B$56+72&lt;'🌱 Configuração'!$C$56,IF(73=1,"🌿 Nim (2 mL/L) — foliar leve",IF(73=8,"🍄 Beauveria bassiana — foliar + solo","")),IF('🌱 Configuração'!$B$56+72&lt;'🌱 Configuração'!$D$56,IF(AND('🌱 Configuração'!$B$56+72&gt;='🌱 Configuração'!$C$56,'🌱 Configuração'!$B$56+72&lt;'🌱 Configuração'!$D$56,MOD('🌱 Configuração'!$B$56+72-'🌱 Configuração'!$C$56,7)=0,INT(('🌱 Configuração'!$B$56+72-'🌱 Configuração'!$C$56)/7)+1=1),"🌿 Nim (2 mL/L) — foliar preventivo",IF(AND('🌱 Configuração'!$B$56+72&gt;='🌱 Configuração'!$C$56,'🌱 Configuração'!$B$56+72&lt;'🌱 Configuração'!$D$56,MOD('🌱 Configuração'!$B$56+72-'🌱 Configuração'!$C$56,7)=0,INT(('🌱 Configuração'!$B$56+72-'🌱 Configuração'!$C$56)/7)+1=2),"🍄 Beauveria bassiana — foliar + solo",IF(AND('🌱 Configuração'!$B$56+72&gt;='🌱 Configuração'!$C$56,'🌱 Configuração'!$B$56+72&lt;'🌱 Configuração'!$D$56,MOD('🌱 Configuração'!$B$56+72-'🌱 Configuração'!$C$56,7)=0,INT(('🌱 Configuração'!$B$56+72-'🌱 Configuração'!$C$56)/7)+1=3),"🟡 Calda Sulfocálcica (1%) — foliar",IF(AND('🌱 Configuração'!$B$56+72&gt;='🌱 Configuração'!$C$56,'🌱 Configuração'!$B$56+72&lt;'🌱 Configuração'!$D$56,MOD('🌱 Configuração'!$B$56+72-'🌱 Configuração'!$C$56,7)=0,INT(('🌱 Configuração'!$B$56+72-'🌱 Configuração'!$C$56)/7)+1=4),"🦠 Trichoderma (3 g/L) — solo",IF(AND('🌱 Configuração'!$B$56+72&gt;='🌱 Configuração'!$C$56,'🌱 Configuração'!$B$56+72&lt;'🌱 Configuração'!$D$56,MOD('🌱 Configuração'!$B$56+72-'🌱 Configuração'!$C$56,7)=0,INT(('🌱 Configuração'!$B$56+72-'🌱 Configuração'!$C$56)/7)+1=5),"🔵 Calda Bordalesa (0.5%) — foliar",IF(AND('🌱 Configuração'!$B$56+72&gt;='🌱 Configuração'!$C$56,'🌱 Configuração'!$B$56+72&lt;'🌱 Configuração'!$D$56,MOD('🌱 Configuração'!$B$56+72-'🌱 Configuração'!$C$56,7)=0,INT(('🌱 Configuração'!$B$56+72-'🌱 Configuração'!$C$56)/7)+1=6),"🌿 Nim (2 mL/L) — ⚠️ ÚLTIMA foliar",IF(AND('🌱 Configuração'!$B$56+72&gt;='🌱 Configuração'!$C$56,'🌱 Configuração'!$B$56+72&lt;'🌱 Configuração'!$D$56,MOD('🌱 Configuração'!$B$56+72-'🌱 Configuração'!$C$56,7)=0,INT(('🌱 Configuração'!$B$56+72-'🌱 Configuração'!$C$56)/7)+1=7),"🦠 Trichoderma — solo",IF(AND('🌱 Configuração'!$B$56+72&gt;='🌱 Configuração'!$C$56,'🌱 Configuração'!$B$56+72&lt;'🌱 Configuração'!$D$56,MOD('🌱 Configuração'!$B$56+72-'🌱 Configuração'!$C$56,7)=0,INT(('🌱 Configuração'!$B$56+72-'🌱 Configuração'!$C$56)/7)+1=8),"🍄 Beauveria — solo","")))))))),IF('🌱 Configuração'!$B$56+72&lt;'🌱 Configuração'!$E$56,IF(AND('🌱 Configuração'!$B$56+72&gt;='🌱 Configuração'!$D$56,'🌱 Configuração'!$B$56+72&lt;'🌱 Configuração'!$E$56,MOD('🌱 Configuração'!$B$56+72-'🌱 Configuração'!$D$56,7)=0,INT(('🌱 Configuração'!$B$56+72-'🌱 Configuração'!$D$56)/7)+1=1),"🍄 Beauveria bassiana — SOLO apenas",IF(AND('🌱 Configuração'!$B$56+72&gt;='🌱 Configuração'!$D$56,'🌱 Configuração'!$B$56+72&lt;'🌱 Configuração'!$E$56,MOD('🌱 Configuração'!$B$56+72-'🌱 Configuração'!$D$56,7)=0,INT(('🌱 Configuração'!$B$56+72-'🌱 Configuração'!$D$56)/7)+1=2),"🦠 Trichoderma (3 g/L) — solo",IF(AND('🌱 Configuração'!$B$56+72&gt;='🌱 Configuração'!$D$56,'🌱 Configuração'!$B$56+72&lt;'🌱 Configuração'!$E$56,MOD('🌱 Configuração'!$B$56+72-'🌱 Configuração'!$D$56,7)=0,INT(('🌱 Configuração'!$B$56+72-'🌱 Configuração'!$D$56)/7)+1=3),"🍄 Beauveria bassiana — solo | ⚠️ Umid &lt;45%",IF(AND('🌱 Configuração'!$B$56+72&gt;='🌱 Configuração'!$D$56,'🌱 Configuração'!$B$56+72&lt;'🌱 Configuração'!$E$56,MOD('🌱 Configuração'!$B$56+72-'🌱 Configuração'!$D$56,7)=0,INT(('🌱 Configuração'!$B$56+72-'🌱 Configuração'!$D$56)/7)+1=4),"🦠 Trichoderma — solo | Inspecionar buds",IF(AND('🌱 Configuração'!$B$56+72&gt;='🌱 Configuração'!$D$56,'🌱 Configuração'!$B$56+72&lt;'🌱 Configuração'!$E$56,MOD('🌱 Configuração'!$B$56+72-'🌱 Configuração'!$D$56,7)=0,INT(('🌱 Configuração'!$B$56+72-'🌱 Configuração'!$D$56)/7)+1=5),"🍄 Beauveria + inspeção visual buds",IF(AND('🌱 Configuração'!$B$56+72&gt;='🌱 Configuração'!$D$56,'🌱 Configuração'!$B$56+72&lt;'🌱 Configuração'!$E$56,MOD('🌱 Configuração'!$B$56+72-'🌱 Configuração'!$D$56,7)=0,INT(('🌱 Configuração'!$B$56+72-'🌱 Configuração'!$D$56)/7)+1=6),"🦠 Trichoderma + ⚠️ Verificar mofo","")))))),IF(AND('🌱 Configuração'!$B$56+72&gt;='🌱 Configuração'!$E$56,MOD('🌱 Configuração'!$B$56+72-'🌱 Configuração'!$E$56,7)=0),"🔬 Inspeção final — analisar tricomas","")))))</f>
        <v/>
      </c>
      <c r="I78" s="33"/>
    </row>
    <row r="79" spans="1:9" ht="19.5" customHeight="1">
      <c r="A79" s="1"/>
      <c r="B79" s="39">
        <f>IF(74&lt;='🌱 Configuração'!$F$55,74,"")</f>
        <v>74</v>
      </c>
      <c r="C79" s="40">
        <f>IF(74&lt;='🌱 Configuração'!$F$55,'🌱 Configuração'!$B$56+73,"")</f>
        <v>73</v>
      </c>
      <c r="D79" s="41" t="str">
        <f>IF(74&gt;'🌱 Configuração'!$F$55,"",IF('🌱 Configuração'!$B$56+73&lt;'🌱 Configuração'!$C$56,"🌱 Clone",IF('🌱 Configuração'!$B$56+73&lt;'🌱 Configuração'!$D$56,"🌿 Vegetativo",IF('🌱 Configuração'!$B$56+73&lt;'🌱 Configuração'!$E$56,"🌸 Floração","🚿 Flush"))))</f>
        <v>🌸 Floração</v>
      </c>
      <c r="E79" s="42" t="str">
        <f>IF(74&gt;'🌱 Configuração'!$F$55,"",IF('🌱 Configuração'!$B$56+73&lt;'🌱 Configuração'!$C$56,"Clone S"&amp;INT((74-1)/7)+1,IF('🌱 Configuração'!$B$56+73&lt;'🌱 Configuração'!$D$56,"Vega S"&amp;INT(('🌱 Configuração'!$B$56+73-'🌱 Configuração'!$C$56)/7)+1,IF('🌱 Configuração'!$B$56+73&lt;'🌱 Configuração'!$E$56,"Flora S"&amp;INT(('🌱 Configuração'!$B$56+73-'🌱 Configuração'!$D$56)/7)+1,"Flush S"&amp;INT(('🌱 Configuração'!$B$56+73-'🌱 Configuração'!$E$56)/7)+1))))</f>
        <v>Flora S3</v>
      </c>
      <c r="F79" s="43" t="str">
        <f>IF(74&gt;'🌱 Configuração'!$F$55,"",IF('🌱 Configuração'!$B$56+73='🌱 Configuração'!$C$56,"🌿 INÍCIO VEGA — luz 18h/dia",IF('🌱 Configuração'!$B$56+73='🌱 Configuração'!$D$56,"🌸 INÍCIO FLORAÇÃO — mudar 12/12 🔴",IF('🌱 Configuração'!$B$56+73='🌱 Configuração'!$E$56,"🚿 INÍCIO FLUSH — parar nutrição",IF('🌱 Configuração'!$B$56+73='🌱 Configuração'!$F$56-1,"🔬 Véspera da colheita — analisar tricomas",IF('🌱 Configuração'!$B$56+73='🌱 Configuração'!$F$56,"✂️ COLHEITA — Parabéns! 🎉",""))))))</f>
        <v/>
      </c>
      <c r="G79" s="44" t="s">
        <v>428</v>
      </c>
      <c r="H79" s="45" t="str">
        <f>IF(74&gt;'🌱 Configuração'!$F$55,"",IF('🌱 Configuração'!$B$56+73&lt;'🌱 Configuração'!$C$56,IF(74=1,"🌿 Nim (2 mL/L) — foliar leve",IF(74=8,"🍄 Beauveria bassiana — foliar + solo","")),IF('🌱 Configuração'!$B$56+73&lt;'🌱 Configuração'!$D$56,IF(AND('🌱 Configuração'!$B$56+73&gt;='🌱 Configuração'!$C$56,'🌱 Configuração'!$B$56+73&lt;'🌱 Configuração'!$D$56,MOD('🌱 Configuração'!$B$56+73-'🌱 Configuração'!$C$56,7)=0,INT(('🌱 Configuração'!$B$56+73-'🌱 Configuração'!$C$56)/7)+1=1),"🌿 Nim (2 mL/L) — foliar preventivo",IF(AND('🌱 Configuração'!$B$56+73&gt;='🌱 Configuração'!$C$56,'🌱 Configuração'!$B$56+73&lt;'🌱 Configuração'!$D$56,MOD('🌱 Configuração'!$B$56+73-'🌱 Configuração'!$C$56,7)=0,INT(('🌱 Configuração'!$B$56+73-'🌱 Configuração'!$C$56)/7)+1=2),"🍄 Beauveria bassiana — foliar + solo",IF(AND('🌱 Configuração'!$B$56+73&gt;='🌱 Configuração'!$C$56,'🌱 Configuração'!$B$56+73&lt;'🌱 Configuração'!$D$56,MOD('🌱 Configuração'!$B$56+73-'🌱 Configuração'!$C$56,7)=0,INT(('🌱 Configuração'!$B$56+73-'🌱 Configuração'!$C$56)/7)+1=3),"🟡 Calda Sulfocálcica (1%) — foliar",IF(AND('🌱 Configuração'!$B$56+73&gt;='🌱 Configuração'!$C$56,'🌱 Configuração'!$B$56+73&lt;'🌱 Configuração'!$D$56,MOD('🌱 Configuração'!$B$56+73-'🌱 Configuração'!$C$56,7)=0,INT(('🌱 Configuração'!$B$56+73-'🌱 Configuração'!$C$56)/7)+1=4),"🦠 Trichoderma (3 g/L) — solo",IF(AND('🌱 Configuração'!$B$56+73&gt;='🌱 Configuração'!$C$56,'🌱 Configuração'!$B$56+73&lt;'🌱 Configuração'!$D$56,MOD('🌱 Configuração'!$B$56+73-'🌱 Configuração'!$C$56,7)=0,INT(('🌱 Configuração'!$B$56+73-'🌱 Configuração'!$C$56)/7)+1=5),"🔵 Calda Bordalesa (0.5%) — foliar",IF(AND('🌱 Configuração'!$B$56+73&gt;='🌱 Configuração'!$C$56,'🌱 Configuração'!$B$56+73&lt;'🌱 Configuração'!$D$56,MOD('🌱 Configuração'!$B$56+73-'🌱 Configuração'!$C$56,7)=0,INT(('🌱 Configuração'!$B$56+73-'🌱 Configuração'!$C$56)/7)+1=6),"🌿 Nim (2 mL/L) — ⚠️ ÚLTIMA foliar",IF(AND('🌱 Configuração'!$B$56+73&gt;='🌱 Configuração'!$C$56,'🌱 Configuração'!$B$56+73&lt;'🌱 Configuração'!$D$56,MOD('🌱 Configuração'!$B$56+73-'🌱 Configuração'!$C$56,7)=0,INT(('🌱 Configuração'!$B$56+73-'🌱 Configuração'!$C$56)/7)+1=7),"🦠 Trichoderma — solo",IF(AND('🌱 Configuração'!$B$56+73&gt;='🌱 Configuração'!$C$56,'🌱 Configuração'!$B$56+73&lt;'🌱 Configuração'!$D$56,MOD('🌱 Configuração'!$B$56+73-'🌱 Configuração'!$C$56,7)=0,INT(('🌱 Configuração'!$B$56+73-'🌱 Configuração'!$C$56)/7)+1=8),"🍄 Beauveria — solo","")))))))),IF('🌱 Configuração'!$B$56+73&lt;'🌱 Configuração'!$E$56,IF(AND('🌱 Configuração'!$B$56+73&gt;='🌱 Configuração'!$D$56,'🌱 Configuração'!$B$56+73&lt;'🌱 Configuração'!$E$56,MOD('🌱 Configuração'!$B$56+73-'🌱 Configuração'!$D$56,7)=0,INT(('🌱 Configuração'!$B$56+73-'🌱 Configuração'!$D$56)/7)+1=1),"🍄 Beauveria bassiana — SOLO apenas",IF(AND('🌱 Configuração'!$B$56+73&gt;='🌱 Configuração'!$D$56,'🌱 Configuração'!$B$56+73&lt;'🌱 Configuração'!$E$56,MOD('🌱 Configuração'!$B$56+73-'🌱 Configuração'!$D$56,7)=0,INT(('🌱 Configuração'!$B$56+73-'🌱 Configuração'!$D$56)/7)+1=2),"🦠 Trichoderma (3 g/L) — solo",IF(AND('🌱 Configuração'!$B$56+73&gt;='🌱 Configuração'!$D$56,'🌱 Configuração'!$B$56+73&lt;'🌱 Configuração'!$E$56,MOD('🌱 Configuração'!$B$56+73-'🌱 Configuração'!$D$56,7)=0,INT(('🌱 Configuração'!$B$56+73-'🌱 Configuração'!$D$56)/7)+1=3),"🍄 Beauveria bassiana — solo | ⚠️ Umid &lt;45%",IF(AND('🌱 Configuração'!$B$56+73&gt;='🌱 Configuração'!$D$56,'🌱 Configuração'!$B$56+73&lt;'🌱 Configuração'!$E$56,MOD('🌱 Configuração'!$B$56+73-'🌱 Configuração'!$D$56,7)=0,INT(('🌱 Configuração'!$B$56+73-'🌱 Configuração'!$D$56)/7)+1=4),"🦠 Trichoderma — solo | Inspecionar buds",IF(AND('🌱 Configuração'!$B$56+73&gt;='🌱 Configuração'!$D$56,'🌱 Configuração'!$B$56+73&lt;'🌱 Configuração'!$E$56,MOD('🌱 Configuração'!$B$56+73-'🌱 Configuração'!$D$56,7)=0,INT(('🌱 Configuração'!$B$56+73-'🌱 Configuração'!$D$56)/7)+1=5),"🍄 Beauveria + inspeção visual buds",IF(AND('🌱 Configuração'!$B$56+73&gt;='🌱 Configuração'!$D$56,'🌱 Configuração'!$B$56+73&lt;'🌱 Configuração'!$E$56,MOD('🌱 Configuração'!$B$56+73-'🌱 Configuração'!$D$56,7)=0,INT(('🌱 Configuração'!$B$56+73-'🌱 Configuração'!$D$56)/7)+1=6),"🦠 Trichoderma + ⚠️ Verificar mofo","")))))),IF(AND('🌱 Configuração'!$B$56+73&gt;='🌱 Configuração'!$E$56,MOD('🌱 Configuração'!$B$56+73-'🌱 Configuração'!$E$56,7)=0),"🔬 Inspeção final — analisar tricomas","")))))</f>
        <v/>
      </c>
      <c r="I79" s="33"/>
    </row>
    <row r="80" spans="1:9" ht="19.5" customHeight="1">
      <c r="A80" s="1"/>
      <c r="B80" s="35">
        <f>IF(75&lt;='🌱 Configuração'!$F$55,75,"")</f>
        <v>75</v>
      </c>
      <c r="C80" s="13">
        <f>IF(75&lt;='🌱 Configuração'!$F$55,'🌱 Configuração'!$B$56+74,"")</f>
        <v>74</v>
      </c>
      <c r="D80" s="36" t="str">
        <f>IF(75&gt;'🌱 Configuração'!$F$55,"",IF('🌱 Configuração'!$B$56+74&lt;'🌱 Configuração'!$C$56,"🌱 Clone",IF('🌱 Configuração'!$B$56+74&lt;'🌱 Configuração'!$D$56,"🌿 Vegetativo",IF('🌱 Configuração'!$B$56+74&lt;'🌱 Configuração'!$E$56,"🌸 Floração","🚿 Flush"))))</f>
        <v>🌸 Floração</v>
      </c>
      <c r="E80" s="15" t="str">
        <f>IF(75&gt;'🌱 Configuração'!$F$55,"",IF('🌱 Configuração'!$B$56+74&lt;'🌱 Configuração'!$C$56,"Clone S"&amp;INT((75-1)/7)+1,IF('🌱 Configuração'!$B$56+74&lt;'🌱 Configuração'!$D$56,"Vega S"&amp;INT(('🌱 Configuração'!$B$56+74-'🌱 Configuração'!$C$56)/7)+1,IF('🌱 Configuração'!$B$56+74&lt;'🌱 Configuração'!$E$56,"Flora S"&amp;INT(('🌱 Configuração'!$B$56+74-'🌱 Configuração'!$D$56)/7)+1,"Flush S"&amp;INT(('🌱 Configuração'!$B$56+74-'🌱 Configuração'!$E$56)/7)+1))))</f>
        <v>Flora S3</v>
      </c>
      <c r="F80" s="14" t="str">
        <f>IF(75&gt;'🌱 Configuração'!$F$55,"",IF('🌱 Configuração'!$B$56+74='🌱 Configuração'!$C$56,"🌿 INÍCIO VEGA — luz 18h/dia",IF('🌱 Configuração'!$B$56+74='🌱 Configuração'!$D$56,"🌸 INÍCIO FLORAÇÃO — mudar 12/12 🔴",IF('🌱 Configuração'!$B$56+74='🌱 Configuração'!$E$56,"🚿 INÍCIO FLUSH — parar nutrição",IF('🌱 Configuração'!$B$56+74='🌱 Configuração'!$F$56-1,"🔬 Véspera da colheita — analisar tricomas",IF('🌱 Configuração'!$B$56+74='🌱 Configuração'!$F$56,"✂️ COLHEITA — Parabéns! 🎉",""))))))</f>
        <v/>
      </c>
      <c r="G80" s="37" t="s">
        <v>428</v>
      </c>
      <c r="H80" s="38" t="str">
        <f>IF(75&gt;'🌱 Configuração'!$F$55,"",IF('🌱 Configuração'!$B$56+74&lt;'🌱 Configuração'!$C$56,IF(75=1,"🌿 Nim (2 mL/L) — foliar leve",IF(75=8,"🍄 Beauveria bassiana — foliar + solo","")),IF('🌱 Configuração'!$B$56+74&lt;'🌱 Configuração'!$D$56,IF(AND('🌱 Configuração'!$B$56+74&gt;='🌱 Configuração'!$C$56,'🌱 Configuração'!$B$56+74&lt;'🌱 Configuração'!$D$56,MOD('🌱 Configuração'!$B$56+74-'🌱 Configuração'!$C$56,7)=0,INT(('🌱 Configuração'!$B$56+74-'🌱 Configuração'!$C$56)/7)+1=1),"🌿 Nim (2 mL/L) — foliar preventivo",IF(AND('🌱 Configuração'!$B$56+74&gt;='🌱 Configuração'!$C$56,'🌱 Configuração'!$B$56+74&lt;'🌱 Configuração'!$D$56,MOD('🌱 Configuração'!$B$56+74-'🌱 Configuração'!$C$56,7)=0,INT(('🌱 Configuração'!$B$56+74-'🌱 Configuração'!$C$56)/7)+1=2),"🍄 Beauveria bassiana — foliar + solo",IF(AND('🌱 Configuração'!$B$56+74&gt;='🌱 Configuração'!$C$56,'🌱 Configuração'!$B$56+74&lt;'🌱 Configuração'!$D$56,MOD('🌱 Configuração'!$B$56+74-'🌱 Configuração'!$C$56,7)=0,INT(('🌱 Configuração'!$B$56+74-'🌱 Configuração'!$C$56)/7)+1=3),"🟡 Calda Sulfocálcica (1%) — foliar",IF(AND('🌱 Configuração'!$B$56+74&gt;='🌱 Configuração'!$C$56,'🌱 Configuração'!$B$56+74&lt;'🌱 Configuração'!$D$56,MOD('🌱 Configuração'!$B$56+74-'🌱 Configuração'!$C$56,7)=0,INT(('🌱 Configuração'!$B$56+74-'🌱 Configuração'!$C$56)/7)+1=4),"🦠 Trichoderma (3 g/L) — solo",IF(AND('🌱 Configuração'!$B$56+74&gt;='🌱 Configuração'!$C$56,'🌱 Configuração'!$B$56+74&lt;'🌱 Configuração'!$D$56,MOD('🌱 Configuração'!$B$56+74-'🌱 Configuração'!$C$56,7)=0,INT(('🌱 Configuração'!$B$56+74-'🌱 Configuração'!$C$56)/7)+1=5),"🔵 Calda Bordalesa (0.5%) — foliar",IF(AND('🌱 Configuração'!$B$56+74&gt;='🌱 Configuração'!$C$56,'🌱 Configuração'!$B$56+74&lt;'🌱 Configuração'!$D$56,MOD('🌱 Configuração'!$B$56+74-'🌱 Configuração'!$C$56,7)=0,INT(('🌱 Configuração'!$B$56+74-'🌱 Configuração'!$C$56)/7)+1=6),"🌿 Nim (2 mL/L) — ⚠️ ÚLTIMA foliar",IF(AND('🌱 Configuração'!$B$56+74&gt;='🌱 Configuração'!$C$56,'🌱 Configuração'!$B$56+74&lt;'🌱 Configuração'!$D$56,MOD('🌱 Configuração'!$B$56+74-'🌱 Configuração'!$C$56,7)=0,INT(('🌱 Configuração'!$B$56+74-'🌱 Configuração'!$C$56)/7)+1=7),"🦠 Trichoderma — solo",IF(AND('🌱 Configuração'!$B$56+74&gt;='🌱 Configuração'!$C$56,'🌱 Configuração'!$B$56+74&lt;'🌱 Configuração'!$D$56,MOD('🌱 Configuração'!$B$56+74-'🌱 Configuração'!$C$56,7)=0,INT(('🌱 Configuração'!$B$56+74-'🌱 Configuração'!$C$56)/7)+1=8),"🍄 Beauveria — solo","")))))))),IF('🌱 Configuração'!$B$56+74&lt;'🌱 Configuração'!$E$56,IF(AND('🌱 Configuração'!$B$56+74&gt;='🌱 Configuração'!$D$56,'🌱 Configuração'!$B$56+74&lt;'🌱 Configuração'!$E$56,MOD('🌱 Configuração'!$B$56+74-'🌱 Configuração'!$D$56,7)=0,INT(('🌱 Configuração'!$B$56+74-'🌱 Configuração'!$D$56)/7)+1=1),"🍄 Beauveria bassiana — SOLO apenas",IF(AND('🌱 Configuração'!$B$56+74&gt;='🌱 Configuração'!$D$56,'🌱 Configuração'!$B$56+74&lt;'🌱 Configuração'!$E$56,MOD('🌱 Configuração'!$B$56+74-'🌱 Configuração'!$D$56,7)=0,INT(('🌱 Configuração'!$B$56+74-'🌱 Configuração'!$D$56)/7)+1=2),"🦠 Trichoderma (3 g/L) — solo",IF(AND('🌱 Configuração'!$B$56+74&gt;='🌱 Configuração'!$D$56,'🌱 Configuração'!$B$56+74&lt;'🌱 Configuração'!$E$56,MOD('🌱 Configuração'!$B$56+74-'🌱 Configuração'!$D$56,7)=0,INT(('🌱 Configuração'!$B$56+74-'🌱 Configuração'!$D$56)/7)+1=3),"🍄 Beauveria bassiana — solo | ⚠️ Umid &lt;45%",IF(AND('🌱 Configuração'!$B$56+74&gt;='🌱 Configuração'!$D$56,'🌱 Configuração'!$B$56+74&lt;'🌱 Configuração'!$E$56,MOD('🌱 Configuração'!$B$56+74-'🌱 Configuração'!$D$56,7)=0,INT(('🌱 Configuração'!$B$56+74-'🌱 Configuração'!$D$56)/7)+1=4),"🦠 Trichoderma — solo | Inspecionar buds",IF(AND('🌱 Configuração'!$B$56+74&gt;='🌱 Configuração'!$D$56,'🌱 Configuração'!$B$56+74&lt;'🌱 Configuração'!$E$56,MOD('🌱 Configuração'!$B$56+74-'🌱 Configuração'!$D$56,7)=0,INT(('🌱 Configuração'!$B$56+74-'🌱 Configuração'!$D$56)/7)+1=5),"🍄 Beauveria + inspeção visual buds",IF(AND('🌱 Configuração'!$B$56+74&gt;='🌱 Configuração'!$D$56,'🌱 Configuração'!$B$56+74&lt;'🌱 Configuração'!$E$56,MOD('🌱 Configuração'!$B$56+74-'🌱 Configuração'!$D$56,7)=0,INT(('🌱 Configuração'!$B$56+74-'🌱 Configuração'!$D$56)/7)+1=6),"🦠 Trichoderma + ⚠️ Verificar mofo","")))))),IF(AND('🌱 Configuração'!$B$56+74&gt;='🌱 Configuração'!$E$56,MOD('🌱 Configuração'!$B$56+74-'🌱 Configuração'!$E$56,7)=0),"🔬 Inspeção final — analisar tricomas","")))))</f>
        <v/>
      </c>
      <c r="I80" s="33"/>
    </row>
    <row r="81" spans="1:9" ht="19.5" customHeight="1">
      <c r="A81" s="1"/>
      <c r="B81" s="39">
        <f>IF(76&lt;='🌱 Configuração'!$F$55,76,"")</f>
        <v>76</v>
      </c>
      <c r="C81" s="40">
        <f>IF(76&lt;='🌱 Configuração'!$F$55,'🌱 Configuração'!$B$56+75,"")</f>
        <v>75</v>
      </c>
      <c r="D81" s="41" t="str">
        <f>IF(76&gt;'🌱 Configuração'!$F$55,"",IF('🌱 Configuração'!$B$56+75&lt;'🌱 Configuração'!$C$56,"🌱 Clone",IF('🌱 Configuração'!$B$56+75&lt;'🌱 Configuração'!$D$56,"🌿 Vegetativo",IF('🌱 Configuração'!$B$56+75&lt;'🌱 Configuração'!$E$56,"🌸 Floração","🚿 Flush"))))</f>
        <v>🌸 Floração</v>
      </c>
      <c r="E81" s="42" t="str">
        <f>IF(76&gt;'🌱 Configuração'!$F$55,"",IF('🌱 Configuração'!$B$56+75&lt;'🌱 Configuração'!$C$56,"Clone S"&amp;INT((76-1)/7)+1,IF('🌱 Configuração'!$B$56+75&lt;'🌱 Configuração'!$D$56,"Vega S"&amp;INT(('🌱 Configuração'!$B$56+75-'🌱 Configuração'!$C$56)/7)+1,IF('🌱 Configuração'!$B$56+75&lt;'🌱 Configuração'!$E$56,"Flora S"&amp;INT(('🌱 Configuração'!$B$56+75-'🌱 Configuração'!$D$56)/7)+1,"Flush S"&amp;INT(('🌱 Configuração'!$B$56+75-'🌱 Configuração'!$E$56)/7)+1))))</f>
        <v>Flora S3</v>
      </c>
      <c r="F81" s="43" t="str">
        <f>IF(76&gt;'🌱 Configuração'!$F$55,"",IF('🌱 Configuração'!$B$56+75='🌱 Configuração'!$C$56,"🌿 INÍCIO VEGA — luz 18h/dia",IF('🌱 Configuração'!$B$56+75='🌱 Configuração'!$D$56,"🌸 INÍCIO FLORAÇÃO — mudar 12/12 🔴",IF('🌱 Configuração'!$B$56+75='🌱 Configuração'!$E$56,"🚿 INÍCIO FLUSH — parar nutrição",IF('🌱 Configuração'!$B$56+75='🌱 Configuração'!$F$56-1,"🔬 Véspera da colheita — analisar tricomas",IF('🌱 Configuração'!$B$56+75='🌱 Configuração'!$F$56,"✂️ COLHEITA — Parabéns! 🎉",""))))))</f>
        <v/>
      </c>
      <c r="G81" s="44" t="s">
        <v>428</v>
      </c>
      <c r="H81" s="45" t="str">
        <f>IF(76&gt;'🌱 Configuração'!$F$55,"",IF('🌱 Configuração'!$B$56+75&lt;'🌱 Configuração'!$C$56,IF(76=1,"🌿 Nim (2 mL/L) — foliar leve",IF(76=8,"🍄 Beauveria bassiana — foliar + solo","")),IF('🌱 Configuração'!$B$56+75&lt;'🌱 Configuração'!$D$56,IF(AND('🌱 Configuração'!$B$56+75&gt;='🌱 Configuração'!$C$56,'🌱 Configuração'!$B$56+75&lt;'🌱 Configuração'!$D$56,MOD('🌱 Configuração'!$B$56+75-'🌱 Configuração'!$C$56,7)=0,INT(('🌱 Configuração'!$B$56+75-'🌱 Configuração'!$C$56)/7)+1=1),"🌿 Nim (2 mL/L) — foliar preventivo",IF(AND('🌱 Configuração'!$B$56+75&gt;='🌱 Configuração'!$C$56,'🌱 Configuração'!$B$56+75&lt;'🌱 Configuração'!$D$56,MOD('🌱 Configuração'!$B$56+75-'🌱 Configuração'!$C$56,7)=0,INT(('🌱 Configuração'!$B$56+75-'🌱 Configuração'!$C$56)/7)+1=2),"🍄 Beauveria bassiana — foliar + solo",IF(AND('🌱 Configuração'!$B$56+75&gt;='🌱 Configuração'!$C$56,'🌱 Configuração'!$B$56+75&lt;'🌱 Configuração'!$D$56,MOD('🌱 Configuração'!$B$56+75-'🌱 Configuração'!$C$56,7)=0,INT(('🌱 Configuração'!$B$56+75-'🌱 Configuração'!$C$56)/7)+1=3),"🟡 Calda Sulfocálcica (1%) — foliar",IF(AND('🌱 Configuração'!$B$56+75&gt;='🌱 Configuração'!$C$56,'🌱 Configuração'!$B$56+75&lt;'🌱 Configuração'!$D$56,MOD('🌱 Configuração'!$B$56+75-'🌱 Configuração'!$C$56,7)=0,INT(('🌱 Configuração'!$B$56+75-'🌱 Configuração'!$C$56)/7)+1=4),"🦠 Trichoderma (3 g/L) — solo",IF(AND('🌱 Configuração'!$B$56+75&gt;='🌱 Configuração'!$C$56,'🌱 Configuração'!$B$56+75&lt;'🌱 Configuração'!$D$56,MOD('🌱 Configuração'!$B$56+75-'🌱 Configuração'!$C$56,7)=0,INT(('🌱 Configuração'!$B$56+75-'🌱 Configuração'!$C$56)/7)+1=5),"🔵 Calda Bordalesa (0.5%) — foliar",IF(AND('🌱 Configuração'!$B$56+75&gt;='🌱 Configuração'!$C$56,'🌱 Configuração'!$B$56+75&lt;'🌱 Configuração'!$D$56,MOD('🌱 Configuração'!$B$56+75-'🌱 Configuração'!$C$56,7)=0,INT(('🌱 Configuração'!$B$56+75-'🌱 Configuração'!$C$56)/7)+1=6),"🌿 Nim (2 mL/L) — ⚠️ ÚLTIMA foliar",IF(AND('🌱 Configuração'!$B$56+75&gt;='🌱 Configuração'!$C$56,'🌱 Configuração'!$B$56+75&lt;'🌱 Configuração'!$D$56,MOD('🌱 Configuração'!$B$56+75-'🌱 Configuração'!$C$56,7)=0,INT(('🌱 Configuração'!$B$56+75-'🌱 Configuração'!$C$56)/7)+1=7),"🦠 Trichoderma — solo",IF(AND('🌱 Configuração'!$B$56+75&gt;='🌱 Configuração'!$C$56,'🌱 Configuração'!$B$56+75&lt;'🌱 Configuração'!$D$56,MOD('🌱 Configuração'!$B$56+75-'🌱 Configuração'!$C$56,7)=0,INT(('🌱 Configuração'!$B$56+75-'🌱 Configuração'!$C$56)/7)+1=8),"🍄 Beauveria — solo","")))))))),IF('🌱 Configuração'!$B$56+75&lt;'🌱 Configuração'!$E$56,IF(AND('🌱 Configuração'!$B$56+75&gt;='🌱 Configuração'!$D$56,'🌱 Configuração'!$B$56+75&lt;'🌱 Configuração'!$E$56,MOD('🌱 Configuração'!$B$56+75-'🌱 Configuração'!$D$56,7)=0,INT(('🌱 Configuração'!$B$56+75-'🌱 Configuração'!$D$56)/7)+1=1),"🍄 Beauveria bassiana — SOLO apenas",IF(AND('🌱 Configuração'!$B$56+75&gt;='🌱 Configuração'!$D$56,'🌱 Configuração'!$B$56+75&lt;'🌱 Configuração'!$E$56,MOD('🌱 Configuração'!$B$56+75-'🌱 Configuração'!$D$56,7)=0,INT(('🌱 Configuração'!$B$56+75-'🌱 Configuração'!$D$56)/7)+1=2),"🦠 Trichoderma (3 g/L) — solo",IF(AND('🌱 Configuração'!$B$56+75&gt;='🌱 Configuração'!$D$56,'🌱 Configuração'!$B$56+75&lt;'🌱 Configuração'!$E$56,MOD('🌱 Configuração'!$B$56+75-'🌱 Configuração'!$D$56,7)=0,INT(('🌱 Configuração'!$B$56+75-'🌱 Configuração'!$D$56)/7)+1=3),"🍄 Beauveria bassiana — solo | ⚠️ Umid &lt;45%",IF(AND('🌱 Configuração'!$B$56+75&gt;='🌱 Configuração'!$D$56,'🌱 Configuração'!$B$56+75&lt;'🌱 Configuração'!$E$56,MOD('🌱 Configuração'!$B$56+75-'🌱 Configuração'!$D$56,7)=0,INT(('🌱 Configuração'!$B$56+75-'🌱 Configuração'!$D$56)/7)+1=4),"🦠 Trichoderma — solo | Inspecionar buds",IF(AND('🌱 Configuração'!$B$56+75&gt;='🌱 Configuração'!$D$56,'🌱 Configuração'!$B$56+75&lt;'🌱 Configuração'!$E$56,MOD('🌱 Configuração'!$B$56+75-'🌱 Configuração'!$D$56,7)=0,INT(('🌱 Configuração'!$B$56+75-'🌱 Configuração'!$D$56)/7)+1=5),"🍄 Beauveria + inspeção visual buds",IF(AND('🌱 Configuração'!$B$56+75&gt;='🌱 Configuração'!$D$56,'🌱 Configuração'!$B$56+75&lt;'🌱 Configuração'!$E$56,MOD('🌱 Configuração'!$B$56+75-'🌱 Configuração'!$D$56,7)=0,INT(('🌱 Configuração'!$B$56+75-'🌱 Configuração'!$D$56)/7)+1=6),"🦠 Trichoderma + ⚠️ Verificar mofo","")))))),IF(AND('🌱 Configuração'!$B$56+75&gt;='🌱 Configuração'!$E$56,MOD('🌱 Configuração'!$B$56+75-'🌱 Configuração'!$E$56,7)=0),"🔬 Inspeção final — analisar tricomas","")))))</f>
        <v/>
      </c>
      <c r="I81" s="33"/>
    </row>
    <row r="82" spans="1:9" ht="19.5" customHeight="1">
      <c r="A82" s="1"/>
      <c r="B82" s="35">
        <f>IF(77&lt;='🌱 Configuração'!$F$55,77,"")</f>
        <v>77</v>
      </c>
      <c r="C82" s="13">
        <f>IF(77&lt;='🌱 Configuração'!$F$55,'🌱 Configuração'!$B$56+76,"")</f>
        <v>76</v>
      </c>
      <c r="D82" s="36" t="str">
        <f>IF(77&gt;'🌱 Configuração'!$F$55,"",IF('🌱 Configuração'!$B$56+76&lt;'🌱 Configuração'!$C$56,"🌱 Clone",IF('🌱 Configuração'!$B$56+76&lt;'🌱 Configuração'!$D$56,"🌿 Vegetativo",IF('🌱 Configuração'!$B$56+76&lt;'🌱 Configuração'!$E$56,"🌸 Floração","🚿 Flush"))))</f>
        <v>🌸 Floração</v>
      </c>
      <c r="E82" s="15" t="str">
        <f>IF(77&gt;'🌱 Configuração'!$F$55,"",IF('🌱 Configuração'!$B$56+76&lt;'🌱 Configuração'!$C$56,"Clone S"&amp;INT((77-1)/7)+1,IF('🌱 Configuração'!$B$56+76&lt;'🌱 Configuração'!$D$56,"Vega S"&amp;INT(('🌱 Configuração'!$B$56+76-'🌱 Configuração'!$C$56)/7)+1,IF('🌱 Configuração'!$B$56+76&lt;'🌱 Configuração'!$E$56,"Flora S"&amp;INT(('🌱 Configuração'!$B$56+76-'🌱 Configuração'!$D$56)/7)+1,"Flush S"&amp;INT(('🌱 Configuração'!$B$56+76-'🌱 Configuração'!$E$56)/7)+1))))</f>
        <v>Flora S3</v>
      </c>
      <c r="F82" s="14" t="str">
        <f>IF(77&gt;'🌱 Configuração'!$F$55,"",IF('🌱 Configuração'!$B$56+76='🌱 Configuração'!$C$56,"🌿 INÍCIO VEGA — luz 18h/dia",IF('🌱 Configuração'!$B$56+76='🌱 Configuração'!$D$56,"🌸 INÍCIO FLORAÇÃO — mudar 12/12 🔴",IF('🌱 Configuração'!$B$56+76='🌱 Configuração'!$E$56,"🚿 INÍCIO FLUSH — parar nutrição",IF('🌱 Configuração'!$B$56+76='🌱 Configuração'!$F$56-1,"🔬 Véspera da colheita — analisar tricomas",IF('🌱 Configuração'!$B$56+76='🌱 Configuração'!$F$56,"✂️ COLHEITA — Parabéns! 🎉",""))))))</f>
        <v/>
      </c>
      <c r="G82" s="37" t="s">
        <v>428</v>
      </c>
      <c r="H82" s="38" t="str">
        <f>IF(77&gt;'🌱 Configuração'!$F$55,"",IF('🌱 Configuração'!$B$56+76&lt;'🌱 Configuração'!$C$56,IF(77=1,"🌿 Nim (2 mL/L) — foliar leve",IF(77=8,"🍄 Beauveria bassiana — foliar + solo","")),IF('🌱 Configuração'!$B$56+76&lt;'🌱 Configuração'!$D$56,IF(AND('🌱 Configuração'!$B$56+76&gt;='🌱 Configuração'!$C$56,'🌱 Configuração'!$B$56+76&lt;'🌱 Configuração'!$D$56,MOD('🌱 Configuração'!$B$56+76-'🌱 Configuração'!$C$56,7)=0,INT(('🌱 Configuração'!$B$56+76-'🌱 Configuração'!$C$56)/7)+1=1),"🌿 Nim (2 mL/L) — foliar preventivo",IF(AND('🌱 Configuração'!$B$56+76&gt;='🌱 Configuração'!$C$56,'🌱 Configuração'!$B$56+76&lt;'🌱 Configuração'!$D$56,MOD('🌱 Configuração'!$B$56+76-'🌱 Configuração'!$C$56,7)=0,INT(('🌱 Configuração'!$B$56+76-'🌱 Configuração'!$C$56)/7)+1=2),"🍄 Beauveria bassiana — foliar + solo",IF(AND('🌱 Configuração'!$B$56+76&gt;='🌱 Configuração'!$C$56,'🌱 Configuração'!$B$56+76&lt;'🌱 Configuração'!$D$56,MOD('🌱 Configuração'!$B$56+76-'🌱 Configuração'!$C$56,7)=0,INT(('🌱 Configuração'!$B$56+76-'🌱 Configuração'!$C$56)/7)+1=3),"🟡 Calda Sulfocálcica (1%) — foliar",IF(AND('🌱 Configuração'!$B$56+76&gt;='🌱 Configuração'!$C$56,'🌱 Configuração'!$B$56+76&lt;'🌱 Configuração'!$D$56,MOD('🌱 Configuração'!$B$56+76-'🌱 Configuração'!$C$56,7)=0,INT(('🌱 Configuração'!$B$56+76-'🌱 Configuração'!$C$56)/7)+1=4),"🦠 Trichoderma (3 g/L) — solo",IF(AND('🌱 Configuração'!$B$56+76&gt;='🌱 Configuração'!$C$56,'🌱 Configuração'!$B$56+76&lt;'🌱 Configuração'!$D$56,MOD('🌱 Configuração'!$B$56+76-'🌱 Configuração'!$C$56,7)=0,INT(('🌱 Configuração'!$B$56+76-'🌱 Configuração'!$C$56)/7)+1=5),"🔵 Calda Bordalesa (0.5%) — foliar",IF(AND('🌱 Configuração'!$B$56+76&gt;='🌱 Configuração'!$C$56,'🌱 Configuração'!$B$56+76&lt;'🌱 Configuração'!$D$56,MOD('🌱 Configuração'!$B$56+76-'🌱 Configuração'!$C$56,7)=0,INT(('🌱 Configuração'!$B$56+76-'🌱 Configuração'!$C$56)/7)+1=6),"🌿 Nim (2 mL/L) — ⚠️ ÚLTIMA foliar",IF(AND('🌱 Configuração'!$B$56+76&gt;='🌱 Configuração'!$C$56,'🌱 Configuração'!$B$56+76&lt;'🌱 Configuração'!$D$56,MOD('🌱 Configuração'!$B$56+76-'🌱 Configuração'!$C$56,7)=0,INT(('🌱 Configuração'!$B$56+76-'🌱 Configuração'!$C$56)/7)+1=7),"🦠 Trichoderma — solo",IF(AND('🌱 Configuração'!$B$56+76&gt;='🌱 Configuração'!$C$56,'🌱 Configuração'!$B$56+76&lt;'🌱 Configuração'!$D$56,MOD('🌱 Configuração'!$B$56+76-'🌱 Configuração'!$C$56,7)=0,INT(('🌱 Configuração'!$B$56+76-'🌱 Configuração'!$C$56)/7)+1=8),"🍄 Beauveria — solo","")))))))),IF('🌱 Configuração'!$B$56+76&lt;'🌱 Configuração'!$E$56,IF(AND('🌱 Configuração'!$B$56+76&gt;='🌱 Configuração'!$D$56,'🌱 Configuração'!$B$56+76&lt;'🌱 Configuração'!$E$56,MOD('🌱 Configuração'!$B$56+76-'🌱 Configuração'!$D$56,7)=0,INT(('🌱 Configuração'!$B$56+76-'🌱 Configuração'!$D$56)/7)+1=1),"🍄 Beauveria bassiana — SOLO apenas",IF(AND('🌱 Configuração'!$B$56+76&gt;='🌱 Configuração'!$D$56,'🌱 Configuração'!$B$56+76&lt;'🌱 Configuração'!$E$56,MOD('🌱 Configuração'!$B$56+76-'🌱 Configuração'!$D$56,7)=0,INT(('🌱 Configuração'!$B$56+76-'🌱 Configuração'!$D$56)/7)+1=2),"🦠 Trichoderma (3 g/L) — solo",IF(AND('🌱 Configuração'!$B$56+76&gt;='🌱 Configuração'!$D$56,'🌱 Configuração'!$B$56+76&lt;'🌱 Configuração'!$E$56,MOD('🌱 Configuração'!$B$56+76-'🌱 Configuração'!$D$56,7)=0,INT(('🌱 Configuração'!$B$56+76-'🌱 Configuração'!$D$56)/7)+1=3),"🍄 Beauveria bassiana — solo | ⚠️ Umid &lt;45%",IF(AND('🌱 Configuração'!$B$56+76&gt;='🌱 Configuração'!$D$56,'🌱 Configuração'!$B$56+76&lt;'🌱 Configuração'!$E$56,MOD('🌱 Configuração'!$B$56+76-'🌱 Configuração'!$D$56,7)=0,INT(('🌱 Configuração'!$B$56+76-'🌱 Configuração'!$D$56)/7)+1=4),"🦠 Trichoderma — solo | Inspecionar buds",IF(AND('🌱 Configuração'!$B$56+76&gt;='🌱 Configuração'!$D$56,'🌱 Configuração'!$B$56+76&lt;'🌱 Configuração'!$E$56,MOD('🌱 Configuração'!$B$56+76-'🌱 Configuração'!$D$56,7)=0,INT(('🌱 Configuração'!$B$56+76-'🌱 Configuração'!$D$56)/7)+1=5),"🍄 Beauveria + inspeção visual buds",IF(AND('🌱 Configuração'!$B$56+76&gt;='🌱 Configuração'!$D$56,'🌱 Configuração'!$B$56+76&lt;'🌱 Configuração'!$E$56,MOD('🌱 Configuração'!$B$56+76-'🌱 Configuração'!$D$56,7)=0,INT(('🌱 Configuração'!$B$56+76-'🌱 Configuração'!$D$56)/7)+1=6),"🦠 Trichoderma + ⚠️ Verificar mofo","")))))),IF(AND('🌱 Configuração'!$B$56+76&gt;='🌱 Configuração'!$E$56,MOD('🌱 Configuração'!$B$56+76-'🌱 Configuração'!$E$56,7)=0),"🔬 Inspeção final — analisar tricomas","")))))</f>
        <v/>
      </c>
      <c r="I82" s="33"/>
    </row>
    <row r="83" spans="1:9" ht="19.5" customHeight="1">
      <c r="A83" s="1"/>
      <c r="B83" s="39">
        <f>IF(78&lt;='🌱 Configuração'!$F$55,78,"")</f>
        <v>78</v>
      </c>
      <c r="C83" s="40">
        <f>IF(78&lt;='🌱 Configuração'!$F$55,'🌱 Configuração'!$B$56+77,"")</f>
        <v>77</v>
      </c>
      <c r="D83" s="41" t="str">
        <f>IF(78&gt;'🌱 Configuração'!$F$55,"",IF('🌱 Configuração'!$B$56+77&lt;'🌱 Configuração'!$C$56,"🌱 Clone",IF('🌱 Configuração'!$B$56+77&lt;'🌱 Configuração'!$D$56,"🌿 Vegetativo",IF('🌱 Configuração'!$B$56+77&lt;'🌱 Configuração'!$E$56,"🌸 Floração","🚿 Flush"))))</f>
        <v>🌸 Floração</v>
      </c>
      <c r="E83" s="42" t="str">
        <f>IF(78&gt;'🌱 Configuração'!$F$55,"",IF('🌱 Configuração'!$B$56+77&lt;'🌱 Configuração'!$C$56,"Clone S"&amp;INT((78-1)/7)+1,IF('🌱 Configuração'!$B$56+77&lt;'🌱 Configuração'!$D$56,"Vega S"&amp;INT(('🌱 Configuração'!$B$56+77-'🌱 Configuração'!$C$56)/7)+1,IF('🌱 Configuração'!$B$56+77&lt;'🌱 Configuração'!$E$56,"Flora S"&amp;INT(('🌱 Configuração'!$B$56+77-'🌱 Configuração'!$D$56)/7)+1,"Flush S"&amp;INT(('🌱 Configuração'!$B$56+77-'🌱 Configuração'!$E$56)/7)+1))))</f>
        <v>Flora S4</v>
      </c>
      <c r="F83" s="43" t="str">
        <f>IF(78&gt;'🌱 Configuração'!$F$55,"",IF('🌱 Configuração'!$B$56+77='🌱 Configuração'!$C$56,"🌿 INÍCIO VEGA — luz 18h/dia",IF('🌱 Configuração'!$B$56+77='🌱 Configuração'!$D$56,"🌸 INÍCIO FLORAÇÃO — mudar 12/12 🔴",IF('🌱 Configuração'!$B$56+77='🌱 Configuração'!$E$56,"🚿 INÍCIO FLUSH — parar nutrição",IF('🌱 Configuração'!$B$56+77='🌱 Configuração'!$F$56-1,"🔬 Véspera da colheita — analisar tricomas",IF('🌱 Configuração'!$B$56+77='🌱 Configuração'!$F$56,"✂️ COLHEITA — Parabéns! 🎉",""))))))</f>
        <v/>
      </c>
      <c r="G83" s="44" t="s">
        <v>439</v>
      </c>
      <c r="H83" s="45" t="str">
        <f>IF(78&gt;'🌱 Configuração'!$F$55,"",IF('🌱 Configuração'!$B$56+77&lt;'🌱 Configuração'!$C$56,IF(78=1,"🌿 Nim (2 mL/L) — foliar leve",IF(78=8,"🍄 Beauveria bassiana — foliar + solo","")),IF('🌱 Configuração'!$B$56+77&lt;'🌱 Configuração'!$D$56,IF(AND('🌱 Configuração'!$B$56+77&gt;='🌱 Configuração'!$C$56,'🌱 Configuração'!$B$56+77&lt;'🌱 Configuração'!$D$56,MOD('🌱 Configuração'!$B$56+77-'🌱 Configuração'!$C$56,7)=0,INT(('🌱 Configuração'!$B$56+77-'🌱 Configuração'!$C$56)/7)+1=1),"🌿 Nim (2 mL/L) — foliar preventivo",IF(AND('🌱 Configuração'!$B$56+77&gt;='🌱 Configuração'!$C$56,'🌱 Configuração'!$B$56+77&lt;'🌱 Configuração'!$D$56,MOD('🌱 Configuração'!$B$56+77-'🌱 Configuração'!$C$56,7)=0,INT(('🌱 Configuração'!$B$56+77-'🌱 Configuração'!$C$56)/7)+1=2),"🍄 Beauveria bassiana — foliar + solo",IF(AND('🌱 Configuração'!$B$56+77&gt;='🌱 Configuração'!$C$56,'🌱 Configuração'!$B$56+77&lt;'🌱 Configuração'!$D$56,MOD('🌱 Configuração'!$B$56+77-'🌱 Configuração'!$C$56,7)=0,INT(('🌱 Configuração'!$B$56+77-'🌱 Configuração'!$C$56)/7)+1=3),"🟡 Calda Sulfocálcica (1%) — foliar",IF(AND('🌱 Configuração'!$B$56+77&gt;='🌱 Configuração'!$C$56,'🌱 Configuração'!$B$56+77&lt;'🌱 Configuração'!$D$56,MOD('🌱 Configuração'!$B$56+77-'🌱 Configuração'!$C$56,7)=0,INT(('🌱 Configuração'!$B$56+77-'🌱 Configuração'!$C$56)/7)+1=4),"🦠 Trichoderma (3 g/L) — solo",IF(AND('🌱 Configuração'!$B$56+77&gt;='🌱 Configuração'!$C$56,'🌱 Configuração'!$B$56+77&lt;'🌱 Configuração'!$D$56,MOD('🌱 Configuração'!$B$56+77-'🌱 Configuração'!$C$56,7)=0,INT(('🌱 Configuração'!$B$56+77-'🌱 Configuração'!$C$56)/7)+1=5),"🔵 Calda Bordalesa (0.5%) — foliar",IF(AND('🌱 Configuração'!$B$56+77&gt;='🌱 Configuração'!$C$56,'🌱 Configuração'!$B$56+77&lt;'🌱 Configuração'!$D$56,MOD('🌱 Configuração'!$B$56+77-'🌱 Configuração'!$C$56,7)=0,INT(('🌱 Configuração'!$B$56+77-'🌱 Configuração'!$C$56)/7)+1=6),"🌿 Nim (2 mL/L) — ⚠️ ÚLTIMA foliar",IF(AND('🌱 Configuração'!$B$56+77&gt;='🌱 Configuração'!$C$56,'🌱 Configuração'!$B$56+77&lt;'🌱 Configuração'!$D$56,MOD('🌱 Configuração'!$B$56+77-'🌱 Configuração'!$C$56,7)=0,INT(('🌱 Configuração'!$B$56+77-'🌱 Configuração'!$C$56)/7)+1=7),"🦠 Trichoderma — solo",IF(AND('🌱 Configuração'!$B$56+77&gt;='🌱 Configuração'!$C$56,'🌱 Configuração'!$B$56+77&lt;'🌱 Configuração'!$D$56,MOD('🌱 Configuração'!$B$56+77-'🌱 Configuração'!$C$56,7)=0,INT(('🌱 Configuração'!$B$56+77-'🌱 Configuração'!$C$56)/7)+1=8),"🍄 Beauveria — solo","")))))))),IF('🌱 Configuração'!$B$56+77&lt;'🌱 Configuração'!$E$56,IF(AND('🌱 Configuração'!$B$56+77&gt;='🌱 Configuração'!$D$56,'🌱 Configuração'!$B$56+77&lt;'🌱 Configuração'!$E$56,MOD('🌱 Configuração'!$B$56+77-'🌱 Configuração'!$D$56,7)=0,INT(('🌱 Configuração'!$B$56+77-'🌱 Configuração'!$D$56)/7)+1=1),"🍄 Beauveria bassiana — SOLO apenas",IF(AND('🌱 Configuração'!$B$56+77&gt;='🌱 Configuração'!$D$56,'🌱 Configuração'!$B$56+77&lt;'🌱 Configuração'!$E$56,MOD('🌱 Configuração'!$B$56+77-'🌱 Configuração'!$D$56,7)=0,INT(('🌱 Configuração'!$B$56+77-'🌱 Configuração'!$D$56)/7)+1=2),"🦠 Trichoderma (3 g/L) — solo",IF(AND('🌱 Configuração'!$B$56+77&gt;='🌱 Configuração'!$D$56,'🌱 Configuração'!$B$56+77&lt;'🌱 Configuração'!$E$56,MOD('🌱 Configuração'!$B$56+77-'🌱 Configuração'!$D$56,7)=0,INT(('🌱 Configuração'!$B$56+77-'🌱 Configuração'!$D$56)/7)+1=3),"🍄 Beauveria bassiana — solo | ⚠️ Umid &lt;45%",IF(AND('🌱 Configuração'!$B$56+77&gt;='🌱 Configuração'!$D$56,'🌱 Configuração'!$B$56+77&lt;'🌱 Configuração'!$E$56,MOD('🌱 Configuração'!$B$56+77-'🌱 Configuração'!$D$56,7)=0,INT(('🌱 Configuração'!$B$56+77-'🌱 Configuração'!$D$56)/7)+1=4),"🦠 Trichoderma — solo | Inspecionar buds",IF(AND('🌱 Configuração'!$B$56+77&gt;='🌱 Configuração'!$D$56,'🌱 Configuração'!$B$56+77&lt;'🌱 Configuração'!$E$56,MOD('🌱 Configuração'!$B$56+77-'🌱 Configuração'!$D$56,7)=0,INT(('🌱 Configuração'!$B$56+77-'🌱 Configuração'!$D$56)/7)+1=5),"🍄 Beauveria + inspeção visual buds",IF(AND('🌱 Configuração'!$B$56+77&gt;='🌱 Configuração'!$D$56,'🌱 Configuração'!$B$56+77&lt;'🌱 Configuração'!$E$56,MOD('🌱 Configuração'!$B$56+77-'🌱 Configuração'!$D$56,7)=0,INT(('🌱 Configuração'!$B$56+77-'🌱 Configuração'!$D$56)/7)+1=6),"🦠 Trichoderma + ⚠️ Verificar mofo","")))))),IF(AND('🌱 Configuração'!$B$56+77&gt;='🌱 Configuração'!$E$56,MOD('🌱 Configuração'!$B$56+77-'🌱 Configuração'!$E$56,7)=0),"🔬 Inspeção final — analisar tricomas","")))))</f>
        <v>🦠 Trichoderma — solo | Inspecionar buds</v>
      </c>
      <c r="I83" s="33"/>
    </row>
    <row r="84" spans="1:9" ht="19.5" customHeight="1">
      <c r="A84" s="1"/>
      <c r="B84" s="35">
        <f>IF(79&lt;='🌱 Configuração'!$F$55,79,"")</f>
        <v>79</v>
      </c>
      <c r="C84" s="13">
        <f>IF(79&lt;='🌱 Configuração'!$F$55,'🌱 Configuração'!$B$56+78,"")</f>
        <v>78</v>
      </c>
      <c r="D84" s="36" t="str">
        <f>IF(79&gt;'🌱 Configuração'!$F$55,"",IF('🌱 Configuração'!$B$56+78&lt;'🌱 Configuração'!$C$56,"🌱 Clone",IF('🌱 Configuração'!$B$56+78&lt;'🌱 Configuração'!$D$56,"🌿 Vegetativo",IF('🌱 Configuração'!$B$56+78&lt;'🌱 Configuração'!$E$56,"🌸 Floração","🚿 Flush"))))</f>
        <v>🌸 Floração</v>
      </c>
      <c r="E84" s="15" t="str">
        <f>IF(79&gt;'🌱 Configuração'!$F$55,"",IF('🌱 Configuração'!$B$56+78&lt;'🌱 Configuração'!$C$56,"Clone S"&amp;INT((79-1)/7)+1,IF('🌱 Configuração'!$B$56+78&lt;'🌱 Configuração'!$D$56,"Vega S"&amp;INT(('🌱 Configuração'!$B$56+78-'🌱 Configuração'!$C$56)/7)+1,IF('🌱 Configuração'!$B$56+78&lt;'🌱 Configuração'!$E$56,"Flora S"&amp;INT(('🌱 Configuração'!$B$56+78-'🌱 Configuração'!$D$56)/7)+1,"Flush S"&amp;INT(('🌱 Configuração'!$B$56+78-'🌱 Configuração'!$E$56)/7)+1))))</f>
        <v>Flora S4</v>
      </c>
      <c r="F84" s="14" t="str">
        <f>IF(79&gt;'🌱 Configuração'!$F$55,"",IF('🌱 Configuração'!$B$56+78='🌱 Configuração'!$C$56,"🌿 INÍCIO VEGA — luz 18h/dia",IF('🌱 Configuração'!$B$56+78='🌱 Configuração'!$D$56,"🌸 INÍCIO FLORAÇÃO — mudar 12/12 🔴",IF('🌱 Configuração'!$B$56+78='🌱 Configuração'!$E$56,"🚿 INÍCIO FLUSH — parar nutrição",IF('🌱 Configuração'!$B$56+78='🌱 Configuração'!$F$56-1,"🔬 Véspera da colheita — analisar tricomas",IF('🌱 Configuração'!$B$56+78='🌱 Configuração'!$F$56,"✂️ COLHEITA — Parabéns! 🎉",""))))))</f>
        <v/>
      </c>
      <c r="G84" s="37" t="s">
        <v>428</v>
      </c>
      <c r="H84" s="38" t="str">
        <f>IF(79&gt;'🌱 Configuração'!$F$55,"",IF('🌱 Configuração'!$B$56+78&lt;'🌱 Configuração'!$C$56,IF(79=1,"🌿 Nim (2 mL/L) — foliar leve",IF(79=8,"🍄 Beauveria bassiana — foliar + solo","")),IF('🌱 Configuração'!$B$56+78&lt;'🌱 Configuração'!$D$56,IF(AND('🌱 Configuração'!$B$56+78&gt;='🌱 Configuração'!$C$56,'🌱 Configuração'!$B$56+78&lt;'🌱 Configuração'!$D$56,MOD('🌱 Configuração'!$B$56+78-'🌱 Configuração'!$C$56,7)=0,INT(('🌱 Configuração'!$B$56+78-'🌱 Configuração'!$C$56)/7)+1=1),"🌿 Nim (2 mL/L) — foliar preventivo",IF(AND('🌱 Configuração'!$B$56+78&gt;='🌱 Configuração'!$C$56,'🌱 Configuração'!$B$56+78&lt;'🌱 Configuração'!$D$56,MOD('🌱 Configuração'!$B$56+78-'🌱 Configuração'!$C$56,7)=0,INT(('🌱 Configuração'!$B$56+78-'🌱 Configuração'!$C$56)/7)+1=2),"🍄 Beauveria bassiana — foliar + solo",IF(AND('🌱 Configuração'!$B$56+78&gt;='🌱 Configuração'!$C$56,'🌱 Configuração'!$B$56+78&lt;'🌱 Configuração'!$D$56,MOD('🌱 Configuração'!$B$56+78-'🌱 Configuração'!$C$56,7)=0,INT(('🌱 Configuração'!$B$56+78-'🌱 Configuração'!$C$56)/7)+1=3),"🟡 Calda Sulfocálcica (1%) — foliar",IF(AND('🌱 Configuração'!$B$56+78&gt;='🌱 Configuração'!$C$56,'🌱 Configuração'!$B$56+78&lt;'🌱 Configuração'!$D$56,MOD('🌱 Configuração'!$B$56+78-'🌱 Configuração'!$C$56,7)=0,INT(('🌱 Configuração'!$B$56+78-'🌱 Configuração'!$C$56)/7)+1=4),"🦠 Trichoderma (3 g/L) — solo",IF(AND('🌱 Configuração'!$B$56+78&gt;='🌱 Configuração'!$C$56,'🌱 Configuração'!$B$56+78&lt;'🌱 Configuração'!$D$56,MOD('🌱 Configuração'!$B$56+78-'🌱 Configuração'!$C$56,7)=0,INT(('🌱 Configuração'!$B$56+78-'🌱 Configuração'!$C$56)/7)+1=5),"🔵 Calda Bordalesa (0.5%) — foliar",IF(AND('🌱 Configuração'!$B$56+78&gt;='🌱 Configuração'!$C$56,'🌱 Configuração'!$B$56+78&lt;'🌱 Configuração'!$D$56,MOD('🌱 Configuração'!$B$56+78-'🌱 Configuração'!$C$56,7)=0,INT(('🌱 Configuração'!$B$56+78-'🌱 Configuração'!$C$56)/7)+1=6),"🌿 Nim (2 mL/L) — ⚠️ ÚLTIMA foliar",IF(AND('🌱 Configuração'!$B$56+78&gt;='🌱 Configuração'!$C$56,'🌱 Configuração'!$B$56+78&lt;'🌱 Configuração'!$D$56,MOD('🌱 Configuração'!$B$56+78-'🌱 Configuração'!$C$56,7)=0,INT(('🌱 Configuração'!$B$56+78-'🌱 Configuração'!$C$56)/7)+1=7),"🦠 Trichoderma — solo",IF(AND('🌱 Configuração'!$B$56+78&gt;='🌱 Configuração'!$C$56,'🌱 Configuração'!$B$56+78&lt;'🌱 Configuração'!$D$56,MOD('🌱 Configuração'!$B$56+78-'🌱 Configuração'!$C$56,7)=0,INT(('🌱 Configuração'!$B$56+78-'🌱 Configuração'!$C$56)/7)+1=8),"🍄 Beauveria — solo","")))))))),IF('🌱 Configuração'!$B$56+78&lt;'🌱 Configuração'!$E$56,IF(AND('🌱 Configuração'!$B$56+78&gt;='🌱 Configuração'!$D$56,'🌱 Configuração'!$B$56+78&lt;'🌱 Configuração'!$E$56,MOD('🌱 Configuração'!$B$56+78-'🌱 Configuração'!$D$56,7)=0,INT(('🌱 Configuração'!$B$56+78-'🌱 Configuração'!$D$56)/7)+1=1),"🍄 Beauveria bassiana — SOLO apenas",IF(AND('🌱 Configuração'!$B$56+78&gt;='🌱 Configuração'!$D$56,'🌱 Configuração'!$B$56+78&lt;'🌱 Configuração'!$E$56,MOD('🌱 Configuração'!$B$56+78-'🌱 Configuração'!$D$56,7)=0,INT(('🌱 Configuração'!$B$56+78-'🌱 Configuração'!$D$56)/7)+1=2),"🦠 Trichoderma (3 g/L) — solo",IF(AND('🌱 Configuração'!$B$56+78&gt;='🌱 Configuração'!$D$56,'🌱 Configuração'!$B$56+78&lt;'🌱 Configuração'!$E$56,MOD('🌱 Configuração'!$B$56+78-'🌱 Configuração'!$D$56,7)=0,INT(('🌱 Configuração'!$B$56+78-'🌱 Configuração'!$D$56)/7)+1=3),"🍄 Beauveria bassiana — solo | ⚠️ Umid &lt;45%",IF(AND('🌱 Configuração'!$B$56+78&gt;='🌱 Configuração'!$D$56,'🌱 Configuração'!$B$56+78&lt;'🌱 Configuração'!$E$56,MOD('🌱 Configuração'!$B$56+78-'🌱 Configuração'!$D$56,7)=0,INT(('🌱 Configuração'!$B$56+78-'🌱 Configuração'!$D$56)/7)+1=4),"🦠 Trichoderma — solo | Inspecionar buds",IF(AND('🌱 Configuração'!$B$56+78&gt;='🌱 Configuração'!$D$56,'🌱 Configuração'!$B$56+78&lt;'🌱 Configuração'!$E$56,MOD('🌱 Configuração'!$B$56+78-'🌱 Configuração'!$D$56,7)=0,INT(('🌱 Configuração'!$B$56+78-'🌱 Configuração'!$D$56)/7)+1=5),"🍄 Beauveria + inspeção visual buds",IF(AND('🌱 Configuração'!$B$56+78&gt;='🌱 Configuração'!$D$56,'🌱 Configuração'!$B$56+78&lt;'🌱 Configuração'!$E$56,MOD('🌱 Configuração'!$B$56+78-'🌱 Configuração'!$D$56,7)=0,INT(('🌱 Configuração'!$B$56+78-'🌱 Configuração'!$D$56)/7)+1=6),"🦠 Trichoderma + ⚠️ Verificar mofo","")))))),IF(AND('🌱 Configuração'!$B$56+78&gt;='🌱 Configuração'!$E$56,MOD('🌱 Configuração'!$B$56+78-'🌱 Configuração'!$E$56,7)=0),"🔬 Inspeção final — analisar tricomas","")))))</f>
        <v/>
      </c>
      <c r="I84" s="33"/>
    </row>
    <row r="85" spans="1:9" ht="19.5" customHeight="1">
      <c r="A85" s="1"/>
      <c r="B85" s="39">
        <f>IF(80&lt;='🌱 Configuração'!$F$55,80,"")</f>
        <v>80</v>
      </c>
      <c r="C85" s="40">
        <f>IF(80&lt;='🌱 Configuração'!$F$55,'🌱 Configuração'!$B$56+79,"")</f>
        <v>79</v>
      </c>
      <c r="D85" s="41" t="str">
        <f>IF(80&gt;'🌱 Configuração'!$F$55,"",IF('🌱 Configuração'!$B$56+79&lt;'🌱 Configuração'!$C$56,"🌱 Clone",IF('🌱 Configuração'!$B$56+79&lt;'🌱 Configuração'!$D$56,"🌿 Vegetativo",IF('🌱 Configuração'!$B$56+79&lt;'🌱 Configuração'!$E$56,"🌸 Floração","🚿 Flush"))))</f>
        <v>🌸 Floração</v>
      </c>
      <c r="E85" s="42" t="str">
        <f>IF(80&gt;'🌱 Configuração'!$F$55,"",IF('🌱 Configuração'!$B$56+79&lt;'🌱 Configuração'!$C$56,"Clone S"&amp;INT((80-1)/7)+1,IF('🌱 Configuração'!$B$56+79&lt;'🌱 Configuração'!$D$56,"Vega S"&amp;INT(('🌱 Configuração'!$B$56+79-'🌱 Configuração'!$C$56)/7)+1,IF('🌱 Configuração'!$B$56+79&lt;'🌱 Configuração'!$E$56,"Flora S"&amp;INT(('🌱 Configuração'!$B$56+79-'🌱 Configuração'!$D$56)/7)+1,"Flush S"&amp;INT(('🌱 Configuração'!$B$56+79-'🌱 Configuração'!$E$56)/7)+1))))</f>
        <v>Flora S4</v>
      </c>
      <c r="F85" s="43" t="str">
        <f>IF(80&gt;'🌱 Configuração'!$F$55,"",IF('🌱 Configuração'!$B$56+79='🌱 Configuração'!$C$56,"🌿 INÍCIO VEGA — luz 18h/dia",IF('🌱 Configuração'!$B$56+79='🌱 Configuração'!$D$56,"🌸 INÍCIO FLORAÇÃO — mudar 12/12 🔴",IF('🌱 Configuração'!$B$56+79='🌱 Configuração'!$E$56,"🚿 INÍCIO FLUSH — parar nutrição",IF('🌱 Configuração'!$B$56+79='🌱 Configuração'!$F$56-1,"🔬 Véspera da colheita — analisar tricomas",IF('🌱 Configuração'!$B$56+79='🌱 Configuração'!$F$56,"✂️ COLHEITA — Parabéns! 🎉",""))))))</f>
        <v/>
      </c>
      <c r="G85" s="44" t="s">
        <v>428</v>
      </c>
      <c r="H85" s="45" t="str">
        <f>IF(80&gt;'🌱 Configuração'!$F$55,"",IF('🌱 Configuração'!$B$56+79&lt;'🌱 Configuração'!$C$56,IF(80=1,"🌿 Nim (2 mL/L) — foliar leve",IF(80=8,"🍄 Beauveria bassiana — foliar + solo","")),IF('🌱 Configuração'!$B$56+79&lt;'🌱 Configuração'!$D$56,IF(AND('🌱 Configuração'!$B$56+79&gt;='🌱 Configuração'!$C$56,'🌱 Configuração'!$B$56+79&lt;'🌱 Configuração'!$D$56,MOD('🌱 Configuração'!$B$56+79-'🌱 Configuração'!$C$56,7)=0,INT(('🌱 Configuração'!$B$56+79-'🌱 Configuração'!$C$56)/7)+1=1),"🌿 Nim (2 mL/L) — foliar preventivo",IF(AND('🌱 Configuração'!$B$56+79&gt;='🌱 Configuração'!$C$56,'🌱 Configuração'!$B$56+79&lt;'🌱 Configuração'!$D$56,MOD('🌱 Configuração'!$B$56+79-'🌱 Configuração'!$C$56,7)=0,INT(('🌱 Configuração'!$B$56+79-'🌱 Configuração'!$C$56)/7)+1=2),"🍄 Beauveria bassiana — foliar + solo",IF(AND('🌱 Configuração'!$B$56+79&gt;='🌱 Configuração'!$C$56,'🌱 Configuração'!$B$56+79&lt;'🌱 Configuração'!$D$56,MOD('🌱 Configuração'!$B$56+79-'🌱 Configuração'!$C$56,7)=0,INT(('🌱 Configuração'!$B$56+79-'🌱 Configuração'!$C$56)/7)+1=3),"🟡 Calda Sulfocálcica (1%) — foliar",IF(AND('🌱 Configuração'!$B$56+79&gt;='🌱 Configuração'!$C$56,'🌱 Configuração'!$B$56+79&lt;'🌱 Configuração'!$D$56,MOD('🌱 Configuração'!$B$56+79-'🌱 Configuração'!$C$56,7)=0,INT(('🌱 Configuração'!$B$56+79-'🌱 Configuração'!$C$56)/7)+1=4),"🦠 Trichoderma (3 g/L) — solo",IF(AND('🌱 Configuração'!$B$56+79&gt;='🌱 Configuração'!$C$56,'🌱 Configuração'!$B$56+79&lt;'🌱 Configuração'!$D$56,MOD('🌱 Configuração'!$B$56+79-'🌱 Configuração'!$C$56,7)=0,INT(('🌱 Configuração'!$B$56+79-'🌱 Configuração'!$C$56)/7)+1=5),"🔵 Calda Bordalesa (0.5%) — foliar",IF(AND('🌱 Configuração'!$B$56+79&gt;='🌱 Configuração'!$C$56,'🌱 Configuração'!$B$56+79&lt;'🌱 Configuração'!$D$56,MOD('🌱 Configuração'!$B$56+79-'🌱 Configuração'!$C$56,7)=0,INT(('🌱 Configuração'!$B$56+79-'🌱 Configuração'!$C$56)/7)+1=6),"🌿 Nim (2 mL/L) — ⚠️ ÚLTIMA foliar",IF(AND('🌱 Configuração'!$B$56+79&gt;='🌱 Configuração'!$C$56,'🌱 Configuração'!$B$56+79&lt;'🌱 Configuração'!$D$56,MOD('🌱 Configuração'!$B$56+79-'🌱 Configuração'!$C$56,7)=0,INT(('🌱 Configuração'!$B$56+79-'🌱 Configuração'!$C$56)/7)+1=7),"🦠 Trichoderma — solo",IF(AND('🌱 Configuração'!$B$56+79&gt;='🌱 Configuração'!$C$56,'🌱 Configuração'!$B$56+79&lt;'🌱 Configuração'!$D$56,MOD('🌱 Configuração'!$B$56+79-'🌱 Configuração'!$C$56,7)=0,INT(('🌱 Configuração'!$B$56+79-'🌱 Configuração'!$C$56)/7)+1=8),"🍄 Beauveria — solo","")))))))),IF('🌱 Configuração'!$B$56+79&lt;'🌱 Configuração'!$E$56,IF(AND('🌱 Configuração'!$B$56+79&gt;='🌱 Configuração'!$D$56,'🌱 Configuração'!$B$56+79&lt;'🌱 Configuração'!$E$56,MOD('🌱 Configuração'!$B$56+79-'🌱 Configuração'!$D$56,7)=0,INT(('🌱 Configuração'!$B$56+79-'🌱 Configuração'!$D$56)/7)+1=1),"🍄 Beauveria bassiana — SOLO apenas",IF(AND('🌱 Configuração'!$B$56+79&gt;='🌱 Configuração'!$D$56,'🌱 Configuração'!$B$56+79&lt;'🌱 Configuração'!$E$56,MOD('🌱 Configuração'!$B$56+79-'🌱 Configuração'!$D$56,7)=0,INT(('🌱 Configuração'!$B$56+79-'🌱 Configuração'!$D$56)/7)+1=2),"🦠 Trichoderma (3 g/L) — solo",IF(AND('🌱 Configuração'!$B$56+79&gt;='🌱 Configuração'!$D$56,'🌱 Configuração'!$B$56+79&lt;'🌱 Configuração'!$E$56,MOD('🌱 Configuração'!$B$56+79-'🌱 Configuração'!$D$56,7)=0,INT(('🌱 Configuração'!$B$56+79-'🌱 Configuração'!$D$56)/7)+1=3),"🍄 Beauveria bassiana — solo | ⚠️ Umid &lt;45%",IF(AND('🌱 Configuração'!$B$56+79&gt;='🌱 Configuração'!$D$56,'🌱 Configuração'!$B$56+79&lt;'🌱 Configuração'!$E$56,MOD('🌱 Configuração'!$B$56+79-'🌱 Configuração'!$D$56,7)=0,INT(('🌱 Configuração'!$B$56+79-'🌱 Configuração'!$D$56)/7)+1=4),"🦠 Trichoderma — solo | Inspecionar buds",IF(AND('🌱 Configuração'!$B$56+79&gt;='🌱 Configuração'!$D$56,'🌱 Configuração'!$B$56+79&lt;'🌱 Configuração'!$E$56,MOD('🌱 Configuração'!$B$56+79-'🌱 Configuração'!$D$56,7)=0,INT(('🌱 Configuração'!$B$56+79-'🌱 Configuração'!$D$56)/7)+1=5),"🍄 Beauveria + inspeção visual buds",IF(AND('🌱 Configuração'!$B$56+79&gt;='🌱 Configuração'!$D$56,'🌱 Configuração'!$B$56+79&lt;'🌱 Configuração'!$E$56,MOD('🌱 Configuração'!$B$56+79-'🌱 Configuração'!$D$56,7)=0,INT(('🌱 Configuração'!$B$56+79-'🌱 Configuração'!$D$56)/7)+1=6),"🦠 Trichoderma + ⚠️ Verificar mofo","")))))),IF(AND('🌱 Configuração'!$B$56+79&gt;='🌱 Configuração'!$E$56,MOD('🌱 Configuração'!$B$56+79-'🌱 Configuração'!$E$56,7)=0),"🔬 Inspeção final — analisar tricomas","")))))</f>
        <v/>
      </c>
      <c r="I85" s="33"/>
    </row>
    <row r="86" spans="1:9" ht="19.5" customHeight="1">
      <c r="A86" s="1"/>
      <c r="B86" s="35">
        <f>IF(81&lt;='🌱 Configuração'!$F$55,81,"")</f>
        <v>81</v>
      </c>
      <c r="C86" s="13">
        <f>IF(81&lt;='🌱 Configuração'!$F$55,'🌱 Configuração'!$B$56+80,"")</f>
        <v>80</v>
      </c>
      <c r="D86" s="36" t="str">
        <f>IF(81&gt;'🌱 Configuração'!$F$55,"",IF('🌱 Configuração'!$B$56+80&lt;'🌱 Configuração'!$C$56,"🌱 Clone",IF('🌱 Configuração'!$B$56+80&lt;'🌱 Configuração'!$D$56,"🌿 Vegetativo",IF('🌱 Configuração'!$B$56+80&lt;'🌱 Configuração'!$E$56,"🌸 Floração","🚿 Flush"))))</f>
        <v>🌸 Floração</v>
      </c>
      <c r="E86" s="15" t="str">
        <f>IF(81&gt;'🌱 Configuração'!$F$55,"",IF('🌱 Configuração'!$B$56+80&lt;'🌱 Configuração'!$C$56,"Clone S"&amp;INT((81-1)/7)+1,IF('🌱 Configuração'!$B$56+80&lt;'🌱 Configuração'!$D$56,"Vega S"&amp;INT(('🌱 Configuração'!$B$56+80-'🌱 Configuração'!$C$56)/7)+1,IF('🌱 Configuração'!$B$56+80&lt;'🌱 Configuração'!$E$56,"Flora S"&amp;INT(('🌱 Configuração'!$B$56+80-'🌱 Configuração'!$D$56)/7)+1,"Flush S"&amp;INT(('🌱 Configuração'!$B$56+80-'🌱 Configuração'!$E$56)/7)+1))))</f>
        <v>Flora S4</v>
      </c>
      <c r="F86" s="14" t="str">
        <f>IF(81&gt;'🌱 Configuração'!$F$55,"",IF('🌱 Configuração'!$B$56+80='🌱 Configuração'!$C$56,"🌿 INÍCIO VEGA — luz 18h/dia",IF('🌱 Configuração'!$B$56+80='🌱 Configuração'!$D$56,"🌸 INÍCIO FLORAÇÃO — mudar 12/12 🔴",IF('🌱 Configuração'!$B$56+80='🌱 Configuração'!$E$56,"🚿 INÍCIO FLUSH — parar nutrição",IF('🌱 Configuração'!$B$56+80='🌱 Configuração'!$F$56-1,"🔬 Véspera da colheita — analisar tricomas",IF('🌱 Configuração'!$B$56+80='🌱 Configuração'!$F$56,"✂️ COLHEITA — Parabéns! 🎉",""))))))</f>
        <v/>
      </c>
      <c r="G86" s="37" t="s">
        <v>428</v>
      </c>
      <c r="H86" s="38" t="str">
        <f>IF(81&gt;'🌱 Configuração'!$F$55,"",IF('🌱 Configuração'!$B$56+80&lt;'🌱 Configuração'!$C$56,IF(81=1,"🌿 Nim (2 mL/L) — foliar leve",IF(81=8,"🍄 Beauveria bassiana — foliar + solo","")),IF('🌱 Configuração'!$B$56+80&lt;'🌱 Configuração'!$D$56,IF(AND('🌱 Configuração'!$B$56+80&gt;='🌱 Configuração'!$C$56,'🌱 Configuração'!$B$56+80&lt;'🌱 Configuração'!$D$56,MOD('🌱 Configuração'!$B$56+80-'🌱 Configuração'!$C$56,7)=0,INT(('🌱 Configuração'!$B$56+80-'🌱 Configuração'!$C$56)/7)+1=1),"🌿 Nim (2 mL/L) — foliar preventivo",IF(AND('🌱 Configuração'!$B$56+80&gt;='🌱 Configuração'!$C$56,'🌱 Configuração'!$B$56+80&lt;'🌱 Configuração'!$D$56,MOD('🌱 Configuração'!$B$56+80-'🌱 Configuração'!$C$56,7)=0,INT(('🌱 Configuração'!$B$56+80-'🌱 Configuração'!$C$56)/7)+1=2),"🍄 Beauveria bassiana — foliar + solo",IF(AND('🌱 Configuração'!$B$56+80&gt;='🌱 Configuração'!$C$56,'🌱 Configuração'!$B$56+80&lt;'🌱 Configuração'!$D$56,MOD('🌱 Configuração'!$B$56+80-'🌱 Configuração'!$C$56,7)=0,INT(('🌱 Configuração'!$B$56+80-'🌱 Configuração'!$C$56)/7)+1=3),"🟡 Calda Sulfocálcica (1%) — foliar",IF(AND('🌱 Configuração'!$B$56+80&gt;='🌱 Configuração'!$C$56,'🌱 Configuração'!$B$56+80&lt;'🌱 Configuração'!$D$56,MOD('🌱 Configuração'!$B$56+80-'🌱 Configuração'!$C$56,7)=0,INT(('🌱 Configuração'!$B$56+80-'🌱 Configuração'!$C$56)/7)+1=4),"🦠 Trichoderma (3 g/L) — solo",IF(AND('🌱 Configuração'!$B$56+80&gt;='🌱 Configuração'!$C$56,'🌱 Configuração'!$B$56+80&lt;'🌱 Configuração'!$D$56,MOD('🌱 Configuração'!$B$56+80-'🌱 Configuração'!$C$56,7)=0,INT(('🌱 Configuração'!$B$56+80-'🌱 Configuração'!$C$56)/7)+1=5),"🔵 Calda Bordalesa (0.5%) — foliar",IF(AND('🌱 Configuração'!$B$56+80&gt;='🌱 Configuração'!$C$56,'🌱 Configuração'!$B$56+80&lt;'🌱 Configuração'!$D$56,MOD('🌱 Configuração'!$B$56+80-'🌱 Configuração'!$C$56,7)=0,INT(('🌱 Configuração'!$B$56+80-'🌱 Configuração'!$C$56)/7)+1=6),"🌿 Nim (2 mL/L) — ⚠️ ÚLTIMA foliar",IF(AND('🌱 Configuração'!$B$56+80&gt;='🌱 Configuração'!$C$56,'🌱 Configuração'!$B$56+80&lt;'🌱 Configuração'!$D$56,MOD('🌱 Configuração'!$B$56+80-'🌱 Configuração'!$C$56,7)=0,INT(('🌱 Configuração'!$B$56+80-'🌱 Configuração'!$C$56)/7)+1=7),"🦠 Trichoderma — solo",IF(AND('🌱 Configuração'!$B$56+80&gt;='🌱 Configuração'!$C$56,'🌱 Configuração'!$B$56+80&lt;'🌱 Configuração'!$D$56,MOD('🌱 Configuração'!$B$56+80-'🌱 Configuração'!$C$56,7)=0,INT(('🌱 Configuração'!$B$56+80-'🌱 Configuração'!$C$56)/7)+1=8),"🍄 Beauveria — solo","")))))))),IF('🌱 Configuração'!$B$56+80&lt;'🌱 Configuração'!$E$56,IF(AND('🌱 Configuração'!$B$56+80&gt;='🌱 Configuração'!$D$56,'🌱 Configuração'!$B$56+80&lt;'🌱 Configuração'!$E$56,MOD('🌱 Configuração'!$B$56+80-'🌱 Configuração'!$D$56,7)=0,INT(('🌱 Configuração'!$B$56+80-'🌱 Configuração'!$D$56)/7)+1=1),"🍄 Beauveria bassiana — SOLO apenas",IF(AND('🌱 Configuração'!$B$56+80&gt;='🌱 Configuração'!$D$56,'🌱 Configuração'!$B$56+80&lt;'🌱 Configuração'!$E$56,MOD('🌱 Configuração'!$B$56+80-'🌱 Configuração'!$D$56,7)=0,INT(('🌱 Configuração'!$B$56+80-'🌱 Configuração'!$D$56)/7)+1=2),"🦠 Trichoderma (3 g/L) — solo",IF(AND('🌱 Configuração'!$B$56+80&gt;='🌱 Configuração'!$D$56,'🌱 Configuração'!$B$56+80&lt;'🌱 Configuração'!$E$56,MOD('🌱 Configuração'!$B$56+80-'🌱 Configuração'!$D$56,7)=0,INT(('🌱 Configuração'!$B$56+80-'🌱 Configuração'!$D$56)/7)+1=3),"🍄 Beauveria bassiana — solo | ⚠️ Umid &lt;45%",IF(AND('🌱 Configuração'!$B$56+80&gt;='🌱 Configuração'!$D$56,'🌱 Configuração'!$B$56+80&lt;'🌱 Configuração'!$E$56,MOD('🌱 Configuração'!$B$56+80-'🌱 Configuração'!$D$56,7)=0,INT(('🌱 Configuração'!$B$56+80-'🌱 Configuração'!$D$56)/7)+1=4),"🦠 Trichoderma — solo | Inspecionar buds",IF(AND('🌱 Configuração'!$B$56+80&gt;='🌱 Configuração'!$D$56,'🌱 Configuração'!$B$56+80&lt;'🌱 Configuração'!$E$56,MOD('🌱 Configuração'!$B$56+80-'🌱 Configuração'!$D$56,7)=0,INT(('🌱 Configuração'!$B$56+80-'🌱 Configuração'!$D$56)/7)+1=5),"🍄 Beauveria + inspeção visual buds",IF(AND('🌱 Configuração'!$B$56+80&gt;='🌱 Configuração'!$D$56,'🌱 Configuração'!$B$56+80&lt;'🌱 Configuração'!$E$56,MOD('🌱 Configuração'!$B$56+80-'🌱 Configuração'!$D$56,7)=0,INT(('🌱 Configuração'!$B$56+80-'🌱 Configuração'!$D$56)/7)+1=6),"🦠 Trichoderma + ⚠️ Verificar mofo","")))))),IF(AND('🌱 Configuração'!$B$56+80&gt;='🌱 Configuração'!$E$56,MOD('🌱 Configuração'!$B$56+80-'🌱 Configuração'!$E$56,7)=0),"🔬 Inspeção final — analisar tricomas","")))))</f>
        <v/>
      </c>
      <c r="I86" s="33"/>
    </row>
    <row r="87" spans="1:9" ht="19.5" customHeight="1">
      <c r="A87" s="1"/>
      <c r="B87" s="39">
        <f>IF(82&lt;='🌱 Configuração'!$F$55,82,"")</f>
        <v>82</v>
      </c>
      <c r="C87" s="40">
        <f>IF(82&lt;='🌱 Configuração'!$F$55,'🌱 Configuração'!$B$56+81,"")</f>
        <v>81</v>
      </c>
      <c r="D87" s="41" t="str">
        <f>IF(82&gt;'🌱 Configuração'!$F$55,"",IF('🌱 Configuração'!$B$56+81&lt;'🌱 Configuração'!$C$56,"🌱 Clone",IF('🌱 Configuração'!$B$56+81&lt;'🌱 Configuração'!$D$56,"🌿 Vegetativo",IF('🌱 Configuração'!$B$56+81&lt;'🌱 Configuração'!$E$56,"🌸 Floração","🚿 Flush"))))</f>
        <v>🌸 Floração</v>
      </c>
      <c r="E87" s="42" t="str">
        <f>IF(82&gt;'🌱 Configuração'!$F$55,"",IF('🌱 Configuração'!$B$56+81&lt;'🌱 Configuração'!$C$56,"Clone S"&amp;INT((82-1)/7)+1,IF('🌱 Configuração'!$B$56+81&lt;'🌱 Configuração'!$D$56,"Vega S"&amp;INT(('🌱 Configuração'!$B$56+81-'🌱 Configuração'!$C$56)/7)+1,IF('🌱 Configuração'!$B$56+81&lt;'🌱 Configuração'!$E$56,"Flora S"&amp;INT(('🌱 Configuração'!$B$56+81-'🌱 Configuração'!$D$56)/7)+1,"Flush S"&amp;INT(('🌱 Configuração'!$B$56+81-'🌱 Configuração'!$E$56)/7)+1))))</f>
        <v>Flora S4</v>
      </c>
      <c r="F87" s="43" t="str">
        <f>IF(82&gt;'🌱 Configuração'!$F$55,"",IF('🌱 Configuração'!$B$56+81='🌱 Configuração'!$C$56,"🌿 INÍCIO VEGA — luz 18h/dia",IF('🌱 Configuração'!$B$56+81='🌱 Configuração'!$D$56,"🌸 INÍCIO FLORAÇÃO — mudar 12/12 🔴",IF('🌱 Configuração'!$B$56+81='🌱 Configuração'!$E$56,"🚿 INÍCIO FLUSH — parar nutrição",IF('🌱 Configuração'!$B$56+81='🌱 Configuração'!$F$56-1,"🔬 Véspera da colheita — analisar tricomas",IF('🌱 Configuração'!$B$56+81='🌱 Configuração'!$F$56,"✂️ COLHEITA — Parabéns! 🎉",""))))))</f>
        <v/>
      </c>
      <c r="G87" s="44" t="s">
        <v>428</v>
      </c>
      <c r="H87" s="45" t="str">
        <f>IF(82&gt;'🌱 Configuração'!$F$55,"",IF('🌱 Configuração'!$B$56+81&lt;'🌱 Configuração'!$C$56,IF(82=1,"🌿 Nim (2 mL/L) — foliar leve",IF(82=8,"🍄 Beauveria bassiana — foliar + solo","")),IF('🌱 Configuração'!$B$56+81&lt;'🌱 Configuração'!$D$56,IF(AND('🌱 Configuração'!$B$56+81&gt;='🌱 Configuração'!$C$56,'🌱 Configuração'!$B$56+81&lt;'🌱 Configuração'!$D$56,MOD('🌱 Configuração'!$B$56+81-'🌱 Configuração'!$C$56,7)=0,INT(('🌱 Configuração'!$B$56+81-'🌱 Configuração'!$C$56)/7)+1=1),"🌿 Nim (2 mL/L) — foliar preventivo",IF(AND('🌱 Configuração'!$B$56+81&gt;='🌱 Configuração'!$C$56,'🌱 Configuração'!$B$56+81&lt;'🌱 Configuração'!$D$56,MOD('🌱 Configuração'!$B$56+81-'🌱 Configuração'!$C$56,7)=0,INT(('🌱 Configuração'!$B$56+81-'🌱 Configuração'!$C$56)/7)+1=2),"🍄 Beauveria bassiana — foliar + solo",IF(AND('🌱 Configuração'!$B$56+81&gt;='🌱 Configuração'!$C$56,'🌱 Configuração'!$B$56+81&lt;'🌱 Configuração'!$D$56,MOD('🌱 Configuração'!$B$56+81-'🌱 Configuração'!$C$56,7)=0,INT(('🌱 Configuração'!$B$56+81-'🌱 Configuração'!$C$56)/7)+1=3),"🟡 Calda Sulfocálcica (1%) — foliar",IF(AND('🌱 Configuração'!$B$56+81&gt;='🌱 Configuração'!$C$56,'🌱 Configuração'!$B$56+81&lt;'🌱 Configuração'!$D$56,MOD('🌱 Configuração'!$B$56+81-'🌱 Configuração'!$C$56,7)=0,INT(('🌱 Configuração'!$B$56+81-'🌱 Configuração'!$C$56)/7)+1=4),"🦠 Trichoderma (3 g/L) — solo",IF(AND('🌱 Configuração'!$B$56+81&gt;='🌱 Configuração'!$C$56,'🌱 Configuração'!$B$56+81&lt;'🌱 Configuração'!$D$56,MOD('🌱 Configuração'!$B$56+81-'🌱 Configuração'!$C$56,7)=0,INT(('🌱 Configuração'!$B$56+81-'🌱 Configuração'!$C$56)/7)+1=5),"🔵 Calda Bordalesa (0.5%) — foliar",IF(AND('🌱 Configuração'!$B$56+81&gt;='🌱 Configuração'!$C$56,'🌱 Configuração'!$B$56+81&lt;'🌱 Configuração'!$D$56,MOD('🌱 Configuração'!$B$56+81-'🌱 Configuração'!$C$56,7)=0,INT(('🌱 Configuração'!$B$56+81-'🌱 Configuração'!$C$56)/7)+1=6),"🌿 Nim (2 mL/L) — ⚠️ ÚLTIMA foliar",IF(AND('🌱 Configuração'!$B$56+81&gt;='🌱 Configuração'!$C$56,'🌱 Configuração'!$B$56+81&lt;'🌱 Configuração'!$D$56,MOD('🌱 Configuração'!$B$56+81-'🌱 Configuração'!$C$56,7)=0,INT(('🌱 Configuração'!$B$56+81-'🌱 Configuração'!$C$56)/7)+1=7),"🦠 Trichoderma — solo",IF(AND('🌱 Configuração'!$B$56+81&gt;='🌱 Configuração'!$C$56,'🌱 Configuração'!$B$56+81&lt;'🌱 Configuração'!$D$56,MOD('🌱 Configuração'!$B$56+81-'🌱 Configuração'!$C$56,7)=0,INT(('🌱 Configuração'!$B$56+81-'🌱 Configuração'!$C$56)/7)+1=8),"🍄 Beauveria — solo","")))))))),IF('🌱 Configuração'!$B$56+81&lt;'🌱 Configuração'!$E$56,IF(AND('🌱 Configuração'!$B$56+81&gt;='🌱 Configuração'!$D$56,'🌱 Configuração'!$B$56+81&lt;'🌱 Configuração'!$E$56,MOD('🌱 Configuração'!$B$56+81-'🌱 Configuração'!$D$56,7)=0,INT(('🌱 Configuração'!$B$56+81-'🌱 Configuração'!$D$56)/7)+1=1),"🍄 Beauveria bassiana — SOLO apenas",IF(AND('🌱 Configuração'!$B$56+81&gt;='🌱 Configuração'!$D$56,'🌱 Configuração'!$B$56+81&lt;'🌱 Configuração'!$E$56,MOD('🌱 Configuração'!$B$56+81-'🌱 Configuração'!$D$56,7)=0,INT(('🌱 Configuração'!$B$56+81-'🌱 Configuração'!$D$56)/7)+1=2),"🦠 Trichoderma (3 g/L) — solo",IF(AND('🌱 Configuração'!$B$56+81&gt;='🌱 Configuração'!$D$56,'🌱 Configuração'!$B$56+81&lt;'🌱 Configuração'!$E$56,MOD('🌱 Configuração'!$B$56+81-'🌱 Configuração'!$D$56,7)=0,INT(('🌱 Configuração'!$B$56+81-'🌱 Configuração'!$D$56)/7)+1=3),"🍄 Beauveria bassiana — solo | ⚠️ Umid &lt;45%",IF(AND('🌱 Configuração'!$B$56+81&gt;='🌱 Configuração'!$D$56,'🌱 Configuração'!$B$56+81&lt;'🌱 Configuração'!$E$56,MOD('🌱 Configuração'!$B$56+81-'🌱 Configuração'!$D$56,7)=0,INT(('🌱 Configuração'!$B$56+81-'🌱 Configuração'!$D$56)/7)+1=4),"🦠 Trichoderma — solo | Inspecionar buds",IF(AND('🌱 Configuração'!$B$56+81&gt;='🌱 Configuração'!$D$56,'🌱 Configuração'!$B$56+81&lt;'🌱 Configuração'!$E$56,MOD('🌱 Configuração'!$B$56+81-'🌱 Configuração'!$D$56,7)=0,INT(('🌱 Configuração'!$B$56+81-'🌱 Configuração'!$D$56)/7)+1=5),"🍄 Beauveria + inspeção visual buds",IF(AND('🌱 Configuração'!$B$56+81&gt;='🌱 Configuração'!$D$56,'🌱 Configuração'!$B$56+81&lt;'🌱 Configuração'!$E$56,MOD('🌱 Configuração'!$B$56+81-'🌱 Configuração'!$D$56,7)=0,INT(('🌱 Configuração'!$B$56+81-'🌱 Configuração'!$D$56)/7)+1=6),"🦠 Trichoderma + ⚠️ Verificar mofo","")))))),IF(AND('🌱 Configuração'!$B$56+81&gt;='🌱 Configuração'!$E$56,MOD('🌱 Configuração'!$B$56+81-'🌱 Configuração'!$E$56,7)=0),"🔬 Inspeção final — analisar tricomas","")))))</f>
        <v/>
      </c>
      <c r="I87" s="33"/>
    </row>
    <row r="88" spans="1:9" ht="19.5" customHeight="1">
      <c r="A88" s="1"/>
      <c r="B88" s="35">
        <f>IF(83&lt;='🌱 Configuração'!$F$55,83,"")</f>
        <v>83</v>
      </c>
      <c r="C88" s="13">
        <f>IF(83&lt;='🌱 Configuração'!$F$55,'🌱 Configuração'!$B$56+82,"")</f>
        <v>82</v>
      </c>
      <c r="D88" s="36" t="str">
        <f>IF(83&gt;'🌱 Configuração'!$F$55,"",IF('🌱 Configuração'!$B$56+82&lt;'🌱 Configuração'!$C$56,"🌱 Clone",IF('🌱 Configuração'!$B$56+82&lt;'🌱 Configuração'!$D$56,"🌿 Vegetativo",IF('🌱 Configuração'!$B$56+82&lt;'🌱 Configuração'!$E$56,"🌸 Floração","🚿 Flush"))))</f>
        <v>🌸 Floração</v>
      </c>
      <c r="E88" s="15" t="str">
        <f>IF(83&gt;'🌱 Configuração'!$F$55,"",IF('🌱 Configuração'!$B$56+82&lt;'🌱 Configuração'!$C$56,"Clone S"&amp;INT((83-1)/7)+1,IF('🌱 Configuração'!$B$56+82&lt;'🌱 Configuração'!$D$56,"Vega S"&amp;INT(('🌱 Configuração'!$B$56+82-'🌱 Configuração'!$C$56)/7)+1,IF('🌱 Configuração'!$B$56+82&lt;'🌱 Configuração'!$E$56,"Flora S"&amp;INT(('🌱 Configuração'!$B$56+82-'🌱 Configuração'!$D$56)/7)+1,"Flush S"&amp;INT(('🌱 Configuração'!$B$56+82-'🌱 Configuração'!$E$56)/7)+1))))</f>
        <v>Flora S4</v>
      </c>
      <c r="F88" s="14" t="str">
        <f>IF(83&gt;'🌱 Configuração'!$F$55,"",IF('🌱 Configuração'!$B$56+82='🌱 Configuração'!$C$56,"🌿 INÍCIO VEGA — luz 18h/dia",IF('🌱 Configuração'!$B$56+82='🌱 Configuração'!$D$56,"🌸 INÍCIO FLORAÇÃO — mudar 12/12 🔴",IF('🌱 Configuração'!$B$56+82='🌱 Configuração'!$E$56,"🚿 INÍCIO FLUSH — parar nutrição",IF('🌱 Configuração'!$B$56+82='🌱 Configuração'!$F$56-1,"🔬 Véspera da colheita — analisar tricomas",IF('🌱 Configuração'!$B$56+82='🌱 Configuração'!$F$56,"✂️ COLHEITA — Parabéns! 🎉",""))))))</f>
        <v/>
      </c>
      <c r="G88" s="37" t="s">
        <v>428</v>
      </c>
      <c r="H88" s="38" t="str">
        <f>IF(83&gt;'🌱 Configuração'!$F$55,"",IF('🌱 Configuração'!$B$56+82&lt;'🌱 Configuração'!$C$56,IF(83=1,"🌿 Nim (2 mL/L) — foliar leve",IF(83=8,"🍄 Beauveria bassiana — foliar + solo","")),IF('🌱 Configuração'!$B$56+82&lt;'🌱 Configuração'!$D$56,IF(AND('🌱 Configuração'!$B$56+82&gt;='🌱 Configuração'!$C$56,'🌱 Configuração'!$B$56+82&lt;'🌱 Configuração'!$D$56,MOD('🌱 Configuração'!$B$56+82-'🌱 Configuração'!$C$56,7)=0,INT(('🌱 Configuração'!$B$56+82-'🌱 Configuração'!$C$56)/7)+1=1),"🌿 Nim (2 mL/L) — foliar preventivo",IF(AND('🌱 Configuração'!$B$56+82&gt;='🌱 Configuração'!$C$56,'🌱 Configuração'!$B$56+82&lt;'🌱 Configuração'!$D$56,MOD('🌱 Configuração'!$B$56+82-'🌱 Configuração'!$C$56,7)=0,INT(('🌱 Configuração'!$B$56+82-'🌱 Configuração'!$C$56)/7)+1=2),"🍄 Beauveria bassiana — foliar + solo",IF(AND('🌱 Configuração'!$B$56+82&gt;='🌱 Configuração'!$C$56,'🌱 Configuração'!$B$56+82&lt;'🌱 Configuração'!$D$56,MOD('🌱 Configuração'!$B$56+82-'🌱 Configuração'!$C$56,7)=0,INT(('🌱 Configuração'!$B$56+82-'🌱 Configuração'!$C$56)/7)+1=3),"🟡 Calda Sulfocálcica (1%) — foliar",IF(AND('🌱 Configuração'!$B$56+82&gt;='🌱 Configuração'!$C$56,'🌱 Configuração'!$B$56+82&lt;'🌱 Configuração'!$D$56,MOD('🌱 Configuração'!$B$56+82-'🌱 Configuração'!$C$56,7)=0,INT(('🌱 Configuração'!$B$56+82-'🌱 Configuração'!$C$56)/7)+1=4),"🦠 Trichoderma (3 g/L) — solo",IF(AND('🌱 Configuração'!$B$56+82&gt;='🌱 Configuração'!$C$56,'🌱 Configuração'!$B$56+82&lt;'🌱 Configuração'!$D$56,MOD('🌱 Configuração'!$B$56+82-'🌱 Configuração'!$C$56,7)=0,INT(('🌱 Configuração'!$B$56+82-'🌱 Configuração'!$C$56)/7)+1=5),"🔵 Calda Bordalesa (0.5%) — foliar",IF(AND('🌱 Configuração'!$B$56+82&gt;='🌱 Configuração'!$C$56,'🌱 Configuração'!$B$56+82&lt;'🌱 Configuração'!$D$56,MOD('🌱 Configuração'!$B$56+82-'🌱 Configuração'!$C$56,7)=0,INT(('🌱 Configuração'!$B$56+82-'🌱 Configuração'!$C$56)/7)+1=6),"🌿 Nim (2 mL/L) — ⚠️ ÚLTIMA foliar",IF(AND('🌱 Configuração'!$B$56+82&gt;='🌱 Configuração'!$C$56,'🌱 Configuração'!$B$56+82&lt;'🌱 Configuração'!$D$56,MOD('🌱 Configuração'!$B$56+82-'🌱 Configuração'!$C$56,7)=0,INT(('🌱 Configuração'!$B$56+82-'🌱 Configuração'!$C$56)/7)+1=7),"🦠 Trichoderma — solo",IF(AND('🌱 Configuração'!$B$56+82&gt;='🌱 Configuração'!$C$56,'🌱 Configuração'!$B$56+82&lt;'🌱 Configuração'!$D$56,MOD('🌱 Configuração'!$B$56+82-'🌱 Configuração'!$C$56,7)=0,INT(('🌱 Configuração'!$B$56+82-'🌱 Configuração'!$C$56)/7)+1=8),"🍄 Beauveria — solo","")))))))),IF('🌱 Configuração'!$B$56+82&lt;'🌱 Configuração'!$E$56,IF(AND('🌱 Configuração'!$B$56+82&gt;='🌱 Configuração'!$D$56,'🌱 Configuração'!$B$56+82&lt;'🌱 Configuração'!$E$56,MOD('🌱 Configuração'!$B$56+82-'🌱 Configuração'!$D$56,7)=0,INT(('🌱 Configuração'!$B$56+82-'🌱 Configuração'!$D$56)/7)+1=1),"🍄 Beauveria bassiana — SOLO apenas",IF(AND('🌱 Configuração'!$B$56+82&gt;='🌱 Configuração'!$D$56,'🌱 Configuração'!$B$56+82&lt;'🌱 Configuração'!$E$56,MOD('🌱 Configuração'!$B$56+82-'🌱 Configuração'!$D$56,7)=0,INT(('🌱 Configuração'!$B$56+82-'🌱 Configuração'!$D$56)/7)+1=2),"🦠 Trichoderma (3 g/L) — solo",IF(AND('🌱 Configuração'!$B$56+82&gt;='🌱 Configuração'!$D$56,'🌱 Configuração'!$B$56+82&lt;'🌱 Configuração'!$E$56,MOD('🌱 Configuração'!$B$56+82-'🌱 Configuração'!$D$56,7)=0,INT(('🌱 Configuração'!$B$56+82-'🌱 Configuração'!$D$56)/7)+1=3),"🍄 Beauveria bassiana — solo | ⚠️ Umid &lt;45%",IF(AND('🌱 Configuração'!$B$56+82&gt;='🌱 Configuração'!$D$56,'🌱 Configuração'!$B$56+82&lt;'🌱 Configuração'!$E$56,MOD('🌱 Configuração'!$B$56+82-'🌱 Configuração'!$D$56,7)=0,INT(('🌱 Configuração'!$B$56+82-'🌱 Configuração'!$D$56)/7)+1=4),"🦠 Trichoderma — solo | Inspecionar buds",IF(AND('🌱 Configuração'!$B$56+82&gt;='🌱 Configuração'!$D$56,'🌱 Configuração'!$B$56+82&lt;'🌱 Configuração'!$E$56,MOD('🌱 Configuração'!$B$56+82-'🌱 Configuração'!$D$56,7)=0,INT(('🌱 Configuração'!$B$56+82-'🌱 Configuração'!$D$56)/7)+1=5),"🍄 Beauveria + inspeção visual buds",IF(AND('🌱 Configuração'!$B$56+82&gt;='🌱 Configuração'!$D$56,'🌱 Configuração'!$B$56+82&lt;'🌱 Configuração'!$E$56,MOD('🌱 Configuração'!$B$56+82-'🌱 Configuração'!$D$56,7)=0,INT(('🌱 Configuração'!$B$56+82-'🌱 Configuração'!$D$56)/7)+1=6),"🦠 Trichoderma + ⚠️ Verificar mofo","")))))),IF(AND('🌱 Configuração'!$B$56+82&gt;='🌱 Configuração'!$E$56,MOD('🌱 Configuração'!$B$56+82-'🌱 Configuração'!$E$56,7)=0),"🔬 Inspeção final — analisar tricomas","")))))</f>
        <v/>
      </c>
      <c r="I88" s="33"/>
    </row>
    <row r="89" spans="1:9" ht="19.5" customHeight="1">
      <c r="A89" s="1"/>
      <c r="B89" s="39">
        <f>IF(84&lt;='🌱 Configuração'!$F$55,84,"")</f>
        <v>84</v>
      </c>
      <c r="C89" s="40">
        <f>IF(84&lt;='🌱 Configuração'!$F$55,'🌱 Configuração'!$B$56+83,"")</f>
        <v>83</v>
      </c>
      <c r="D89" s="41" t="str">
        <f>IF(84&gt;'🌱 Configuração'!$F$55,"",IF('🌱 Configuração'!$B$56+83&lt;'🌱 Configuração'!$C$56,"🌱 Clone",IF('🌱 Configuração'!$B$56+83&lt;'🌱 Configuração'!$D$56,"🌿 Vegetativo",IF('🌱 Configuração'!$B$56+83&lt;'🌱 Configuração'!$E$56,"🌸 Floração","🚿 Flush"))))</f>
        <v>🌸 Floração</v>
      </c>
      <c r="E89" s="42" t="str">
        <f>IF(84&gt;'🌱 Configuração'!$F$55,"",IF('🌱 Configuração'!$B$56+83&lt;'🌱 Configuração'!$C$56,"Clone S"&amp;INT((84-1)/7)+1,IF('🌱 Configuração'!$B$56+83&lt;'🌱 Configuração'!$D$56,"Vega S"&amp;INT(('🌱 Configuração'!$B$56+83-'🌱 Configuração'!$C$56)/7)+1,IF('🌱 Configuração'!$B$56+83&lt;'🌱 Configuração'!$E$56,"Flora S"&amp;INT(('🌱 Configuração'!$B$56+83-'🌱 Configuração'!$D$56)/7)+1,"Flush S"&amp;INT(('🌱 Configuração'!$B$56+83-'🌱 Configuração'!$E$56)/7)+1))))</f>
        <v>Flora S4</v>
      </c>
      <c r="F89" s="43" t="str">
        <f>IF(84&gt;'🌱 Configuração'!$F$55,"",IF('🌱 Configuração'!$B$56+83='🌱 Configuração'!$C$56,"🌿 INÍCIO VEGA — luz 18h/dia",IF('🌱 Configuração'!$B$56+83='🌱 Configuração'!$D$56,"🌸 INÍCIO FLORAÇÃO — mudar 12/12 🔴",IF('🌱 Configuração'!$B$56+83='🌱 Configuração'!$E$56,"🚿 INÍCIO FLUSH — parar nutrição",IF('🌱 Configuração'!$B$56+83='🌱 Configuração'!$F$56-1,"🔬 Véspera da colheita — analisar tricomas",IF('🌱 Configuração'!$B$56+83='🌱 Configuração'!$F$56,"✂️ COLHEITA — Parabéns! 🎉",""))))))</f>
        <v/>
      </c>
      <c r="G89" s="44" t="s">
        <v>428</v>
      </c>
      <c r="H89" s="45" t="str">
        <f>IF(84&gt;'🌱 Configuração'!$F$55,"",IF('🌱 Configuração'!$B$56+83&lt;'🌱 Configuração'!$C$56,IF(84=1,"🌿 Nim (2 mL/L) — foliar leve",IF(84=8,"🍄 Beauveria bassiana — foliar + solo","")),IF('🌱 Configuração'!$B$56+83&lt;'🌱 Configuração'!$D$56,IF(AND('🌱 Configuração'!$B$56+83&gt;='🌱 Configuração'!$C$56,'🌱 Configuração'!$B$56+83&lt;'🌱 Configuração'!$D$56,MOD('🌱 Configuração'!$B$56+83-'🌱 Configuração'!$C$56,7)=0,INT(('🌱 Configuração'!$B$56+83-'🌱 Configuração'!$C$56)/7)+1=1),"🌿 Nim (2 mL/L) — foliar preventivo",IF(AND('🌱 Configuração'!$B$56+83&gt;='🌱 Configuração'!$C$56,'🌱 Configuração'!$B$56+83&lt;'🌱 Configuração'!$D$56,MOD('🌱 Configuração'!$B$56+83-'🌱 Configuração'!$C$56,7)=0,INT(('🌱 Configuração'!$B$56+83-'🌱 Configuração'!$C$56)/7)+1=2),"🍄 Beauveria bassiana — foliar + solo",IF(AND('🌱 Configuração'!$B$56+83&gt;='🌱 Configuração'!$C$56,'🌱 Configuração'!$B$56+83&lt;'🌱 Configuração'!$D$56,MOD('🌱 Configuração'!$B$56+83-'🌱 Configuração'!$C$56,7)=0,INT(('🌱 Configuração'!$B$56+83-'🌱 Configuração'!$C$56)/7)+1=3),"🟡 Calda Sulfocálcica (1%) — foliar",IF(AND('🌱 Configuração'!$B$56+83&gt;='🌱 Configuração'!$C$56,'🌱 Configuração'!$B$56+83&lt;'🌱 Configuração'!$D$56,MOD('🌱 Configuração'!$B$56+83-'🌱 Configuração'!$C$56,7)=0,INT(('🌱 Configuração'!$B$56+83-'🌱 Configuração'!$C$56)/7)+1=4),"🦠 Trichoderma (3 g/L) — solo",IF(AND('🌱 Configuração'!$B$56+83&gt;='🌱 Configuração'!$C$56,'🌱 Configuração'!$B$56+83&lt;'🌱 Configuração'!$D$56,MOD('🌱 Configuração'!$B$56+83-'🌱 Configuração'!$C$56,7)=0,INT(('🌱 Configuração'!$B$56+83-'🌱 Configuração'!$C$56)/7)+1=5),"🔵 Calda Bordalesa (0.5%) — foliar",IF(AND('🌱 Configuração'!$B$56+83&gt;='🌱 Configuração'!$C$56,'🌱 Configuração'!$B$56+83&lt;'🌱 Configuração'!$D$56,MOD('🌱 Configuração'!$B$56+83-'🌱 Configuração'!$C$56,7)=0,INT(('🌱 Configuração'!$B$56+83-'🌱 Configuração'!$C$56)/7)+1=6),"🌿 Nim (2 mL/L) — ⚠️ ÚLTIMA foliar",IF(AND('🌱 Configuração'!$B$56+83&gt;='🌱 Configuração'!$C$56,'🌱 Configuração'!$B$56+83&lt;'🌱 Configuração'!$D$56,MOD('🌱 Configuração'!$B$56+83-'🌱 Configuração'!$C$56,7)=0,INT(('🌱 Configuração'!$B$56+83-'🌱 Configuração'!$C$56)/7)+1=7),"🦠 Trichoderma — solo",IF(AND('🌱 Configuração'!$B$56+83&gt;='🌱 Configuração'!$C$56,'🌱 Configuração'!$B$56+83&lt;'🌱 Configuração'!$D$56,MOD('🌱 Configuração'!$B$56+83-'🌱 Configuração'!$C$56,7)=0,INT(('🌱 Configuração'!$B$56+83-'🌱 Configuração'!$C$56)/7)+1=8),"🍄 Beauveria — solo","")))))))),IF('🌱 Configuração'!$B$56+83&lt;'🌱 Configuração'!$E$56,IF(AND('🌱 Configuração'!$B$56+83&gt;='🌱 Configuração'!$D$56,'🌱 Configuração'!$B$56+83&lt;'🌱 Configuração'!$E$56,MOD('🌱 Configuração'!$B$56+83-'🌱 Configuração'!$D$56,7)=0,INT(('🌱 Configuração'!$B$56+83-'🌱 Configuração'!$D$56)/7)+1=1),"🍄 Beauveria bassiana — SOLO apenas",IF(AND('🌱 Configuração'!$B$56+83&gt;='🌱 Configuração'!$D$56,'🌱 Configuração'!$B$56+83&lt;'🌱 Configuração'!$E$56,MOD('🌱 Configuração'!$B$56+83-'🌱 Configuração'!$D$56,7)=0,INT(('🌱 Configuração'!$B$56+83-'🌱 Configuração'!$D$56)/7)+1=2),"🦠 Trichoderma (3 g/L) — solo",IF(AND('🌱 Configuração'!$B$56+83&gt;='🌱 Configuração'!$D$56,'🌱 Configuração'!$B$56+83&lt;'🌱 Configuração'!$E$56,MOD('🌱 Configuração'!$B$56+83-'🌱 Configuração'!$D$56,7)=0,INT(('🌱 Configuração'!$B$56+83-'🌱 Configuração'!$D$56)/7)+1=3),"🍄 Beauveria bassiana — solo | ⚠️ Umid &lt;45%",IF(AND('🌱 Configuração'!$B$56+83&gt;='🌱 Configuração'!$D$56,'🌱 Configuração'!$B$56+83&lt;'🌱 Configuração'!$E$56,MOD('🌱 Configuração'!$B$56+83-'🌱 Configuração'!$D$56,7)=0,INT(('🌱 Configuração'!$B$56+83-'🌱 Configuração'!$D$56)/7)+1=4),"🦠 Trichoderma — solo | Inspecionar buds",IF(AND('🌱 Configuração'!$B$56+83&gt;='🌱 Configuração'!$D$56,'🌱 Configuração'!$B$56+83&lt;'🌱 Configuração'!$E$56,MOD('🌱 Configuração'!$B$56+83-'🌱 Configuração'!$D$56,7)=0,INT(('🌱 Configuração'!$B$56+83-'🌱 Configuração'!$D$56)/7)+1=5),"🍄 Beauveria + inspeção visual buds",IF(AND('🌱 Configuração'!$B$56+83&gt;='🌱 Configuração'!$D$56,'🌱 Configuração'!$B$56+83&lt;'🌱 Configuração'!$E$56,MOD('🌱 Configuração'!$B$56+83-'🌱 Configuração'!$D$56,7)=0,INT(('🌱 Configuração'!$B$56+83-'🌱 Configuração'!$D$56)/7)+1=6),"🦠 Trichoderma + ⚠️ Verificar mofo","")))))),IF(AND('🌱 Configuração'!$B$56+83&gt;='🌱 Configuração'!$E$56,MOD('🌱 Configuração'!$B$56+83-'🌱 Configuração'!$E$56,7)=0),"🔬 Inspeção final — analisar tricomas","")))))</f>
        <v/>
      </c>
      <c r="I89" s="33"/>
    </row>
    <row r="90" spans="1:9" ht="19.5" customHeight="1">
      <c r="A90" s="1"/>
      <c r="B90" s="35">
        <f>IF(85&lt;='🌱 Configuração'!$F$55,85,"")</f>
        <v>85</v>
      </c>
      <c r="C90" s="13">
        <f>IF(85&lt;='🌱 Configuração'!$F$55,'🌱 Configuração'!$B$56+84,"")</f>
        <v>84</v>
      </c>
      <c r="D90" s="36" t="str">
        <f>IF(85&gt;'🌱 Configuração'!$F$55,"",IF('🌱 Configuração'!$B$56+84&lt;'🌱 Configuração'!$C$56,"🌱 Clone",IF('🌱 Configuração'!$B$56+84&lt;'🌱 Configuração'!$D$56,"🌿 Vegetativo",IF('🌱 Configuração'!$B$56+84&lt;'🌱 Configuração'!$E$56,"🌸 Floração","🚿 Flush"))))</f>
        <v>🌸 Floração</v>
      </c>
      <c r="E90" s="15" t="str">
        <f>IF(85&gt;'🌱 Configuração'!$F$55,"",IF('🌱 Configuração'!$B$56+84&lt;'🌱 Configuração'!$C$56,"Clone S"&amp;INT((85-1)/7)+1,IF('🌱 Configuração'!$B$56+84&lt;'🌱 Configuração'!$D$56,"Vega S"&amp;INT(('🌱 Configuração'!$B$56+84-'🌱 Configuração'!$C$56)/7)+1,IF('🌱 Configuração'!$B$56+84&lt;'🌱 Configuração'!$E$56,"Flora S"&amp;INT(('🌱 Configuração'!$B$56+84-'🌱 Configuração'!$D$56)/7)+1,"Flush S"&amp;INT(('🌱 Configuração'!$B$56+84-'🌱 Configuração'!$E$56)/7)+1))))</f>
        <v>Flora S5</v>
      </c>
      <c r="F90" s="14" t="str">
        <f>IF(85&gt;'🌱 Configuração'!$F$55,"",IF('🌱 Configuração'!$B$56+84='🌱 Configuração'!$C$56,"🌿 INÍCIO VEGA — luz 18h/dia",IF('🌱 Configuração'!$B$56+84='🌱 Configuração'!$D$56,"🌸 INÍCIO FLORAÇÃO — mudar 12/12 🔴",IF('🌱 Configuração'!$B$56+84='🌱 Configuração'!$E$56,"🚿 INÍCIO FLUSH — parar nutrição",IF('🌱 Configuração'!$B$56+84='🌱 Configuração'!$F$56-1,"🔬 Véspera da colheita — analisar tricomas",IF('🌱 Configuração'!$B$56+84='🌱 Configuração'!$F$56,"✂️ COLHEITA — Parabéns! 🎉",""))))))</f>
        <v/>
      </c>
      <c r="G90" s="37" t="s">
        <v>440</v>
      </c>
      <c r="H90" s="38" t="str">
        <f>IF(85&gt;'🌱 Configuração'!$F$55,"",IF('🌱 Configuração'!$B$56+84&lt;'🌱 Configuração'!$C$56,IF(85=1,"🌿 Nim (2 mL/L) — foliar leve",IF(85=8,"🍄 Beauveria bassiana — foliar + solo","")),IF('🌱 Configuração'!$B$56+84&lt;'🌱 Configuração'!$D$56,IF(AND('🌱 Configuração'!$B$56+84&gt;='🌱 Configuração'!$C$56,'🌱 Configuração'!$B$56+84&lt;'🌱 Configuração'!$D$56,MOD('🌱 Configuração'!$B$56+84-'🌱 Configuração'!$C$56,7)=0,INT(('🌱 Configuração'!$B$56+84-'🌱 Configuração'!$C$56)/7)+1=1),"🌿 Nim (2 mL/L) — foliar preventivo",IF(AND('🌱 Configuração'!$B$56+84&gt;='🌱 Configuração'!$C$56,'🌱 Configuração'!$B$56+84&lt;'🌱 Configuração'!$D$56,MOD('🌱 Configuração'!$B$56+84-'🌱 Configuração'!$C$56,7)=0,INT(('🌱 Configuração'!$B$56+84-'🌱 Configuração'!$C$56)/7)+1=2),"🍄 Beauveria bassiana — foliar + solo",IF(AND('🌱 Configuração'!$B$56+84&gt;='🌱 Configuração'!$C$56,'🌱 Configuração'!$B$56+84&lt;'🌱 Configuração'!$D$56,MOD('🌱 Configuração'!$B$56+84-'🌱 Configuração'!$C$56,7)=0,INT(('🌱 Configuração'!$B$56+84-'🌱 Configuração'!$C$56)/7)+1=3),"🟡 Calda Sulfocálcica (1%) — foliar",IF(AND('🌱 Configuração'!$B$56+84&gt;='🌱 Configuração'!$C$56,'🌱 Configuração'!$B$56+84&lt;'🌱 Configuração'!$D$56,MOD('🌱 Configuração'!$B$56+84-'🌱 Configuração'!$C$56,7)=0,INT(('🌱 Configuração'!$B$56+84-'🌱 Configuração'!$C$56)/7)+1=4),"🦠 Trichoderma (3 g/L) — solo",IF(AND('🌱 Configuração'!$B$56+84&gt;='🌱 Configuração'!$C$56,'🌱 Configuração'!$B$56+84&lt;'🌱 Configuração'!$D$56,MOD('🌱 Configuração'!$B$56+84-'🌱 Configuração'!$C$56,7)=0,INT(('🌱 Configuração'!$B$56+84-'🌱 Configuração'!$C$56)/7)+1=5),"🔵 Calda Bordalesa (0.5%) — foliar",IF(AND('🌱 Configuração'!$B$56+84&gt;='🌱 Configuração'!$C$56,'🌱 Configuração'!$B$56+84&lt;'🌱 Configuração'!$D$56,MOD('🌱 Configuração'!$B$56+84-'🌱 Configuração'!$C$56,7)=0,INT(('🌱 Configuração'!$B$56+84-'🌱 Configuração'!$C$56)/7)+1=6),"🌿 Nim (2 mL/L) — ⚠️ ÚLTIMA foliar",IF(AND('🌱 Configuração'!$B$56+84&gt;='🌱 Configuração'!$C$56,'🌱 Configuração'!$B$56+84&lt;'🌱 Configuração'!$D$56,MOD('🌱 Configuração'!$B$56+84-'🌱 Configuração'!$C$56,7)=0,INT(('🌱 Configuração'!$B$56+84-'🌱 Configuração'!$C$56)/7)+1=7),"🦠 Trichoderma — solo",IF(AND('🌱 Configuração'!$B$56+84&gt;='🌱 Configuração'!$C$56,'🌱 Configuração'!$B$56+84&lt;'🌱 Configuração'!$D$56,MOD('🌱 Configuração'!$B$56+84-'🌱 Configuração'!$C$56,7)=0,INT(('🌱 Configuração'!$B$56+84-'🌱 Configuração'!$C$56)/7)+1=8),"🍄 Beauveria — solo","")))))))),IF('🌱 Configuração'!$B$56+84&lt;'🌱 Configuração'!$E$56,IF(AND('🌱 Configuração'!$B$56+84&gt;='🌱 Configuração'!$D$56,'🌱 Configuração'!$B$56+84&lt;'🌱 Configuração'!$E$56,MOD('🌱 Configuração'!$B$56+84-'🌱 Configuração'!$D$56,7)=0,INT(('🌱 Configuração'!$B$56+84-'🌱 Configuração'!$D$56)/7)+1=1),"🍄 Beauveria bassiana — SOLO apenas",IF(AND('🌱 Configuração'!$B$56+84&gt;='🌱 Configuração'!$D$56,'🌱 Configuração'!$B$56+84&lt;'🌱 Configuração'!$E$56,MOD('🌱 Configuração'!$B$56+84-'🌱 Configuração'!$D$56,7)=0,INT(('🌱 Configuração'!$B$56+84-'🌱 Configuração'!$D$56)/7)+1=2),"🦠 Trichoderma (3 g/L) — solo",IF(AND('🌱 Configuração'!$B$56+84&gt;='🌱 Configuração'!$D$56,'🌱 Configuração'!$B$56+84&lt;'🌱 Configuração'!$E$56,MOD('🌱 Configuração'!$B$56+84-'🌱 Configuração'!$D$56,7)=0,INT(('🌱 Configuração'!$B$56+84-'🌱 Configuração'!$D$56)/7)+1=3),"🍄 Beauveria bassiana — solo | ⚠️ Umid &lt;45%",IF(AND('🌱 Configuração'!$B$56+84&gt;='🌱 Configuração'!$D$56,'🌱 Configuração'!$B$56+84&lt;'🌱 Configuração'!$E$56,MOD('🌱 Configuração'!$B$56+84-'🌱 Configuração'!$D$56,7)=0,INT(('🌱 Configuração'!$B$56+84-'🌱 Configuração'!$D$56)/7)+1=4),"🦠 Trichoderma — solo | Inspecionar buds",IF(AND('🌱 Configuração'!$B$56+84&gt;='🌱 Configuração'!$D$56,'🌱 Configuração'!$B$56+84&lt;'🌱 Configuração'!$E$56,MOD('🌱 Configuração'!$B$56+84-'🌱 Configuração'!$D$56,7)=0,INT(('🌱 Configuração'!$B$56+84-'🌱 Configuração'!$D$56)/7)+1=5),"🍄 Beauveria + inspeção visual buds",IF(AND('🌱 Configuração'!$B$56+84&gt;='🌱 Configuração'!$D$56,'🌱 Configuração'!$B$56+84&lt;'🌱 Configuração'!$E$56,MOD('🌱 Configuração'!$B$56+84-'🌱 Configuração'!$D$56,7)=0,INT(('🌱 Configuração'!$B$56+84-'🌱 Configuração'!$D$56)/7)+1=6),"🦠 Trichoderma + ⚠️ Verificar mofo","")))))),IF(AND('🌱 Configuração'!$B$56+84&gt;='🌱 Configuração'!$E$56,MOD('🌱 Configuração'!$B$56+84-'🌱 Configuração'!$E$56,7)=0),"🔬 Inspeção final — analisar tricomas","")))))</f>
        <v>🍄 Beauveria + inspeção visual buds</v>
      </c>
      <c r="I90" s="33"/>
    </row>
    <row r="91" spans="1:9" ht="19.5" customHeight="1">
      <c r="A91" s="1"/>
      <c r="B91" s="39">
        <f>IF(86&lt;='🌱 Configuração'!$F$55,86,"")</f>
        <v>86</v>
      </c>
      <c r="C91" s="40">
        <f>IF(86&lt;='🌱 Configuração'!$F$55,'🌱 Configuração'!$B$56+85,"")</f>
        <v>85</v>
      </c>
      <c r="D91" s="41" t="str">
        <f>IF(86&gt;'🌱 Configuração'!$F$55,"",IF('🌱 Configuração'!$B$56+85&lt;'🌱 Configuração'!$C$56,"🌱 Clone",IF('🌱 Configuração'!$B$56+85&lt;'🌱 Configuração'!$D$56,"🌿 Vegetativo",IF('🌱 Configuração'!$B$56+85&lt;'🌱 Configuração'!$E$56,"🌸 Floração","🚿 Flush"))))</f>
        <v>🌸 Floração</v>
      </c>
      <c r="E91" s="42" t="str">
        <f>IF(86&gt;'🌱 Configuração'!$F$55,"",IF('🌱 Configuração'!$B$56+85&lt;'🌱 Configuração'!$C$56,"Clone S"&amp;INT((86-1)/7)+1,IF('🌱 Configuração'!$B$56+85&lt;'🌱 Configuração'!$D$56,"Vega S"&amp;INT(('🌱 Configuração'!$B$56+85-'🌱 Configuração'!$C$56)/7)+1,IF('🌱 Configuração'!$B$56+85&lt;'🌱 Configuração'!$E$56,"Flora S"&amp;INT(('🌱 Configuração'!$B$56+85-'🌱 Configuração'!$D$56)/7)+1,"Flush S"&amp;INT(('🌱 Configuração'!$B$56+85-'🌱 Configuração'!$E$56)/7)+1))))</f>
        <v>Flora S5</v>
      </c>
      <c r="F91" s="43" t="str">
        <f>IF(86&gt;'🌱 Configuração'!$F$55,"",IF('🌱 Configuração'!$B$56+85='🌱 Configuração'!$C$56,"🌿 INÍCIO VEGA — luz 18h/dia",IF('🌱 Configuração'!$B$56+85='🌱 Configuração'!$D$56,"🌸 INÍCIO FLORAÇÃO — mudar 12/12 🔴",IF('🌱 Configuração'!$B$56+85='🌱 Configuração'!$E$56,"🚿 INÍCIO FLUSH — parar nutrição",IF('🌱 Configuração'!$B$56+85='🌱 Configuração'!$F$56-1,"🔬 Véspera da colheita — analisar tricomas",IF('🌱 Configuração'!$B$56+85='🌱 Configuração'!$F$56,"✂️ COLHEITA — Parabéns! 🎉",""))))))</f>
        <v/>
      </c>
      <c r="G91" s="44" t="s">
        <v>428</v>
      </c>
      <c r="H91" s="45" t="str">
        <f>IF(86&gt;'🌱 Configuração'!$F$55,"",IF('🌱 Configuração'!$B$56+85&lt;'🌱 Configuração'!$C$56,IF(86=1,"🌿 Nim (2 mL/L) — foliar leve",IF(86=8,"🍄 Beauveria bassiana — foliar + solo","")),IF('🌱 Configuração'!$B$56+85&lt;'🌱 Configuração'!$D$56,IF(AND('🌱 Configuração'!$B$56+85&gt;='🌱 Configuração'!$C$56,'🌱 Configuração'!$B$56+85&lt;'🌱 Configuração'!$D$56,MOD('🌱 Configuração'!$B$56+85-'🌱 Configuração'!$C$56,7)=0,INT(('🌱 Configuração'!$B$56+85-'🌱 Configuração'!$C$56)/7)+1=1),"🌿 Nim (2 mL/L) — foliar preventivo",IF(AND('🌱 Configuração'!$B$56+85&gt;='🌱 Configuração'!$C$56,'🌱 Configuração'!$B$56+85&lt;'🌱 Configuração'!$D$56,MOD('🌱 Configuração'!$B$56+85-'🌱 Configuração'!$C$56,7)=0,INT(('🌱 Configuração'!$B$56+85-'🌱 Configuração'!$C$56)/7)+1=2),"🍄 Beauveria bassiana — foliar + solo",IF(AND('🌱 Configuração'!$B$56+85&gt;='🌱 Configuração'!$C$56,'🌱 Configuração'!$B$56+85&lt;'🌱 Configuração'!$D$56,MOD('🌱 Configuração'!$B$56+85-'🌱 Configuração'!$C$56,7)=0,INT(('🌱 Configuração'!$B$56+85-'🌱 Configuração'!$C$56)/7)+1=3),"🟡 Calda Sulfocálcica (1%) — foliar",IF(AND('🌱 Configuração'!$B$56+85&gt;='🌱 Configuração'!$C$56,'🌱 Configuração'!$B$56+85&lt;'🌱 Configuração'!$D$56,MOD('🌱 Configuração'!$B$56+85-'🌱 Configuração'!$C$56,7)=0,INT(('🌱 Configuração'!$B$56+85-'🌱 Configuração'!$C$56)/7)+1=4),"🦠 Trichoderma (3 g/L) — solo",IF(AND('🌱 Configuração'!$B$56+85&gt;='🌱 Configuração'!$C$56,'🌱 Configuração'!$B$56+85&lt;'🌱 Configuração'!$D$56,MOD('🌱 Configuração'!$B$56+85-'🌱 Configuração'!$C$56,7)=0,INT(('🌱 Configuração'!$B$56+85-'🌱 Configuração'!$C$56)/7)+1=5),"🔵 Calda Bordalesa (0.5%) — foliar",IF(AND('🌱 Configuração'!$B$56+85&gt;='🌱 Configuração'!$C$56,'🌱 Configuração'!$B$56+85&lt;'🌱 Configuração'!$D$56,MOD('🌱 Configuração'!$B$56+85-'🌱 Configuração'!$C$56,7)=0,INT(('🌱 Configuração'!$B$56+85-'🌱 Configuração'!$C$56)/7)+1=6),"🌿 Nim (2 mL/L) — ⚠️ ÚLTIMA foliar",IF(AND('🌱 Configuração'!$B$56+85&gt;='🌱 Configuração'!$C$56,'🌱 Configuração'!$B$56+85&lt;'🌱 Configuração'!$D$56,MOD('🌱 Configuração'!$B$56+85-'🌱 Configuração'!$C$56,7)=0,INT(('🌱 Configuração'!$B$56+85-'🌱 Configuração'!$C$56)/7)+1=7),"🦠 Trichoderma — solo",IF(AND('🌱 Configuração'!$B$56+85&gt;='🌱 Configuração'!$C$56,'🌱 Configuração'!$B$56+85&lt;'🌱 Configuração'!$D$56,MOD('🌱 Configuração'!$B$56+85-'🌱 Configuração'!$C$56,7)=0,INT(('🌱 Configuração'!$B$56+85-'🌱 Configuração'!$C$56)/7)+1=8),"🍄 Beauveria — solo","")))))))),IF('🌱 Configuração'!$B$56+85&lt;'🌱 Configuração'!$E$56,IF(AND('🌱 Configuração'!$B$56+85&gt;='🌱 Configuração'!$D$56,'🌱 Configuração'!$B$56+85&lt;'🌱 Configuração'!$E$56,MOD('🌱 Configuração'!$B$56+85-'🌱 Configuração'!$D$56,7)=0,INT(('🌱 Configuração'!$B$56+85-'🌱 Configuração'!$D$56)/7)+1=1),"🍄 Beauveria bassiana — SOLO apenas",IF(AND('🌱 Configuração'!$B$56+85&gt;='🌱 Configuração'!$D$56,'🌱 Configuração'!$B$56+85&lt;'🌱 Configuração'!$E$56,MOD('🌱 Configuração'!$B$56+85-'🌱 Configuração'!$D$56,7)=0,INT(('🌱 Configuração'!$B$56+85-'🌱 Configuração'!$D$56)/7)+1=2),"🦠 Trichoderma (3 g/L) — solo",IF(AND('🌱 Configuração'!$B$56+85&gt;='🌱 Configuração'!$D$56,'🌱 Configuração'!$B$56+85&lt;'🌱 Configuração'!$E$56,MOD('🌱 Configuração'!$B$56+85-'🌱 Configuração'!$D$56,7)=0,INT(('🌱 Configuração'!$B$56+85-'🌱 Configuração'!$D$56)/7)+1=3),"🍄 Beauveria bassiana — solo | ⚠️ Umid &lt;45%",IF(AND('🌱 Configuração'!$B$56+85&gt;='🌱 Configuração'!$D$56,'🌱 Configuração'!$B$56+85&lt;'🌱 Configuração'!$E$56,MOD('🌱 Configuração'!$B$56+85-'🌱 Configuração'!$D$56,7)=0,INT(('🌱 Configuração'!$B$56+85-'🌱 Configuração'!$D$56)/7)+1=4),"🦠 Trichoderma — solo | Inspecionar buds",IF(AND('🌱 Configuração'!$B$56+85&gt;='🌱 Configuração'!$D$56,'🌱 Configuração'!$B$56+85&lt;'🌱 Configuração'!$E$56,MOD('🌱 Configuração'!$B$56+85-'🌱 Configuração'!$D$56,7)=0,INT(('🌱 Configuração'!$B$56+85-'🌱 Configuração'!$D$56)/7)+1=5),"🍄 Beauveria + inspeção visual buds",IF(AND('🌱 Configuração'!$B$56+85&gt;='🌱 Configuração'!$D$56,'🌱 Configuração'!$B$56+85&lt;'🌱 Configuração'!$E$56,MOD('🌱 Configuração'!$B$56+85-'🌱 Configuração'!$D$56,7)=0,INT(('🌱 Configuração'!$B$56+85-'🌱 Configuração'!$D$56)/7)+1=6),"🦠 Trichoderma + ⚠️ Verificar mofo","")))))),IF(AND('🌱 Configuração'!$B$56+85&gt;='🌱 Configuração'!$E$56,MOD('🌱 Configuração'!$B$56+85-'🌱 Configuração'!$E$56,7)=0),"🔬 Inspeção final — analisar tricomas","")))))</f>
        <v/>
      </c>
      <c r="I91" s="33"/>
    </row>
    <row r="92" spans="1:9" ht="19.5" customHeight="1">
      <c r="A92" s="1"/>
      <c r="B92" s="35">
        <f>IF(87&lt;='🌱 Configuração'!$F$55,87,"")</f>
        <v>87</v>
      </c>
      <c r="C92" s="13">
        <f>IF(87&lt;='🌱 Configuração'!$F$55,'🌱 Configuração'!$B$56+86,"")</f>
        <v>86</v>
      </c>
      <c r="D92" s="36" t="str">
        <f>IF(87&gt;'🌱 Configuração'!$F$55,"",IF('🌱 Configuração'!$B$56+86&lt;'🌱 Configuração'!$C$56,"🌱 Clone",IF('🌱 Configuração'!$B$56+86&lt;'🌱 Configuração'!$D$56,"🌿 Vegetativo",IF('🌱 Configuração'!$B$56+86&lt;'🌱 Configuração'!$E$56,"🌸 Floração","🚿 Flush"))))</f>
        <v>🌸 Floração</v>
      </c>
      <c r="E92" s="15" t="str">
        <f>IF(87&gt;'🌱 Configuração'!$F$55,"",IF('🌱 Configuração'!$B$56+86&lt;'🌱 Configuração'!$C$56,"Clone S"&amp;INT((87-1)/7)+1,IF('🌱 Configuração'!$B$56+86&lt;'🌱 Configuração'!$D$56,"Vega S"&amp;INT(('🌱 Configuração'!$B$56+86-'🌱 Configuração'!$C$56)/7)+1,IF('🌱 Configuração'!$B$56+86&lt;'🌱 Configuração'!$E$56,"Flora S"&amp;INT(('🌱 Configuração'!$B$56+86-'🌱 Configuração'!$D$56)/7)+1,"Flush S"&amp;INT(('🌱 Configuração'!$B$56+86-'🌱 Configuração'!$E$56)/7)+1))))</f>
        <v>Flora S5</v>
      </c>
      <c r="F92" s="14" t="str">
        <f>IF(87&gt;'🌱 Configuração'!$F$55,"",IF('🌱 Configuração'!$B$56+86='🌱 Configuração'!$C$56,"🌿 INÍCIO VEGA — luz 18h/dia",IF('🌱 Configuração'!$B$56+86='🌱 Configuração'!$D$56,"🌸 INÍCIO FLORAÇÃO — mudar 12/12 🔴",IF('🌱 Configuração'!$B$56+86='🌱 Configuração'!$E$56,"🚿 INÍCIO FLUSH — parar nutrição",IF('🌱 Configuração'!$B$56+86='🌱 Configuração'!$F$56-1,"🔬 Véspera da colheita — analisar tricomas",IF('🌱 Configuração'!$B$56+86='🌱 Configuração'!$F$56,"✂️ COLHEITA — Parabéns! 🎉",""))))))</f>
        <v/>
      </c>
      <c r="G92" s="37" t="s">
        <v>428</v>
      </c>
      <c r="H92" s="38" t="str">
        <f>IF(87&gt;'🌱 Configuração'!$F$55,"",IF('🌱 Configuração'!$B$56+86&lt;'🌱 Configuração'!$C$56,IF(87=1,"🌿 Nim (2 mL/L) — foliar leve",IF(87=8,"🍄 Beauveria bassiana — foliar + solo","")),IF('🌱 Configuração'!$B$56+86&lt;'🌱 Configuração'!$D$56,IF(AND('🌱 Configuração'!$B$56+86&gt;='🌱 Configuração'!$C$56,'🌱 Configuração'!$B$56+86&lt;'🌱 Configuração'!$D$56,MOD('🌱 Configuração'!$B$56+86-'🌱 Configuração'!$C$56,7)=0,INT(('🌱 Configuração'!$B$56+86-'🌱 Configuração'!$C$56)/7)+1=1),"🌿 Nim (2 mL/L) — foliar preventivo",IF(AND('🌱 Configuração'!$B$56+86&gt;='🌱 Configuração'!$C$56,'🌱 Configuração'!$B$56+86&lt;'🌱 Configuração'!$D$56,MOD('🌱 Configuração'!$B$56+86-'🌱 Configuração'!$C$56,7)=0,INT(('🌱 Configuração'!$B$56+86-'🌱 Configuração'!$C$56)/7)+1=2),"🍄 Beauveria bassiana — foliar + solo",IF(AND('🌱 Configuração'!$B$56+86&gt;='🌱 Configuração'!$C$56,'🌱 Configuração'!$B$56+86&lt;'🌱 Configuração'!$D$56,MOD('🌱 Configuração'!$B$56+86-'🌱 Configuração'!$C$56,7)=0,INT(('🌱 Configuração'!$B$56+86-'🌱 Configuração'!$C$56)/7)+1=3),"🟡 Calda Sulfocálcica (1%) — foliar",IF(AND('🌱 Configuração'!$B$56+86&gt;='🌱 Configuração'!$C$56,'🌱 Configuração'!$B$56+86&lt;'🌱 Configuração'!$D$56,MOD('🌱 Configuração'!$B$56+86-'🌱 Configuração'!$C$56,7)=0,INT(('🌱 Configuração'!$B$56+86-'🌱 Configuração'!$C$56)/7)+1=4),"🦠 Trichoderma (3 g/L) — solo",IF(AND('🌱 Configuração'!$B$56+86&gt;='🌱 Configuração'!$C$56,'🌱 Configuração'!$B$56+86&lt;'🌱 Configuração'!$D$56,MOD('🌱 Configuração'!$B$56+86-'🌱 Configuração'!$C$56,7)=0,INT(('🌱 Configuração'!$B$56+86-'🌱 Configuração'!$C$56)/7)+1=5),"🔵 Calda Bordalesa (0.5%) — foliar",IF(AND('🌱 Configuração'!$B$56+86&gt;='🌱 Configuração'!$C$56,'🌱 Configuração'!$B$56+86&lt;'🌱 Configuração'!$D$56,MOD('🌱 Configuração'!$B$56+86-'🌱 Configuração'!$C$56,7)=0,INT(('🌱 Configuração'!$B$56+86-'🌱 Configuração'!$C$56)/7)+1=6),"🌿 Nim (2 mL/L) — ⚠️ ÚLTIMA foliar",IF(AND('🌱 Configuração'!$B$56+86&gt;='🌱 Configuração'!$C$56,'🌱 Configuração'!$B$56+86&lt;'🌱 Configuração'!$D$56,MOD('🌱 Configuração'!$B$56+86-'🌱 Configuração'!$C$56,7)=0,INT(('🌱 Configuração'!$B$56+86-'🌱 Configuração'!$C$56)/7)+1=7),"🦠 Trichoderma — solo",IF(AND('🌱 Configuração'!$B$56+86&gt;='🌱 Configuração'!$C$56,'🌱 Configuração'!$B$56+86&lt;'🌱 Configuração'!$D$56,MOD('🌱 Configuração'!$B$56+86-'🌱 Configuração'!$C$56,7)=0,INT(('🌱 Configuração'!$B$56+86-'🌱 Configuração'!$C$56)/7)+1=8),"🍄 Beauveria — solo","")))))))),IF('🌱 Configuração'!$B$56+86&lt;'🌱 Configuração'!$E$56,IF(AND('🌱 Configuração'!$B$56+86&gt;='🌱 Configuração'!$D$56,'🌱 Configuração'!$B$56+86&lt;'🌱 Configuração'!$E$56,MOD('🌱 Configuração'!$B$56+86-'🌱 Configuração'!$D$56,7)=0,INT(('🌱 Configuração'!$B$56+86-'🌱 Configuração'!$D$56)/7)+1=1),"🍄 Beauveria bassiana — SOLO apenas",IF(AND('🌱 Configuração'!$B$56+86&gt;='🌱 Configuração'!$D$56,'🌱 Configuração'!$B$56+86&lt;'🌱 Configuração'!$E$56,MOD('🌱 Configuração'!$B$56+86-'🌱 Configuração'!$D$56,7)=0,INT(('🌱 Configuração'!$B$56+86-'🌱 Configuração'!$D$56)/7)+1=2),"🦠 Trichoderma (3 g/L) — solo",IF(AND('🌱 Configuração'!$B$56+86&gt;='🌱 Configuração'!$D$56,'🌱 Configuração'!$B$56+86&lt;'🌱 Configuração'!$E$56,MOD('🌱 Configuração'!$B$56+86-'🌱 Configuração'!$D$56,7)=0,INT(('🌱 Configuração'!$B$56+86-'🌱 Configuração'!$D$56)/7)+1=3),"🍄 Beauveria bassiana — solo | ⚠️ Umid &lt;45%",IF(AND('🌱 Configuração'!$B$56+86&gt;='🌱 Configuração'!$D$56,'🌱 Configuração'!$B$56+86&lt;'🌱 Configuração'!$E$56,MOD('🌱 Configuração'!$B$56+86-'🌱 Configuração'!$D$56,7)=0,INT(('🌱 Configuração'!$B$56+86-'🌱 Configuração'!$D$56)/7)+1=4),"🦠 Trichoderma — solo | Inspecionar buds",IF(AND('🌱 Configuração'!$B$56+86&gt;='🌱 Configuração'!$D$56,'🌱 Configuração'!$B$56+86&lt;'🌱 Configuração'!$E$56,MOD('🌱 Configuração'!$B$56+86-'🌱 Configuração'!$D$56,7)=0,INT(('🌱 Configuração'!$B$56+86-'🌱 Configuração'!$D$56)/7)+1=5),"🍄 Beauveria + inspeção visual buds",IF(AND('🌱 Configuração'!$B$56+86&gt;='🌱 Configuração'!$D$56,'🌱 Configuração'!$B$56+86&lt;'🌱 Configuração'!$E$56,MOD('🌱 Configuração'!$B$56+86-'🌱 Configuração'!$D$56,7)=0,INT(('🌱 Configuração'!$B$56+86-'🌱 Configuração'!$D$56)/7)+1=6),"🦠 Trichoderma + ⚠️ Verificar mofo","")))))),IF(AND('🌱 Configuração'!$B$56+86&gt;='🌱 Configuração'!$E$56,MOD('🌱 Configuração'!$B$56+86-'🌱 Configuração'!$E$56,7)=0),"🔬 Inspeção final — analisar tricomas","")))))</f>
        <v/>
      </c>
      <c r="I92" s="33"/>
    </row>
    <row r="93" spans="1:9" ht="19.5" customHeight="1">
      <c r="A93" s="1"/>
      <c r="B93" s="39">
        <f>IF(88&lt;='🌱 Configuração'!$F$55,88,"")</f>
        <v>88</v>
      </c>
      <c r="C93" s="40">
        <f>IF(88&lt;='🌱 Configuração'!$F$55,'🌱 Configuração'!$B$56+87,"")</f>
        <v>87</v>
      </c>
      <c r="D93" s="41" t="str">
        <f>IF(88&gt;'🌱 Configuração'!$F$55,"",IF('🌱 Configuração'!$B$56+87&lt;'🌱 Configuração'!$C$56,"🌱 Clone",IF('🌱 Configuração'!$B$56+87&lt;'🌱 Configuração'!$D$56,"🌿 Vegetativo",IF('🌱 Configuração'!$B$56+87&lt;'🌱 Configuração'!$E$56,"🌸 Floração","🚿 Flush"))))</f>
        <v>🌸 Floração</v>
      </c>
      <c r="E93" s="42" t="str">
        <f>IF(88&gt;'🌱 Configuração'!$F$55,"",IF('🌱 Configuração'!$B$56+87&lt;'🌱 Configuração'!$C$56,"Clone S"&amp;INT((88-1)/7)+1,IF('🌱 Configuração'!$B$56+87&lt;'🌱 Configuração'!$D$56,"Vega S"&amp;INT(('🌱 Configuração'!$B$56+87-'🌱 Configuração'!$C$56)/7)+1,IF('🌱 Configuração'!$B$56+87&lt;'🌱 Configuração'!$E$56,"Flora S"&amp;INT(('🌱 Configuração'!$B$56+87-'🌱 Configuração'!$D$56)/7)+1,"Flush S"&amp;INT(('🌱 Configuração'!$B$56+87-'🌱 Configuração'!$E$56)/7)+1))))</f>
        <v>Flora S5</v>
      </c>
      <c r="F93" s="43" t="str">
        <f>IF(88&gt;'🌱 Configuração'!$F$55,"",IF('🌱 Configuração'!$B$56+87='🌱 Configuração'!$C$56,"🌿 INÍCIO VEGA — luz 18h/dia",IF('🌱 Configuração'!$B$56+87='🌱 Configuração'!$D$56,"🌸 INÍCIO FLORAÇÃO — mudar 12/12 🔴",IF('🌱 Configuração'!$B$56+87='🌱 Configuração'!$E$56,"🚿 INÍCIO FLUSH — parar nutrição",IF('🌱 Configuração'!$B$56+87='🌱 Configuração'!$F$56-1,"🔬 Véspera da colheita — analisar tricomas",IF('🌱 Configuração'!$B$56+87='🌱 Configuração'!$F$56,"✂️ COLHEITA — Parabéns! 🎉",""))))))</f>
        <v/>
      </c>
      <c r="G93" s="44" t="s">
        <v>428</v>
      </c>
      <c r="H93" s="45" t="str">
        <f>IF(88&gt;'🌱 Configuração'!$F$55,"",IF('🌱 Configuração'!$B$56+87&lt;'🌱 Configuração'!$C$56,IF(88=1,"🌿 Nim (2 mL/L) — foliar leve",IF(88=8,"🍄 Beauveria bassiana — foliar + solo","")),IF('🌱 Configuração'!$B$56+87&lt;'🌱 Configuração'!$D$56,IF(AND('🌱 Configuração'!$B$56+87&gt;='🌱 Configuração'!$C$56,'🌱 Configuração'!$B$56+87&lt;'🌱 Configuração'!$D$56,MOD('🌱 Configuração'!$B$56+87-'🌱 Configuração'!$C$56,7)=0,INT(('🌱 Configuração'!$B$56+87-'🌱 Configuração'!$C$56)/7)+1=1),"🌿 Nim (2 mL/L) — foliar preventivo",IF(AND('🌱 Configuração'!$B$56+87&gt;='🌱 Configuração'!$C$56,'🌱 Configuração'!$B$56+87&lt;'🌱 Configuração'!$D$56,MOD('🌱 Configuração'!$B$56+87-'🌱 Configuração'!$C$56,7)=0,INT(('🌱 Configuração'!$B$56+87-'🌱 Configuração'!$C$56)/7)+1=2),"🍄 Beauveria bassiana — foliar + solo",IF(AND('🌱 Configuração'!$B$56+87&gt;='🌱 Configuração'!$C$56,'🌱 Configuração'!$B$56+87&lt;'🌱 Configuração'!$D$56,MOD('🌱 Configuração'!$B$56+87-'🌱 Configuração'!$C$56,7)=0,INT(('🌱 Configuração'!$B$56+87-'🌱 Configuração'!$C$56)/7)+1=3),"🟡 Calda Sulfocálcica (1%) — foliar",IF(AND('🌱 Configuração'!$B$56+87&gt;='🌱 Configuração'!$C$56,'🌱 Configuração'!$B$56+87&lt;'🌱 Configuração'!$D$56,MOD('🌱 Configuração'!$B$56+87-'🌱 Configuração'!$C$56,7)=0,INT(('🌱 Configuração'!$B$56+87-'🌱 Configuração'!$C$56)/7)+1=4),"🦠 Trichoderma (3 g/L) — solo",IF(AND('🌱 Configuração'!$B$56+87&gt;='🌱 Configuração'!$C$56,'🌱 Configuração'!$B$56+87&lt;'🌱 Configuração'!$D$56,MOD('🌱 Configuração'!$B$56+87-'🌱 Configuração'!$C$56,7)=0,INT(('🌱 Configuração'!$B$56+87-'🌱 Configuração'!$C$56)/7)+1=5),"🔵 Calda Bordalesa (0.5%) — foliar",IF(AND('🌱 Configuração'!$B$56+87&gt;='🌱 Configuração'!$C$56,'🌱 Configuração'!$B$56+87&lt;'🌱 Configuração'!$D$56,MOD('🌱 Configuração'!$B$56+87-'🌱 Configuração'!$C$56,7)=0,INT(('🌱 Configuração'!$B$56+87-'🌱 Configuração'!$C$56)/7)+1=6),"🌿 Nim (2 mL/L) — ⚠️ ÚLTIMA foliar",IF(AND('🌱 Configuração'!$B$56+87&gt;='🌱 Configuração'!$C$56,'🌱 Configuração'!$B$56+87&lt;'🌱 Configuração'!$D$56,MOD('🌱 Configuração'!$B$56+87-'🌱 Configuração'!$C$56,7)=0,INT(('🌱 Configuração'!$B$56+87-'🌱 Configuração'!$C$56)/7)+1=7),"🦠 Trichoderma — solo",IF(AND('🌱 Configuração'!$B$56+87&gt;='🌱 Configuração'!$C$56,'🌱 Configuração'!$B$56+87&lt;'🌱 Configuração'!$D$56,MOD('🌱 Configuração'!$B$56+87-'🌱 Configuração'!$C$56,7)=0,INT(('🌱 Configuração'!$B$56+87-'🌱 Configuração'!$C$56)/7)+1=8),"🍄 Beauveria — solo","")))))))),IF('🌱 Configuração'!$B$56+87&lt;'🌱 Configuração'!$E$56,IF(AND('🌱 Configuração'!$B$56+87&gt;='🌱 Configuração'!$D$56,'🌱 Configuração'!$B$56+87&lt;'🌱 Configuração'!$E$56,MOD('🌱 Configuração'!$B$56+87-'🌱 Configuração'!$D$56,7)=0,INT(('🌱 Configuração'!$B$56+87-'🌱 Configuração'!$D$56)/7)+1=1),"🍄 Beauveria bassiana — SOLO apenas",IF(AND('🌱 Configuração'!$B$56+87&gt;='🌱 Configuração'!$D$56,'🌱 Configuração'!$B$56+87&lt;'🌱 Configuração'!$E$56,MOD('🌱 Configuração'!$B$56+87-'🌱 Configuração'!$D$56,7)=0,INT(('🌱 Configuração'!$B$56+87-'🌱 Configuração'!$D$56)/7)+1=2),"🦠 Trichoderma (3 g/L) — solo",IF(AND('🌱 Configuração'!$B$56+87&gt;='🌱 Configuração'!$D$56,'🌱 Configuração'!$B$56+87&lt;'🌱 Configuração'!$E$56,MOD('🌱 Configuração'!$B$56+87-'🌱 Configuração'!$D$56,7)=0,INT(('🌱 Configuração'!$B$56+87-'🌱 Configuração'!$D$56)/7)+1=3),"🍄 Beauveria bassiana — solo | ⚠️ Umid &lt;45%",IF(AND('🌱 Configuração'!$B$56+87&gt;='🌱 Configuração'!$D$56,'🌱 Configuração'!$B$56+87&lt;'🌱 Configuração'!$E$56,MOD('🌱 Configuração'!$B$56+87-'🌱 Configuração'!$D$56,7)=0,INT(('🌱 Configuração'!$B$56+87-'🌱 Configuração'!$D$56)/7)+1=4),"🦠 Trichoderma — solo | Inspecionar buds",IF(AND('🌱 Configuração'!$B$56+87&gt;='🌱 Configuração'!$D$56,'🌱 Configuração'!$B$56+87&lt;'🌱 Configuração'!$E$56,MOD('🌱 Configuração'!$B$56+87-'🌱 Configuração'!$D$56,7)=0,INT(('🌱 Configuração'!$B$56+87-'🌱 Configuração'!$D$56)/7)+1=5),"🍄 Beauveria + inspeção visual buds",IF(AND('🌱 Configuração'!$B$56+87&gt;='🌱 Configuração'!$D$56,'🌱 Configuração'!$B$56+87&lt;'🌱 Configuração'!$E$56,MOD('🌱 Configuração'!$B$56+87-'🌱 Configuração'!$D$56,7)=0,INT(('🌱 Configuração'!$B$56+87-'🌱 Configuração'!$D$56)/7)+1=6),"🦠 Trichoderma + ⚠️ Verificar mofo","")))))),IF(AND('🌱 Configuração'!$B$56+87&gt;='🌱 Configuração'!$E$56,MOD('🌱 Configuração'!$B$56+87-'🌱 Configuração'!$E$56,7)=0),"🔬 Inspeção final — analisar tricomas","")))))</f>
        <v/>
      </c>
      <c r="I93" s="33"/>
    </row>
    <row r="94" spans="1:9" ht="19.5" customHeight="1">
      <c r="A94" s="1"/>
      <c r="B94" s="35">
        <f>IF(89&lt;='🌱 Configuração'!$F$55,89,"")</f>
        <v>89</v>
      </c>
      <c r="C94" s="13">
        <f>IF(89&lt;='🌱 Configuração'!$F$55,'🌱 Configuração'!$B$56+88,"")</f>
        <v>88</v>
      </c>
      <c r="D94" s="36" t="str">
        <f>IF(89&gt;'🌱 Configuração'!$F$55,"",IF('🌱 Configuração'!$B$56+88&lt;'🌱 Configuração'!$C$56,"🌱 Clone",IF('🌱 Configuração'!$B$56+88&lt;'🌱 Configuração'!$D$56,"🌿 Vegetativo",IF('🌱 Configuração'!$B$56+88&lt;'🌱 Configuração'!$E$56,"🌸 Floração","🚿 Flush"))))</f>
        <v>🌸 Floração</v>
      </c>
      <c r="E94" s="15" t="str">
        <f>IF(89&gt;'🌱 Configuração'!$F$55,"",IF('🌱 Configuração'!$B$56+88&lt;'🌱 Configuração'!$C$56,"Clone S"&amp;INT((89-1)/7)+1,IF('🌱 Configuração'!$B$56+88&lt;'🌱 Configuração'!$D$56,"Vega S"&amp;INT(('🌱 Configuração'!$B$56+88-'🌱 Configuração'!$C$56)/7)+1,IF('🌱 Configuração'!$B$56+88&lt;'🌱 Configuração'!$E$56,"Flora S"&amp;INT(('🌱 Configuração'!$B$56+88-'🌱 Configuração'!$D$56)/7)+1,"Flush S"&amp;INT(('🌱 Configuração'!$B$56+88-'🌱 Configuração'!$E$56)/7)+1))))</f>
        <v>Flora S5</v>
      </c>
      <c r="F94" s="14" t="str">
        <f>IF(89&gt;'🌱 Configuração'!$F$55,"",IF('🌱 Configuração'!$B$56+88='🌱 Configuração'!$C$56,"🌿 INÍCIO VEGA — luz 18h/dia",IF('🌱 Configuração'!$B$56+88='🌱 Configuração'!$D$56,"🌸 INÍCIO FLORAÇÃO — mudar 12/12 🔴",IF('🌱 Configuração'!$B$56+88='🌱 Configuração'!$E$56,"🚿 INÍCIO FLUSH — parar nutrição",IF('🌱 Configuração'!$B$56+88='🌱 Configuração'!$F$56-1,"🔬 Véspera da colheita — analisar tricomas",IF('🌱 Configuração'!$B$56+88='🌱 Configuração'!$F$56,"✂️ COLHEITA — Parabéns! 🎉",""))))))</f>
        <v/>
      </c>
      <c r="G94" s="37" t="s">
        <v>428</v>
      </c>
      <c r="H94" s="38" t="str">
        <f>IF(89&gt;'🌱 Configuração'!$F$55,"",IF('🌱 Configuração'!$B$56+88&lt;'🌱 Configuração'!$C$56,IF(89=1,"🌿 Nim (2 mL/L) — foliar leve",IF(89=8,"🍄 Beauveria bassiana — foliar + solo","")),IF('🌱 Configuração'!$B$56+88&lt;'🌱 Configuração'!$D$56,IF(AND('🌱 Configuração'!$B$56+88&gt;='🌱 Configuração'!$C$56,'🌱 Configuração'!$B$56+88&lt;'🌱 Configuração'!$D$56,MOD('🌱 Configuração'!$B$56+88-'🌱 Configuração'!$C$56,7)=0,INT(('🌱 Configuração'!$B$56+88-'🌱 Configuração'!$C$56)/7)+1=1),"🌿 Nim (2 mL/L) — foliar preventivo",IF(AND('🌱 Configuração'!$B$56+88&gt;='🌱 Configuração'!$C$56,'🌱 Configuração'!$B$56+88&lt;'🌱 Configuração'!$D$56,MOD('🌱 Configuração'!$B$56+88-'🌱 Configuração'!$C$56,7)=0,INT(('🌱 Configuração'!$B$56+88-'🌱 Configuração'!$C$56)/7)+1=2),"🍄 Beauveria bassiana — foliar + solo",IF(AND('🌱 Configuração'!$B$56+88&gt;='🌱 Configuração'!$C$56,'🌱 Configuração'!$B$56+88&lt;'🌱 Configuração'!$D$56,MOD('🌱 Configuração'!$B$56+88-'🌱 Configuração'!$C$56,7)=0,INT(('🌱 Configuração'!$B$56+88-'🌱 Configuração'!$C$56)/7)+1=3),"🟡 Calda Sulfocálcica (1%) — foliar",IF(AND('🌱 Configuração'!$B$56+88&gt;='🌱 Configuração'!$C$56,'🌱 Configuração'!$B$56+88&lt;'🌱 Configuração'!$D$56,MOD('🌱 Configuração'!$B$56+88-'🌱 Configuração'!$C$56,7)=0,INT(('🌱 Configuração'!$B$56+88-'🌱 Configuração'!$C$56)/7)+1=4),"🦠 Trichoderma (3 g/L) — solo",IF(AND('🌱 Configuração'!$B$56+88&gt;='🌱 Configuração'!$C$56,'🌱 Configuração'!$B$56+88&lt;'🌱 Configuração'!$D$56,MOD('🌱 Configuração'!$B$56+88-'🌱 Configuração'!$C$56,7)=0,INT(('🌱 Configuração'!$B$56+88-'🌱 Configuração'!$C$56)/7)+1=5),"🔵 Calda Bordalesa (0.5%) — foliar",IF(AND('🌱 Configuração'!$B$56+88&gt;='🌱 Configuração'!$C$56,'🌱 Configuração'!$B$56+88&lt;'🌱 Configuração'!$D$56,MOD('🌱 Configuração'!$B$56+88-'🌱 Configuração'!$C$56,7)=0,INT(('🌱 Configuração'!$B$56+88-'🌱 Configuração'!$C$56)/7)+1=6),"🌿 Nim (2 mL/L) — ⚠️ ÚLTIMA foliar",IF(AND('🌱 Configuração'!$B$56+88&gt;='🌱 Configuração'!$C$56,'🌱 Configuração'!$B$56+88&lt;'🌱 Configuração'!$D$56,MOD('🌱 Configuração'!$B$56+88-'🌱 Configuração'!$C$56,7)=0,INT(('🌱 Configuração'!$B$56+88-'🌱 Configuração'!$C$56)/7)+1=7),"🦠 Trichoderma — solo",IF(AND('🌱 Configuração'!$B$56+88&gt;='🌱 Configuração'!$C$56,'🌱 Configuração'!$B$56+88&lt;'🌱 Configuração'!$D$56,MOD('🌱 Configuração'!$B$56+88-'🌱 Configuração'!$C$56,7)=0,INT(('🌱 Configuração'!$B$56+88-'🌱 Configuração'!$C$56)/7)+1=8),"🍄 Beauveria — solo","")))))))),IF('🌱 Configuração'!$B$56+88&lt;'🌱 Configuração'!$E$56,IF(AND('🌱 Configuração'!$B$56+88&gt;='🌱 Configuração'!$D$56,'🌱 Configuração'!$B$56+88&lt;'🌱 Configuração'!$E$56,MOD('🌱 Configuração'!$B$56+88-'🌱 Configuração'!$D$56,7)=0,INT(('🌱 Configuração'!$B$56+88-'🌱 Configuração'!$D$56)/7)+1=1),"🍄 Beauveria bassiana — SOLO apenas",IF(AND('🌱 Configuração'!$B$56+88&gt;='🌱 Configuração'!$D$56,'🌱 Configuração'!$B$56+88&lt;'🌱 Configuração'!$E$56,MOD('🌱 Configuração'!$B$56+88-'🌱 Configuração'!$D$56,7)=0,INT(('🌱 Configuração'!$B$56+88-'🌱 Configuração'!$D$56)/7)+1=2),"🦠 Trichoderma (3 g/L) — solo",IF(AND('🌱 Configuração'!$B$56+88&gt;='🌱 Configuração'!$D$56,'🌱 Configuração'!$B$56+88&lt;'🌱 Configuração'!$E$56,MOD('🌱 Configuração'!$B$56+88-'🌱 Configuração'!$D$56,7)=0,INT(('🌱 Configuração'!$B$56+88-'🌱 Configuração'!$D$56)/7)+1=3),"🍄 Beauveria bassiana — solo | ⚠️ Umid &lt;45%",IF(AND('🌱 Configuração'!$B$56+88&gt;='🌱 Configuração'!$D$56,'🌱 Configuração'!$B$56+88&lt;'🌱 Configuração'!$E$56,MOD('🌱 Configuração'!$B$56+88-'🌱 Configuração'!$D$56,7)=0,INT(('🌱 Configuração'!$B$56+88-'🌱 Configuração'!$D$56)/7)+1=4),"🦠 Trichoderma — solo | Inspecionar buds",IF(AND('🌱 Configuração'!$B$56+88&gt;='🌱 Configuração'!$D$56,'🌱 Configuração'!$B$56+88&lt;'🌱 Configuração'!$E$56,MOD('🌱 Configuração'!$B$56+88-'🌱 Configuração'!$D$56,7)=0,INT(('🌱 Configuração'!$B$56+88-'🌱 Configuração'!$D$56)/7)+1=5),"🍄 Beauveria + inspeção visual buds",IF(AND('🌱 Configuração'!$B$56+88&gt;='🌱 Configuração'!$D$56,'🌱 Configuração'!$B$56+88&lt;'🌱 Configuração'!$E$56,MOD('🌱 Configuração'!$B$56+88-'🌱 Configuração'!$D$56,7)=0,INT(('🌱 Configuração'!$B$56+88-'🌱 Configuração'!$D$56)/7)+1=6),"🦠 Trichoderma + ⚠️ Verificar mofo","")))))),IF(AND('🌱 Configuração'!$B$56+88&gt;='🌱 Configuração'!$E$56,MOD('🌱 Configuração'!$B$56+88-'🌱 Configuração'!$E$56,7)=0),"🔬 Inspeção final — analisar tricomas","")))))</f>
        <v/>
      </c>
      <c r="I94" s="33"/>
    </row>
    <row r="95" spans="1:9" ht="19.5" customHeight="1">
      <c r="A95" s="1"/>
      <c r="B95" s="39">
        <f>IF(90&lt;='🌱 Configuração'!$F$55,90,"")</f>
        <v>90</v>
      </c>
      <c r="C95" s="40">
        <f>IF(90&lt;='🌱 Configuração'!$F$55,'🌱 Configuração'!$B$56+89,"")</f>
        <v>89</v>
      </c>
      <c r="D95" s="41" t="str">
        <f>IF(90&gt;'🌱 Configuração'!$F$55,"",IF('🌱 Configuração'!$B$56+89&lt;'🌱 Configuração'!$C$56,"🌱 Clone",IF('🌱 Configuração'!$B$56+89&lt;'🌱 Configuração'!$D$56,"🌿 Vegetativo",IF('🌱 Configuração'!$B$56+89&lt;'🌱 Configuração'!$E$56,"🌸 Floração","🚿 Flush"))))</f>
        <v>🌸 Floração</v>
      </c>
      <c r="E95" s="42" t="str">
        <f>IF(90&gt;'🌱 Configuração'!$F$55,"",IF('🌱 Configuração'!$B$56+89&lt;'🌱 Configuração'!$C$56,"Clone S"&amp;INT((90-1)/7)+1,IF('🌱 Configuração'!$B$56+89&lt;'🌱 Configuração'!$D$56,"Vega S"&amp;INT(('🌱 Configuração'!$B$56+89-'🌱 Configuração'!$C$56)/7)+1,IF('🌱 Configuração'!$B$56+89&lt;'🌱 Configuração'!$E$56,"Flora S"&amp;INT(('🌱 Configuração'!$B$56+89-'🌱 Configuração'!$D$56)/7)+1,"Flush S"&amp;INT(('🌱 Configuração'!$B$56+89-'🌱 Configuração'!$E$56)/7)+1))))</f>
        <v>Flora S5</v>
      </c>
      <c r="F95" s="43" t="str">
        <f>IF(90&gt;'🌱 Configuração'!$F$55,"",IF('🌱 Configuração'!$B$56+89='🌱 Configuração'!$C$56,"🌿 INÍCIO VEGA — luz 18h/dia",IF('🌱 Configuração'!$B$56+89='🌱 Configuração'!$D$56,"🌸 INÍCIO FLORAÇÃO — mudar 12/12 🔴",IF('🌱 Configuração'!$B$56+89='🌱 Configuração'!$E$56,"🚿 INÍCIO FLUSH — parar nutrição",IF('🌱 Configuração'!$B$56+89='🌱 Configuração'!$F$56-1,"🔬 Véspera da colheita — analisar tricomas",IF('🌱 Configuração'!$B$56+89='🌱 Configuração'!$F$56,"✂️ COLHEITA — Parabéns! 🎉",""))))))</f>
        <v/>
      </c>
      <c r="G95" s="44" t="s">
        <v>428</v>
      </c>
      <c r="H95" s="45" t="str">
        <f>IF(90&gt;'🌱 Configuração'!$F$55,"",IF('🌱 Configuração'!$B$56+89&lt;'🌱 Configuração'!$C$56,IF(90=1,"🌿 Nim (2 mL/L) — foliar leve",IF(90=8,"🍄 Beauveria bassiana — foliar + solo","")),IF('🌱 Configuração'!$B$56+89&lt;'🌱 Configuração'!$D$56,IF(AND('🌱 Configuração'!$B$56+89&gt;='🌱 Configuração'!$C$56,'🌱 Configuração'!$B$56+89&lt;'🌱 Configuração'!$D$56,MOD('🌱 Configuração'!$B$56+89-'🌱 Configuração'!$C$56,7)=0,INT(('🌱 Configuração'!$B$56+89-'🌱 Configuração'!$C$56)/7)+1=1),"🌿 Nim (2 mL/L) — foliar preventivo",IF(AND('🌱 Configuração'!$B$56+89&gt;='🌱 Configuração'!$C$56,'🌱 Configuração'!$B$56+89&lt;'🌱 Configuração'!$D$56,MOD('🌱 Configuração'!$B$56+89-'🌱 Configuração'!$C$56,7)=0,INT(('🌱 Configuração'!$B$56+89-'🌱 Configuração'!$C$56)/7)+1=2),"🍄 Beauveria bassiana — foliar + solo",IF(AND('🌱 Configuração'!$B$56+89&gt;='🌱 Configuração'!$C$56,'🌱 Configuração'!$B$56+89&lt;'🌱 Configuração'!$D$56,MOD('🌱 Configuração'!$B$56+89-'🌱 Configuração'!$C$56,7)=0,INT(('🌱 Configuração'!$B$56+89-'🌱 Configuração'!$C$56)/7)+1=3),"🟡 Calda Sulfocálcica (1%) — foliar",IF(AND('🌱 Configuração'!$B$56+89&gt;='🌱 Configuração'!$C$56,'🌱 Configuração'!$B$56+89&lt;'🌱 Configuração'!$D$56,MOD('🌱 Configuração'!$B$56+89-'🌱 Configuração'!$C$56,7)=0,INT(('🌱 Configuração'!$B$56+89-'🌱 Configuração'!$C$56)/7)+1=4),"🦠 Trichoderma (3 g/L) — solo",IF(AND('🌱 Configuração'!$B$56+89&gt;='🌱 Configuração'!$C$56,'🌱 Configuração'!$B$56+89&lt;'🌱 Configuração'!$D$56,MOD('🌱 Configuração'!$B$56+89-'🌱 Configuração'!$C$56,7)=0,INT(('🌱 Configuração'!$B$56+89-'🌱 Configuração'!$C$56)/7)+1=5),"🔵 Calda Bordalesa (0.5%) — foliar",IF(AND('🌱 Configuração'!$B$56+89&gt;='🌱 Configuração'!$C$56,'🌱 Configuração'!$B$56+89&lt;'🌱 Configuração'!$D$56,MOD('🌱 Configuração'!$B$56+89-'🌱 Configuração'!$C$56,7)=0,INT(('🌱 Configuração'!$B$56+89-'🌱 Configuração'!$C$56)/7)+1=6),"🌿 Nim (2 mL/L) — ⚠️ ÚLTIMA foliar",IF(AND('🌱 Configuração'!$B$56+89&gt;='🌱 Configuração'!$C$56,'🌱 Configuração'!$B$56+89&lt;'🌱 Configuração'!$D$56,MOD('🌱 Configuração'!$B$56+89-'🌱 Configuração'!$C$56,7)=0,INT(('🌱 Configuração'!$B$56+89-'🌱 Configuração'!$C$56)/7)+1=7),"🦠 Trichoderma — solo",IF(AND('🌱 Configuração'!$B$56+89&gt;='🌱 Configuração'!$C$56,'🌱 Configuração'!$B$56+89&lt;'🌱 Configuração'!$D$56,MOD('🌱 Configuração'!$B$56+89-'🌱 Configuração'!$C$56,7)=0,INT(('🌱 Configuração'!$B$56+89-'🌱 Configuração'!$C$56)/7)+1=8),"🍄 Beauveria — solo","")))))))),IF('🌱 Configuração'!$B$56+89&lt;'🌱 Configuração'!$E$56,IF(AND('🌱 Configuração'!$B$56+89&gt;='🌱 Configuração'!$D$56,'🌱 Configuração'!$B$56+89&lt;'🌱 Configuração'!$E$56,MOD('🌱 Configuração'!$B$56+89-'🌱 Configuração'!$D$56,7)=0,INT(('🌱 Configuração'!$B$56+89-'🌱 Configuração'!$D$56)/7)+1=1),"🍄 Beauveria bassiana — SOLO apenas",IF(AND('🌱 Configuração'!$B$56+89&gt;='🌱 Configuração'!$D$56,'🌱 Configuração'!$B$56+89&lt;'🌱 Configuração'!$E$56,MOD('🌱 Configuração'!$B$56+89-'🌱 Configuração'!$D$56,7)=0,INT(('🌱 Configuração'!$B$56+89-'🌱 Configuração'!$D$56)/7)+1=2),"🦠 Trichoderma (3 g/L) — solo",IF(AND('🌱 Configuração'!$B$56+89&gt;='🌱 Configuração'!$D$56,'🌱 Configuração'!$B$56+89&lt;'🌱 Configuração'!$E$56,MOD('🌱 Configuração'!$B$56+89-'🌱 Configuração'!$D$56,7)=0,INT(('🌱 Configuração'!$B$56+89-'🌱 Configuração'!$D$56)/7)+1=3),"🍄 Beauveria bassiana — solo | ⚠️ Umid &lt;45%",IF(AND('🌱 Configuração'!$B$56+89&gt;='🌱 Configuração'!$D$56,'🌱 Configuração'!$B$56+89&lt;'🌱 Configuração'!$E$56,MOD('🌱 Configuração'!$B$56+89-'🌱 Configuração'!$D$56,7)=0,INT(('🌱 Configuração'!$B$56+89-'🌱 Configuração'!$D$56)/7)+1=4),"🦠 Trichoderma — solo | Inspecionar buds",IF(AND('🌱 Configuração'!$B$56+89&gt;='🌱 Configuração'!$D$56,'🌱 Configuração'!$B$56+89&lt;'🌱 Configuração'!$E$56,MOD('🌱 Configuração'!$B$56+89-'🌱 Configuração'!$D$56,7)=0,INT(('🌱 Configuração'!$B$56+89-'🌱 Configuração'!$D$56)/7)+1=5),"🍄 Beauveria + inspeção visual buds",IF(AND('🌱 Configuração'!$B$56+89&gt;='🌱 Configuração'!$D$56,'🌱 Configuração'!$B$56+89&lt;'🌱 Configuração'!$E$56,MOD('🌱 Configuração'!$B$56+89-'🌱 Configuração'!$D$56,7)=0,INT(('🌱 Configuração'!$B$56+89-'🌱 Configuração'!$D$56)/7)+1=6),"🦠 Trichoderma + ⚠️ Verificar mofo","")))))),IF(AND('🌱 Configuração'!$B$56+89&gt;='🌱 Configuração'!$E$56,MOD('🌱 Configuração'!$B$56+89-'🌱 Configuração'!$E$56,7)=0),"🔬 Inspeção final — analisar tricomas","")))))</f>
        <v/>
      </c>
      <c r="I95" s="33"/>
    </row>
    <row r="96" spans="1:9" ht="19.5" customHeight="1">
      <c r="A96" s="1"/>
      <c r="B96" s="35">
        <f>IF(91&lt;='🌱 Configuração'!$F$55,91,"")</f>
        <v>91</v>
      </c>
      <c r="C96" s="13">
        <f>IF(91&lt;='🌱 Configuração'!$F$55,'🌱 Configuração'!$B$56+90,"")</f>
        <v>90</v>
      </c>
      <c r="D96" s="36" t="str">
        <f>IF(91&gt;'🌱 Configuração'!$F$55,"",IF('🌱 Configuração'!$B$56+90&lt;'🌱 Configuração'!$C$56,"🌱 Clone",IF('🌱 Configuração'!$B$56+90&lt;'🌱 Configuração'!$D$56,"🌿 Vegetativo",IF('🌱 Configuração'!$B$56+90&lt;'🌱 Configuração'!$E$56,"🌸 Floração","🚿 Flush"))))</f>
        <v>🌸 Floração</v>
      </c>
      <c r="E96" s="15" t="str">
        <f>IF(91&gt;'🌱 Configuração'!$F$55,"",IF('🌱 Configuração'!$B$56+90&lt;'🌱 Configuração'!$C$56,"Clone S"&amp;INT((91-1)/7)+1,IF('🌱 Configuração'!$B$56+90&lt;'🌱 Configuração'!$D$56,"Vega S"&amp;INT(('🌱 Configuração'!$B$56+90-'🌱 Configuração'!$C$56)/7)+1,IF('🌱 Configuração'!$B$56+90&lt;'🌱 Configuração'!$E$56,"Flora S"&amp;INT(('🌱 Configuração'!$B$56+90-'🌱 Configuração'!$D$56)/7)+1,"Flush S"&amp;INT(('🌱 Configuração'!$B$56+90-'🌱 Configuração'!$E$56)/7)+1))))</f>
        <v>Flora S5</v>
      </c>
      <c r="F96" s="14" t="str">
        <f>IF(91&gt;'🌱 Configuração'!$F$55,"",IF('🌱 Configuração'!$B$56+90='🌱 Configuração'!$C$56,"🌿 INÍCIO VEGA — luz 18h/dia",IF('🌱 Configuração'!$B$56+90='🌱 Configuração'!$D$56,"🌸 INÍCIO FLORAÇÃO — mudar 12/12 🔴",IF('🌱 Configuração'!$B$56+90='🌱 Configuração'!$E$56,"🚿 INÍCIO FLUSH — parar nutrição",IF('🌱 Configuração'!$B$56+90='🌱 Configuração'!$F$56-1,"🔬 Véspera da colheita — analisar tricomas",IF('🌱 Configuração'!$B$56+90='🌱 Configuração'!$F$56,"✂️ COLHEITA — Parabéns! 🎉",""))))))</f>
        <v/>
      </c>
      <c r="G96" s="37" t="s">
        <v>428</v>
      </c>
      <c r="H96" s="38" t="str">
        <f>IF(91&gt;'🌱 Configuração'!$F$55,"",IF('🌱 Configuração'!$B$56+90&lt;'🌱 Configuração'!$C$56,IF(91=1,"🌿 Nim (2 mL/L) — foliar leve",IF(91=8,"🍄 Beauveria bassiana — foliar + solo","")),IF('🌱 Configuração'!$B$56+90&lt;'🌱 Configuração'!$D$56,IF(AND('🌱 Configuração'!$B$56+90&gt;='🌱 Configuração'!$C$56,'🌱 Configuração'!$B$56+90&lt;'🌱 Configuração'!$D$56,MOD('🌱 Configuração'!$B$56+90-'🌱 Configuração'!$C$56,7)=0,INT(('🌱 Configuração'!$B$56+90-'🌱 Configuração'!$C$56)/7)+1=1),"🌿 Nim (2 mL/L) — foliar preventivo",IF(AND('🌱 Configuração'!$B$56+90&gt;='🌱 Configuração'!$C$56,'🌱 Configuração'!$B$56+90&lt;'🌱 Configuração'!$D$56,MOD('🌱 Configuração'!$B$56+90-'🌱 Configuração'!$C$56,7)=0,INT(('🌱 Configuração'!$B$56+90-'🌱 Configuração'!$C$56)/7)+1=2),"🍄 Beauveria bassiana — foliar + solo",IF(AND('🌱 Configuração'!$B$56+90&gt;='🌱 Configuração'!$C$56,'🌱 Configuração'!$B$56+90&lt;'🌱 Configuração'!$D$56,MOD('🌱 Configuração'!$B$56+90-'🌱 Configuração'!$C$56,7)=0,INT(('🌱 Configuração'!$B$56+90-'🌱 Configuração'!$C$56)/7)+1=3),"🟡 Calda Sulfocálcica (1%) — foliar",IF(AND('🌱 Configuração'!$B$56+90&gt;='🌱 Configuração'!$C$56,'🌱 Configuração'!$B$56+90&lt;'🌱 Configuração'!$D$56,MOD('🌱 Configuração'!$B$56+90-'🌱 Configuração'!$C$56,7)=0,INT(('🌱 Configuração'!$B$56+90-'🌱 Configuração'!$C$56)/7)+1=4),"🦠 Trichoderma (3 g/L) — solo",IF(AND('🌱 Configuração'!$B$56+90&gt;='🌱 Configuração'!$C$56,'🌱 Configuração'!$B$56+90&lt;'🌱 Configuração'!$D$56,MOD('🌱 Configuração'!$B$56+90-'🌱 Configuração'!$C$56,7)=0,INT(('🌱 Configuração'!$B$56+90-'🌱 Configuração'!$C$56)/7)+1=5),"🔵 Calda Bordalesa (0.5%) — foliar",IF(AND('🌱 Configuração'!$B$56+90&gt;='🌱 Configuração'!$C$56,'🌱 Configuração'!$B$56+90&lt;'🌱 Configuração'!$D$56,MOD('🌱 Configuração'!$B$56+90-'🌱 Configuração'!$C$56,7)=0,INT(('🌱 Configuração'!$B$56+90-'🌱 Configuração'!$C$56)/7)+1=6),"🌿 Nim (2 mL/L) — ⚠️ ÚLTIMA foliar",IF(AND('🌱 Configuração'!$B$56+90&gt;='🌱 Configuração'!$C$56,'🌱 Configuração'!$B$56+90&lt;'🌱 Configuração'!$D$56,MOD('🌱 Configuração'!$B$56+90-'🌱 Configuração'!$C$56,7)=0,INT(('🌱 Configuração'!$B$56+90-'🌱 Configuração'!$C$56)/7)+1=7),"🦠 Trichoderma — solo",IF(AND('🌱 Configuração'!$B$56+90&gt;='🌱 Configuração'!$C$56,'🌱 Configuração'!$B$56+90&lt;'🌱 Configuração'!$D$56,MOD('🌱 Configuração'!$B$56+90-'🌱 Configuração'!$C$56,7)=0,INT(('🌱 Configuração'!$B$56+90-'🌱 Configuração'!$C$56)/7)+1=8),"🍄 Beauveria — solo","")))))))),IF('🌱 Configuração'!$B$56+90&lt;'🌱 Configuração'!$E$56,IF(AND('🌱 Configuração'!$B$56+90&gt;='🌱 Configuração'!$D$56,'🌱 Configuração'!$B$56+90&lt;'🌱 Configuração'!$E$56,MOD('🌱 Configuração'!$B$56+90-'🌱 Configuração'!$D$56,7)=0,INT(('🌱 Configuração'!$B$56+90-'🌱 Configuração'!$D$56)/7)+1=1),"🍄 Beauveria bassiana — SOLO apenas",IF(AND('🌱 Configuração'!$B$56+90&gt;='🌱 Configuração'!$D$56,'🌱 Configuração'!$B$56+90&lt;'🌱 Configuração'!$E$56,MOD('🌱 Configuração'!$B$56+90-'🌱 Configuração'!$D$56,7)=0,INT(('🌱 Configuração'!$B$56+90-'🌱 Configuração'!$D$56)/7)+1=2),"🦠 Trichoderma (3 g/L) — solo",IF(AND('🌱 Configuração'!$B$56+90&gt;='🌱 Configuração'!$D$56,'🌱 Configuração'!$B$56+90&lt;'🌱 Configuração'!$E$56,MOD('🌱 Configuração'!$B$56+90-'🌱 Configuração'!$D$56,7)=0,INT(('🌱 Configuração'!$B$56+90-'🌱 Configuração'!$D$56)/7)+1=3),"🍄 Beauveria bassiana — solo | ⚠️ Umid &lt;45%",IF(AND('🌱 Configuração'!$B$56+90&gt;='🌱 Configuração'!$D$56,'🌱 Configuração'!$B$56+90&lt;'🌱 Configuração'!$E$56,MOD('🌱 Configuração'!$B$56+90-'🌱 Configuração'!$D$56,7)=0,INT(('🌱 Configuração'!$B$56+90-'🌱 Configuração'!$D$56)/7)+1=4),"🦠 Trichoderma — solo | Inspecionar buds",IF(AND('🌱 Configuração'!$B$56+90&gt;='🌱 Configuração'!$D$56,'🌱 Configuração'!$B$56+90&lt;'🌱 Configuração'!$E$56,MOD('🌱 Configuração'!$B$56+90-'🌱 Configuração'!$D$56,7)=0,INT(('🌱 Configuração'!$B$56+90-'🌱 Configuração'!$D$56)/7)+1=5),"🍄 Beauveria + inspeção visual buds",IF(AND('🌱 Configuração'!$B$56+90&gt;='🌱 Configuração'!$D$56,'🌱 Configuração'!$B$56+90&lt;'🌱 Configuração'!$E$56,MOD('🌱 Configuração'!$B$56+90-'🌱 Configuração'!$D$56,7)=0,INT(('🌱 Configuração'!$B$56+90-'🌱 Configuração'!$D$56)/7)+1=6),"🦠 Trichoderma + ⚠️ Verificar mofo","")))))),IF(AND('🌱 Configuração'!$B$56+90&gt;='🌱 Configuração'!$E$56,MOD('🌱 Configuração'!$B$56+90-'🌱 Configuração'!$E$56,7)=0),"🔬 Inspeção final — analisar tricomas","")))))</f>
        <v/>
      </c>
      <c r="I96" s="33"/>
    </row>
    <row r="97" spans="1:9" ht="19.5" customHeight="1">
      <c r="A97" s="1"/>
      <c r="B97" s="39">
        <f>IF(92&lt;='🌱 Configuração'!$F$55,92,"")</f>
        <v>92</v>
      </c>
      <c r="C97" s="40">
        <f>IF(92&lt;='🌱 Configuração'!$F$55,'🌱 Configuração'!$B$56+91,"")</f>
        <v>91</v>
      </c>
      <c r="D97" s="41" t="str">
        <f>IF(92&gt;'🌱 Configuração'!$F$55,"",IF('🌱 Configuração'!$B$56+91&lt;'🌱 Configuração'!$C$56,"🌱 Clone",IF('🌱 Configuração'!$B$56+91&lt;'🌱 Configuração'!$D$56,"🌿 Vegetativo",IF('🌱 Configuração'!$B$56+91&lt;'🌱 Configuração'!$E$56,"🌸 Floração","🚿 Flush"))))</f>
        <v>🌸 Floração</v>
      </c>
      <c r="E97" s="42" t="str">
        <f>IF(92&gt;'🌱 Configuração'!$F$55,"",IF('🌱 Configuração'!$B$56+91&lt;'🌱 Configuração'!$C$56,"Clone S"&amp;INT((92-1)/7)+1,IF('🌱 Configuração'!$B$56+91&lt;'🌱 Configuração'!$D$56,"Vega S"&amp;INT(('🌱 Configuração'!$B$56+91-'🌱 Configuração'!$C$56)/7)+1,IF('🌱 Configuração'!$B$56+91&lt;'🌱 Configuração'!$E$56,"Flora S"&amp;INT(('🌱 Configuração'!$B$56+91-'🌱 Configuração'!$D$56)/7)+1,"Flush S"&amp;INT(('🌱 Configuração'!$B$56+91-'🌱 Configuração'!$E$56)/7)+1))))</f>
        <v>Flora S6</v>
      </c>
      <c r="F97" s="43" t="str">
        <f>IF(92&gt;'🌱 Configuração'!$F$55,"",IF('🌱 Configuração'!$B$56+91='🌱 Configuração'!$C$56,"🌿 INÍCIO VEGA — luz 18h/dia",IF('🌱 Configuração'!$B$56+91='🌱 Configuração'!$D$56,"🌸 INÍCIO FLORAÇÃO — mudar 12/12 🔴",IF('🌱 Configuração'!$B$56+91='🌱 Configuração'!$E$56,"🚿 INÍCIO FLUSH — parar nutrição",IF('🌱 Configuração'!$B$56+91='🌱 Configuração'!$F$56-1,"🔬 Véspera da colheita — analisar tricomas",IF('🌱 Configuração'!$B$56+91='🌱 Configuração'!$F$56,"✂️ COLHEITA — Parabéns! 🎉",""))))))</f>
        <v/>
      </c>
      <c r="G97" s="44" t="s">
        <v>441</v>
      </c>
      <c r="H97" s="45" t="str">
        <f>IF(92&gt;'🌱 Configuração'!$F$55,"",IF('🌱 Configuração'!$B$56+91&lt;'🌱 Configuração'!$C$56,IF(92=1,"🌿 Nim (2 mL/L) — foliar leve",IF(92=8,"🍄 Beauveria bassiana — foliar + solo","")),IF('🌱 Configuração'!$B$56+91&lt;'🌱 Configuração'!$D$56,IF(AND('🌱 Configuração'!$B$56+91&gt;='🌱 Configuração'!$C$56,'🌱 Configuração'!$B$56+91&lt;'🌱 Configuração'!$D$56,MOD('🌱 Configuração'!$B$56+91-'🌱 Configuração'!$C$56,7)=0,INT(('🌱 Configuração'!$B$56+91-'🌱 Configuração'!$C$56)/7)+1=1),"🌿 Nim (2 mL/L) — foliar preventivo",IF(AND('🌱 Configuração'!$B$56+91&gt;='🌱 Configuração'!$C$56,'🌱 Configuração'!$B$56+91&lt;'🌱 Configuração'!$D$56,MOD('🌱 Configuração'!$B$56+91-'🌱 Configuração'!$C$56,7)=0,INT(('🌱 Configuração'!$B$56+91-'🌱 Configuração'!$C$56)/7)+1=2),"🍄 Beauveria bassiana — foliar + solo",IF(AND('🌱 Configuração'!$B$56+91&gt;='🌱 Configuração'!$C$56,'🌱 Configuração'!$B$56+91&lt;'🌱 Configuração'!$D$56,MOD('🌱 Configuração'!$B$56+91-'🌱 Configuração'!$C$56,7)=0,INT(('🌱 Configuração'!$B$56+91-'🌱 Configuração'!$C$56)/7)+1=3),"🟡 Calda Sulfocálcica (1%) — foliar",IF(AND('🌱 Configuração'!$B$56+91&gt;='🌱 Configuração'!$C$56,'🌱 Configuração'!$B$56+91&lt;'🌱 Configuração'!$D$56,MOD('🌱 Configuração'!$B$56+91-'🌱 Configuração'!$C$56,7)=0,INT(('🌱 Configuração'!$B$56+91-'🌱 Configuração'!$C$56)/7)+1=4),"🦠 Trichoderma (3 g/L) — solo",IF(AND('🌱 Configuração'!$B$56+91&gt;='🌱 Configuração'!$C$56,'🌱 Configuração'!$B$56+91&lt;'🌱 Configuração'!$D$56,MOD('🌱 Configuração'!$B$56+91-'🌱 Configuração'!$C$56,7)=0,INT(('🌱 Configuração'!$B$56+91-'🌱 Configuração'!$C$56)/7)+1=5),"🔵 Calda Bordalesa (0.5%) — foliar",IF(AND('🌱 Configuração'!$B$56+91&gt;='🌱 Configuração'!$C$56,'🌱 Configuração'!$B$56+91&lt;'🌱 Configuração'!$D$56,MOD('🌱 Configuração'!$B$56+91-'🌱 Configuração'!$C$56,7)=0,INT(('🌱 Configuração'!$B$56+91-'🌱 Configuração'!$C$56)/7)+1=6),"🌿 Nim (2 mL/L) — ⚠️ ÚLTIMA foliar",IF(AND('🌱 Configuração'!$B$56+91&gt;='🌱 Configuração'!$C$56,'🌱 Configuração'!$B$56+91&lt;'🌱 Configuração'!$D$56,MOD('🌱 Configuração'!$B$56+91-'🌱 Configuração'!$C$56,7)=0,INT(('🌱 Configuração'!$B$56+91-'🌱 Configuração'!$C$56)/7)+1=7),"🦠 Trichoderma — solo",IF(AND('🌱 Configuração'!$B$56+91&gt;='🌱 Configuração'!$C$56,'🌱 Configuração'!$B$56+91&lt;'🌱 Configuração'!$D$56,MOD('🌱 Configuração'!$B$56+91-'🌱 Configuração'!$C$56,7)=0,INT(('🌱 Configuração'!$B$56+91-'🌱 Configuração'!$C$56)/7)+1=8),"🍄 Beauveria — solo","")))))))),IF('🌱 Configuração'!$B$56+91&lt;'🌱 Configuração'!$E$56,IF(AND('🌱 Configuração'!$B$56+91&gt;='🌱 Configuração'!$D$56,'🌱 Configuração'!$B$56+91&lt;'🌱 Configuração'!$E$56,MOD('🌱 Configuração'!$B$56+91-'🌱 Configuração'!$D$56,7)=0,INT(('🌱 Configuração'!$B$56+91-'🌱 Configuração'!$D$56)/7)+1=1),"🍄 Beauveria bassiana — SOLO apenas",IF(AND('🌱 Configuração'!$B$56+91&gt;='🌱 Configuração'!$D$56,'🌱 Configuração'!$B$56+91&lt;'🌱 Configuração'!$E$56,MOD('🌱 Configuração'!$B$56+91-'🌱 Configuração'!$D$56,7)=0,INT(('🌱 Configuração'!$B$56+91-'🌱 Configuração'!$D$56)/7)+1=2),"🦠 Trichoderma (3 g/L) — solo",IF(AND('🌱 Configuração'!$B$56+91&gt;='🌱 Configuração'!$D$56,'🌱 Configuração'!$B$56+91&lt;'🌱 Configuração'!$E$56,MOD('🌱 Configuração'!$B$56+91-'🌱 Configuração'!$D$56,7)=0,INT(('🌱 Configuração'!$B$56+91-'🌱 Configuração'!$D$56)/7)+1=3),"🍄 Beauveria bassiana — solo | ⚠️ Umid &lt;45%",IF(AND('🌱 Configuração'!$B$56+91&gt;='🌱 Configuração'!$D$56,'🌱 Configuração'!$B$56+91&lt;'🌱 Configuração'!$E$56,MOD('🌱 Configuração'!$B$56+91-'🌱 Configuração'!$D$56,7)=0,INT(('🌱 Configuração'!$B$56+91-'🌱 Configuração'!$D$56)/7)+1=4),"🦠 Trichoderma — solo | Inspecionar buds",IF(AND('🌱 Configuração'!$B$56+91&gt;='🌱 Configuração'!$D$56,'🌱 Configuração'!$B$56+91&lt;'🌱 Configuração'!$E$56,MOD('🌱 Configuração'!$B$56+91-'🌱 Configuração'!$D$56,7)=0,INT(('🌱 Configuração'!$B$56+91-'🌱 Configuração'!$D$56)/7)+1=5),"🍄 Beauveria + inspeção visual buds",IF(AND('🌱 Configuração'!$B$56+91&gt;='🌱 Configuração'!$D$56,'🌱 Configuração'!$B$56+91&lt;'🌱 Configuração'!$E$56,MOD('🌱 Configuração'!$B$56+91-'🌱 Configuração'!$D$56,7)=0,INT(('🌱 Configuração'!$B$56+91-'🌱 Configuração'!$D$56)/7)+1=6),"🦠 Trichoderma + ⚠️ Verificar mofo","")))))),IF(AND('🌱 Configuração'!$B$56+91&gt;='🌱 Configuração'!$E$56,MOD('🌱 Configuração'!$B$56+91-'🌱 Configuração'!$E$56,7)=0),"🔬 Inspeção final — analisar tricomas","")))))</f>
        <v>🦠 Trichoderma + ⚠️ Verificar mofo</v>
      </c>
      <c r="I97" s="33"/>
    </row>
    <row r="98" spans="1:9" ht="19.5" customHeight="1">
      <c r="A98" s="1"/>
      <c r="B98" s="35">
        <f>IF(93&lt;='🌱 Configuração'!$F$55,93,"")</f>
        <v>93</v>
      </c>
      <c r="C98" s="13">
        <f>IF(93&lt;='🌱 Configuração'!$F$55,'🌱 Configuração'!$B$56+92,"")</f>
        <v>92</v>
      </c>
      <c r="D98" s="36" t="str">
        <f>IF(93&gt;'🌱 Configuração'!$F$55,"",IF('🌱 Configuração'!$B$56+92&lt;'🌱 Configuração'!$C$56,"🌱 Clone",IF('🌱 Configuração'!$B$56+92&lt;'🌱 Configuração'!$D$56,"🌿 Vegetativo",IF('🌱 Configuração'!$B$56+92&lt;'🌱 Configuração'!$E$56,"🌸 Floração","🚿 Flush"))))</f>
        <v>🌸 Floração</v>
      </c>
      <c r="E98" s="15" t="str">
        <f>IF(93&gt;'🌱 Configuração'!$F$55,"",IF('🌱 Configuração'!$B$56+92&lt;'🌱 Configuração'!$C$56,"Clone S"&amp;INT((93-1)/7)+1,IF('🌱 Configuração'!$B$56+92&lt;'🌱 Configuração'!$D$56,"Vega S"&amp;INT(('🌱 Configuração'!$B$56+92-'🌱 Configuração'!$C$56)/7)+1,IF('🌱 Configuração'!$B$56+92&lt;'🌱 Configuração'!$E$56,"Flora S"&amp;INT(('🌱 Configuração'!$B$56+92-'🌱 Configuração'!$D$56)/7)+1,"Flush S"&amp;INT(('🌱 Configuração'!$B$56+92-'🌱 Configuração'!$E$56)/7)+1))))</f>
        <v>Flora S6</v>
      </c>
      <c r="F98" s="14" t="str">
        <f>IF(93&gt;'🌱 Configuração'!$F$55,"",IF('🌱 Configuração'!$B$56+92='🌱 Configuração'!$C$56,"🌿 INÍCIO VEGA — luz 18h/dia",IF('🌱 Configuração'!$B$56+92='🌱 Configuração'!$D$56,"🌸 INÍCIO FLORAÇÃO — mudar 12/12 🔴",IF('🌱 Configuração'!$B$56+92='🌱 Configuração'!$E$56,"🚿 INÍCIO FLUSH — parar nutrição",IF('🌱 Configuração'!$B$56+92='🌱 Configuração'!$F$56-1,"🔬 Véspera da colheita — analisar tricomas",IF('🌱 Configuração'!$B$56+92='🌱 Configuração'!$F$56,"✂️ COLHEITA — Parabéns! 🎉",""))))))</f>
        <v/>
      </c>
      <c r="G98" s="37" t="s">
        <v>428</v>
      </c>
      <c r="H98" s="38" t="str">
        <f>IF(93&gt;'🌱 Configuração'!$F$55,"",IF('🌱 Configuração'!$B$56+92&lt;'🌱 Configuração'!$C$56,IF(93=1,"🌿 Nim (2 mL/L) — foliar leve",IF(93=8,"🍄 Beauveria bassiana — foliar + solo","")),IF('🌱 Configuração'!$B$56+92&lt;'🌱 Configuração'!$D$56,IF(AND('🌱 Configuração'!$B$56+92&gt;='🌱 Configuração'!$C$56,'🌱 Configuração'!$B$56+92&lt;'🌱 Configuração'!$D$56,MOD('🌱 Configuração'!$B$56+92-'🌱 Configuração'!$C$56,7)=0,INT(('🌱 Configuração'!$B$56+92-'🌱 Configuração'!$C$56)/7)+1=1),"🌿 Nim (2 mL/L) — foliar preventivo",IF(AND('🌱 Configuração'!$B$56+92&gt;='🌱 Configuração'!$C$56,'🌱 Configuração'!$B$56+92&lt;'🌱 Configuração'!$D$56,MOD('🌱 Configuração'!$B$56+92-'🌱 Configuração'!$C$56,7)=0,INT(('🌱 Configuração'!$B$56+92-'🌱 Configuração'!$C$56)/7)+1=2),"🍄 Beauveria bassiana — foliar + solo",IF(AND('🌱 Configuração'!$B$56+92&gt;='🌱 Configuração'!$C$56,'🌱 Configuração'!$B$56+92&lt;'🌱 Configuração'!$D$56,MOD('🌱 Configuração'!$B$56+92-'🌱 Configuração'!$C$56,7)=0,INT(('🌱 Configuração'!$B$56+92-'🌱 Configuração'!$C$56)/7)+1=3),"🟡 Calda Sulfocálcica (1%) — foliar",IF(AND('🌱 Configuração'!$B$56+92&gt;='🌱 Configuração'!$C$56,'🌱 Configuração'!$B$56+92&lt;'🌱 Configuração'!$D$56,MOD('🌱 Configuração'!$B$56+92-'🌱 Configuração'!$C$56,7)=0,INT(('🌱 Configuração'!$B$56+92-'🌱 Configuração'!$C$56)/7)+1=4),"🦠 Trichoderma (3 g/L) — solo",IF(AND('🌱 Configuração'!$B$56+92&gt;='🌱 Configuração'!$C$56,'🌱 Configuração'!$B$56+92&lt;'🌱 Configuração'!$D$56,MOD('🌱 Configuração'!$B$56+92-'🌱 Configuração'!$C$56,7)=0,INT(('🌱 Configuração'!$B$56+92-'🌱 Configuração'!$C$56)/7)+1=5),"🔵 Calda Bordalesa (0.5%) — foliar",IF(AND('🌱 Configuração'!$B$56+92&gt;='🌱 Configuração'!$C$56,'🌱 Configuração'!$B$56+92&lt;'🌱 Configuração'!$D$56,MOD('🌱 Configuração'!$B$56+92-'🌱 Configuração'!$C$56,7)=0,INT(('🌱 Configuração'!$B$56+92-'🌱 Configuração'!$C$56)/7)+1=6),"🌿 Nim (2 mL/L) — ⚠️ ÚLTIMA foliar",IF(AND('🌱 Configuração'!$B$56+92&gt;='🌱 Configuração'!$C$56,'🌱 Configuração'!$B$56+92&lt;'🌱 Configuração'!$D$56,MOD('🌱 Configuração'!$B$56+92-'🌱 Configuração'!$C$56,7)=0,INT(('🌱 Configuração'!$B$56+92-'🌱 Configuração'!$C$56)/7)+1=7),"🦠 Trichoderma — solo",IF(AND('🌱 Configuração'!$B$56+92&gt;='🌱 Configuração'!$C$56,'🌱 Configuração'!$B$56+92&lt;'🌱 Configuração'!$D$56,MOD('🌱 Configuração'!$B$56+92-'🌱 Configuração'!$C$56,7)=0,INT(('🌱 Configuração'!$B$56+92-'🌱 Configuração'!$C$56)/7)+1=8),"🍄 Beauveria — solo","")))))))),IF('🌱 Configuração'!$B$56+92&lt;'🌱 Configuração'!$E$56,IF(AND('🌱 Configuração'!$B$56+92&gt;='🌱 Configuração'!$D$56,'🌱 Configuração'!$B$56+92&lt;'🌱 Configuração'!$E$56,MOD('🌱 Configuração'!$B$56+92-'🌱 Configuração'!$D$56,7)=0,INT(('🌱 Configuração'!$B$56+92-'🌱 Configuração'!$D$56)/7)+1=1),"🍄 Beauveria bassiana — SOLO apenas",IF(AND('🌱 Configuração'!$B$56+92&gt;='🌱 Configuração'!$D$56,'🌱 Configuração'!$B$56+92&lt;'🌱 Configuração'!$E$56,MOD('🌱 Configuração'!$B$56+92-'🌱 Configuração'!$D$56,7)=0,INT(('🌱 Configuração'!$B$56+92-'🌱 Configuração'!$D$56)/7)+1=2),"🦠 Trichoderma (3 g/L) — solo",IF(AND('🌱 Configuração'!$B$56+92&gt;='🌱 Configuração'!$D$56,'🌱 Configuração'!$B$56+92&lt;'🌱 Configuração'!$E$56,MOD('🌱 Configuração'!$B$56+92-'🌱 Configuração'!$D$56,7)=0,INT(('🌱 Configuração'!$B$56+92-'🌱 Configuração'!$D$56)/7)+1=3),"🍄 Beauveria bassiana — solo | ⚠️ Umid &lt;45%",IF(AND('🌱 Configuração'!$B$56+92&gt;='🌱 Configuração'!$D$56,'🌱 Configuração'!$B$56+92&lt;'🌱 Configuração'!$E$56,MOD('🌱 Configuração'!$B$56+92-'🌱 Configuração'!$D$56,7)=0,INT(('🌱 Configuração'!$B$56+92-'🌱 Configuração'!$D$56)/7)+1=4),"🦠 Trichoderma — solo | Inspecionar buds",IF(AND('🌱 Configuração'!$B$56+92&gt;='🌱 Configuração'!$D$56,'🌱 Configuração'!$B$56+92&lt;'🌱 Configuração'!$E$56,MOD('🌱 Configuração'!$B$56+92-'🌱 Configuração'!$D$56,7)=0,INT(('🌱 Configuração'!$B$56+92-'🌱 Configuração'!$D$56)/7)+1=5),"🍄 Beauveria + inspeção visual buds",IF(AND('🌱 Configuração'!$B$56+92&gt;='🌱 Configuração'!$D$56,'🌱 Configuração'!$B$56+92&lt;'🌱 Configuração'!$E$56,MOD('🌱 Configuração'!$B$56+92-'🌱 Configuração'!$D$56,7)=0,INT(('🌱 Configuração'!$B$56+92-'🌱 Configuração'!$D$56)/7)+1=6),"🦠 Trichoderma + ⚠️ Verificar mofo","")))))),IF(AND('🌱 Configuração'!$B$56+92&gt;='🌱 Configuração'!$E$56,MOD('🌱 Configuração'!$B$56+92-'🌱 Configuração'!$E$56,7)=0),"🔬 Inspeção final — analisar tricomas","")))))</f>
        <v/>
      </c>
      <c r="I98" s="33"/>
    </row>
    <row r="99" spans="1:9" ht="19.5" customHeight="1">
      <c r="A99" s="1"/>
      <c r="B99" s="39">
        <f>IF(94&lt;='🌱 Configuração'!$F$55,94,"")</f>
        <v>94</v>
      </c>
      <c r="C99" s="40">
        <f>IF(94&lt;='🌱 Configuração'!$F$55,'🌱 Configuração'!$B$56+93,"")</f>
        <v>93</v>
      </c>
      <c r="D99" s="41" t="str">
        <f>IF(94&gt;'🌱 Configuração'!$F$55,"",IF('🌱 Configuração'!$B$56+93&lt;'🌱 Configuração'!$C$56,"🌱 Clone",IF('🌱 Configuração'!$B$56+93&lt;'🌱 Configuração'!$D$56,"🌿 Vegetativo",IF('🌱 Configuração'!$B$56+93&lt;'🌱 Configuração'!$E$56,"🌸 Floração","🚿 Flush"))))</f>
        <v>🌸 Floração</v>
      </c>
      <c r="E99" s="42" t="str">
        <f>IF(94&gt;'🌱 Configuração'!$F$55,"",IF('🌱 Configuração'!$B$56+93&lt;'🌱 Configuração'!$C$56,"Clone S"&amp;INT((94-1)/7)+1,IF('🌱 Configuração'!$B$56+93&lt;'🌱 Configuração'!$D$56,"Vega S"&amp;INT(('🌱 Configuração'!$B$56+93-'🌱 Configuração'!$C$56)/7)+1,IF('🌱 Configuração'!$B$56+93&lt;'🌱 Configuração'!$E$56,"Flora S"&amp;INT(('🌱 Configuração'!$B$56+93-'🌱 Configuração'!$D$56)/7)+1,"Flush S"&amp;INT(('🌱 Configuração'!$B$56+93-'🌱 Configuração'!$E$56)/7)+1))))</f>
        <v>Flora S6</v>
      </c>
      <c r="F99" s="43" t="str">
        <f>IF(94&gt;'🌱 Configuração'!$F$55,"",IF('🌱 Configuração'!$B$56+93='🌱 Configuração'!$C$56,"🌿 INÍCIO VEGA — luz 18h/dia",IF('🌱 Configuração'!$B$56+93='🌱 Configuração'!$D$56,"🌸 INÍCIO FLORAÇÃO — mudar 12/12 🔴",IF('🌱 Configuração'!$B$56+93='🌱 Configuração'!$E$56,"🚿 INÍCIO FLUSH — parar nutrição",IF('🌱 Configuração'!$B$56+93='🌱 Configuração'!$F$56-1,"🔬 Véspera da colheita — analisar tricomas",IF('🌱 Configuração'!$B$56+93='🌱 Configuração'!$F$56,"✂️ COLHEITA — Parabéns! 🎉",""))))))</f>
        <v/>
      </c>
      <c r="G99" s="44" t="s">
        <v>428</v>
      </c>
      <c r="H99" s="45" t="str">
        <f>IF(94&gt;'🌱 Configuração'!$F$55,"",IF('🌱 Configuração'!$B$56+93&lt;'🌱 Configuração'!$C$56,IF(94=1,"🌿 Nim (2 mL/L) — foliar leve",IF(94=8,"🍄 Beauveria bassiana — foliar + solo","")),IF('🌱 Configuração'!$B$56+93&lt;'🌱 Configuração'!$D$56,IF(AND('🌱 Configuração'!$B$56+93&gt;='🌱 Configuração'!$C$56,'🌱 Configuração'!$B$56+93&lt;'🌱 Configuração'!$D$56,MOD('🌱 Configuração'!$B$56+93-'🌱 Configuração'!$C$56,7)=0,INT(('🌱 Configuração'!$B$56+93-'🌱 Configuração'!$C$56)/7)+1=1),"🌿 Nim (2 mL/L) — foliar preventivo",IF(AND('🌱 Configuração'!$B$56+93&gt;='🌱 Configuração'!$C$56,'🌱 Configuração'!$B$56+93&lt;'🌱 Configuração'!$D$56,MOD('🌱 Configuração'!$B$56+93-'🌱 Configuração'!$C$56,7)=0,INT(('🌱 Configuração'!$B$56+93-'🌱 Configuração'!$C$56)/7)+1=2),"🍄 Beauveria bassiana — foliar + solo",IF(AND('🌱 Configuração'!$B$56+93&gt;='🌱 Configuração'!$C$56,'🌱 Configuração'!$B$56+93&lt;'🌱 Configuração'!$D$56,MOD('🌱 Configuração'!$B$56+93-'🌱 Configuração'!$C$56,7)=0,INT(('🌱 Configuração'!$B$56+93-'🌱 Configuração'!$C$56)/7)+1=3),"🟡 Calda Sulfocálcica (1%) — foliar",IF(AND('🌱 Configuração'!$B$56+93&gt;='🌱 Configuração'!$C$56,'🌱 Configuração'!$B$56+93&lt;'🌱 Configuração'!$D$56,MOD('🌱 Configuração'!$B$56+93-'🌱 Configuração'!$C$56,7)=0,INT(('🌱 Configuração'!$B$56+93-'🌱 Configuração'!$C$56)/7)+1=4),"🦠 Trichoderma (3 g/L) — solo",IF(AND('🌱 Configuração'!$B$56+93&gt;='🌱 Configuração'!$C$56,'🌱 Configuração'!$B$56+93&lt;'🌱 Configuração'!$D$56,MOD('🌱 Configuração'!$B$56+93-'🌱 Configuração'!$C$56,7)=0,INT(('🌱 Configuração'!$B$56+93-'🌱 Configuração'!$C$56)/7)+1=5),"🔵 Calda Bordalesa (0.5%) — foliar",IF(AND('🌱 Configuração'!$B$56+93&gt;='🌱 Configuração'!$C$56,'🌱 Configuração'!$B$56+93&lt;'🌱 Configuração'!$D$56,MOD('🌱 Configuração'!$B$56+93-'🌱 Configuração'!$C$56,7)=0,INT(('🌱 Configuração'!$B$56+93-'🌱 Configuração'!$C$56)/7)+1=6),"🌿 Nim (2 mL/L) — ⚠️ ÚLTIMA foliar",IF(AND('🌱 Configuração'!$B$56+93&gt;='🌱 Configuração'!$C$56,'🌱 Configuração'!$B$56+93&lt;'🌱 Configuração'!$D$56,MOD('🌱 Configuração'!$B$56+93-'🌱 Configuração'!$C$56,7)=0,INT(('🌱 Configuração'!$B$56+93-'🌱 Configuração'!$C$56)/7)+1=7),"🦠 Trichoderma — solo",IF(AND('🌱 Configuração'!$B$56+93&gt;='🌱 Configuração'!$C$56,'🌱 Configuração'!$B$56+93&lt;'🌱 Configuração'!$D$56,MOD('🌱 Configuração'!$B$56+93-'🌱 Configuração'!$C$56,7)=0,INT(('🌱 Configuração'!$B$56+93-'🌱 Configuração'!$C$56)/7)+1=8),"🍄 Beauveria — solo","")))))))),IF('🌱 Configuração'!$B$56+93&lt;'🌱 Configuração'!$E$56,IF(AND('🌱 Configuração'!$B$56+93&gt;='🌱 Configuração'!$D$56,'🌱 Configuração'!$B$56+93&lt;'🌱 Configuração'!$E$56,MOD('🌱 Configuração'!$B$56+93-'🌱 Configuração'!$D$56,7)=0,INT(('🌱 Configuração'!$B$56+93-'🌱 Configuração'!$D$56)/7)+1=1),"🍄 Beauveria bassiana — SOLO apenas",IF(AND('🌱 Configuração'!$B$56+93&gt;='🌱 Configuração'!$D$56,'🌱 Configuração'!$B$56+93&lt;'🌱 Configuração'!$E$56,MOD('🌱 Configuração'!$B$56+93-'🌱 Configuração'!$D$56,7)=0,INT(('🌱 Configuração'!$B$56+93-'🌱 Configuração'!$D$56)/7)+1=2),"🦠 Trichoderma (3 g/L) — solo",IF(AND('🌱 Configuração'!$B$56+93&gt;='🌱 Configuração'!$D$56,'🌱 Configuração'!$B$56+93&lt;'🌱 Configuração'!$E$56,MOD('🌱 Configuração'!$B$56+93-'🌱 Configuração'!$D$56,7)=0,INT(('🌱 Configuração'!$B$56+93-'🌱 Configuração'!$D$56)/7)+1=3),"🍄 Beauveria bassiana — solo | ⚠️ Umid &lt;45%",IF(AND('🌱 Configuração'!$B$56+93&gt;='🌱 Configuração'!$D$56,'🌱 Configuração'!$B$56+93&lt;'🌱 Configuração'!$E$56,MOD('🌱 Configuração'!$B$56+93-'🌱 Configuração'!$D$56,7)=0,INT(('🌱 Configuração'!$B$56+93-'🌱 Configuração'!$D$56)/7)+1=4),"🦠 Trichoderma — solo | Inspecionar buds",IF(AND('🌱 Configuração'!$B$56+93&gt;='🌱 Configuração'!$D$56,'🌱 Configuração'!$B$56+93&lt;'🌱 Configuração'!$E$56,MOD('🌱 Configuração'!$B$56+93-'🌱 Configuração'!$D$56,7)=0,INT(('🌱 Configuração'!$B$56+93-'🌱 Configuração'!$D$56)/7)+1=5),"🍄 Beauveria + inspeção visual buds",IF(AND('🌱 Configuração'!$B$56+93&gt;='🌱 Configuração'!$D$56,'🌱 Configuração'!$B$56+93&lt;'🌱 Configuração'!$E$56,MOD('🌱 Configuração'!$B$56+93-'🌱 Configuração'!$D$56,7)=0,INT(('🌱 Configuração'!$B$56+93-'🌱 Configuração'!$D$56)/7)+1=6),"🦠 Trichoderma + ⚠️ Verificar mofo","")))))),IF(AND('🌱 Configuração'!$B$56+93&gt;='🌱 Configuração'!$E$56,MOD('🌱 Configuração'!$B$56+93-'🌱 Configuração'!$E$56,7)=0),"🔬 Inspeção final — analisar tricomas","")))))</f>
        <v/>
      </c>
      <c r="I99" s="33"/>
    </row>
    <row r="100" spans="1:9" ht="19.5" customHeight="1">
      <c r="A100" s="1"/>
      <c r="B100" s="35">
        <f>IF(95&lt;='🌱 Configuração'!$F$55,95,"")</f>
        <v>95</v>
      </c>
      <c r="C100" s="13">
        <f>IF(95&lt;='🌱 Configuração'!$F$55,'🌱 Configuração'!$B$56+94,"")</f>
        <v>94</v>
      </c>
      <c r="D100" s="36" t="str">
        <f>IF(95&gt;'🌱 Configuração'!$F$55,"",IF('🌱 Configuração'!$B$56+94&lt;'🌱 Configuração'!$C$56,"🌱 Clone",IF('🌱 Configuração'!$B$56+94&lt;'🌱 Configuração'!$D$56,"🌿 Vegetativo",IF('🌱 Configuração'!$B$56+94&lt;'🌱 Configuração'!$E$56,"🌸 Floração","🚿 Flush"))))</f>
        <v>🌸 Floração</v>
      </c>
      <c r="E100" s="15" t="str">
        <f>IF(95&gt;'🌱 Configuração'!$F$55,"",IF('🌱 Configuração'!$B$56+94&lt;'🌱 Configuração'!$C$56,"Clone S"&amp;INT((95-1)/7)+1,IF('🌱 Configuração'!$B$56+94&lt;'🌱 Configuração'!$D$56,"Vega S"&amp;INT(('🌱 Configuração'!$B$56+94-'🌱 Configuração'!$C$56)/7)+1,IF('🌱 Configuração'!$B$56+94&lt;'🌱 Configuração'!$E$56,"Flora S"&amp;INT(('🌱 Configuração'!$B$56+94-'🌱 Configuração'!$D$56)/7)+1,"Flush S"&amp;INT(('🌱 Configuração'!$B$56+94-'🌱 Configuração'!$E$56)/7)+1))))</f>
        <v>Flora S6</v>
      </c>
      <c r="F100" s="14" t="str">
        <f>IF(95&gt;'🌱 Configuração'!$F$55,"",IF('🌱 Configuração'!$B$56+94='🌱 Configuração'!$C$56,"🌿 INÍCIO VEGA — luz 18h/dia",IF('🌱 Configuração'!$B$56+94='🌱 Configuração'!$D$56,"🌸 INÍCIO FLORAÇÃO — mudar 12/12 🔴",IF('🌱 Configuração'!$B$56+94='🌱 Configuração'!$E$56,"🚿 INÍCIO FLUSH — parar nutrição",IF('🌱 Configuração'!$B$56+94='🌱 Configuração'!$F$56-1,"🔬 Véspera da colheita — analisar tricomas",IF('🌱 Configuração'!$B$56+94='🌱 Configuração'!$F$56,"✂️ COLHEITA — Parabéns! 🎉",""))))))</f>
        <v/>
      </c>
      <c r="G100" s="37" t="s">
        <v>428</v>
      </c>
      <c r="H100" s="38" t="str">
        <f>IF(95&gt;'🌱 Configuração'!$F$55,"",IF('🌱 Configuração'!$B$56+94&lt;'🌱 Configuração'!$C$56,IF(95=1,"🌿 Nim (2 mL/L) — foliar leve",IF(95=8,"🍄 Beauveria bassiana — foliar + solo","")),IF('🌱 Configuração'!$B$56+94&lt;'🌱 Configuração'!$D$56,IF(AND('🌱 Configuração'!$B$56+94&gt;='🌱 Configuração'!$C$56,'🌱 Configuração'!$B$56+94&lt;'🌱 Configuração'!$D$56,MOD('🌱 Configuração'!$B$56+94-'🌱 Configuração'!$C$56,7)=0,INT(('🌱 Configuração'!$B$56+94-'🌱 Configuração'!$C$56)/7)+1=1),"🌿 Nim (2 mL/L) — foliar preventivo",IF(AND('🌱 Configuração'!$B$56+94&gt;='🌱 Configuração'!$C$56,'🌱 Configuração'!$B$56+94&lt;'🌱 Configuração'!$D$56,MOD('🌱 Configuração'!$B$56+94-'🌱 Configuração'!$C$56,7)=0,INT(('🌱 Configuração'!$B$56+94-'🌱 Configuração'!$C$56)/7)+1=2),"🍄 Beauveria bassiana — foliar + solo",IF(AND('🌱 Configuração'!$B$56+94&gt;='🌱 Configuração'!$C$56,'🌱 Configuração'!$B$56+94&lt;'🌱 Configuração'!$D$56,MOD('🌱 Configuração'!$B$56+94-'🌱 Configuração'!$C$56,7)=0,INT(('🌱 Configuração'!$B$56+94-'🌱 Configuração'!$C$56)/7)+1=3),"🟡 Calda Sulfocálcica (1%) — foliar",IF(AND('🌱 Configuração'!$B$56+94&gt;='🌱 Configuração'!$C$56,'🌱 Configuração'!$B$56+94&lt;'🌱 Configuração'!$D$56,MOD('🌱 Configuração'!$B$56+94-'🌱 Configuração'!$C$56,7)=0,INT(('🌱 Configuração'!$B$56+94-'🌱 Configuração'!$C$56)/7)+1=4),"🦠 Trichoderma (3 g/L) — solo",IF(AND('🌱 Configuração'!$B$56+94&gt;='🌱 Configuração'!$C$56,'🌱 Configuração'!$B$56+94&lt;'🌱 Configuração'!$D$56,MOD('🌱 Configuração'!$B$56+94-'🌱 Configuração'!$C$56,7)=0,INT(('🌱 Configuração'!$B$56+94-'🌱 Configuração'!$C$56)/7)+1=5),"🔵 Calda Bordalesa (0.5%) — foliar",IF(AND('🌱 Configuração'!$B$56+94&gt;='🌱 Configuração'!$C$56,'🌱 Configuração'!$B$56+94&lt;'🌱 Configuração'!$D$56,MOD('🌱 Configuração'!$B$56+94-'🌱 Configuração'!$C$56,7)=0,INT(('🌱 Configuração'!$B$56+94-'🌱 Configuração'!$C$56)/7)+1=6),"🌿 Nim (2 mL/L) — ⚠️ ÚLTIMA foliar",IF(AND('🌱 Configuração'!$B$56+94&gt;='🌱 Configuração'!$C$56,'🌱 Configuração'!$B$56+94&lt;'🌱 Configuração'!$D$56,MOD('🌱 Configuração'!$B$56+94-'🌱 Configuração'!$C$56,7)=0,INT(('🌱 Configuração'!$B$56+94-'🌱 Configuração'!$C$56)/7)+1=7),"🦠 Trichoderma — solo",IF(AND('🌱 Configuração'!$B$56+94&gt;='🌱 Configuração'!$C$56,'🌱 Configuração'!$B$56+94&lt;'🌱 Configuração'!$D$56,MOD('🌱 Configuração'!$B$56+94-'🌱 Configuração'!$C$56,7)=0,INT(('🌱 Configuração'!$B$56+94-'🌱 Configuração'!$C$56)/7)+1=8),"🍄 Beauveria — solo","")))))))),IF('🌱 Configuração'!$B$56+94&lt;'🌱 Configuração'!$E$56,IF(AND('🌱 Configuração'!$B$56+94&gt;='🌱 Configuração'!$D$56,'🌱 Configuração'!$B$56+94&lt;'🌱 Configuração'!$E$56,MOD('🌱 Configuração'!$B$56+94-'🌱 Configuração'!$D$56,7)=0,INT(('🌱 Configuração'!$B$56+94-'🌱 Configuração'!$D$56)/7)+1=1),"🍄 Beauveria bassiana — SOLO apenas",IF(AND('🌱 Configuração'!$B$56+94&gt;='🌱 Configuração'!$D$56,'🌱 Configuração'!$B$56+94&lt;'🌱 Configuração'!$E$56,MOD('🌱 Configuração'!$B$56+94-'🌱 Configuração'!$D$56,7)=0,INT(('🌱 Configuração'!$B$56+94-'🌱 Configuração'!$D$56)/7)+1=2),"🦠 Trichoderma (3 g/L) — solo",IF(AND('🌱 Configuração'!$B$56+94&gt;='🌱 Configuração'!$D$56,'🌱 Configuração'!$B$56+94&lt;'🌱 Configuração'!$E$56,MOD('🌱 Configuração'!$B$56+94-'🌱 Configuração'!$D$56,7)=0,INT(('🌱 Configuração'!$B$56+94-'🌱 Configuração'!$D$56)/7)+1=3),"🍄 Beauveria bassiana — solo | ⚠️ Umid &lt;45%",IF(AND('🌱 Configuração'!$B$56+94&gt;='🌱 Configuração'!$D$56,'🌱 Configuração'!$B$56+94&lt;'🌱 Configuração'!$E$56,MOD('🌱 Configuração'!$B$56+94-'🌱 Configuração'!$D$56,7)=0,INT(('🌱 Configuração'!$B$56+94-'🌱 Configuração'!$D$56)/7)+1=4),"🦠 Trichoderma — solo | Inspecionar buds",IF(AND('🌱 Configuração'!$B$56+94&gt;='🌱 Configuração'!$D$56,'🌱 Configuração'!$B$56+94&lt;'🌱 Configuração'!$E$56,MOD('🌱 Configuração'!$B$56+94-'🌱 Configuração'!$D$56,7)=0,INT(('🌱 Configuração'!$B$56+94-'🌱 Configuração'!$D$56)/7)+1=5),"🍄 Beauveria + inspeção visual buds",IF(AND('🌱 Configuração'!$B$56+94&gt;='🌱 Configuração'!$D$56,'🌱 Configuração'!$B$56+94&lt;'🌱 Configuração'!$E$56,MOD('🌱 Configuração'!$B$56+94-'🌱 Configuração'!$D$56,7)=0,INT(('🌱 Configuração'!$B$56+94-'🌱 Configuração'!$D$56)/7)+1=6),"🦠 Trichoderma + ⚠️ Verificar mofo","")))))),IF(AND('🌱 Configuração'!$B$56+94&gt;='🌱 Configuração'!$E$56,MOD('🌱 Configuração'!$B$56+94-'🌱 Configuração'!$E$56,7)=0),"🔬 Inspeção final — analisar tricomas","")))))</f>
        <v/>
      </c>
      <c r="I100" s="33"/>
    </row>
    <row r="101" spans="1:9" ht="19.5" customHeight="1">
      <c r="A101" s="1"/>
      <c r="B101" s="39">
        <f>IF(96&lt;='🌱 Configuração'!$F$55,96,"")</f>
        <v>96</v>
      </c>
      <c r="C101" s="40">
        <f>IF(96&lt;='🌱 Configuração'!$F$55,'🌱 Configuração'!$B$56+95,"")</f>
        <v>95</v>
      </c>
      <c r="D101" s="41" t="str">
        <f>IF(96&gt;'🌱 Configuração'!$F$55,"",IF('🌱 Configuração'!$B$56+95&lt;'🌱 Configuração'!$C$56,"🌱 Clone",IF('🌱 Configuração'!$B$56+95&lt;'🌱 Configuração'!$D$56,"🌿 Vegetativo",IF('🌱 Configuração'!$B$56+95&lt;'🌱 Configuração'!$E$56,"🌸 Floração","🚿 Flush"))))</f>
        <v>🌸 Floração</v>
      </c>
      <c r="E101" s="42" t="str">
        <f>IF(96&gt;'🌱 Configuração'!$F$55,"",IF('🌱 Configuração'!$B$56+95&lt;'🌱 Configuração'!$C$56,"Clone S"&amp;INT((96-1)/7)+1,IF('🌱 Configuração'!$B$56+95&lt;'🌱 Configuração'!$D$56,"Vega S"&amp;INT(('🌱 Configuração'!$B$56+95-'🌱 Configuração'!$C$56)/7)+1,IF('🌱 Configuração'!$B$56+95&lt;'🌱 Configuração'!$E$56,"Flora S"&amp;INT(('🌱 Configuração'!$B$56+95-'🌱 Configuração'!$D$56)/7)+1,"Flush S"&amp;INT(('🌱 Configuração'!$B$56+95-'🌱 Configuração'!$E$56)/7)+1))))</f>
        <v>Flora S6</v>
      </c>
      <c r="F101" s="43" t="str">
        <f>IF(96&gt;'🌱 Configuração'!$F$55,"",IF('🌱 Configuração'!$B$56+95='🌱 Configuração'!$C$56,"🌿 INÍCIO VEGA — luz 18h/dia",IF('🌱 Configuração'!$B$56+95='🌱 Configuração'!$D$56,"🌸 INÍCIO FLORAÇÃO — mudar 12/12 🔴",IF('🌱 Configuração'!$B$56+95='🌱 Configuração'!$E$56,"🚿 INÍCIO FLUSH — parar nutrição",IF('🌱 Configuração'!$B$56+95='🌱 Configuração'!$F$56-1,"🔬 Véspera da colheita — analisar tricomas",IF('🌱 Configuração'!$B$56+95='🌱 Configuração'!$F$56,"✂️ COLHEITA — Parabéns! 🎉",""))))))</f>
        <v/>
      </c>
      <c r="G101" s="44" t="s">
        <v>428</v>
      </c>
      <c r="H101" s="45" t="str">
        <f>IF(96&gt;'🌱 Configuração'!$F$55,"",IF('🌱 Configuração'!$B$56+95&lt;'🌱 Configuração'!$C$56,IF(96=1,"🌿 Nim (2 mL/L) — foliar leve",IF(96=8,"🍄 Beauveria bassiana — foliar + solo","")),IF('🌱 Configuração'!$B$56+95&lt;'🌱 Configuração'!$D$56,IF(AND('🌱 Configuração'!$B$56+95&gt;='🌱 Configuração'!$C$56,'🌱 Configuração'!$B$56+95&lt;'🌱 Configuração'!$D$56,MOD('🌱 Configuração'!$B$56+95-'🌱 Configuração'!$C$56,7)=0,INT(('🌱 Configuração'!$B$56+95-'🌱 Configuração'!$C$56)/7)+1=1),"🌿 Nim (2 mL/L) — foliar preventivo",IF(AND('🌱 Configuração'!$B$56+95&gt;='🌱 Configuração'!$C$56,'🌱 Configuração'!$B$56+95&lt;'🌱 Configuração'!$D$56,MOD('🌱 Configuração'!$B$56+95-'🌱 Configuração'!$C$56,7)=0,INT(('🌱 Configuração'!$B$56+95-'🌱 Configuração'!$C$56)/7)+1=2),"🍄 Beauveria bassiana — foliar + solo",IF(AND('🌱 Configuração'!$B$56+95&gt;='🌱 Configuração'!$C$56,'🌱 Configuração'!$B$56+95&lt;'🌱 Configuração'!$D$56,MOD('🌱 Configuração'!$B$56+95-'🌱 Configuração'!$C$56,7)=0,INT(('🌱 Configuração'!$B$56+95-'🌱 Configuração'!$C$56)/7)+1=3),"🟡 Calda Sulfocálcica (1%) — foliar",IF(AND('🌱 Configuração'!$B$56+95&gt;='🌱 Configuração'!$C$56,'🌱 Configuração'!$B$56+95&lt;'🌱 Configuração'!$D$56,MOD('🌱 Configuração'!$B$56+95-'🌱 Configuração'!$C$56,7)=0,INT(('🌱 Configuração'!$B$56+95-'🌱 Configuração'!$C$56)/7)+1=4),"🦠 Trichoderma (3 g/L) — solo",IF(AND('🌱 Configuração'!$B$56+95&gt;='🌱 Configuração'!$C$56,'🌱 Configuração'!$B$56+95&lt;'🌱 Configuração'!$D$56,MOD('🌱 Configuração'!$B$56+95-'🌱 Configuração'!$C$56,7)=0,INT(('🌱 Configuração'!$B$56+95-'🌱 Configuração'!$C$56)/7)+1=5),"🔵 Calda Bordalesa (0.5%) — foliar",IF(AND('🌱 Configuração'!$B$56+95&gt;='🌱 Configuração'!$C$56,'🌱 Configuração'!$B$56+95&lt;'🌱 Configuração'!$D$56,MOD('🌱 Configuração'!$B$56+95-'🌱 Configuração'!$C$56,7)=0,INT(('🌱 Configuração'!$B$56+95-'🌱 Configuração'!$C$56)/7)+1=6),"🌿 Nim (2 mL/L) — ⚠️ ÚLTIMA foliar",IF(AND('🌱 Configuração'!$B$56+95&gt;='🌱 Configuração'!$C$56,'🌱 Configuração'!$B$56+95&lt;'🌱 Configuração'!$D$56,MOD('🌱 Configuração'!$B$56+95-'🌱 Configuração'!$C$56,7)=0,INT(('🌱 Configuração'!$B$56+95-'🌱 Configuração'!$C$56)/7)+1=7),"🦠 Trichoderma — solo",IF(AND('🌱 Configuração'!$B$56+95&gt;='🌱 Configuração'!$C$56,'🌱 Configuração'!$B$56+95&lt;'🌱 Configuração'!$D$56,MOD('🌱 Configuração'!$B$56+95-'🌱 Configuração'!$C$56,7)=0,INT(('🌱 Configuração'!$B$56+95-'🌱 Configuração'!$C$56)/7)+1=8),"🍄 Beauveria — solo","")))))))),IF('🌱 Configuração'!$B$56+95&lt;'🌱 Configuração'!$E$56,IF(AND('🌱 Configuração'!$B$56+95&gt;='🌱 Configuração'!$D$56,'🌱 Configuração'!$B$56+95&lt;'🌱 Configuração'!$E$56,MOD('🌱 Configuração'!$B$56+95-'🌱 Configuração'!$D$56,7)=0,INT(('🌱 Configuração'!$B$56+95-'🌱 Configuração'!$D$56)/7)+1=1),"🍄 Beauveria bassiana — SOLO apenas",IF(AND('🌱 Configuração'!$B$56+95&gt;='🌱 Configuração'!$D$56,'🌱 Configuração'!$B$56+95&lt;'🌱 Configuração'!$E$56,MOD('🌱 Configuração'!$B$56+95-'🌱 Configuração'!$D$56,7)=0,INT(('🌱 Configuração'!$B$56+95-'🌱 Configuração'!$D$56)/7)+1=2),"🦠 Trichoderma (3 g/L) — solo",IF(AND('🌱 Configuração'!$B$56+95&gt;='🌱 Configuração'!$D$56,'🌱 Configuração'!$B$56+95&lt;'🌱 Configuração'!$E$56,MOD('🌱 Configuração'!$B$56+95-'🌱 Configuração'!$D$56,7)=0,INT(('🌱 Configuração'!$B$56+95-'🌱 Configuração'!$D$56)/7)+1=3),"🍄 Beauveria bassiana — solo | ⚠️ Umid &lt;45%",IF(AND('🌱 Configuração'!$B$56+95&gt;='🌱 Configuração'!$D$56,'🌱 Configuração'!$B$56+95&lt;'🌱 Configuração'!$E$56,MOD('🌱 Configuração'!$B$56+95-'🌱 Configuração'!$D$56,7)=0,INT(('🌱 Configuração'!$B$56+95-'🌱 Configuração'!$D$56)/7)+1=4),"🦠 Trichoderma — solo | Inspecionar buds",IF(AND('🌱 Configuração'!$B$56+95&gt;='🌱 Configuração'!$D$56,'🌱 Configuração'!$B$56+95&lt;'🌱 Configuração'!$E$56,MOD('🌱 Configuração'!$B$56+95-'🌱 Configuração'!$D$56,7)=0,INT(('🌱 Configuração'!$B$56+95-'🌱 Configuração'!$D$56)/7)+1=5),"🍄 Beauveria + inspeção visual buds",IF(AND('🌱 Configuração'!$B$56+95&gt;='🌱 Configuração'!$D$56,'🌱 Configuração'!$B$56+95&lt;'🌱 Configuração'!$E$56,MOD('🌱 Configuração'!$B$56+95-'🌱 Configuração'!$D$56,7)=0,INT(('🌱 Configuração'!$B$56+95-'🌱 Configuração'!$D$56)/7)+1=6),"🦠 Trichoderma + ⚠️ Verificar mofo","")))))),IF(AND('🌱 Configuração'!$B$56+95&gt;='🌱 Configuração'!$E$56,MOD('🌱 Configuração'!$B$56+95-'🌱 Configuração'!$E$56,7)=0),"🔬 Inspeção final — analisar tricomas","")))))</f>
        <v/>
      </c>
      <c r="I101" s="33"/>
    </row>
    <row r="102" spans="1:9" ht="19.5" customHeight="1">
      <c r="A102" s="1"/>
      <c r="B102" s="35">
        <f>IF(97&lt;='🌱 Configuração'!$F$55,97,"")</f>
        <v>97</v>
      </c>
      <c r="C102" s="13">
        <f>IF(97&lt;='🌱 Configuração'!$F$55,'🌱 Configuração'!$B$56+96,"")</f>
        <v>96</v>
      </c>
      <c r="D102" s="36" t="str">
        <f>IF(97&gt;'🌱 Configuração'!$F$55,"",IF('🌱 Configuração'!$B$56+96&lt;'🌱 Configuração'!$C$56,"🌱 Clone",IF('🌱 Configuração'!$B$56+96&lt;'🌱 Configuração'!$D$56,"🌿 Vegetativo",IF('🌱 Configuração'!$B$56+96&lt;'🌱 Configuração'!$E$56,"🌸 Floração","🚿 Flush"))))</f>
        <v>🌸 Floração</v>
      </c>
      <c r="E102" s="15" t="str">
        <f>IF(97&gt;'🌱 Configuração'!$F$55,"",IF('🌱 Configuração'!$B$56+96&lt;'🌱 Configuração'!$C$56,"Clone S"&amp;INT((97-1)/7)+1,IF('🌱 Configuração'!$B$56+96&lt;'🌱 Configuração'!$D$56,"Vega S"&amp;INT(('🌱 Configuração'!$B$56+96-'🌱 Configuração'!$C$56)/7)+1,IF('🌱 Configuração'!$B$56+96&lt;'🌱 Configuração'!$E$56,"Flora S"&amp;INT(('🌱 Configuração'!$B$56+96-'🌱 Configuração'!$D$56)/7)+1,"Flush S"&amp;INT(('🌱 Configuração'!$B$56+96-'🌱 Configuração'!$E$56)/7)+1))))</f>
        <v>Flora S6</v>
      </c>
      <c r="F102" s="14" t="str">
        <f>IF(97&gt;'🌱 Configuração'!$F$55,"",IF('🌱 Configuração'!$B$56+96='🌱 Configuração'!$C$56,"🌿 INÍCIO VEGA — luz 18h/dia",IF('🌱 Configuração'!$B$56+96='🌱 Configuração'!$D$56,"🌸 INÍCIO FLORAÇÃO — mudar 12/12 🔴",IF('🌱 Configuração'!$B$56+96='🌱 Configuração'!$E$56,"🚿 INÍCIO FLUSH — parar nutrição",IF('🌱 Configuração'!$B$56+96='🌱 Configuração'!$F$56-1,"🔬 Véspera da colheita — analisar tricomas",IF('🌱 Configuração'!$B$56+96='🌱 Configuração'!$F$56,"✂️ COLHEITA — Parabéns! 🎉",""))))))</f>
        <v/>
      </c>
      <c r="G102" s="37" t="s">
        <v>428</v>
      </c>
      <c r="H102" s="38" t="str">
        <f>IF(97&gt;'🌱 Configuração'!$F$55,"",IF('🌱 Configuração'!$B$56+96&lt;'🌱 Configuração'!$C$56,IF(97=1,"🌿 Nim (2 mL/L) — foliar leve",IF(97=8,"🍄 Beauveria bassiana — foliar + solo","")),IF('🌱 Configuração'!$B$56+96&lt;'🌱 Configuração'!$D$56,IF(AND('🌱 Configuração'!$B$56+96&gt;='🌱 Configuração'!$C$56,'🌱 Configuração'!$B$56+96&lt;'🌱 Configuração'!$D$56,MOD('🌱 Configuração'!$B$56+96-'🌱 Configuração'!$C$56,7)=0,INT(('🌱 Configuração'!$B$56+96-'🌱 Configuração'!$C$56)/7)+1=1),"🌿 Nim (2 mL/L) — foliar preventivo",IF(AND('🌱 Configuração'!$B$56+96&gt;='🌱 Configuração'!$C$56,'🌱 Configuração'!$B$56+96&lt;'🌱 Configuração'!$D$56,MOD('🌱 Configuração'!$B$56+96-'🌱 Configuração'!$C$56,7)=0,INT(('🌱 Configuração'!$B$56+96-'🌱 Configuração'!$C$56)/7)+1=2),"🍄 Beauveria bassiana — foliar + solo",IF(AND('🌱 Configuração'!$B$56+96&gt;='🌱 Configuração'!$C$56,'🌱 Configuração'!$B$56+96&lt;'🌱 Configuração'!$D$56,MOD('🌱 Configuração'!$B$56+96-'🌱 Configuração'!$C$56,7)=0,INT(('🌱 Configuração'!$B$56+96-'🌱 Configuração'!$C$56)/7)+1=3),"🟡 Calda Sulfocálcica (1%) — foliar",IF(AND('🌱 Configuração'!$B$56+96&gt;='🌱 Configuração'!$C$56,'🌱 Configuração'!$B$56+96&lt;'🌱 Configuração'!$D$56,MOD('🌱 Configuração'!$B$56+96-'🌱 Configuração'!$C$56,7)=0,INT(('🌱 Configuração'!$B$56+96-'🌱 Configuração'!$C$56)/7)+1=4),"🦠 Trichoderma (3 g/L) — solo",IF(AND('🌱 Configuração'!$B$56+96&gt;='🌱 Configuração'!$C$56,'🌱 Configuração'!$B$56+96&lt;'🌱 Configuração'!$D$56,MOD('🌱 Configuração'!$B$56+96-'🌱 Configuração'!$C$56,7)=0,INT(('🌱 Configuração'!$B$56+96-'🌱 Configuração'!$C$56)/7)+1=5),"🔵 Calda Bordalesa (0.5%) — foliar",IF(AND('🌱 Configuração'!$B$56+96&gt;='🌱 Configuração'!$C$56,'🌱 Configuração'!$B$56+96&lt;'🌱 Configuração'!$D$56,MOD('🌱 Configuração'!$B$56+96-'🌱 Configuração'!$C$56,7)=0,INT(('🌱 Configuração'!$B$56+96-'🌱 Configuração'!$C$56)/7)+1=6),"🌿 Nim (2 mL/L) — ⚠️ ÚLTIMA foliar",IF(AND('🌱 Configuração'!$B$56+96&gt;='🌱 Configuração'!$C$56,'🌱 Configuração'!$B$56+96&lt;'🌱 Configuração'!$D$56,MOD('🌱 Configuração'!$B$56+96-'🌱 Configuração'!$C$56,7)=0,INT(('🌱 Configuração'!$B$56+96-'🌱 Configuração'!$C$56)/7)+1=7),"🦠 Trichoderma — solo",IF(AND('🌱 Configuração'!$B$56+96&gt;='🌱 Configuração'!$C$56,'🌱 Configuração'!$B$56+96&lt;'🌱 Configuração'!$D$56,MOD('🌱 Configuração'!$B$56+96-'🌱 Configuração'!$C$56,7)=0,INT(('🌱 Configuração'!$B$56+96-'🌱 Configuração'!$C$56)/7)+1=8),"🍄 Beauveria — solo","")))))))),IF('🌱 Configuração'!$B$56+96&lt;'🌱 Configuração'!$E$56,IF(AND('🌱 Configuração'!$B$56+96&gt;='🌱 Configuração'!$D$56,'🌱 Configuração'!$B$56+96&lt;'🌱 Configuração'!$E$56,MOD('🌱 Configuração'!$B$56+96-'🌱 Configuração'!$D$56,7)=0,INT(('🌱 Configuração'!$B$56+96-'🌱 Configuração'!$D$56)/7)+1=1),"🍄 Beauveria bassiana — SOLO apenas",IF(AND('🌱 Configuração'!$B$56+96&gt;='🌱 Configuração'!$D$56,'🌱 Configuração'!$B$56+96&lt;'🌱 Configuração'!$E$56,MOD('🌱 Configuração'!$B$56+96-'🌱 Configuração'!$D$56,7)=0,INT(('🌱 Configuração'!$B$56+96-'🌱 Configuração'!$D$56)/7)+1=2),"🦠 Trichoderma (3 g/L) — solo",IF(AND('🌱 Configuração'!$B$56+96&gt;='🌱 Configuração'!$D$56,'🌱 Configuração'!$B$56+96&lt;'🌱 Configuração'!$E$56,MOD('🌱 Configuração'!$B$56+96-'🌱 Configuração'!$D$56,7)=0,INT(('🌱 Configuração'!$B$56+96-'🌱 Configuração'!$D$56)/7)+1=3),"🍄 Beauveria bassiana — solo | ⚠️ Umid &lt;45%",IF(AND('🌱 Configuração'!$B$56+96&gt;='🌱 Configuração'!$D$56,'🌱 Configuração'!$B$56+96&lt;'🌱 Configuração'!$E$56,MOD('🌱 Configuração'!$B$56+96-'🌱 Configuração'!$D$56,7)=0,INT(('🌱 Configuração'!$B$56+96-'🌱 Configuração'!$D$56)/7)+1=4),"🦠 Trichoderma — solo | Inspecionar buds",IF(AND('🌱 Configuração'!$B$56+96&gt;='🌱 Configuração'!$D$56,'🌱 Configuração'!$B$56+96&lt;'🌱 Configuração'!$E$56,MOD('🌱 Configuração'!$B$56+96-'🌱 Configuração'!$D$56,7)=0,INT(('🌱 Configuração'!$B$56+96-'🌱 Configuração'!$D$56)/7)+1=5),"🍄 Beauveria + inspeção visual buds",IF(AND('🌱 Configuração'!$B$56+96&gt;='🌱 Configuração'!$D$56,'🌱 Configuração'!$B$56+96&lt;'🌱 Configuração'!$E$56,MOD('🌱 Configuração'!$B$56+96-'🌱 Configuração'!$D$56,7)=0,INT(('🌱 Configuração'!$B$56+96-'🌱 Configuração'!$D$56)/7)+1=6),"🦠 Trichoderma + ⚠️ Verificar mofo","")))))),IF(AND('🌱 Configuração'!$B$56+96&gt;='🌱 Configuração'!$E$56,MOD('🌱 Configuração'!$B$56+96-'🌱 Configuração'!$E$56,7)=0),"🔬 Inspeção final — analisar tricomas","")))))</f>
        <v/>
      </c>
      <c r="I102" s="33"/>
    </row>
    <row r="103" spans="1:9" ht="19.5" customHeight="1">
      <c r="A103" s="1"/>
      <c r="B103" s="39">
        <f>IF(98&lt;='🌱 Configuração'!$F$55,98,"")</f>
        <v>98</v>
      </c>
      <c r="C103" s="40">
        <f>IF(98&lt;='🌱 Configuração'!$F$55,'🌱 Configuração'!$B$56+97,"")</f>
        <v>97</v>
      </c>
      <c r="D103" s="41" t="str">
        <f>IF(98&gt;'🌱 Configuração'!$F$55,"",IF('🌱 Configuração'!$B$56+97&lt;'🌱 Configuração'!$C$56,"🌱 Clone",IF('🌱 Configuração'!$B$56+97&lt;'🌱 Configuração'!$D$56,"🌿 Vegetativo",IF('🌱 Configuração'!$B$56+97&lt;'🌱 Configuração'!$E$56,"🌸 Floração","🚿 Flush"))))</f>
        <v>🌸 Floração</v>
      </c>
      <c r="E103" s="42" t="str">
        <f>IF(98&gt;'🌱 Configuração'!$F$55,"",IF('🌱 Configuração'!$B$56+97&lt;'🌱 Configuração'!$C$56,"Clone S"&amp;INT((98-1)/7)+1,IF('🌱 Configuração'!$B$56+97&lt;'🌱 Configuração'!$D$56,"Vega S"&amp;INT(('🌱 Configuração'!$B$56+97-'🌱 Configuração'!$C$56)/7)+1,IF('🌱 Configuração'!$B$56+97&lt;'🌱 Configuração'!$E$56,"Flora S"&amp;INT(('🌱 Configuração'!$B$56+97-'🌱 Configuração'!$D$56)/7)+1,"Flush S"&amp;INT(('🌱 Configuração'!$B$56+97-'🌱 Configuração'!$E$56)/7)+1))))</f>
        <v>Flora S6</v>
      </c>
      <c r="F103" s="43" t="str">
        <f>IF(98&gt;'🌱 Configuração'!$F$55,"",IF('🌱 Configuração'!$B$56+97='🌱 Configuração'!$C$56,"🌿 INÍCIO VEGA — luz 18h/dia",IF('🌱 Configuração'!$B$56+97='🌱 Configuração'!$D$56,"🌸 INÍCIO FLORAÇÃO — mudar 12/12 🔴",IF('🌱 Configuração'!$B$56+97='🌱 Configuração'!$E$56,"🚿 INÍCIO FLUSH — parar nutrição",IF('🌱 Configuração'!$B$56+97='🌱 Configuração'!$F$56-1,"🔬 Véspera da colheita — analisar tricomas",IF('🌱 Configuração'!$B$56+97='🌱 Configuração'!$F$56,"✂️ COLHEITA — Parabéns! 🎉",""))))))</f>
        <v/>
      </c>
      <c r="G103" s="44" t="s">
        <v>428</v>
      </c>
      <c r="H103" s="45" t="str">
        <f>IF(98&gt;'🌱 Configuração'!$F$55,"",IF('🌱 Configuração'!$B$56+97&lt;'🌱 Configuração'!$C$56,IF(98=1,"🌿 Nim (2 mL/L) — foliar leve",IF(98=8,"🍄 Beauveria bassiana — foliar + solo","")),IF('🌱 Configuração'!$B$56+97&lt;'🌱 Configuração'!$D$56,IF(AND('🌱 Configuração'!$B$56+97&gt;='🌱 Configuração'!$C$56,'🌱 Configuração'!$B$56+97&lt;'🌱 Configuração'!$D$56,MOD('🌱 Configuração'!$B$56+97-'🌱 Configuração'!$C$56,7)=0,INT(('🌱 Configuração'!$B$56+97-'🌱 Configuração'!$C$56)/7)+1=1),"🌿 Nim (2 mL/L) — foliar preventivo",IF(AND('🌱 Configuração'!$B$56+97&gt;='🌱 Configuração'!$C$56,'🌱 Configuração'!$B$56+97&lt;'🌱 Configuração'!$D$56,MOD('🌱 Configuração'!$B$56+97-'🌱 Configuração'!$C$56,7)=0,INT(('🌱 Configuração'!$B$56+97-'🌱 Configuração'!$C$56)/7)+1=2),"🍄 Beauveria bassiana — foliar + solo",IF(AND('🌱 Configuração'!$B$56+97&gt;='🌱 Configuração'!$C$56,'🌱 Configuração'!$B$56+97&lt;'🌱 Configuração'!$D$56,MOD('🌱 Configuração'!$B$56+97-'🌱 Configuração'!$C$56,7)=0,INT(('🌱 Configuração'!$B$56+97-'🌱 Configuração'!$C$56)/7)+1=3),"🟡 Calda Sulfocálcica (1%) — foliar",IF(AND('🌱 Configuração'!$B$56+97&gt;='🌱 Configuração'!$C$56,'🌱 Configuração'!$B$56+97&lt;'🌱 Configuração'!$D$56,MOD('🌱 Configuração'!$B$56+97-'🌱 Configuração'!$C$56,7)=0,INT(('🌱 Configuração'!$B$56+97-'🌱 Configuração'!$C$56)/7)+1=4),"🦠 Trichoderma (3 g/L) — solo",IF(AND('🌱 Configuração'!$B$56+97&gt;='🌱 Configuração'!$C$56,'🌱 Configuração'!$B$56+97&lt;'🌱 Configuração'!$D$56,MOD('🌱 Configuração'!$B$56+97-'🌱 Configuração'!$C$56,7)=0,INT(('🌱 Configuração'!$B$56+97-'🌱 Configuração'!$C$56)/7)+1=5),"🔵 Calda Bordalesa (0.5%) — foliar",IF(AND('🌱 Configuração'!$B$56+97&gt;='🌱 Configuração'!$C$56,'🌱 Configuração'!$B$56+97&lt;'🌱 Configuração'!$D$56,MOD('🌱 Configuração'!$B$56+97-'🌱 Configuração'!$C$56,7)=0,INT(('🌱 Configuração'!$B$56+97-'🌱 Configuração'!$C$56)/7)+1=6),"🌿 Nim (2 mL/L) — ⚠️ ÚLTIMA foliar",IF(AND('🌱 Configuração'!$B$56+97&gt;='🌱 Configuração'!$C$56,'🌱 Configuração'!$B$56+97&lt;'🌱 Configuração'!$D$56,MOD('🌱 Configuração'!$B$56+97-'🌱 Configuração'!$C$56,7)=0,INT(('🌱 Configuração'!$B$56+97-'🌱 Configuração'!$C$56)/7)+1=7),"🦠 Trichoderma — solo",IF(AND('🌱 Configuração'!$B$56+97&gt;='🌱 Configuração'!$C$56,'🌱 Configuração'!$B$56+97&lt;'🌱 Configuração'!$D$56,MOD('🌱 Configuração'!$B$56+97-'🌱 Configuração'!$C$56,7)=0,INT(('🌱 Configuração'!$B$56+97-'🌱 Configuração'!$C$56)/7)+1=8),"🍄 Beauveria — solo","")))))))),IF('🌱 Configuração'!$B$56+97&lt;'🌱 Configuração'!$E$56,IF(AND('🌱 Configuração'!$B$56+97&gt;='🌱 Configuração'!$D$56,'🌱 Configuração'!$B$56+97&lt;'🌱 Configuração'!$E$56,MOD('🌱 Configuração'!$B$56+97-'🌱 Configuração'!$D$56,7)=0,INT(('🌱 Configuração'!$B$56+97-'🌱 Configuração'!$D$56)/7)+1=1),"🍄 Beauveria bassiana — SOLO apenas",IF(AND('🌱 Configuração'!$B$56+97&gt;='🌱 Configuração'!$D$56,'🌱 Configuração'!$B$56+97&lt;'🌱 Configuração'!$E$56,MOD('🌱 Configuração'!$B$56+97-'🌱 Configuração'!$D$56,7)=0,INT(('🌱 Configuração'!$B$56+97-'🌱 Configuração'!$D$56)/7)+1=2),"🦠 Trichoderma (3 g/L) — solo",IF(AND('🌱 Configuração'!$B$56+97&gt;='🌱 Configuração'!$D$56,'🌱 Configuração'!$B$56+97&lt;'🌱 Configuração'!$E$56,MOD('🌱 Configuração'!$B$56+97-'🌱 Configuração'!$D$56,7)=0,INT(('🌱 Configuração'!$B$56+97-'🌱 Configuração'!$D$56)/7)+1=3),"🍄 Beauveria bassiana — solo | ⚠️ Umid &lt;45%",IF(AND('🌱 Configuração'!$B$56+97&gt;='🌱 Configuração'!$D$56,'🌱 Configuração'!$B$56+97&lt;'🌱 Configuração'!$E$56,MOD('🌱 Configuração'!$B$56+97-'🌱 Configuração'!$D$56,7)=0,INT(('🌱 Configuração'!$B$56+97-'🌱 Configuração'!$D$56)/7)+1=4),"🦠 Trichoderma — solo | Inspecionar buds",IF(AND('🌱 Configuração'!$B$56+97&gt;='🌱 Configuração'!$D$56,'🌱 Configuração'!$B$56+97&lt;'🌱 Configuração'!$E$56,MOD('🌱 Configuração'!$B$56+97-'🌱 Configuração'!$D$56,7)=0,INT(('🌱 Configuração'!$B$56+97-'🌱 Configuração'!$D$56)/7)+1=5),"🍄 Beauveria + inspeção visual buds",IF(AND('🌱 Configuração'!$B$56+97&gt;='🌱 Configuração'!$D$56,'🌱 Configuração'!$B$56+97&lt;'🌱 Configuração'!$E$56,MOD('🌱 Configuração'!$B$56+97-'🌱 Configuração'!$D$56,7)=0,INT(('🌱 Configuração'!$B$56+97-'🌱 Configuração'!$D$56)/7)+1=6),"🦠 Trichoderma + ⚠️ Verificar mofo","")))))),IF(AND('🌱 Configuração'!$B$56+97&gt;='🌱 Configuração'!$E$56,MOD('🌱 Configuração'!$B$56+97-'🌱 Configuração'!$E$56,7)=0),"🔬 Inspeção final — analisar tricomas","")))))</f>
        <v/>
      </c>
      <c r="I103" s="33"/>
    </row>
    <row r="104" spans="1:9" ht="19.5" customHeight="1">
      <c r="A104" s="1"/>
      <c r="B104" s="35">
        <f>IF(99&lt;='🌱 Configuração'!$F$55,99,"")</f>
        <v>99</v>
      </c>
      <c r="C104" s="13">
        <f>IF(99&lt;='🌱 Configuração'!$F$55,'🌱 Configuração'!$B$56+98,"")</f>
        <v>98</v>
      </c>
      <c r="D104" s="36" t="str">
        <f>IF(99&gt;'🌱 Configuração'!$F$55,"",IF('🌱 Configuração'!$B$56+98&lt;'🌱 Configuração'!$C$56,"🌱 Clone",IF('🌱 Configuração'!$B$56+98&lt;'🌱 Configuração'!$D$56,"🌿 Vegetativo",IF('🌱 Configuração'!$B$56+98&lt;'🌱 Configuração'!$E$56,"🌸 Floração","🚿 Flush"))))</f>
        <v>🌸 Floração</v>
      </c>
      <c r="E104" s="15" t="str">
        <f>IF(99&gt;'🌱 Configuração'!$F$55,"",IF('🌱 Configuração'!$B$56+98&lt;'🌱 Configuração'!$C$56,"Clone S"&amp;INT((99-1)/7)+1,IF('🌱 Configuração'!$B$56+98&lt;'🌱 Configuração'!$D$56,"Vega S"&amp;INT(('🌱 Configuração'!$B$56+98-'🌱 Configuração'!$C$56)/7)+1,IF('🌱 Configuração'!$B$56+98&lt;'🌱 Configuração'!$E$56,"Flora S"&amp;INT(('🌱 Configuração'!$B$56+98-'🌱 Configuração'!$D$56)/7)+1,"Flush S"&amp;INT(('🌱 Configuração'!$B$56+98-'🌱 Configuração'!$E$56)/7)+1))))</f>
        <v>Flora S7</v>
      </c>
      <c r="F104" s="14" t="str">
        <f>IF(99&gt;'🌱 Configuração'!$F$55,"",IF('🌱 Configuração'!$B$56+98='🌱 Configuração'!$C$56,"🌿 INÍCIO VEGA — luz 18h/dia",IF('🌱 Configuração'!$B$56+98='🌱 Configuração'!$D$56,"🌸 INÍCIO FLORAÇÃO — mudar 12/12 🔴",IF('🌱 Configuração'!$B$56+98='🌱 Configuração'!$E$56,"🚿 INÍCIO FLUSH — parar nutrição",IF('🌱 Configuração'!$B$56+98='🌱 Configuração'!$F$56-1,"🔬 Véspera da colheita — analisar tricomas",IF('🌱 Configuração'!$B$56+98='🌱 Configuração'!$F$56,"✂️ COLHEITA — Parabéns! 🎉",""))))))</f>
        <v/>
      </c>
      <c r="G104" s="37" t="s">
        <v>440</v>
      </c>
      <c r="H104" s="38" t="str">
        <f>IF(99&gt;'🌱 Configuração'!$F$55,"",IF('🌱 Configuração'!$B$56+98&lt;'🌱 Configuração'!$C$56,IF(99=1,"🌿 Nim (2 mL/L) — foliar leve",IF(99=8,"🍄 Beauveria bassiana — foliar + solo","")),IF('🌱 Configuração'!$B$56+98&lt;'🌱 Configuração'!$D$56,IF(AND('🌱 Configuração'!$B$56+98&gt;='🌱 Configuração'!$C$56,'🌱 Configuração'!$B$56+98&lt;'🌱 Configuração'!$D$56,MOD('🌱 Configuração'!$B$56+98-'🌱 Configuração'!$C$56,7)=0,INT(('🌱 Configuração'!$B$56+98-'🌱 Configuração'!$C$56)/7)+1=1),"🌿 Nim (2 mL/L) — foliar preventivo",IF(AND('🌱 Configuração'!$B$56+98&gt;='🌱 Configuração'!$C$56,'🌱 Configuração'!$B$56+98&lt;'🌱 Configuração'!$D$56,MOD('🌱 Configuração'!$B$56+98-'🌱 Configuração'!$C$56,7)=0,INT(('🌱 Configuração'!$B$56+98-'🌱 Configuração'!$C$56)/7)+1=2),"🍄 Beauveria bassiana — foliar + solo",IF(AND('🌱 Configuração'!$B$56+98&gt;='🌱 Configuração'!$C$56,'🌱 Configuração'!$B$56+98&lt;'🌱 Configuração'!$D$56,MOD('🌱 Configuração'!$B$56+98-'🌱 Configuração'!$C$56,7)=0,INT(('🌱 Configuração'!$B$56+98-'🌱 Configuração'!$C$56)/7)+1=3),"🟡 Calda Sulfocálcica (1%) — foliar",IF(AND('🌱 Configuração'!$B$56+98&gt;='🌱 Configuração'!$C$56,'🌱 Configuração'!$B$56+98&lt;'🌱 Configuração'!$D$56,MOD('🌱 Configuração'!$B$56+98-'🌱 Configuração'!$C$56,7)=0,INT(('🌱 Configuração'!$B$56+98-'🌱 Configuração'!$C$56)/7)+1=4),"🦠 Trichoderma (3 g/L) — solo",IF(AND('🌱 Configuração'!$B$56+98&gt;='🌱 Configuração'!$C$56,'🌱 Configuração'!$B$56+98&lt;'🌱 Configuração'!$D$56,MOD('🌱 Configuração'!$B$56+98-'🌱 Configuração'!$C$56,7)=0,INT(('🌱 Configuração'!$B$56+98-'🌱 Configuração'!$C$56)/7)+1=5),"🔵 Calda Bordalesa (0.5%) — foliar",IF(AND('🌱 Configuração'!$B$56+98&gt;='🌱 Configuração'!$C$56,'🌱 Configuração'!$B$56+98&lt;'🌱 Configuração'!$D$56,MOD('🌱 Configuração'!$B$56+98-'🌱 Configuração'!$C$56,7)=0,INT(('🌱 Configuração'!$B$56+98-'🌱 Configuração'!$C$56)/7)+1=6),"🌿 Nim (2 mL/L) — ⚠️ ÚLTIMA foliar",IF(AND('🌱 Configuração'!$B$56+98&gt;='🌱 Configuração'!$C$56,'🌱 Configuração'!$B$56+98&lt;'🌱 Configuração'!$D$56,MOD('🌱 Configuração'!$B$56+98-'🌱 Configuração'!$C$56,7)=0,INT(('🌱 Configuração'!$B$56+98-'🌱 Configuração'!$C$56)/7)+1=7),"🦠 Trichoderma — solo",IF(AND('🌱 Configuração'!$B$56+98&gt;='🌱 Configuração'!$C$56,'🌱 Configuração'!$B$56+98&lt;'🌱 Configuração'!$D$56,MOD('🌱 Configuração'!$B$56+98-'🌱 Configuração'!$C$56,7)=0,INT(('🌱 Configuração'!$B$56+98-'🌱 Configuração'!$C$56)/7)+1=8),"🍄 Beauveria — solo","")))))))),IF('🌱 Configuração'!$B$56+98&lt;'🌱 Configuração'!$E$56,IF(AND('🌱 Configuração'!$B$56+98&gt;='🌱 Configuração'!$D$56,'🌱 Configuração'!$B$56+98&lt;'🌱 Configuração'!$E$56,MOD('🌱 Configuração'!$B$56+98-'🌱 Configuração'!$D$56,7)=0,INT(('🌱 Configuração'!$B$56+98-'🌱 Configuração'!$D$56)/7)+1=1),"🍄 Beauveria bassiana — SOLO apenas",IF(AND('🌱 Configuração'!$B$56+98&gt;='🌱 Configuração'!$D$56,'🌱 Configuração'!$B$56+98&lt;'🌱 Configuração'!$E$56,MOD('🌱 Configuração'!$B$56+98-'🌱 Configuração'!$D$56,7)=0,INT(('🌱 Configuração'!$B$56+98-'🌱 Configuração'!$D$56)/7)+1=2),"🦠 Trichoderma (3 g/L) — solo",IF(AND('🌱 Configuração'!$B$56+98&gt;='🌱 Configuração'!$D$56,'🌱 Configuração'!$B$56+98&lt;'🌱 Configuração'!$E$56,MOD('🌱 Configuração'!$B$56+98-'🌱 Configuração'!$D$56,7)=0,INT(('🌱 Configuração'!$B$56+98-'🌱 Configuração'!$D$56)/7)+1=3),"🍄 Beauveria bassiana — solo | ⚠️ Umid &lt;45%",IF(AND('🌱 Configuração'!$B$56+98&gt;='🌱 Configuração'!$D$56,'🌱 Configuração'!$B$56+98&lt;'🌱 Configuração'!$E$56,MOD('🌱 Configuração'!$B$56+98-'🌱 Configuração'!$D$56,7)=0,INT(('🌱 Configuração'!$B$56+98-'🌱 Configuração'!$D$56)/7)+1=4),"🦠 Trichoderma — solo | Inspecionar buds",IF(AND('🌱 Configuração'!$B$56+98&gt;='🌱 Configuração'!$D$56,'🌱 Configuração'!$B$56+98&lt;'🌱 Configuração'!$E$56,MOD('🌱 Configuração'!$B$56+98-'🌱 Configuração'!$D$56,7)=0,INT(('🌱 Configuração'!$B$56+98-'🌱 Configuração'!$D$56)/7)+1=5),"🍄 Beauveria + inspeção visual buds",IF(AND('🌱 Configuração'!$B$56+98&gt;='🌱 Configuração'!$D$56,'🌱 Configuração'!$B$56+98&lt;'🌱 Configuração'!$E$56,MOD('🌱 Configuração'!$B$56+98-'🌱 Configuração'!$D$56,7)=0,INT(('🌱 Configuração'!$B$56+98-'🌱 Configuração'!$D$56)/7)+1=6),"🦠 Trichoderma + ⚠️ Verificar mofo","")))))),IF(AND('🌱 Configuração'!$B$56+98&gt;='🌱 Configuração'!$E$56,MOD('🌱 Configuração'!$B$56+98-'🌱 Configuração'!$E$56,7)=0),"🔬 Inspeção final — analisar tricomas","")))))</f>
        <v/>
      </c>
      <c r="I104" s="33"/>
    </row>
    <row r="105" spans="1:9" ht="19.5" customHeight="1">
      <c r="A105" s="1"/>
      <c r="B105" s="39">
        <f>IF(100&lt;='🌱 Configuração'!$F$55,100,"")</f>
        <v>100</v>
      </c>
      <c r="C105" s="40">
        <f>IF(100&lt;='🌱 Configuração'!$F$55,'🌱 Configuração'!$B$56+99,"")</f>
        <v>99</v>
      </c>
      <c r="D105" s="41" t="str">
        <f>IF(100&gt;'🌱 Configuração'!$F$55,"",IF('🌱 Configuração'!$B$56+99&lt;'🌱 Configuração'!$C$56,"🌱 Clone",IF('🌱 Configuração'!$B$56+99&lt;'🌱 Configuração'!$D$56,"🌿 Vegetativo",IF('🌱 Configuração'!$B$56+99&lt;'🌱 Configuração'!$E$56,"🌸 Floração","🚿 Flush"))))</f>
        <v>🌸 Floração</v>
      </c>
      <c r="E105" s="42" t="str">
        <f>IF(100&gt;'🌱 Configuração'!$F$55,"",IF('🌱 Configuração'!$B$56+99&lt;'🌱 Configuração'!$C$56,"Clone S"&amp;INT((100-1)/7)+1,IF('🌱 Configuração'!$B$56+99&lt;'🌱 Configuração'!$D$56,"Vega S"&amp;INT(('🌱 Configuração'!$B$56+99-'🌱 Configuração'!$C$56)/7)+1,IF('🌱 Configuração'!$B$56+99&lt;'🌱 Configuração'!$E$56,"Flora S"&amp;INT(('🌱 Configuração'!$B$56+99-'🌱 Configuração'!$D$56)/7)+1,"Flush S"&amp;INT(('🌱 Configuração'!$B$56+99-'🌱 Configuração'!$E$56)/7)+1))))</f>
        <v>Flora S7</v>
      </c>
      <c r="F105" s="43" t="str">
        <f>IF(100&gt;'🌱 Configuração'!$F$55,"",IF('🌱 Configuração'!$B$56+99='🌱 Configuração'!$C$56,"🌿 INÍCIO VEGA — luz 18h/dia",IF('🌱 Configuração'!$B$56+99='🌱 Configuração'!$D$56,"🌸 INÍCIO FLORAÇÃO — mudar 12/12 🔴",IF('🌱 Configuração'!$B$56+99='🌱 Configuração'!$E$56,"🚿 INÍCIO FLUSH — parar nutrição",IF('🌱 Configuração'!$B$56+99='🌱 Configuração'!$F$56-1,"🔬 Véspera da colheita — analisar tricomas",IF('🌱 Configuração'!$B$56+99='🌱 Configuração'!$F$56,"✂️ COLHEITA — Parabéns! 🎉",""))))))</f>
        <v/>
      </c>
      <c r="G105" s="44" t="s">
        <v>428</v>
      </c>
      <c r="H105" s="45" t="str">
        <f>IF(100&gt;'🌱 Configuração'!$F$55,"",IF('🌱 Configuração'!$B$56+99&lt;'🌱 Configuração'!$C$56,IF(100=1,"🌿 Nim (2 mL/L) — foliar leve",IF(100=8,"🍄 Beauveria bassiana — foliar + solo","")),IF('🌱 Configuração'!$B$56+99&lt;'🌱 Configuração'!$D$56,IF(AND('🌱 Configuração'!$B$56+99&gt;='🌱 Configuração'!$C$56,'🌱 Configuração'!$B$56+99&lt;'🌱 Configuração'!$D$56,MOD('🌱 Configuração'!$B$56+99-'🌱 Configuração'!$C$56,7)=0,INT(('🌱 Configuração'!$B$56+99-'🌱 Configuração'!$C$56)/7)+1=1),"🌿 Nim (2 mL/L) — foliar preventivo",IF(AND('🌱 Configuração'!$B$56+99&gt;='🌱 Configuração'!$C$56,'🌱 Configuração'!$B$56+99&lt;'🌱 Configuração'!$D$56,MOD('🌱 Configuração'!$B$56+99-'🌱 Configuração'!$C$56,7)=0,INT(('🌱 Configuração'!$B$56+99-'🌱 Configuração'!$C$56)/7)+1=2),"🍄 Beauveria bassiana — foliar + solo",IF(AND('🌱 Configuração'!$B$56+99&gt;='🌱 Configuração'!$C$56,'🌱 Configuração'!$B$56+99&lt;'🌱 Configuração'!$D$56,MOD('🌱 Configuração'!$B$56+99-'🌱 Configuração'!$C$56,7)=0,INT(('🌱 Configuração'!$B$56+99-'🌱 Configuração'!$C$56)/7)+1=3),"🟡 Calda Sulfocálcica (1%) — foliar",IF(AND('🌱 Configuração'!$B$56+99&gt;='🌱 Configuração'!$C$56,'🌱 Configuração'!$B$56+99&lt;'🌱 Configuração'!$D$56,MOD('🌱 Configuração'!$B$56+99-'🌱 Configuração'!$C$56,7)=0,INT(('🌱 Configuração'!$B$56+99-'🌱 Configuração'!$C$56)/7)+1=4),"🦠 Trichoderma (3 g/L) — solo",IF(AND('🌱 Configuração'!$B$56+99&gt;='🌱 Configuração'!$C$56,'🌱 Configuração'!$B$56+99&lt;'🌱 Configuração'!$D$56,MOD('🌱 Configuração'!$B$56+99-'🌱 Configuração'!$C$56,7)=0,INT(('🌱 Configuração'!$B$56+99-'🌱 Configuração'!$C$56)/7)+1=5),"🔵 Calda Bordalesa (0.5%) — foliar",IF(AND('🌱 Configuração'!$B$56+99&gt;='🌱 Configuração'!$C$56,'🌱 Configuração'!$B$56+99&lt;'🌱 Configuração'!$D$56,MOD('🌱 Configuração'!$B$56+99-'🌱 Configuração'!$C$56,7)=0,INT(('🌱 Configuração'!$B$56+99-'🌱 Configuração'!$C$56)/7)+1=6),"🌿 Nim (2 mL/L) — ⚠️ ÚLTIMA foliar",IF(AND('🌱 Configuração'!$B$56+99&gt;='🌱 Configuração'!$C$56,'🌱 Configuração'!$B$56+99&lt;'🌱 Configuração'!$D$56,MOD('🌱 Configuração'!$B$56+99-'🌱 Configuração'!$C$56,7)=0,INT(('🌱 Configuração'!$B$56+99-'🌱 Configuração'!$C$56)/7)+1=7),"🦠 Trichoderma — solo",IF(AND('🌱 Configuração'!$B$56+99&gt;='🌱 Configuração'!$C$56,'🌱 Configuração'!$B$56+99&lt;'🌱 Configuração'!$D$56,MOD('🌱 Configuração'!$B$56+99-'🌱 Configuração'!$C$56,7)=0,INT(('🌱 Configuração'!$B$56+99-'🌱 Configuração'!$C$56)/7)+1=8),"🍄 Beauveria — solo","")))))))),IF('🌱 Configuração'!$B$56+99&lt;'🌱 Configuração'!$E$56,IF(AND('🌱 Configuração'!$B$56+99&gt;='🌱 Configuração'!$D$56,'🌱 Configuração'!$B$56+99&lt;'🌱 Configuração'!$E$56,MOD('🌱 Configuração'!$B$56+99-'🌱 Configuração'!$D$56,7)=0,INT(('🌱 Configuração'!$B$56+99-'🌱 Configuração'!$D$56)/7)+1=1),"🍄 Beauveria bassiana — SOLO apenas",IF(AND('🌱 Configuração'!$B$56+99&gt;='🌱 Configuração'!$D$56,'🌱 Configuração'!$B$56+99&lt;'🌱 Configuração'!$E$56,MOD('🌱 Configuração'!$B$56+99-'🌱 Configuração'!$D$56,7)=0,INT(('🌱 Configuração'!$B$56+99-'🌱 Configuração'!$D$56)/7)+1=2),"🦠 Trichoderma (3 g/L) — solo",IF(AND('🌱 Configuração'!$B$56+99&gt;='🌱 Configuração'!$D$56,'🌱 Configuração'!$B$56+99&lt;'🌱 Configuração'!$E$56,MOD('🌱 Configuração'!$B$56+99-'🌱 Configuração'!$D$56,7)=0,INT(('🌱 Configuração'!$B$56+99-'🌱 Configuração'!$D$56)/7)+1=3),"🍄 Beauveria bassiana — solo | ⚠️ Umid &lt;45%",IF(AND('🌱 Configuração'!$B$56+99&gt;='🌱 Configuração'!$D$56,'🌱 Configuração'!$B$56+99&lt;'🌱 Configuração'!$E$56,MOD('🌱 Configuração'!$B$56+99-'🌱 Configuração'!$D$56,7)=0,INT(('🌱 Configuração'!$B$56+99-'🌱 Configuração'!$D$56)/7)+1=4),"🦠 Trichoderma — solo | Inspecionar buds",IF(AND('🌱 Configuração'!$B$56+99&gt;='🌱 Configuração'!$D$56,'🌱 Configuração'!$B$56+99&lt;'🌱 Configuração'!$E$56,MOD('🌱 Configuração'!$B$56+99-'🌱 Configuração'!$D$56,7)=0,INT(('🌱 Configuração'!$B$56+99-'🌱 Configuração'!$D$56)/7)+1=5),"🍄 Beauveria + inspeção visual buds",IF(AND('🌱 Configuração'!$B$56+99&gt;='🌱 Configuração'!$D$56,'🌱 Configuração'!$B$56+99&lt;'🌱 Configuração'!$E$56,MOD('🌱 Configuração'!$B$56+99-'🌱 Configuração'!$D$56,7)=0,INT(('🌱 Configuração'!$B$56+99-'🌱 Configuração'!$D$56)/7)+1=6),"🦠 Trichoderma + ⚠️ Verificar mofo","")))))),IF(AND('🌱 Configuração'!$B$56+99&gt;='🌱 Configuração'!$E$56,MOD('🌱 Configuração'!$B$56+99-'🌱 Configuração'!$E$56,7)=0),"🔬 Inspeção final — analisar tricomas","")))))</f>
        <v/>
      </c>
      <c r="I105" s="33"/>
    </row>
    <row r="106" spans="1:9" ht="19.5" customHeight="1">
      <c r="A106" s="1"/>
      <c r="B106" s="35">
        <f>IF(101&lt;='🌱 Configuração'!$F$55,101,"")</f>
        <v>101</v>
      </c>
      <c r="C106" s="13">
        <f>IF(101&lt;='🌱 Configuração'!$F$55,'🌱 Configuração'!$B$56+100,"")</f>
        <v>100</v>
      </c>
      <c r="D106" s="36" t="str">
        <f>IF(101&gt;'🌱 Configuração'!$F$55,"",IF('🌱 Configuração'!$B$56+100&lt;'🌱 Configuração'!$C$56,"🌱 Clone",IF('🌱 Configuração'!$B$56+100&lt;'🌱 Configuração'!$D$56,"🌿 Vegetativo",IF('🌱 Configuração'!$B$56+100&lt;'🌱 Configuração'!$E$56,"🌸 Floração","🚿 Flush"))))</f>
        <v>🌸 Floração</v>
      </c>
      <c r="E106" s="15" t="str">
        <f>IF(101&gt;'🌱 Configuração'!$F$55,"",IF('🌱 Configuração'!$B$56+100&lt;'🌱 Configuração'!$C$56,"Clone S"&amp;INT((101-1)/7)+1,IF('🌱 Configuração'!$B$56+100&lt;'🌱 Configuração'!$D$56,"Vega S"&amp;INT(('🌱 Configuração'!$B$56+100-'🌱 Configuração'!$C$56)/7)+1,IF('🌱 Configuração'!$B$56+100&lt;'🌱 Configuração'!$E$56,"Flora S"&amp;INT(('🌱 Configuração'!$B$56+100-'🌱 Configuração'!$D$56)/7)+1,"Flush S"&amp;INT(('🌱 Configuração'!$B$56+100-'🌱 Configuração'!$E$56)/7)+1))))</f>
        <v>Flora S7</v>
      </c>
      <c r="F106" s="14" t="str">
        <f>IF(101&gt;'🌱 Configuração'!$F$55,"",IF('🌱 Configuração'!$B$56+100='🌱 Configuração'!$C$56,"🌿 INÍCIO VEGA — luz 18h/dia",IF('🌱 Configuração'!$B$56+100='🌱 Configuração'!$D$56,"🌸 INÍCIO FLORAÇÃO — mudar 12/12 🔴",IF('🌱 Configuração'!$B$56+100='🌱 Configuração'!$E$56,"🚿 INÍCIO FLUSH — parar nutrição",IF('🌱 Configuração'!$B$56+100='🌱 Configuração'!$F$56-1,"🔬 Véspera da colheita — analisar tricomas",IF('🌱 Configuração'!$B$56+100='🌱 Configuração'!$F$56,"✂️ COLHEITA — Parabéns! 🎉",""))))))</f>
        <v/>
      </c>
      <c r="G106" s="37" t="s">
        <v>428</v>
      </c>
      <c r="H106" s="38" t="str">
        <f>IF(101&gt;'🌱 Configuração'!$F$55,"",IF('🌱 Configuração'!$B$56+100&lt;'🌱 Configuração'!$C$56,IF(101=1,"🌿 Nim (2 mL/L) — foliar leve",IF(101=8,"🍄 Beauveria bassiana — foliar + solo","")),IF('🌱 Configuração'!$B$56+100&lt;'🌱 Configuração'!$D$56,IF(AND('🌱 Configuração'!$B$56+100&gt;='🌱 Configuração'!$C$56,'🌱 Configuração'!$B$56+100&lt;'🌱 Configuração'!$D$56,MOD('🌱 Configuração'!$B$56+100-'🌱 Configuração'!$C$56,7)=0,INT(('🌱 Configuração'!$B$56+100-'🌱 Configuração'!$C$56)/7)+1=1),"🌿 Nim (2 mL/L) — foliar preventivo",IF(AND('🌱 Configuração'!$B$56+100&gt;='🌱 Configuração'!$C$56,'🌱 Configuração'!$B$56+100&lt;'🌱 Configuração'!$D$56,MOD('🌱 Configuração'!$B$56+100-'🌱 Configuração'!$C$56,7)=0,INT(('🌱 Configuração'!$B$56+100-'🌱 Configuração'!$C$56)/7)+1=2),"🍄 Beauveria bassiana — foliar + solo",IF(AND('🌱 Configuração'!$B$56+100&gt;='🌱 Configuração'!$C$56,'🌱 Configuração'!$B$56+100&lt;'🌱 Configuração'!$D$56,MOD('🌱 Configuração'!$B$56+100-'🌱 Configuração'!$C$56,7)=0,INT(('🌱 Configuração'!$B$56+100-'🌱 Configuração'!$C$56)/7)+1=3),"🟡 Calda Sulfocálcica (1%) — foliar",IF(AND('🌱 Configuração'!$B$56+100&gt;='🌱 Configuração'!$C$56,'🌱 Configuração'!$B$56+100&lt;'🌱 Configuração'!$D$56,MOD('🌱 Configuração'!$B$56+100-'🌱 Configuração'!$C$56,7)=0,INT(('🌱 Configuração'!$B$56+100-'🌱 Configuração'!$C$56)/7)+1=4),"🦠 Trichoderma (3 g/L) — solo",IF(AND('🌱 Configuração'!$B$56+100&gt;='🌱 Configuração'!$C$56,'🌱 Configuração'!$B$56+100&lt;'🌱 Configuração'!$D$56,MOD('🌱 Configuração'!$B$56+100-'🌱 Configuração'!$C$56,7)=0,INT(('🌱 Configuração'!$B$56+100-'🌱 Configuração'!$C$56)/7)+1=5),"🔵 Calda Bordalesa (0.5%) — foliar",IF(AND('🌱 Configuração'!$B$56+100&gt;='🌱 Configuração'!$C$56,'🌱 Configuração'!$B$56+100&lt;'🌱 Configuração'!$D$56,MOD('🌱 Configuração'!$B$56+100-'🌱 Configuração'!$C$56,7)=0,INT(('🌱 Configuração'!$B$56+100-'🌱 Configuração'!$C$56)/7)+1=6),"🌿 Nim (2 mL/L) — ⚠️ ÚLTIMA foliar",IF(AND('🌱 Configuração'!$B$56+100&gt;='🌱 Configuração'!$C$56,'🌱 Configuração'!$B$56+100&lt;'🌱 Configuração'!$D$56,MOD('🌱 Configuração'!$B$56+100-'🌱 Configuração'!$C$56,7)=0,INT(('🌱 Configuração'!$B$56+100-'🌱 Configuração'!$C$56)/7)+1=7),"🦠 Trichoderma — solo",IF(AND('🌱 Configuração'!$B$56+100&gt;='🌱 Configuração'!$C$56,'🌱 Configuração'!$B$56+100&lt;'🌱 Configuração'!$D$56,MOD('🌱 Configuração'!$B$56+100-'🌱 Configuração'!$C$56,7)=0,INT(('🌱 Configuração'!$B$56+100-'🌱 Configuração'!$C$56)/7)+1=8),"🍄 Beauveria — solo","")))))))),IF('🌱 Configuração'!$B$56+100&lt;'🌱 Configuração'!$E$56,IF(AND('🌱 Configuração'!$B$56+100&gt;='🌱 Configuração'!$D$56,'🌱 Configuração'!$B$56+100&lt;'🌱 Configuração'!$E$56,MOD('🌱 Configuração'!$B$56+100-'🌱 Configuração'!$D$56,7)=0,INT(('🌱 Configuração'!$B$56+100-'🌱 Configuração'!$D$56)/7)+1=1),"🍄 Beauveria bassiana — SOLO apenas",IF(AND('🌱 Configuração'!$B$56+100&gt;='🌱 Configuração'!$D$56,'🌱 Configuração'!$B$56+100&lt;'🌱 Configuração'!$E$56,MOD('🌱 Configuração'!$B$56+100-'🌱 Configuração'!$D$56,7)=0,INT(('🌱 Configuração'!$B$56+100-'🌱 Configuração'!$D$56)/7)+1=2),"🦠 Trichoderma (3 g/L) — solo",IF(AND('🌱 Configuração'!$B$56+100&gt;='🌱 Configuração'!$D$56,'🌱 Configuração'!$B$56+100&lt;'🌱 Configuração'!$E$56,MOD('🌱 Configuração'!$B$56+100-'🌱 Configuração'!$D$56,7)=0,INT(('🌱 Configuração'!$B$56+100-'🌱 Configuração'!$D$56)/7)+1=3),"🍄 Beauveria bassiana — solo | ⚠️ Umid &lt;45%",IF(AND('🌱 Configuração'!$B$56+100&gt;='🌱 Configuração'!$D$56,'🌱 Configuração'!$B$56+100&lt;'🌱 Configuração'!$E$56,MOD('🌱 Configuração'!$B$56+100-'🌱 Configuração'!$D$56,7)=0,INT(('🌱 Configuração'!$B$56+100-'🌱 Configuração'!$D$56)/7)+1=4),"🦠 Trichoderma — solo | Inspecionar buds",IF(AND('🌱 Configuração'!$B$56+100&gt;='🌱 Configuração'!$D$56,'🌱 Configuração'!$B$56+100&lt;'🌱 Configuração'!$E$56,MOD('🌱 Configuração'!$B$56+100-'🌱 Configuração'!$D$56,7)=0,INT(('🌱 Configuração'!$B$56+100-'🌱 Configuração'!$D$56)/7)+1=5),"🍄 Beauveria + inspeção visual buds",IF(AND('🌱 Configuração'!$B$56+100&gt;='🌱 Configuração'!$D$56,'🌱 Configuração'!$B$56+100&lt;'🌱 Configuração'!$E$56,MOD('🌱 Configuração'!$B$56+100-'🌱 Configuração'!$D$56,7)=0,INT(('🌱 Configuração'!$B$56+100-'🌱 Configuração'!$D$56)/7)+1=6),"🦠 Trichoderma + ⚠️ Verificar mofo","")))))),IF(AND('🌱 Configuração'!$B$56+100&gt;='🌱 Configuração'!$E$56,MOD('🌱 Configuração'!$B$56+100-'🌱 Configuração'!$E$56,7)=0),"🔬 Inspeção final — analisar tricomas","")))))</f>
        <v/>
      </c>
      <c r="I106" s="33"/>
    </row>
    <row r="107" spans="1:9" ht="19.5" customHeight="1">
      <c r="A107" s="1"/>
      <c r="B107" s="39">
        <f>IF(102&lt;='🌱 Configuração'!$F$55,102,"")</f>
        <v>102</v>
      </c>
      <c r="C107" s="40">
        <f>IF(102&lt;='🌱 Configuração'!$F$55,'🌱 Configuração'!$B$56+101,"")</f>
        <v>101</v>
      </c>
      <c r="D107" s="41" t="str">
        <f>IF(102&gt;'🌱 Configuração'!$F$55,"",IF('🌱 Configuração'!$B$56+101&lt;'🌱 Configuração'!$C$56,"🌱 Clone",IF('🌱 Configuração'!$B$56+101&lt;'🌱 Configuração'!$D$56,"🌿 Vegetativo",IF('🌱 Configuração'!$B$56+101&lt;'🌱 Configuração'!$E$56,"🌸 Floração","🚿 Flush"))))</f>
        <v>🌸 Floração</v>
      </c>
      <c r="E107" s="42" t="str">
        <f>IF(102&gt;'🌱 Configuração'!$F$55,"",IF('🌱 Configuração'!$B$56+101&lt;'🌱 Configuração'!$C$56,"Clone S"&amp;INT((102-1)/7)+1,IF('🌱 Configuração'!$B$56+101&lt;'🌱 Configuração'!$D$56,"Vega S"&amp;INT(('🌱 Configuração'!$B$56+101-'🌱 Configuração'!$C$56)/7)+1,IF('🌱 Configuração'!$B$56+101&lt;'🌱 Configuração'!$E$56,"Flora S"&amp;INT(('🌱 Configuração'!$B$56+101-'🌱 Configuração'!$D$56)/7)+1,"Flush S"&amp;INT(('🌱 Configuração'!$B$56+101-'🌱 Configuração'!$E$56)/7)+1))))</f>
        <v>Flora S7</v>
      </c>
      <c r="F107" s="43" t="str">
        <f>IF(102&gt;'🌱 Configuração'!$F$55,"",IF('🌱 Configuração'!$B$56+101='🌱 Configuração'!$C$56,"🌿 INÍCIO VEGA — luz 18h/dia",IF('🌱 Configuração'!$B$56+101='🌱 Configuração'!$D$56,"🌸 INÍCIO FLORAÇÃO — mudar 12/12 🔴",IF('🌱 Configuração'!$B$56+101='🌱 Configuração'!$E$56,"🚿 INÍCIO FLUSH — parar nutrição",IF('🌱 Configuração'!$B$56+101='🌱 Configuração'!$F$56-1,"🔬 Véspera da colheita — analisar tricomas",IF('🌱 Configuração'!$B$56+101='🌱 Configuração'!$F$56,"✂️ COLHEITA — Parabéns! 🎉",""))))))</f>
        <v/>
      </c>
      <c r="G107" s="44" t="s">
        <v>428</v>
      </c>
      <c r="H107" s="45" t="str">
        <f>IF(102&gt;'🌱 Configuração'!$F$55,"",IF('🌱 Configuração'!$B$56+101&lt;'🌱 Configuração'!$C$56,IF(102=1,"🌿 Nim (2 mL/L) — foliar leve",IF(102=8,"🍄 Beauveria bassiana — foliar + solo","")),IF('🌱 Configuração'!$B$56+101&lt;'🌱 Configuração'!$D$56,IF(AND('🌱 Configuração'!$B$56+101&gt;='🌱 Configuração'!$C$56,'🌱 Configuração'!$B$56+101&lt;'🌱 Configuração'!$D$56,MOD('🌱 Configuração'!$B$56+101-'🌱 Configuração'!$C$56,7)=0,INT(('🌱 Configuração'!$B$56+101-'🌱 Configuração'!$C$56)/7)+1=1),"🌿 Nim (2 mL/L) — foliar preventivo",IF(AND('🌱 Configuração'!$B$56+101&gt;='🌱 Configuração'!$C$56,'🌱 Configuração'!$B$56+101&lt;'🌱 Configuração'!$D$56,MOD('🌱 Configuração'!$B$56+101-'🌱 Configuração'!$C$56,7)=0,INT(('🌱 Configuração'!$B$56+101-'🌱 Configuração'!$C$56)/7)+1=2),"🍄 Beauveria bassiana — foliar + solo",IF(AND('🌱 Configuração'!$B$56+101&gt;='🌱 Configuração'!$C$56,'🌱 Configuração'!$B$56+101&lt;'🌱 Configuração'!$D$56,MOD('🌱 Configuração'!$B$56+101-'🌱 Configuração'!$C$56,7)=0,INT(('🌱 Configuração'!$B$56+101-'🌱 Configuração'!$C$56)/7)+1=3),"🟡 Calda Sulfocálcica (1%) — foliar",IF(AND('🌱 Configuração'!$B$56+101&gt;='🌱 Configuração'!$C$56,'🌱 Configuração'!$B$56+101&lt;'🌱 Configuração'!$D$56,MOD('🌱 Configuração'!$B$56+101-'🌱 Configuração'!$C$56,7)=0,INT(('🌱 Configuração'!$B$56+101-'🌱 Configuração'!$C$56)/7)+1=4),"🦠 Trichoderma (3 g/L) — solo",IF(AND('🌱 Configuração'!$B$56+101&gt;='🌱 Configuração'!$C$56,'🌱 Configuração'!$B$56+101&lt;'🌱 Configuração'!$D$56,MOD('🌱 Configuração'!$B$56+101-'🌱 Configuração'!$C$56,7)=0,INT(('🌱 Configuração'!$B$56+101-'🌱 Configuração'!$C$56)/7)+1=5),"🔵 Calda Bordalesa (0.5%) — foliar",IF(AND('🌱 Configuração'!$B$56+101&gt;='🌱 Configuração'!$C$56,'🌱 Configuração'!$B$56+101&lt;'🌱 Configuração'!$D$56,MOD('🌱 Configuração'!$B$56+101-'🌱 Configuração'!$C$56,7)=0,INT(('🌱 Configuração'!$B$56+101-'🌱 Configuração'!$C$56)/7)+1=6),"🌿 Nim (2 mL/L) — ⚠️ ÚLTIMA foliar",IF(AND('🌱 Configuração'!$B$56+101&gt;='🌱 Configuração'!$C$56,'🌱 Configuração'!$B$56+101&lt;'🌱 Configuração'!$D$56,MOD('🌱 Configuração'!$B$56+101-'🌱 Configuração'!$C$56,7)=0,INT(('🌱 Configuração'!$B$56+101-'🌱 Configuração'!$C$56)/7)+1=7),"🦠 Trichoderma — solo",IF(AND('🌱 Configuração'!$B$56+101&gt;='🌱 Configuração'!$C$56,'🌱 Configuração'!$B$56+101&lt;'🌱 Configuração'!$D$56,MOD('🌱 Configuração'!$B$56+101-'🌱 Configuração'!$C$56,7)=0,INT(('🌱 Configuração'!$B$56+101-'🌱 Configuração'!$C$56)/7)+1=8),"🍄 Beauveria — solo","")))))))),IF('🌱 Configuração'!$B$56+101&lt;'🌱 Configuração'!$E$56,IF(AND('🌱 Configuração'!$B$56+101&gt;='🌱 Configuração'!$D$56,'🌱 Configuração'!$B$56+101&lt;'🌱 Configuração'!$E$56,MOD('🌱 Configuração'!$B$56+101-'🌱 Configuração'!$D$56,7)=0,INT(('🌱 Configuração'!$B$56+101-'🌱 Configuração'!$D$56)/7)+1=1),"🍄 Beauveria bassiana — SOLO apenas",IF(AND('🌱 Configuração'!$B$56+101&gt;='🌱 Configuração'!$D$56,'🌱 Configuração'!$B$56+101&lt;'🌱 Configuração'!$E$56,MOD('🌱 Configuração'!$B$56+101-'🌱 Configuração'!$D$56,7)=0,INT(('🌱 Configuração'!$B$56+101-'🌱 Configuração'!$D$56)/7)+1=2),"🦠 Trichoderma (3 g/L) — solo",IF(AND('🌱 Configuração'!$B$56+101&gt;='🌱 Configuração'!$D$56,'🌱 Configuração'!$B$56+101&lt;'🌱 Configuração'!$E$56,MOD('🌱 Configuração'!$B$56+101-'🌱 Configuração'!$D$56,7)=0,INT(('🌱 Configuração'!$B$56+101-'🌱 Configuração'!$D$56)/7)+1=3),"🍄 Beauveria bassiana — solo | ⚠️ Umid &lt;45%",IF(AND('🌱 Configuração'!$B$56+101&gt;='🌱 Configuração'!$D$56,'🌱 Configuração'!$B$56+101&lt;'🌱 Configuração'!$E$56,MOD('🌱 Configuração'!$B$56+101-'🌱 Configuração'!$D$56,7)=0,INT(('🌱 Configuração'!$B$56+101-'🌱 Configuração'!$D$56)/7)+1=4),"🦠 Trichoderma — solo | Inspecionar buds",IF(AND('🌱 Configuração'!$B$56+101&gt;='🌱 Configuração'!$D$56,'🌱 Configuração'!$B$56+101&lt;'🌱 Configuração'!$E$56,MOD('🌱 Configuração'!$B$56+101-'🌱 Configuração'!$D$56,7)=0,INT(('🌱 Configuração'!$B$56+101-'🌱 Configuração'!$D$56)/7)+1=5),"🍄 Beauveria + inspeção visual buds",IF(AND('🌱 Configuração'!$B$56+101&gt;='🌱 Configuração'!$D$56,'🌱 Configuração'!$B$56+101&lt;'🌱 Configuração'!$E$56,MOD('🌱 Configuração'!$B$56+101-'🌱 Configuração'!$D$56,7)=0,INT(('🌱 Configuração'!$B$56+101-'🌱 Configuração'!$D$56)/7)+1=6),"🦠 Trichoderma + ⚠️ Verificar mofo","")))))),IF(AND('🌱 Configuração'!$B$56+101&gt;='🌱 Configuração'!$E$56,MOD('🌱 Configuração'!$B$56+101-'🌱 Configuração'!$E$56,7)=0),"🔬 Inspeção final — analisar tricomas","")))))</f>
        <v/>
      </c>
      <c r="I107" s="33"/>
    </row>
    <row r="108" spans="1:9" ht="19.5" customHeight="1">
      <c r="A108" s="1"/>
      <c r="B108" s="35">
        <f>IF(103&lt;='🌱 Configuração'!$F$55,103,"")</f>
        <v>103</v>
      </c>
      <c r="C108" s="13">
        <f>IF(103&lt;='🌱 Configuração'!$F$55,'🌱 Configuração'!$B$56+102,"")</f>
        <v>102</v>
      </c>
      <c r="D108" s="36" t="str">
        <f>IF(103&gt;'🌱 Configuração'!$F$55,"",IF('🌱 Configuração'!$B$56+102&lt;'🌱 Configuração'!$C$56,"🌱 Clone",IF('🌱 Configuração'!$B$56+102&lt;'🌱 Configuração'!$D$56,"🌿 Vegetativo",IF('🌱 Configuração'!$B$56+102&lt;'🌱 Configuração'!$E$56,"🌸 Floração","🚿 Flush"))))</f>
        <v>🌸 Floração</v>
      </c>
      <c r="E108" s="15" t="str">
        <f>IF(103&gt;'🌱 Configuração'!$F$55,"",IF('🌱 Configuração'!$B$56+102&lt;'🌱 Configuração'!$C$56,"Clone S"&amp;INT((103-1)/7)+1,IF('🌱 Configuração'!$B$56+102&lt;'🌱 Configuração'!$D$56,"Vega S"&amp;INT(('🌱 Configuração'!$B$56+102-'🌱 Configuração'!$C$56)/7)+1,IF('🌱 Configuração'!$B$56+102&lt;'🌱 Configuração'!$E$56,"Flora S"&amp;INT(('🌱 Configuração'!$B$56+102-'🌱 Configuração'!$D$56)/7)+1,"Flush S"&amp;INT(('🌱 Configuração'!$B$56+102-'🌱 Configuração'!$E$56)/7)+1))))</f>
        <v>Flora S7</v>
      </c>
      <c r="F108" s="14" t="str">
        <f>IF(103&gt;'🌱 Configuração'!$F$55,"",IF('🌱 Configuração'!$B$56+102='🌱 Configuração'!$C$56,"🌿 INÍCIO VEGA — luz 18h/dia",IF('🌱 Configuração'!$B$56+102='🌱 Configuração'!$D$56,"🌸 INÍCIO FLORAÇÃO — mudar 12/12 🔴",IF('🌱 Configuração'!$B$56+102='🌱 Configuração'!$E$56,"🚿 INÍCIO FLUSH — parar nutrição",IF('🌱 Configuração'!$B$56+102='🌱 Configuração'!$F$56-1,"🔬 Véspera da colheita — analisar tricomas",IF('🌱 Configuração'!$B$56+102='🌱 Configuração'!$F$56,"✂️ COLHEITA — Parabéns! 🎉",""))))))</f>
        <v/>
      </c>
      <c r="G108" s="37" t="s">
        <v>428</v>
      </c>
      <c r="H108" s="38" t="str">
        <f>IF(103&gt;'🌱 Configuração'!$F$55,"",IF('🌱 Configuração'!$B$56+102&lt;'🌱 Configuração'!$C$56,IF(103=1,"🌿 Nim (2 mL/L) — foliar leve",IF(103=8,"🍄 Beauveria bassiana — foliar + solo","")),IF('🌱 Configuração'!$B$56+102&lt;'🌱 Configuração'!$D$56,IF(AND('🌱 Configuração'!$B$56+102&gt;='🌱 Configuração'!$C$56,'🌱 Configuração'!$B$56+102&lt;'🌱 Configuração'!$D$56,MOD('🌱 Configuração'!$B$56+102-'🌱 Configuração'!$C$56,7)=0,INT(('🌱 Configuração'!$B$56+102-'🌱 Configuração'!$C$56)/7)+1=1),"🌿 Nim (2 mL/L) — foliar preventivo",IF(AND('🌱 Configuração'!$B$56+102&gt;='🌱 Configuração'!$C$56,'🌱 Configuração'!$B$56+102&lt;'🌱 Configuração'!$D$56,MOD('🌱 Configuração'!$B$56+102-'🌱 Configuração'!$C$56,7)=0,INT(('🌱 Configuração'!$B$56+102-'🌱 Configuração'!$C$56)/7)+1=2),"🍄 Beauveria bassiana — foliar + solo",IF(AND('🌱 Configuração'!$B$56+102&gt;='🌱 Configuração'!$C$56,'🌱 Configuração'!$B$56+102&lt;'🌱 Configuração'!$D$56,MOD('🌱 Configuração'!$B$56+102-'🌱 Configuração'!$C$56,7)=0,INT(('🌱 Configuração'!$B$56+102-'🌱 Configuração'!$C$56)/7)+1=3),"🟡 Calda Sulfocálcica (1%) — foliar",IF(AND('🌱 Configuração'!$B$56+102&gt;='🌱 Configuração'!$C$56,'🌱 Configuração'!$B$56+102&lt;'🌱 Configuração'!$D$56,MOD('🌱 Configuração'!$B$56+102-'🌱 Configuração'!$C$56,7)=0,INT(('🌱 Configuração'!$B$56+102-'🌱 Configuração'!$C$56)/7)+1=4),"🦠 Trichoderma (3 g/L) — solo",IF(AND('🌱 Configuração'!$B$56+102&gt;='🌱 Configuração'!$C$56,'🌱 Configuração'!$B$56+102&lt;'🌱 Configuração'!$D$56,MOD('🌱 Configuração'!$B$56+102-'🌱 Configuração'!$C$56,7)=0,INT(('🌱 Configuração'!$B$56+102-'🌱 Configuração'!$C$56)/7)+1=5),"🔵 Calda Bordalesa (0.5%) — foliar",IF(AND('🌱 Configuração'!$B$56+102&gt;='🌱 Configuração'!$C$56,'🌱 Configuração'!$B$56+102&lt;'🌱 Configuração'!$D$56,MOD('🌱 Configuração'!$B$56+102-'🌱 Configuração'!$C$56,7)=0,INT(('🌱 Configuração'!$B$56+102-'🌱 Configuração'!$C$56)/7)+1=6),"🌿 Nim (2 mL/L) — ⚠️ ÚLTIMA foliar",IF(AND('🌱 Configuração'!$B$56+102&gt;='🌱 Configuração'!$C$56,'🌱 Configuração'!$B$56+102&lt;'🌱 Configuração'!$D$56,MOD('🌱 Configuração'!$B$56+102-'🌱 Configuração'!$C$56,7)=0,INT(('🌱 Configuração'!$B$56+102-'🌱 Configuração'!$C$56)/7)+1=7),"🦠 Trichoderma — solo",IF(AND('🌱 Configuração'!$B$56+102&gt;='🌱 Configuração'!$C$56,'🌱 Configuração'!$B$56+102&lt;'🌱 Configuração'!$D$56,MOD('🌱 Configuração'!$B$56+102-'🌱 Configuração'!$C$56,7)=0,INT(('🌱 Configuração'!$B$56+102-'🌱 Configuração'!$C$56)/7)+1=8),"🍄 Beauveria — solo","")))))))),IF('🌱 Configuração'!$B$56+102&lt;'🌱 Configuração'!$E$56,IF(AND('🌱 Configuração'!$B$56+102&gt;='🌱 Configuração'!$D$56,'🌱 Configuração'!$B$56+102&lt;'🌱 Configuração'!$E$56,MOD('🌱 Configuração'!$B$56+102-'🌱 Configuração'!$D$56,7)=0,INT(('🌱 Configuração'!$B$56+102-'🌱 Configuração'!$D$56)/7)+1=1),"🍄 Beauveria bassiana — SOLO apenas",IF(AND('🌱 Configuração'!$B$56+102&gt;='🌱 Configuração'!$D$56,'🌱 Configuração'!$B$56+102&lt;'🌱 Configuração'!$E$56,MOD('🌱 Configuração'!$B$56+102-'🌱 Configuração'!$D$56,7)=0,INT(('🌱 Configuração'!$B$56+102-'🌱 Configuração'!$D$56)/7)+1=2),"🦠 Trichoderma (3 g/L) — solo",IF(AND('🌱 Configuração'!$B$56+102&gt;='🌱 Configuração'!$D$56,'🌱 Configuração'!$B$56+102&lt;'🌱 Configuração'!$E$56,MOD('🌱 Configuração'!$B$56+102-'🌱 Configuração'!$D$56,7)=0,INT(('🌱 Configuração'!$B$56+102-'🌱 Configuração'!$D$56)/7)+1=3),"🍄 Beauveria bassiana — solo | ⚠️ Umid &lt;45%",IF(AND('🌱 Configuração'!$B$56+102&gt;='🌱 Configuração'!$D$56,'🌱 Configuração'!$B$56+102&lt;'🌱 Configuração'!$E$56,MOD('🌱 Configuração'!$B$56+102-'🌱 Configuração'!$D$56,7)=0,INT(('🌱 Configuração'!$B$56+102-'🌱 Configuração'!$D$56)/7)+1=4),"🦠 Trichoderma — solo | Inspecionar buds",IF(AND('🌱 Configuração'!$B$56+102&gt;='🌱 Configuração'!$D$56,'🌱 Configuração'!$B$56+102&lt;'🌱 Configuração'!$E$56,MOD('🌱 Configuração'!$B$56+102-'🌱 Configuração'!$D$56,7)=0,INT(('🌱 Configuração'!$B$56+102-'🌱 Configuração'!$D$56)/7)+1=5),"🍄 Beauveria + inspeção visual buds",IF(AND('🌱 Configuração'!$B$56+102&gt;='🌱 Configuração'!$D$56,'🌱 Configuração'!$B$56+102&lt;'🌱 Configuração'!$E$56,MOD('🌱 Configuração'!$B$56+102-'🌱 Configuração'!$D$56,7)=0,INT(('🌱 Configuração'!$B$56+102-'🌱 Configuração'!$D$56)/7)+1=6),"🦠 Trichoderma + ⚠️ Verificar mofo","")))))),IF(AND('🌱 Configuração'!$B$56+102&gt;='🌱 Configuração'!$E$56,MOD('🌱 Configuração'!$B$56+102-'🌱 Configuração'!$E$56,7)=0),"🔬 Inspeção final — analisar tricomas","")))))</f>
        <v/>
      </c>
      <c r="I108" s="33"/>
    </row>
    <row r="109" spans="1:9" ht="19.5" customHeight="1">
      <c r="A109" s="1"/>
      <c r="B109" s="39">
        <f>IF(104&lt;='🌱 Configuração'!$F$55,104,"")</f>
        <v>104</v>
      </c>
      <c r="C109" s="40">
        <f>IF(104&lt;='🌱 Configuração'!$F$55,'🌱 Configuração'!$B$56+103,"")</f>
        <v>103</v>
      </c>
      <c r="D109" s="41" t="str">
        <f>IF(104&gt;'🌱 Configuração'!$F$55,"",IF('🌱 Configuração'!$B$56+103&lt;'🌱 Configuração'!$C$56,"🌱 Clone",IF('🌱 Configuração'!$B$56+103&lt;'🌱 Configuração'!$D$56,"🌿 Vegetativo",IF('🌱 Configuração'!$B$56+103&lt;'🌱 Configuração'!$E$56,"🌸 Floração","🚿 Flush"))))</f>
        <v>🌸 Floração</v>
      </c>
      <c r="E109" s="42" t="str">
        <f>IF(104&gt;'🌱 Configuração'!$F$55,"",IF('🌱 Configuração'!$B$56+103&lt;'🌱 Configuração'!$C$56,"Clone S"&amp;INT((104-1)/7)+1,IF('🌱 Configuração'!$B$56+103&lt;'🌱 Configuração'!$D$56,"Vega S"&amp;INT(('🌱 Configuração'!$B$56+103-'🌱 Configuração'!$C$56)/7)+1,IF('🌱 Configuração'!$B$56+103&lt;'🌱 Configuração'!$E$56,"Flora S"&amp;INT(('🌱 Configuração'!$B$56+103-'🌱 Configuração'!$D$56)/7)+1,"Flush S"&amp;INT(('🌱 Configuração'!$B$56+103-'🌱 Configuração'!$E$56)/7)+1))))</f>
        <v>Flora S7</v>
      </c>
      <c r="F109" s="43" t="str">
        <f>IF(104&gt;'🌱 Configuração'!$F$55,"",IF('🌱 Configuração'!$B$56+103='🌱 Configuração'!$C$56,"🌿 INÍCIO VEGA — luz 18h/dia",IF('🌱 Configuração'!$B$56+103='🌱 Configuração'!$D$56,"🌸 INÍCIO FLORAÇÃO — mudar 12/12 🔴",IF('🌱 Configuração'!$B$56+103='🌱 Configuração'!$E$56,"🚿 INÍCIO FLUSH — parar nutrição",IF('🌱 Configuração'!$B$56+103='🌱 Configuração'!$F$56-1,"🔬 Véspera da colheita — analisar tricomas",IF('🌱 Configuração'!$B$56+103='🌱 Configuração'!$F$56,"✂️ COLHEITA — Parabéns! 🎉",""))))))</f>
        <v/>
      </c>
      <c r="G109" s="44" t="s">
        <v>428</v>
      </c>
      <c r="H109" s="45" t="str">
        <f>IF(104&gt;'🌱 Configuração'!$F$55,"",IF('🌱 Configuração'!$B$56+103&lt;'🌱 Configuração'!$C$56,IF(104=1,"🌿 Nim (2 mL/L) — foliar leve",IF(104=8,"🍄 Beauveria bassiana — foliar + solo","")),IF('🌱 Configuração'!$B$56+103&lt;'🌱 Configuração'!$D$56,IF(AND('🌱 Configuração'!$B$56+103&gt;='🌱 Configuração'!$C$56,'🌱 Configuração'!$B$56+103&lt;'🌱 Configuração'!$D$56,MOD('🌱 Configuração'!$B$56+103-'🌱 Configuração'!$C$56,7)=0,INT(('🌱 Configuração'!$B$56+103-'🌱 Configuração'!$C$56)/7)+1=1),"🌿 Nim (2 mL/L) — foliar preventivo",IF(AND('🌱 Configuração'!$B$56+103&gt;='🌱 Configuração'!$C$56,'🌱 Configuração'!$B$56+103&lt;'🌱 Configuração'!$D$56,MOD('🌱 Configuração'!$B$56+103-'🌱 Configuração'!$C$56,7)=0,INT(('🌱 Configuração'!$B$56+103-'🌱 Configuração'!$C$56)/7)+1=2),"🍄 Beauveria bassiana — foliar + solo",IF(AND('🌱 Configuração'!$B$56+103&gt;='🌱 Configuração'!$C$56,'🌱 Configuração'!$B$56+103&lt;'🌱 Configuração'!$D$56,MOD('🌱 Configuração'!$B$56+103-'🌱 Configuração'!$C$56,7)=0,INT(('🌱 Configuração'!$B$56+103-'🌱 Configuração'!$C$56)/7)+1=3),"🟡 Calda Sulfocálcica (1%) — foliar",IF(AND('🌱 Configuração'!$B$56+103&gt;='🌱 Configuração'!$C$56,'🌱 Configuração'!$B$56+103&lt;'🌱 Configuração'!$D$56,MOD('🌱 Configuração'!$B$56+103-'🌱 Configuração'!$C$56,7)=0,INT(('🌱 Configuração'!$B$56+103-'🌱 Configuração'!$C$56)/7)+1=4),"🦠 Trichoderma (3 g/L) — solo",IF(AND('🌱 Configuração'!$B$56+103&gt;='🌱 Configuração'!$C$56,'🌱 Configuração'!$B$56+103&lt;'🌱 Configuração'!$D$56,MOD('🌱 Configuração'!$B$56+103-'🌱 Configuração'!$C$56,7)=0,INT(('🌱 Configuração'!$B$56+103-'🌱 Configuração'!$C$56)/7)+1=5),"🔵 Calda Bordalesa (0.5%) — foliar",IF(AND('🌱 Configuração'!$B$56+103&gt;='🌱 Configuração'!$C$56,'🌱 Configuração'!$B$56+103&lt;'🌱 Configuração'!$D$56,MOD('🌱 Configuração'!$B$56+103-'🌱 Configuração'!$C$56,7)=0,INT(('🌱 Configuração'!$B$56+103-'🌱 Configuração'!$C$56)/7)+1=6),"🌿 Nim (2 mL/L) — ⚠️ ÚLTIMA foliar",IF(AND('🌱 Configuração'!$B$56+103&gt;='🌱 Configuração'!$C$56,'🌱 Configuração'!$B$56+103&lt;'🌱 Configuração'!$D$56,MOD('🌱 Configuração'!$B$56+103-'🌱 Configuração'!$C$56,7)=0,INT(('🌱 Configuração'!$B$56+103-'🌱 Configuração'!$C$56)/7)+1=7),"🦠 Trichoderma — solo",IF(AND('🌱 Configuração'!$B$56+103&gt;='🌱 Configuração'!$C$56,'🌱 Configuração'!$B$56+103&lt;'🌱 Configuração'!$D$56,MOD('🌱 Configuração'!$B$56+103-'🌱 Configuração'!$C$56,7)=0,INT(('🌱 Configuração'!$B$56+103-'🌱 Configuração'!$C$56)/7)+1=8),"🍄 Beauveria — solo","")))))))),IF('🌱 Configuração'!$B$56+103&lt;'🌱 Configuração'!$E$56,IF(AND('🌱 Configuração'!$B$56+103&gt;='🌱 Configuração'!$D$56,'🌱 Configuração'!$B$56+103&lt;'🌱 Configuração'!$E$56,MOD('🌱 Configuração'!$B$56+103-'🌱 Configuração'!$D$56,7)=0,INT(('🌱 Configuração'!$B$56+103-'🌱 Configuração'!$D$56)/7)+1=1),"🍄 Beauveria bassiana — SOLO apenas",IF(AND('🌱 Configuração'!$B$56+103&gt;='🌱 Configuração'!$D$56,'🌱 Configuração'!$B$56+103&lt;'🌱 Configuração'!$E$56,MOD('🌱 Configuração'!$B$56+103-'🌱 Configuração'!$D$56,7)=0,INT(('🌱 Configuração'!$B$56+103-'🌱 Configuração'!$D$56)/7)+1=2),"🦠 Trichoderma (3 g/L) — solo",IF(AND('🌱 Configuração'!$B$56+103&gt;='🌱 Configuração'!$D$56,'🌱 Configuração'!$B$56+103&lt;'🌱 Configuração'!$E$56,MOD('🌱 Configuração'!$B$56+103-'🌱 Configuração'!$D$56,7)=0,INT(('🌱 Configuração'!$B$56+103-'🌱 Configuração'!$D$56)/7)+1=3),"🍄 Beauveria bassiana — solo | ⚠️ Umid &lt;45%",IF(AND('🌱 Configuração'!$B$56+103&gt;='🌱 Configuração'!$D$56,'🌱 Configuração'!$B$56+103&lt;'🌱 Configuração'!$E$56,MOD('🌱 Configuração'!$B$56+103-'🌱 Configuração'!$D$56,7)=0,INT(('🌱 Configuração'!$B$56+103-'🌱 Configuração'!$D$56)/7)+1=4),"🦠 Trichoderma — solo | Inspecionar buds",IF(AND('🌱 Configuração'!$B$56+103&gt;='🌱 Configuração'!$D$56,'🌱 Configuração'!$B$56+103&lt;'🌱 Configuração'!$E$56,MOD('🌱 Configuração'!$B$56+103-'🌱 Configuração'!$D$56,7)=0,INT(('🌱 Configuração'!$B$56+103-'🌱 Configuração'!$D$56)/7)+1=5),"🍄 Beauveria + inspeção visual buds",IF(AND('🌱 Configuração'!$B$56+103&gt;='🌱 Configuração'!$D$56,'🌱 Configuração'!$B$56+103&lt;'🌱 Configuração'!$E$56,MOD('🌱 Configuração'!$B$56+103-'🌱 Configuração'!$D$56,7)=0,INT(('🌱 Configuração'!$B$56+103-'🌱 Configuração'!$D$56)/7)+1=6),"🦠 Trichoderma + ⚠️ Verificar mofo","")))))),IF(AND('🌱 Configuração'!$B$56+103&gt;='🌱 Configuração'!$E$56,MOD('🌱 Configuração'!$B$56+103-'🌱 Configuração'!$E$56,7)=0),"🔬 Inspeção final — analisar tricomas","")))))</f>
        <v/>
      </c>
      <c r="I109" s="33"/>
    </row>
    <row r="110" spans="1:9" ht="19.5" customHeight="1">
      <c r="A110" s="1"/>
      <c r="B110" s="35">
        <f>IF(105&lt;='🌱 Configuração'!$F$55,105,"")</f>
        <v>105</v>
      </c>
      <c r="C110" s="13">
        <f>IF(105&lt;='🌱 Configuração'!$F$55,'🌱 Configuração'!$B$56+104,"")</f>
        <v>104</v>
      </c>
      <c r="D110" s="36" t="str">
        <f>IF(105&gt;'🌱 Configuração'!$F$55,"",IF('🌱 Configuração'!$B$56+104&lt;'🌱 Configuração'!$C$56,"🌱 Clone",IF('🌱 Configuração'!$B$56+104&lt;'🌱 Configuração'!$D$56,"🌿 Vegetativo",IF('🌱 Configuração'!$B$56+104&lt;'🌱 Configuração'!$E$56,"🌸 Floração","🚿 Flush"))))</f>
        <v>🌸 Floração</v>
      </c>
      <c r="E110" s="15" t="str">
        <f>IF(105&gt;'🌱 Configuração'!$F$55,"",IF('🌱 Configuração'!$B$56+104&lt;'🌱 Configuração'!$C$56,"Clone S"&amp;INT((105-1)/7)+1,IF('🌱 Configuração'!$B$56+104&lt;'🌱 Configuração'!$D$56,"Vega S"&amp;INT(('🌱 Configuração'!$B$56+104-'🌱 Configuração'!$C$56)/7)+1,IF('🌱 Configuração'!$B$56+104&lt;'🌱 Configuração'!$E$56,"Flora S"&amp;INT(('🌱 Configuração'!$B$56+104-'🌱 Configuração'!$D$56)/7)+1,"Flush S"&amp;INT(('🌱 Configuração'!$B$56+104-'🌱 Configuração'!$E$56)/7)+1))))</f>
        <v>Flora S7</v>
      </c>
      <c r="F110" s="14" t="str">
        <f>IF(105&gt;'🌱 Configuração'!$F$55,"",IF('🌱 Configuração'!$B$56+104='🌱 Configuração'!$C$56,"🌿 INÍCIO VEGA — luz 18h/dia",IF('🌱 Configuração'!$B$56+104='🌱 Configuração'!$D$56,"🌸 INÍCIO FLORAÇÃO — mudar 12/12 🔴",IF('🌱 Configuração'!$B$56+104='🌱 Configuração'!$E$56,"🚿 INÍCIO FLUSH — parar nutrição",IF('🌱 Configuração'!$B$56+104='🌱 Configuração'!$F$56-1,"🔬 Véspera da colheita — analisar tricomas",IF('🌱 Configuração'!$B$56+104='🌱 Configuração'!$F$56,"✂️ COLHEITA — Parabéns! 🎉",""))))))</f>
        <v/>
      </c>
      <c r="G110" s="37" t="s">
        <v>428</v>
      </c>
      <c r="H110" s="38" t="str">
        <f>IF(105&gt;'🌱 Configuração'!$F$55,"",IF('🌱 Configuração'!$B$56+104&lt;'🌱 Configuração'!$C$56,IF(105=1,"🌿 Nim (2 mL/L) — foliar leve",IF(105=8,"🍄 Beauveria bassiana — foliar + solo","")),IF('🌱 Configuração'!$B$56+104&lt;'🌱 Configuração'!$D$56,IF(AND('🌱 Configuração'!$B$56+104&gt;='🌱 Configuração'!$C$56,'🌱 Configuração'!$B$56+104&lt;'🌱 Configuração'!$D$56,MOD('🌱 Configuração'!$B$56+104-'🌱 Configuração'!$C$56,7)=0,INT(('🌱 Configuração'!$B$56+104-'🌱 Configuração'!$C$56)/7)+1=1),"🌿 Nim (2 mL/L) — foliar preventivo",IF(AND('🌱 Configuração'!$B$56+104&gt;='🌱 Configuração'!$C$56,'🌱 Configuração'!$B$56+104&lt;'🌱 Configuração'!$D$56,MOD('🌱 Configuração'!$B$56+104-'🌱 Configuração'!$C$56,7)=0,INT(('🌱 Configuração'!$B$56+104-'🌱 Configuração'!$C$56)/7)+1=2),"🍄 Beauveria bassiana — foliar + solo",IF(AND('🌱 Configuração'!$B$56+104&gt;='🌱 Configuração'!$C$56,'🌱 Configuração'!$B$56+104&lt;'🌱 Configuração'!$D$56,MOD('🌱 Configuração'!$B$56+104-'🌱 Configuração'!$C$56,7)=0,INT(('🌱 Configuração'!$B$56+104-'🌱 Configuração'!$C$56)/7)+1=3),"🟡 Calda Sulfocálcica (1%) — foliar",IF(AND('🌱 Configuração'!$B$56+104&gt;='🌱 Configuração'!$C$56,'🌱 Configuração'!$B$56+104&lt;'🌱 Configuração'!$D$56,MOD('🌱 Configuração'!$B$56+104-'🌱 Configuração'!$C$56,7)=0,INT(('🌱 Configuração'!$B$56+104-'🌱 Configuração'!$C$56)/7)+1=4),"🦠 Trichoderma (3 g/L) — solo",IF(AND('🌱 Configuração'!$B$56+104&gt;='🌱 Configuração'!$C$56,'🌱 Configuração'!$B$56+104&lt;'🌱 Configuração'!$D$56,MOD('🌱 Configuração'!$B$56+104-'🌱 Configuração'!$C$56,7)=0,INT(('🌱 Configuração'!$B$56+104-'🌱 Configuração'!$C$56)/7)+1=5),"🔵 Calda Bordalesa (0.5%) — foliar",IF(AND('🌱 Configuração'!$B$56+104&gt;='🌱 Configuração'!$C$56,'🌱 Configuração'!$B$56+104&lt;'🌱 Configuração'!$D$56,MOD('🌱 Configuração'!$B$56+104-'🌱 Configuração'!$C$56,7)=0,INT(('🌱 Configuração'!$B$56+104-'🌱 Configuração'!$C$56)/7)+1=6),"🌿 Nim (2 mL/L) — ⚠️ ÚLTIMA foliar",IF(AND('🌱 Configuração'!$B$56+104&gt;='🌱 Configuração'!$C$56,'🌱 Configuração'!$B$56+104&lt;'🌱 Configuração'!$D$56,MOD('🌱 Configuração'!$B$56+104-'🌱 Configuração'!$C$56,7)=0,INT(('🌱 Configuração'!$B$56+104-'🌱 Configuração'!$C$56)/7)+1=7),"🦠 Trichoderma — solo",IF(AND('🌱 Configuração'!$B$56+104&gt;='🌱 Configuração'!$C$56,'🌱 Configuração'!$B$56+104&lt;'🌱 Configuração'!$D$56,MOD('🌱 Configuração'!$B$56+104-'🌱 Configuração'!$C$56,7)=0,INT(('🌱 Configuração'!$B$56+104-'🌱 Configuração'!$C$56)/7)+1=8),"🍄 Beauveria — solo","")))))))),IF('🌱 Configuração'!$B$56+104&lt;'🌱 Configuração'!$E$56,IF(AND('🌱 Configuração'!$B$56+104&gt;='🌱 Configuração'!$D$56,'🌱 Configuração'!$B$56+104&lt;'🌱 Configuração'!$E$56,MOD('🌱 Configuração'!$B$56+104-'🌱 Configuração'!$D$56,7)=0,INT(('🌱 Configuração'!$B$56+104-'🌱 Configuração'!$D$56)/7)+1=1),"🍄 Beauveria bassiana — SOLO apenas",IF(AND('🌱 Configuração'!$B$56+104&gt;='🌱 Configuração'!$D$56,'🌱 Configuração'!$B$56+104&lt;'🌱 Configuração'!$E$56,MOD('🌱 Configuração'!$B$56+104-'🌱 Configuração'!$D$56,7)=0,INT(('🌱 Configuração'!$B$56+104-'🌱 Configuração'!$D$56)/7)+1=2),"🦠 Trichoderma (3 g/L) — solo",IF(AND('🌱 Configuração'!$B$56+104&gt;='🌱 Configuração'!$D$56,'🌱 Configuração'!$B$56+104&lt;'🌱 Configuração'!$E$56,MOD('🌱 Configuração'!$B$56+104-'🌱 Configuração'!$D$56,7)=0,INT(('🌱 Configuração'!$B$56+104-'🌱 Configuração'!$D$56)/7)+1=3),"🍄 Beauveria bassiana — solo | ⚠️ Umid &lt;45%",IF(AND('🌱 Configuração'!$B$56+104&gt;='🌱 Configuração'!$D$56,'🌱 Configuração'!$B$56+104&lt;'🌱 Configuração'!$E$56,MOD('🌱 Configuração'!$B$56+104-'🌱 Configuração'!$D$56,7)=0,INT(('🌱 Configuração'!$B$56+104-'🌱 Configuração'!$D$56)/7)+1=4),"🦠 Trichoderma — solo | Inspecionar buds",IF(AND('🌱 Configuração'!$B$56+104&gt;='🌱 Configuração'!$D$56,'🌱 Configuração'!$B$56+104&lt;'🌱 Configuração'!$E$56,MOD('🌱 Configuração'!$B$56+104-'🌱 Configuração'!$D$56,7)=0,INT(('🌱 Configuração'!$B$56+104-'🌱 Configuração'!$D$56)/7)+1=5),"🍄 Beauveria + inspeção visual buds",IF(AND('🌱 Configuração'!$B$56+104&gt;='🌱 Configuração'!$D$56,'🌱 Configuração'!$B$56+104&lt;'🌱 Configuração'!$E$56,MOD('🌱 Configuração'!$B$56+104-'🌱 Configuração'!$D$56,7)=0,INT(('🌱 Configuração'!$B$56+104-'🌱 Configuração'!$D$56)/7)+1=6),"🦠 Trichoderma + ⚠️ Verificar mofo","")))))),IF(AND('🌱 Configuração'!$B$56+104&gt;='🌱 Configuração'!$E$56,MOD('🌱 Configuração'!$B$56+104-'🌱 Configuração'!$E$56,7)=0),"🔬 Inspeção final — analisar tricomas","")))))</f>
        <v/>
      </c>
      <c r="I110" s="33"/>
    </row>
    <row r="111" spans="1:9" ht="19.5" customHeight="1">
      <c r="A111" s="1"/>
      <c r="B111" s="39">
        <f>IF(106&lt;='🌱 Configuração'!$F$55,106,"")</f>
        <v>106</v>
      </c>
      <c r="C111" s="40">
        <f>IF(106&lt;='🌱 Configuração'!$F$55,'🌱 Configuração'!$B$56+105,"")</f>
        <v>105</v>
      </c>
      <c r="D111" s="41" t="str">
        <f>IF(106&gt;'🌱 Configuração'!$F$55,"",IF('🌱 Configuração'!$B$56+105&lt;'🌱 Configuração'!$C$56,"🌱 Clone",IF('🌱 Configuração'!$B$56+105&lt;'🌱 Configuração'!$D$56,"🌿 Vegetativo",IF('🌱 Configuração'!$B$56+105&lt;'🌱 Configuração'!$E$56,"🌸 Floração","🚿 Flush"))))</f>
        <v>🌸 Floração</v>
      </c>
      <c r="E111" s="42" t="str">
        <f>IF(106&gt;'🌱 Configuração'!$F$55,"",IF('🌱 Configuração'!$B$56+105&lt;'🌱 Configuração'!$C$56,"Clone S"&amp;INT((106-1)/7)+1,IF('🌱 Configuração'!$B$56+105&lt;'🌱 Configuração'!$D$56,"Vega S"&amp;INT(('🌱 Configuração'!$B$56+105-'🌱 Configuração'!$C$56)/7)+1,IF('🌱 Configuração'!$B$56+105&lt;'🌱 Configuração'!$E$56,"Flora S"&amp;INT(('🌱 Configuração'!$B$56+105-'🌱 Configuração'!$D$56)/7)+1,"Flush S"&amp;INT(('🌱 Configuração'!$B$56+105-'🌱 Configuração'!$E$56)/7)+1))))</f>
        <v>Flora S8</v>
      </c>
      <c r="F111" s="43" t="str">
        <f>IF(106&gt;'🌱 Configuração'!$F$55,"",IF('🌱 Configuração'!$B$56+105='🌱 Configuração'!$C$56,"🌿 INÍCIO VEGA — luz 18h/dia",IF('🌱 Configuração'!$B$56+105='🌱 Configuração'!$D$56,"🌸 INÍCIO FLORAÇÃO — mudar 12/12 🔴",IF('🌱 Configuração'!$B$56+105='🌱 Configuração'!$E$56,"🚿 INÍCIO FLUSH — parar nutrição",IF('🌱 Configuração'!$B$56+105='🌱 Configuração'!$F$56-1,"🔬 Véspera da colheita — analisar tricomas",IF('🌱 Configuração'!$B$56+105='🌱 Configuração'!$F$56,"✂️ COLHEITA — Parabéns! 🎉",""))))))</f>
        <v/>
      </c>
      <c r="G111" s="44" t="s">
        <v>440</v>
      </c>
      <c r="H111" s="45" t="str">
        <f>IF(106&gt;'🌱 Configuração'!$F$55,"",IF('🌱 Configuração'!$B$56+105&lt;'🌱 Configuração'!$C$56,IF(106=1,"🌿 Nim (2 mL/L) — foliar leve",IF(106=8,"🍄 Beauveria bassiana — foliar + solo","")),IF('🌱 Configuração'!$B$56+105&lt;'🌱 Configuração'!$D$56,IF(AND('🌱 Configuração'!$B$56+105&gt;='🌱 Configuração'!$C$56,'🌱 Configuração'!$B$56+105&lt;'🌱 Configuração'!$D$56,MOD('🌱 Configuração'!$B$56+105-'🌱 Configuração'!$C$56,7)=0,INT(('🌱 Configuração'!$B$56+105-'🌱 Configuração'!$C$56)/7)+1=1),"🌿 Nim (2 mL/L) — foliar preventivo",IF(AND('🌱 Configuração'!$B$56+105&gt;='🌱 Configuração'!$C$56,'🌱 Configuração'!$B$56+105&lt;'🌱 Configuração'!$D$56,MOD('🌱 Configuração'!$B$56+105-'🌱 Configuração'!$C$56,7)=0,INT(('🌱 Configuração'!$B$56+105-'🌱 Configuração'!$C$56)/7)+1=2),"🍄 Beauveria bassiana — foliar + solo",IF(AND('🌱 Configuração'!$B$56+105&gt;='🌱 Configuração'!$C$56,'🌱 Configuração'!$B$56+105&lt;'🌱 Configuração'!$D$56,MOD('🌱 Configuração'!$B$56+105-'🌱 Configuração'!$C$56,7)=0,INT(('🌱 Configuração'!$B$56+105-'🌱 Configuração'!$C$56)/7)+1=3),"🟡 Calda Sulfocálcica (1%) — foliar",IF(AND('🌱 Configuração'!$B$56+105&gt;='🌱 Configuração'!$C$56,'🌱 Configuração'!$B$56+105&lt;'🌱 Configuração'!$D$56,MOD('🌱 Configuração'!$B$56+105-'🌱 Configuração'!$C$56,7)=0,INT(('🌱 Configuração'!$B$56+105-'🌱 Configuração'!$C$56)/7)+1=4),"🦠 Trichoderma (3 g/L) — solo",IF(AND('🌱 Configuração'!$B$56+105&gt;='🌱 Configuração'!$C$56,'🌱 Configuração'!$B$56+105&lt;'🌱 Configuração'!$D$56,MOD('🌱 Configuração'!$B$56+105-'🌱 Configuração'!$C$56,7)=0,INT(('🌱 Configuração'!$B$56+105-'🌱 Configuração'!$C$56)/7)+1=5),"🔵 Calda Bordalesa (0.5%) — foliar",IF(AND('🌱 Configuração'!$B$56+105&gt;='🌱 Configuração'!$C$56,'🌱 Configuração'!$B$56+105&lt;'🌱 Configuração'!$D$56,MOD('🌱 Configuração'!$B$56+105-'🌱 Configuração'!$C$56,7)=0,INT(('🌱 Configuração'!$B$56+105-'🌱 Configuração'!$C$56)/7)+1=6),"🌿 Nim (2 mL/L) — ⚠️ ÚLTIMA foliar",IF(AND('🌱 Configuração'!$B$56+105&gt;='🌱 Configuração'!$C$56,'🌱 Configuração'!$B$56+105&lt;'🌱 Configuração'!$D$56,MOD('🌱 Configuração'!$B$56+105-'🌱 Configuração'!$C$56,7)=0,INT(('🌱 Configuração'!$B$56+105-'🌱 Configuração'!$C$56)/7)+1=7),"🦠 Trichoderma — solo",IF(AND('🌱 Configuração'!$B$56+105&gt;='🌱 Configuração'!$C$56,'🌱 Configuração'!$B$56+105&lt;'🌱 Configuração'!$D$56,MOD('🌱 Configuração'!$B$56+105-'🌱 Configuração'!$C$56,7)=0,INT(('🌱 Configuração'!$B$56+105-'🌱 Configuração'!$C$56)/7)+1=8),"🍄 Beauveria — solo","")))))))),IF('🌱 Configuração'!$B$56+105&lt;'🌱 Configuração'!$E$56,IF(AND('🌱 Configuração'!$B$56+105&gt;='🌱 Configuração'!$D$56,'🌱 Configuração'!$B$56+105&lt;'🌱 Configuração'!$E$56,MOD('🌱 Configuração'!$B$56+105-'🌱 Configuração'!$D$56,7)=0,INT(('🌱 Configuração'!$B$56+105-'🌱 Configuração'!$D$56)/7)+1=1),"🍄 Beauveria bassiana — SOLO apenas",IF(AND('🌱 Configuração'!$B$56+105&gt;='🌱 Configuração'!$D$56,'🌱 Configuração'!$B$56+105&lt;'🌱 Configuração'!$E$56,MOD('🌱 Configuração'!$B$56+105-'🌱 Configuração'!$D$56,7)=0,INT(('🌱 Configuração'!$B$56+105-'🌱 Configuração'!$D$56)/7)+1=2),"🦠 Trichoderma (3 g/L) — solo",IF(AND('🌱 Configuração'!$B$56+105&gt;='🌱 Configuração'!$D$56,'🌱 Configuração'!$B$56+105&lt;'🌱 Configuração'!$E$56,MOD('🌱 Configuração'!$B$56+105-'🌱 Configuração'!$D$56,7)=0,INT(('🌱 Configuração'!$B$56+105-'🌱 Configuração'!$D$56)/7)+1=3),"🍄 Beauveria bassiana — solo | ⚠️ Umid &lt;45%",IF(AND('🌱 Configuração'!$B$56+105&gt;='🌱 Configuração'!$D$56,'🌱 Configuração'!$B$56+105&lt;'🌱 Configuração'!$E$56,MOD('🌱 Configuração'!$B$56+105-'🌱 Configuração'!$D$56,7)=0,INT(('🌱 Configuração'!$B$56+105-'🌱 Configuração'!$D$56)/7)+1=4),"🦠 Trichoderma — solo | Inspecionar buds",IF(AND('🌱 Configuração'!$B$56+105&gt;='🌱 Configuração'!$D$56,'🌱 Configuração'!$B$56+105&lt;'🌱 Configuração'!$E$56,MOD('🌱 Configuração'!$B$56+105-'🌱 Configuração'!$D$56,7)=0,INT(('🌱 Configuração'!$B$56+105-'🌱 Configuração'!$D$56)/7)+1=5),"🍄 Beauveria + inspeção visual buds",IF(AND('🌱 Configuração'!$B$56+105&gt;='🌱 Configuração'!$D$56,'🌱 Configuração'!$B$56+105&lt;'🌱 Configuração'!$E$56,MOD('🌱 Configuração'!$B$56+105-'🌱 Configuração'!$D$56,7)=0,INT(('🌱 Configuração'!$B$56+105-'🌱 Configuração'!$D$56)/7)+1=6),"🦠 Trichoderma + ⚠️ Verificar mofo","")))))),IF(AND('🌱 Configuração'!$B$56+105&gt;='🌱 Configuração'!$E$56,MOD('🌱 Configuração'!$B$56+105-'🌱 Configuração'!$E$56,7)=0),"🔬 Inspeção final — analisar tricomas","")))))</f>
        <v/>
      </c>
      <c r="I111" s="33"/>
    </row>
    <row r="112" spans="1:9" ht="19.5" customHeight="1">
      <c r="A112" s="1"/>
      <c r="B112" s="35">
        <f>IF(107&lt;='🌱 Configuração'!$F$55,107,"")</f>
        <v>107</v>
      </c>
      <c r="C112" s="13">
        <f>IF(107&lt;='🌱 Configuração'!$F$55,'🌱 Configuração'!$B$56+106,"")</f>
        <v>106</v>
      </c>
      <c r="D112" s="36" t="str">
        <f>IF(107&gt;'🌱 Configuração'!$F$55,"",IF('🌱 Configuração'!$B$56+106&lt;'🌱 Configuração'!$C$56,"🌱 Clone",IF('🌱 Configuração'!$B$56+106&lt;'🌱 Configuração'!$D$56,"🌿 Vegetativo",IF('🌱 Configuração'!$B$56+106&lt;'🌱 Configuração'!$E$56,"🌸 Floração","🚿 Flush"))))</f>
        <v>🌸 Floração</v>
      </c>
      <c r="E112" s="15" t="str">
        <f>IF(107&gt;'🌱 Configuração'!$F$55,"",IF('🌱 Configuração'!$B$56+106&lt;'🌱 Configuração'!$C$56,"Clone S"&amp;INT((107-1)/7)+1,IF('🌱 Configuração'!$B$56+106&lt;'🌱 Configuração'!$D$56,"Vega S"&amp;INT(('🌱 Configuração'!$B$56+106-'🌱 Configuração'!$C$56)/7)+1,IF('🌱 Configuração'!$B$56+106&lt;'🌱 Configuração'!$E$56,"Flora S"&amp;INT(('🌱 Configuração'!$B$56+106-'🌱 Configuração'!$D$56)/7)+1,"Flush S"&amp;INT(('🌱 Configuração'!$B$56+106-'🌱 Configuração'!$E$56)/7)+1))))</f>
        <v>Flora S8</v>
      </c>
      <c r="F112" s="14" t="str">
        <f>IF(107&gt;'🌱 Configuração'!$F$55,"",IF('🌱 Configuração'!$B$56+106='🌱 Configuração'!$C$56,"🌿 INÍCIO VEGA — luz 18h/dia",IF('🌱 Configuração'!$B$56+106='🌱 Configuração'!$D$56,"🌸 INÍCIO FLORAÇÃO — mudar 12/12 🔴",IF('🌱 Configuração'!$B$56+106='🌱 Configuração'!$E$56,"🚿 INÍCIO FLUSH — parar nutrição",IF('🌱 Configuração'!$B$56+106='🌱 Configuração'!$F$56-1,"🔬 Véspera da colheita — analisar tricomas",IF('🌱 Configuração'!$B$56+106='🌱 Configuração'!$F$56,"✂️ COLHEITA — Parabéns! 🎉",""))))))</f>
        <v/>
      </c>
      <c r="G112" s="37" t="s">
        <v>428</v>
      </c>
      <c r="H112" s="38" t="str">
        <f>IF(107&gt;'🌱 Configuração'!$F$55,"",IF('🌱 Configuração'!$B$56+106&lt;'🌱 Configuração'!$C$56,IF(107=1,"🌿 Nim (2 mL/L) — foliar leve",IF(107=8,"🍄 Beauveria bassiana — foliar + solo","")),IF('🌱 Configuração'!$B$56+106&lt;'🌱 Configuração'!$D$56,IF(AND('🌱 Configuração'!$B$56+106&gt;='🌱 Configuração'!$C$56,'🌱 Configuração'!$B$56+106&lt;'🌱 Configuração'!$D$56,MOD('🌱 Configuração'!$B$56+106-'🌱 Configuração'!$C$56,7)=0,INT(('🌱 Configuração'!$B$56+106-'🌱 Configuração'!$C$56)/7)+1=1),"🌿 Nim (2 mL/L) — foliar preventivo",IF(AND('🌱 Configuração'!$B$56+106&gt;='🌱 Configuração'!$C$56,'🌱 Configuração'!$B$56+106&lt;'🌱 Configuração'!$D$56,MOD('🌱 Configuração'!$B$56+106-'🌱 Configuração'!$C$56,7)=0,INT(('🌱 Configuração'!$B$56+106-'🌱 Configuração'!$C$56)/7)+1=2),"🍄 Beauveria bassiana — foliar + solo",IF(AND('🌱 Configuração'!$B$56+106&gt;='🌱 Configuração'!$C$56,'🌱 Configuração'!$B$56+106&lt;'🌱 Configuração'!$D$56,MOD('🌱 Configuração'!$B$56+106-'🌱 Configuração'!$C$56,7)=0,INT(('🌱 Configuração'!$B$56+106-'🌱 Configuração'!$C$56)/7)+1=3),"🟡 Calda Sulfocálcica (1%) — foliar",IF(AND('🌱 Configuração'!$B$56+106&gt;='🌱 Configuração'!$C$56,'🌱 Configuração'!$B$56+106&lt;'🌱 Configuração'!$D$56,MOD('🌱 Configuração'!$B$56+106-'🌱 Configuração'!$C$56,7)=0,INT(('🌱 Configuração'!$B$56+106-'🌱 Configuração'!$C$56)/7)+1=4),"🦠 Trichoderma (3 g/L) — solo",IF(AND('🌱 Configuração'!$B$56+106&gt;='🌱 Configuração'!$C$56,'🌱 Configuração'!$B$56+106&lt;'🌱 Configuração'!$D$56,MOD('🌱 Configuração'!$B$56+106-'🌱 Configuração'!$C$56,7)=0,INT(('🌱 Configuração'!$B$56+106-'🌱 Configuração'!$C$56)/7)+1=5),"🔵 Calda Bordalesa (0.5%) — foliar",IF(AND('🌱 Configuração'!$B$56+106&gt;='🌱 Configuração'!$C$56,'🌱 Configuração'!$B$56+106&lt;'🌱 Configuração'!$D$56,MOD('🌱 Configuração'!$B$56+106-'🌱 Configuração'!$C$56,7)=0,INT(('🌱 Configuração'!$B$56+106-'🌱 Configuração'!$C$56)/7)+1=6),"🌿 Nim (2 mL/L) — ⚠️ ÚLTIMA foliar",IF(AND('🌱 Configuração'!$B$56+106&gt;='🌱 Configuração'!$C$56,'🌱 Configuração'!$B$56+106&lt;'🌱 Configuração'!$D$56,MOD('🌱 Configuração'!$B$56+106-'🌱 Configuração'!$C$56,7)=0,INT(('🌱 Configuração'!$B$56+106-'🌱 Configuração'!$C$56)/7)+1=7),"🦠 Trichoderma — solo",IF(AND('🌱 Configuração'!$B$56+106&gt;='🌱 Configuração'!$C$56,'🌱 Configuração'!$B$56+106&lt;'🌱 Configuração'!$D$56,MOD('🌱 Configuração'!$B$56+106-'🌱 Configuração'!$C$56,7)=0,INT(('🌱 Configuração'!$B$56+106-'🌱 Configuração'!$C$56)/7)+1=8),"🍄 Beauveria — solo","")))))))),IF('🌱 Configuração'!$B$56+106&lt;'🌱 Configuração'!$E$56,IF(AND('🌱 Configuração'!$B$56+106&gt;='🌱 Configuração'!$D$56,'🌱 Configuração'!$B$56+106&lt;'🌱 Configuração'!$E$56,MOD('🌱 Configuração'!$B$56+106-'🌱 Configuração'!$D$56,7)=0,INT(('🌱 Configuração'!$B$56+106-'🌱 Configuração'!$D$56)/7)+1=1),"🍄 Beauveria bassiana — SOLO apenas",IF(AND('🌱 Configuração'!$B$56+106&gt;='🌱 Configuração'!$D$56,'🌱 Configuração'!$B$56+106&lt;'🌱 Configuração'!$E$56,MOD('🌱 Configuração'!$B$56+106-'🌱 Configuração'!$D$56,7)=0,INT(('🌱 Configuração'!$B$56+106-'🌱 Configuração'!$D$56)/7)+1=2),"🦠 Trichoderma (3 g/L) — solo",IF(AND('🌱 Configuração'!$B$56+106&gt;='🌱 Configuração'!$D$56,'🌱 Configuração'!$B$56+106&lt;'🌱 Configuração'!$E$56,MOD('🌱 Configuração'!$B$56+106-'🌱 Configuração'!$D$56,7)=0,INT(('🌱 Configuração'!$B$56+106-'🌱 Configuração'!$D$56)/7)+1=3),"🍄 Beauveria bassiana — solo | ⚠️ Umid &lt;45%",IF(AND('🌱 Configuração'!$B$56+106&gt;='🌱 Configuração'!$D$56,'🌱 Configuração'!$B$56+106&lt;'🌱 Configuração'!$E$56,MOD('🌱 Configuração'!$B$56+106-'🌱 Configuração'!$D$56,7)=0,INT(('🌱 Configuração'!$B$56+106-'🌱 Configuração'!$D$56)/7)+1=4),"🦠 Trichoderma — solo | Inspecionar buds",IF(AND('🌱 Configuração'!$B$56+106&gt;='🌱 Configuração'!$D$56,'🌱 Configuração'!$B$56+106&lt;'🌱 Configuração'!$E$56,MOD('🌱 Configuração'!$B$56+106-'🌱 Configuração'!$D$56,7)=0,INT(('🌱 Configuração'!$B$56+106-'🌱 Configuração'!$D$56)/7)+1=5),"🍄 Beauveria + inspeção visual buds",IF(AND('🌱 Configuração'!$B$56+106&gt;='🌱 Configuração'!$D$56,'🌱 Configuração'!$B$56+106&lt;'🌱 Configuração'!$E$56,MOD('🌱 Configuração'!$B$56+106-'🌱 Configuração'!$D$56,7)=0,INT(('🌱 Configuração'!$B$56+106-'🌱 Configuração'!$D$56)/7)+1=6),"🦠 Trichoderma + ⚠️ Verificar mofo","")))))),IF(AND('🌱 Configuração'!$B$56+106&gt;='🌱 Configuração'!$E$56,MOD('🌱 Configuração'!$B$56+106-'🌱 Configuração'!$E$56,7)=0),"🔬 Inspeção final — analisar tricomas","")))))</f>
        <v/>
      </c>
      <c r="I112" s="33"/>
    </row>
    <row r="113" spans="1:9" ht="19.5" customHeight="1">
      <c r="A113" s="1"/>
      <c r="B113" s="39">
        <f>IF(108&lt;='🌱 Configuração'!$F$55,108,"")</f>
        <v>108</v>
      </c>
      <c r="C113" s="40">
        <f>IF(108&lt;='🌱 Configuração'!$F$55,'🌱 Configuração'!$B$56+107,"")</f>
        <v>107</v>
      </c>
      <c r="D113" s="41" t="str">
        <f>IF(108&gt;'🌱 Configuração'!$F$55,"",IF('🌱 Configuração'!$B$56+107&lt;'🌱 Configuração'!$C$56,"🌱 Clone",IF('🌱 Configuração'!$B$56+107&lt;'🌱 Configuração'!$D$56,"🌿 Vegetativo",IF('🌱 Configuração'!$B$56+107&lt;'🌱 Configuração'!$E$56,"🌸 Floração","🚿 Flush"))))</f>
        <v>🌸 Floração</v>
      </c>
      <c r="E113" s="42" t="str">
        <f>IF(108&gt;'🌱 Configuração'!$F$55,"",IF('🌱 Configuração'!$B$56+107&lt;'🌱 Configuração'!$C$56,"Clone S"&amp;INT((108-1)/7)+1,IF('🌱 Configuração'!$B$56+107&lt;'🌱 Configuração'!$D$56,"Vega S"&amp;INT(('🌱 Configuração'!$B$56+107-'🌱 Configuração'!$C$56)/7)+1,IF('🌱 Configuração'!$B$56+107&lt;'🌱 Configuração'!$E$56,"Flora S"&amp;INT(('🌱 Configuração'!$B$56+107-'🌱 Configuração'!$D$56)/7)+1,"Flush S"&amp;INT(('🌱 Configuração'!$B$56+107-'🌱 Configuração'!$E$56)/7)+1))))</f>
        <v>Flora S8</v>
      </c>
      <c r="F113" s="43" t="str">
        <f>IF(108&gt;'🌱 Configuração'!$F$55,"",IF('🌱 Configuração'!$B$56+107='🌱 Configuração'!$C$56,"🌿 INÍCIO VEGA — luz 18h/dia",IF('🌱 Configuração'!$B$56+107='🌱 Configuração'!$D$56,"🌸 INÍCIO FLORAÇÃO — mudar 12/12 🔴",IF('🌱 Configuração'!$B$56+107='🌱 Configuração'!$E$56,"🚿 INÍCIO FLUSH — parar nutrição",IF('🌱 Configuração'!$B$56+107='🌱 Configuração'!$F$56-1,"🔬 Véspera da colheita — analisar tricomas",IF('🌱 Configuração'!$B$56+107='🌱 Configuração'!$F$56,"✂️ COLHEITA — Parabéns! 🎉",""))))))</f>
        <v/>
      </c>
      <c r="G113" s="44" t="s">
        <v>428</v>
      </c>
      <c r="H113" s="45" t="str">
        <f>IF(108&gt;'🌱 Configuração'!$F$55,"",IF('🌱 Configuração'!$B$56+107&lt;'🌱 Configuração'!$C$56,IF(108=1,"🌿 Nim (2 mL/L) — foliar leve",IF(108=8,"🍄 Beauveria bassiana — foliar + solo","")),IF('🌱 Configuração'!$B$56+107&lt;'🌱 Configuração'!$D$56,IF(AND('🌱 Configuração'!$B$56+107&gt;='🌱 Configuração'!$C$56,'🌱 Configuração'!$B$56+107&lt;'🌱 Configuração'!$D$56,MOD('🌱 Configuração'!$B$56+107-'🌱 Configuração'!$C$56,7)=0,INT(('🌱 Configuração'!$B$56+107-'🌱 Configuração'!$C$56)/7)+1=1),"🌿 Nim (2 mL/L) — foliar preventivo",IF(AND('🌱 Configuração'!$B$56+107&gt;='🌱 Configuração'!$C$56,'🌱 Configuração'!$B$56+107&lt;'🌱 Configuração'!$D$56,MOD('🌱 Configuração'!$B$56+107-'🌱 Configuração'!$C$56,7)=0,INT(('🌱 Configuração'!$B$56+107-'🌱 Configuração'!$C$56)/7)+1=2),"🍄 Beauveria bassiana — foliar + solo",IF(AND('🌱 Configuração'!$B$56+107&gt;='🌱 Configuração'!$C$56,'🌱 Configuração'!$B$56+107&lt;'🌱 Configuração'!$D$56,MOD('🌱 Configuração'!$B$56+107-'🌱 Configuração'!$C$56,7)=0,INT(('🌱 Configuração'!$B$56+107-'🌱 Configuração'!$C$56)/7)+1=3),"🟡 Calda Sulfocálcica (1%) — foliar",IF(AND('🌱 Configuração'!$B$56+107&gt;='🌱 Configuração'!$C$56,'🌱 Configuração'!$B$56+107&lt;'🌱 Configuração'!$D$56,MOD('🌱 Configuração'!$B$56+107-'🌱 Configuração'!$C$56,7)=0,INT(('🌱 Configuração'!$B$56+107-'🌱 Configuração'!$C$56)/7)+1=4),"🦠 Trichoderma (3 g/L) — solo",IF(AND('🌱 Configuração'!$B$56+107&gt;='🌱 Configuração'!$C$56,'🌱 Configuração'!$B$56+107&lt;'🌱 Configuração'!$D$56,MOD('🌱 Configuração'!$B$56+107-'🌱 Configuração'!$C$56,7)=0,INT(('🌱 Configuração'!$B$56+107-'🌱 Configuração'!$C$56)/7)+1=5),"🔵 Calda Bordalesa (0.5%) — foliar",IF(AND('🌱 Configuração'!$B$56+107&gt;='🌱 Configuração'!$C$56,'🌱 Configuração'!$B$56+107&lt;'🌱 Configuração'!$D$56,MOD('🌱 Configuração'!$B$56+107-'🌱 Configuração'!$C$56,7)=0,INT(('🌱 Configuração'!$B$56+107-'🌱 Configuração'!$C$56)/7)+1=6),"🌿 Nim (2 mL/L) — ⚠️ ÚLTIMA foliar",IF(AND('🌱 Configuração'!$B$56+107&gt;='🌱 Configuração'!$C$56,'🌱 Configuração'!$B$56+107&lt;'🌱 Configuração'!$D$56,MOD('🌱 Configuração'!$B$56+107-'🌱 Configuração'!$C$56,7)=0,INT(('🌱 Configuração'!$B$56+107-'🌱 Configuração'!$C$56)/7)+1=7),"🦠 Trichoderma — solo",IF(AND('🌱 Configuração'!$B$56+107&gt;='🌱 Configuração'!$C$56,'🌱 Configuração'!$B$56+107&lt;'🌱 Configuração'!$D$56,MOD('🌱 Configuração'!$B$56+107-'🌱 Configuração'!$C$56,7)=0,INT(('🌱 Configuração'!$B$56+107-'🌱 Configuração'!$C$56)/7)+1=8),"🍄 Beauveria — solo","")))))))),IF('🌱 Configuração'!$B$56+107&lt;'🌱 Configuração'!$E$56,IF(AND('🌱 Configuração'!$B$56+107&gt;='🌱 Configuração'!$D$56,'🌱 Configuração'!$B$56+107&lt;'🌱 Configuração'!$E$56,MOD('🌱 Configuração'!$B$56+107-'🌱 Configuração'!$D$56,7)=0,INT(('🌱 Configuração'!$B$56+107-'🌱 Configuração'!$D$56)/7)+1=1),"🍄 Beauveria bassiana — SOLO apenas",IF(AND('🌱 Configuração'!$B$56+107&gt;='🌱 Configuração'!$D$56,'🌱 Configuração'!$B$56+107&lt;'🌱 Configuração'!$E$56,MOD('🌱 Configuração'!$B$56+107-'🌱 Configuração'!$D$56,7)=0,INT(('🌱 Configuração'!$B$56+107-'🌱 Configuração'!$D$56)/7)+1=2),"🦠 Trichoderma (3 g/L) — solo",IF(AND('🌱 Configuração'!$B$56+107&gt;='🌱 Configuração'!$D$56,'🌱 Configuração'!$B$56+107&lt;'🌱 Configuração'!$E$56,MOD('🌱 Configuração'!$B$56+107-'🌱 Configuração'!$D$56,7)=0,INT(('🌱 Configuração'!$B$56+107-'🌱 Configuração'!$D$56)/7)+1=3),"🍄 Beauveria bassiana — solo | ⚠️ Umid &lt;45%",IF(AND('🌱 Configuração'!$B$56+107&gt;='🌱 Configuração'!$D$56,'🌱 Configuração'!$B$56+107&lt;'🌱 Configuração'!$E$56,MOD('🌱 Configuração'!$B$56+107-'🌱 Configuração'!$D$56,7)=0,INT(('🌱 Configuração'!$B$56+107-'🌱 Configuração'!$D$56)/7)+1=4),"🦠 Trichoderma — solo | Inspecionar buds",IF(AND('🌱 Configuração'!$B$56+107&gt;='🌱 Configuração'!$D$56,'🌱 Configuração'!$B$56+107&lt;'🌱 Configuração'!$E$56,MOD('🌱 Configuração'!$B$56+107-'🌱 Configuração'!$D$56,7)=0,INT(('🌱 Configuração'!$B$56+107-'🌱 Configuração'!$D$56)/7)+1=5),"🍄 Beauveria + inspeção visual buds",IF(AND('🌱 Configuração'!$B$56+107&gt;='🌱 Configuração'!$D$56,'🌱 Configuração'!$B$56+107&lt;'🌱 Configuração'!$E$56,MOD('🌱 Configuração'!$B$56+107-'🌱 Configuração'!$D$56,7)=0,INT(('🌱 Configuração'!$B$56+107-'🌱 Configuração'!$D$56)/7)+1=6),"🦠 Trichoderma + ⚠️ Verificar mofo","")))))),IF(AND('🌱 Configuração'!$B$56+107&gt;='🌱 Configuração'!$E$56,MOD('🌱 Configuração'!$B$56+107-'🌱 Configuração'!$E$56,7)=0),"🔬 Inspeção final — analisar tricomas","")))))</f>
        <v/>
      </c>
      <c r="I113" s="33"/>
    </row>
    <row r="114" spans="1:9" ht="19.5" customHeight="1">
      <c r="A114" s="1"/>
      <c r="B114" s="35">
        <f>IF(109&lt;='🌱 Configuração'!$F$55,109,"")</f>
        <v>109</v>
      </c>
      <c r="C114" s="13">
        <f>IF(109&lt;='🌱 Configuração'!$F$55,'🌱 Configuração'!$B$56+108,"")</f>
        <v>108</v>
      </c>
      <c r="D114" s="36" t="str">
        <f>IF(109&gt;'🌱 Configuração'!$F$55,"",IF('🌱 Configuração'!$B$56+108&lt;'🌱 Configuração'!$C$56,"🌱 Clone",IF('🌱 Configuração'!$B$56+108&lt;'🌱 Configuração'!$D$56,"🌿 Vegetativo",IF('🌱 Configuração'!$B$56+108&lt;'🌱 Configuração'!$E$56,"🌸 Floração","🚿 Flush"))))</f>
        <v>🌸 Floração</v>
      </c>
      <c r="E114" s="15" t="str">
        <f>IF(109&gt;'🌱 Configuração'!$F$55,"",IF('🌱 Configuração'!$B$56+108&lt;'🌱 Configuração'!$C$56,"Clone S"&amp;INT((109-1)/7)+1,IF('🌱 Configuração'!$B$56+108&lt;'🌱 Configuração'!$D$56,"Vega S"&amp;INT(('🌱 Configuração'!$B$56+108-'🌱 Configuração'!$C$56)/7)+1,IF('🌱 Configuração'!$B$56+108&lt;'🌱 Configuração'!$E$56,"Flora S"&amp;INT(('🌱 Configuração'!$B$56+108-'🌱 Configuração'!$D$56)/7)+1,"Flush S"&amp;INT(('🌱 Configuração'!$B$56+108-'🌱 Configuração'!$E$56)/7)+1))))</f>
        <v>Flora S8</v>
      </c>
      <c r="F114" s="14" t="str">
        <f>IF(109&gt;'🌱 Configuração'!$F$55,"",IF('🌱 Configuração'!$B$56+108='🌱 Configuração'!$C$56,"🌿 INÍCIO VEGA — luz 18h/dia",IF('🌱 Configuração'!$B$56+108='🌱 Configuração'!$D$56,"🌸 INÍCIO FLORAÇÃO — mudar 12/12 🔴",IF('🌱 Configuração'!$B$56+108='🌱 Configuração'!$E$56,"🚿 INÍCIO FLUSH — parar nutrição",IF('🌱 Configuração'!$B$56+108='🌱 Configuração'!$F$56-1,"🔬 Véspera da colheita — analisar tricomas",IF('🌱 Configuração'!$B$56+108='🌱 Configuração'!$F$56,"✂️ COLHEITA — Parabéns! 🎉",""))))))</f>
        <v/>
      </c>
      <c r="G114" s="37" t="s">
        <v>428</v>
      </c>
      <c r="H114" s="38" t="str">
        <f>IF(109&gt;'🌱 Configuração'!$F$55,"",IF('🌱 Configuração'!$B$56+108&lt;'🌱 Configuração'!$C$56,IF(109=1,"🌿 Nim (2 mL/L) — foliar leve",IF(109=8,"🍄 Beauveria bassiana — foliar + solo","")),IF('🌱 Configuração'!$B$56+108&lt;'🌱 Configuração'!$D$56,IF(AND('🌱 Configuração'!$B$56+108&gt;='🌱 Configuração'!$C$56,'🌱 Configuração'!$B$56+108&lt;'🌱 Configuração'!$D$56,MOD('🌱 Configuração'!$B$56+108-'🌱 Configuração'!$C$56,7)=0,INT(('🌱 Configuração'!$B$56+108-'🌱 Configuração'!$C$56)/7)+1=1),"🌿 Nim (2 mL/L) — foliar preventivo",IF(AND('🌱 Configuração'!$B$56+108&gt;='🌱 Configuração'!$C$56,'🌱 Configuração'!$B$56+108&lt;'🌱 Configuração'!$D$56,MOD('🌱 Configuração'!$B$56+108-'🌱 Configuração'!$C$56,7)=0,INT(('🌱 Configuração'!$B$56+108-'🌱 Configuração'!$C$56)/7)+1=2),"🍄 Beauveria bassiana — foliar + solo",IF(AND('🌱 Configuração'!$B$56+108&gt;='🌱 Configuração'!$C$56,'🌱 Configuração'!$B$56+108&lt;'🌱 Configuração'!$D$56,MOD('🌱 Configuração'!$B$56+108-'🌱 Configuração'!$C$56,7)=0,INT(('🌱 Configuração'!$B$56+108-'🌱 Configuração'!$C$56)/7)+1=3),"🟡 Calda Sulfocálcica (1%) — foliar",IF(AND('🌱 Configuração'!$B$56+108&gt;='🌱 Configuração'!$C$56,'🌱 Configuração'!$B$56+108&lt;'🌱 Configuração'!$D$56,MOD('🌱 Configuração'!$B$56+108-'🌱 Configuração'!$C$56,7)=0,INT(('🌱 Configuração'!$B$56+108-'🌱 Configuração'!$C$56)/7)+1=4),"🦠 Trichoderma (3 g/L) — solo",IF(AND('🌱 Configuração'!$B$56+108&gt;='🌱 Configuração'!$C$56,'🌱 Configuração'!$B$56+108&lt;'🌱 Configuração'!$D$56,MOD('🌱 Configuração'!$B$56+108-'🌱 Configuração'!$C$56,7)=0,INT(('🌱 Configuração'!$B$56+108-'🌱 Configuração'!$C$56)/7)+1=5),"🔵 Calda Bordalesa (0.5%) — foliar",IF(AND('🌱 Configuração'!$B$56+108&gt;='🌱 Configuração'!$C$56,'🌱 Configuração'!$B$56+108&lt;'🌱 Configuração'!$D$56,MOD('🌱 Configuração'!$B$56+108-'🌱 Configuração'!$C$56,7)=0,INT(('🌱 Configuração'!$B$56+108-'🌱 Configuração'!$C$56)/7)+1=6),"🌿 Nim (2 mL/L) — ⚠️ ÚLTIMA foliar",IF(AND('🌱 Configuração'!$B$56+108&gt;='🌱 Configuração'!$C$56,'🌱 Configuração'!$B$56+108&lt;'🌱 Configuração'!$D$56,MOD('🌱 Configuração'!$B$56+108-'🌱 Configuração'!$C$56,7)=0,INT(('🌱 Configuração'!$B$56+108-'🌱 Configuração'!$C$56)/7)+1=7),"🦠 Trichoderma — solo",IF(AND('🌱 Configuração'!$B$56+108&gt;='🌱 Configuração'!$C$56,'🌱 Configuração'!$B$56+108&lt;'🌱 Configuração'!$D$56,MOD('🌱 Configuração'!$B$56+108-'🌱 Configuração'!$C$56,7)=0,INT(('🌱 Configuração'!$B$56+108-'🌱 Configuração'!$C$56)/7)+1=8),"🍄 Beauveria — solo","")))))))),IF('🌱 Configuração'!$B$56+108&lt;'🌱 Configuração'!$E$56,IF(AND('🌱 Configuração'!$B$56+108&gt;='🌱 Configuração'!$D$56,'🌱 Configuração'!$B$56+108&lt;'🌱 Configuração'!$E$56,MOD('🌱 Configuração'!$B$56+108-'🌱 Configuração'!$D$56,7)=0,INT(('🌱 Configuração'!$B$56+108-'🌱 Configuração'!$D$56)/7)+1=1),"🍄 Beauveria bassiana — SOLO apenas",IF(AND('🌱 Configuração'!$B$56+108&gt;='🌱 Configuração'!$D$56,'🌱 Configuração'!$B$56+108&lt;'🌱 Configuração'!$E$56,MOD('🌱 Configuração'!$B$56+108-'🌱 Configuração'!$D$56,7)=0,INT(('🌱 Configuração'!$B$56+108-'🌱 Configuração'!$D$56)/7)+1=2),"🦠 Trichoderma (3 g/L) — solo",IF(AND('🌱 Configuração'!$B$56+108&gt;='🌱 Configuração'!$D$56,'🌱 Configuração'!$B$56+108&lt;'🌱 Configuração'!$E$56,MOD('🌱 Configuração'!$B$56+108-'🌱 Configuração'!$D$56,7)=0,INT(('🌱 Configuração'!$B$56+108-'🌱 Configuração'!$D$56)/7)+1=3),"🍄 Beauveria bassiana — solo | ⚠️ Umid &lt;45%",IF(AND('🌱 Configuração'!$B$56+108&gt;='🌱 Configuração'!$D$56,'🌱 Configuração'!$B$56+108&lt;'🌱 Configuração'!$E$56,MOD('🌱 Configuração'!$B$56+108-'🌱 Configuração'!$D$56,7)=0,INT(('🌱 Configuração'!$B$56+108-'🌱 Configuração'!$D$56)/7)+1=4),"🦠 Trichoderma — solo | Inspecionar buds",IF(AND('🌱 Configuração'!$B$56+108&gt;='🌱 Configuração'!$D$56,'🌱 Configuração'!$B$56+108&lt;'🌱 Configuração'!$E$56,MOD('🌱 Configuração'!$B$56+108-'🌱 Configuração'!$D$56,7)=0,INT(('🌱 Configuração'!$B$56+108-'🌱 Configuração'!$D$56)/7)+1=5),"🍄 Beauveria + inspeção visual buds",IF(AND('🌱 Configuração'!$B$56+108&gt;='🌱 Configuração'!$D$56,'🌱 Configuração'!$B$56+108&lt;'🌱 Configuração'!$E$56,MOD('🌱 Configuração'!$B$56+108-'🌱 Configuração'!$D$56,7)=0,INT(('🌱 Configuração'!$B$56+108-'🌱 Configuração'!$D$56)/7)+1=6),"🦠 Trichoderma + ⚠️ Verificar mofo","")))))),IF(AND('🌱 Configuração'!$B$56+108&gt;='🌱 Configuração'!$E$56,MOD('🌱 Configuração'!$B$56+108-'🌱 Configuração'!$E$56,7)=0),"🔬 Inspeção final — analisar tricomas","")))))</f>
        <v/>
      </c>
      <c r="I114" s="33"/>
    </row>
    <row r="115" spans="1:9" ht="19.5" customHeight="1">
      <c r="A115" s="1"/>
      <c r="B115" s="39">
        <f>IF(110&lt;='🌱 Configuração'!$F$55,110,"")</f>
        <v>110</v>
      </c>
      <c r="C115" s="40">
        <f>IF(110&lt;='🌱 Configuração'!$F$55,'🌱 Configuração'!$B$56+109,"")</f>
        <v>109</v>
      </c>
      <c r="D115" s="41" t="str">
        <f>IF(110&gt;'🌱 Configuração'!$F$55,"",IF('🌱 Configuração'!$B$56+109&lt;'🌱 Configuração'!$C$56,"🌱 Clone",IF('🌱 Configuração'!$B$56+109&lt;'🌱 Configuração'!$D$56,"🌿 Vegetativo",IF('🌱 Configuração'!$B$56+109&lt;'🌱 Configuração'!$E$56,"🌸 Floração","🚿 Flush"))))</f>
        <v>🌸 Floração</v>
      </c>
      <c r="E115" s="42" t="str">
        <f>IF(110&gt;'🌱 Configuração'!$F$55,"",IF('🌱 Configuração'!$B$56+109&lt;'🌱 Configuração'!$C$56,"Clone S"&amp;INT((110-1)/7)+1,IF('🌱 Configuração'!$B$56+109&lt;'🌱 Configuração'!$D$56,"Vega S"&amp;INT(('🌱 Configuração'!$B$56+109-'🌱 Configuração'!$C$56)/7)+1,IF('🌱 Configuração'!$B$56+109&lt;'🌱 Configuração'!$E$56,"Flora S"&amp;INT(('🌱 Configuração'!$B$56+109-'🌱 Configuração'!$D$56)/7)+1,"Flush S"&amp;INT(('🌱 Configuração'!$B$56+109-'🌱 Configuração'!$E$56)/7)+1))))</f>
        <v>Flora S8</v>
      </c>
      <c r="F115" s="43" t="str">
        <f>IF(110&gt;'🌱 Configuração'!$F$55,"",IF('🌱 Configuração'!$B$56+109='🌱 Configuração'!$C$56,"🌿 INÍCIO VEGA — luz 18h/dia",IF('🌱 Configuração'!$B$56+109='🌱 Configuração'!$D$56,"🌸 INÍCIO FLORAÇÃO — mudar 12/12 🔴",IF('🌱 Configuração'!$B$56+109='🌱 Configuração'!$E$56,"🚿 INÍCIO FLUSH — parar nutrição",IF('🌱 Configuração'!$B$56+109='🌱 Configuração'!$F$56-1,"🔬 Véspera da colheita — analisar tricomas",IF('🌱 Configuração'!$B$56+109='🌱 Configuração'!$F$56,"✂️ COLHEITA — Parabéns! 🎉",""))))))</f>
        <v/>
      </c>
      <c r="G115" s="44" t="s">
        <v>428</v>
      </c>
      <c r="H115" s="45" t="str">
        <f>IF(110&gt;'🌱 Configuração'!$F$55,"",IF('🌱 Configuração'!$B$56+109&lt;'🌱 Configuração'!$C$56,IF(110=1,"🌿 Nim (2 mL/L) — foliar leve",IF(110=8,"🍄 Beauveria bassiana — foliar + solo","")),IF('🌱 Configuração'!$B$56+109&lt;'🌱 Configuração'!$D$56,IF(AND('🌱 Configuração'!$B$56+109&gt;='🌱 Configuração'!$C$56,'🌱 Configuração'!$B$56+109&lt;'🌱 Configuração'!$D$56,MOD('🌱 Configuração'!$B$56+109-'🌱 Configuração'!$C$56,7)=0,INT(('🌱 Configuração'!$B$56+109-'🌱 Configuração'!$C$56)/7)+1=1),"🌿 Nim (2 mL/L) — foliar preventivo",IF(AND('🌱 Configuração'!$B$56+109&gt;='🌱 Configuração'!$C$56,'🌱 Configuração'!$B$56+109&lt;'🌱 Configuração'!$D$56,MOD('🌱 Configuração'!$B$56+109-'🌱 Configuração'!$C$56,7)=0,INT(('🌱 Configuração'!$B$56+109-'🌱 Configuração'!$C$56)/7)+1=2),"🍄 Beauveria bassiana — foliar + solo",IF(AND('🌱 Configuração'!$B$56+109&gt;='🌱 Configuração'!$C$56,'🌱 Configuração'!$B$56+109&lt;'🌱 Configuração'!$D$56,MOD('🌱 Configuração'!$B$56+109-'🌱 Configuração'!$C$56,7)=0,INT(('🌱 Configuração'!$B$56+109-'🌱 Configuração'!$C$56)/7)+1=3),"🟡 Calda Sulfocálcica (1%) — foliar",IF(AND('🌱 Configuração'!$B$56+109&gt;='🌱 Configuração'!$C$56,'🌱 Configuração'!$B$56+109&lt;'🌱 Configuração'!$D$56,MOD('🌱 Configuração'!$B$56+109-'🌱 Configuração'!$C$56,7)=0,INT(('🌱 Configuração'!$B$56+109-'🌱 Configuração'!$C$56)/7)+1=4),"🦠 Trichoderma (3 g/L) — solo",IF(AND('🌱 Configuração'!$B$56+109&gt;='🌱 Configuração'!$C$56,'🌱 Configuração'!$B$56+109&lt;'🌱 Configuração'!$D$56,MOD('🌱 Configuração'!$B$56+109-'🌱 Configuração'!$C$56,7)=0,INT(('🌱 Configuração'!$B$56+109-'🌱 Configuração'!$C$56)/7)+1=5),"🔵 Calda Bordalesa (0.5%) — foliar",IF(AND('🌱 Configuração'!$B$56+109&gt;='🌱 Configuração'!$C$56,'🌱 Configuração'!$B$56+109&lt;'🌱 Configuração'!$D$56,MOD('🌱 Configuração'!$B$56+109-'🌱 Configuração'!$C$56,7)=0,INT(('🌱 Configuração'!$B$56+109-'🌱 Configuração'!$C$56)/7)+1=6),"🌿 Nim (2 mL/L) — ⚠️ ÚLTIMA foliar",IF(AND('🌱 Configuração'!$B$56+109&gt;='🌱 Configuração'!$C$56,'🌱 Configuração'!$B$56+109&lt;'🌱 Configuração'!$D$56,MOD('🌱 Configuração'!$B$56+109-'🌱 Configuração'!$C$56,7)=0,INT(('🌱 Configuração'!$B$56+109-'🌱 Configuração'!$C$56)/7)+1=7),"🦠 Trichoderma — solo",IF(AND('🌱 Configuração'!$B$56+109&gt;='🌱 Configuração'!$C$56,'🌱 Configuração'!$B$56+109&lt;'🌱 Configuração'!$D$56,MOD('🌱 Configuração'!$B$56+109-'🌱 Configuração'!$C$56,7)=0,INT(('🌱 Configuração'!$B$56+109-'🌱 Configuração'!$C$56)/7)+1=8),"🍄 Beauveria — solo","")))))))),IF('🌱 Configuração'!$B$56+109&lt;'🌱 Configuração'!$E$56,IF(AND('🌱 Configuração'!$B$56+109&gt;='🌱 Configuração'!$D$56,'🌱 Configuração'!$B$56+109&lt;'🌱 Configuração'!$E$56,MOD('🌱 Configuração'!$B$56+109-'🌱 Configuração'!$D$56,7)=0,INT(('🌱 Configuração'!$B$56+109-'🌱 Configuração'!$D$56)/7)+1=1),"🍄 Beauveria bassiana — SOLO apenas",IF(AND('🌱 Configuração'!$B$56+109&gt;='🌱 Configuração'!$D$56,'🌱 Configuração'!$B$56+109&lt;'🌱 Configuração'!$E$56,MOD('🌱 Configuração'!$B$56+109-'🌱 Configuração'!$D$56,7)=0,INT(('🌱 Configuração'!$B$56+109-'🌱 Configuração'!$D$56)/7)+1=2),"🦠 Trichoderma (3 g/L) — solo",IF(AND('🌱 Configuração'!$B$56+109&gt;='🌱 Configuração'!$D$56,'🌱 Configuração'!$B$56+109&lt;'🌱 Configuração'!$E$56,MOD('🌱 Configuração'!$B$56+109-'🌱 Configuração'!$D$56,7)=0,INT(('🌱 Configuração'!$B$56+109-'🌱 Configuração'!$D$56)/7)+1=3),"🍄 Beauveria bassiana — solo | ⚠️ Umid &lt;45%",IF(AND('🌱 Configuração'!$B$56+109&gt;='🌱 Configuração'!$D$56,'🌱 Configuração'!$B$56+109&lt;'🌱 Configuração'!$E$56,MOD('🌱 Configuração'!$B$56+109-'🌱 Configuração'!$D$56,7)=0,INT(('🌱 Configuração'!$B$56+109-'🌱 Configuração'!$D$56)/7)+1=4),"🦠 Trichoderma — solo | Inspecionar buds",IF(AND('🌱 Configuração'!$B$56+109&gt;='🌱 Configuração'!$D$56,'🌱 Configuração'!$B$56+109&lt;'🌱 Configuração'!$E$56,MOD('🌱 Configuração'!$B$56+109-'🌱 Configuração'!$D$56,7)=0,INT(('🌱 Configuração'!$B$56+109-'🌱 Configuração'!$D$56)/7)+1=5),"🍄 Beauveria + inspeção visual buds",IF(AND('🌱 Configuração'!$B$56+109&gt;='🌱 Configuração'!$D$56,'🌱 Configuração'!$B$56+109&lt;'🌱 Configuração'!$E$56,MOD('🌱 Configuração'!$B$56+109-'🌱 Configuração'!$D$56,7)=0,INT(('🌱 Configuração'!$B$56+109-'🌱 Configuração'!$D$56)/7)+1=6),"🦠 Trichoderma + ⚠️ Verificar mofo","")))))),IF(AND('🌱 Configuração'!$B$56+109&gt;='🌱 Configuração'!$E$56,MOD('🌱 Configuração'!$B$56+109-'🌱 Configuração'!$E$56,7)=0),"🔬 Inspeção final — analisar tricomas","")))))</f>
        <v/>
      </c>
      <c r="I115" s="33"/>
    </row>
    <row r="116" spans="1:9" ht="19.5" customHeight="1">
      <c r="A116" s="1"/>
      <c r="B116" s="35">
        <f>IF(111&lt;='🌱 Configuração'!$F$55,111,"")</f>
        <v>111</v>
      </c>
      <c r="C116" s="13">
        <f>IF(111&lt;='🌱 Configuração'!$F$55,'🌱 Configuração'!$B$56+110,"")</f>
        <v>110</v>
      </c>
      <c r="D116" s="36" t="str">
        <f>IF(111&gt;'🌱 Configuração'!$F$55,"",IF('🌱 Configuração'!$B$56+110&lt;'🌱 Configuração'!$C$56,"🌱 Clone",IF('🌱 Configuração'!$B$56+110&lt;'🌱 Configuração'!$D$56,"🌿 Vegetativo",IF('🌱 Configuração'!$B$56+110&lt;'🌱 Configuração'!$E$56,"🌸 Floração","🚿 Flush"))))</f>
        <v>🌸 Floração</v>
      </c>
      <c r="E116" s="15" t="str">
        <f>IF(111&gt;'🌱 Configuração'!$F$55,"",IF('🌱 Configuração'!$B$56+110&lt;'🌱 Configuração'!$C$56,"Clone S"&amp;INT((111-1)/7)+1,IF('🌱 Configuração'!$B$56+110&lt;'🌱 Configuração'!$D$56,"Vega S"&amp;INT(('🌱 Configuração'!$B$56+110-'🌱 Configuração'!$C$56)/7)+1,IF('🌱 Configuração'!$B$56+110&lt;'🌱 Configuração'!$E$56,"Flora S"&amp;INT(('🌱 Configuração'!$B$56+110-'🌱 Configuração'!$D$56)/7)+1,"Flush S"&amp;INT(('🌱 Configuração'!$B$56+110-'🌱 Configuração'!$E$56)/7)+1))))</f>
        <v>Flora S8</v>
      </c>
      <c r="F116" s="14" t="str">
        <f>IF(111&gt;'🌱 Configuração'!$F$55,"",IF('🌱 Configuração'!$B$56+110='🌱 Configuração'!$C$56,"🌿 INÍCIO VEGA — luz 18h/dia",IF('🌱 Configuração'!$B$56+110='🌱 Configuração'!$D$56,"🌸 INÍCIO FLORAÇÃO — mudar 12/12 🔴",IF('🌱 Configuração'!$B$56+110='🌱 Configuração'!$E$56,"🚿 INÍCIO FLUSH — parar nutrição",IF('🌱 Configuração'!$B$56+110='🌱 Configuração'!$F$56-1,"🔬 Véspera da colheita — analisar tricomas",IF('🌱 Configuração'!$B$56+110='🌱 Configuração'!$F$56,"✂️ COLHEITA — Parabéns! 🎉",""))))))</f>
        <v/>
      </c>
      <c r="G116" s="37" t="s">
        <v>428</v>
      </c>
      <c r="H116" s="38" t="str">
        <f>IF(111&gt;'🌱 Configuração'!$F$55,"",IF('🌱 Configuração'!$B$56+110&lt;'🌱 Configuração'!$C$56,IF(111=1,"🌿 Nim (2 mL/L) — foliar leve",IF(111=8,"🍄 Beauveria bassiana — foliar + solo","")),IF('🌱 Configuração'!$B$56+110&lt;'🌱 Configuração'!$D$56,IF(AND('🌱 Configuração'!$B$56+110&gt;='🌱 Configuração'!$C$56,'🌱 Configuração'!$B$56+110&lt;'🌱 Configuração'!$D$56,MOD('🌱 Configuração'!$B$56+110-'🌱 Configuração'!$C$56,7)=0,INT(('🌱 Configuração'!$B$56+110-'🌱 Configuração'!$C$56)/7)+1=1),"🌿 Nim (2 mL/L) — foliar preventivo",IF(AND('🌱 Configuração'!$B$56+110&gt;='🌱 Configuração'!$C$56,'🌱 Configuração'!$B$56+110&lt;'🌱 Configuração'!$D$56,MOD('🌱 Configuração'!$B$56+110-'🌱 Configuração'!$C$56,7)=0,INT(('🌱 Configuração'!$B$56+110-'🌱 Configuração'!$C$56)/7)+1=2),"🍄 Beauveria bassiana — foliar + solo",IF(AND('🌱 Configuração'!$B$56+110&gt;='🌱 Configuração'!$C$56,'🌱 Configuração'!$B$56+110&lt;'🌱 Configuração'!$D$56,MOD('🌱 Configuração'!$B$56+110-'🌱 Configuração'!$C$56,7)=0,INT(('🌱 Configuração'!$B$56+110-'🌱 Configuração'!$C$56)/7)+1=3),"🟡 Calda Sulfocálcica (1%) — foliar",IF(AND('🌱 Configuração'!$B$56+110&gt;='🌱 Configuração'!$C$56,'🌱 Configuração'!$B$56+110&lt;'🌱 Configuração'!$D$56,MOD('🌱 Configuração'!$B$56+110-'🌱 Configuração'!$C$56,7)=0,INT(('🌱 Configuração'!$B$56+110-'🌱 Configuração'!$C$56)/7)+1=4),"🦠 Trichoderma (3 g/L) — solo",IF(AND('🌱 Configuração'!$B$56+110&gt;='🌱 Configuração'!$C$56,'🌱 Configuração'!$B$56+110&lt;'🌱 Configuração'!$D$56,MOD('🌱 Configuração'!$B$56+110-'🌱 Configuração'!$C$56,7)=0,INT(('🌱 Configuração'!$B$56+110-'🌱 Configuração'!$C$56)/7)+1=5),"🔵 Calda Bordalesa (0.5%) — foliar",IF(AND('🌱 Configuração'!$B$56+110&gt;='🌱 Configuração'!$C$56,'🌱 Configuração'!$B$56+110&lt;'🌱 Configuração'!$D$56,MOD('🌱 Configuração'!$B$56+110-'🌱 Configuração'!$C$56,7)=0,INT(('🌱 Configuração'!$B$56+110-'🌱 Configuração'!$C$56)/7)+1=6),"🌿 Nim (2 mL/L) — ⚠️ ÚLTIMA foliar",IF(AND('🌱 Configuração'!$B$56+110&gt;='🌱 Configuração'!$C$56,'🌱 Configuração'!$B$56+110&lt;'🌱 Configuração'!$D$56,MOD('🌱 Configuração'!$B$56+110-'🌱 Configuração'!$C$56,7)=0,INT(('🌱 Configuração'!$B$56+110-'🌱 Configuração'!$C$56)/7)+1=7),"🦠 Trichoderma — solo",IF(AND('🌱 Configuração'!$B$56+110&gt;='🌱 Configuração'!$C$56,'🌱 Configuração'!$B$56+110&lt;'🌱 Configuração'!$D$56,MOD('🌱 Configuração'!$B$56+110-'🌱 Configuração'!$C$56,7)=0,INT(('🌱 Configuração'!$B$56+110-'🌱 Configuração'!$C$56)/7)+1=8),"🍄 Beauveria — solo","")))))))),IF('🌱 Configuração'!$B$56+110&lt;'🌱 Configuração'!$E$56,IF(AND('🌱 Configuração'!$B$56+110&gt;='🌱 Configuração'!$D$56,'🌱 Configuração'!$B$56+110&lt;'🌱 Configuração'!$E$56,MOD('🌱 Configuração'!$B$56+110-'🌱 Configuração'!$D$56,7)=0,INT(('🌱 Configuração'!$B$56+110-'🌱 Configuração'!$D$56)/7)+1=1),"🍄 Beauveria bassiana — SOLO apenas",IF(AND('🌱 Configuração'!$B$56+110&gt;='🌱 Configuração'!$D$56,'🌱 Configuração'!$B$56+110&lt;'🌱 Configuração'!$E$56,MOD('🌱 Configuração'!$B$56+110-'🌱 Configuração'!$D$56,7)=0,INT(('🌱 Configuração'!$B$56+110-'🌱 Configuração'!$D$56)/7)+1=2),"🦠 Trichoderma (3 g/L) — solo",IF(AND('🌱 Configuração'!$B$56+110&gt;='🌱 Configuração'!$D$56,'🌱 Configuração'!$B$56+110&lt;'🌱 Configuração'!$E$56,MOD('🌱 Configuração'!$B$56+110-'🌱 Configuração'!$D$56,7)=0,INT(('🌱 Configuração'!$B$56+110-'🌱 Configuração'!$D$56)/7)+1=3),"🍄 Beauveria bassiana — solo | ⚠️ Umid &lt;45%",IF(AND('🌱 Configuração'!$B$56+110&gt;='🌱 Configuração'!$D$56,'🌱 Configuração'!$B$56+110&lt;'🌱 Configuração'!$E$56,MOD('🌱 Configuração'!$B$56+110-'🌱 Configuração'!$D$56,7)=0,INT(('🌱 Configuração'!$B$56+110-'🌱 Configuração'!$D$56)/7)+1=4),"🦠 Trichoderma — solo | Inspecionar buds",IF(AND('🌱 Configuração'!$B$56+110&gt;='🌱 Configuração'!$D$56,'🌱 Configuração'!$B$56+110&lt;'🌱 Configuração'!$E$56,MOD('🌱 Configuração'!$B$56+110-'🌱 Configuração'!$D$56,7)=0,INT(('🌱 Configuração'!$B$56+110-'🌱 Configuração'!$D$56)/7)+1=5),"🍄 Beauveria + inspeção visual buds",IF(AND('🌱 Configuração'!$B$56+110&gt;='🌱 Configuração'!$D$56,'🌱 Configuração'!$B$56+110&lt;'🌱 Configuração'!$E$56,MOD('🌱 Configuração'!$B$56+110-'🌱 Configuração'!$D$56,7)=0,INT(('🌱 Configuração'!$B$56+110-'🌱 Configuração'!$D$56)/7)+1=6),"🦠 Trichoderma + ⚠️ Verificar mofo","")))))),IF(AND('🌱 Configuração'!$B$56+110&gt;='🌱 Configuração'!$E$56,MOD('🌱 Configuração'!$B$56+110-'🌱 Configuração'!$E$56,7)=0),"🔬 Inspeção final — analisar tricomas","")))))</f>
        <v/>
      </c>
      <c r="I116" s="33"/>
    </row>
    <row r="117" spans="1:9" ht="19.5" customHeight="1">
      <c r="A117" s="1"/>
      <c r="B117" s="39">
        <f>IF(112&lt;='🌱 Configuração'!$F$55,112,"")</f>
        <v>112</v>
      </c>
      <c r="C117" s="40">
        <f>IF(112&lt;='🌱 Configuração'!$F$55,'🌱 Configuração'!$B$56+111,"")</f>
        <v>111</v>
      </c>
      <c r="D117" s="41" t="str">
        <f>IF(112&gt;'🌱 Configuração'!$F$55,"",IF('🌱 Configuração'!$B$56+111&lt;'🌱 Configuração'!$C$56,"🌱 Clone",IF('🌱 Configuração'!$B$56+111&lt;'🌱 Configuração'!$D$56,"🌿 Vegetativo",IF('🌱 Configuração'!$B$56+111&lt;'🌱 Configuração'!$E$56,"🌸 Floração","🚿 Flush"))))</f>
        <v>🌸 Floração</v>
      </c>
      <c r="E117" s="42" t="str">
        <f>IF(112&gt;'🌱 Configuração'!$F$55,"",IF('🌱 Configuração'!$B$56+111&lt;'🌱 Configuração'!$C$56,"Clone S"&amp;INT((112-1)/7)+1,IF('🌱 Configuração'!$B$56+111&lt;'🌱 Configuração'!$D$56,"Vega S"&amp;INT(('🌱 Configuração'!$B$56+111-'🌱 Configuração'!$C$56)/7)+1,IF('🌱 Configuração'!$B$56+111&lt;'🌱 Configuração'!$E$56,"Flora S"&amp;INT(('🌱 Configuração'!$B$56+111-'🌱 Configuração'!$D$56)/7)+1,"Flush S"&amp;INT(('🌱 Configuração'!$B$56+111-'🌱 Configuração'!$E$56)/7)+1))))</f>
        <v>Flora S8</v>
      </c>
      <c r="F117" s="43" t="str">
        <f>IF(112&gt;'🌱 Configuração'!$F$55,"",IF('🌱 Configuração'!$B$56+111='🌱 Configuração'!$C$56,"🌿 INÍCIO VEGA — luz 18h/dia",IF('🌱 Configuração'!$B$56+111='🌱 Configuração'!$D$56,"🌸 INÍCIO FLORAÇÃO — mudar 12/12 🔴",IF('🌱 Configuração'!$B$56+111='🌱 Configuração'!$E$56,"🚿 INÍCIO FLUSH — parar nutrição",IF('🌱 Configuração'!$B$56+111='🌱 Configuração'!$F$56-1,"🔬 Véspera da colheita — analisar tricomas",IF('🌱 Configuração'!$B$56+111='🌱 Configuração'!$F$56,"✂️ COLHEITA — Parabéns! 🎉",""))))))</f>
        <v/>
      </c>
      <c r="G117" s="44" t="s">
        <v>428</v>
      </c>
      <c r="H117" s="45" t="str">
        <f>IF(112&gt;'🌱 Configuração'!$F$55,"",IF('🌱 Configuração'!$B$56+111&lt;'🌱 Configuração'!$C$56,IF(112=1,"🌿 Nim (2 mL/L) — foliar leve",IF(112=8,"🍄 Beauveria bassiana — foliar + solo","")),IF('🌱 Configuração'!$B$56+111&lt;'🌱 Configuração'!$D$56,IF(AND('🌱 Configuração'!$B$56+111&gt;='🌱 Configuração'!$C$56,'🌱 Configuração'!$B$56+111&lt;'🌱 Configuração'!$D$56,MOD('🌱 Configuração'!$B$56+111-'🌱 Configuração'!$C$56,7)=0,INT(('🌱 Configuração'!$B$56+111-'🌱 Configuração'!$C$56)/7)+1=1),"🌿 Nim (2 mL/L) — foliar preventivo",IF(AND('🌱 Configuração'!$B$56+111&gt;='🌱 Configuração'!$C$56,'🌱 Configuração'!$B$56+111&lt;'🌱 Configuração'!$D$56,MOD('🌱 Configuração'!$B$56+111-'🌱 Configuração'!$C$56,7)=0,INT(('🌱 Configuração'!$B$56+111-'🌱 Configuração'!$C$56)/7)+1=2),"🍄 Beauveria bassiana — foliar + solo",IF(AND('🌱 Configuração'!$B$56+111&gt;='🌱 Configuração'!$C$56,'🌱 Configuração'!$B$56+111&lt;'🌱 Configuração'!$D$56,MOD('🌱 Configuração'!$B$56+111-'🌱 Configuração'!$C$56,7)=0,INT(('🌱 Configuração'!$B$56+111-'🌱 Configuração'!$C$56)/7)+1=3),"🟡 Calda Sulfocálcica (1%) — foliar",IF(AND('🌱 Configuração'!$B$56+111&gt;='🌱 Configuração'!$C$56,'🌱 Configuração'!$B$56+111&lt;'🌱 Configuração'!$D$56,MOD('🌱 Configuração'!$B$56+111-'🌱 Configuração'!$C$56,7)=0,INT(('🌱 Configuração'!$B$56+111-'🌱 Configuração'!$C$56)/7)+1=4),"🦠 Trichoderma (3 g/L) — solo",IF(AND('🌱 Configuração'!$B$56+111&gt;='🌱 Configuração'!$C$56,'🌱 Configuração'!$B$56+111&lt;'🌱 Configuração'!$D$56,MOD('🌱 Configuração'!$B$56+111-'🌱 Configuração'!$C$56,7)=0,INT(('🌱 Configuração'!$B$56+111-'🌱 Configuração'!$C$56)/7)+1=5),"🔵 Calda Bordalesa (0.5%) — foliar",IF(AND('🌱 Configuração'!$B$56+111&gt;='🌱 Configuração'!$C$56,'🌱 Configuração'!$B$56+111&lt;'🌱 Configuração'!$D$56,MOD('🌱 Configuração'!$B$56+111-'🌱 Configuração'!$C$56,7)=0,INT(('🌱 Configuração'!$B$56+111-'🌱 Configuração'!$C$56)/7)+1=6),"🌿 Nim (2 mL/L) — ⚠️ ÚLTIMA foliar",IF(AND('🌱 Configuração'!$B$56+111&gt;='🌱 Configuração'!$C$56,'🌱 Configuração'!$B$56+111&lt;'🌱 Configuração'!$D$56,MOD('🌱 Configuração'!$B$56+111-'🌱 Configuração'!$C$56,7)=0,INT(('🌱 Configuração'!$B$56+111-'🌱 Configuração'!$C$56)/7)+1=7),"🦠 Trichoderma — solo",IF(AND('🌱 Configuração'!$B$56+111&gt;='🌱 Configuração'!$C$56,'🌱 Configuração'!$B$56+111&lt;'🌱 Configuração'!$D$56,MOD('🌱 Configuração'!$B$56+111-'🌱 Configuração'!$C$56,7)=0,INT(('🌱 Configuração'!$B$56+111-'🌱 Configuração'!$C$56)/7)+1=8),"🍄 Beauveria — solo","")))))))),IF('🌱 Configuração'!$B$56+111&lt;'🌱 Configuração'!$E$56,IF(AND('🌱 Configuração'!$B$56+111&gt;='🌱 Configuração'!$D$56,'🌱 Configuração'!$B$56+111&lt;'🌱 Configuração'!$E$56,MOD('🌱 Configuração'!$B$56+111-'🌱 Configuração'!$D$56,7)=0,INT(('🌱 Configuração'!$B$56+111-'🌱 Configuração'!$D$56)/7)+1=1),"🍄 Beauveria bassiana — SOLO apenas",IF(AND('🌱 Configuração'!$B$56+111&gt;='🌱 Configuração'!$D$56,'🌱 Configuração'!$B$56+111&lt;'🌱 Configuração'!$E$56,MOD('🌱 Configuração'!$B$56+111-'🌱 Configuração'!$D$56,7)=0,INT(('🌱 Configuração'!$B$56+111-'🌱 Configuração'!$D$56)/7)+1=2),"🦠 Trichoderma (3 g/L) — solo",IF(AND('🌱 Configuração'!$B$56+111&gt;='🌱 Configuração'!$D$56,'🌱 Configuração'!$B$56+111&lt;'🌱 Configuração'!$E$56,MOD('🌱 Configuração'!$B$56+111-'🌱 Configuração'!$D$56,7)=0,INT(('🌱 Configuração'!$B$56+111-'🌱 Configuração'!$D$56)/7)+1=3),"🍄 Beauveria bassiana — solo | ⚠️ Umid &lt;45%",IF(AND('🌱 Configuração'!$B$56+111&gt;='🌱 Configuração'!$D$56,'🌱 Configuração'!$B$56+111&lt;'🌱 Configuração'!$E$56,MOD('🌱 Configuração'!$B$56+111-'🌱 Configuração'!$D$56,7)=0,INT(('🌱 Configuração'!$B$56+111-'🌱 Configuração'!$D$56)/7)+1=4),"🦠 Trichoderma — solo | Inspecionar buds",IF(AND('🌱 Configuração'!$B$56+111&gt;='🌱 Configuração'!$D$56,'🌱 Configuração'!$B$56+111&lt;'🌱 Configuração'!$E$56,MOD('🌱 Configuração'!$B$56+111-'🌱 Configuração'!$D$56,7)=0,INT(('🌱 Configuração'!$B$56+111-'🌱 Configuração'!$D$56)/7)+1=5),"🍄 Beauveria + inspeção visual buds",IF(AND('🌱 Configuração'!$B$56+111&gt;='🌱 Configuração'!$D$56,'🌱 Configuração'!$B$56+111&lt;'🌱 Configuração'!$E$56,MOD('🌱 Configuração'!$B$56+111-'🌱 Configuração'!$D$56,7)=0,INT(('🌱 Configuração'!$B$56+111-'🌱 Configuração'!$D$56)/7)+1=6),"🦠 Trichoderma + ⚠️ Verificar mofo","")))))),IF(AND('🌱 Configuração'!$B$56+111&gt;='🌱 Configuração'!$E$56,MOD('🌱 Configuração'!$B$56+111-'🌱 Configuração'!$E$56,7)=0),"🔬 Inspeção final — analisar tricomas","")))))</f>
        <v/>
      </c>
      <c r="I117" s="33"/>
    </row>
    <row r="118" spans="1:9" ht="19.5" customHeight="1">
      <c r="A118" s="1"/>
      <c r="B118" s="35">
        <f>IF(113&lt;='🌱 Configuração'!$F$55,113,"")</f>
        <v>113</v>
      </c>
      <c r="C118" s="13">
        <f>IF(113&lt;='🌱 Configuração'!$F$55,'🌱 Configuração'!$B$56+112,"")</f>
        <v>112</v>
      </c>
      <c r="D118" s="36" t="str">
        <f>IF(113&gt;'🌱 Configuração'!$F$55,"",IF('🌱 Configuração'!$B$56+112&lt;'🌱 Configuração'!$C$56,"🌱 Clone",IF('🌱 Configuração'!$B$56+112&lt;'🌱 Configuração'!$D$56,"🌿 Vegetativo",IF('🌱 Configuração'!$B$56+112&lt;'🌱 Configuração'!$E$56,"🌸 Floração","🚿 Flush"))))</f>
        <v>🌸 Floração</v>
      </c>
      <c r="E118" s="15" t="str">
        <f>IF(113&gt;'🌱 Configuração'!$F$55,"",IF('🌱 Configuração'!$B$56+112&lt;'🌱 Configuração'!$C$56,"Clone S"&amp;INT((113-1)/7)+1,IF('🌱 Configuração'!$B$56+112&lt;'🌱 Configuração'!$D$56,"Vega S"&amp;INT(('🌱 Configuração'!$B$56+112-'🌱 Configuração'!$C$56)/7)+1,IF('🌱 Configuração'!$B$56+112&lt;'🌱 Configuração'!$E$56,"Flora S"&amp;INT(('🌱 Configuração'!$B$56+112-'🌱 Configuração'!$D$56)/7)+1,"Flush S"&amp;INT(('🌱 Configuração'!$B$56+112-'🌱 Configuração'!$E$56)/7)+1))))</f>
        <v>Flora S9</v>
      </c>
      <c r="F118" s="14" t="str">
        <f>IF(113&gt;'🌱 Configuração'!$F$55,"",IF('🌱 Configuração'!$B$56+112='🌱 Configuração'!$C$56,"🌿 INÍCIO VEGA — luz 18h/dia",IF('🌱 Configuração'!$B$56+112='🌱 Configuração'!$D$56,"🌸 INÍCIO FLORAÇÃO — mudar 12/12 🔴",IF('🌱 Configuração'!$B$56+112='🌱 Configuração'!$E$56,"🚿 INÍCIO FLUSH — parar nutrição",IF('🌱 Configuração'!$B$56+112='🌱 Configuração'!$F$56-1,"🔬 Véspera da colheita — analisar tricomas",IF('🌱 Configuração'!$B$56+112='🌱 Configuração'!$F$56,"✂️ COLHEITA — Parabéns! 🎉",""))))))</f>
        <v/>
      </c>
      <c r="G118" s="37" t="s">
        <v>440</v>
      </c>
      <c r="H118" s="38" t="str">
        <f>IF(113&gt;'🌱 Configuração'!$F$55,"",IF('🌱 Configuração'!$B$56+112&lt;'🌱 Configuração'!$C$56,IF(113=1,"🌿 Nim (2 mL/L) — foliar leve",IF(113=8,"🍄 Beauveria bassiana — foliar + solo","")),IF('🌱 Configuração'!$B$56+112&lt;'🌱 Configuração'!$D$56,IF(AND('🌱 Configuração'!$B$56+112&gt;='🌱 Configuração'!$C$56,'🌱 Configuração'!$B$56+112&lt;'🌱 Configuração'!$D$56,MOD('🌱 Configuração'!$B$56+112-'🌱 Configuração'!$C$56,7)=0,INT(('🌱 Configuração'!$B$56+112-'🌱 Configuração'!$C$56)/7)+1=1),"🌿 Nim (2 mL/L) — foliar preventivo",IF(AND('🌱 Configuração'!$B$56+112&gt;='🌱 Configuração'!$C$56,'🌱 Configuração'!$B$56+112&lt;'🌱 Configuração'!$D$56,MOD('🌱 Configuração'!$B$56+112-'🌱 Configuração'!$C$56,7)=0,INT(('🌱 Configuração'!$B$56+112-'🌱 Configuração'!$C$56)/7)+1=2),"🍄 Beauveria bassiana — foliar + solo",IF(AND('🌱 Configuração'!$B$56+112&gt;='🌱 Configuração'!$C$56,'🌱 Configuração'!$B$56+112&lt;'🌱 Configuração'!$D$56,MOD('🌱 Configuração'!$B$56+112-'🌱 Configuração'!$C$56,7)=0,INT(('🌱 Configuração'!$B$56+112-'🌱 Configuração'!$C$56)/7)+1=3),"🟡 Calda Sulfocálcica (1%) — foliar",IF(AND('🌱 Configuração'!$B$56+112&gt;='🌱 Configuração'!$C$56,'🌱 Configuração'!$B$56+112&lt;'🌱 Configuração'!$D$56,MOD('🌱 Configuração'!$B$56+112-'🌱 Configuração'!$C$56,7)=0,INT(('🌱 Configuração'!$B$56+112-'🌱 Configuração'!$C$56)/7)+1=4),"🦠 Trichoderma (3 g/L) — solo",IF(AND('🌱 Configuração'!$B$56+112&gt;='🌱 Configuração'!$C$56,'🌱 Configuração'!$B$56+112&lt;'🌱 Configuração'!$D$56,MOD('🌱 Configuração'!$B$56+112-'🌱 Configuração'!$C$56,7)=0,INT(('🌱 Configuração'!$B$56+112-'🌱 Configuração'!$C$56)/7)+1=5),"🔵 Calda Bordalesa (0.5%) — foliar",IF(AND('🌱 Configuração'!$B$56+112&gt;='🌱 Configuração'!$C$56,'🌱 Configuração'!$B$56+112&lt;'🌱 Configuração'!$D$56,MOD('🌱 Configuração'!$B$56+112-'🌱 Configuração'!$C$56,7)=0,INT(('🌱 Configuração'!$B$56+112-'🌱 Configuração'!$C$56)/7)+1=6),"🌿 Nim (2 mL/L) — ⚠️ ÚLTIMA foliar",IF(AND('🌱 Configuração'!$B$56+112&gt;='🌱 Configuração'!$C$56,'🌱 Configuração'!$B$56+112&lt;'🌱 Configuração'!$D$56,MOD('🌱 Configuração'!$B$56+112-'🌱 Configuração'!$C$56,7)=0,INT(('🌱 Configuração'!$B$56+112-'🌱 Configuração'!$C$56)/7)+1=7),"🦠 Trichoderma — solo",IF(AND('🌱 Configuração'!$B$56+112&gt;='🌱 Configuração'!$C$56,'🌱 Configuração'!$B$56+112&lt;'🌱 Configuração'!$D$56,MOD('🌱 Configuração'!$B$56+112-'🌱 Configuração'!$C$56,7)=0,INT(('🌱 Configuração'!$B$56+112-'🌱 Configuração'!$C$56)/7)+1=8),"🍄 Beauveria — solo","")))))))),IF('🌱 Configuração'!$B$56+112&lt;'🌱 Configuração'!$E$56,IF(AND('🌱 Configuração'!$B$56+112&gt;='🌱 Configuração'!$D$56,'🌱 Configuração'!$B$56+112&lt;'🌱 Configuração'!$E$56,MOD('🌱 Configuração'!$B$56+112-'🌱 Configuração'!$D$56,7)=0,INT(('🌱 Configuração'!$B$56+112-'🌱 Configuração'!$D$56)/7)+1=1),"🍄 Beauveria bassiana — SOLO apenas",IF(AND('🌱 Configuração'!$B$56+112&gt;='🌱 Configuração'!$D$56,'🌱 Configuração'!$B$56+112&lt;'🌱 Configuração'!$E$56,MOD('🌱 Configuração'!$B$56+112-'🌱 Configuração'!$D$56,7)=0,INT(('🌱 Configuração'!$B$56+112-'🌱 Configuração'!$D$56)/7)+1=2),"🦠 Trichoderma (3 g/L) — solo",IF(AND('🌱 Configuração'!$B$56+112&gt;='🌱 Configuração'!$D$56,'🌱 Configuração'!$B$56+112&lt;'🌱 Configuração'!$E$56,MOD('🌱 Configuração'!$B$56+112-'🌱 Configuração'!$D$56,7)=0,INT(('🌱 Configuração'!$B$56+112-'🌱 Configuração'!$D$56)/7)+1=3),"🍄 Beauveria bassiana — solo | ⚠️ Umid &lt;45%",IF(AND('🌱 Configuração'!$B$56+112&gt;='🌱 Configuração'!$D$56,'🌱 Configuração'!$B$56+112&lt;'🌱 Configuração'!$E$56,MOD('🌱 Configuração'!$B$56+112-'🌱 Configuração'!$D$56,7)=0,INT(('🌱 Configuração'!$B$56+112-'🌱 Configuração'!$D$56)/7)+1=4),"🦠 Trichoderma — solo | Inspecionar buds",IF(AND('🌱 Configuração'!$B$56+112&gt;='🌱 Configuração'!$D$56,'🌱 Configuração'!$B$56+112&lt;'🌱 Configuração'!$E$56,MOD('🌱 Configuração'!$B$56+112-'🌱 Configuração'!$D$56,7)=0,INT(('🌱 Configuração'!$B$56+112-'🌱 Configuração'!$D$56)/7)+1=5),"🍄 Beauveria + inspeção visual buds",IF(AND('🌱 Configuração'!$B$56+112&gt;='🌱 Configuração'!$D$56,'🌱 Configuração'!$B$56+112&lt;'🌱 Configuração'!$E$56,MOD('🌱 Configuração'!$B$56+112-'🌱 Configuração'!$D$56,7)=0,INT(('🌱 Configuração'!$B$56+112-'🌱 Configuração'!$D$56)/7)+1=6),"🦠 Trichoderma + ⚠️ Verificar mofo","")))))),IF(AND('🌱 Configuração'!$B$56+112&gt;='🌱 Configuração'!$E$56,MOD('🌱 Configuração'!$B$56+112-'🌱 Configuração'!$E$56,7)=0),"🔬 Inspeção final — analisar tricomas","")))))</f>
        <v/>
      </c>
      <c r="I118" s="33"/>
    </row>
    <row r="119" spans="1:9" ht="19.5" customHeight="1">
      <c r="A119" s="1"/>
      <c r="B119" s="39">
        <f>IF(114&lt;='🌱 Configuração'!$F$55,114,"")</f>
        <v>114</v>
      </c>
      <c r="C119" s="40">
        <f>IF(114&lt;='🌱 Configuração'!$F$55,'🌱 Configuração'!$B$56+113,"")</f>
        <v>113</v>
      </c>
      <c r="D119" s="41" t="str">
        <f>IF(114&gt;'🌱 Configuração'!$F$55,"",IF('🌱 Configuração'!$B$56+113&lt;'🌱 Configuração'!$C$56,"🌱 Clone",IF('🌱 Configuração'!$B$56+113&lt;'🌱 Configuração'!$D$56,"🌿 Vegetativo",IF('🌱 Configuração'!$B$56+113&lt;'🌱 Configuração'!$E$56,"🌸 Floração","🚿 Flush"))))</f>
        <v>🌸 Floração</v>
      </c>
      <c r="E119" s="42" t="str">
        <f>IF(114&gt;'🌱 Configuração'!$F$55,"",IF('🌱 Configuração'!$B$56+113&lt;'🌱 Configuração'!$C$56,"Clone S"&amp;INT((114-1)/7)+1,IF('🌱 Configuração'!$B$56+113&lt;'🌱 Configuração'!$D$56,"Vega S"&amp;INT(('🌱 Configuração'!$B$56+113-'🌱 Configuração'!$C$56)/7)+1,IF('🌱 Configuração'!$B$56+113&lt;'🌱 Configuração'!$E$56,"Flora S"&amp;INT(('🌱 Configuração'!$B$56+113-'🌱 Configuração'!$D$56)/7)+1,"Flush S"&amp;INT(('🌱 Configuração'!$B$56+113-'🌱 Configuração'!$E$56)/7)+1))))</f>
        <v>Flora S9</v>
      </c>
      <c r="F119" s="43" t="str">
        <f>IF(114&gt;'🌱 Configuração'!$F$55,"",IF('🌱 Configuração'!$B$56+113='🌱 Configuração'!$C$56,"🌿 INÍCIO VEGA — luz 18h/dia",IF('🌱 Configuração'!$B$56+113='🌱 Configuração'!$D$56,"🌸 INÍCIO FLORAÇÃO — mudar 12/12 🔴",IF('🌱 Configuração'!$B$56+113='🌱 Configuração'!$E$56,"🚿 INÍCIO FLUSH — parar nutrição",IF('🌱 Configuração'!$B$56+113='🌱 Configuração'!$F$56-1,"🔬 Véspera da colheita — analisar tricomas",IF('🌱 Configuração'!$B$56+113='🌱 Configuração'!$F$56,"✂️ COLHEITA — Parabéns! 🎉",""))))))</f>
        <v/>
      </c>
      <c r="G119" s="44" t="s">
        <v>428</v>
      </c>
      <c r="H119" s="45" t="str">
        <f>IF(114&gt;'🌱 Configuração'!$F$55,"",IF('🌱 Configuração'!$B$56+113&lt;'🌱 Configuração'!$C$56,IF(114=1,"🌿 Nim (2 mL/L) — foliar leve",IF(114=8,"🍄 Beauveria bassiana — foliar + solo","")),IF('🌱 Configuração'!$B$56+113&lt;'🌱 Configuração'!$D$56,IF(AND('🌱 Configuração'!$B$56+113&gt;='🌱 Configuração'!$C$56,'🌱 Configuração'!$B$56+113&lt;'🌱 Configuração'!$D$56,MOD('🌱 Configuração'!$B$56+113-'🌱 Configuração'!$C$56,7)=0,INT(('🌱 Configuração'!$B$56+113-'🌱 Configuração'!$C$56)/7)+1=1),"🌿 Nim (2 mL/L) — foliar preventivo",IF(AND('🌱 Configuração'!$B$56+113&gt;='🌱 Configuração'!$C$56,'🌱 Configuração'!$B$56+113&lt;'🌱 Configuração'!$D$56,MOD('🌱 Configuração'!$B$56+113-'🌱 Configuração'!$C$56,7)=0,INT(('🌱 Configuração'!$B$56+113-'🌱 Configuração'!$C$56)/7)+1=2),"🍄 Beauveria bassiana — foliar + solo",IF(AND('🌱 Configuração'!$B$56+113&gt;='🌱 Configuração'!$C$56,'🌱 Configuração'!$B$56+113&lt;'🌱 Configuração'!$D$56,MOD('🌱 Configuração'!$B$56+113-'🌱 Configuração'!$C$56,7)=0,INT(('🌱 Configuração'!$B$56+113-'🌱 Configuração'!$C$56)/7)+1=3),"🟡 Calda Sulfocálcica (1%) — foliar",IF(AND('🌱 Configuração'!$B$56+113&gt;='🌱 Configuração'!$C$56,'🌱 Configuração'!$B$56+113&lt;'🌱 Configuração'!$D$56,MOD('🌱 Configuração'!$B$56+113-'🌱 Configuração'!$C$56,7)=0,INT(('🌱 Configuração'!$B$56+113-'🌱 Configuração'!$C$56)/7)+1=4),"🦠 Trichoderma (3 g/L) — solo",IF(AND('🌱 Configuração'!$B$56+113&gt;='🌱 Configuração'!$C$56,'🌱 Configuração'!$B$56+113&lt;'🌱 Configuração'!$D$56,MOD('🌱 Configuração'!$B$56+113-'🌱 Configuração'!$C$56,7)=0,INT(('🌱 Configuração'!$B$56+113-'🌱 Configuração'!$C$56)/7)+1=5),"🔵 Calda Bordalesa (0.5%) — foliar",IF(AND('🌱 Configuração'!$B$56+113&gt;='🌱 Configuração'!$C$56,'🌱 Configuração'!$B$56+113&lt;'🌱 Configuração'!$D$56,MOD('🌱 Configuração'!$B$56+113-'🌱 Configuração'!$C$56,7)=0,INT(('🌱 Configuração'!$B$56+113-'🌱 Configuração'!$C$56)/7)+1=6),"🌿 Nim (2 mL/L) — ⚠️ ÚLTIMA foliar",IF(AND('🌱 Configuração'!$B$56+113&gt;='🌱 Configuração'!$C$56,'🌱 Configuração'!$B$56+113&lt;'🌱 Configuração'!$D$56,MOD('🌱 Configuração'!$B$56+113-'🌱 Configuração'!$C$56,7)=0,INT(('🌱 Configuração'!$B$56+113-'🌱 Configuração'!$C$56)/7)+1=7),"🦠 Trichoderma — solo",IF(AND('🌱 Configuração'!$B$56+113&gt;='🌱 Configuração'!$C$56,'🌱 Configuração'!$B$56+113&lt;'🌱 Configuração'!$D$56,MOD('🌱 Configuração'!$B$56+113-'🌱 Configuração'!$C$56,7)=0,INT(('🌱 Configuração'!$B$56+113-'🌱 Configuração'!$C$56)/7)+1=8),"🍄 Beauveria — solo","")))))))),IF('🌱 Configuração'!$B$56+113&lt;'🌱 Configuração'!$E$56,IF(AND('🌱 Configuração'!$B$56+113&gt;='🌱 Configuração'!$D$56,'🌱 Configuração'!$B$56+113&lt;'🌱 Configuração'!$E$56,MOD('🌱 Configuração'!$B$56+113-'🌱 Configuração'!$D$56,7)=0,INT(('🌱 Configuração'!$B$56+113-'🌱 Configuração'!$D$56)/7)+1=1),"🍄 Beauveria bassiana — SOLO apenas",IF(AND('🌱 Configuração'!$B$56+113&gt;='🌱 Configuração'!$D$56,'🌱 Configuração'!$B$56+113&lt;'🌱 Configuração'!$E$56,MOD('🌱 Configuração'!$B$56+113-'🌱 Configuração'!$D$56,7)=0,INT(('🌱 Configuração'!$B$56+113-'🌱 Configuração'!$D$56)/7)+1=2),"🦠 Trichoderma (3 g/L) — solo",IF(AND('🌱 Configuração'!$B$56+113&gt;='🌱 Configuração'!$D$56,'🌱 Configuração'!$B$56+113&lt;'🌱 Configuração'!$E$56,MOD('🌱 Configuração'!$B$56+113-'🌱 Configuração'!$D$56,7)=0,INT(('🌱 Configuração'!$B$56+113-'🌱 Configuração'!$D$56)/7)+1=3),"🍄 Beauveria bassiana — solo | ⚠️ Umid &lt;45%",IF(AND('🌱 Configuração'!$B$56+113&gt;='🌱 Configuração'!$D$56,'🌱 Configuração'!$B$56+113&lt;'🌱 Configuração'!$E$56,MOD('🌱 Configuração'!$B$56+113-'🌱 Configuração'!$D$56,7)=0,INT(('🌱 Configuração'!$B$56+113-'🌱 Configuração'!$D$56)/7)+1=4),"🦠 Trichoderma — solo | Inspecionar buds",IF(AND('🌱 Configuração'!$B$56+113&gt;='🌱 Configuração'!$D$56,'🌱 Configuração'!$B$56+113&lt;'🌱 Configuração'!$E$56,MOD('🌱 Configuração'!$B$56+113-'🌱 Configuração'!$D$56,7)=0,INT(('🌱 Configuração'!$B$56+113-'🌱 Configuração'!$D$56)/7)+1=5),"🍄 Beauveria + inspeção visual buds",IF(AND('🌱 Configuração'!$B$56+113&gt;='🌱 Configuração'!$D$56,'🌱 Configuração'!$B$56+113&lt;'🌱 Configuração'!$E$56,MOD('🌱 Configuração'!$B$56+113-'🌱 Configuração'!$D$56,7)=0,INT(('🌱 Configuração'!$B$56+113-'🌱 Configuração'!$D$56)/7)+1=6),"🦠 Trichoderma + ⚠️ Verificar mofo","")))))),IF(AND('🌱 Configuração'!$B$56+113&gt;='🌱 Configuração'!$E$56,MOD('🌱 Configuração'!$B$56+113-'🌱 Configuração'!$E$56,7)=0),"🔬 Inspeção final — analisar tricomas","")))))</f>
        <v/>
      </c>
      <c r="I119" s="33"/>
    </row>
    <row r="120" spans="1:9" ht="19.5" customHeight="1">
      <c r="A120" s="1"/>
      <c r="B120" s="35">
        <f>IF(115&lt;='🌱 Configuração'!$F$55,115,"")</f>
        <v>115</v>
      </c>
      <c r="C120" s="13">
        <f>IF(115&lt;='🌱 Configuração'!$F$55,'🌱 Configuração'!$B$56+114,"")</f>
        <v>114</v>
      </c>
      <c r="D120" s="36" t="str">
        <f>IF(115&gt;'🌱 Configuração'!$F$55,"",IF('🌱 Configuração'!$B$56+114&lt;'🌱 Configuração'!$C$56,"🌱 Clone",IF('🌱 Configuração'!$B$56+114&lt;'🌱 Configuração'!$D$56,"🌿 Vegetativo",IF('🌱 Configuração'!$B$56+114&lt;'🌱 Configuração'!$E$56,"🌸 Floração","🚿 Flush"))))</f>
        <v>🌸 Floração</v>
      </c>
      <c r="E120" s="15" t="str">
        <f>IF(115&gt;'🌱 Configuração'!$F$55,"",IF('🌱 Configuração'!$B$56+114&lt;'🌱 Configuração'!$C$56,"Clone S"&amp;INT((115-1)/7)+1,IF('🌱 Configuração'!$B$56+114&lt;'🌱 Configuração'!$D$56,"Vega S"&amp;INT(('🌱 Configuração'!$B$56+114-'🌱 Configuração'!$C$56)/7)+1,IF('🌱 Configuração'!$B$56+114&lt;'🌱 Configuração'!$E$56,"Flora S"&amp;INT(('🌱 Configuração'!$B$56+114-'🌱 Configuração'!$D$56)/7)+1,"Flush S"&amp;INT(('🌱 Configuração'!$B$56+114-'🌱 Configuração'!$E$56)/7)+1))))</f>
        <v>Flora S9</v>
      </c>
      <c r="F120" s="14" t="str">
        <f>IF(115&gt;'🌱 Configuração'!$F$55,"",IF('🌱 Configuração'!$B$56+114='🌱 Configuração'!$C$56,"🌿 INÍCIO VEGA — luz 18h/dia",IF('🌱 Configuração'!$B$56+114='🌱 Configuração'!$D$56,"🌸 INÍCIO FLORAÇÃO — mudar 12/12 🔴",IF('🌱 Configuração'!$B$56+114='🌱 Configuração'!$E$56,"🚿 INÍCIO FLUSH — parar nutrição",IF('🌱 Configuração'!$B$56+114='🌱 Configuração'!$F$56-1,"🔬 Véspera da colheita — analisar tricomas",IF('🌱 Configuração'!$B$56+114='🌱 Configuração'!$F$56,"✂️ COLHEITA — Parabéns! 🎉",""))))))</f>
        <v/>
      </c>
      <c r="G120" s="37" t="s">
        <v>428</v>
      </c>
      <c r="H120" s="38" t="str">
        <f>IF(115&gt;'🌱 Configuração'!$F$55,"",IF('🌱 Configuração'!$B$56+114&lt;'🌱 Configuração'!$C$56,IF(115=1,"🌿 Nim (2 mL/L) — foliar leve",IF(115=8,"🍄 Beauveria bassiana — foliar + solo","")),IF('🌱 Configuração'!$B$56+114&lt;'🌱 Configuração'!$D$56,IF(AND('🌱 Configuração'!$B$56+114&gt;='🌱 Configuração'!$C$56,'🌱 Configuração'!$B$56+114&lt;'🌱 Configuração'!$D$56,MOD('🌱 Configuração'!$B$56+114-'🌱 Configuração'!$C$56,7)=0,INT(('🌱 Configuração'!$B$56+114-'🌱 Configuração'!$C$56)/7)+1=1),"🌿 Nim (2 mL/L) — foliar preventivo",IF(AND('🌱 Configuração'!$B$56+114&gt;='🌱 Configuração'!$C$56,'🌱 Configuração'!$B$56+114&lt;'🌱 Configuração'!$D$56,MOD('🌱 Configuração'!$B$56+114-'🌱 Configuração'!$C$56,7)=0,INT(('🌱 Configuração'!$B$56+114-'🌱 Configuração'!$C$56)/7)+1=2),"🍄 Beauveria bassiana — foliar + solo",IF(AND('🌱 Configuração'!$B$56+114&gt;='🌱 Configuração'!$C$56,'🌱 Configuração'!$B$56+114&lt;'🌱 Configuração'!$D$56,MOD('🌱 Configuração'!$B$56+114-'🌱 Configuração'!$C$56,7)=0,INT(('🌱 Configuração'!$B$56+114-'🌱 Configuração'!$C$56)/7)+1=3),"🟡 Calda Sulfocálcica (1%) — foliar",IF(AND('🌱 Configuração'!$B$56+114&gt;='🌱 Configuração'!$C$56,'🌱 Configuração'!$B$56+114&lt;'🌱 Configuração'!$D$56,MOD('🌱 Configuração'!$B$56+114-'🌱 Configuração'!$C$56,7)=0,INT(('🌱 Configuração'!$B$56+114-'🌱 Configuração'!$C$56)/7)+1=4),"🦠 Trichoderma (3 g/L) — solo",IF(AND('🌱 Configuração'!$B$56+114&gt;='🌱 Configuração'!$C$56,'🌱 Configuração'!$B$56+114&lt;'🌱 Configuração'!$D$56,MOD('🌱 Configuração'!$B$56+114-'🌱 Configuração'!$C$56,7)=0,INT(('🌱 Configuração'!$B$56+114-'🌱 Configuração'!$C$56)/7)+1=5),"🔵 Calda Bordalesa (0.5%) — foliar",IF(AND('🌱 Configuração'!$B$56+114&gt;='🌱 Configuração'!$C$56,'🌱 Configuração'!$B$56+114&lt;'🌱 Configuração'!$D$56,MOD('🌱 Configuração'!$B$56+114-'🌱 Configuração'!$C$56,7)=0,INT(('🌱 Configuração'!$B$56+114-'🌱 Configuração'!$C$56)/7)+1=6),"🌿 Nim (2 mL/L) — ⚠️ ÚLTIMA foliar",IF(AND('🌱 Configuração'!$B$56+114&gt;='🌱 Configuração'!$C$56,'🌱 Configuração'!$B$56+114&lt;'🌱 Configuração'!$D$56,MOD('🌱 Configuração'!$B$56+114-'🌱 Configuração'!$C$56,7)=0,INT(('🌱 Configuração'!$B$56+114-'🌱 Configuração'!$C$56)/7)+1=7),"🦠 Trichoderma — solo",IF(AND('🌱 Configuração'!$B$56+114&gt;='🌱 Configuração'!$C$56,'🌱 Configuração'!$B$56+114&lt;'🌱 Configuração'!$D$56,MOD('🌱 Configuração'!$B$56+114-'🌱 Configuração'!$C$56,7)=0,INT(('🌱 Configuração'!$B$56+114-'🌱 Configuração'!$C$56)/7)+1=8),"🍄 Beauveria — solo","")))))))),IF('🌱 Configuração'!$B$56+114&lt;'🌱 Configuração'!$E$56,IF(AND('🌱 Configuração'!$B$56+114&gt;='🌱 Configuração'!$D$56,'🌱 Configuração'!$B$56+114&lt;'🌱 Configuração'!$E$56,MOD('🌱 Configuração'!$B$56+114-'🌱 Configuração'!$D$56,7)=0,INT(('🌱 Configuração'!$B$56+114-'🌱 Configuração'!$D$56)/7)+1=1),"🍄 Beauveria bassiana — SOLO apenas",IF(AND('🌱 Configuração'!$B$56+114&gt;='🌱 Configuração'!$D$56,'🌱 Configuração'!$B$56+114&lt;'🌱 Configuração'!$E$56,MOD('🌱 Configuração'!$B$56+114-'🌱 Configuração'!$D$56,7)=0,INT(('🌱 Configuração'!$B$56+114-'🌱 Configuração'!$D$56)/7)+1=2),"🦠 Trichoderma (3 g/L) — solo",IF(AND('🌱 Configuração'!$B$56+114&gt;='🌱 Configuração'!$D$56,'🌱 Configuração'!$B$56+114&lt;'🌱 Configuração'!$E$56,MOD('🌱 Configuração'!$B$56+114-'🌱 Configuração'!$D$56,7)=0,INT(('🌱 Configuração'!$B$56+114-'🌱 Configuração'!$D$56)/7)+1=3),"🍄 Beauveria bassiana — solo | ⚠️ Umid &lt;45%",IF(AND('🌱 Configuração'!$B$56+114&gt;='🌱 Configuração'!$D$56,'🌱 Configuração'!$B$56+114&lt;'🌱 Configuração'!$E$56,MOD('🌱 Configuração'!$B$56+114-'🌱 Configuração'!$D$56,7)=0,INT(('🌱 Configuração'!$B$56+114-'🌱 Configuração'!$D$56)/7)+1=4),"🦠 Trichoderma — solo | Inspecionar buds",IF(AND('🌱 Configuração'!$B$56+114&gt;='🌱 Configuração'!$D$56,'🌱 Configuração'!$B$56+114&lt;'🌱 Configuração'!$E$56,MOD('🌱 Configuração'!$B$56+114-'🌱 Configuração'!$D$56,7)=0,INT(('🌱 Configuração'!$B$56+114-'🌱 Configuração'!$D$56)/7)+1=5),"🍄 Beauveria + inspeção visual buds",IF(AND('🌱 Configuração'!$B$56+114&gt;='🌱 Configuração'!$D$56,'🌱 Configuração'!$B$56+114&lt;'🌱 Configuração'!$E$56,MOD('🌱 Configuração'!$B$56+114-'🌱 Configuração'!$D$56,7)=0,INT(('🌱 Configuração'!$B$56+114-'🌱 Configuração'!$D$56)/7)+1=6),"🦠 Trichoderma + ⚠️ Verificar mofo","")))))),IF(AND('🌱 Configuração'!$B$56+114&gt;='🌱 Configuração'!$E$56,MOD('🌱 Configuração'!$B$56+114-'🌱 Configuração'!$E$56,7)=0),"🔬 Inspeção final — analisar tricomas","")))))</f>
        <v/>
      </c>
      <c r="I120" s="33"/>
    </row>
    <row r="121" spans="1:9" ht="19.5" customHeight="1">
      <c r="A121" s="1"/>
      <c r="B121" s="39">
        <f>IF(116&lt;='🌱 Configuração'!$F$55,116,"")</f>
        <v>116</v>
      </c>
      <c r="C121" s="40">
        <f>IF(116&lt;='🌱 Configuração'!$F$55,'🌱 Configuração'!$B$56+115,"")</f>
        <v>115</v>
      </c>
      <c r="D121" s="41" t="str">
        <f>IF(116&gt;'🌱 Configuração'!$F$55,"",IF('🌱 Configuração'!$B$56+115&lt;'🌱 Configuração'!$C$56,"🌱 Clone",IF('🌱 Configuração'!$B$56+115&lt;'🌱 Configuração'!$D$56,"🌿 Vegetativo",IF('🌱 Configuração'!$B$56+115&lt;'🌱 Configuração'!$E$56,"🌸 Floração","🚿 Flush"))))</f>
        <v>🌸 Floração</v>
      </c>
      <c r="E121" s="42" t="str">
        <f>IF(116&gt;'🌱 Configuração'!$F$55,"",IF('🌱 Configuração'!$B$56+115&lt;'🌱 Configuração'!$C$56,"Clone S"&amp;INT((116-1)/7)+1,IF('🌱 Configuração'!$B$56+115&lt;'🌱 Configuração'!$D$56,"Vega S"&amp;INT(('🌱 Configuração'!$B$56+115-'🌱 Configuração'!$C$56)/7)+1,IF('🌱 Configuração'!$B$56+115&lt;'🌱 Configuração'!$E$56,"Flora S"&amp;INT(('🌱 Configuração'!$B$56+115-'🌱 Configuração'!$D$56)/7)+1,"Flush S"&amp;INT(('🌱 Configuração'!$B$56+115-'🌱 Configuração'!$E$56)/7)+1))))</f>
        <v>Flora S9</v>
      </c>
      <c r="F121" s="43" t="str">
        <f>IF(116&gt;'🌱 Configuração'!$F$55,"",IF('🌱 Configuração'!$B$56+115='🌱 Configuração'!$C$56,"🌿 INÍCIO VEGA — luz 18h/dia",IF('🌱 Configuração'!$B$56+115='🌱 Configuração'!$D$56,"🌸 INÍCIO FLORAÇÃO — mudar 12/12 🔴",IF('🌱 Configuração'!$B$56+115='🌱 Configuração'!$E$56,"🚿 INÍCIO FLUSH — parar nutrição",IF('🌱 Configuração'!$B$56+115='🌱 Configuração'!$F$56-1,"🔬 Véspera da colheita — analisar tricomas",IF('🌱 Configuração'!$B$56+115='🌱 Configuração'!$F$56,"✂️ COLHEITA — Parabéns! 🎉",""))))))</f>
        <v/>
      </c>
      <c r="G121" s="44" t="s">
        <v>428</v>
      </c>
      <c r="H121" s="45" t="str">
        <f>IF(116&gt;'🌱 Configuração'!$F$55,"",IF('🌱 Configuração'!$B$56+115&lt;'🌱 Configuração'!$C$56,IF(116=1,"🌿 Nim (2 mL/L) — foliar leve",IF(116=8,"🍄 Beauveria bassiana — foliar + solo","")),IF('🌱 Configuração'!$B$56+115&lt;'🌱 Configuração'!$D$56,IF(AND('🌱 Configuração'!$B$56+115&gt;='🌱 Configuração'!$C$56,'🌱 Configuração'!$B$56+115&lt;'🌱 Configuração'!$D$56,MOD('🌱 Configuração'!$B$56+115-'🌱 Configuração'!$C$56,7)=0,INT(('🌱 Configuração'!$B$56+115-'🌱 Configuração'!$C$56)/7)+1=1),"🌿 Nim (2 mL/L) — foliar preventivo",IF(AND('🌱 Configuração'!$B$56+115&gt;='🌱 Configuração'!$C$56,'🌱 Configuração'!$B$56+115&lt;'🌱 Configuração'!$D$56,MOD('🌱 Configuração'!$B$56+115-'🌱 Configuração'!$C$56,7)=0,INT(('🌱 Configuração'!$B$56+115-'🌱 Configuração'!$C$56)/7)+1=2),"🍄 Beauveria bassiana — foliar + solo",IF(AND('🌱 Configuração'!$B$56+115&gt;='🌱 Configuração'!$C$56,'🌱 Configuração'!$B$56+115&lt;'🌱 Configuração'!$D$56,MOD('🌱 Configuração'!$B$56+115-'🌱 Configuração'!$C$56,7)=0,INT(('🌱 Configuração'!$B$56+115-'🌱 Configuração'!$C$56)/7)+1=3),"🟡 Calda Sulfocálcica (1%) — foliar",IF(AND('🌱 Configuração'!$B$56+115&gt;='🌱 Configuração'!$C$56,'🌱 Configuração'!$B$56+115&lt;'🌱 Configuração'!$D$56,MOD('🌱 Configuração'!$B$56+115-'🌱 Configuração'!$C$56,7)=0,INT(('🌱 Configuração'!$B$56+115-'🌱 Configuração'!$C$56)/7)+1=4),"🦠 Trichoderma (3 g/L) — solo",IF(AND('🌱 Configuração'!$B$56+115&gt;='🌱 Configuração'!$C$56,'🌱 Configuração'!$B$56+115&lt;'🌱 Configuração'!$D$56,MOD('🌱 Configuração'!$B$56+115-'🌱 Configuração'!$C$56,7)=0,INT(('🌱 Configuração'!$B$56+115-'🌱 Configuração'!$C$56)/7)+1=5),"🔵 Calda Bordalesa (0.5%) — foliar",IF(AND('🌱 Configuração'!$B$56+115&gt;='🌱 Configuração'!$C$56,'🌱 Configuração'!$B$56+115&lt;'🌱 Configuração'!$D$56,MOD('🌱 Configuração'!$B$56+115-'🌱 Configuração'!$C$56,7)=0,INT(('🌱 Configuração'!$B$56+115-'🌱 Configuração'!$C$56)/7)+1=6),"🌿 Nim (2 mL/L) — ⚠️ ÚLTIMA foliar",IF(AND('🌱 Configuração'!$B$56+115&gt;='🌱 Configuração'!$C$56,'🌱 Configuração'!$B$56+115&lt;'🌱 Configuração'!$D$56,MOD('🌱 Configuração'!$B$56+115-'🌱 Configuração'!$C$56,7)=0,INT(('🌱 Configuração'!$B$56+115-'🌱 Configuração'!$C$56)/7)+1=7),"🦠 Trichoderma — solo",IF(AND('🌱 Configuração'!$B$56+115&gt;='🌱 Configuração'!$C$56,'🌱 Configuração'!$B$56+115&lt;'🌱 Configuração'!$D$56,MOD('🌱 Configuração'!$B$56+115-'🌱 Configuração'!$C$56,7)=0,INT(('🌱 Configuração'!$B$56+115-'🌱 Configuração'!$C$56)/7)+1=8),"🍄 Beauveria — solo","")))))))),IF('🌱 Configuração'!$B$56+115&lt;'🌱 Configuração'!$E$56,IF(AND('🌱 Configuração'!$B$56+115&gt;='🌱 Configuração'!$D$56,'🌱 Configuração'!$B$56+115&lt;'🌱 Configuração'!$E$56,MOD('🌱 Configuração'!$B$56+115-'🌱 Configuração'!$D$56,7)=0,INT(('🌱 Configuração'!$B$56+115-'🌱 Configuração'!$D$56)/7)+1=1),"🍄 Beauveria bassiana — SOLO apenas",IF(AND('🌱 Configuração'!$B$56+115&gt;='🌱 Configuração'!$D$56,'🌱 Configuração'!$B$56+115&lt;'🌱 Configuração'!$E$56,MOD('🌱 Configuração'!$B$56+115-'🌱 Configuração'!$D$56,7)=0,INT(('🌱 Configuração'!$B$56+115-'🌱 Configuração'!$D$56)/7)+1=2),"🦠 Trichoderma (3 g/L) — solo",IF(AND('🌱 Configuração'!$B$56+115&gt;='🌱 Configuração'!$D$56,'🌱 Configuração'!$B$56+115&lt;'🌱 Configuração'!$E$56,MOD('🌱 Configuração'!$B$56+115-'🌱 Configuração'!$D$56,7)=0,INT(('🌱 Configuração'!$B$56+115-'🌱 Configuração'!$D$56)/7)+1=3),"🍄 Beauveria bassiana — solo | ⚠️ Umid &lt;45%",IF(AND('🌱 Configuração'!$B$56+115&gt;='🌱 Configuração'!$D$56,'🌱 Configuração'!$B$56+115&lt;'🌱 Configuração'!$E$56,MOD('🌱 Configuração'!$B$56+115-'🌱 Configuração'!$D$56,7)=0,INT(('🌱 Configuração'!$B$56+115-'🌱 Configuração'!$D$56)/7)+1=4),"🦠 Trichoderma — solo | Inspecionar buds",IF(AND('🌱 Configuração'!$B$56+115&gt;='🌱 Configuração'!$D$56,'🌱 Configuração'!$B$56+115&lt;'🌱 Configuração'!$E$56,MOD('🌱 Configuração'!$B$56+115-'🌱 Configuração'!$D$56,7)=0,INT(('🌱 Configuração'!$B$56+115-'🌱 Configuração'!$D$56)/7)+1=5),"🍄 Beauveria + inspeção visual buds",IF(AND('🌱 Configuração'!$B$56+115&gt;='🌱 Configuração'!$D$56,'🌱 Configuração'!$B$56+115&lt;'🌱 Configuração'!$E$56,MOD('🌱 Configuração'!$B$56+115-'🌱 Configuração'!$D$56,7)=0,INT(('🌱 Configuração'!$B$56+115-'🌱 Configuração'!$D$56)/7)+1=6),"🦠 Trichoderma + ⚠️ Verificar mofo","")))))),IF(AND('🌱 Configuração'!$B$56+115&gt;='🌱 Configuração'!$E$56,MOD('🌱 Configuração'!$B$56+115-'🌱 Configuração'!$E$56,7)=0),"🔬 Inspeção final — analisar tricomas","")))))</f>
        <v/>
      </c>
      <c r="I121" s="33"/>
    </row>
    <row r="122" spans="1:9" ht="19.5" customHeight="1">
      <c r="A122" s="1"/>
      <c r="B122" s="35">
        <f>IF(117&lt;='🌱 Configuração'!$F$55,117,"")</f>
        <v>117</v>
      </c>
      <c r="C122" s="13">
        <f>IF(117&lt;='🌱 Configuração'!$F$55,'🌱 Configuração'!$B$56+116,"")</f>
        <v>116</v>
      </c>
      <c r="D122" s="36" t="str">
        <f>IF(117&gt;'🌱 Configuração'!$F$55,"",IF('🌱 Configuração'!$B$56+116&lt;'🌱 Configuração'!$C$56,"🌱 Clone",IF('🌱 Configuração'!$B$56+116&lt;'🌱 Configuração'!$D$56,"🌿 Vegetativo",IF('🌱 Configuração'!$B$56+116&lt;'🌱 Configuração'!$E$56,"🌸 Floração","🚿 Flush"))))</f>
        <v>🌸 Floração</v>
      </c>
      <c r="E122" s="15" t="str">
        <f>IF(117&gt;'🌱 Configuração'!$F$55,"",IF('🌱 Configuração'!$B$56+116&lt;'🌱 Configuração'!$C$56,"Clone S"&amp;INT((117-1)/7)+1,IF('🌱 Configuração'!$B$56+116&lt;'🌱 Configuração'!$D$56,"Vega S"&amp;INT(('🌱 Configuração'!$B$56+116-'🌱 Configuração'!$C$56)/7)+1,IF('🌱 Configuração'!$B$56+116&lt;'🌱 Configuração'!$E$56,"Flora S"&amp;INT(('🌱 Configuração'!$B$56+116-'🌱 Configuração'!$D$56)/7)+1,"Flush S"&amp;INT(('🌱 Configuração'!$B$56+116-'🌱 Configuração'!$E$56)/7)+1))))</f>
        <v>Flora S9</v>
      </c>
      <c r="F122" s="14" t="str">
        <f>IF(117&gt;'🌱 Configuração'!$F$55,"",IF('🌱 Configuração'!$B$56+116='🌱 Configuração'!$C$56,"🌿 INÍCIO VEGA — luz 18h/dia",IF('🌱 Configuração'!$B$56+116='🌱 Configuração'!$D$56,"🌸 INÍCIO FLORAÇÃO — mudar 12/12 🔴",IF('🌱 Configuração'!$B$56+116='🌱 Configuração'!$E$56,"🚿 INÍCIO FLUSH — parar nutrição",IF('🌱 Configuração'!$B$56+116='🌱 Configuração'!$F$56-1,"🔬 Véspera da colheita — analisar tricomas",IF('🌱 Configuração'!$B$56+116='🌱 Configuração'!$F$56,"✂️ COLHEITA — Parabéns! 🎉",""))))))</f>
        <v/>
      </c>
      <c r="G122" s="37" t="s">
        <v>428</v>
      </c>
      <c r="H122" s="38" t="str">
        <f>IF(117&gt;'🌱 Configuração'!$F$55,"",IF('🌱 Configuração'!$B$56+116&lt;'🌱 Configuração'!$C$56,IF(117=1,"🌿 Nim (2 mL/L) — foliar leve",IF(117=8,"🍄 Beauveria bassiana — foliar + solo","")),IF('🌱 Configuração'!$B$56+116&lt;'🌱 Configuração'!$D$56,IF(AND('🌱 Configuração'!$B$56+116&gt;='🌱 Configuração'!$C$56,'🌱 Configuração'!$B$56+116&lt;'🌱 Configuração'!$D$56,MOD('🌱 Configuração'!$B$56+116-'🌱 Configuração'!$C$56,7)=0,INT(('🌱 Configuração'!$B$56+116-'🌱 Configuração'!$C$56)/7)+1=1),"🌿 Nim (2 mL/L) — foliar preventivo",IF(AND('🌱 Configuração'!$B$56+116&gt;='🌱 Configuração'!$C$56,'🌱 Configuração'!$B$56+116&lt;'🌱 Configuração'!$D$56,MOD('🌱 Configuração'!$B$56+116-'🌱 Configuração'!$C$56,7)=0,INT(('🌱 Configuração'!$B$56+116-'🌱 Configuração'!$C$56)/7)+1=2),"🍄 Beauveria bassiana — foliar + solo",IF(AND('🌱 Configuração'!$B$56+116&gt;='🌱 Configuração'!$C$56,'🌱 Configuração'!$B$56+116&lt;'🌱 Configuração'!$D$56,MOD('🌱 Configuração'!$B$56+116-'🌱 Configuração'!$C$56,7)=0,INT(('🌱 Configuração'!$B$56+116-'🌱 Configuração'!$C$56)/7)+1=3),"🟡 Calda Sulfocálcica (1%) — foliar",IF(AND('🌱 Configuração'!$B$56+116&gt;='🌱 Configuração'!$C$56,'🌱 Configuração'!$B$56+116&lt;'🌱 Configuração'!$D$56,MOD('🌱 Configuração'!$B$56+116-'🌱 Configuração'!$C$56,7)=0,INT(('🌱 Configuração'!$B$56+116-'🌱 Configuração'!$C$56)/7)+1=4),"🦠 Trichoderma (3 g/L) — solo",IF(AND('🌱 Configuração'!$B$56+116&gt;='🌱 Configuração'!$C$56,'🌱 Configuração'!$B$56+116&lt;'🌱 Configuração'!$D$56,MOD('🌱 Configuração'!$B$56+116-'🌱 Configuração'!$C$56,7)=0,INT(('🌱 Configuração'!$B$56+116-'🌱 Configuração'!$C$56)/7)+1=5),"🔵 Calda Bordalesa (0.5%) — foliar",IF(AND('🌱 Configuração'!$B$56+116&gt;='🌱 Configuração'!$C$56,'🌱 Configuração'!$B$56+116&lt;'🌱 Configuração'!$D$56,MOD('🌱 Configuração'!$B$56+116-'🌱 Configuração'!$C$56,7)=0,INT(('🌱 Configuração'!$B$56+116-'🌱 Configuração'!$C$56)/7)+1=6),"🌿 Nim (2 mL/L) — ⚠️ ÚLTIMA foliar",IF(AND('🌱 Configuração'!$B$56+116&gt;='🌱 Configuração'!$C$56,'🌱 Configuração'!$B$56+116&lt;'🌱 Configuração'!$D$56,MOD('🌱 Configuração'!$B$56+116-'🌱 Configuração'!$C$56,7)=0,INT(('🌱 Configuração'!$B$56+116-'🌱 Configuração'!$C$56)/7)+1=7),"🦠 Trichoderma — solo",IF(AND('🌱 Configuração'!$B$56+116&gt;='🌱 Configuração'!$C$56,'🌱 Configuração'!$B$56+116&lt;'🌱 Configuração'!$D$56,MOD('🌱 Configuração'!$B$56+116-'🌱 Configuração'!$C$56,7)=0,INT(('🌱 Configuração'!$B$56+116-'🌱 Configuração'!$C$56)/7)+1=8),"🍄 Beauveria — solo","")))))))),IF('🌱 Configuração'!$B$56+116&lt;'🌱 Configuração'!$E$56,IF(AND('🌱 Configuração'!$B$56+116&gt;='🌱 Configuração'!$D$56,'🌱 Configuração'!$B$56+116&lt;'🌱 Configuração'!$E$56,MOD('🌱 Configuração'!$B$56+116-'🌱 Configuração'!$D$56,7)=0,INT(('🌱 Configuração'!$B$56+116-'🌱 Configuração'!$D$56)/7)+1=1),"🍄 Beauveria bassiana — SOLO apenas",IF(AND('🌱 Configuração'!$B$56+116&gt;='🌱 Configuração'!$D$56,'🌱 Configuração'!$B$56+116&lt;'🌱 Configuração'!$E$56,MOD('🌱 Configuração'!$B$56+116-'🌱 Configuração'!$D$56,7)=0,INT(('🌱 Configuração'!$B$56+116-'🌱 Configuração'!$D$56)/7)+1=2),"🦠 Trichoderma (3 g/L) — solo",IF(AND('🌱 Configuração'!$B$56+116&gt;='🌱 Configuração'!$D$56,'🌱 Configuração'!$B$56+116&lt;'🌱 Configuração'!$E$56,MOD('🌱 Configuração'!$B$56+116-'🌱 Configuração'!$D$56,7)=0,INT(('🌱 Configuração'!$B$56+116-'🌱 Configuração'!$D$56)/7)+1=3),"🍄 Beauveria bassiana — solo | ⚠️ Umid &lt;45%",IF(AND('🌱 Configuração'!$B$56+116&gt;='🌱 Configuração'!$D$56,'🌱 Configuração'!$B$56+116&lt;'🌱 Configuração'!$E$56,MOD('🌱 Configuração'!$B$56+116-'🌱 Configuração'!$D$56,7)=0,INT(('🌱 Configuração'!$B$56+116-'🌱 Configuração'!$D$56)/7)+1=4),"🦠 Trichoderma — solo | Inspecionar buds",IF(AND('🌱 Configuração'!$B$56+116&gt;='🌱 Configuração'!$D$56,'🌱 Configuração'!$B$56+116&lt;'🌱 Configuração'!$E$56,MOD('🌱 Configuração'!$B$56+116-'🌱 Configuração'!$D$56,7)=0,INT(('🌱 Configuração'!$B$56+116-'🌱 Configuração'!$D$56)/7)+1=5),"🍄 Beauveria + inspeção visual buds",IF(AND('🌱 Configuração'!$B$56+116&gt;='🌱 Configuração'!$D$56,'🌱 Configuração'!$B$56+116&lt;'🌱 Configuração'!$E$56,MOD('🌱 Configuração'!$B$56+116-'🌱 Configuração'!$D$56,7)=0,INT(('🌱 Configuração'!$B$56+116-'🌱 Configuração'!$D$56)/7)+1=6),"🦠 Trichoderma + ⚠️ Verificar mofo","")))))),IF(AND('🌱 Configuração'!$B$56+116&gt;='🌱 Configuração'!$E$56,MOD('🌱 Configuração'!$B$56+116-'🌱 Configuração'!$E$56,7)=0),"🔬 Inspeção final — analisar tricomas","")))))</f>
        <v/>
      </c>
      <c r="I122" s="33"/>
    </row>
    <row r="123" spans="1:9" ht="19.5" customHeight="1">
      <c r="A123" s="1"/>
      <c r="B123" s="39">
        <f>IF(118&lt;='🌱 Configuração'!$F$55,118,"")</f>
        <v>118</v>
      </c>
      <c r="C123" s="40">
        <f>IF(118&lt;='🌱 Configuração'!$F$55,'🌱 Configuração'!$B$56+117,"")</f>
        <v>117</v>
      </c>
      <c r="D123" s="41" t="str">
        <f>IF(118&gt;'🌱 Configuração'!$F$55,"",IF('🌱 Configuração'!$B$56+117&lt;'🌱 Configuração'!$C$56,"🌱 Clone",IF('🌱 Configuração'!$B$56+117&lt;'🌱 Configuração'!$D$56,"🌿 Vegetativo",IF('🌱 Configuração'!$B$56+117&lt;'🌱 Configuração'!$E$56,"🌸 Floração","🚿 Flush"))))</f>
        <v>🌸 Floração</v>
      </c>
      <c r="E123" s="42" t="str">
        <f>IF(118&gt;'🌱 Configuração'!$F$55,"",IF('🌱 Configuração'!$B$56+117&lt;'🌱 Configuração'!$C$56,"Clone S"&amp;INT((118-1)/7)+1,IF('🌱 Configuração'!$B$56+117&lt;'🌱 Configuração'!$D$56,"Vega S"&amp;INT(('🌱 Configuração'!$B$56+117-'🌱 Configuração'!$C$56)/7)+1,IF('🌱 Configuração'!$B$56+117&lt;'🌱 Configuração'!$E$56,"Flora S"&amp;INT(('🌱 Configuração'!$B$56+117-'🌱 Configuração'!$D$56)/7)+1,"Flush S"&amp;INT(('🌱 Configuração'!$B$56+117-'🌱 Configuração'!$E$56)/7)+1))))</f>
        <v>Flora S9</v>
      </c>
      <c r="F123" s="43" t="str">
        <f>IF(118&gt;'🌱 Configuração'!$F$55,"",IF('🌱 Configuração'!$B$56+117='🌱 Configuração'!$C$56,"🌿 INÍCIO VEGA — luz 18h/dia",IF('🌱 Configuração'!$B$56+117='🌱 Configuração'!$D$56,"🌸 INÍCIO FLORAÇÃO — mudar 12/12 🔴",IF('🌱 Configuração'!$B$56+117='🌱 Configuração'!$E$56,"🚿 INÍCIO FLUSH — parar nutrição",IF('🌱 Configuração'!$B$56+117='🌱 Configuração'!$F$56-1,"🔬 Véspera da colheita — analisar tricomas",IF('🌱 Configuração'!$B$56+117='🌱 Configuração'!$F$56,"✂️ COLHEITA — Parabéns! 🎉",""))))))</f>
        <v/>
      </c>
      <c r="G123" s="44" t="s">
        <v>428</v>
      </c>
      <c r="H123" s="45" t="str">
        <f>IF(118&gt;'🌱 Configuração'!$F$55,"",IF('🌱 Configuração'!$B$56+117&lt;'🌱 Configuração'!$C$56,IF(118=1,"🌿 Nim (2 mL/L) — foliar leve",IF(118=8,"🍄 Beauveria bassiana — foliar + solo","")),IF('🌱 Configuração'!$B$56+117&lt;'🌱 Configuração'!$D$56,IF(AND('🌱 Configuração'!$B$56+117&gt;='🌱 Configuração'!$C$56,'🌱 Configuração'!$B$56+117&lt;'🌱 Configuração'!$D$56,MOD('🌱 Configuração'!$B$56+117-'🌱 Configuração'!$C$56,7)=0,INT(('🌱 Configuração'!$B$56+117-'🌱 Configuração'!$C$56)/7)+1=1),"🌿 Nim (2 mL/L) — foliar preventivo",IF(AND('🌱 Configuração'!$B$56+117&gt;='🌱 Configuração'!$C$56,'🌱 Configuração'!$B$56+117&lt;'🌱 Configuração'!$D$56,MOD('🌱 Configuração'!$B$56+117-'🌱 Configuração'!$C$56,7)=0,INT(('🌱 Configuração'!$B$56+117-'🌱 Configuração'!$C$56)/7)+1=2),"🍄 Beauveria bassiana — foliar + solo",IF(AND('🌱 Configuração'!$B$56+117&gt;='🌱 Configuração'!$C$56,'🌱 Configuração'!$B$56+117&lt;'🌱 Configuração'!$D$56,MOD('🌱 Configuração'!$B$56+117-'🌱 Configuração'!$C$56,7)=0,INT(('🌱 Configuração'!$B$56+117-'🌱 Configuração'!$C$56)/7)+1=3),"🟡 Calda Sulfocálcica (1%) — foliar",IF(AND('🌱 Configuração'!$B$56+117&gt;='🌱 Configuração'!$C$56,'🌱 Configuração'!$B$56+117&lt;'🌱 Configuração'!$D$56,MOD('🌱 Configuração'!$B$56+117-'🌱 Configuração'!$C$56,7)=0,INT(('🌱 Configuração'!$B$56+117-'🌱 Configuração'!$C$56)/7)+1=4),"🦠 Trichoderma (3 g/L) — solo",IF(AND('🌱 Configuração'!$B$56+117&gt;='🌱 Configuração'!$C$56,'🌱 Configuração'!$B$56+117&lt;'🌱 Configuração'!$D$56,MOD('🌱 Configuração'!$B$56+117-'🌱 Configuração'!$C$56,7)=0,INT(('🌱 Configuração'!$B$56+117-'🌱 Configuração'!$C$56)/7)+1=5),"🔵 Calda Bordalesa (0.5%) — foliar",IF(AND('🌱 Configuração'!$B$56+117&gt;='🌱 Configuração'!$C$56,'🌱 Configuração'!$B$56+117&lt;'🌱 Configuração'!$D$56,MOD('🌱 Configuração'!$B$56+117-'🌱 Configuração'!$C$56,7)=0,INT(('🌱 Configuração'!$B$56+117-'🌱 Configuração'!$C$56)/7)+1=6),"🌿 Nim (2 mL/L) — ⚠️ ÚLTIMA foliar",IF(AND('🌱 Configuração'!$B$56+117&gt;='🌱 Configuração'!$C$56,'🌱 Configuração'!$B$56+117&lt;'🌱 Configuração'!$D$56,MOD('🌱 Configuração'!$B$56+117-'🌱 Configuração'!$C$56,7)=0,INT(('🌱 Configuração'!$B$56+117-'🌱 Configuração'!$C$56)/7)+1=7),"🦠 Trichoderma — solo",IF(AND('🌱 Configuração'!$B$56+117&gt;='🌱 Configuração'!$C$56,'🌱 Configuração'!$B$56+117&lt;'🌱 Configuração'!$D$56,MOD('🌱 Configuração'!$B$56+117-'🌱 Configuração'!$C$56,7)=0,INT(('🌱 Configuração'!$B$56+117-'🌱 Configuração'!$C$56)/7)+1=8),"🍄 Beauveria — solo","")))))))),IF('🌱 Configuração'!$B$56+117&lt;'🌱 Configuração'!$E$56,IF(AND('🌱 Configuração'!$B$56+117&gt;='🌱 Configuração'!$D$56,'🌱 Configuração'!$B$56+117&lt;'🌱 Configuração'!$E$56,MOD('🌱 Configuração'!$B$56+117-'🌱 Configuração'!$D$56,7)=0,INT(('🌱 Configuração'!$B$56+117-'🌱 Configuração'!$D$56)/7)+1=1),"🍄 Beauveria bassiana — SOLO apenas",IF(AND('🌱 Configuração'!$B$56+117&gt;='🌱 Configuração'!$D$56,'🌱 Configuração'!$B$56+117&lt;'🌱 Configuração'!$E$56,MOD('🌱 Configuração'!$B$56+117-'🌱 Configuração'!$D$56,7)=0,INT(('🌱 Configuração'!$B$56+117-'🌱 Configuração'!$D$56)/7)+1=2),"🦠 Trichoderma (3 g/L) — solo",IF(AND('🌱 Configuração'!$B$56+117&gt;='🌱 Configuração'!$D$56,'🌱 Configuração'!$B$56+117&lt;'🌱 Configuração'!$E$56,MOD('🌱 Configuração'!$B$56+117-'🌱 Configuração'!$D$56,7)=0,INT(('🌱 Configuração'!$B$56+117-'🌱 Configuração'!$D$56)/7)+1=3),"🍄 Beauveria bassiana — solo | ⚠️ Umid &lt;45%",IF(AND('🌱 Configuração'!$B$56+117&gt;='🌱 Configuração'!$D$56,'🌱 Configuração'!$B$56+117&lt;'🌱 Configuração'!$E$56,MOD('🌱 Configuração'!$B$56+117-'🌱 Configuração'!$D$56,7)=0,INT(('🌱 Configuração'!$B$56+117-'🌱 Configuração'!$D$56)/7)+1=4),"🦠 Trichoderma — solo | Inspecionar buds",IF(AND('🌱 Configuração'!$B$56+117&gt;='🌱 Configuração'!$D$56,'🌱 Configuração'!$B$56+117&lt;'🌱 Configuração'!$E$56,MOD('🌱 Configuração'!$B$56+117-'🌱 Configuração'!$D$56,7)=0,INT(('🌱 Configuração'!$B$56+117-'🌱 Configuração'!$D$56)/7)+1=5),"🍄 Beauveria + inspeção visual buds",IF(AND('🌱 Configuração'!$B$56+117&gt;='🌱 Configuração'!$D$56,'🌱 Configuração'!$B$56+117&lt;'🌱 Configuração'!$E$56,MOD('🌱 Configuração'!$B$56+117-'🌱 Configuração'!$D$56,7)=0,INT(('🌱 Configuração'!$B$56+117-'🌱 Configuração'!$D$56)/7)+1=6),"🦠 Trichoderma + ⚠️ Verificar mofo","")))))),IF(AND('🌱 Configuração'!$B$56+117&gt;='🌱 Configuração'!$E$56,MOD('🌱 Configuração'!$B$56+117-'🌱 Configuração'!$E$56,7)=0),"🔬 Inspeção final — analisar tricomas","")))))</f>
        <v/>
      </c>
      <c r="I123" s="33"/>
    </row>
    <row r="124" spans="1:9" ht="19.5" customHeight="1">
      <c r="A124" s="1"/>
      <c r="B124" s="35">
        <f>IF(119&lt;='🌱 Configuração'!$F$55,119,"")</f>
        <v>119</v>
      </c>
      <c r="C124" s="13">
        <f>IF(119&lt;='🌱 Configuração'!$F$55,'🌱 Configuração'!$B$56+118,"")</f>
        <v>118</v>
      </c>
      <c r="D124" s="36" t="str">
        <f>IF(119&gt;'🌱 Configuração'!$F$55,"",IF('🌱 Configuração'!$B$56+118&lt;'🌱 Configuração'!$C$56,"🌱 Clone",IF('🌱 Configuração'!$B$56+118&lt;'🌱 Configuração'!$D$56,"🌿 Vegetativo",IF('🌱 Configuração'!$B$56+118&lt;'🌱 Configuração'!$E$56,"🌸 Floração","🚿 Flush"))))</f>
        <v>🌸 Floração</v>
      </c>
      <c r="E124" s="15" t="str">
        <f>IF(119&gt;'🌱 Configuração'!$F$55,"",IF('🌱 Configuração'!$B$56+118&lt;'🌱 Configuração'!$C$56,"Clone S"&amp;INT((119-1)/7)+1,IF('🌱 Configuração'!$B$56+118&lt;'🌱 Configuração'!$D$56,"Vega S"&amp;INT(('🌱 Configuração'!$B$56+118-'🌱 Configuração'!$C$56)/7)+1,IF('🌱 Configuração'!$B$56+118&lt;'🌱 Configuração'!$E$56,"Flora S"&amp;INT(('🌱 Configuração'!$B$56+118-'🌱 Configuração'!$D$56)/7)+1,"Flush S"&amp;INT(('🌱 Configuração'!$B$56+118-'🌱 Configuração'!$E$56)/7)+1))))</f>
        <v>Flora S9</v>
      </c>
      <c r="F124" s="14" t="str">
        <f>IF(119&gt;'🌱 Configuração'!$F$55,"",IF('🌱 Configuração'!$B$56+118='🌱 Configuração'!$C$56,"🌿 INÍCIO VEGA — luz 18h/dia",IF('🌱 Configuração'!$B$56+118='🌱 Configuração'!$D$56,"🌸 INÍCIO FLORAÇÃO — mudar 12/12 🔴",IF('🌱 Configuração'!$B$56+118='🌱 Configuração'!$E$56,"🚿 INÍCIO FLUSH — parar nutrição",IF('🌱 Configuração'!$B$56+118='🌱 Configuração'!$F$56-1,"🔬 Véspera da colheita — analisar tricomas",IF('🌱 Configuração'!$B$56+118='🌱 Configuração'!$F$56,"✂️ COLHEITA — Parabéns! 🎉",""))))))</f>
        <v/>
      </c>
      <c r="G124" s="37" t="s">
        <v>428</v>
      </c>
      <c r="H124" s="38" t="str">
        <f>IF(119&gt;'🌱 Configuração'!$F$55,"",IF('🌱 Configuração'!$B$56+118&lt;'🌱 Configuração'!$C$56,IF(119=1,"🌿 Nim (2 mL/L) — foliar leve",IF(119=8,"🍄 Beauveria bassiana — foliar + solo","")),IF('🌱 Configuração'!$B$56+118&lt;'🌱 Configuração'!$D$56,IF(AND('🌱 Configuração'!$B$56+118&gt;='🌱 Configuração'!$C$56,'🌱 Configuração'!$B$56+118&lt;'🌱 Configuração'!$D$56,MOD('🌱 Configuração'!$B$56+118-'🌱 Configuração'!$C$56,7)=0,INT(('🌱 Configuração'!$B$56+118-'🌱 Configuração'!$C$56)/7)+1=1),"🌿 Nim (2 mL/L) — foliar preventivo",IF(AND('🌱 Configuração'!$B$56+118&gt;='🌱 Configuração'!$C$56,'🌱 Configuração'!$B$56+118&lt;'🌱 Configuração'!$D$56,MOD('🌱 Configuração'!$B$56+118-'🌱 Configuração'!$C$56,7)=0,INT(('🌱 Configuração'!$B$56+118-'🌱 Configuração'!$C$56)/7)+1=2),"🍄 Beauveria bassiana — foliar + solo",IF(AND('🌱 Configuração'!$B$56+118&gt;='🌱 Configuração'!$C$56,'🌱 Configuração'!$B$56+118&lt;'🌱 Configuração'!$D$56,MOD('🌱 Configuração'!$B$56+118-'🌱 Configuração'!$C$56,7)=0,INT(('🌱 Configuração'!$B$56+118-'🌱 Configuração'!$C$56)/7)+1=3),"🟡 Calda Sulfocálcica (1%) — foliar",IF(AND('🌱 Configuração'!$B$56+118&gt;='🌱 Configuração'!$C$56,'🌱 Configuração'!$B$56+118&lt;'🌱 Configuração'!$D$56,MOD('🌱 Configuração'!$B$56+118-'🌱 Configuração'!$C$56,7)=0,INT(('🌱 Configuração'!$B$56+118-'🌱 Configuração'!$C$56)/7)+1=4),"🦠 Trichoderma (3 g/L) — solo",IF(AND('🌱 Configuração'!$B$56+118&gt;='🌱 Configuração'!$C$56,'🌱 Configuração'!$B$56+118&lt;'🌱 Configuração'!$D$56,MOD('🌱 Configuração'!$B$56+118-'🌱 Configuração'!$C$56,7)=0,INT(('🌱 Configuração'!$B$56+118-'🌱 Configuração'!$C$56)/7)+1=5),"🔵 Calda Bordalesa (0.5%) — foliar",IF(AND('🌱 Configuração'!$B$56+118&gt;='🌱 Configuração'!$C$56,'🌱 Configuração'!$B$56+118&lt;'🌱 Configuração'!$D$56,MOD('🌱 Configuração'!$B$56+118-'🌱 Configuração'!$C$56,7)=0,INT(('🌱 Configuração'!$B$56+118-'🌱 Configuração'!$C$56)/7)+1=6),"🌿 Nim (2 mL/L) — ⚠️ ÚLTIMA foliar",IF(AND('🌱 Configuração'!$B$56+118&gt;='🌱 Configuração'!$C$56,'🌱 Configuração'!$B$56+118&lt;'🌱 Configuração'!$D$56,MOD('🌱 Configuração'!$B$56+118-'🌱 Configuração'!$C$56,7)=0,INT(('🌱 Configuração'!$B$56+118-'🌱 Configuração'!$C$56)/7)+1=7),"🦠 Trichoderma — solo",IF(AND('🌱 Configuração'!$B$56+118&gt;='🌱 Configuração'!$C$56,'🌱 Configuração'!$B$56+118&lt;'🌱 Configuração'!$D$56,MOD('🌱 Configuração'!$B$56+118-'🌱 Configuração'!$C$56,7)=0,INT(('🌱 Configuração'!$B$56+118-'🌱 Configuração'!$C$56)/7)+1=8),"🍄 Beauveria — solo","")))))))),IF('🌱 Configuração'!$B$56+118&lt;'🌱 Configuração'!$E$56,IF(AND('🌱 Configuração'!$B$56+118&gt;='🌱 Configuração'!$D$56,'🌱 Configuração'!$B$56+118&lt;'🌱 Configuração'!$E$56,MOD('🌱 Configuração'!$B$56+118-'🌱 Configuração'!$D$56,7)=0,INT(('🌱 Configuração'!$B$56+118-'🌱 Configuração'!$D$56)/7)+1=1),"🍄 Beauveria bassiana — SOLO apenas",IF(AND('🌱 Configuração'!$B$56+118&gt;='🌱 Configuração'!$D$56,'🌱 Configuração'!$B$56+118&lt;'🌱 Configuração'!$E$56,MOD('🌱 Configuração'!$B$56+118-'🌱 Configuração'!$D$56,7)=0,INT(('🌱 Configuração'!$B$56+118-'🌱 Configuração'!$D$56)/7)+1=2),"🦠 Trichoderma (3 g/L) — solo",IF(AND('🌱 Configuração'!$B$56+118&gt;='🌱 Configuração'!$D$56,'🌱 Configuração'!$B$56+118&lt;'🌱 Configuração'!$E$56,MOD('🌱 Configuração'!$B$56+118-'🌱 Configuração'!$D$56,7)=0,INT(('🌱 Configuração'!$B$56+118-'🌱 Configuração'!$D$56)/7)+1=3),"🍄 Beauveria bassiana — solo | ⚠️ Umid &lt;45%",IF(AND('🌱 Configuração'!$B$56+118&gt;='🌱 Configuração'!$D$56,'🌱 Configuração'!$B$56+118&lt;'🌱 Configuração'!$E$56,MOD('🌱 Configuração'!$B$56+118-'🌱 Configuração'!$D$56,7)=0,INT(('🌱 Configuração'!$B$56+118-'🌱 Configuração'!$D$56)/7)+1=4),"🦠 Trichoderma — solo | Inspecionar buds",IF(AND('🌱 Configuração'!$B$56+118&gt;='🌱 Configuração'!$D$56,'🌱 Configuração'!$B$56+118&lt;'🌱 Configuração'!$E$56,MOD('🌱 Configuração'!$B$56+118-'🌱 Configuração'!$D$56,7)=0,INT(('🌱 Configuração'!$B$56+118-'🌱 Configuração'!$D$56)/7)+1=5),"🍄 Beauveria + inspeção visual buds",IF(AND('🌱 Configuração'!$B$56+118&gt;='🌱 Configuração'!$D$56,'🌱 Configuração'!$B$56+118&lt;'🌱 Configuração'!$E$56,MOD('🌱 Configuração'!$B$56+118-'🌱 Configuração'!$D$56,7)=0,INT(('🌱 Configuração'!$B$56+118-'🌱 Configuração'!$D$56)/7)+1=6),"🦠 Trichoderma + ⚠️ Verificar mofo","")))))),IF(AND('🌱 Configuração'!$B$56+118&gt;='🌱 Configuração'!$E$56,MOD('🌱 Configuração'!$B$56+118-'🌱 Configuração'!$E$56,7)=0),"🔬 Inspeção final — analisar tricomas","")))))</f>
        <v/>
      </c>
      <c r="I124" s="33"/>
    </row>
    <row r="125" spans="1:9" ht="19.5" customHeight="1">
      <c r="A125" s="1"/>
      <c r="B125" s="39">
        <f>IF(120&lt;='🌱 Configuração'!$F$55,120,"")</f>
        <v>120</v>
      </c>
      <c r="C125" s="40">
        <f>IF(120&lt;='🌱 Configuração'!$F$55,'🌱 Configuração'!$B$56+119,"")</f>
        <v>119</v>
      </c>
      <c r="D125" s="41" t="str">
        <f>IF(120&gt;'🌱 Configuração'!$F$55,"",IF('🌱 Configuração'!$B$56+119&lt;'🌱 Configuração'!$C$56,"🌱 Clone",IF('🌱 Configuração'!$B$56+119&lt;'🌱 Configuração'!$D$56,"🌿 Vegetativo",IF('🌱 Configuração'!$B$56+119&lt;'🌱 Configuração'!$E$56,"🌸 Floração","🚿 Flush"))))</f>
        <v>🚿 Flush</v>
      </c>
      <c r="E125" s="42" t="str">
        <f>IF(120&gt;'🌱 Configuração'!$F$55,"",IF('🌱 Configuração'!$B$56+119&lt;'🌱 Configuração'!$C$56,"Clone S"&amp;INT((120-1)/7)+1,IF('🌱 Configuração'!$B$56+119&lt;'🌱 Configuração'!$D$56,"Vega S"&amp;INT(('🌱 Configuração'!$B$56+119-'🌱 Configuração'!$C$56)/7)+1,IF('🌱 Configuração'!$B$56+119&lt;'🌱 Configuração'!$E$56,"Flora S"&amp;INT(('🌱 Configuração'!$B$56+119-'🌱 Configuração'!$D$56)/7)+1,"Flush S"&amp;INT(('🌱 Configuração'!$B$56+119-'🌱 Configuração'!$E$56)/7)+1))))</f>
        <v>Flush S1</v>
      </c>
      <c r="F125" s="43" t="str">
        <f>IF(120&gt;'🌱 Configuração'!$F$55,"",IF('🌱 Configuração'!$B$56+119='🌱 Configuração'!$C$56,"🌿 INÍCIO VEGA — luz 18h/dia",IF('🌱 Configuração'!$B$56+119='🌱 Configuração'!$D$56,"🌸 INÍCIO FLORAÇÃO — mudar 12/12 🔴",IF('🌱 Configuração'!$B$56+119='🌱 Configuração'!$E$56,"🚿 INÍCIO FLUSH — parar nutrição",IF('🌱 Configuração'!$B$56+119='🌱 Configuração'!$F$56-1,"🔬 Véspera da colheita — analisar tricomas",IF('🌱 Configuração'!$B$56+119='🌱 Configuração'!$F$56,"✂️ COLHEITA — Parabéns! 🎉",""))))))</f>
        <v>🚿 INÍCIO FLUSH — parar nutrição</v>
      </c>
      <c r="G125" s="44" t="s">
        <v>442</v>
      </c>
      <c r="H125" s="45" t="str">
        <f>IF(120&gt;'🌱 Configuração'!$F$55,"",IF('🌱 Configuração'!$B$56+119&lt;'🌱 Configuração'!$C$56,IF(120=1,"🌿 Nim (2 mL/L) — foliar leve",IF(120=8,"🍄 Beauveria bassiana — foliar + solo","")),IF('🌱 Configuração'!$B$56+119&lt;'🌱 Configuração'!$D$56,IF(AND('🌱 Configuração'!$B$56+119&gt;='🌱 Configuração'!$C$56,'🌱 Configuração'!$B$56+119&lt;'🌱 Configuração'!$D$56,MOD('🌱 Configuração'!$B$56+119-'🌱 Configuração'!$C$56,7)=0,INT(('🌱 Configuração'!$B$56+119-'🌱 Configuração'!$C$56)/7)+1=1),"🌿 Nim (2 mL/L) — foliar preventivo",IF(AND('🌱 Configuração'!$B$56+119&gt;='🌱 Configuração'!$C$56,'🌱 Configuração'!$B$56+119&lt;'🌱 Configuração'!$D$56,MOD('🌱 Configuração'!$B$56+119-'🌱 Configuração'!$C$56,7)=0,INT(('🌱 Configuração'!$B$56+119-'🌱 Configuração'!$C$56)/7)+1=2),"🍄 Beauveria bassiana — foliar + solo",IF(AND('🌱 Configuração'!$B$56+119&gt;='🌱 Configuração'!$C$56,'🌱 Configuração'!$B$56+119&lt;'🌱 Configuração'!$D$56,MOD('🌱 Configuração'!$B$56+119-'🌱 Configuração'!$C$56,7)=0,INT(('🌱 Configuração'!$B$56+119-'🌱 Configuração'!$C$56)/7)+1=3),"🟡 Calda Sulfocálcica (1%) — foliar",IF(AND('🌱 Configuração'!$B$56+119&gt;='🌱 Configuração'!$C$56,'🌱 Configuração'!$B$56+119&lt;'🌱 Configuração'!$D$56,MOD('🌱 Configuração'!$B$56+119-'🌱 Configuração'!$C$56,7)=0,INT(('🌱 Configuração'!$B$56+119-'🌱 Configuração'!$C$56)/7)+1=4),"🦠 Trichoderma (3 g/L) — solo",IF(AND('🌱 Configuração'!$B$56+119&gt;='🌱 Configuração'!$C$56,'🌱 Configuração'!$B$56+119&lt;'🌱 Configuração'!$D$56,MOD('🌱 Configuração'!$B$56+119-'🌱 Configuração'!$C$56,7)=0,INT(('🌱 Configuração'!$B$56+119-'🌱 Configuração'!$C$56)/7)+1=5),"🔵 Calda Bordalesa (0.5%) — foliar",IF(AND('🌱 Configuração'!$B$56+119&gt;='🌱 Configuração'!$C$56,'🌱 Configuração'!$B$56+119&lt;'🌱 Configuração'!$D$56,MOD('🌱 Configuração'!$B$56+119-'🌱 Configuração'!$C$56,7)=0,INT(('🌱 Configuração'!$B$56+119-'🌱 Configuração'!$C$56)/7)+1=6),"🌿 Nim (2 mL/L) — ⚠️ ÚLTIMA foliar",IF(AND('🌱 Configuração'!$B$56+119&gt;='🌱 Configuração'!$C$56,'🌱 Configuração'!$B$56+119&lt;'🌱 Configuração'!$D$56,MOD('🌱 Configuração'!$B$56+119-'🌱 Configuração'!$C$56,7)=0,INT(('🌱 Configuração'!$B$56+119-'🌱 Configuração'!$C$56)/7)+1=7),"🦠 Trichoderma — solo",IF(AND('🌱 Configuração'!$B$56+119&gt;='🌱 Configuração'!$C$56,'🌱 Configuração'!$B$56+119&lt;'🌱 Configuração'!$D$56,MOD('🌱 Configuração'!$B$56+119-'🌱 Configuração'!$C$56,7)=0,INT(('🌱 Configuração'!$B$56+119-'🌱 Configuração'!$C$56)/7)+1=8),"🍄 Beauveria — solo","")))))))),IF('🌱 Configuração'!$B$56+119&lt;'🌱 Configuração'!$E$56,IF(AND('🌱 Configuração'!$B$56+119&gt;='🌱 Configuração'!$D$56,'🌱 Configuração'!$B$56+119&lt;'🌱 Configuração'!$E$56,MOD('🌱 Configuração'!$B$56+119-'🌱 Configuração'!$D$56,7)=0,INT(('🌱 Configuração'!$B$56+119-'🌱 Configuração'!$D$56)/7)+1=1),"🍄 Beauveria bassiana — SOLO apenas",IF(AND('🌱 Configuração'!$B$56+119&gt;='🌱 Configuração'!$D$56,'🌱 Configuração'!$B$56+119&lt;'🌱 Configuração'!$E$56,MOD('🌱 Configuração'!$B$56+119-'🌱 Configuração'!$D$56,7)=0,INT(('🌱 Configuração'!$B$56+119-'🌱 Configuração'!$D$56)/7)+1=2),"🦠 Trichoderma (3 g/L) — solo",IF(AND('🌱 Configuração'!$B$56+119&gt;='🌱 Configuração'!$D$56,'🌱 Configuração'!$B$56+119&lt;'🌱 Configuração'!$E$56,MOD('🌱 Configuração'!$B$56+119-'🌱 Configuração'!$D$56,7)=0,INT(('🌱 Configuração'!$B$56+119-'🌱 Configuração'!$D$56)/7)+1=3),"🍄 Beauveria bassiana — solo | ⚠️ Umid &lt;45%",IF(AND('🌱 Configuração'!$B$56+119&gt;='🌱 Configuração'!$D$56,'🌱 Configuração'!$B$56+119&lt;'🌱 Configuração'!$E$56,MOD('🌱 Configuração'!$B$56+119-'🌱 Configuração'!$D$56,7)=0,INT(('🌱 Configuração'!$B$56+119-'🌱 Configuração'!$D$56)/7)+1=4),"🦠 Trichoderma — solo | Inspecionar buds",IF(AND('🌱 Configuração'!$B$56+119&gt;='🌱 Configuração'!$D$56,'🌱 Configuração'!$B$56+119&lt;'🌱 Configuração'!$E$56,MOD('🌱 Configuração'!$B$56+119-'🌱 Configuração'!$D$56,7)=0,INT(('🌱 Configuração'!$B$56+119-'🌱 Configuração'!$D$56)/7)+1=5),"🍄 Beauveria + inspeção visual buds",IF(AND('🌱 Configuração'!$B$56+119&gt;='🌱 Configuração'!$D$56,'🌱 Configuração'!$B$56+119&lt;'🌱 Configuração'!$E$56,MOD('🌱 Configuração'!$B$56+119-'🌱 Configuração'!$D$56,7)=0,INT(('🌱 Configuração'!$B$56+119-'🌱 Configuração'!$D$56)/7)+1=6),"🦠 Trichoderma + ⚠️ Verificar mofo","")))))),IF(AND('🌱 Configuração'!$B$56+119&gt;='🌱 Configuração'!$E$56,MOD('🌱 Configuração'!$B$56+119-'🌱 Configuração'!$E$56,7)=0),"🔬 Inspeção final — analisar tricomas","")))))</f>
        <v>🔬 Inspeção final — analisar tricomas</v>
      </c>
      <c r="I125" s="33"/>
    </row>
    <row r="126" spans="1:9" ht="19.5" customHeight="1">
      <c r="A126" s="1"/>
      <c r="B126" s="35">
        <f>IF(121&lt;='🌱 Configuração'!$F$55,121,"")</f>
        <v>121</v>
      </c>
      <c r="C126" s="13">
        <f>IF(121&lt;='🌱 Configuração'!$F$55,'🌱 Configuração'!$B$56+120,"")</f>
        <v>120</v>
      </c>
      <c r="D126" s="36" t="str">
        <f>IF(121&gt;'🌱 Configuração'!$F$55,"",IF('🌱 Configuração'!$B$56+120&lt;'🌱 Configuração'!$C$56,"🌱 Clone",IF('🌱 Configuração'!$B$56+120&lt;'🌱 Configuração'!$D$56,"🌿 Vegetativo",IF('🌱 Configuração'!$B$56+120&lt;'🌱 Configuração'!$E$56,"🌸 Floração","🚿 Flush"))))</f>
        <v>🚿 Flush</v>
      </c>
      <c r="E126" s="15" t="str">
        <f>IF(121&gt;'🌱 Configuração'!$F$55,"",IF('🌱 Configuração'!$B$56+120&lt;'🌱 Configuração'!$C$56,"Clone S"&amp;INT((121-1)/7)+1,IF('🌱 Configuração'!$B$56+120&lt;'🌱 Configuração'!$D$56,"Vega S"&amp;INT(('🌱 Configuração'!$B$56+120-'🌱 Configuração'!$C$56)/7)+1,IF('🌱 Configuração'!$B$56+120&lt;'🌱 Configuração'!$E$56,"Flora S"&amp;INT(('🌱 Configuração'!$B$56+120-'🌱 Configuração'!$D$56)/7)+1,"Flush S"&amp;INT(('🌱 Configuração'!$B$56+120-'🌱 Configuração'!$E$56)/7)+1))))</f>
        <v>Flush S1</v>
      </c>
      <c r="F126" s="14" t="str">
        <f>IF(121&gt;'🌱 Configuração'!$F$55,"",IF('🌱 Configuração'!$B$56+120='🌱 Configuração'!$C$56,"🌿 INÍCIO VEGA — luz 18h/dia",IF('🌱 Configuração'!$B$56+120='🌱 Configuração'!$D$56,"🌸 INÍCIO FLORAÇÃO — mudar 12/12 🔴",IF('🌱 Configuração'!$B$56+120='🌱 Configuração'!$E$56,"🚿 INÍCIO FLUSH — parar nutrição",IF('🌱 Configuração'!$B$56+120='🌱 Configuração'!$F$56-1,"🔬 Véspera da colheita — analisar tricomas",IF('🌱 Configuração'!$B$56+120='🌱 Configuração'!$F$56,"✂️ COLHEITA — Parabéns! 🎉",""))))))</f>
        <v/>
      </c>
      <c r="G126" s="37" t="s">
        <v>428</v>
      </c>
      <c r="H126" s="38" t="str">
        <f>IF(121&gt;'🌱 Configuração'!$F$55,"",IF('🌱 Configuração'!$B$56+120&lt;'🌱 Configuração'!$C$56,IF(121=1,"🌿 Nim (2 mL/L) — foliar leve",IF(121=8,"🍄 Beauveria bassiana — foliar + solo","")),IF('🌱 Configuração'!$B$56+120&lt;'🌱 Configuração'!$D$56,IF(AND('🌱 Configuração'!$B$56+120&gt;='🌱 Configuração'!$C$56,'🌱 Configuração'!$B$56+120&lt;'🌱 Configuração'!$D$56,MOD('🌱 Configuração'!$B$56+120-'🌱 Configuração'!$C$56,7)=0,INT(('🌱 Configuração'!$B$56+120-'🌱 Configuração'!$C$56)/7)+1=1),"🌿 Nim (2 mL/L) — foliar preventivo",IF(AND('🌱 Configuração'!$B$56+120&gt;='🌱 Configuração'!$C$56,'🌱 Configuração'!$B$56+120&lt;'🌱 Configuração'!$D$56,MOD('🌱 Configuração'!$B$56+120-'🌱 Configuração'!$C$56,7)=0,INT(('🌱 Configuração'!$B$56+120-'🌱 Configuração'!$C$56)/7)+1=2),"🍄 Beauveria bassiana — foliar + solo",IF(AND('🌱 Configuração'!$B$56+120&gt;='🌱 Configuração'!$C$56,'🌱 Configuração'!$B$56+120&lt;'🌱 Configuração'!$D$56,MOD('🌱 Configuração'!$B$56+120-'🌱 Configuração'!$C$56,7)=0,INT(('🌱 Configuração'!$B$56+120-'🌱 Configuração'!$C$56)/7)+1=3),"🟡 Calda Sulfocálcica (1%) — foliar",IF(AND('🌱 Configuração'!$B$56+120&gt;='🌱 Configuração'!$C$56,'🌱 Configuração'!$B$56+120&lt;'🌱 Configuração'!$D$56,MOD('🌱 Configuração'!$B$56+120-'🌱 Configuração'!$C$56,7)=0,INT(('🌱 Configuração'!$B$56+120-'🌱 Configuração'!$C$56)/7)+1=4),"🦠 Trichoderma (3 g/L) — solo",IF(AND('🌱 Configuração'!$B$56+120&gt;='🌱 Configuração'!$C$56,'🌱 Configuração'!$B$56+120&lt;'🌱 Configuração'!$D$56,MOD('🌱 Configuração'!$B$56+120-'🌱 Configuração'!$C$56,7)=0,INT(('🌱 Configuração'!$B$56+120-'🌱 Configuração'!$C$56)/7)+1=5),"🔵 Calda Bordalesa (0.5%) — foliar",IF(AND('🌱 Configuração'!$B$56+120&gt;='🌱 Configuração'!$C$56,'🌱 Configuração'!$B$56+120&lt;'🌱 Configuração'!$D$56,MOD('🌱 Configuração'!$B$56+120-'🌱 Configuração'!$C$56,7)=0,INT(('🌱 Configuração'!$B$56+120-'🌱 Configuração'!$C$56)/7)+1=6),"🌿 Nim (2 mL/L) — ⚠️ ÚLTIMA foliar",IF(AND('🌱 Configuração'!$B$56+120&gt;='🌱 Configuração'!$C$56,'🌱 Configuração'!$B$56+120&lt;'🌱 Configuração'!$D$56,MOD('🌱 Configuração'!$B$56+120-'🌱 Configuração'!$C$56,7)=0,INT(('🌱 Configuração'!$B$56+120-'🌱 Configuração'!$C$56)/7)+1=7),"🦠 Trichoderma — solo",IF(AND('🌱 Configuração'!$B$56+120&gt;='🌱 Configuração'!$C$56,'🌱 Configuração'!$B$56+120&lt;'🌱 Configuração'!$D$56,MOD('🌱 Configuração'!$B$56+120-'🌱 Configuração'!$C$56,7)=0,INT(('🌱 Configuração'!$B$56+120-'🌱 Configuração'!$C$56)/7)+1=8),"🍄 Beauveria — solo","")))))))),IF('🌱 Configuração'!$B$56+120&lt;'🌱 Configuração'!$E$56,IF(AND('🌱 Configuração'!$B$56+120&gt;='🌱 Configuração'!$D$56,'🌱 Configuração'!$B$56+120&lt;'🌱 Configuração'!$E$56,MOD('🌱 Configuração'!$B$56+120-'🌱 Configuração'!$D$56,7)=0,INT(('🌱 Configuração'!$B$56+120-'🌱 Configuração'!$D$56)/7)+1=1),"🍄 Beauveria bassiana — SOLO apenas",IF(AND('🌱 Configuração'!$B$56+120&gt;='🌱 Configuração'!$D$56,'🌱 Configuração'!$B$56+120&lt;'🌱 Configuração'!$E$56,MOD('🌱 Configuração'!$B$56+120-'🌱 Configuração'!$D$56,7)=0,INT(('🌱 Configuração'!$B$56+120-'🌱 Configuração'!$D$56)/7)+1=2),"🦠 Trichoderma (3 g/L) — solo",IF(AND('🌱 Configuração'!$B$56+120&gt;='🌱 Configuração'!$D$56,'🌱 Configuração'!$B$56+120&lt;'🌱 Configuração'!$E$56,MOD('🌱 Configuração'!$B$56+120-'🌱 Configuração'!$D$56,7)=0,INT(('🌱 Configuração'!$B$56+120-'🌱 Configuração'!$D$56)/7)+1=3),"🍄 Beauveria bassiana — solo | ⚠️ Umid &lt;45%",IF(AND('🌱 Configuração'!$B$56+120&gt;='🌱 Configuração'!$D$56,'🌱 Configuração'!$B$56+120&lt;'🌱 Configuração'!$E$56,MOD('🌱 Configuração'!$B$56+120-'🌱 Configuração'!$D$56,7)=0,INT(('🌱 Configuração'!$B$56+120-'🌱 Configuração'!$D$56)/7)+1=4),"🦠 Trichoderma — solo | Inspecionar buds",IF(AND('🌱 Configuração'!$B$56+120&gt;='🌱 Configuração'!$D$56,'🌱 Configuração'!$B$56+120&lt;'🌱 Configuração'!$E$56,MOD('🌱 Configuração'!$B$56+120-'🌱 Configuração'!$D$56,7)=0,INT(('🌱 Configuração'!$B$56+120-'🌱 Configuração'!$D$56)/7)+1=5),"🍄 Beauveria + inspeção visual buds",IF(AND('🌱 Configuração'!$B$56+120&gt;='🌱 Configuração'!$D$56,'🌱 Configuração'!$B$56+120&lt;'🌱 Configuração'!$E$56,MOD('🌱 Configuração'!$B$56+120-'🌱 Configuração'!$D$56,7)=0,INT(('🌱 Configuração'!$B$56+120-'🌱 Configuração'!$D$56)/7)+1=6),"🦠 Trichoderma + ⚠️ Verificar mofo","")))))),IF(AND('🌱 Configuração'!$B$56+120&gt;='🌱 Configuração'!$E$56,MOD('🌱 Configuração'!$B$56+120-'🌱 Configuração'!$E$56,7)=0),"🔬 Inspeção final — analisar tricomas","")))))</f>
        <v/>
      </c>
      <c r="I126" s="33"/>
    </row>
    <row r="127" spans="1:9" ht="19.5" customHeight="1">
      <c r="A127" s="1"/>
      <c r="B127" s="39">
        <f>IF(122&lt;='🌱 Configuração'!$F$55,122,"")</f>
        <v>122</v>
      </c>
      <c r="C127" s="40">
        <f>IF(122&lt;='🌱 Configuração'!$F$55,'🌱 Configuração'!$B$56+121,"")</f>
        <v>121</v>
      </c>
      <c r="D127" s="41" t="str">
        <f>IF(122&gt;'🌱 Configuração'!$F$55,"",IF('🌱 Configuração'!$B$56+121&lt;'🌱 Configuração'!$C$56,"🌱 Clone",IF('🌱 Configuração'!$B$56+121&lt;'🌱 Configuração'!$D$56,"🌿 Vegetativo",IF('🌱 Configuração'!$B$56+121&lt;'🌱 Configuração'!$E$56,"🌸 Floração","🚿 Flush"))))</f>
        <v>🚿 Flush</v>
      </c>
      <c r="E127" s="42" t="str">
        <f>IF(122&gt;'🌱 Configuração'!$F$55,"",IF('🌱 Configuração'!$B$56+121&lt;'🌱 Configuração'!$C$56,"Clone S"&amp;INT((122-1)/7)+1,IF('🌱 Configuração'!$B$56+121&lt;'🌱 Configuração'!$D$56,"Vega S"&amp;INT(('🌱 Configuração'!$B$56+121-'🌱 Configuração'!$C$56)/7)+1,IF('🌱 Configuração'!$B$56+121&lt;'🌱 Configuração'!$E$56,"Flora S"&amp;INT(('🌱 Configuração'!$B$56+121-'🌱 Configuração'!$D$56)/7)+1,"Flush S"&amp;INT(('🌱 Configuração'!$B$56+121-'🌱 Configuração'!$E$56)/7)+1))))</f>
        <v>Flush S1</v>
      </c>
      <c r="F127" s="43" t="str">
        <f>IF(122&gt;'🌱 Configuração'!$F$55,"",IF('🌱 Configuração'!$B$56+121='🌱 Configuração'!$C$56,"🌿 INÍCIO VEGA — luz 18h/dia",IF('🌱 Configuração'!$B$56+121='🌱 Configuração'!$D$56,"🌸 INÍCIO FLORAÇÃO — mudar 12/12 🔴",IF('🌱 Configuração'!$B$56+121='🌱 Configuração'!$E$56,"🚿 INÍCIO FLUSH — parar nutrição",IF('🌱 Configuração'!$B$56+121='🌱 Configuração'!$F$56-1,"🔬 Véspera da colheita — analisar tricomas",IF('🌱 Configuração'!$B$56+121='🌱 Configuração'!$F$56,"✂️ COLHEITA — Parabéns! 🎉",""))))))</f>
        <v/>
      </c>
      <c r="G127" s="44" t="s">
        <v>428</v>
      </c>
      <c r="H127" s="45" t="str">
        <f>IF(122&gt;'🌱 Configuração'!$F$55,"",IF('🌱 Configuração'!$B$56+121&lt;'🌱 Configuração'!$C$56,IF(122=1,"🌿 Nim (2 mL/L) — foliar leve",IF(122=8,"🍄 Beauveria bassiana — foliar + solo","")),IF('🌱 Configuração'!$B$56+121&lt;'🌱 Configuração'!$D$56,IF(AND('🌱 Configuração'!$B$56+121&gt;='🌱 Configuração'!$C$56,'🌱 Configuração'!$B$56+121&lt;'🌱 Configuração'!$D$56,MOD('🌱 Configuração'!$B$56+121-'🌱 Configuração'!$C$56,7)=0,INT(('🌱 Configuração'!$B$56+121-'🌱 Configuração'!$C$56)/7)+1=1),"🌿 Nim (2 mL/L) — foliar preventivo",IF(AND('🌱 Configuração'!$B$56+121&gt;='🌱 Configuração'!$C$56,'🌱 Configuração'!$B$56+121&lt;'🌱 Configuração'!$D$56,MOD('🌱 Configuração'!$B$56+121-'🌱 Configuração'!$C$56,7)=0,INT(('🌱 Configuração'!$B$56+121-'🌱 Configuração'!$C$56)/7)+1=2),"🍄 Beauveria bassiana — foliar + solo",IF(AND('🌱 Configuração'!$B$56+121&gt;='🌱 Configuração'!$C$56,'🌱 Configuração'!$B$56+121&lt;'🌱 Configuração'!$D$56,MOD('🌱 Configuração'!$B$56+121-'🌱 Configuração'!$C$56,7)=0,INT(('🌱 Configuração'!$B$56+121-'🌱 Configuração'!$C$56)/7)+1=3),"🟡 Calda Sulfocálcica (1%) — foliar",IF(AND('🌱 Configuração'!$B$56+121&gt;='🌱 Configuração'!$C$56,'🌱 Configuração'!$B$56+121&lt;'🌱 Configuração'!$D$56,MOD('🌱 Configuração'!$B$56+121-'🌱 Configuração'!$C$56,7)=0,INT(('🌱 Configuração'!$B$56+121-'🌱 Configuração'!$C$56)/7)+1=4),"🦠 Trichoderma (3 g/L) — solo",IF(AND('🌱 Configuração'!$B$56+121&gt;='🌱 Configuração'!$C$56,'🌱 Configuração'!$B$56+121&lt;'🌱 Configuração'!$D$56,MOD('🌱 Configuração'!$B$56+121-'🌱 Configuração'!$C$56,7)=0,INT(('🌱 Configuração'!$B$56+121-'🌱 Configuração'!$C$56)/7)+1=5),"🔵 Calda Bordalesa (0.5%) — foliar",IF(AND('🌱 Configuração'!$B$56+121&gt;='🌱 Configuração'!$C$56,'🌱 Configuração'!$B$56+121&lt;'🌱 Configuração'!$D$56,MOD('🌱 Configuração'!$B$56+121-'🌱 Configuração'!$C$56,7)=0,INT(('🌱 Configuração'!$B$56+121-'🌱 Configuração'!$C$56)/7)+1=6),"🌿 Nim (2 mL/L) — ⚠️ ÚLTIMA foliar",IF(AND('🌱 Configuração'!$B$56+121&gt;='🌱 Configuração'!$C$56,'🌱 Configuração'!$B$56+121&lt;'🌱 Configuração'!$D$56,MOD('🌱 Configuração'!$B$56+121-'🌱 Configuração'!$C$56,7)=0,INT(('🌱 Configuração'!$B$56+121-'🌱 Configuração'!$C$56)/7)+1=7),"🦠 Trichoderma — solo",IF(AND('🌱 Configuração'!$B$56+121&gt;='🌱 Configuração'!$C$56,'🌱 Configuração'!$B$56+121&lt;'🌱 Configuração'!$D$56,MOD('🌱 Configuração'!$B$56+121-'🌱 Configuração'!$C$56,7)=0,INT(('🌱 Configuração'!$B$56+121-'🌱 Configuração'!$C$56)/7)+1=8),"🍄 Beauveria — solo","")))))))),IF('🌱 Configuração'!$B$56+121&lt;'🌱 Configuração'!$E$56,IF(AND('🌱 Configuração'!$B$56+121&gt;='🌱 Configuração'!$D$56,'🌱 Configuração'!$B$56+121&lt;'🌱 Configuração'!$E$56,MOD('🌱 Configuração'!$B$56+121-'🌱 Configuração'!$D$56,7)=0,INT(('🌱 Configuração'!$B$56+121-'🌱 Configuração'!$D$56)/7)+1=1),"🍄 Beauveria bassiana — SOLO apenas",IF(AND('🌱 Configuração'!$B$56+121&gt;='🌱 Configuração'!$D$56,'🌱 Configuração'!$B$56+121&lt;'🌱 Configuração'!$E$56,MOD('🌱 Configuração'!$B$56+121-'🌱 Configuração'!$D$56,7)=0,INT(('🌱 Configuração'!$B$56+121-'🌱 Configuração'!$D$56)/7)+1=2),"🦠 Trichoderma (3 g/L) — solo",IF(AND('🌱 Configuração'!$B$56+121&gt;='🌱 Configuração'!$D$56,'🌱 Configuração'!$B$56+121&lt;'🌱 Configuração'!$E$56,MOD('🌱 Configuração'!$B$56+121-'🌱 Configuração'!$D$56,7)=0,INT(('🌱 Configuração'!$B$56+121-'🌱 Configuração'!$D$56)/7)+1=3),"🍄 Beauveria bassiana — solo | ⚠️ Umid &lt;45%",IF(AND('🌱 Configuração'!$B$56+121&gt;='🌱 Configuração'!$D$56,'🌱 Configuração'!$B$56+121&lt;'🌱 Configuração'!$E$56,MOD('🌱 Configuração'!$B$56+121-'🌱 Configuração'!$D$56,7)=0,INT(('🌱 Configuração'!$B$56+121-'🌱 Configuração'!$D$56)/7)+1=4),"🦠 Trichoderma — solo | Inspecionar buds",IF(AND('🌱 Configuração'!$B$56+121&gt;='🌱 Configuração'!$D$56,'🌱 Configuração'!$B$56+121&lt;'🌱 Configuração'!$E$56,MOD('🌱 Configuração'!$B$56+121-'🌱 Configuração'!$D$56,7)=0,INT(('🌱 Configuração'!$B$56+121-'🌱 Configuração'!$D$56)/7)+1=5),"🍄 Beauveria + inspeção visual buds",IF(AND('🌱 Configuração'!$B$56+121&gt;='🌱 Configuração'!$D$56,'🌱 Configuração'!$B$56+121&lt;'🌱 Configuração'!$E$56,MOD('🌱 Configuração'!$B$56+121-'🌱 Configuração'!$D$56,7)=0,INT(('🌱 Configuração'!$B$56+121-'🌱 Configuração'!$D$56)/7)+1=6),"🦠 Trichoderma + ⚠️ Verificar mofo","")))))),IF(AND('🌱 Configuração'!$B$56+121&gt;='🌱 Configuração'!$E$56,MOD('🌱 Configuração'!$B$56+121-'🌱 Configuração'!$E$56,7)=0),"🔬 Inspeção final — analisar tricomas","")))))</f>
        <v/>
      </c>
      <c r="I127" s="33"/>
    </row>
    <row r="128" spans="1:9" ht="19.5" customHeight="1">
      <c r="A128" s="1"/>
      <c r="B128" s="35">
        <f>IF(123&lt;='🌱 Configuração'!$F$55,123,"")</f>
        <v>123</v>
      </c>
      <c r="C128" s="13">
        <f>IF(123&lt;='🌱 Configuração'!$F$55,'🌱 Configuração'!$B$56+122,"")</f>
        <v>122</v>
      </c>
      <c r="D128" s="36" t="str">
        <f>IF(123&gt;'🌱 Configuração'!$F$55,"",IF('🌱 Configuração'!$B$56+122&lt;'🌱 Configuração'!$C$56,"🌱 Clone",IF('🌱 Configuração'!$B$56+122&lt;'🌱 Configuração'!$D$56,"🌿 Vegetativo",IF('🌱 Configuração'!$B$56+122&lt;'🌱 Configuração'!$E$56,"🌸 Floração","🚿 Flush"))))</f>
        <v>🚿 Flush</v>
      </c>
      <c r="E128" s="15" t="str">
        <f>IF(123&gt;'🌱 Configuração'!$F$55,"",IF('🌱 Configuração'!$B$56+122&lt;'🌱 Configuração'!$C$56,"Clone S"&amp;INT((123-1)/7)+1,IF('🌱 Configuração'!$B$56+122&lt;'🌱 Configuração'!$D$56,"Vega S"&amp;INT(('🌱 Configuração'!$B$56+122-'🌱 Configuração'!$C$56)/7)+1,IF('🌱 Configuração'!$B$56+122&lt;'🌱 Configuração'!$E$56,"Flora S"&amp;INT(('🌱 Configuração'!$B$56+122-'🌱 Configuração'!$D$56)/7)+1,"Flush S"&amp;INT(('🌱 Configuração'!$B$56+122-'🌱 Configuração'!$E$56)/7)+1))))</f>
        <v>Flush S1</v>
      </c>
      <c r="F128" s="14" t="str">
        <f>IF(123&gt;'🌱 Configuração'!$F$55,"",IF('🌱 Configuração'!$B$56+122='🌱 Configuração'!$C$56,"🌿 INÍCIO VEGA — luz 18h/dia",IF('🌱 Configuração'!$B$56+122='🌱 Configuração'!$D$56,"🌸 INÍCIO FLORAÇÃO — mudar 12/12 🔴",IF('🌱 Configuração'!$B$56+122='🌱 Configuração'!$E$56,"🚿 INÍCIO FLUSH — parar nutrição",IF('🌱 Configuração'!$B$56+122='🌱 Configuração'!$F$56-1,"🔬 Véspera da colheita — analisar tricomas",IF('🌱 Configuração'!$B$56+122='🌱 Configuração'!$F$56,"✂️ COLHEITA — Parabéns! 🎉",""))))))</f>
        <v/>
      </c>
      <c r="G128" s="37" t="s">
        <v>428</v>
      </c>
      <c r="H128" s="38" t="str">
        <f>IF(123&gt;'🌱 Configuração'!$F$55,"",IF('🌱 Configuração'!$B$56+122&lt;'🌱 Configuração'!$C$56,IF(123=1,"🌿 Nim (2 mL/L) — foliar leve",IF(123=8,"🍄 Beauveria bassiana — foliar + solo","")),IF('🌱 Configuração'!$B$56+122&lt;'🌱 Configuração'!$D$56,IF(AND('🌱 Configuração'!$B$56+122&gt;='🌱 Configuração'!$C$56,'🌱 Configuração'!$B$56+122&lt;'🌱 Configuração'!$D$56,MOD('🌱 Configuração'!$B$56+122-'🌱 Configuração'!$C$56,7)=0,INT(('🌱 Configuração'!$B$56+122-'🌱 Configuração'!$C$56)/7)+1=1),"🌿 Nim (2 mL/L) — foliar preventivo",IF(AND('🌱 Configuração'!$B$56+122&gt;='🌱 Configuração'!$C$56,'🌱 Configuração'!$B$56+122&lt;'🌱 Configuração'!$D$56,MOD('🌱 Configuração'!$B$56+122-'🌱 Configuração'!$C$56,7)=0,INT(('🌱 Configuração'!$B$56+122-'🌱 Configuração'!$C$56)/7)+1=2),"🍄 Beauveria bassiana — foliar + solo",IF(AND('🌱 Configuração'!$B$56+122&gt;='🌱 Configuração'!$C$56,'🌱 Configuração'!$B$56+122&lt;'🌱 Configuração'!$D$56,MOD('🌱 Configuração'!$B$56+122-'🌱 Configuração'!$C$56,7)=0,INT(('🌱 Configuração'!$B$56+122-'🌱 Configuração'!$C$56)/7)+1=3),"🟡 Calda Sulfocálcica (1%) — foliar",IF(AND('🌱 Configuração'!$B$56+122&gt;='🌱 Configuração'!$C$56,'🌱 Configuração'!$B$56+122&lt;'🌱 Configuração'!$D$56,MOD('🌱 Configuração'!$B$56+122-'🌱 Configuração'!$C$56,7)=0,INT(('🌱 Configuração'!$B$56+122-'🌱 Configuração'!$C$56)/7)+1=4),"🦠 Trichoderma (3 g/L) — solo",IF(AND('🌱 Configuração'!$B$56+122&gt;='🌱 Configuração'!$C$56,'🌱 Configuração'!$B$56+122&lt;'🌱 Configuração'!$D$56,MOD('🌱 Configuração'!$B$56+122-'🌱 Configuração'!$C$56,7)=0,INT(('🌱 Configuração'!$B$56+122-'🌱 Configuração'!$C$56)/7)+1=5),"🔵 Calda Bordalesa (0.5%) — foliar",IF(AND('🌱 Configuração'!$B$56+122&gt;='🌱 Configuração'!$C$56,'🌱 Configuração'!$B$56+122&lt;'🌱 Configuração'!$D$56,MOD('🌱 Configuração'!$B$56+122-'🌱 Configuração'!$C$56,7)=0,INT(('🌱 Configuração'!$B$56+122-'🌱 Configuração'!$C$56)/7)+1=6),"🌿 Nim (2 mL/L) — ⚠️ ÚLTIMA foliar",IF(AND('🌱 Configuração'!$B$56+122&gt;='🌱 Configuração'!$C$56,'🌱 Configuração'!$B$56+122&lt;'🌱 Configuração'!$D$56,MOD('🌱 Configuração'!$B$56+122-'🌱 Configuração'!$C$56,7)=0,INT(('🌱 Configuração'!$B$56+122-'🌱 Configuração'!$C$56)/7)+1=7),"🦠 Trichoderma — solo",IF(AND('🌱 Configuração'!$B$56+122&gt;='🌱 Configuração'!$C$56,'🌱 Configuração'!$B$56+122&lt;'🌱 Configuração'!$D$56,MOD('🌱 Configuração'!$B$56+122-'🌱 Configuração'!$C$56,7)=0,INT(('🌱 Configuração'!$B$56+122-'🌱 Configuração'!$C$56)/7)+1=8),"🍄 Beauveria — solo","")))))))),IF('🌱 Configuração'!$B$56+122&lt;'🌱 Configuração'!$E$56,IF(AND('🌱 Configuração'!$B$56+122&gt;='🌱 Configuração'!$D$56,'🌱 Configuração'!$B$56+122&lt;'🌱 Configuração'!$E$56,MOD('🌱 Configuração'!$B$56+122-'🌱 Configuração'!$D$56,7)=0,INT(('🌱 Configuração'!$B$56+122-'🌱 Configuração'!$D$56)/7)+1=1),"🍄 Beauveria bassiana — SOLO apenas",IF(AND('🌱 Configuração'!$B$56+122&gt;='🌱 Configuração'!$D$56,'🌱 Configuração'!$B$56+122&lt;'🌱 Configuração'!$E$56,MOD('🌱 Configuração'!$B$56+122-'🌱 Configuração'!$D$56,7)=0,INT(('🌱 Configuração'!$B$56+122-'🌱 Configuração'!$D$56)/7)+1=2),"🦠 Trichoderma (3 g/L) — solo",IF(AND('🌱 Configuração'!$B$56+122&gt;='🌱 Configuração'!$D$56,'🌱 Configuração'!$B$56+122&lt;'🌱 Configuração'!$E$56,MOD('🌱 Configuração'!$B$56+122-'🌱 Configuração'!$D$56,7)=0,INT(('🌱 Configuração'!$B$56+122-'🌱 Configuração'!$D$56)/7)+1=3),"🍄 Beauveria bassiana — solo | ⚠️ Umid &lt;45%",IF(AND('🌱 Configuração'!$B$56+122&gt;='🌱 Configuração'!$D$56,'🌱 Configuração'!$B$56+122&lt;'🌱 Configuração'!$E$56,MOD('🌱 Configuração'!$B$56+122-'🌱 Configuração'!$D$56,7)=0,INT(('🌱 Configuração'!$B$56+122-'🌱 Configuração'!$D$56)/7)+1=4),"🦠 Trichoderma — solo | Inspecionar buds",IF(AND('🌱 Configuração'!$B$56+122&gt;='🌱 Configuração'!$D$56,'🌱 Configuração'!$B$56+122&lt;'🌱 Configuração'!$E$56,MOD('🌱 Configuração'!$B$56+122-'🌱 Configuração'!$D$56,7)=0,INT(('🌱 Configuração'!$B$56+122-'🌱 Configuração'!$D$56)/7)+1=5),"🍄 Beauveria + inspeção visual buds",IF(AND('🌱 Configuração'!$B$56+122&gt;='🌱 Configuração'!$D$56,'🌱 Configuração'!$B$56+122&lt;'🌱 Configuração'!$E$56,MOD('🌱 Configuração'!$B$56+122-'🌱 Configuração'!$D$56,7)=0,INT(('🌱 Configuração'!$B$56+122-'🌱 Configuração'!$D$56)/7)+1=6),"🦠 Trichoderma + ⚠️ Verificar mofo","")))))),IF(AND('🌱 Configuração'!$B$56+122&gt;='🌱 Configuração'!$E$56,MOD('🌱 Configuração'!$B$56+122-'🌱 Configuração'!$E$56,7)=0),"🔬 Inspeção final — analisar tricomas","")))))</f>
        <v/>
      </c>
      <c r="I128" s="33"/>
    </row>
    <row r="129" spans="1:9" ht="19.5" customHeight="1">
      <c r="A129" s="1"/>
      <c r="B129" s="39">
        <f>IF(124&lt;='🌱 Configuração'!$F$55,124,"")</f>
        <v>124</v>
      </c>
      <c r="C129" s="40">
        <f>IF(124&lt;='🌱 Configuração'!$F$55,'🌱 Configuração'!$B$56+123,"")</f>
        <v>123</v>
      </c>
      <c r="D129" s="41" t="str">
        <f>IF(124&gt;'🌱 Configuração'!$F$55,"",IF('🌱 Configuração'!$B$56+123&lt;'🌱 Configuração'!$C$56,"🌱 Clone",IF('🌱 Configuração'!$B$56+123&lt;'🌱 Configuração'!$D$56,"🌿 Vegetativo",IF('🌱 Configuração'!$B$56+123&lt;'🌱 Configuração'!$E$56,"🌸 Floração","🚿 Flush"))))</f>
        <v>🚿 Flush</v>
      </c>
      <c r="E129" s="42" t="str">
        <f>IF(124&gt;'🌱 Configuração'!$F$55,"",IF('🌱 Configuração'!$B$56+123&lt;'🌱 Configuração'!$C$56,"Clone S"&amp;INT((124-1)/7)+1,IF('🌱 Configuração'!$B$56+123&lt;'🌱 Configuração'!$D$56,"Vega S"&amp;INT(('🌱 Configuração'!$B$56+123-'🌱 Configuração'!$C$56)/7)+1,IF('🌱 Configuração'!$B$56+123&lt;'🌱 Configuração'!$E$56,"Flora S"&amp;INT(('🌱 Configuração'!$B$56+123-'🌱 Configuração'!$D$56)/7)+1,"Flush S"&amp;INT(('🌱 Configuração'!$B$56+123-'🌱 Configuração'!$E$56)/7)+1))))</f>
        <v>Flush S1</v>
      </c>
      <c r="F129" s="43" t="str">
        <f>IF(124&gt;'🌱 Configuração'!$F$55,"",IF('🌱 Configuração'!$B$56+123='🌱 Configuração'!$C$56,"🌿 INÍCIO VEGA — luz 18h/dia",IF('🌱 Configuração'!$B$56+123='🌱 Configuração'!$D$56,"🌸 INÍCIO FLORAÇÃO — mudar 12/12 🔴",IF('🌱 Configuração'!$B$56+123='🌱 Configuração'!$E$56,"🚿 INÍCIO FLUSH — parar nutrição",IF('🌱 Configuração'!$B$56+123='🌱 Configuração'!$F$56-1,"🔬 Véspera da colheita — analisar tricomas",IF('🌱 Configuração'!$B$56+123='🌱 Configuração'!$F$56,"✂️ COLHEITA — Parabéns! 🎉",""))))))</f>
        <v/>
      </c>
      <c r="G129" s="44" t="s">
        <v>428</v>
      </c>
      <c r="H129" s="45" t="str">
        <f>IF(124&gt;'🌱 Configuração'!$F$55,"",IF('🌱 Configuração'!$B$56+123&lt;'🌱 Configuração'!$C$56,IF(124=1,"🌿 Nim (2 mL/L) — foliar leve",IF(124=8,"🍄 Beauveria bassiana — foliar + solo","")),IF('🌱 Configuração'!$B$56+123&lt;'🌱 Configuração'!$D$56,IF(AND('🌱 Configuração'!$B$56+123&gt;='🌱 Configuração'!$C$56,'🌱 Configuração'!$B$56+123&lt;'🌱 Configuração'!$D$56,MOD('🌱 Configuração'!$B$56+123-'🌱 Configuração'!$C$56,7)=0,INT(('🌱 Configuração'!$B$56+123-'🌱 Configuração'!$C$56)/7)+1=1),"🌿 Nim (2 mL/L) — foliar preventivo",IF(AND('🌱 Configuração'!$B$56+123&gt;='🌱 Configuração'!$C$56,'🌱 Configuração'!$B$56+123&lt;'🌱 Configuração'!$D$56,MOD('🌱 Configuração'!$B$56+123-'🌱 Configuração'!$C$56,7)=0,INT(('🌱 Configuração'!$B$56+123-'🌱 Configuração'!$C$56)/7)+1=2),"🍄 Beauveria bassiana — foliar + solo",IF(AND('🌱 Configuração'!$B$56+123&gt;='🌱 Configuração'!$C$56,'🌱 Configuração'!$B$56+123&lt;'🌱 Configuração'!$D$56,MOD('🌱 Configuração'!$B$56+123-'🌱 Configuração'!$C$56,7)=0,INT(('🌱 Configuração'!$B$56+123-'🌱 Configuração'!$C$56)/7)+1=3),"🟡 Calda Sulfocálcica (1%) — foliar",IF(AND('🌱 Configuração'!$B$56+123&gt;='🌱 Configuração'!$C$56,'🌱 Configuração'!$B$56+123&lt;'🌱 Configuração'!$D$56,MOD('🌱 Configuração'!$B$56+123-'🌱 Configuração'!$C$56,7)=0,INT(('🌱 Configuração'!$B$56+123-'🌱 Configuração'!$C$56)/7)+1=4),"🦠 Trichoderma (3 g/L) — solo",IF(AND('🌱 Configuração'!$B$56+123&gt;='🌱 Configuração'!$C$56,'🌱 Configuração'!$B$56+123&lt;'🌱 Configuração'!$D$56,MOD('🌱 Configuração'!$B$56+123-'🌱 Configuração'!$C$56,7)=0,INT(('🌱 Configuração'!$B$56+123-'🌱 Configuração'!$C$56)/7)+1=5),"🔵 Calda Bordalesa (0.5%) — foliar",IF(AND('🌱 Configuração'!$B$56+123&gt;='🌱 Configuração'!$C$56,'🌱 Configuração'!$B$56+123&lt;'🌱 Configuração'!$D$56,MOD('🌱 Configuração'!$B$56+123-'🌱 Configuração'!$C$56,7)=0,INT(('🌱 Configuração'!$B$56+123-'🌱 Configuração'!$C$56)/7)+1=6),"🌿 Nim (2 mL/L) — ⚠️ ÚLTIMA foliar",IF(AND('🌱 Configuração'!$B$56+123&gt;='🌱 Configuração'!$C$56,'🌱 Configuração'!$B$56+123&lt;'🌱 Configuração'!$D$56,MOD('🌱 Configuração'!$B$56+123-'🌱 Configuração'!$C$56,7)=0,INT(('🌱 Configuração'!$B$56+123-'🌱 Configuração'!$C$56)/7)+1=7),"🦠 Trichoderma — solo",IF(AND('🌱 Configuração'!$B$56+123&gt;='🌱 Configuração'!$C$56,'🌱 Configuração'!$B$56+123&lt;'🌱 Configuração'!$D$56,MOD('🌱 Configuração'!$B$56+123-'🌱 Configuração'!$C$56,7)=0,INT(('🌱 Configuração'!$B$56+123-'🌱 Configuração'!$C$56)/7)+1=8),"🍄 Beauveria — solo","")))))))),IF('🌱 Configuração'!$B$56+123&lt;'🌱 Configuração'!$E$56,IF(AND('🌱 Configuração'!$B$56+123&gt;='🌱 Configuração'!$D$56,'🌱 Configuração'!$B$56+123&lt;'🌱 Configuração'!$E$56,MOD('🌱 Configuração'!$B$56+123-'🌱 Configuração'!$D$56,7)=0,INT(('🌱 Configuração'!$B$56+123-'🌱 Configuração'!$D$56)/7)+1=1),"🍄 Beauveria bassiana — SOLO apenas",IF(AND('🌱 Configuração'!$B$56+123&gt;='🌱 Configuração'!$D$56,'🌱 Configuração'!$B$56+123&lt;'🌱 Configuração'!$E$56,MOD('🌱 Configuração'!$B$56+123-'🌱 Configuração'!$D$56,7)=0,INT(('🌱 Configuração'!$B$56+123-'🌱 Configuração'!$D$56)/7)+1=2),"🦠 Trichoderma (3 g/L) — solo",IF(AND('🌱 Configuração'!$B$56+123&gt;='🌱 Configuração'!$D$56,'🌱 Configuração'!$B$56+123&lt;'🌱 Configuração'!$E$56,MOD('🌱 Configuração'!$B$56+123-'🌱 Configuração'!$D$56,7)=0,INT(('🌱 Configuração'!$B$56+123-'🌱 Configuração'!$D$56)/7)+1=3),"🍄 Beauveria bassiana — solo | ⚠️ Umid &lt;45%",IF(AND('🌱 Configuração'!$B$56+123&gt;='🌱 Configuração'!$D$56,'🌱 Configuração'!$B$56+123&lt;'🌱 Configuração'!$E$56,MOD('🌱 Configuração'!$B$56+123-'🌱 Configuração'!$D$56,7)=0,INT(('🌱 Configuração'!$B$56+123-'🌱 Configuração'!$D$56)/7)+1=4),"🦠 Trichoderma — solo | Inspecionar buds",IF(AND('🌱 Configuração'!$B$56+123&gt;='🌱 Configuração'!$D$56,'🌱 Configuração'!$B$56+123&lt;'🌱 Configuração'!$E$56,MOD('🌱 Configuração'!$B$56+123-'🌱 Configuração'!$D$56,7)=0,INT(('🌱 Configuração'!$B$56+123-'🌱 Configuração'!$D$56)/7)+1=5),"🍄 Beauveria + inspeção visual buds",IF(AND('🌱 Configuração'!$B$56+123&gt;='🌱 Configuração'!$D$56,'🌱 Configuração'!$B$56+123&lt;'🌱 Configuração'!$E$56,MOD('🌱 Configuração'!$B$56+123-'🌱 Configuração'!$D$56,7)=0,INT(('🌱 Configuração'!$B$56+123-'🌱 Configuração'!$D$56)/7)+1=6),"🦠 Trichoderma + ⚠️ Verificar mofo","")))))),IF(AND('🌱 Configuração'!$B$56+123&gt;='🌱 Configuração'!$E$56,MOD('🌱 Configuração'!$B$56+123-'🌱 Configuração'!$E$56,7)=0),"🔬 Inspeção final — analisar tricomas","")))))</f>
        <v/>
      </c>
      <c r="I129" s="33"/>
    </row>
    <row r="130" spans="1:9" ht="19.5" customHeight="1">
      <c r="A130" s="1"/>
      <c r="B130" s="35">
        <f>IF(125&lt;='🌱 Configuração'!$F$55,125,"")</f>
        <v>125</v>
      </c>
      <c r="C130" s="13">
        <f>IF(125&lt;='🌱 Configuração'!$F$55,'🌱 Configuração'!$B$56+124,"")</f>
        <v>124</v>
      </c>
      <c r="D130" s="36" t="str">
        <f>IF(125&gt;'🌱 Configuração'!$F$55,"",IF('🌱 Configuração'!$B$56+124&lt;'🌱 Configuração'!$C$56,"🌱 Clone",IF('🌱 Configuração'!$B$56+124&lt;'🌱 Configuração'!$D$56,"🌿 Vegetativo",IF('🌱 Configuração'!$B$56+124&lt;'🌱 Configuração'!$E$56,"🌸 Floração","🚿 Flush"))))</f>
        <v>🚿 Flush</v>
      </c>
      <c r="E130" s="15" t="str">
        <f>IF(125&gt;'🌱 Configuração'!$F$55,"",IF('🌱 Configuração'!$B$56+124&lt;'🌱 Configuração'!$C$56,"Clone S"&amp;INT((125-1)/7)+1,IF('🌱 Configuração'!$B$56+124&lt;'🌱 Configuração'!$D$56,"Vega S"&amp;INT(('🌱 Configuração'!$B$56+124-'🌱 Configuração'!$C$56)/7)+1,IF('🌱 Configuração'!$B$56+124&lt;'🌱 Configuração'!$E$56,"Flora S"&amp;INT(('🌱 Configuração'!$B$56+124-'🌱 Configuração'!$D$56)/7)+1,"Flush S"&amp;INT(('🌱 Configuração'!$B$56+124-'🌱 Configuração'!$E$56)/7)+1))))</f>
        <v>Flush S1</v>
      </c>
      <c r="F130" s="14" t="str">
        <f>IF(125&gt;'🌱 Configuração'!$F$55,"",IF('🌱 Configuração'!$B$56+124='🌱 Configuração'!$C$56,"🌿 INÍCIO VEGA — luz 18h/dia",IF('🌱 Configuração'!$B$56+124='🌱 Configuração'!$D$56,"🌸 INÍCIO FLORAÇÃO — mudar 12/12 🔴",IF('🌱 Configuração'!$B$56+124='🌱 Configuração'!$E$56,"🚿 INÍCIO FLUSH — parar nutrição",IF('🌱 Configuração'!$B$56+124='🌱 Configuração'!$F$56-1,"🔬 Véspera da colheita — analisar tricomas",IF('🌱 Configuração'!$B$56+124='🌱 Configuração'!$F$56,"✂️ COLHEITA — Parabéns! 🎉",""))))))</f>
        <v/>
      </c>
      <c r="G130" s="37" t="s">
        <v>428</v>
      </c>
      <c r="H130" s="38" t="str">
        <f>IF(125&gt;'🌱 Configuração'!$F$55,"",IF('🌱 Configuração'!$B$56+124&lt;'🌱 Configuração'!$C$56,IF(125=1,"🌿 Nim (2 mL/L) — foliar leve",IF(125=8,"🍄 Beauveria bassiana — foliar + solo","")),IF('🌱 Configuração'!$B$56+124&lt;'🌱 Configuração'!$D$56,IF(AND('🌱 Configuração'!$B$56+124&gt;='🌱 Configuração'!$C$56,'🌱 Configuração'!$B$56+124&lt;'🌱 Configuração'!$D$56,MOD('🌱 Configuração'!$B$56+124-'🌱 Configuração'!$C$56,7)=0,INT(('🌱 Configuração'!$B$56+124-'🌱 Configuração'!$C$56)/7)+1=1),"🌿 Nim (2 mL/L) — foliar preventivo",IF(AND('🌱 Configuração'!$B$56+124&gt;='🌱 Configuração'!$C$56,'🌱 Configuração'!$B$56+124&lt;'🌱 Configuração'!$D$56,MOD('🌱 Configuração'!$B$56+124-'🌱 Configuração'!$C$56,7)=0,INT(('🌱 Configuração'!$B$56+124-'🌱 Configuração'!$C$56)/7)+1=2),"🍄 Beauveria bassiana — foliar + solo",IF(AND('🌱 Configuração'!$B$56+124&gt;='🌱 Configuração'!$C$56,'🌱 Configuração'!$B$56+124&lt;'🌱 Configuração'!$D$56,MOD('🌱 Configuração'!$B$56+124-'🌱 Configuração'!$C$56,7)=0,INT(('🌱 Configuração'!$B$56+124-'🌱 Configuração'!$C$56)/7)+1=3),"🟡 Calda Sulfocálcica (1%) — foliar",IF(AND('🌱 Configuração'!$B$56+124&gt;='🌱 Configuração'!$C$56,'🌱 Configuração'!$B$56+124&lt;'🌱 Configuração'!$D$56,MOD('🌱 Configuração'!$B$56+124-'🌱 Configuração'!$C$56,7)=0,INT(('🌱 Configuração'!$B$56+124-'🌱 Configuração'!$C$56)/7)+1=4),"🦠 Trichoderma (3 g/L) — solo",IF(AND('🌱 Configuração'!$B$56+124&gt;='🌱 Configuração'!$C$56,'🌱 Configuração'!$B$56+124&lt;'🌱 Configuração'!$D$56,MOD('🌱 Configuração'!$B$56+124-'🌱 Configuração'!$C$56,7)=0,INT(('🌱 Configuração'!$B$56+124-'🌱 Configuração'!$C$56)/7)+1=5),"🔵 Calda Bordalesa (0.5%) — foliar",IF(AND('🌱 Configuração'!$B$56+124&gt;='🌱 Configuração'!$C$56,'🌱 Configuração'!$B$56+124&lt;'🌱 Configuração'!$D$56,MOD('🌱 Configuração'!$B$56+124-'🌱 Configuração'!$C$56,7)=0,INT(('🌱 Configuração'!$B$56+124-'🌱 Configuração'!$C$56)/7)+1=6),"🌿 Nim (2 mL/L) — ⚠️ ÚLTIMA foliar",IF(AND('🌱 Configuração'!$B$56+124&gt;='🌱 Configuração'!$C$56,'🌱 Configuração'!$B$56+124&lt;'🌱 Configuração'!$D$56,MOD('🌱 Configuração'!$B$56+124-'🌱 Configuração'!$C$56,7)=0,INT(('🌱 Configuração'!$B$56+124-'🌱 Configuração'!$C$56)/7)+1=7),"🦠 Trichoderma — solo",IF(AND('🌱 Configuração'!$B$56+124&gt;='🌱 Configuração'!$C$56,'🌱 Configuração'!$B$56+124&lt;'🌱 Configuração'!$D$56,MOD('🌱 Configuração'!$B$56+124-'🌱 Configuração'!$C$56,7)=0,INT(('🌱 Configuração'!$B$56+124-'🌱 Configuração'!$C$56)/7)+1=8),"🍄 Beauveria — solo","")))))))),IF('🌱 Configuração'!$B$56+124&lt;'🌱 Configuração'!$E$56,IF(AND('🌱 Configuração'!$B$56+124&gt;='🌱 Configuração'!$D$56,'🌱 Configuração'!$B$56+124&lt;'🌱 Configuração'!$E$56,MOD('🌱 Configuração'!$B$56+124-'🌱 Configuração'!$D$56,7)=0,INT(('🌱 Configuração'!$B$56+124-'🌱 Configuração'!$D$56)/7)+1=1),"🍄 Beauveria bassiana — SOLO apenas",IF(AND('🌱 Configuração'!$B$56+124&gt;='🌱 Configuração'!$D$56,'🌱 Configuração'!$B$56+124&lt;'🌱 Configuração'!$E$56,MOD('🌱 Configuração'!$B$56+124-'🌱 Configuração'!$D$56,7)=0,INT(('🌱 Configuração'!$B$56+124-'🌱 Configuração'!$D$56)/7)+1=2),"🦠 Trichoderma (3 g/L) — solo",IF(AND('🌱 Configuração'!$B$56+124&gt;='🌱 Configuração'!$D$56,'🌱 Configuração'!$B$56+124&lt;'🌱 Configuração'!$E$56,MOD('🌱 Configuração'!$B$56+124-'🌱 Configuração'!$D$56,7)=0,INT(('🌱 Configuração'!$B$56+124-'🌱 Configuração'!$D$56)/7)+1=3),"🍄 Beauveria bassiana — solo | ⚠️ Umid &lt;45%",IF(AND('🌱 Configuração'!$B$56+124&gt;='🌱 Configuração'!$D$56,'🌱 Configuração'!$B$56+124&lt;'🌱 Configuração'!$E$56,MOD('🌱 Configuração'!$B$56+124-'🌱 Configuração'!$D$56,7)=0,INT(('🌱 Configuração'!$B$56+124-'🌱 Configuração'!$D$56)/7)+1=4),"🦠 Trichoderma — solo | Inspecionar buds",IF(AND('🌱 Configuração'!$B$56+124&gt;='🌱 Configuração'!$D$56,'🌱 Configuração'!$B$56+124&lt;'🌱 Configuração'!$E$56,MOD('🌱 Configuração'!$B$56+124-'🌱 Configuração'!$D$56,7)=0,INT(('🌱 Configuração'!$B$56+124-'🌱 Configuração'!$D$56)/7)+1=5),"🍄 Beauveria + inspeção visual buds",IF(AND('🌱 Configuração'!$B$56+124&gt;='🌱 Configuração'!$D$56,'🌱 Configuração'!$B$56+124&lt;'🌱 Configuração'!$E$56,MOD('🌱 Configuração'!$B$56+124-'🌱 Configuração'!$D$56,7)=0,INT(('🌱 Configuração'!$B$56+124-'🌱 Configuração'!$D$56)/7)+1=6),"🦠 Trichoderma + ⚠️ Verificar mofo","")))))),IF(AND('🌱 Configuração'!$B$56+124&gt;='🌱 Configuração'!$E$56,MOD('🌱 Configuração'!$B$56+124-'🌱 Configuração'!$E$56,7)=0),"🔬 Inspeção final — analisar tricomas","")))))</f>
        <v/>
      </c>
      <c r="I130" s="33"/>
    </row>
    <row r="131" spans="1:9" ht="19.5" customHeight="1">
      <c r="A131" s="1"/>
      <c r="B131" s="39">
        <f>IF(126&lt;='🌱 Configuração'!$F$55,126,"")</f>
        <v>126</v>
      </c>
      <c r="C131" s="40">
        <f>IF(126&lt;='🌱 Configuração'!$F$55,'🌱 Configuração'!$B$56+125,"")</f>
        <v>125</v>
      </c>
      <c r="D131" s="41" t="str">
        <f>IF(126&gt;'🌱 Configuração'!$F$55,"",IF('🌱 Configuração'!$B$56+125&lt;'🌱 Configuração'!$C$56,"🌱 Clone",IF('🌱 Configuração'!$B$56+125&lt;'🌱 Configuração'!$D$56,"🌿 Vegetativo",IF('🌱 Configuração'!$B$56+125&lt;'🌱 Configuração'!$E$56,"🌸 Floração","🚿 Flush"))))</f>
        <v>🚿 Flush</v>
      </c>
      <c r="E131" s="42" t="str">
        <f>IF(126&gt;'🌱 Configuração'!$F$55,"",IF('🌱 Configuração'!$B$56+125&lt;'🌱 Configuração'!$C$56,"Clone S"&amp;INT((126-1)/7)+1,IF('🌱 Configuração'!$B$56+125&lt;'🌱 Configuração'!$D$56,"Vega S"&amp;INT(('🌱 Configuração'!$B$56+125-'🌱 Configuração'!$C$56)/7)+1,IF('🌱 Configuração'!$B$56+125&lt;'🌱 Configuração'!$E$56,"Flora S"&amp;INT(('🌱 Configuração'!$B$56+125-'🌱 Configuração'!$D$56)/7)+1,"Flush S"&amp;INT(('🌱 Configuração'!$B$56+125-'🌱 Configuração'!$E$56)/7)+1))))</f>
        <v>Flush S1</v>
      </c>
      <c r="F131" s="43" t="str">
        <f>IF(126&gt;'🌱 Configuração'!$F$55,"",IF('🌱 Configuração'!$B$56+125='🌱 Configuração'!$C$56,"🌿 INÍCIO VEGA — luz 18h/dia",IF('🌱 Configuração'!$B$56+125='🌱 Configuração'!$D$56,"🌸 INÍCIO FLORAÇÃO — mudar 12/12 🔴",IF('🌱 Configuração'!$B$56+125='🌱 Configuração'!$E$56,"🚿 INÍCIO FLUSH — parar nutrição",IF('🌱 Configuração'!$B$56+125='🌱 Configuração'!$F$56-1,"🔬 Véspera da colheita — analisar tricomas",IF('🌱 Configuração'!$B$56+125='🌱 Configuração'!$F$56,"✂️ COLHEITA — Parabéns! 🎉",""))))))</f>
        <v>🔬 Véspera da colheita — analisar tricomas</v>
      </c>
      <c r="G131" s="44" t="s">
        <v>428</v>
      </c>
      <c r="H131" s="45" t="str">
        <f>IF(126&gt;'🌱 Configuração'!$F$55,"",IF('🌱 Configuração'!$B$56+125&lt;'🌱 Configuração'!$C$56,IF(126=1,"🌿 Nim (2 mL/L) — foliar leve",IF(126=8,"🍄 Beauveria bassiana — foliar + solo","")),IF('🌱 Configuração'!$B$56+125&lt;'🌱 Configuração'!$D$56,IF(AND('🌱 Configuração'!$B$56+125&gt;='🌱 Configuração'!$C$56,'🌱 Configuração'!$B$56+125&lt;'🌱 Configuração'!$D$56,MOD('🌱 Configuração'!$B$56+125-'🌱 Configuração'!$C$56,7)=0,INT(('🌱 Configuração'!$B$56+125-'🌱 Configuração'!$C$56)/7)+1=1),"🌿 Nim (2 mL/L) — foliar preventivo",IF(AND('🌱 Configuração'!$B$56+125&gt;='🌱 Configuração'!$C$56,'🌱 Configuração'!$B$56+125&lt;'🌱 Configuração'!$D$56,MOD('🌱 Configuração'!$B$56+125-'🌱 Configuração'!$C$56,7)=0,INT(('🌱 Configuração'!$B$56+125-'🌱 Configuração'!$C$56)/7)+1=2),"🍄 Beauveria bassiana — foliar + solo",IF(AND('🌱 Configuração'!$B$56+125&gt;='🌱 Configuração'!$C$56,'🌱 Configuração'!$B$56+125&lt;'🌱 Configuração'!$D$56,MOD('🌱 Configuração'!$B$56+125-'🌱 Configuração'!$C$56,7)=0,INT(('🌱 Configuração'!$B$56+125-'🌱 Configuração'!$C$56)/7)+1=3),"🟡 Calda Sulfocálcica (1%) — foliar",IF(AND('🌱 Configuração'!$B$56+125&gt;='🌱 Configuração'!$C$56,'🌱 Configuração'!$B$56+125&lt;'🌱 Configuração'!$D$56,MOD('🌱 Configuração'!$B$56+125-'🌱 Configuração'!$C$56,7)=0,INT(('🌱 Configuração'!$B$56+125-'🌱 Configuração'!$C$56)/7)+1=4),"🦠 Trichoderma (3 g/L) — solo",IF(AND('🌱 Configuração'!$B$56+125&gt;='🌱 Configuração'!$C$56,'🌱 Configuração'!$B$56+125&lt;'🌱 Configuração'!$D$56,MOD('🌱 Configuração'!$B$56+125-'🌱 Configuração'!$C$56,7)=0,INT(('🌱 Configuração'!$B$56+125-'🌱 Configuração'!$C$56)/7)+1=5),"🔵 Calda Bordalesa (0.5%) — foliar",IF(AND('🌱 Configuração'!$B$56+125&gt;='🌱 Configuração'!$C$56,'🌱 Configuração'!$B$56+125&lt;'🌱 Configuração'!$D$56,MOD('🌱 Configuração'!$B$56+125-'🌱 Configuração'!$C$56,7)=0,INT(('🌱 Configuração'!$B$56+125-'🌱 Configuração'!$C$56)/7)+1=6),"🌿 Nim (2 mL/L) — ⚠️ ÚLTIMA foliar",IF(AND('🌱 Configuração'!$B$56+125&gt;='🌱 Configuração'!$C$56,'🌱 Configuração'!$B$56+125&lt;'🌱 Configuração'!$D$56,MOD('🌱 Configuração'!$B$56+125-'🌱 Configuração'!$C$56,7)=0,INT(('🌱 Configuração'!$B$56+125-'🌱 Configuração'!$C$56)/7)+1=7),"🦠 Trichoderma — solo",IF(AND('🌱 Configuração'!$B$56+125&gt;='🌱 Configuração'!$C$56,'🌱 Configuração'!$B$56+125&lt;'🌱 Configuração'!$D$56,MOD('🌱 Configuração'!$B$56+125-'🌱 Configuração'!$C$56,7)=0,INT(('🌱 Configuração'!$B$56+125-'🌱 Configuração'!$C$56)/7)+1=8),"🍄 Beauveria — solo","")))))))),IF('🌱 Configuração'!$B$56+125&lt;'🌱 Configuração'!$E$56,IF(AND('🌱 Configuração'!$B$56+125&gt;='🌱 Configuração'!$D$56,'🌱 Configuração'!$B$56+125&lt;'🌱 Configuração'!$E$56,MOD('🌱 Configuração'!$B$56+125-'🌱 Configuração'!$D$56,7)=0,INT(('🌱 Configuração'!$B$56+125-'🌱 Configuração'!$D$56)/7)+1=1),"🍄 Beauveria bassiana — SOLO apenas",IF(AND('🌱 Configuração'!$B$56+125&gt;='🌱 Configuração'!$D$56,'🌱 Configuração'!$B$56+125&lt;'🌱 Configuração'!$E$56,MOD('🌱 Configuração'!$B$56+125-'🌱 Configuração'!$D$56,7)=0,INT(('🌱 Configuração'!$B$56+125-'🌱 Configuração'!$D$56)/7)+1=2),"🦠 Trichoderma (3 g/L) — solo",IF(AND('🌱 Configuração'!$B$56+125&gt;='🌱 Configuração'!$D$56,'🌱 Configuração'!$B$56+125&lt;'🌱 Configuração'!$E$56,MOD('🌱 Configuração'!$B$56+125-'🌱 Configuração'!$D$56,7)=0,INT(('🌱 Configuração'!$B$56+125-'🌱 Configuração'!$D$56)/7)+1=3),"🍄 Beauveria bassiana — solo | ⚠️ Umid &lt;45%",IF(AND('🌱 Configuração'!$B$56+125&gt;='🌱 Configuração'!$D$56,'🌱 Configuração'!$B$56+125&lt;'🌱 Configuração'!$E$56,MOD('🌱 Configuração'!$B$56+125-'🌱 Configuração'!$D$56,7)=0,INT(('🌱 Configuração'!$B$56+125-'🌱 Configuração'!$D$56)/7)+1=4),"🦠 Trichoderma — solo | Inspecionar buds",IF(AND('🌱 Configuração'!$B$56+125&gt;='🌱 Configuração'!$D$56,'🌱 Configuração'!$B$56+125&lt;'🌱 Configuração'!$E$56,MOD('🌱 Configuração'!$B$56+125-'🌱 Configuração'!$D$56,7)=0,INT(('🌱 Configuração'!$B$56+125-'🌱 Configuração'!$D$56)/7)+1=5),"🍄 Beauveria + inspeção visual buds",IF(AND('🌱 Configuração'!$B$56+125&gt;='🌱 Configuração'!$D$56,'🌱 Configuração'!$B$56+125&lt;'🌱 Configuração'!$E$56,MOD('🌱 Configuração'!$B$56+125-'🌱 Configuração'!$D$56,7)=0,INT(('🌱 Configuração'!$B$56+125-'🌱 Configuração'!$D$56)/7)+1=6),"🦠 Trichoderma + ⚠️ Verificar mofo","")))))),IF(AND('🌱 Configuração'!$B$56+125&gt;='🌱 Configuração'!$E$56,MOD('🌱 Configuração'!$B$56+125-'🌱 Configuração'!$E$56,7)=0),"🔬 Inspeção final — analisar tricomas","")))))</f>
        <v/>
      </c>
      <c r="I131" s="33"/>
    </row>
    <row r="132" spans="1:9" ht="19.5" customHeight="1">
      <c r="A132" s="1"/>
      <c r="B132" s="35" t="str">
        <f>IF(127&lt;='🌱 Configuração'!$F$55,127,"")</f>
        <v/>
      </c>
      <c r="C132" s="13" t="str">
        <f>IF(127&lt;='🌱 Configuração'!$F$55,'🌱 Configuração'!$B$56+126,"")</f>
        <v/>
      </c>
      <c r="D132" s="36" t="str">
        <f>IF(127&gt;'🌱 Configuração'!$F$55,"",IF('🌱 Configuração'!$B$56+126&lt;'🌱 Configuração'!$C$56,"🌱 Clone",IF('🌱 Configuração'!$B$56+126&lt;'🌱 Configuração'!$D$56,"🌿 Vegetativo",IF('🌱 Configuração'!$B$56+126&lt;'🌱 Configuração'!$E$56,"🌸 Floração","🚿 Flush"))))</f>
        <v/>
      </c>
      <c r="E132" s="15" t="str">
        <f>IF(127&gt;'🌱 Configuração'!$F$55,"",IF('🌱 Configuração'!$B$56+126&lt;'🌱 Configuração'!$C$56,"Clone S"&amp;INT((127-1)/7)+1,IF('🌱 Configuração'!$B$56+126&lt;'🌱 Configuração'!$D$56,"Vega S"&amp;INT(('🌱 Configuração'!$B$56+126-'🌱 Configuração'!$C$56)/7)+1,IF('🌱 Configuração'!$B$56+126&lt;'🌱 Configuração'!$E$56,"Flora S"&amp;INT(('🌱 Configuração'!$B$56+126-'🌱 Configuração'!$D$56)/7)+1,"Flush S"&amp;INT(('🌱 Configuração'!$B$56+126-'🌱 Configuração'!$E$56)/7)+1))))</f>
        <v/>
      </c>
      <c r="F132" s="14" t="str">
        <f>IF(127&gt;'🌱 Configuração'!$F$55,"",IF('🌱 Configuração'!$B$56+126='🌱 Configuração'!$C$56,"🌿 INÍCIO VEGA — luz 18h/dia",IF('🌱 Configuração'!$B$56+126='🌱 Configuração'!$D$56,"🌸 INÍCIO FLORAÇÃO — mudar 12/12 🔴",IF('🌱 Configuração'!$B$56+126='🌱 Configuração'!$E$56,"🚿 INÍCIO FLUSH — parar nutrição",IF('🌱 Configuração'!$B$56+126='🌱 Configuração'!$F$56-1,"🔬 Véspera da colheita — analisar tricomas",IF('🌱 Configuração'!$B$56+126='🌱 Configuração'!$F$56,"✂️ COLHEITA — Parabéns! 🎉",""))))))</f>
        <v/>
      </c>
      <c r="G132" s="37" t="s">
        <v>428</v>
      </c>
      <c r="H132" s="38" t="str">
        <f>IF(127&gt;'🌱 Configuração'!$F$55,"",IF('🌱 Configuração'!$B$56+126&lt;'🌱 Configuração'!$C$56,IF(127=1,"🌿 Nim (2 mL/L) — foliar leve",IF(127=8,"🍄 Beauveria bassiana — foliar + solo","")),IF('🌱 Configuração'!$B$56+126&lt;'🌱 Configuração'!$D$56,IF(AND('🌱 Configuração'!$B$56+126&gt;='🌱 Configuração'!$C$56,'🌱 Configuração'!$B$56+126&lt;'🌱 Configuração'!$D$56,MOD('🌱 Configuração'!$B$56+126-'🌱 Configuração'!$C$56,7)=0,INT(('🌱 Configuração'!$B$56+126-'🌱 Configuração'!$C$56)/7)+1=1),"🌿 Nim (2 mL/L) — foliar preventivo",IF(AND('🌱 Configuração'!$B$56+126&gt;='🌱 Configuração'!$C$56,'🌱 Configuração'!$B$56+126&lt;'🌱 Configuração'!$D$56,MOD('🌱 Configuração'!$B$56+126-'🌱 Configuração'!$C$56,7)=0,INT(('🌱 Configuração'!$B$56+126-'🌱 Configuração'!$C$56)/7)+1=2),"🍄 Beauveria bassiana — foliar + solo",IF(AND('🌱 Configuração'!$B$56+126&gt;='🌱 Configuração'!$C$56,'🌱 Configuração'!$B$56+126&lt;'🌱 Configuração'!$D$56,MOD('🌱 Configuração'!$B$56+126-'🌱 Configuração'!$C$56,7)=0,INT(('🌱 Configuração'!$B$56+126-'🌱 Configuração'!$C$56)/7)+1=3),"🟡 Calda Sulfocálcica (1%) — foliar",IF(AND('🌱 Configuração'!$B$56+126&gt;='🌱 Configuração'!$C$56,'🌱 Configuração'!$B$56+126&lt;'🌱 Configuração'!$D$56,MOD('🌱 Configuração'!$B$56+126-'🌱 Configuração'!$C$56,7)=0,INT(('🌱 Configuração'!$B$56+126-'🌱 Configuração'!$C$56)/7)+1=4),"🦠 Trichoderma (3 g/L) — solo",IF(AND('🌱 Configuração'!$B$56+126&gt;='🌱 Configuração'!$C$56,'🌱 Configuração'!$B$56+126&lt;'🌱 Configuração'!$D$56,MOD('🌱 Configuração'!$B$56+126-'🌱 Configuração'!$C$56,7)=0,INT(('🌱 Configuração'!$B$56+126-'🌱 Configuração'!$C$56)/7)+1=5),"🔵 Calda Bordalesa (0.5%) — foliar",IF(AND('🌱 Configuração'!$B$56+126&gt;='🌱 Configuração'!$C$56,'🌱 Configuração'!$B$56+126&lt;'🌱 Configuração'!$D$56,MOD('🌱 Configuração'!$B$56+126-'🌱 Configuração'!$C$56,7)=0,INT(('🌱 Configuração'!$B$56+126-'🌱 Configuração'!$C$56)/7)+1=6),"🌿 Nim (2 mL/L) — ⚠️ ÚLTIMA foliar",IF(AND('🌱 Configuração'!$B$56+126&gt;='🌱 Configuração'!$C$56,'🌱 Configuração'!$B$56+126&lt;'🌱 Configuração'!$D$56,MOD('🌱 Configuração'!$B$56+126-'🌱 Configuração'!$C$56,7)=0,INT(('🌱 Configuração'!$B$56+126-'🌱 Configuração'!$C$56)/7)+1=7),"🦠 Trichoderma — solo",IF(AND('🌱 Configuração'!$B$56+126&gt;='🌱 Configuração'!$C$56,'🌱 Configuração'!$B$56+126&lt;'🌱 Configuração'!$D$56,MOD('🌱 Configuração'!$B$56+126-'🌱 Configuração'!$C$56,7)=0,INT(('🌱 Configuração'!$B$56+126-'🌱 Configuração'!$C$56)/7)+1=8),"🍄 Beauveria — solo","")))))))),IF('🌱 Configuração'!$B$56+126&lt;'🌱 Configuração'!$E$56,IF(AND('🌱 Configuração'!$B$56+126&gt;='🌱 Configuração'!$D$56,'🌱 Configuração'!$B$56+126&lt;'🌱 Configuração'!$E$56,MOD('🌱 Configuração'!$B$56+126-'🌱 Configuração'!$D$56,7)=0,INT(('🌱 Configuração'!$B$56+126-'🌱 Configuração'!$D$56)/7)+1=1),"🍄 Beauveria bassiana — SOLO apenas",IF(AND('🌱 Configuração'!$B$56+126&gt;='🌱 Configuração'!$D$56,'🌱 Configuração'!$B$56+126&lt;'🌱 Configuração'!$E$56,MOD('🌱 Configuração'!$B$56+126-'🌱 Configuração'!$D$56,7)=0,INT(('🌱 Configuração'!$B$56+126-'🌱 Configuração'!$D$56)/7)+1=2),"🦠 Trichoderma (3 g/L) — solo",IF(AND('🌱 Configuração'!$B$56+126&gt;='🌱 Configuração'!$D$56,'🌱 Configuração'!$B$56+126&lt;'🌱 Configuração'!$E$56,MOD('🌱 Configuração'!$B$56+126-'🌱 Configuração'!$D$56,7)=0,INT(('🌱 Configuração'!$B$56+126-'🌱 Configuração'!$D$56)/7)+1=3),"🍄 Beauveria bassiana — solo | ⚠️ Umid &lt;45%",IF(AND('🌱 Configuração'!$B$56+126&gt;='🌱 Configuração'!$D$56,'🌱 Configuração'!$B$56+126&lt;'🌱 Configuração'!$E$56,MOD('🌱 Configuração'!$B$56+126-'🌱 Configuração'!$D$56,7)=0,INT(('🌱 Configuração'!$B$56+126-'🌱 Configuração'!$D$56)/7)+1=4),"🦠 Trichoderma — solo | Inspecionar buds",IF(AND('🌱 Configuração'!$B$56+126&gt;='🌱 Configuração'!$D$56,'🌱 Configuração'!$B$56+126&lt;'🌱 Configuração'!$E$56,MOD('🌱 Configuração'!$B$56+126-'🌱 Configuração'!$D$56,7)=0,INT(('🌱 Configuração'!$B$56+126-'🌱 Configuração'!$D$56)/7)+1=5),"🍄 Beauveria + inspeção visual buds",IF(AND('🌱 Configuração'!$B$56+126&gt;='🌱 Configuração'!$D$56,'🌱 Configuração'!$B$56+126&lt;'🌱 Configuração'!$E$56,MOD('🌱 Configuração'!$B$56+126-'🌱 Configuração'!$D$56,7)=0,INT(('🌱 Configuração'!$B$56+126-'🌱 Configuração'!$D$56)/7)+1=6),"🦠 Trichoderma + ⚠️ Verificar mofo","")))))),IF(AND('🌱 Configuração'!$B$56+126&gt;='🌱 Configuração'!$E$56,MOD('🌱 Configuração'!$B$56+126-'🌱 Configuração'!$E$56,7)=0),"🔬 Inspeção final — analisar tricomas","")))))</f>
        <v/>
      </c>
      <c r="I132" s="33"/>
    </row>
    <row r="133" spans="1:9" ht="19.5" customHeight="1">
      <c r="A133" s="1"/>
      <c r="B133" s="39" t="str">
        <f>IF(128&lt;='🌱 Configuração'!$F$55,128,"")</f>
        <v/>
      </c>
      <c r="C133" s="40" t="str">
        <f>IF(128&lt;='🌱 Configuração'!$F$55,'🌱 Configuração'!$B$56+127,"")</f>
        <v/>
      </c>
      <c r="D133" s="41" t="str">
        <f>IF(128&gt;'🌱 Configuração'!$F$55,"",IF('🌱 Configuração'!$B$56+127&lt;'🌱 Configuração'!$C$56,"🌱 Clone",IF('🌱 Configuração'!$B$56+127&lt;'🌱 Configuração'!$D$56,"🌿 Vegetativo",IF('🌱 Configuração'!$B$56+127&lt;'🌱 Configuração'!$E$56,"🌸 Floração","🚿 Flush"))))</f>
        <v/>
      </c>
      <c r="E133" s="42" t="str">
        <f>IF(128&gt;'🌱 Configuração'!$F$55,"",IF('🌱 Configuração'!$B$56+127&lt;'🌱 Configuração'!$C$56,"Clone S"&amp;INT((128-1)/7)+1,IF('🌱 Configuração'!$B$56+127&lt;'🌱 Configuração'!$D$56,"Vega S"&amp;INT(('🌱 Configuração'!$B$56+127-'🌱 Configuração'!$C$56)/7)+1,IF('🌱 Configuração'!$B$56+127&lt;'🌱 Configuração'!$E$56,"Flora S"&amp;INT(('🌱 Configuração'!$B$56+127-'🌱 Configuração'!$D$56)/7)+1,"Flush S"&amp;INT(('🌱 Configuração'!$B$56+127-'🌱 Configuração'!$E$56)/7)+1))))</f>
        <v/>
      </c>
      <c r="F133" s="43" t="str">
        <f>IF(128&gt;'🌱 Configuração'!$F$55,"",IF('🌱 Configuração'!$B$56+127='🌱 Configuração'!$C$56,"🌿 INÍCIO VEGA — luz 18h/dia",IF('🌱 Configuração'!$B$56+127='🌱 Configuração'!$D$56,"🌸 INÍCIO FLORAÇÃO — mudar 12/12 🔴",IF('🌱 Configuração'!$B$56+127='🌱 Configuração'!$E$56,"🚿 INÍCIO FLUSH — parar nutrição",IF('🌱 Configuração'!$B$56+127='🌱 Configuração'!$F$56-1,"🔬 Véspera da colheita — analisar tricomas",IF('🌱 Configuração'!$B$56+127='🌱 Configuração'!$F$56,"✂️ COLHEITA — Parabéns! 🎉",""))))))</f>
        <v/>
      </c>
      <c r="G133" s="44" t="s">
        <v>428</v>
      </c>
      <c r="H133" s="45" t="str">
        <f>IF(128&gt;'🌱 Configuração'!$F$55,"",IF('🌱 Configuração'!$B$56+127&lt;'🌱 Configuração'!$C$56,IF(128=1,"🌿 Nim (2 mL/L) — foliar leve",IF(128=8,"🍄 Beauveria bassiana — foliar + solo","")),IF('🌱 Configuração'!$B$56+127&lt;'🌱 Configuração'!$D$56,IF(AND('🌱 Configuração'!$B$56+127&gt;='🌱 Configuração'!$C$56,'🌱 Configuração'!$B$56+127&lt;'🌱 Configuração'!$D$56,MOD('🌱 Configuração'!$B$56+127-'🌱 Configuração'!$C$56,7)=0,INT(('🌱 Configuração'!$B$56+127-'🌱 Configuração'!$C$56)/7)+1=1),"🌿 Nim (2 mL/L) — foliar preventivo",IF(AND('🌱 Configuração'!$B$56+127&gt;='🌱 Configuração'!$C$56,'🌱 Configuração'!$B$56+127&lt;'🌱 Configuração'!$D$56,MOD('🌱 Configuração'!$B$56+127-'🌱 Configuração'!$C$56,7)=0,INT(('🌱 Configuração'!$B$56+127-'🌱 Configuração'!$C$56)/7)+1=2),"🍄 Beauveria bassiana — foliar + solo",IF(AND('🌱 Configuração'!$B$56+127&gt;='🌱 Configuração'!$C$56,'🌱 Configuração'!$B$56+127&lt;'🌱 Configuração'!$D$56,MOD('🌱 Configuração'!$B$56+127-'🌱 Configuração'!$C$56,7)=0,INT(('🌱 Configuração'!$B$56+127-'🌱 Configuração'!$C$56)/7)+1=3),"🟡 Calda Sulfocálcica (1%) — foliar",IF(AND('🌱 Configuração'!$B$56+127&gt;='🌱 Configuração'!$C$56,'🌱 Configuração'!$B$56+127&lt;'🌱 Configuração'!$D$56,MOD('🌱 Configuração'!$B$56+127-'🌱 Configuração'!$C$56,7)=0,INT(('🌱 Configuração'!$B$56+127-'🌱 Configuração'!$C$56)/7)+1=4),"🦠 Trichoderma (3 g/L) — solo",IF(AND('🌱 Configuração'!$B$56+127&gt;='🌱 Configuração'!$C$56,'🌱 Configuração'!$B$56+127&lt;'🌱 Configuração'!$D$56,MOD('🌱 Configuração'!$B$56+127-'🌱 Configuração'!$C$56,7)=0,INT(('🌱 Configuração'!$B$56+127-'🌱 Configuração'!$C$56)/7)+1=5),"🔵 Calda Bordalesa (0.5%) — foliar",IF(AND('🌱 Configuração'!$B$56+127&gt;='🌱 Configuração'!$C$56,'🌱 Configuração'!$B$56+127&lt;'🌱 Configuração'!$D$56,MOD('🌱 Configuração'!$B$56+127-'🌱 Configuração'!$C$56,7)=0,INT(('🌱 Configuração'!$B$56+127-'🌱 Configuração'!$C$56)/7)+1=6),"🌿 Nim (2 mL/L) — ⚠️ ÚLTIMA foliar",IF(AND('🌱 Configuração'!$B$56+127&gt;='🌱 Configuração'!$C$56,'🌱 Configuração'!$B$56+127&lt;'🌱 Configuração'!$D$56,MOD('🌱 Configuração'!$B$56+127-'🌱 Configuração'!$C$56,7)=0,INT(('🌱 Configuração'!$B$56+127-'🌱 Configuração'!$C$56)/7)+1=7),"🦠 Trichoderma — solo",IF(AND('🌱 Configuração'!$B$56+127&gt;='🌱 Configuração'!$C$56,'🌱 Configuração'!$B$56+127&lt;'🌱 Configuração'!$D$56,MOD('🌱 Configuração'!$B$56+127-'🌱 Configuração'!$C$56,7)=0,INT(('🌱 Configuração'!$B$56+127-'🌱 Configuração'!$C$56)/7)+1=8),"🍄 Beauveria — solo","")))))))),IF('🌱 Configuração'!$B$56+127&lt;'🌱 Configuração'!$E$56,IF(AND('🌱 Configuração'!$B$56+127&gt;='🌱 Configuração'!$D$56,'🌱 Configuração'!$B$56+127&lt;'🌱 Configuração'!$E$56,MOD('🌱 Configuração'!$B$56+127-'🌱 Configuração'!$D$56,7)=0,INT(('🌱 Configuração'!$B$56+127-'🌱 Configuração'!$D$56)/7)+1=1),"🍄 Beauveria bassiana — SOLO apenas",IF(AND('🌱 Configuração'!$B$56+127&gt;='🌱 Configuração'!$D$56,'🌱 Configuração'!$B$56+127&lt;'🌱 Configuração'!$E$56,MOD('🌱 Configuração'!$B$56+127-'🌱 Configuração'!$D$56,7)=0,INT(('🌱 Configuração'!$B$56+127-'🌱 Configuração'!$D$56)/7)+1=2),"🦠 Trichoderma (3 g/L) — solo",IF(AND('🌱 Configuração'!$B$56+127&gt;='🌱 Configuração'!$D$56,'🌱 Configuração'!$B$56+127&lt;'🌱 Configuração'!$E$56,MOD('🌱 Configuração'!$B$56+127-'🌱 Configuração'!$D$56,7)=0,INT(('🌱 Configuração'!$B$56+127-'🌱 Configuração'!$D$56)/7)+1=3),"🍄 Beauveria bassiana — solo | ⚠️ Umid &lt;45%",IF(AND('🌱 Configuração'!$B$56+127&gt;='🌱 Configuração'!$D$56,'🌱 Configuração'!$B$56+127&lt;'🌱 Configuração'!$E$56,MOD('🌱 Configuração'!$B$56+127-'🌱 Configuração'!$D$56,7)=0,INT(('🌱 Configuração'!$B$56+127-'🌱 Configuração'!$D$56)/7)+1=4),"🦠 Trichoderma — solo | Inspecionar buds",IF(AND('🌱 Configuração'!$B$56+127&gt;='🌱 Configuração'!$D$56,'🌱 Configuração'!$B$56+127&lt;'🌱 Configuração'!$E$56,MOD('🌱 Configuração'!$B$56+127-'🌱 Configuração'!$D$56,7)=0,INT(('🌱 Configuração'!$B$56+127-'🌱 Configuração'!$D$56)/7)+1=5),"🍄 Beauveria + inspeção visual buds",IF(AND('🌱 Configuração'!$B$56+127&gt;='🌱 Configuração'!$D$56,'🌱 Configuração'!$B$56+127&lt;'🌱 Configuração'!$E$56,MOD('🌱 Configuração'!$B$56+127-'🌱 Configuração'!$D$56,7)=0,INT(('🌱 Configuração'!$B$56+127-'🌱 Configuração'!$D$56)/7)+1=6),"🦠 Trichoderma + ⚠️ Verificar mofo","")))))),IF(AND('🌱 Configuração'!$B$56+127&gt;='🌱 Configuração'!$E$56,MOD('🌱 Configuração'!$B$56+127-'🌱 Configuração'!$E$56,7)=0),"🔬 Inspeção final — analisar tricomas","")))))</f>
        <v/>
      </c>
      <c r="I133" s="33"/>
    </row>
    <row r="134" spans="1:9" ht="19.5" customHeight="1">
      <c r="A134" s="1"/>
      <c r="B134" s="35" t="str">
        <f>IF(129&lt;='🌱 Configuração'!$F$55,129,"")</f>
        <v/>
      </c>
      <c r="C134" s="13" t="str">
        <f>IF(129&lt;='🌱 Configuração'!$F$55,'🌱 Configuração'!$B$56+128,"")</f>
        <v/>
      </c>
      <c r="D134" s="36" t="str">
        <f>IF(129&gt;'🌱 Configuração'!$F$55,"",IF('🌱 Configuração'!$B$56+128&lt;'🌱 Configuração'!$C$56,"🌱 Clone",IF('🌱 Configuração'!$B$56+128&lt;'🌱 Configuração'!$D$56,"🌿 Vegetativo",IF('🌱 Configuração'!$B$56+128&lt;'🌱 Configuração'!$E$56,"🌸 Floração","🚿 Flush"))))</f>
        <v/>
      </c>
      <c r="E134" s="15" t="str">
        <f>IF(129&gt;'🌱 Configuração'!$F$55,"",IF('🌱 Configuração'!$B$56+128&lt;'🌱 Configuração'!$C$56,"Clone S"&amp;INT((129-1)/7)+1,IF('🌱 Configuração'!$B$56+128&lt;'🌱 Configuração'!$D$56,"Vega S"&amp;INT(('🌱 Configuração'!$B$56+128-'🌱 Configuração'!$C$56)/7)+1,IF('🌱 Configuração'!$B$56+128&lt;'🌱 Configuração'!$E$56,"Flora S"&amp;INT(('🌱 Configuração'!$B$56+128-'🌱 Configuração'!$D$56)/7)+1,"Flush S"&amp;INT(('🌱 Configuração'!$B$56+128-'🌱 Configuração'!$E$56)/7)+1))))</f>
        <v/>
      </c>
      <c r="F134" s="14" t="str">
        <f>IF(129&gt;'🌱 Configuração'!$F$55,"",IF('🌱 Configuração'!$B$56+128='🌱 Configuração'!$C$56,"🌿 INÍCIO VEGA — luz 18h/dia",IF('🌱 Configuração'!$B$56+128='🌱 Configuração'!$D$56,"🌸 INÍCIO FLORAÇÃO — mudar 12/12 🔴",IF('🌱 Configuração'!$B$56+128='🌱 Configuração'!$E$56,"🚿 INÍCIO FLUSH — parar nutrição",IF('🌱 Configuração'!$B$56+128='🌱 Configuração'!$F$56-1,"🔬 Véspera da colheita — analisar tricomas",IF('🌱 Configuração'!$B$56+128='🌱 Configuração'!$F$56,"✂️ COLHEITA — Parabéns! 🎉",""))))))</f>
        <v/>
      </c>
      <c r="G134" s="37" t="s">
        <v>428</v>
      </c>
      <c r="H134" s="38" t="str">
        <f>IF(129&gt;'🌱 Configuração'!$F$55,"",IF('🌱 Configuração'!$B$56+128&lt;'🌱 Configuração'!$C$56,IF(129=1,"🌿 Nim (2 mL/L) — foliar leve",IF(129=8,"🍄 Beauveria bassiana — foliar + solo","")),IF('🌱 Configuração'!$B$56+128&lt;'🌱 Configuração'!$D$56,IF(AND('🌱 Configuração'!$B$56+128&gt;='🌱 Configuração'!$C$56,'🌱 Configuração'!$B$56+128&lt;'🌱 Configuração'!$D$56,MOD('🌱 Configuração'!$B$56+128-'🌱 Configuração'!$C$56,7)=0,INT(('🌱 Configuração'!$B$56+128-'🌱 Configuração'!$C$56)/7)+1=1),"🌿 Nim (2 mL/L) — foliar preventivo",IF(AND('🌱 Configuração'!$B$56+128&gt;='🌱 Configuração'!$C$56,'🌱 Configuração'!$B$56+128&lt;'🌱 Configuração'!$D$56,MOD('🌱 Configuração'!$B$56+128-'🌱 Configuração'!$C$56,7)=0,INT(('🌱 Configuração'!$B$56+128-'🌱 Configuração'!$C$56)/7)+1=2),"🍄 Beauveria bassiana — foliar + solo",IF(AND('🌱 Configuração'!$B$56+128&gt;='🌱 Configuração'!$C$56,'🌱 Configuração'!$B$56+128&lt;'🌱 Configuração'!$D$56,MOD('🌱 Configuração'!$B$56+128-'🌱 Configuração'!$C$56,7)=0,INT(('🌱 Configuração'!$B$56+128-'🌱 Configuração'!$C$56)/7)+1=3),"🟡 Calda Sulfocálcica (1%) — foliar",IF(AND('🌱 Configuração'!$B$56+128&gt;='🌱 Configuração'!$C$56,'🌱 Configuração'!$B$56+128&lt;'🌱 Configuração'!$D$56,MOD('🌱 Configuração'!$B$56+128-'🌱 Configuração'!$C$56,7)=0,INT(('🌱 Configuração'!$B$56+128-'🌱 Configuração'!$C$56)/7)+1=4),"🦠 Trichoderma (3 g/L) — solo",IF(AND('🌱 Configuração'!$B$56+128&gt;='🌱 Configuração'!$C$56,'🌱 Configuração'!$B$56+128&lt;'🌱 Configuração'!$D$56,MOD('🌱 Configuração'!$B$56+128-'🌱 Configuração'!$C$56,7)=0,INT(('🌱 Configuração'!$B$56+128-'🌱 Configuração'!$C$56)/7)+1=5),"🔵 Calda Bordalesa (0.5%) — foliar",IF(AND('🌱 Configuração'!$B$56+128&gt;='🌱 Configuração'!$C$56,'🌱 Configuração'!$B$56+128&lt;'🌱 Configuração'!$D$56,MOD('🌱 Configuração'!$B$56+128-'🌱 Configuração'!$C$56,7)=0,INT(('🌱 Configuração'!$B$56+128-'🌱 Configuração'!$C$56)/7)+1=6),"🌿 Nim (2 mL/L) — ⚠️ ÚLTIMA foliar",IF(AND('🌱 Configuração'!$B$56+128&gt;='🌱 Configuração'!$C$56,'🌱 Configuração'!$B$56+128&lt;'🌱 Configuração'!$D$56,MOD('🌱 Configuração'!$B$56+128-'🌱 Configuração'!$C$56,7)=0,INT(('🌱 Configuração'!$B$56+128-'🌱 Configuração'!$C$56)/7)+1=7),"🦠 Trichoderma — solo",IF(AND('🌱 Configuração'!$B$56+128&gt;='🌱 Configuração'!$C$56,'🌱 Configuração'!$B$56+128&lt;'🌱 Configuração'!$D$56,MOD('🌱 Configuração'!$B$56+128-'🌱 Configuração'!$C$56,7)=0,INT(('🌱 Configuração'!$B$56+128-'🌱 Configuração'!$C$56)/7)+1=8),"🍄 Beauveria — solo","")))))))),IF('🌱 Configuração'!$B$56+128&lt;'🌱 Configuração'!$E$56,IF(AND('🌱 Configuração'!$B$56+128&gt;='🌱 Configuração'!$D$56,'🌱 Configuração'!$B$56+128&lt;'🌱 Configuração'!$E$56,MOD('🌱 Configuração'!$B$56+128-'🌱 Configuração'!$D$56,7)=0,INT(('🌱 Configuração'!$B$56+128-'🌱 Configuração'!$D$56)/7)+1=1),"🍄 Beauveria bassiana — SOLO apenas",IF(AND('🌱 Configuração'!$B$56+128&gt;='🌱 Configuração'!$D$56,'🌱 Configuração'!$B$56+128&lt;'🌱 Configuração'!$E$56,MOD('🌱 Configuração'!$B$56+128-'🌱 Configuração'!$D$56,7)=0,INT(('🌱 Configuração'!$B$56+128-'🌱 Configuração'!$D$56)/7)+1=2),"🦠 Trichoderma (3 g/L) — solo",IF(AND('🌱 Configuração'!$B$56+128&gt;='🌱 Configuração'!$D$56,'🌱 Configuração'!$B$56+128&lt;'🌱 Configuração'!$E$56,MOD('🌱 Configuração'!$B$56+128-'🌱 Configuração'!$D$56,7)=0,INT(('🌱 Configuração'!$B$56+128-'🌱 Configuração'!$D$56)/7)+1=3),"🍄 Beauveria bassiana — solo | ⚠️ Umid &lt;45%",IF(AND('🌱 Configuração'!$B$56+128&gt;='🌱 Configuração'!$D$56,'🌱 Configuração'!$B$56+128&lt;'🌱 Configuração'!$E$56,MOD('🌱 Configuração'!$B$56+128-'🌱 Configuração'!$D$56,7)=0,INT(('🌱 Configuração'!$B$56+128-'🌱 Configuração'!$D$56)/7)+1=4),"🦠 Trichoderma — solo | Inspecionar buds",IF(AND('🌱 Configuração'!$B$56+128&gt;='🌱 Configuração'!$D$56,'🌱 Configuração'!$B$56+128&lt;'🌱 Configuração'!$E$56,MOD('🌱 Configuração'!$B$56+128-'🌱 Configuração'!$D$56,7)=0,INT(('🌱 Configuração'!$B$56+128-'🌱 Configuração'!$D$56)/7)+1=5),"🍄 Beauveria + inspeção visual buds",IF(AND('🌱 Configuração'!$B$56+128&gt;='🌱 Configuração'!$D$56,'🌱 Configuração'!$B$56+128&lt;'🌱 Configuração'!$E$56,MOD('🌱 Configuração'!$B$56+128-'🌱 Configuração'!$D$56,7)=0,INT(('🌱 Configuração'!$B$56+128-'🌱 Configuração'!$D$56)/7)+1=6),"🦠 Trichoderma + ⚠️ Verificar mofo","")))))),IF(AND('🌱 Configuração'!$B$56+128&gt;='🌱 Configuração'!$E$56,MOD('🌱 Configuração'!$B$56+128-'🌱 Configuração'!$E$56,7)=0),"🔬 Inspeção final — analisar tricomas","")))))</f>
        <v/>
      </c>
      <c r="I134" s="33"/>
    </row>
    <row r="135" spans="1:9" ht="19.5" customHeight="1">
      <c r="A135" s="1"/>
      <c r="B135" s="39" t="str">
        <f>IF(130&lt;='🌱 Configuração'!$F$55,130,"")</f>
        <v/>
      </c>
      <c r="C135" s="40" t="str">
        <f>IF(130&lt;='🌱 Configuração'!$F$55,'🌱 Configuração'!$B$56+129,"")</f>
        <v/>
      </c>
      <c r="D135" s="41" t="str">
        <f>IF(130&gt;'🌱 Configuração'!$F$55,"",IF('🌱 Configuração'!$B$56+129&lt;'🌱 Configuração'!$C$56,"🌱 Clone",IF('🌱 Configuração'!$B$56+129&lt;'🌱 Configuração'!$D$56,"🌿 Vegetativo",IF('🌱 Configuração'!$B$56+129&lt;'🌱 Configuração'!$E$56,"🌸 Floração","🚿 Flush"))))</f>
        <v/>
      </c>
      <c r="E135" s="42" t="str">
        <f>IF(130&gt;'🌱 Configuração'!$F$55,"",IF('🌱 Configuração'!$B$56+129&lt;'🌱 Configuração'!$C$56,"Clone S"&amp;INT((130-1)/7)+1,IF('🌱 Configuração'!$B$56+129&lt;'🌱 Configuração'!$D$56,"Vega S"&amp;INT(('🌱 Configuração'!$B$56+129-'🌱 Configuração'!$C$56)/7)+1,IF('🌱 Configuração'!$B$56+129&lt;'🌱 Configuração'!$E$56,"Flora S"&amp;INT(('🌱 Configuração'!$B$56+129-'🌱 Configuração'!$D$56)/7)+1,"Flush S"&amp;INT(('🌱 Configuração'!$B$56+129-'🌱 Configuração'!$E$56)/7)+1))))</f>
        <v/>
      </c>
      <c r="F135" s="43" t="str">
        <f>IF(130&gt;'🌱 Configuração'!$F$55,"",IF('🌱 Configuração'!$B$56+129='🌱 Configuração'!$C$56,"🌿 INÍCIO VEGA — luz 18h/dia",IF('🌱 Configuração'!$B$56+129='🌱 Configuração'!$D$56,"🌸 INÍCIO FLORAÇÃO — mudar 12/12 🔴",IF('🌱 Configuração'!$B$56+129='🌱 Configuração'!$E$56,"🚿 INÍCIO FLUSH — parar nutrição",IF('🌱 Configuração'!$B$56+129='🌱 Configuração'!$F$56-1,"🔬 Véspera da colheita — analisar tricomas",IF('🌱 Configuração'!$B$56+129='🌱 Configuração'!$F$56,"✂️ COLHEITA — Parabéns! 🎉",""))))))</f>
        <v/>
      </c>
      <c r="G135" s="44" t="s">
        <v>428</v>
      </c>
      <c r="H135" s="45" t="str">
        <f>IF(130&gt;'🌱 Configuração'!$F$55,"",IF('🌱 Configuração'!$B$56+129&lt;'🌱 Configuração'!$C$56,IF(130=1,"🌿 Nim (2 mL/L) — foliar leve",IF(130=8,"🍄 Beauveria bassiana — foliar + solo","")),IF('🌱 Configuração'!$B$56+129&lt;'🌱 Configuração'!$D$56,IF(AND('🌱 Configuração'!$B$56+129&gt;='🌱 Configuração'!$C$56,'🌱 Configuração'!$B$56+129&lt;'🌱 Configuração'!$D$56,MOD('🌱 Configuração'!$B$56+129-'🌱 Configuração'!$C$56,7)=0,INT(('🌱 Configuração'!$B$56+129-'🌱 Configuração'!$C$56)/7)+1=1),"🌿 Nim (2 mL/L) — foliar preventivo",IF(AND('🌱 Configuração'!$B$56+129&gt;='🌱 Configuração'!$C$56,'🌱 Configuração'!$B$56+129&lt;'🌱 Configuração'!$D$56,MOD('🌱 Configuração'!$B$56+129-'🌱 Configuração'!$C$56,7)=0,INT(('🌱 Configuração'!$B$56+129-'🌱 Configuração'!$C$56)/7)+1=2),"🍄 Beauveria bassiana — foliar + solo",IF(AND('🌱 Configuração'!$B$56+129&gt;='🌱 Configuração'!$C$56,'🌱 Configuração'!$B$56+129&lt;'🌱 Configuração'!$D$56,MOD('🌱 Configuração'!$B$56+129-'🌱 Configuração'!$C$56,7)=0,INT(('🌱 Configuração'!$B$56+129-'🌱 Configuração'!$C$56)/7)+1=3),"🟡 Calda Sulfocálcica (1%) — foliar",IF(AND('🌱 Configuração'!$B$56+129&gt;='🌱 Configuração'!$C$56,'🌱 Configuração'!$B$56+129&lt;'🌱 Configuração'!$D$56,MOD('🌱 Configuração'!$B$56+129-'🌱 Configuração'!$C$56,7)=0,INT(('🌱 Configuração'!$B$56+129-'🌱 Configuração'!$C$56)/7)+1=4),"🦠 Trichoderma (3 g/L) — solo",IF(AND('🌱 Configuração'!$B$56+129&gt;='🌱 Configuração'!$C$56,'🌱 Configuração'!$B$56+129&lt;'🌱 Configuração'!$D$56,MOD('🌱 Configuração'!$B$56+129-'🌱 Configuração'!$C$56,7)=0,INT(('🌱 Configuração'!$B$56+129-'🌱 Configuração'!$C$56)/7)+1=5),"🔵 Calda Bordalesa (0.5%) — foliar",IF(AND('🌱 Configuração'!$B$56+129&gt;='🌱 Configuração'!$C$56,'🌱 Configuração'!$B$56+129&lt;'🌱 Configuração'!$D$56,MOD('🌱 Configuração'!$B$56+129-'🌱 Configuração'!$C$56,7)=0,INT(('🌱 Configuração'!$B$56+129-'🌱 Configuração'!$C$56)/7)+1=6),"🌿 Nim (2 mL/L) — ⚠️ ÚLTIMA foliar",IF(AND('🌱 Configuração'!$B$56+129&gt;='🌱 Configuração'!$C$56,'🌱 Configuração'!$B$56+129&lt;'🌱 Configuração'!$D$56,MOD('🌱 Configuração'!$B$56+129-'🌱 Configuração'!$C$56,7)=0,INT(('🌱 Configuração'!$B$56+129-'🌱 Configuração'!$C$56)/7)+1=7),"🦠 Trichoderma — solo",IF(AND('🌱 Configuração'!$B$56+129&gt;='🌱 Configuração'!$C$56,'🌱 Configuração'!$B$56+129&lt;'🌱 Configuração'!$D$56,MOD('🌱 Configuração'!$B$56+129-'🌱 Configuração'!$C$56,7)=0,INT(('🌱 Configuração'!$B$56+129-'🌱 Configuração'!$C$56)/7)+1=8),"🍄 Beauveria — solo","")))))))),IF('🌱 Configuração'!$B$56+129&lt;'🌱 Configuração'!$E$56,IF(AND('🌱 Configuração'!$B$56+129&gt;='🌱 Configuração'!$D$56,'🌱 Configuração'!$B$56+129&lt;'🌱 Configuração'!$E$56,MOD('🌱 Configuração'!$B$56+129-'🌱 Configuração'!$D$56,7)=0,INT(('🌱 Configuração'!$B$56+129-'🌱 Configuração'!$D$56)/7)+1=1),"🍄 Beauveria bassiana — SOLO apenas",IF(AND('🌱 Configuração'!$B$56+129&gt;='🌱 Configuração'!$D$56,'🌱 Configuração'!$B$56+129&lt;'🌱 Configuração'!$E$56,MOD('🌱 Configuração'!$B$56+129-'🌱 Configuração'!$D$56,7)=0,INT(('🌱 Configuração'!$B$56+129-'🌱 Configuração'!$D$56)/7)+1=2),"🦠 Trichoderma (3 g/L) — solo",IF(AND('🌱 Configuração'!$B$56+129&gt;='🌱 Configuração'!$D$56,'🌱 Configuração'!$B$56+129&lt;'🌱 Configuração'!$E$56,MOD('🌱 Configuração'!$B$56+129-'🌱 Configuração'!$D$56,7)=0,INT(('🌱 Configuração'!$B$56+129-'🌱 Configuração'!$D$56)/7)+1=3),"🍄 Beauveria bassiana — solo | ⚠️ Umid &lt;45%",IF(AND('🌱 Configuração'!$B$56+129&gt;='🌱 Configuração'!$D$56,'🌱 Configuração'!$B$56+129&lt;'🌱 Configuração'!$E$56,MOD('🌱 Configuração'!$B$56+129-'🌱 Configuração'!$D$56,7)=0,INT(('🌱 Configuração'!$B$56+129-'🌱 Configuração'!$D$56)/7)+1=4),"🦠 Trichoderma — solo | Inspecionar buds",IF(AND('🌱 Configuração'!$B$56+129&gt;='🌱 Configuração'!$D$56,'🌱 Configuração'!$B$56+129&lt;'🌱 Configuração'!$E$56,MOD('🌱 Configuração'!$B$56+129-'🌱 Configuração'!$D$56,7)=0,INT(('🌱 Configuração'!$B$56+129-'🌱 Configuração'!$D$56)/7)+1=5),"🍄 Beauveria + inspeção visual buds",IF(AND('🌱 Configuração'!$B$56+129&gt;='🌱 Configuração'!$D$56,'🌱 Configuração'!$B$56+129&lt;'🌱 Configuração'!$E$56,MOD('🌱 Configuração'!$B$56+129-'🌱 Configuração'!$D$56,7)=0,INT(('🌱 Configuração'!$B$56+129-'🌱 Configuração'!$D$56)/7)+1=6),"🦠 Trichoderma + ⚠️ Verificar mofo","")))))),IF(AND('🌱 Configuração'!$B$56+129&gt;='🌱 Configuração'!$E$56,MOD('🌱 Configuração'!$B$56+129-'🌱 Configuração'!$E$56,7)=0),"🔬 Inspeção final — analisar tricomas","")))))</f>
        <v/>
      </c>
      <c r="I135" s="33"/>
    </row>
    <row r="136" spans="1:9" ht="19.5" customHeight="1">
      <c r="A136" s="1"/>
      <c r="B136" s="35" t="str">
        <f>IF(131&lt;='🌱 Configuração'!$F$55,131,"")</f>
        <v/>
      </c>
      <c r="C136" s="13" t="str">
        <f>IF(131&lt;='🌱 Configuração'!$F$55,'🌱 Configuração'!$B$56+130,"")</f>
        <v/>
      </c>
      <c r="D136" s="36" t="str">
        <f>IF(131&gt;'🌱 Configuração'!$F$55,"",IF('🌱 Configuração'!$B$56+130&lt;'🌱 Configuração'!$C$56,"🌱 Clone",IF('🌱 Configuração'!$B$56+130&lt;'🌱 Configuração'!$D$56,"🌿 Vegetativo",IF('🌱 Configuração'!$B$56+130&lt;'🌱 Configuração'!$E$56,"🌸 Floração","🚿 Flush"))))</f>
        <v/>
      </c>
      <c r="E136" s="15" t="str">
        <f>IF(131&gt;'🌱 Configuração'!$F$55,"",IF('🌱 Configuração'!$B$56+130&lt;'🌱 Configuração'!$C$56,"Clone S"&amp;INT((131-1)/7)+1,IF('🌱 Configuração'!$B$56+130&lt;'🌱 Configuração'!$D$56,"Vega S"&amp;INT(('🌱 Configuração'!$B$56+130-'🌱 Configuração'!$C$56)/7)+1,IF('🌱 Configuração'!$B$56+130&lt;'🌱 Configuração'!$E$56,"Flora S"&amp;INT(('🌱 Configuração'!$B$56+130-'🌱 Configuração'!$D$56)/7)+1,"Flush S"&amp;INT(('🌱 Configuração'!$B$56+130-'🌱 Configuração'!$E$56)/7)+1))))</f>
        <v/>
      </c>
      <c r="F136" s="14" t="str">
        <f>IF(131&gt;'🌱 Configuração'!$F$55,"",IF('🌱 Configuração'!$B$56+130='🌱 Configuração'!$C$56,"🌿 INÍCIO VEGA — luz 18h/dia",IF('🌱 Configuração'!$B$56+130='🌱 Configuração'!$D$56,"🌸 INÍCIO FLORAÇÃO — mudar 12/12 🔴",IF('🌱 Configuração'!$B$56+130='🌱 Configuração'!$E$56,"🚿 INÍCIO FLUSH — parar nutrição",IF('🌱 Configuração'!$B$56+130='🌱 Configuração'!$F$56-1,"🔬 Véspera da colheita — analisar tricomas",IF('🌱 Configuração'!$B$56+130='🌱 Configuração'!$F$56,"✂️ COLHEITA — Parabéns! 🎉",""))))))</f>
        <v/>
      </c>
      <c r="G136" s="37" t="s">
        <v>428</v>
      </c>
      <c r="H136" s="38" t="str">
        <f>IF(131&gt;'🌱 Configuração'!$F$55,"",IF('🌱 Configuração'!$B$56+130&lt;'🌱 Configuração'!$C$56,IF(131=1,"🌿 Nim (2 mL/L) — foliar leve",IF(131=8,"🍄 Beauveria bassiana — foliar + solo","")),IF('🌱 Configuração'!$B$56+130&lt;'🌱 Configuração'!$D$56,IF(AND('🌱 Configuração'!$B$56+130&gt;='🌱 Configuração'!$C$56,'🌱 Configuração'!$B$56+130&lt;'🌱 Configuração'!$D$56,MOD('🌱 Configuração'!$B$56+130-'🌱 Configuração'!$C$56,7)=0,INT(('🌱 Configuração'!$B$56+130-'🌱 Configuração'!$C$56)/7)+1=1),"🌿 Nim (2 mL/L) — foliar preventivo",IF(AND('🌱 Configuração'!$B$56+130&gt;='🌱 Configuração'!$C$56,'🌱 Configuração'!$B$56+130&lt;'🌱 Configuração'!$D$56,MOD('🌱 Configuração'!$B$56+130-'🌱 Configuração'!$C$56,7)=0,INT(('🌱 Configuração'!$B$56+130-'🌱 Configuração'!$C$56)/7)+1=2),"🍄 Beauveria bassiana — foliar + solo",IF(AND('🌱 Configuração'!$B$56+130&gt;='🌱 Configuração'!$C$56,'🌱 Configuração'!$B$56+130&lt;'🌱 Configuração'!$D$56,MOD('🌱 Configuração'!$B$56+130-'🌱 Configuração'!$C$56,7)=0,INT(('🌱 Configuração'!$B$56+130-'🌱 Configuração'!$C$56)/7)+1=3),"🟡 Calda Sulfocálcica (1%) — foliar",IF(AND('🌱 Configuração'!$B$56+130&gt;='🌱 Configuração'!$C$56,'🌱 Configuração'!$B$56+130&lt;'🌱 Configuração'!$D$56,MOD('🌱 Configuração'!$B$56+130-'🌱 Configuração'!$C$56,7)=0,INT(('🌱 Configuração'!$B$56+130-'🌱 Configuração'!$C$56)/7)+1=4),"🦠 Trichoderma (3 g/L) — solo",IF(AND('🌱 Configuração'!$B$56+130&gt;='🌱 Configuração'!$C$56,'🌱 Configuração'!$B$56+130&lt;'🌱 Configuração'!$D$56,MOD('🌱 Configuração'!$B$56+130-'🌱 Configuração'!$C$56,7)=0,INT(('🌱 Configuração'!$B$56+130-'🌱 Configuração'!$C$56)/7)+1=5),"🔵 Calda Bordalesa (0.5%) — foliar",IF(AND('🌱 Configuração'!$B$56+130&gt;='🌱 Configuração'!$C$56,'🌱 Configuração'!$B$56+130&lt;'🌱 Configuração'!$D$56,MOD('🌱 Configuração'!$B$56+130-'🌱 Configuração'!$C$56,7)=0,INT(('🌱 Configuração'!$B$56+130-'🌱 Configuração'!$C$56)/7)+1=6),"🌿 Nim (2 mL/L) — ⚠️ ÚLTIMA foliar",IF(AND('🌱 Configuração'!$B$56+130&gt;='🌱 Configuração'!$C$56,'🌱 Configuração'!$B$56+130&lt;'🌱 Configuração'!$D$56,MOD('🌱 Configuração'!$B$56+130-'🌱 Configuração'!$C$56,7)=0,INT(('🌱 Configuração'!$B$56+130-'🌱 Configuração'!$C$56)/7)+1=7),"🦠 Trichoderma — solo",IF(AND('🌱 Configuração'!$B$56+130&gt;='🌱 Configuração'!$C$56,'🌱 Configuração'!$B$56+130&lt;'🌱 Configuração'!$D$56,MOD('🌱 Configuração'!$B$56+130-'🌱 Configuração'!$C$56,7)=0,INT(('🌱 Configuração'!$B$56+130-'🌱 Configuração'!$C$56)/7)+1=8),"🍄 Beauveria — solo","")))))))),IF('🌱 Configuração'!$B$56+130&lt;'🌱 Configuração'!$E$56,IF(AND('🌱 Configuração'!$B$56+130&gt;='🌱 Configuração'!$D$56,'🌱 Configuração'!$B$56+130&lt;'🌱 Configuração'!$E$56,MOD('🌱 Configuração'!$B$56+130-'🌱 Configuração'!$D$56,7)=0,INT(('🌱 Configuração'!$B$56+130-'🌱 Configuração'!$D$56)/7)+1=1),"🍄 Beauveria bassiana — SOLO apenas",IF(AND('🌱 Configuração'!$B$56+130&gt;='🌱 Configuração'!$D$56,'🌱 Configuração'!$B$56+130&lt;'🌱 Configuração'!$E$56,MOD('🌱 Configuração'!$B$56+130-'🌱 Configuração'!$D$56,7)=0,INT(('🌱 Configuração'!$B$56+130-'🌱 Configuração'!$D$56)/7)+1=2),"🦠 Trichoderma (3 g/L) — solo",IF(AND('🌱 Configuração'!$B$56+130&gt;='🌱 Configuração'!$D$56,'🌱 Configuração'!$B$56+130&lt;'🌱 Configuração'!$E$56,MOD('🌱 Configuração'!$B$56+130-'🌱 Configuração'!$D$56,7)=0,INT(('🌱 Configuração'!$B$56+130-'🌱 Configuração'!$D$56)/7)+1=3),"🍄 Beauveria bassiana — solo | ⚠️ Umid &lt;45%",IF(AND('🌱 Configuração'!$B$56+130&gt;='🌱 Configuração'!$D$56,'🌱 Configuração'!$B$56+130&lt;'🌱 Configuração'!$E$56,MOD('🌱 Configuração'!$B$56+130-'🌱 Configuração'!$D$56,7)=0,INT(('🌱 Configuração'!$B$56+130-'🌱 Configuração'!$D$56)/7)+1=4),"🦠 Trichoderma — solo | Inspecionar buds",IF(AND('🌱 Configuração'!$B$56+130&gt;='🌱 Configuração'!$D$56,'🌱 Configuração'!$B$56+130&lt;'🌱 Configuração'!$E$56,MOD('🌱 Configuração'!$B$56+130-'🌱 Configuração'!$D$56,7)=0,INT(('🌱 Configuração'!$B$56+130-'🌱 Configuração'!$D$56)/7)+1=5),"🍄 Beauveria + inspeção visual buds",IF(AND('🌱 Configuração'!$B$56+130&gt;='🌱 Configuração'!$D$56,'🌱 Configuração'!$B$56+130&lt;'🌱 Configuração'!$E$56,MOD('🌱 Configuração'!$B$56+130-'🌱 Configuração'!$D$56,7)=0,INT(('🌱 Configuração'!$B$56+130-'🌱 Configuração'!$D$56)/7)+1=6),"🦠 Trichoderma + ⚠️ Verificar mofo","")))))),IF(AND('🌱 Configuração'!$B$56+130&gt;='🌱 Configuração'!$E$56,MOD('🌱 Configuração'!$B$56+130-'🌱 Configuração'!$E$56,7)=0),"🔬 Inspeção final — analisar tricomas","")))))</f>
        <v/>
      </c>
      <c r="I136" s="33"/>
    </row>
    <row r="137" spans="1:9" ht="19.5" customHeight="1">
      <c r="A137" s="1"/>
      <c r="B137" s="39" t="str">
        <f>IF(132&lt;='🌱 Configuração'!$F$55,132,"")</f>
        <v/>
      </c>
      <c r="C137" s="40" t="str">
        <f>IF(132&lt;='🌱 Configuração'!$F$55,'🌱 Configuração'!$B$56+131,"")</f>
        <v/>
      </c>
      <c r="D137" s="41" t="str">
        <f>IF(132&gt;'🌱 Configuração'!$F$55,"",IF('🌱 Configuração'!$B$56+131&lt;'🌱 Configuração'!$C$56,"🌱 Clone",IF('🌱 Configuração'!$B$56+131&lt;'🌱 Configuração'!$D$56,"🌿 Vegetativo",IF('🌱 Configuração'!$B$56+131&lt;'🌱 Configuração'!$E$56,"🌸 Floração","🚿 Flush"))))</f>
        <v/>
      </c>
      <c r="E137" s="42" t="str">
        <f>IF(132&gt;'🌱 Configuração'!$F$55,"",IF('🌱 Configuração'!$B$56+131&lt;'🌱 Configuração'!$C$56,"Clone S"&amp;INT((132-1)/7)+1,IF('🌱 Configuração'!$B$56+131&lt;'🌱 Configuração'!$D$56,"Vega S"&amp;INT(('🌱 Configuração'!$B$56+131-'🌱 Configuração'!$C$56)/7)+1,IF('🌱 Configuração'!$B$56+131&lt;'🌱 Configuração'!$E$56,"Flora S"&amp;INT(('🌱 Configuração'!$B$56+131-'🌱 Configuração'!$D$56)/7)+1,"Flush S"&amp;INT(('🌱 Configuração'!$B$56+131-'🌱 Configuração'!$E$56)/7)+1))))</f>
        <v/>
      </c>
      <c r="F137" s="43" t="str">
        <f>IF(132&gt;'🌱 Configuração'!$F$55,"",IF('🌱 Configuração'!$B$56+131='🌱 Configuração'!$C$56,"🌿 INÍCIO VEGA — luz 18h/dia",IF('🌱 Configuração'!$B$56+131='🌱 Configuração'!$D$56,"🌸 INÍCIO FLORAÇÃO — mudar 12/12 🔴",IF('🌱 Configuração'!$B$56+131='🌱 Configuração'!$E$56,"🚿 INÍCIO FLUSH — parar nutrição",IF('🌱 Configuração'!$B$56+131='🌱 Configuração'!$F$56-1,"🔬 Véspera da colheita — analisar tricomas",IF('🌱 Configuração'!$B$56+131='🌱 Configuração'!$F$56,"✂️ COLHEITA — Parabéns! 🎉",""))))))</f>
        <v/>
      </c>
      <c r="G137" s="44" t="s">
        <v>428</v>
      </c>
      <c r="H137" s="45" t="str">
        <f>IF(132&gt;'🌱 Configuração'!$F$55,"",IF('🌱 Configuração'!$B$56+131&lt;'🌱 Configuração'!$C$56,IF(132=1,"🌿 Nim (2 mL/L) — foliar leve",IF(132=8,"🍄 Beauveria bassiana — foliar + solo","")),IF('🌱 Configuração'!$B$56+131&lt;'🌱 Configuração'!$D$56,IF(AND('🌱 Configuração'!$B$56+131&gt;='🌱 Configuração'!$C$56,'🌱 Configuração'!$B$56+131&lt;'🌱 Configuração'!$D$56,MOD('🌱 Configuração'!$B$56+131-'🌱 Configuração'!$C$56,7)=0,INT(('🌱 Configuração'!$B$56+131-'🌱 Configuração'!$C$56)/7)+1=1),"🌿 Nim (2 mL/L) — foliar preventivo",IF(AND('🌱 Configuração'!$B$56+131&gt;='🌱 Configuração'!$C$56,'🌱 Configuração'!$B$56+131&lt;'🌱 Configuração'!$D$56,MOD('🌱 Configuração'!$B$56+131-'🌱 Configuração'!$C$56,7)=0,INT(('🌱 Configuração'!$B$56+131-'🌱 Configuração'!$C$56)/7)+1=2),"🍄 Beauveria bassiana — foliar + solo",IF(AND('🌱 Configuração'!$B$56+131&gt;='🌱 Configuração'!$C$56,'🌱 Configuração'!$B$56+131&lt;'🌱 Configuração'!$D$56,MOD('🌱 Configuração'!$B$56+131-'🌱 Configuração'!$C$56,7)=0,INT(('🌱 Configuração'!$B$56+131-'🌱 Configuração'!$C$56)/7)+1=3),"🟡 Calda Sulfocálcica (1%) — foliar",IF(AND('🌱 Configuração'!$B$56+131&gt;='🌱 Configuração'!$C$56,'🌱 Configuração'!$B$56+131&lt;'🌱 Configuração'!$D$56,MOD('🌱 Configuração'!$B$56+131-'🌱 Configuração'!$C$56,7)=0,INT(('🌱 Configuração'!$B$56+131-'🌱 Configuração'!$C$56)/7)+1=4),"🦠 Trichoderma (3 g/L) — solo",IF(AND('🌱 Configuração'!$B$56+131&gt;='🌱 Configuração'!$C$56,'🌱 Configuração'!$B$56+131&lt;'🌱 Configuração'!$D$56,MOD('🌱 Configuração'!$B$56+131-'🌱 Configuração'!$C$56,7)=0,INT(('🌱 Configuração'!$B$56+131-'🌱 Configuração'!$C$56)/7)+1=5),"🔵 Calda Bordalesa (0.5%) — foliar",IF(AND('🌱 Configuração'!$B$56+131&gt;='🌱 Configuração'!$C$56,'🌱 Configuração'!$B$56+131&lt;'🌱 Configuração'!$D$56,MOD('🌱 Configuração'!$B$56+131-'🌱 Configuração'!$C$56,7)=0,INT(('🌱 Configuração'!$B$56+131-'🌱 Configuração'!$C$56)/7)+1=6),"🌿 Nim (2 mL/L) — ⚠️ ÚLTIMA foliar",IF(AND('🌱 Configuração'!$B$56+131&gt;='🌱 Configuração'!$C$56,'🌱 Configuração'!$B$56+131&lt;'🌱 Configuração'!$D$56,MOD('🌱 Configuração'!$B$56+131-'🌱 Configuração'!$C$56,7)=0,INT(('🌱 Configuração'!$B$56+131-'🌱 Configuração'!$C$56)/7)+1=7),"🦠 Trichoderma — solo",IF(AND('🌱 Configuração'!$B$56+131&gt;='🌱 Configuração'!$C$56,'🌱 Configuração'!$B$56+131&lt;'🌱 Configuração'!$D$56,MOD('🌱 Configuração'!$B$56+131-'🌱 Configuração'!$C$56,7)=0,INT(('🌱 Configuração'!$B$56+131-'🌱 Configuração'!$C$56)/7)+1=8),"🍄 Beauveria — solo","")))))))),IF('🌱 Configuração'!$B$56+131&lt;'🌱 Configuração'!$E$56,IF(AND('🌱 Configuração'!$B$56+131&gt;='🌱 Configuração'!$D$56,'🌱 Configuração'!$B$56+131&lt;'🌱 Configuração'!$E$56,MOD('🌱 Configuração'!$B$56+131-'🌱 Configuração'!$D$56,7)=0,INT(('🌱 Configuração'!$B$56+131-'🌱 Configuração'!$D$56)/7)+1=1),"🍄 Beauveria bassiana — SOLO apenas",IF(AND('🌱 Configuração'!$B$56+131&gt;='🌱 Configuração'!$D$56,'🌱 Configuração'!$B$56+131&lt;'🌱 Configuração'!$E$56,MOD('🌱 Configuração'!$B$56+131-'🌱 Configuração'!$D$56,7)=0,INT(('🌱 Configuração'!$B$56+131-'🌱 Configuração'!$D$56)/7)+1=2),"🦠 Trichoderma (3 g/L) — solo",IF(AND('🌱 Configuração'!$B$56+131&gt;='🌱 Configuração'!$D$56,'🌱 Configuração'!$B$56+131&lt;'🌱 Configuração'!$E$56,MOD('🌱 Configuração'!$B$56+131-'🌱 Configuração'!$D$56,7)=0,INT(('🌱 Configuração'!$B$56+131-'🌱 Configuração'!$D$56)/7)+1=3),"🍄 Beauveria bassiana — solo | ⚠️ Umid &lt;45%",IF(AND('🌱 Configuração'!$B$56+131&gt;='🌱 Configuração'!$D$56,'🌱 Configuração'!$B$56+131&lt;'🌱 Configuração'!$E$56,MOD('🌱 Configuração'!$B$56+131-'🌱 Configuração'!$D$56,7)=0,INT(('🌱 Configuração'!$B$56+131-'🌱 Configuração'!$D$56)/7)+1=4),"🦠 Trichoderma — solo | Inspecionar buds",IF(AND('🌱 Configuração'!$B$56+131&gt;='🌱 Configuração'!$D$56,'🌱 Configuração'!$B$56+131&lt;'🌱 Configuração'!$E$56,MOD('🌱 Configuração'!$B$56+131-'🌱 Configuração'!$D$56,7)=0,INT(('🌱 Configuração'!$B$56+131-'🌱 Configuração'!$D$56)/7)+1=5),"🍄 Beauveria + inspeção visual buds",IF(AND('🌱 Configuração'!$B$56+131&gt;='🌱 Configuração'!$D$56,'🌱 Configuração'!$B$56+131&lt;'🌱 Configuração'!$E$56,MOD('🌱 Configuração'!$B$56+131-'🌱 Configuração'!$D$56,7)=0,INT(('🌱 Configuração'!$B$56+131-'🌱 Configuração'!$D$56)/7)+1=6),"🦠 Trichoderma + ⚠️ Verificar mofo","")))))),IF(AND('🌱 Configuração'!$B$56+131&gt;='🌱 Configuração'!$E$56,MOD('🌱 Configuração'!$B$56+131-'🌱 Configuração'!$E$56,7)=0),"🔬 Inspeção final — analisar tricomas","")))))</f>
        <v/>
      </c>
      <c r="I137" s="33"/>
    </row>
    <row r="138" spans="1:9" ht="19.5" customHeight="1">
      <c r="A138" s="1"/>
      <c r="B138" s="35" t="str">
        <f>IF(133&lt;='🌱 Configuração'!$F$55,133,"")</f>
        <v/>
      </c>
      <c r="C138" s="13" t="str">
        <f>IF(133&lt;='🌱 Configuração'!$F$55,'🌱 Configuração'!$B$56+132,"")</f>
        <v/>
      </c>
      <c r="D138" s="36" t="str">
        <f>IF(133&gt;'🌱 Configuração'!$F$55,"",IF('🌱 Configuração'!$B$56+132&lt;'🌱 Configuração'!$C$56,"🌱 Clone",IF('🌱 Configuração'!$B$56+132&lt;'🌱 Configuração'!$D$56,"🌿 Vegetativo",IF('🌱 Configuração'!$B$56+132&lt;'🌱 Configuração'!$E$56,"🌸 Floração","🚿 Flush"))))</f>
        <v/>
      </c>
      <c r="E138" s="15" t="str">
        <f>IF(133&gt;'🌱 Configuração'!$F$55,"",IF('🌱 Configuração'!$B$56+132&lt;'🌱 Configuração'!$C$56,"Clone S"&amp;INT((133-1)/7)+1,IF('🌱 Configuração'!$B$56+132&lt;'🌱 Configuração'!$D$56,"Vega S"&amp;INT(('🌱 Configuração'!$B$56+132-'🌱 Configuração'!$C$56)/7)+1,IF('🌱 Configuração'!$B$56+132&lt;'🌱 Configuração'!$E$56,"Flora S"&amp;INT(('🌱 Configuração'!$B$56+132-'🌱 Configuração'!$D$56)/7)+1,"Flush S"&amp;INT(('🌱 Configuração'!$B$56+132-'🌱 Configuração'!$E$56)/7)+1))))</f>
        <v/>
      </c>
      <c r="F138" s="14" t="str">
        <f>IF(133&gt;'🌱 Configuração'!$F$55,"",IF('🌱 Configuração'!$B$56+132='🌱 Configuração'!$C$56,"🌿 INÍCIO VEGA — luz 18h/dia",IF('🌱 Configuração'!$B$56+132='🌱 Configuração'!$D$56,"🌸 INÍCIO FLORAÇÃO — mudar 12/12 🔴",IF('🌱 Configuração'!$B$56+132='🌱 Configuração'!$E$56,"🚿 INÍCIO FLUSH — parar nutrição",IF('🌱 Configuração'!$B$56+132='🌱 Configuração'!$F$56-1,"🔬 Véspera da colheita — analisar tricomas",IF('🌱 Configuração'!$B$56+132='🌱 Configuração'!$F$56,"✂️ COLHEITA — Parabéns! 🎉",""))))))</f>
        <v/>
      </c>
      <c r="G138" s="37" t="s">
        <v>428</v>
      </c>
      <c r="H138" s="38" t="str">
        <f>IF(133&gt;'🌱 Configuração'!$F$55,"",IF('🌱 Configuração'!$B$56+132&lt;'🌱 Configuração'!$C$56,IF(133=1,"🌿 Nim (2 mL/L) — foliar leve",IF(133=8,"🍄 Beauveria bassiana — foliar + solo","")),IF('🌱 Configuração'!$B$56+132&lt;'🌱 Configuração'!$D$56,IF(AND('🌱 Configuração'!$B$56+132&gt;='🌱 Configuração'!$C$56,'🌱 Configuração'!$B$56+132&lt;'🌱 Configuração'!$D$56,MOD('🌱 Configuração'!$B$56+132-'🌱 Configuração'!$C$56,7)=0,INT(('🌱 Configuração'!$B$56+132-'🌱 Configuração'!$C$56)/7)+1=1),"🌿 Nim (2 mL/L) — foliar preventivo",IF(AND('🌱 Configuração'!$B$56+132&gt;='🌱 Configuração'!$C$56,'🌱 Configuração'!$B$56+132&lt;'🌱 Configuração'!$D$56,MOD('🌱 Configuração'!$B$56+132-'🌱 Configuração'!$C$56,7)=0,INT(('🌱 Configuração'!$B$56+132-'🌱 Configuração'!$C$56)/7)+1=2),"🍄 Beauveria bassiana — foliar + solo",IF(AND('🌱 Configuração'!$B$56+132&gt;='🌱 Configuração'!$C$56,'🌱 Configuração'!$B$56+132&lt;'🌱 Configuração'!$D$56,MOD('🌱 Configuração'!$B$56+132-'🌱 Configuração'!$C$56,7)=0,INT(('🌱 Configuração'!$B$56+132-'🌱 Configuração'!$C$56)/7)+1=3),"🟡 Calda Sulfocálcica (1%) — foliar",IF(AND('🌱 Configuração'!$B$56+132&gt;='🌱 Configuração'!$C$56,'🌱 Configuração'!$B$56+132&lt;'🌱 Configuração'!$D$56,MOD('🌱 Configuração'!$B$56+132-'🌱 Configuração'!$C$56,7)=0,INT(('🌱 Configuração'!$B$56+132-'🌱 Configuração'!$C$56)/7)+1=4),"🦠 Trichoderma (3 g/L) — solo",IF(AND('🌱 Configuração'!$B$56+132&gt;='🌱 Configuração'!$C$56,'🌱 Configuração'!$B$56+132&lt;'🌱 Configuração'!$D$56,MOD('🌱 Configuração'!$B$56+132-'🌱 Configuração'!$C$56,7)=0,INT(('🌱 Configuração'!$B$56+132-'🌱 Configuração'!$C$56)/7)+1=5),"🔵 Calda Bordalesa (0.5%) — foliar",IF(AND('🌱 Configuração'!$B$56+132&gt;='🌱 Configuração'!$C$56,'🌱 Configuração'!$B$56+132&lt;'🌱 Configuração'!$D$56,MOD('🌱 Configuração'!$B$56+132-'🌱 Configuração'!$C$56,7)=0,INT(('🌱 Configuração'!$B$56+132-'🌱 Configuração'!$C$56)/7)+1=6),"🌿 Nim (2 mL/L) — ⚠️ ÚLTIMA foliar",IF(AND('🌱 Configuração'!$B$56+132&gt;='🌱 Configuração'!$C$56,'🌱 Configuração'!$B$56+132&lt;'🌱 Configuração'!$D$56,MOD('🌱 Configuração'!$B$56+132-'🌱 Configuração'!$C$56,7)=0,INT(('🌱 Configuração'!$B$56+132-'🌱 Configuração'!$C$56)/7)+1=7),"🦠 Trichoderma — solo",IF(AND('🌱 Configuração'!$B$56+132&gt;='🌱 Configuração'!$C$56,'🌱 Configuração'!$B$56+132&lt;'🌱 Configuração'!$D$56,MOD('🌱 Configuração'!$B$56+132-'🌱 Configuração'!$C$56,7)=0,INT(('🌱 Configuração'!$B$56+132-'🌱 Configuração'!$C$56)/7)+1=8),"🍄 Beauveria — solo","")))))))),IF('🌱 Configuração'!$B$56+132&lt;'🌱 Configuração'!$E$56,IF(AND('🌱 Configuração'!$B$56+132&gt;='🌱 Configuração'!$D$56,'🌱 Configuração'!$B$56+132&lt;'🌱 Configuração'!$E$56,MOD('🌱 Configuração'!$B$56+132-'🌱 Configuração'!$D$56,7)=0,INT(('🌱 Configuração'!$B$56+132-'🌱 Configuração'!$D$56)/7)+1=1),"🍄 Beauveria bassiana — SOLO apenas",IF(AND('🌱 Configuração'!$B$56+132&gt;='🌱 Configuração'!$D$56,'🌱 Configuração'!$B$56+132&lt;'🌱 Configuração'!$E$56,MOD('🌱 Configuração'!$B$56+132-'🌱 Configuração'!$D$56,7)=0,INT(('🌱 Configuração'!$B$56+132-'🌱 Configuração'!$D$56)/7)+1=2),"🦠 Trichoderma (3 g/L) — solo",IF(AND('🌱 Configuração'!$B$56+132&gt;='🌱 Configuração'!$D$56,'🌱 Configuração'!$B$56+132&lt;'🌱 Configuração'!$E$56,MOD('🌱 Configuração'!$B$56+132-'🌱 Configuração'!$D$56,7)=0,INT(('🌱 Configuração'!$B$56+132-'🌱 Configuração'!$D$56)/7)+1=3),"🍄 Beauveria bassiana — solo | ⚠️ Umid &lt;45%",IF(AND('🌱 Configuração'!$B$56+132&gt;='🌱 Configuração'!$D$56,'🌱 Configuração'!$B$56+132&lt;'🌱 Configuração'!$E$56,MOD('🌱 Configuração'!$B$56+132-'🌱 Configuração'!$D$56,7)=0,INT(('🌱 Configuração'!$B$56+132-'🌱 Configuração'!$D$56)/7)+1=4),"🦠 Trichoderma — solo | Inspecionar buds",IF(AND('🌱 Configuração'!$B$56+132&gt;='🌱 Configuração'!$D$56,'🌱 Configuração'!$B$56+132&lt;'🌱 Configuração'!$E$56,MOD('🌱 Configuração'!$B$56+132-'🌱 Configuração'!$D$56,7)=0,INT(('🌱 Configuração'!$B$56+132-'🌱 Configuração'!$D$56)/7)+1=5),"🍄 Beauveria + inspeção visual buds",IF(AND('🌱 Configuração'!$B$56+132&gt;='🌱 Configuração'!$D$56,'🌱 Configuração'!$B$56+132&lt;'🌱 Configuração'!$E$56,MOD('🌱 Configuração'!$B$56+132-'🌱 Configuração'!$D$56,7)=0,INT(('🌱 Configuração'!$B$56+132-'🌱 Configuração'!$D$56)/7)+1=6),"🦠 Trichoderma + ⚠️ Verificar mofo","")))))),IF(AND('🌱 Configuração'!$B$56+132&gt;='🌱 Configuração'!$E$56,MOD('🌱 Configuração'!$B$56+132-'🌱 Configuração'!$E$56,7)=0),"🔬 Inspeção final — analisar tricomas","")))))</f>
        <v/>
      </c>
      <c r="I138" s="33"/>
    </row>
    <row r="139" spans="1:9" ht="19.5" customHeight="1">
      <c r="A139" s="1"/>
      <c r="B139" s="39" t="str">
        <f>IF(134&lt;='🌱 Configuração'!$F$55,134,"")</f>
        <v/>
      </c>
      <c r="C139" s="40" t="str">
        <f>IF(134&lt;='🌱 Configuração'!$F$55,'🌱 Configuração'!$B$56+133,"")</f>
        <v/>
      </c>
      <c r="D139" s="41" t="str">
        <f>IF(134&gt;'🌱 Configuração'!$F$55,"",IF('🌱 Configuração'!$B$56+133&lt;'🌱 Configuração'!$C$56,"🌱 Clone",IF('🌱 Configuração'!$B$56+133&lt;'🌱 Configuração'!$D$56,"🌿 Vegetativo",IF('🌱 Configuração'!$B$56+133&lt;'🌱 Configuração'!$E$56,"🌸 Floração","🚿 Flush"))))</f>
        <v/>
      </c>
      <c r="E139" s="42" t="str">
        <f>IF(134&gt;'🌱 Configuração'!$F$55,"",IF('🌱 Configuração'!$B$56+133&lt;'🌱 Configuração'!$C$56,"Clone S"&amp;INT((134-1)/7)+1,IF('🌱 Configuração'!$B$56+133&lt;'🌱 Configuração'!$D$56,"Vega S"&amp;INT(('🌱 Configuração'!$B$56+133-'🌱 Configuração'!$C$56)/7)+1,IF('🌱 Configuração'!$B$56+133&lt;'🌱 Configuração'!$E$56,"Flora S"&amp;INT(('🌱 Configuração'!$B$56+133-'🌱 Configuração'!$D$56)/7)+1,"Flush S"&amp;INT(('🌱 Configuração'!$B$56+133-'🌱 Configuração'!$E$56)/7)+1))))</f>
        <v/>
      </c>
      <c r="F139" s="43" t="str">
        <f>IF(134&gt;'🌱 Configuração'!$F$55,"",IF('🌱 Configuração'!$B$56+133='🌱 Configuração'!$C$56,"🌿 INÍCIO VEGA — luz 18h/dia",IF('🌱 Configuração'!$B$56+133='🌱 Configuração'!$D$56,"🌸 INÍCIO FLORAÇÃO — mudar 12/12 🔴",IF('🌱 Configuração'!$B$56+133='🌱 Configuração'!$E$56,"🚿 INÍCIO FLUSH — parar nutrição",IF('🌱 Configuração'!$B$56+133='🌱 Configuração'!$F$56-1,"🔬 Véspera da colheita — analisar tricomas",IF('🌱 Configuração'!$B$56+133='🌱 Configuração'!$F$56,"✂️ COLHEITA — Parabéns! 🎉",""))))))</f>
        <v/>
      </c>
      <c r="G139" s="44" t="s">
        <v>428</v>
      </c>
      <c r="H139" s="45" t="str">
        <f>IF(134&gt;'🌱 Configuração'!$F$55,"",IF('🌱 Configuração'!$B$56+133&lt;'🌱 Configuração'!$C$56,IF(134=1,"🌿 Nim (2 mL/L) — foliar leve",IF(134=8,"🍄 Beauveria bassiana — foliar + solo","")),IF('🌱 Configuração'!$B$56+133&lt;'🌱 Configuração'!$D$56,IF(AND('🌱 Configuração'!$B$56+133&gt;='🌱 Configuração'!$C$56,'🌱 Configuração'!$B$56+133&lt;'🌱 Configuração'!$D$56,MOD('🌱 Configuração'!$B$56+133-'🌱 Configuração'!$C$56,7)=0,INT(('🌱 Configuração'!$B$56+133-'🌱 Configuração'!$C$56)/7)+1=1),"🌿 Nim (2 mL/L) — foliar preventivo",IF(AND('🌱 Configuração'!$B$56+133&gt;='🌱 Configuração'!$C$56,'🌱 Configuração'!$B$56+133&lt;'🌱 Configuração'!$D$56,MOD('🌱 Configuração'!$B$56+133-'🌱 Configuração'!$C$56,7)=0,INT(('🌱 Configuração'!$B$56+133-'🌱 Configuração'!$C$56)/7)+1=2),"🍄 Beauveria bassiana — foliar + solo",IF(AND('🌱 Configuração'!$B$56+133&gt;='🌱 Configuração'!$C$56,'🌱 Configuração'!$B$56+133&lt;'🌱 Configuração'!$D$56,MOD('🌱 Configuração'!$B$56+133-'🌱 Configuração'!$C$56,7)=0,INT(('🌱 Configuração'!$B$56+133-'🌱 Configuração'!$C$56)/7)+1=3),"🟡 Calda Sulfocálcica (1%) — foliar",IF(AND('🌱 Configuração'!$B$56+133&gt;='🌱 Configuração'!$C$56,'🌱 Configuração'!$B$56+133&lt;'🌱 Configuração'!$D$56,MOD('🌱 Configuração'!$B$56+133-'🌱 Configuração'!$C$56,7)=0,INT(('🌱 Configuração'!$B$56+133-'🌱 Configuração'!$C$56)/7)+1=4),"🦠 Trichoderma (3 g/L) — solo",IF(AND('🌱 Configuração'!$B$56+133&gt;='🌱 Configuração'!$C$56,'🌱 Configuração'!$B$56+133&lt;'🌱 Configuração'!$D$56,MOD('🌱 Configuração'!$B$56+133-'🌱 Configuração'!$C$56,7)=0,INT(('🌱 Configuração'!$B$56+133-'🌱 Configuração'!$C$56)/7)+1=5),"🔵 Calda Bordalesa (0.5%) — foliar",IF(AND('🌱 Configuração'!$B$56+133&gt;='🌱 Configuração'!$C$56,'🌱 Configuração'!$B$56+133&lt;'🌱 Configuração'!$D$56,MOD('🌱 Configuração'!$B$56+133-'🌱 Configuração'!$C$56,7)=0,INT(('🌱 Configuração'!$B$56+133-'🌱 Configuração'!$C$56)/7)+1=6),"🌿 Nim (2 mL/L) — ⚠️ ÚLTIMA foliar",IF(AND('🌱 Configuração'!$B$56+133&gt;='🌱 Configuração'!$C$56,'🌱 Configuração'!$B$56+133&lt;'🌱 Configuração'!$D$56,MOD('🌱 Configuração'!$B$56+133-'🌱 Configuração'!$C$56,7)=0,INT(('🌱 Configuração'!$B$56+133-'🌱 Configuração'!$C$56)/7)+1=7),"🦠 Trichoderma — solo",IF(AND('🌱 Configuração'!$B$56+133&gt;='🌱 Configuração'!$C$56,'🌱 Configuração'!$B$56+133&lt;'🌱 Configuração'!$D$56,MOD('🌱 Configuração'!$B$56+133-'🌱 Configuração'!$C$56,7)=0,INT(('🌱 Configuração'!$B$56+133-'🌱 Configuração'!$C$56)/7)+1=8),"🍄 Beauveria — solo","")))))))),IF('🌱 Configuração'!$B$56+133&lt;'🌱 Configuração'!$E$56,IF(AND('🌱 Configuração'!$B$56+133&gt;='🌱 Configuração'!$D$56,'🌱 Configuração'!$B$56+133&lt;'🌱 Configuração'!$E$56,MOD('🌱 Configuração'!$B$56+133-'🌱 Configuração'!$D$56,7)=0,INT(('🌱 Configuração'!$B$56+133-'🌱 Configuração'!$D$56)/7)+1=1),"🍄 Beauveria bassiana — SOLO apenas",IF(AND('🌱 Configuração'!$B$56+133&gt;='🌱 Configuração'!$D$56,'🌱 Configuração'!$B$56+133&lt;'🌱 Configuração'!$E$56,MOD('🌱 Configuração'!$B$56+133-'🌱 Configuração'!$D$56,7)=0,INT(('🌱 Configuração'!$B$56+133-'🌱 Configuração'!$D$56)/7)+1=2),"🦠 Trichoderma (3 g/L) — solo",IF(AND('🌱 Configuração'!$B$56+133&gt;='🌱 Configuração'!$D$56,'🌱 Configuração'!$B$56+133&lt;'🌱 Configuração'!$E$56,MOD('🌱 Configuração'!$B$56+133-'🌱 Configuração'!$D$56,7)=0,INT(('🌱 Configuração'!$B$56+133-'🌱 Configuração'!$D$56)/7)+1=3),"🍄 Beauveria bassiana — solo | ⚠️ Umid &lt;45%",IF(AND('🌱 Configuração'!$B$56+133&gt;='🌱 Configuração'!$D$56,'🌱 Configuração'!$B$56+133&lt;'🌱 Configuração'!$E$56,MOD('🌱 Configuração'!$B$56+133-'🌱 Configuração'!$D$56,7)=0,INT(('🌱 Configuração'!$B$56+133-'🌱 Configuração'!$D$56)/7)+1=4),"🦠 Trichoderma — solo | Inspecionar buds",IF(AND('🌱 Configuração'!$B$56+133&gt;='🌱 Configuração'!$D$56,'🌱 Configuração'!$B$56+133&lt;'🌱 Configuração'!$E$56,MOD('🌱 Configuração'!$B$56+133-'🌱 Configuração'!$D$56,7)=0,INT(('🌱 Configuração'!$B$56+133-'🌱 Configuração'!$D$56)/7)+1=5),"🍄 Beauveria + inspeção visual buds",IF(AND('🌱 Configuração'!$B$56+133&gt;='🌱 Configuração'!$D$56,'🌱 Configuração'!$B$56+133&lt;'🌱 Configuração'!$E$56,MOD('🌱 Configuração'!$B$56+133-'🌱 Configuração'!$D$56,7)=0,INT(('🌱 Configuração'!$B$56+133-'🌱 Configuração'!$D$56)/7)+1=6),"🦠 Trichoderma + ⚠️ Verificar mofo","")))))),IF(AND('🌱 Configuração'!$B$56+133&gt;='🌱 Configuração'!$E$56,MOD('🌱 Configuração'!$B$56+133-'🌱 Configuração'!$E$56,7)=0),"🔬 Inspeção final — analisar tricomas","")))))</f>
        <v/>
      </c>
      <c r="I139" s="33"/>
    </row>
    <row r="140" spans="1:9" ht="19.5" customHeight="1">
      <c r="A140" s="1"/>
      <c r="B140" s="35" t="str">
        <f>IF(135&lt;='🌱 Configuração'!$F$55,135,"")</f>
        <v/>
      </c>
      <c r="C140" s="13" t="str">
        <f>IF(135&lt;='🌱 Configuração'!$F$55,'🌱 Configuração'!$B$56+134,"")</f>
        <v/>
      </c>
      <c r="D140" s="36" t="str">
        <f>IF(135&gt;'🌱 Configuração'!$F$55,"",IF('🌱 Configuração'!$B$56+134&lt;'🌱 Configuração'!$C$56,"🌱 Clone",IF('🌱 Configuração'!$B$56+134&lt;'🌱 Configuração'!$D$56,"🌿 Vegetativo",IF('🌱 Configuração'!$B$56+134&lt;'🌱 Configuração'!$E$56,"🌸 Floração","🚿 Flush"))))</f>
        <v/>
      </c>
      <c r="E140" s="15" t="str">
        <f>IF(135&gt;'🌱 Configuração'!$F$55,"",IF('🌱 Configuração'!$B$56+134&lt;'🌱 Configuração'!$C$56,"Clone S"&amp;INT((135-1)/7)+1,IF('🌱 Configuração'!$B$56+134&lt;'🌱 Configuração'!$D$56,"Vega S"&amp;INT(('🌱 Configuração'!$B$56+134-'🌱 Configuração'!$C$56)/7)+1,IF('🌱 Configuração'!$B$56+134&lt;'🌱 Configuração'!$E$56,"Flora S"&amp;INT(('🌱 Configuração'!$B$56+134-'🌱 Configuração'!$D$56)/7)+1,"Flush S"&amp;INT(('🌱 Configuração'!$B$56+134-'🌱 Configuração'!$E$56)/7)+1))))</f>
        <v/>
      </c>
      <c r="F140" s="14" t="str">
        <f>IF(135&gt;'🌱 Configuração'!$F$55,"",IF('🌱 Configuração'!$B$56+134='🌱 Configuração'!$C$56,"🌿 INÍCIO VEGA — luz 18h/dia",IF('🌱 Configuração'!$B$56+134='🌱 Configuração'!$D$56,"🌸 INÍCIO FLORAÇÃO — mudar 12/12 🔴",IF('🌱 Configuração'!$B$56+134='🌱 Configuração'!$E$56,"🚿 INÍCIO FLUSH — parar nutrição",IF('🌱 Configuração'!$B$56+134='🌱 Configuração'!$F$56-1,"🔬 Véspera da colheita — analisar tricomas",IF('🌱 Configuração'!$B$56+134='🌱 Configuração'!$F$56,"✂️ COLHEITA — Parabéns! 🎉",""))))))</f>
        <v/>
      </c>
      <c r="G140" s="37" t="s">
        <v>428</v>
      </c>
      <c r="H140" s="38" t="str">
        <f>IF(135&gt;'🌱 Configuração'!$F$55,"",IF('🌱 Configuração'!$B$56+134&lt;'🌱 Configuração'!$C$56,IF(135=1,"🌿 Nim (2 mL/L) — foliar leve",IF(135=8,"🍄 Beauveria bassiana — foliar + solo","")),IF('🌱 Configuração'!$B$56+134&lt;'🌱 Configuração'!$D$56,IF(AND('🌱 Configuração'!$B$56+134&gt;='🌱 Configuração'!$C$56,'🌱 Configuração'!$B$56+134&lt;'🌱 Configuração'!$D$56,MOD('🌱 Configuração'!$B$56+134-'🌱 Configuração'!$C$56,7)=0,INT(('🌱 Configuração'!$B$56+134-'🌱 Configuração'!$C$56)/7)+1=1),"🌿 Nim (2 mL/L) — foliar preventivo",IF(AND('🌱 Configuração'!$B$56+134&gt;='🌱 Configuração'!$C$56,'🌱 Configuração'!$B$56+134&lt;'🌱 Configuração'!$D$56,MOD('🌱 Configuração'!$B$56+134-'🌱 Configuração'!$C$56,7)=0,INT(('🌱 Configuração'!$B$56+134-'🌱 Configuração'!$C$56)/7)+1=2),"🍄 Beauveria bassiana — foliar + solo",IF(AND('🌱 Configuração'!$B$56+134&gt;='🌱 Configuração'!$C$56,'🌱 Configuração'!$B$56+134&lt;'🌱 Configuração'!$D$56,MOD('🌱 Configuração'!$B$56+134-'🌱 Configuração'!$C$56,7)=0,INT(('🌱 Configuração'!$B$56+134-'🌱 Configuração'!$C$56)/7)+1=3),"🟡 Calda Sulfocálcica (1%) — foliar",IF(AND('🌱 Configuração'!$B$56+134&gt;='🌱 Configuração'!$C$56,'🌱 Configuração'!$B$56+134&lt;'🌱 Configuração'!$D$56,MOD('🌱 Configuração'!$B$56+134-'🌱 Configuração'!$C$56,7)=0,INT(('🌱 Configuração'!$B$56+134-'🌱 Configuração'!$C$56)/7)+1=4),"🦠 Trichoderma (3 g/L) — solo",IF(AND('🌱 Configuração'!$B$56+134&gt;='🌱 Configuração'!$C$56,'🌱 Configuração'!$B$56+134&lt;'🌱 Configuração'!$D$56,MOD('🌱 Configuração'!$B$56+134-'🌱 Configuração'!$C$56,7)=0,INT(('🌱 Configuração'!$B$56+134-'🌱 Configuração'!$C$56)/7)+1=5),"🔵 Calda Bordalesa (0.5%) — foliar",IF(AND('🌱 Configuração'!$B$56+134&gt;='🌱 Configuração'!$C$56,'🌱 Configuração'!$B$56+134&lt;'🌱 Configuração'!$D$56,MOD('🌱 Configuração'!$B$56+134-'🌱 Configuração'!$C$56,7)=0,INT(('🌱 Configuração'!$B$56+134-'🌱 Configuração'!$C$56)/7)+1=6),"🌿 Nim (2 mL/L) — ⚠️ ÚLTIMA foliar",IF(AND('🌱 Configuração'!$B$56+134&gt;='🌱 Configuração'!$C$56,'🌱 Configuração'!$B$56+134&lt;'🌱 Configuração'!$D$56,MOD('🌱 Configuração'!$B$56+134-'🌱 Configuração'!$C$56,7)=0,INT(('🌱 Configuração'!$B$56+134-'🌱 Configuração'!$C$56)/7)+1=7),"🦠 Trichoderma — solo",IF(AND('🌱 Configuração'!$B$56+134&gt;='🌱 Configuração'!$C$56,'🌱 Configuração'!$B$56+134&lt;'🌱 Configuração'!$D$56,MOD('🌱 Configuração'!$B$56+134-'🌱 Configuração'!$C$56,7)=0,INT(('🌱 Configuração'!$B$56+134-'🌱 Configuração'!$C$56)/7)+1=8),"🍄 Beauveria — solo","")))))))),IF('🌱 Configuração'!$B$56+134&lt;'🌱 Configuração'!$E$56,IF(AND('🌱 Configuração'!$B$56+134&gt;='🌱 Configuração'!$D$56,'🌱 Configuração'!$B$56+134&lt;'🌱 Configuração'!$E$56,MOD('🌱 Configuração'!$B$56+134-'🌱 Configuração'!$D$56,7)=0,INT(('🌱 Configuração'!$B$56+134-'🌱 Configuração'!$D$56)/7)+1=1),"🍄 Beauveria bassiana — SOLO apenas",IF(AND('🌱 Configuração'!$B$56+134&gt;='🌱 Configuração'!$D$56,'🌱 Configuração'!$B$56+134&lt;'🌱 Configuração'!$E$56,MOD('🌱 Configuração'!$B$56+134-'🌱 Configuração'!$D$56,7)=0,INT(('🌱 Configuração'!$B$56+134-'🌱 Configuração'!$D$56)/7)+1=2),"🦠 Trichoderma (3 g/L) — solo",IF(AND('🌱 Configuração'!$B$56+134&gt;='🌱 Configuração'!$D$56,'🌱 Configuração'!$B$56+134&lt;'🌱 Configuração'!$E$56,MOD('🌱 Configuração'!$B$56+134-'🌱 Configuração'!$D$56,7)=0,INT(('🌱 Configuração'!$B$56+134-'🌱 Configuração'!$D$56)/7)+1=3),"🍄 Beauveria bassiana — solo | ⚠️ Umid &lt;45%",IF(AND('🌱 Configuração'!$B$56+134&gt;='🌱 Configuração'!$D$56,'🌱 Configuração'!$B$56+134&lt;'🌱 Configuração'!$E$56,MOD('🌱 Configuração'!$B$56+134-'🌱 Configuração'!$D$56,7)=0,INT(('🌱 Configuração'!$B$56+134-'🌱 Configuração'!$D$56)/7)+1=4),"🦠 Trichoderma — solo | Inspecionar buds",IF(AND('🌱 Configuração'!$B$56+134&gt;='🌱 Configuração'!$D$56,'🌱 Configuração'!$B$56+134&lt;'🌱 Configuração'!$E$56,MOD('🌱 Configuração'!$B$56+134-'🌱 Configuração'!$D$56,7)=0,INT(('🌱 Configuração'!$B$56+134-'🌱 Configuração'!$D$56)/7)+1=5),"🍄 Beauveria + inspeção visual buds",IF(AND('🌱 Configuração'!$B$56+134&gt;='🌱 Configuração'!$D$56,'🌱 Configuração'!$B$56+134&lt;'🌱 Configuração'!$E$56,MOD('🌱 Configuração'!$B$56+134-'🌱 Configuração'!$D$56,7)=0,INT(('🌱 Configuração'!$B$56+134-'🌱 Configuração'!$D$56)/7)+1=6),"🦠 Trichoderma + ⚠️ Verificar mofo","")))))),IF(AND('🌱 Configuração'!$B$56+134&gt;='🌱 Configuração'!$E$56,MOD('🌱 Configuração'!$B$56+134-'🌱 Configuração'!$E$56,7)=0),"🔬 Inspeção final — analisar tricomas","")))))</f>
        <v/>
      </c>
      <c r="I140" s="33"/>
    </row>
    <row r="141" spans="1:9" ht="19.5" customHeight="1">
      <c r="A141" s="1"/>
      <c r="B141" s="39" t="str">
        <f>IF(136&lt;='🌱 Configuração'!$F$55,136,"")</f>
        <v/>
      </c>
      <c r="C141" s="40" t="str">
        <f>IF(136&lt;='🌱 Configuração'!$F$55,'🌱 Configuração'!$B$56+135,"")</f>
        <v/>
      </c>
      <c r="D141" s="41" t="str">
        <f>IF(136&gt;'🌱 Configuração'!$F$55,"",IF('🌱 Configuração'!$B$56+135&lt;'🌱 Configuração'!$C$56,"🌱 Clone",IF('🌱 Configuração'!$B$56+135&lt;'🌱 Configuração'!$D$56,"🌿 Vegetativo",IF('🌱 Configuração'!$B$56+135&lt;'🌱 Configuração'!$E$56,"🌸 Floração","🚿 Flush"))))</f>
        <v/>
      </c>
      <c r="E141" s="42" t="str">
        <f>IF(136&gt;'🌱 Configuração'!$F$55,"",IF('🌱 Configuração'!$B$56+135&lt;'🌱 Configuração'!$C$56,"Clone S"&amp;INT((136-1)/7)+1,IF('🌱 Configuração'!$B$56+135&lt;'🌱 Configuração'!$D$56,"Vega S"&amp;INT(('🌱 Configuração'!$B$56+135-'🌱 Configuração'!$C$56)/7)+1,IF('🌱 Configuração'!$B$56+135&lt;'🌱 Configuração'!$E$56,"Flora S"&amp;INT(('🌱 Configuração'!$B$56+135-'🌱 Configuração'!$D$56)/7)+1,"Flush S"&amp;INT(('🌱 Configuração'!$B$56+135-'🌱 Configuração'!$E$56)/7)+1))))</f>
        <v/>
      </c>
      <c r="F141" s="43" t="str">
        <f>IF(136&gt;'🌱 Configuração'!$F$55,"",IF('🌱 Configuração'!$B$56+135='🌱 Configuração'!$C$56,"🌿 INÍCIO VEGA — luz 18h/dia",IF('🌱 Configuração'!$B$56+135='🌱 Configuração'!$D$56,"🌸 INÍCIO FLORAÇÃO — mudar 12/12 🔴",IF('🌱 Configuração'!$B$56+135='🌱 Configuração'!$E$56,"🚿 INÍCIO FLUSH — parar nutrição",IF('🌱 Configuração'!$B$56+135='🌱 Configuração'!$F$56-1,"🔬 Véspera da colheita — analisar tricomas",IF('🌱 Configuração'!$B$56+135='🌱 Configuração'!$F$56,"✂️ COLHEITA — Parabéns! 🎉",""))))))</f>
        <v/>
      </c>
      <c r="G141" s="44" t="s">
        <v>428</v>
      </c>
      <c r="H141" s="45" t="str">
        <f>IF(136&gt;'🌱 Configuração'!$F$55,"",IF('🌱 Configuração'!$B$56+135&lt;'🌱 Configuração'!$C$56,IF(136=1,"🌿 Nim (2 mL/L) — foliar leve",IF(136=8,"🍄 Beauveria bassiana — foliar + solo","")),IF('🌱 Configuração'!$B$56+135&lt;'🌱 Configuração'!$D$56,IF(AND('🌱 Configuração'!$B$56+135&gt;='🌱 Configuração'!$C$56,'🌱 Configuração'!$B$56+135&lt;'🌱 Configuração'!$D$56,MOD('🌱 Configuração'!$B$56+135-'🌱 Configuração'!$C$56,7)=0,INT(('🌱 Configuração'!$B$56+135-'🌱 Configuração'!$C$56)/7)+1=1),"🌿 Nim (2 mL/L) — foliar preventivo",IF(AND('🌱 Configuração'!$B$56+135&gt;='🌱 Configuração'!$C$56,'🌱 Configuração'!$B$56+135&lt;'🌱 Configuração'!$D$56,MOD('🌱 Configuração'!$B$56+135-'🌱 Configuração'!$C$56,7)=0,INT(('🌱 Configuração'!$B$56+135-'🌱 Configuração'!$C$56)/7)+1=2),"🍄 Beauveria bassiana — foliar + solo",IF(AND('🌱 Configuração'!$B$56+135&gt;='🌱 Configuração'!$C$56,'🌱 Configuração'!$B$56+135&lt;'🌱 Configuração'!$D$56,MOD('🌱 Configuração'!$B$56+135-'🌱 Configuração'!$C$56,7)=0,INT(('🌱 Configuração'!$B$56+135-'🌱 Configuração'!$C$56)/7)+1=3),"🟡 Calda Sulfocálcica (1%) — foliar",IF(AND('🌱 Configuração'!$B$56+135&gt;='🌱 Configuração'!$C$56,'🌱 Configuração'!$B$56+135&lt;'🌱 Configuração'!$D$56,MOD('🌱 Configuração'!$B$56+135-'🌱 Configuração'!$C$56,7)=0,INT(('🌱 Configuração'!$B$56+135-'🌱 Configuração'!$C$56)/7)+1=4),"🦠 Trichoderma (3 g/L) — solo",IF(AND('🌱 Configuração'!$B$56+135&gt;='🌱 Configuração'!$C$56,'🌱 Configuração'!$B$56+135&lt;'🌱 Configuração'!$D$56,MOD('🌱 Configuração'!$B$56+135-'🌱 Configuração'!$C$56,7)=0,INT(('🌱 Configuração'!$B$56+135-'🌱 Configuração'!$C$56)/7)+1=5),"🔵 Calda Bordalesa (0.5%) — foliar",IF(AND('🌱 Configuração'!$B$56+135&gt;='🌱 Configuração'!$C$56,'🌱 Configuração'!$B$56+135&lt;'🌱 Configuração'!$D$56,MOD('🌱 Configuração'!$B$56+135-'🌱 Configuração'!$C$56,7)=0,INT(('🌱 Configuração'!$B$56+135-'🌱 Configuração'!$C$56)/7)+1=6),"🌿 Nim (2 mL/L) — ⚠️ ÚLTIMA foliar",IF(AND('🌱 Configuração'!$B$56+135&gt;='🌱 Configuração'!$C$56,'🌱 Configuração'!$B$56+135&lt;'🌱 Configuração'!$D$56,MOD('🌱 Configuração'!$B$56+135-'🌱 Configuração'!$C$56,7)=0,INT(('🌱 Configuração'!$B$56+135-'🌱 Configuração'!$C$56)/7)+1=7),"🦠 Trichoderma — solo",IF(AND('🌱 Configuração'!$B$56+135&gt;='🌱 Configuração'!$C$56,'🌱 Configuração'!$B$56+135&lt;'🌱 Configuração'!$D$56,MOD('🌱 Configuração'!$B$56+135-'🌱 Configuração'!$C$56,7)=0,INT(('🌱 Configuração'!$B$56+135-'🌱 Configuração'!$C$56)/7)+1=8),"🍄 Beauveria — solo","")))))))),IF('🌱 Configuração'!$B$56+135&lt;'🌱 Configuração'!$E$56,IF(AND('🌱 Configuração'!$B$56+135&gt;='🌱 Configuração'!$D$56,'🌱 Configuração'!$B$56+135&lt;'🌱 Configuração'!$E$56,MOD('🌱 Configuração'!$B$56+135-'🌱 Configuração'!$D$56,7)=0,INT(('🌱 Configuração'!$B$56+135-'🌱 Configuração'!$D$56)/7)+1=1),"🍄 Beauveria bassiana — SOLO apenas",IF(AND('🌱 Configuração'!$B$56+135&gt;='🌱 Configuração'!$D$56,'🌱 Configuração'!$B$56+135&lt;'🌱 Configuração'!$E$56,MOD('🌱 Configuração'!$B$56+135-'🌱 Configuração'!$D$56,7)=0,INT(('🌱 Configuração'!$B$56+135-'🌱 Configuração'!$D$56)/7)+1=2),"🦠 Trichoderma (3 g/L) — solo",IF(AND('🌱 Configuração'!$B$56+135&gt;='🌱 Configuração'!$D$56,'🌱 Configuração'!$B$56+135&lt;'🌱 Configuração'!$E$56,MOD('🌱 Configuração'!$B$56+135-'🌱 Configuração'!$D$56,7)=0,INT(('🌱 Configuração'!$B$56+135-'🌱 Configuração'!$D$56)/7)+1=3),"🍄 Beauveria bassiana — solo | ⚠️ Umid &lt;45%",IF(AND('🌱 Configuração'!$B$56+135&gt;='🌱 Configuração'!$D$56,'🌱 Configuração'!$B$56+135&lt;'🌱 Configuração'!$E$56,MOD('🌱 Configuração'!$B$56+135-'🌱 Configuração'!$D$56,7)=0,INT(('🌱 Configuração'!$B$56+135-'🌱 Configuração'!$D$56)/7)+1=4),"🦠 Trichoderma — solo | Inspecionar buds",IF(AND('🌱 Configuração'!$B$56+135&gt;='🌱 Configuração'!$D$56,'🌱 Configuração'!$B$56+135&lt;'🌱 Configuração'!$E$56,MOD('🌱 Configuração'!$B$56+135-'🌱 Configuração'!$D$56,7)=0,INT(('🌱 Configuração'!$B$56+135-'🌱 Configuração'!$D$56)/7)+1=5),"🍄 Beauveria + inspeção visual buds",IF(AND('🌱 Configuração'!$B$56+135&gt;='🌱 Configuração'!$D$56,'🌱 Configuração'!$B$56+135&lt;'🌱 Configuração'!$E$56,MOD('🌱 Configuração'!$B$56+135-'🌱 Configuração'!$D$56,7)=0,INT(('🌱 Configuração'!$B$56+135-'🌱 Configuração'!$D$56)/7)+1=6),"🦠 Trichoderma + ⚠️ Verificar mofo","")))))),IF(AND('🌱 Configuração'!$B$56+135&gt;='🌱 Configuração'!$E$56,MOD('🌱 Configuração'!$B$56+135-'🌱 Configuração'!$E$56,7)=0),"🔬 Inspeção final — analisar tricomas","")))))</f>
        <v/>
      </c>
      <c r="I141" s="33"/>
    </row>
    <row r="142" spans="1:9" ht="19.5" customHeight="1">
      <c r="A142" s="1"/>
      <c r="B142" s="35" t="str">
        <f>IF(137&lt;='🌱 Configuração'!$F$55,137,"")</f>
        <v/>
      </c>
      <c r="C142" s="13" t="str">
        <f>IF(137&lt;='🌱 Configuração'!$F$55,'🌱 Configuração'!$B$56+136,"")</f>
        <v/>
      </c>
      <c r="D142" s="36" t="str">
        <f>IF(137&gt;'🌱 Configuração'!$F$55,"",IF('🌱 Configuração'!$B$56+136&lt;'🌱 Configuração'!$C$56,"🌱 Clone",IF('🌱 Configuração'!$B$56+136&lt;'🌱 Configuração'!$D$56,"🌿 Vegetativo",IF('🌱 Configuração'!$B$56+136&lt;'🌱 Configuração'!$E$56,"🌸 Floração","🚿 Flush"))))</f>
        <v/>
      </c>
      <c r="E142" s="15" t="str">
        <f>IF(137&gt;'🌱 Configuração'!$F$55,"",IF('🌱 Configuração'!$B$56+136&lt;'🌱 Configuração'!$C$56,"Clone S"&amp;INT((137-1)/7)+1,IF('🌱 Configuração'!$B$56+136&lt;'🌱 Configuração'!$D$56,"Vega S"&amp;INT(('🌱 Configuração'!$B$56+136-'🌱 Configuração'!$C$56)/7)+1,IF('🌱 Configuração'!$B$56+136&lt;'🌱 Configuração'!$E$56,"Flora S"&amp;INT(('🌱 Configuração'!$B$56+136-'🌱 Configuração'!$D$56)/7)+1,"Flush S"&amp;INT(('🌱 Configuração'!$B$56+136-'🌱 Configuração'!$E$56)/7)+1))))</f>
        <v/>
      </c>
      <c r="F142" s="14" t="str">
        <f>IF(137&gt;'🌱 Configuração'!$F$55,"",IF('🌱 Configuração'!$B$56+136='🌱 Configuração'!$C$56,"🌿 INÍCIO VEGA — luz 18h/dia",IF('🌱 Configuração'!$B$56+136='🌱 Configuração'!$D$56,"🌸 INÍCIO FLORAÇÃO — mudar 12/12 🔴",IF('🌱 Configuração'!$B$56+136='🌱 Configuração'!$E$56,"🚿 INÍCIO FLUSH — parar nutrição",IF('🌱 Configuração'!$B$56+136='🌱 Configuração'!$F$56-1,"🔬 Véspera da colheita — analisar tricomas",IF('🌱 Configuração'!$B$56+136='🌱 Configuração'!$F$56,"✂️ COLHEITA — Parabéns! 🎉",""))))))</f>
        <v/>
      </c>
      <c r="G142" s="37" t="s">
        <v>428</v>
      </c>
      <c r="H142" s="38" t="str">
        <f>IF(137&gt;'🌱 Configuração'!$F$55,"",IF('🌱 Configuração'!$B$56+136&lt;'🌱 Configuração'!$C$56,IF(137=1,"🌿 Nim (2 mL/L) — foliar leve",IF(137=8,"🍄 Beauveria bassiana — foliar + solo","")),IF('🌱 Configuração'!$B$56+136&lt;'🌱 Configuração'!$D$56,IF(AND('🌱 Configuração'!$B$56+136&gt;='🌱 Configuração'!$C$56,'🌱 Configuração'!$B$56+136&lt;'🌱 Configuração'!$D$56,MOD('🌱 Configuração'!$B$56+136-'🌱 Configuração'!$C$56,7)=0,INT(('🌱 Configuração'!$B$56+136-'🌱 Configuração'!$C$56)/7)+1=1),"🌿 Nim (2 mL/L) — foliar preventivo",IF(AND('🌱 Configuração'!$B$56+136&gt;='🌱 Configuração'!$C$56,'🌱 Configuração'!$B$56+136&lt;'🌱 Configuração'!$D$56,MOD('🌱 Configuração'!$B$56+136-'🌱 Configuração'!$C$56,7)=0,INT(('🌱 Configuração'!$B$56+136-'🌱 Configuração'!$C$56)/7)+1=2),"🍄 Beauveria bassiana — foliar + solo",IF(AND('🌱 Configuração'!$B$56+136&gt;='🌱 Configuração'!$C$56,'🌱 Configuração'!$B$56+136&lt;'🌱 Configuração'!$D$56,MOD('🌱 Configuração'!$B$56+136-'🌱 Configuração'!$C$56,7)=0,INT(('🌱 Configuração'!$B$56+136-'🌱 Configuração'!$C$56)/7)+1=3),"🟡 Calda Sulfocálcica (1%) — foliar",IF(AND('🌱 Configuração'!$B$56+136&gt;='🌱 Configuração'!$C$56,'🌱 Configuração'!$B$56+136&lt;'🌱 Configuração'!$D$56,MOD('🌱 Configuração'!$B$56+136-'🌱 Configuração'!$C$56,7)=0,INT(('🌱 Configuração'!$B$56+136-'🌱 Configuração'!$C$56)/7)+1=4),"🦠 Trichoderma (3 g/L) — solo",IF(AND('🌱 Configuração'!$B$56+136&gt;='🌱 Configuração'!$C$56,'🌱 Configuração'!$B$56+136&lt;'🌱 Configuração'!$D$56,MOD('🌱 Configuração'!$B$56+136-'🌱 Configuração'!$C$56,7)=0,INT(('🌱 Configuração'!$B$56+136-'🌱 Configuração'!$C$56)/7)+1=5),"🔵 Calda Bordalesa (0.5%) — foliar",IF(AND('🌱 Configuração'!$B$56+136&gt;='🌱 Configuração'!$C$56,'🌱 Configuração'!$B$56+136&lt;'🌱 Configuração'!$D$56,MOD('🌱 Configuração'!$B$56+136-'🌱 Configuração'!$C$56,7)=0,INT(('🌱 Configuração'!$B$56+136-'🌱 Configuração'!$C$56)/7)+1=6),"🌿 Nim (2 mL/L) — ⚠️ ÚLTIMA foliar",IF(AND('🌱 Configuração'!$B$56+136&gt;='🌱 Configuração'!$C$56,'🌱 Configuração'!$B$56+136&lt;'🌱 Configuração'!$D$56,MOD('🌱 Configuração'!$B$56+136-'🌱 Configuração'!$C$56,7)=0,INT(('🌱 Configuração'!$B$56+136-'🌱 Configuração'!$C$56)/7)+1=7),"🦠 Trichoderma — solo",IF(AND('🌱 Configuração'!$B$56+136&gt;='🌱 Configuração'!$C$56,'🌱 Configuração'!$B$56+136&lt;'🌱 Configuração'!$D$56,MOD('🌱 Configuração'!$B$56+136-'🌱 Configuração'!$C$56,7)=0,INT(('🌱 Configuração'!$B$56+136-'🌱 Configuração'!$C$56)/7)+1=8),"🍄 Beauveria — solo","")))))))),IF('🌱 Configuração'!$B$56+136&lt;'🌱 Configuração'!$E$56,IF(AND('🌱 Configuração'!$B$56+136&gt;='🌱 Configuração'!$D$56,'🌱 Configuração'!$B$56+136&lt;'🌱 Configuração'!$E$56,MOD('🌱 Configuração'!$B$56+136-'🌱 Configuração'!$D$56,7)=0,INT(('🌱 Configuração'!$B$56+136-'🌱 Configuração'!$D$56)/7)+1=1),"🍄 Beauveria bassiana — SOLO apenas",IF(AND('🌱 Configuração'!$B$56+136&gt;='🌱 Configuração'!$D$56,'🌱 Configuração'!$B$56+136&lt;'🌱 Configuração'!$E$56,MOD('🌱 Configuração'!$B$56+136-'🌱 Configuração'!$D$56,7)=0,INT(('🌱 Configuração'!$B$56+136-'🌱 Configuração'!$D$56)/7)+1=2),"🦠 Trichoderma (3 g/L) — solo",IF(AND('🌱 Configuração'!$B$56+136&gt;='🌱 Configuração'!$D$56,'🌱 Configuração'!$B$56+136&lt;'🌱 Configuração'!$E$56,MOD('🌱 Configuração'!$B$56+136-'🌱 Configuração'!$D$56,7)=0,INT(('🌱 Configuração'!$B$56+136-'🌱 Configuração'!$D$56)/7)+1=3),"🍄 Beauveria bassiana — solo | ⚠️ Umid &lt;45%",IF(AND('🌱 Configuração'!$B$56+136&gt;='🌱 Configuração'!$D$56,'🌱 Configuração'!$B$56+136&lt;'🌱 Configuração'!$E$56,MOD('🌱 Configuração'!$B$56+136-'🌱 Configuração'!$D$56,7)=0,INT(('🌱 Configuração'!$B$56+136-'🌱 Configuração'!$D$56)/7)+1=4),"🦠 Trichoderma — solo | Inspecionar buds",IF(AND('🌱 Configuração'!$B$56+136&gt;='🌱 Configuração'!$D$56,'🌱 Configuração'!$B$56+136&lt;'🌱 Configuração'!$E$56,MOD('🌱 Configuração'!$B$56+136-'🌱 Configuração'!$D$56,7)=0,INT(('🌱 Configuração'!$B$56+136-'🌱 Configuração'!$D$56)/7)+1=5),"🍄 Beauveria + inspeção visual buds",IF(AND('🌱 Configuração'!$B$56+136&gt;='🌱 Configuração'!$D$56,'🌱 Configuração'!$B$56+136&lt;'🌱 Configuração'!$E$56,MOD('🌱 Configuração'!$B$56+136-'🌱 Configuração'!$D$56,7)=0,INT(('🌱 Configuração'!$B$56+136-'🌱 Configuração'!$D$56)/7)+1=6),"🦠 Trichoderma + ⚠️ Verificar mofo","")))))),IF(AND('🌱 Configuração'!$B$56+136&gt;='🌱 Configuração'!$E$56,MOD('🌱 Configuração'!$B$56+136-'🌱 Configuração'!$E$56,7)=0),"🔬 Inspeção final — analisar tricomas","")))))</f>
        <v/>
      </c>
      <c r="I142" s="33"/>
    </row>
    <row r="143" spans="1:9" ht="19.5" customHeight="1">
      <c r="A143" s="1"/>
      <c r="B143" s="39" t="str">
        <f>IF(138&lt;='🌱 Configuração'!$F$55,138,"")</f>
        <v/>
      </c>
      <c r="C143" s="40" t="str">
        <f>IF(138&lt;='🌱 Configuração'!$F$55,'🌱 Configuração'!$B$56+137,"")</f>
        <v/>
      </c>
      <c r="D143" s="41" t="str">
        <f>IF(138&gt;'🌱 Configuração'!$F$55,"",IF('🌱 Configuração'!$B$56+137&lt;'🌱 Configuração'!$C$56,"🌱 Clone",IF('🌱 Configuração'!$B$56+137&lt;'🌱 Configuração'!$D$56,"🌿 Vegetativo",IF('🌱 Configuração'!$B$56+137&lt;'🌱 Configuração'!$E$56,"🌸 Floração","🚿 Flush"))))</f>
        <v/>
      </c>
      <c r="E143" s="42" t="str">
        <f>IF(138&gt;'🌱 Configuração'!$F$55,"",IF('🌱 Configuração'!$B$56+137&lt;'🌱 Configuração'!$C$56,"Clone S"&amp;INT((138-1)/7)+1,IF('🌱 Configuração'!$B$56+137&lt;'🌱 Configuração'!$D$56,"Vega S"&amp;INT(('🌱 Configuração'!$B$56+137-'🌱 Configuração'!$C$56)/7)+1,IF('🌱 Configuração'!$B$56+137&lt;'🌱 Configuração'!$E$56,"Flora S"&amp;INT(('🌱 Configuração'!$B$56+137-'🌱 Configuração'!$D$56)/7)+1,"Flush S"&amp;INT(('🌱 Configuração'!$B$56+137-'🌱 Configuração'!$E$56)/7)+1))))</f>
        <v/>
      </c>
      <c r="F143" s="43" t="str">
        <f>IF(138&gt;'🌱 Configuração'!$F$55,"",IF('🌱 Configuração'!$B$56+137='🌱 Configuração'!$C$56,"🌿 INÍCIO VEGA — luz 18h/dia",IF('🌱 Configuração'!$B$56+137='🌱 Configuração'!$D$56,"🌸 INÍCIO FLORAÇÃO — mudar 12/12 🔴",IF('🌱 Configuração'!$B$56+137='🌱 Configuração'!$E$56,"🚿 INÍCIO FLUSH — parar nutrição",IF('🌱 Configuração'!$B$56+137='🌱 Configuração'!$F$56-1,"🔬 Véspera da colheita — analisar tricomas",IF('🌱 Configuração'!$B$56+137='🌱 Configuração'!$F$56,"✂️ COLHEITA — Parabéns! 🎉",""))))))</f>
        <v/>
      </c>
      <c r="G143" s="44" t="s">
        <v>428</v>
      </c>
      <c r="H143" s="45" t="str">
        <f>IF(138&gt;'🌱 Configuração'!$F$55,"",IF('🌱 Configuração'!$B$56+137&lt;'🌱 Configuração'!$C$56,IF(138=1,"🌿 Nim (2 mL/L) — foliar leve",IF(138=8,"🍄 Beauveria bassiana — foliar + solo","")),IF('🌱 Configuração'!$B$56+137&lt;'🌱 Configuração'!$D$56,IF(AND('🌱 Configuração'!$B$56+137&gt;='🌱 Configuração'!$C$56,'🌱 Configuração'!$B$56+137&lt;'🌱 Configuração'!$D$56,MOD('🌱 Configuração'!$B$56+137-'🌱 Configuração'!$C$56,7)=0,INT(('🌱 Configuração'!$B$56+137-'🌱 Configuração'!$C$56)/7)+1=1),"🌿 Nim (2 mL/L) — foliar preventivo",IF(AND('🌱 Configuração'!$B$56+137&gt;='🌱 Configuração'!$C$56,'🌱 Configuração'!$B$56+137&lt;'🌱 Configuração'!$D$56,MOD('🌱 Configuração'!$B$56+137-'🌱 Configuração'!$C$56,7)=0,INT(('🌱 Configuração'!$B$56+137-'🌱 Configuração'!$C$56)/7)+1=2),"🍄 Beauveria bassiana — foliar + solo",IF(AND('🌱 Configuração'!$B$56+137&gt;='🌱 Configuração'!$C$56,'🌱 Configuração'!$B$56+137&lt;'🌱 Configuração'!$D$56,MOD('🌱 Configuração'!$B$56+137-'🌱 Configuração'!$C$56,7)=0,INT(('🌱 Configuração'!$B$56+137-'🌱 Configuração'!$C$56)/7)+1=3),"🟡 Calda Sulfocálcica (1%) — foliar",IF(AND('🌱 Configuração'!$B$56+137&gt;='🌱 Configuração'!$C$56,'🌱 Configuração'!$B$56+137&lt;'🌱 Configuração'!$D$56,MOD('🌱 Configuração'!$B$56+137-'🌱 Configuração'!$C$56,7)=0,INT(('🌱 Configuração'!$B$56+137-'🌱 Configuração'!$C$56)/7)+1=4),"🦠 Trichoderma (3 g/L) — solo",IF(AND('🌱 Configuração'!$B$56+137&gt;='🌱 Configuração'!$C$56,'🌱 Configuração'!$B$56+137&lt;'🌱 Configuração'!$D$56,MOD('🌱 Configuração'!$B$56+137-'🌱 Configuração'!$C$56,7)=0,INT(('🌱 Configuração'!$B$56+137-'🌱 Configuração'!$C$56)/7)+1=5),"🔵 Calda Bordalesa (0.5%) — foliar",IF(AND('🌱 Configuração'!$B$56+137&gt;='🌱 Configuração'!$C$56,'🌱 Configuração'!$B$56+137&lt;'🌱 Configuração'!$D$56,MOD('🌱 Configuração'!$B$56+137-'🌱 Configuração'!$C$56,7)=0,INT(('🌱 Configuração'!$B$56+137-'🌱 Configuração'!$C$56)/7)+1=6),"🌿 Nim (2 mL/L) — ⚠️ ÚLTIMA foliar",IF(AND('🌱 Configuração'!$B$56+137&gt;='🌱 Configuração'!$C$56,'🌱 Configuração'!$B$56+137&lt;'🌱 Configuração'!$D$56,MOD('🌱 Configuração'!$B$56+137-'🌱 Configuração'!$C$56,7)=0,INT(('🌱 Configuração'!$B$56+137-'🌱 Configuração'!$C$56)/7)+1=7),"🦠 Trichoderma — solo",IF(AND('🌱 Configuração'!$B$56+137&gt;='🌱 Configuração'!$C$56,'🌱 Configuração'!$B$56+137&lt;'🌱 Configuração'!$D$56,MOD('🌱 Configuração'!$B$56+137-'🌱 Configuração'!$C$56,7)=0,INT(('🌱 Configuração'!$B$56+137-'🌱 Configuração'!$C$56)/7)+1=8),"🍄 Beauveria — solo","")))))))),IF('🌱 Configuração'!$B$56+137&lt;'🌱 Configuração'!$E$56,IF(AND('🌱 Configuração'!$B$56+137&gt;='🌱 Configuração'!$D$56,'🌱 Configuração'!$B$56+137&lt;'🌱 Configuração'!$E$56,MOD('🌱 Configuração'!$B$56+137-'🌱 Configuração'!$D$56,7)=0,INT(('🌱 Configuração'!$B$56+137-'🌱 Configuração'!$D$56)/7)+1=1),"🍄 Beauveria bassiana — SOLO apenas",IF(AND('🌱 Configuração'!$B$56+137&gt;='🌱 Configuração'!$D$56,'🌱 Configuração'!$B$56+137&lt;'🌱 Configuração'!$E$56,MOD('🌱 Configuração'!$B$56+137-'🌱 Configuração'!$D$56,7)=0,INT(('🌱 Configuração'!$B$56+137-'🌱 Configuração'!$D$56)/7)+1=2),"🦠 Trichoderma (3 g/L) — solo",IF(AND('🌱 Configuração'!$B$56+137&gt;='🌱 Configuração'!$D$56,'🌱 Configuração'!$B$56+137&lt;'🌱 Configuração'!$E$56,MOD('🌱 Configuração'!$B$56+137-'🌱 Configuração'!$D$56,7)=0,INT(('🌱 Configuração'!$B$56+137-'🌱 Configuração'!$D$56)/7)+1=3),"🍄 Beauveria bassiana — solo | ⚠️ Umid &lt;45%",IF(AND('🌱 Configuração'!$B$56+137&gt;='🌱 Configuração'!$D$56,'🌱 Configuração'!$B$56+137&lt;'🌱 Configuração'!$E$56,MOD('🌱 Configuração'!$B$56+137-'🌱 Configuração'!$D$56,7)=0,INT(('🌱 Configuração'!$B$56+137-'🌱 Configuração'!$D$56)/7)+1=4),"🦠 Trichoderma — solo | Inspecionar buds",IF(AND('🌱 Configuração'!$B$56+137&gt;='🌱 Configuração'!$D$56,'🌱 Configuração'!$B$56+137&lt;'🌱 Configuração'!$E$56,MOD('🌱 Configuração'!$B$56+137-'🌱 Configuração'!$D$56,7)=0,INT(('🌱 Configuração'!$B$56+137-'🌱 Configuração'!$D$56)/7)+1=5),"🍄 Beauveria + inspeção visual buds",IF(AND('🌱 Configuração'!$B$56+137&gt;='🌱 Configuração'!$D$56,'🌱 Configuração'!$B$56+137&lt;'🌱 Configuração'!$E$56,MOD('🌱 Configuração'!$B$56+137-'🌱 Configuração'!$D$56,7)=0,INT(('🌱 Configuração'!$B$56+137-'🌱 Configuração'!$D$56)/7)+1=6),"🦠 Trichoderma + ⚠️ Verificar mofo","")))))),IF(AND('🌱 Configuração'!$B$56+137&gt;='🌱 Configuração'!$E$56,MOD('🌱 Configuração'!$B$56+137-'🌱 Configuração'!$E$56,7)=0),"🔬 Inspeção final — analisar tricomas","")))))</f>
        <v/>
      </c>
      <c r="I143" s="33"/>
    </row>
    <row r="144" spans="1:9" ht="19.5" customHeight="1">
      <c r="A144" s="1"/>
      <c r="B144" s="35" t="str">
        <f>IF(139&lt;='🌱 Configuração'!$F$55,139,"")</f>
        <v/>
      </c>
      <c r="C144" s="13" t="str">
        <f>IF(139&lt;='🌱 Configuração'!$F$55,'🌱 Configuração'!$B$56+138,"")</f>
        <v/>
      </c>
      <c r="D144" s="36" t="str">
        <f>IF(139&gt;'🌱 Configuração'!$F$55,"",IF('🌱 Configuração'!$B$56+138&lt;'🌱 Configuração'!$C$56,"🌱 Clone",IF('🌱 Configuração'!$B$56+138&lt;'🌱 Configuração'!$D$56,"🌿 Vegetativo",IF('🌱 Configuração'!$B$56+138&lt;'🌱 Configuração'!$E$56,"🌸 Floração","🚿 Flush"))))</f>
        <v/>
      </c>
      <c r="E144" s="15" t="str">
        <f>IF(139&gt;'🌱 Configuração'!$F$55,"",IF('🌱 Configuração'!$B$56+138&lt;'🌱 Configuração'!$C$56,"Clone S"&amp;INT((139-1)/7)+1,IF('🌱 Configuração'!$B$56+138&lt;'🌱 Configuração'!$D$56,"Vega S"&amp;INT(('🌱 Configuração'!$B$56+138-'🌱 Configuração'!$C$56)/7)+1,IF('🌱 Configuração'!$B$56+138&lt;'🌱 Configuração'!$E$56,"Flora S"&amp;INT(('🌱 Configuração'!$B$56+138-'🌱 Configuração'!$D$56)/7)+1,"Flush S"&amp;INT(('🌱 Configuração'!$B$56+138-'🌱 Configuração'!$E$56)/7)+1))))</f>
        <v/>
      </c>
      <c r="F144" s="14" t="str">
        <f>IF(139&gt;'🌱 Configuração'!$F$55,"",IF('🌱 Configuração'!$B$56+138='🌱 Configuração'!$C$56,"🌿 INÍCIO VEGA — luz 18h/dia",IF('🌱 Configuração'!$B$56+138='🌱 Configuração'!$D$56,"🌸 INÍCIO FLORAÇÃO — mudar 12/12 🔴",IF('🌱 Configuração'!$B$56+138='🌱 Configuração'!$E$56,"🚿 INÍCIO FLUSH — parar nutrição",IF('🌱 Configuração'!$B$56+138='🌱 Configuração'!$F$56-1,"🔬 Véspera da colheita — analisar tricomas",IF('🌱 Configuração'!$B$56+138='🌱 Configuração'!$F$56,"✂️ COLHEITA — Parabéns! 🎉",""))))))</f>
        <v/>
      </c>
      <c r="G144" s="37" t="s">
        <v>428</v>
      </c>
      <c r="H144" s="38" t="str">
        <f>IF(139&gt;'🌱 Configuração'!$F$55,"",IF('🌱 Configuração'!$B$56+138&lt;'🌱 Configuração'!$C$56,IF(139=1,"🌿 Nim (2 mL/L) — foliar leve",IF(139=8,"🍄 Beauveria bassiana — foliar + solo","")),IF('🌱 Configuração'!$B$56+138&lt;'🌱 Configuração'!$D$56,IF(AND('🌱 Configuração'!$B$56+138&gt;='🌱 Configuração'!$C$56,'🌱 Configuração'!$B$56+138&lt;'🌱 Configuração'!$D$56,MOD('🌱 Configuração'!$B$56+138-'🌱 Configuração'!$C$56,7)=0,INT(('🌱 Configuração'!$B$56+138-'🌱 Configuração'!$C$56)/7)+1=1),"🌿 Nim (2 mL/L) — foliar preventivo",IF(AND('🌱 Configuração'!$B$56+138&gt;='🌱 Configuração'!$C$56,'🌱 Configuração'!$B$56+138&lt;'🌱 Configuração'!$D$56,MOD('🌱 Configuração'!$B$56+138-'🌱 Configuração'!$C$56,7)=0,INT(('🌱 Configuração'!$B$56+138-'🌱 Configuração'!$C$56)/7)+1=2),"🍄 Beauveria bassiana — foliar + solo",IF(AND('🌱 Configuração'!$B$56+138&gt;='🌱 Configuração'!$C$56,'🌱 Configuração'!$B$56+138&lt;'🌱 Configuração'!$D$56,MOD('🌱 Configuração'!$B$56+138-'🌱 Configuração'!$C$56,7)=0,INT(('🌱 Configuração'!$B$56+138-'🌱 Configuração'!$C$56)/7)+1=3),"🟡 Calda Sulfocálcica (1%) — foliar",IF(AND('🌱 Configuração'!$B$56+138&gt;='🌱 Configuração'!$C$56,'🌱 Configuração'!$B$56+138&lt;'🌱 Configuração'!$D$56,MOD('🌱 Configuração'!$B$56+138-'🌱 Configuração'!$C$56,7)=0,INT(('🌱 Configuração'!$B$56+138-'🌱 Configuração'!$C$56)/7)+1=4),"🦠 Trichoderma (3 g/L) — solo",IF(AND('🌱 Configuração'!$B$56+138&gt;='🌱 Configuração'!$C$56,'🌱 Configuração'!$B$56+138&lt;'🌱 Configuração'!$D$56,MOD('🌱 Configuração'!$B$56+138-'🌱 Configuração'!$C$56,7)=0,INT(('🌱 Configuração'!$B$56+138-'🌱 Configuração'!$C$56)/7)+1=5),"🔵 Calda Bordalesa (0.5%) — foliar",IF(AND('🌱 Configuração'!$B$56+138&gt;='🌱 Configuração'!$C$56,'🌱 Configuração'!$B$56+138&lt;'🌱 Configuração'!$D$56,MOD('🌱 Configuração'!$B$56+138-'🌱 Configuração'!$C$56,7)=0,INT(('🌱 Configuração'!$B$56+138-'🌱 Configuração'!$C$56)/7)+1=6),"🌿 Nim (2 mL/L) — ⚠️ ÚLTIMA foliar",IF(AND('🌱 Configuração'!$B$56+138&gt;='🌱 Configuração'!$C$56,'🌱 Configuração'!$B$56+138&lt;'🌱 Configuração'!$D$56,MOD('🌱 Configuração'!$B$56+138-'🌱 Configuração'!$C$56,7)=0,INT(('🌱 Configuração'!$B$56+138-'🌱 Configuração'!$C$56)/7)+1=7),"🦠 Trichoderma — solo",IF(AND('🌱 Configuração'!$B$56+138&gt;='🌱 Configuração'!$C$56,'🌱 Configuração'!$B$56+138&lt;'🌱 Configuração'!$D$56,MOD('🌱 Configuração'!$B$56+138-'🌱 Configuração'!$C$56,7)=0,INT(('🌱 Configuração'!$B$56+138-'🌱 Configuração'!$C$56)/7)+1=8),"🍄 Beauveria — solo","")))))))),IF('🌱 Configuração'!$B$56+138&lt;'🌱 Configuração'!$E$56,IF(AND('🌱 Configuração'!$B$56+138&gt;='🌱 Configuração'!$D$56,'🌱 Configuração'!$B$56+138&lt;'🌱 Configuração'!$E$56,MOD('🌱 Configuração'!$B$56+138-'🌱 Configuração'!$D$56,7)=0,INT(('🌱 Configuração'!$B$56+138-'🌱 Configuração'!$D$56)/7)+1=1),"🍄 Beauveria bassiana — SOLO apenas",IF(AND('🌱 Configuração'!$B$56+138&gt;='🌱 Configuração'!$D$56,'🌱 Configuração'!$B$56+138&lt;'🌱 Configuração'!$E$56,MOD('🌱 Configuração'!$B$56+138-'🌱 Configuração'!$D$56,7)=0,INT(('🌱 Configuração'!$B$56+138-'🌱 Configuração'!$D$56)/7)+1=2),"🦠 Trichoderma (3 g/L) — solo",IF(AND('🌱 Configuração'!$B$56+138&gt;='🌱 Configuração'!$D$56,'🌱 Configuração'!$B$56+138&lt;'🌱 Configuração'!$E$56,MOD('🌱 Configuração'!$B$56+138-'🌱 Configuração'!$D$56,7)=0,INT(('🌱 Configuração'!$B$56+138-'🌱 Configuração'!$D$56)/7)+1=3),"🍄 Beauveria bassiana — solo | ⚠️ Umid &lt;45%",IF(AND('🌱 Configuração'!$B$56+138&gt;='🌱 Configuração'!$D$56,'🌱 Configuração'!$B$56+138&lt;'🌱 Configuração'!$E$56,MOD('🌱 Configuração'!$B$56+138-'🌱 Configuração'!$D$56,7)=0,INT(('🌱 Configuração'!$B$56+138-'🌱 Configuração'!$D$56)/7)+1=4),"🦠 Trichoderma — solo | Inspecionar buds",IF(AND('🌱 Configuração'!$B$56+138&gt;='🌱 Configuração'!$D$56,'🌱 Configuração'!$B$56+138&lt;'🌱 Configuração'!$E$56,MOD('🌱 Configuração'!$B$56+138-'🌱 Configuração'!$D$56,7)=0,INT(('🌱 Configuração'!$B$56+138-'🌱 Configuração'!$D$56)/7)+1=5),"🍄 Beauveria + inspeção visual buds",IF(AND('🌱 Configuração'!$B$56+138&gt;='🌱 Configuração'!$D$56,'🌱 Configuração'!$B$56+138&lt;'🌱 Configuração'!$E$56,MOD('🌱 Configuração'!$B$56+138-'🌱 Configuração'!$D$56,7)=0,INT(('🌱 Configuração'!$B$56+138-'🌱 Configuração'!$D$56)/7)+1=6),"🦠 Trichoderma + ⚠️ Verificar mofo","")))))),IF(AND('🌱 Configuração'!$B$56+138&gt;='🌱 Configuração'!$E$56,MOD('🌱 Configuração'!$B$56+138-'🌱 Configuração'!$E$56,7)=0),"🔬 Inspeção final — analisar tricomas","")))))</f>
        <v/>
      </c>
      <c r="I144" s="33"/>
    </row>
    <row r="145" spans="1:9" ht="19.5" customHeight="1">
      <c r="A145" s="1"/>
      <c r="B145" s="39" t="str">
        <f>IF(140&lt;='🌱 Configuração'!$F$55,140,"")</f>
        <v/>
      </c>
      <c r="C145" s="40" t="str">
        <f>IF(140&lt;='🌱 Configuração'!$F$55,'🌱 Configuração'!$B$56+139,"")</f>
        <v/>
      </c>
      <c r="D145" s="41" t="str">
        <f>IF(140&gt;'🌱 Configuração'!$F$55,"",IF('🌱 Configuração'!$B$56+139&lt;'🌱 Configuração'!$C$56,"🌱 Clone",IF('🌱 Configuração'!$B$56+139&lt;'🌱 Configuração'!$D$56,"🌿 Vegetativo",IF('🌱 Configuração'!$B$56+139&lt;'🌱 Configuração'!$E$56,"🌸 Floração","🚿 Flush"))))</f>
        <v/>
      </c>
      <c r="E145" s="42" t="str">
        <f>IF(140&gt;'🌱 Configuração'!$F$55,"",IF('🌱 Configuração'!$B$56+139&lt;'🌱 Configuração'!$C$56,"Clone S"&amp;INT((140-1)/7)+1,IF('🌱 Configuração'!$B$56+139&lt;'🌱 Configuração'!$D$56,"Vega S"&amp;INT(('🌱 Configuração'!$B$56+139-'🌱 Configuração'!$C$56)/7)+1,IF('🌱 Configuração'!$B$56+139&lt;'🌱 Configuração'!$E$56,"Flora S"&amp;INT(('🌱 Configuração'!$B$56+139-'🌱 Configuração'!$D$56)/7)+1,"Flush S"&amp;INT(('🌱 Configuração'!$B$56+139-'🌱 Configuração'!$E$56)/7)+1))))</f>
        <v/>
      </c>
      <c r="F145" s="43" t="str">
        <f>IF(140&gt;'🌱 Configuração'!$F$55,"",IF('🌱 Configuração'!$B$56+139='🌱 Configuração'!$C$56,"🌿 INÍCIO VEGA — luz 18h/dia",IF('🌱 Configuração'!$B$56+139='🌱 Configuração'!$D$56,"🌸 INÍCIO FLORAÇÃO — mudar 12/12 🔴",IF('🌱 Configuração'!$B$56+139='🌱 Configuração'!$E$56,"🚿 INÍCIO FLUSH — parar nutrição",IF('🌱 Configuração'!$B$56+139='🌱 Configuração'!$F$56-1,"🔬 Véspera da colheita — analisar tricomas",IF('🌱 Configuração'!$B$56+139='🌱 Configuração'!$F$56,"✂️ COLHEITA — Parabéns! 🎉",""))))))</f>
        <v/>
      </c>
      <c r="G145" s="44" t="s">
        <v>428</v>
      </c>
      <c r="H145" s="45" t="str">
        <f>IF(140&gt;'🌱 Configuração'!$F$55,"",IF('🌱 Configuração'!$B$56+139&lt;'🌱 Configuração'!$C$56,IF(140=1,"🌿 Nim (2 mL/L) — foliar leve",IF(140=8,"🍄 Beauveria bassiana — foliar + solo","")),IF('🌱 Configuração'!$B$56+139&lt;'🌱 Configuração'!$D$56,IF(AND('🌱 Configuração'!$B$56+139&gt;='🌱 Configuração'!$C$56,'🌱 Configuração'!$B$56+139&lt;'🌱 Configuração'!$D$56,MOD('🌱 Configuração'!$B$56+139-'🌱 Configuração'!$C$56,7)=0,INT(('🌱 Configuração'!$B$56+139-'🌱 Configuração'!$C$56)/7)+1=1),"🌿 Nim (2 mL/L) — foliar preventivo",IF(AND('🌱 Configuração'!$B$56+139&gt;='🌱 Configuração'!$C$56,'🌱 Configuração'!$B$56+139&lt;'🌱 Configuração'!$D$56,MOD('🌱 Configuração'!$B$56+139-'🌱 Configuração'!$C$56,7)=0,INT(('🌱 Configuração'!$B$56+139-'🌱 Configuração'!$C$56)/7)+1=2),"🍄 Beauveria bassiana — foliar + solo",IF(AND('🌱 Configuração'!$B$56+139&gt;='🌱 Configuração'!$C$56,'🌱 Configuração'!$B$56+139&lt;'🌱 Configuração'!$D$56,MOD('🌱 Configuração'!$B$56+139-'🌱 Configuração'!$C$56,7)=0,INT(('🌱 Configuração'!$B$56+139-'🌱 Configuração'!$C$56)/7)+1=3),"🟡 Calda Sulfocálcica (1%) — foliar",IF(AND('🌱 Configuração'!$B$56+139&gt;='🌱 Configuração'!$C$56,'🌱 Configuração'!$B$56+139&lt;'🌱 Configuração'!$D$56,MOD('🌱 Configuração'!$B$56+139-'🌱 Configuração'!$C$56,7)=0,INT(('🌱 Configuração'!$B$56+139-'🌱 Configuração'!$C$56)/7)+1=4),"🦠 Trichoderma (3 g/L) — solo",IF(AND('🌱 Configuração'!$B$56+139&gt;='🌱 Configuração'!$C$56,'🌱 Configuração'!$B$56+139&lt;'🌱 Configuração'!$D$56,MOD('🌱 Configuração'!$B$56+139-'🌱 Configuração'!$C$56,7)=0,INT(('🌱 Configuração'!$B$56+139-'🌱 Configuração'!$C$56)/7)+1=5),"🔵 Calda Bordalesa (0.5%) — foliar",IF(AND('🌱 Configuração'!$B$56+139&gt;='🌱 Configuração'!$C$56,'🌱 Configuração'!$B$56+139&lt;'🌱 Configuração'!$D$56,MOD('🌱 Configuração'!$B$56+139-'🌱 Configuração'!$C$56,7)=0,INT(('🌱 Configuração'!$B$56+139-'🌱 Configuração'!$C$56)/7)+1=6),"🌿 Nim (2 mL/L) — ⚠️ ÚLTIMA foliar",IF(AND('🌱 Configuração'!$B$56+139&gt;='🌱 Configuração'!$C$56,'🌱 Configuração'!$B$56+139&lt;'🌱 Configuração'!$D$56,MOD('🌱 Configuração'!$B$56+139-'🌱 Configuração'!$C$56,7)=0,INT(('🌱 Configuração'!$B$56+139-'🌱 Configuração'!$C$56)/7)+1=7),"🦠 Trichoderma — solo",IF(AND('🌱 Configuração'!$B$56+139&gt;='🌱 Configuração'!$C$56,'🌱 Configuração'!$B$56+139&lt;'🌱 Configuração'!$D$56,MOD('🌱 Configuração'!$B$56+139-'🌱 Configuração'!$C$56,7)=0,INT(('🌱 Configuração'!$B$56+139-'🌱 Configuração'!$C$56)/7)+1=8),"🍄 Beauveria — solo","")))))))),IF('🌱 Configuração'!$B$56+139&lt;'🌱 Configuração'!$E$56,IF(AND('🌱 Configuração'!$B$56+139&gt;='🌱 Configuração'!$D$56,'🌱 Configuração'!$B$56+139&lt;'🌱 Configuração'!$E$56,MOD('🌱 Configuração'!$B$56+139-'🌱 Configuração'!$D$56,7)=0,INT(('🌱 Configuração'!$B$56+139-'🌱 Configuração'!$D$56)/7)+1=1),"🍄 Beauveria bassiana — SOLO apenas",IF(AND('🌱 Configuração'!$B$56+139&gt;='🌱 Configuração'!$D$56,'🌱 Configuração'!$B$56+139&lt;'🌱 Configuração'!$E$56,MOD('🌱 Configuração'!$B$56+139-'🌱 Configuração'!$D$56,7)=0,INT(('🌱 Configuração'!$B$56+139-'🌱 Configuração'!$D$56)/7)+1=2),"🦠 Trichoderma (3 g/L) — solo",IF(AND('🌱 Configuração'!$B$56+139&gt;='🌱 Configuração'!$D$56,'🌱 Configuração'!$B$56+139&lt;'🌱 Configuração'!$E$56,MOD('🌱 Configuração'!$B$56+139-'🌱 Configuração'!$D$56,7)=0,INT(('🌱 Configuração'!$B$56+139-'🌱 Configuração'!$D$56)/7)+1=3),"🍄 Beauveria bassiana — solo | ⚠️ Umid &lt;45%",IF(AND('🌱 Configuração'!$B$56+139&gt;='🌱 Configuração'!$D$56,'🌱 Configuração'!$B$56+139&lt;'🌱 Configuração'!$E$56,MOD('🌱 Configuração'!$B$56+139-'🌱 Configuração'!$D$56,7)=0,INT(('🌱 Configuração'!$B$56+139-'🌱 Configuração'!$D$56)/7)+1=4),"🦠 Trichoderma — solo | Inspecionar buds",IF(AND('🌱 Configuração'!$B$56+139&gt;='🌱 Configuração'!$D$56,'🌱 Configuração'!$B$56+139&lt;'🌱 Configuração'!$E$56,MOD('🌱 Configuração'!$B$56+139-'🌱 Configuração'!$D$56,7)=0,INT(('🌱 Configuração'!$B$56+139-'🌱 Configuração'!$D$56)/7)+1=5),"🍄 Beauveria + inspeção visual buds",IF(AND('🌱 Configuração'!$B$56+139&gt;='🌱 Configuração'!$D$56,'🌱 Configuração'!$B$56+139&lt;'🌱 Configuração'!$E$56,MOD('🌱 Configuração'!$B$56+139-'🌱 Configuração'!$D$56,7)=0,INT(('🌱 Configuração'!$B$56+139-'🌱 Configuração'!$D$56)/7)+1=6),"🦠 Trichoderma + ⚠️ Verificar mofo","")))))),IF(AND('🌱 Configuração'!$B$56+139&gt;='🌱 Configuração'!$E$56,MOD('🌱 Configuração'!$B$56+139-'🌱 Configuração'!$E$56,7)=0),"🔬 Inspeção final — analisar tricomas","")))))</f>
        <v/>
      </c>
      <c r="I145" s="33"/>
    </row>
    <row r="146" spans="1:9" ht="19.5" customHeight="1">
      <c r="A146" s="1"/>
      <c r="B146" s="35" t="str">
        <f>IF(141&lt;='🌱 Configuração'!$F$55,141,"")</f>
        <v/>
      </c>
      <c r="C146" s="13" t="str">
        <f>IF(141&lt;='🌱 Configuração'!$F$55,'🌱 Configuração'!$B$56+140,"")</f>
        <v/>
      </c>
      <c r="D146" s="36" t="str">
        <f>IF(141&gt;'🌱 Configuração'!$F$55,"",IF('🌱 Configuração'!$B$56+140&lt;'🌱 Configuração'!$C$56,"🌱 Clone",IF('🌱 Configuração'!$B$56+140&lt;'🌱 Configuração'!$D$56,"🌿 Vegetativo",IF('🌱 Configuração'!$B$56+140&lt;'🌱 Configuração'!$E$56,"🌸 Floração","🚿 Flush"))))</f>
        <v/>
      </c>
      <c r="E146" s="15" t="str">
        <f>IF(141&gt;'🌱 Configuração'!$F$55,"",IF('🌱 Configuração'!$B$56+140&lt;'🌱 Configuração'!$C$56,"Clone S"&amp;INT((141-1)/7)+1,IF('🌱 Configuração'!$B$56+140&lt;'🌱 Configuração'!$D$56,"Vega S"&amp;INT(('🌱 Configuração'!$B$56+140-'🌱 Configuração'!$C$56)/7)+1,IF('🌱 Configuração'!$B$56+140&lt;'🌱 Configuração'!$E$56,"Flora S"&amp;INT(('🌱 Configuração'!$B$56+140-'🌱 Configuração'!$D$56)/7)+1,"Flush S"&amp;INT(('🌱 Configuração'!$B$56+140-'🌱 Configuração'!$E$56)/7)+1))))</f>
        <v/>
      </c>
      <c r="F146" s="14" t="str">
        <f>IF(141&gt;'🌱 Configuração'!$F$55,"",IF('🌱 Configuração'!$B$56+140='🌱 Configuração'!$C$56,"🌿 INÍCIO VEGA — luz 18h/dia",IF('🌱 Configuração'!$B$56+140='🌱 Configuração'!$D$56,"🌸 INÍCIO FLORAÇÃO — mudar 12/12 🔴",IF('🌱 Configuração'!$B$56+140='🌱 Configuração'!$E$56,"🚿 INÍCIO FLUSH — parar nutrição",IF('🌱 Configuração'!$B$56+140='🌱 Configuração'!$F$56-1,"🔬 Véspera da colheita — analisar tricomas",IF('🌱 Configuração'!$B$56+140='🌱 Configuração'!$F$56,"✂️ COLHEITA — Parabéns! 🎉",""))))))</f>
        <v/>
      </c>
      <c r="G146" s="37" t="s">
        <v>428</v>
      </c>
      <c r="H146" s="38" t="str">
        <f>IF(141&gt;'🌱 Configuração'!$F$55,"",IF('🌱 Configuração'!$B$56+140&lt;'🌱 Configuração'!$C$56,IF(141=1,"🌿 Nim (2 mL/L) — foliar leve",IF(141=8,"🍄 Beauveria bassiana — foliar + solo","")),IF('🌱 Configuração'!$B$56+140&lt;'🌱 Configuração'!$D$56,IF(AND('🌱 Configuração'!$B$56+140&gt;='🌱 Configuração'!$C$56,'🌱 Configuração'!$B$56+140&lt;'🌱 Configuração'!$D$56,MOD('🌱 Configuração'!$B$56+140-'🌱 Configuração'!$C$56,7)=0,INT(('🌱 Configuração'!$B$56+140-'🌱 Configuração'!$C$56)/7)+1=1),"🌿 Nim (2 mL/L) — foliar preventivo",IF(AND('🌱 Configuração'!$B$56+140&gt;='🌱 Configuração'!$C$56,'🌱 Configuração'!$B$56+140&lt;'🌱 Configuração'!$D$56,MOD('🌱 Configuração'!$B$56+140-'🌱 Configuração'!$C$56,7)=0,INT(('🌱 Configuração'!$B$56+140-'🌱 Configuração'!$C$56)/7)+1=2),"🍄 Beauveria bassiana — foliar + solo",IF(AND('🌱 Configuração'!$B$56+140&gt;='🌱 Configuração'!$C$56,'🌱 Configuração'!$B$56+140&lt;'🌱 Configuração'!$D$56,MOD('🌱 Configuração'!$B$56+140-'🌱 Configuração'!$C$56,7)=0,INT(('🌱 Configuração'!$B$56+140-'🌱 Configuração'!$C$56)/7)+1=3),"🟡 Calda Sulfocálcica (1%) — foliar",IF(AND('🌱 Configuração'!$B$56+140&gt;='🌱 Configuração'!$C$56,'🌱 Configuração'!$B$56+140&lt;'🌱 Configuração'!$D$56,MOD('🌱 Configuração'!$B$56+140-'🌱 Configuração'!$C$56,7)=0,INT(('🌱 Configuração'!$B$56+140-'🌱 Configuração'!$C$56)/7)+1=4),"🦠 Trichoderma (3 g/L) — solo",IF(AND('🌱 Configuração'!$B$56+140&gt;='🌱 Configuração'!$C$56,'🌱 Configuração'!$B$56+140&lt;'🌱 Configuração'!$D$56,MOD('🌱 Configuração'!$B$56+140-'🌱 Configuração'!$C$56,7)=0,INT(('🌱 Configuração'!$B$56+140-'🌱 Configuração'!$C$56)/7)+1=5),"🔵 Calda Bordalesa (0.5%) — foliar",IF(AND('🌱 Configuração'!$B$56+140&gt;='🌱 Configuração'!$C$56,'🌱 Configuração'!$B$56+140&lt;'🌱 Configuração'!$D$56,MOD('🌱 Configuração'!$B$56+140-'🌱 Configuração'!$C$56,7)=0,INT(('🌱 Configuração'!$B$56+140-'🌱 Configuração'!$C$56)/7)+1=6),"🌿 Nim (2 mL/L) — ⚠️ ÚLTIMA foliar",IF(AND('🌱 Configuração'!$B$56+140&gt;='🌱 Configuração'!$C$56,'🌱 Configuração'!$B$56+140&lt;'🌱 Configuração'!$D$56,MOD('🌱 Configuração'!$B$56+140-'🌱 Configuração'!$C$56,7)=0,INT(('🌱 Configuração'!$B$56+140-'🌱 Configuração'!$C$56)/7)+1=7),"🦠 Trichoderma — solo",IF(AND('🌱 Configuração'!$B$56+140&gt;='🌱 Configuração'!$C$56,'🌱 Configuração'!$B$56+140&lt;'🌱 Configuração'!$D$56,MOD('🌱 Configuração'!$B$56+140-'🌱 Configuração'!$C$56,7)=0,INT(('🌱 Configuração'!$B$56+140-'🌱 Configuração'!$C$56)/7)+1=8),"🍄 Beauveria — solo","")))))))),IF('🌱 Configuração'!$B$56+140&lt;'🌱 Configuração'!$E$56,IF(AND('🌱 Configuração'!$B$56+140&gt;='🌱 Configuração'!$D$56,'🌱 Configuração'!$B$56+140&lt;'🌱 Configuração'!$E$56,MOD('🌱 Configuração'!$B$56+140-'🌱 Configuração'!$D$56,7)=0,INT(('🌱 Configuração'!$B$56+140-'🌱 Configuração'!$D$56)/7)+1=1),"🍄 Beauveria bassiana — SOLO apenas",IF(AND('🌱 Configuração'!$B$56+140&gt;='🌱 Configuração'!$D$56,'🌱 Configuração'!$B$56+140&lt;'🌱 Configuração'!$E$56,MOD('🌱 Configuração'!$B$56+140-'🌱 Configuração'!$D$56,7)=0,INT(('🌱 Configuração'!$B$56+140-'🌱 Configuração'!$D$56)/7)+1=2),"🦠 Trichoderma (3 g/L) — solo",IF(AND('🌱 Configuração'!$B$56+140&gt;='🌱 Configuração'!$D$56,'🌱 Configuração'!$B$56+140&lt;'🌱 Configuração'!$E$56,MOD('🌱 Configuração'!$B$56+140-'🌱 Configuração'!$D$56,7)=0,INT(('🌱 Configuração'!$B$56+140-'🌱 Configuração'!$D$56)/7)+1=3),"🍄 Beauveria bassiana — solo | ⚠️ Umid &lt;45%",IF(AND('🌱 Configuração'!$B$56+140&gt;='🌱 Configuração'!$D$56,'🌱 Configuração'!$B$56+140&lt;'🌱 Configuração'!$E$56,MOD('🌱 Configuração'!$B$56+140-'🌱 Configuração'!$D$56,7)=0,INT(('🌱 Configuração'!$B$56+140-'🌱 Configuração'!$D$56)/7)+1=4),"🦠 Trichoderma — solo | Inspecionar buds",IF(AND('🌱 Configuração'!$B$56+140&gt;='🌱 Configuração'!$D$56,'🌱 Configuração'!$B$56+140&lt;'🌱 Configuração'!$E$56,MOD('🌱 Configuração'!$B$56+140-'🌱 Configuração'!$D$56,7)=0,INT(('🌱 Configuração'!$B$56+140-'🌱 Configuração'!$D$56)/7)+1=5),"🍄 Beauveria + inspeção visual buds",IF(AND('🌱 Configuração'!$B$56+140&gt;='🌱 Configuração'!$D$56,'🌱 Configuração'!$B$56+140&lt;'🌱 Configuração'!$E$56,MOD('🌱 Configuração'!$B$56+140-'🌱 Configuração'!$D$56,7)=0,INT(('🌱 Configuração'!$B$56+140-'🌱 Configuração'!$D$56)/7)+1=6),"🦠 Trichoderma + ⚠️ Verificar mofo","")))))),IF(AND('🌱 Configuração'!$B$56+140&gt;='🌱 Configuração'!$E$56,MOD('🌱 Configuração'!$B$56+140-'🌱 Configuração'!$E$56,7)=0),"🔬 Inspeção final — analisar tricomas","")))))</f>
        <v/>
      </c>
      <c r="I146" s="33"/>
    </row>
    <row r="147" spans="1:9" ht="19.5" customHeight="1">
      <c r="A147" s="1"/>
      <c r="B147" s="39" t="str">
        <f>IF(142&lt;='🌱 Configuração'!$F$55,142,"")</f>
        <v/>
      </c>
      <c r="C147" s="40" t="str">
        <f>IF(142&lt;='🌱 Configuração'!$F$55,'🌱 Configuração'!$B$56+141,"")</f>
        <v/>
      </c>
      <c r="D147" s="41" t="str">
        <f>IF(142&gt;'🌱 Configuração'!$F$55,"",IF('🌱 Configuração'!$B$56+141&lt;'🌱 Configuração'!$C$56,"🌱 Clone",IF('🌱 Configuração'!$B$56+141&lt;'🌱 Configuração'!$D$56,"🌿 Vegetativo",IF('🌱 Configuração'!$B$56+141&lt;'🌱 Configuração'!$E$56,"🌸 Floração","🚿 Flush"))))</f>
        <v/>
      </c>
      <c r="E147" s="42" t="str">
        <f>IF(142&gt;'🌱 Configuração'!$F$55,"",IF('🌱 Configuração'!$B$56+141&lt;'🌱 Configuração'!$C$56,"Clone S"&amp;INT((142-1)/7)+1,IF('🌱 Configuração'!$B$56+141&lt;'🌱 Configuração'!$D$56,"Vega S"&amp;INT(('🌱 Configuração'!$B$56+141-'🌱 Configuração'!$C$56)/7)+1,IF('🌱 Configuração'!$B$56+141&lt;'🌱 Configuração'!$E$56,"Flora S"&amp;INT(('🌱 Configuração'!$B$56+141-'🌱 Configuração'!$D$56)/7)+1,"Flush S"&amp;INT(('🌱 Configuração'!$B$56+141-'🌱 Configuração'!$E$56)/7)+1))))</f>
        <v/>
      </c>
      <c r="F147" s="43" t="str">
        <f>IF(142&gt;'🌱 Configuração'!$F$55,"",IF('🌱 Configuração'!$B$56+141='🌱 Configuração'!$C$56,"🌿 INÍCIO VEGA — luz 18h/dia",IF('🌱 Configuração'!$B$56+141='🌱 Configuração'!$D$56,"🌸 INÍCIO FLORAÇÃO — mudar 12/12 🔴",IF('🌱 Configuração'!$B$56+141='🌱 Configuração'!$E$56,"🚿 INÍCIO FLUSH — parar nutrição",IF('🌱 Configuração'!$B$56+141='🌱 Configuração'!$F$56-1,"🔬 Véspera da colheita — analisar tricomas",IF('🌱 Configuração'!$B$56+141='🌱 Configuração'!$F$56,"✂️ COLHEITA — Parabéns! 🎉",""))))))</f>
        <v/>
      </c>
      <c r="G147" s="44" t="s">
        <v>428</v>
      </c>
      <c r="H147" s="45" t="str">
        <f>IF(142&gt;'🌱 Configuração'!$F$55,"",IF('🌱 Configuração'!$B$56+141&lt;'🌱 Configuração'!$C$56,IF(142=1,"🌿 Nim (2 mL/L) — foliar leve",IF(142=8,"🍄 Beauveria bassiana — foliar + solo","")),IF('🌱 Configuração'!$B$56+141&lt;'🌱 Configuração'!$D$56,IF(AND('🌱 Configuração'!$B$56+141&gt;='🌱 Configuração'!$C$56,'🌱 Configuração'!$B$56+141&lt;'🌱 Configuração'!$D$56,MOD('🌱 Configuração'!$B$56+141-'🌱 Configuração'!$C$56,7)=0,INT(('🌱 Configuração'!$B$56+141-'🌱 Configuração'!$C$56)/7)+1=1),"🌿 Nim (2 mL/L) — foliar preventivo",IF(AND('🌱 Configuração'!$B$56+141&gt;='🌱 Configuração'!$C$56,'🌱 Configuração'!$B$56+141&lt;'🌱 Configuração'!$D$56,MOD('🌱 Configuração'!$B$56+141-'🌱 Configuração'!$C$56,7)=0,INT(('🌱 Configuração'!$B$56+141-'🌱 Configuração'!$C$56)/7)+1=2),"🍄 Beauveria bassiana — foliar + solo",IF(AND('🌱 Configuração'!$B$56+141&gt;='🌱 Configuração'!$C$56,'🌱 Configuração'!$B$56+141&lt;'🌱 Configuração'!$D$56,MOD('🌱 Configuração'!$B$56+141-'🌱 Configuração'!$C$56,7)=0,INT(('🌱 Configuração'!$B$56+141-'🌱 Configuração'!$C$56)/7)+1=3),"🟡 Calda Sulfocálcica (1%) — foliar",IF(AND('🌱 Configuração'!$B$56+141&gt;='🌱 Configuração'!$C$56,'🌱 Configuração'!$B$56+141&lt;'🌱 Configuração'!$D$56,MOD('🌱 Configuração'!$B$56+141-'🌱 Configuração'!$C$56,7)=0,INT(('🌱 Configuração'!$B$56+141-'🌱 Configuração'!$C$56)/7)+1=4),"🦠 Trichoderma (3 g/L) — solo",IF(AND('🌱 Configuração'!$B$56+141&gt;='🌱 Configuração'!$C$56,'🌱 Configuração'!$B$56+141&lt;'🌱 Configuração'!$D$56,MOD('🌱 Configuração'!$B$56+141-'🌱 Configuração'!$C$56,7)=0,INT(('🌱 Configuração'!$B$56+141-'🌱 Configuração'!$C$56)/7)+1=5),"🔵 Calda Bordalesa (0.5%) — foliar",IF(AND('🌱 Configuração'!$B$56+141&gt;='🌱 Configuração'!$C$56,'🌱 Configuração'!$B$56+141&lt;'🌱 Configuração'!$D$56,MOD('🌱 Configuração'!$B$56+141-'🌱 Configuração'!$C$56,7)=0,INT(('🌱 Configuração'!$B$56+141-'🌱 Configuração'!$C$56)/7)+1=6),"🌿 Nim (2 mL/L) — ⚠️ ÚLTIMA foliar",IF(AND('🌱 Configuração'!$B$56+141&gt;='🌱 Configuração'!$C$56,'🌱 Configuração'!$B$56+141&lt;'🌱 Configuração'!$D$56,MOD('🌱 Configuração'!$B$56+141-'🌱 Configuração'!$C$56,7)=0,INT(('🌱 Configuração'!$B$56+141-'🌱 Configuração'!$C$56)/7)+1=7),"🦠 Trichoderma — solo",IF(AND('🌱 Configuração'!$B$56+141&gt;='🌱 Configuração'!$C$56,'🌱 Configuração'!$B$56+141&lt;'🌱 Configuração'!$D$56,MOD('🌱 Configuração'!$B$56+141-'🌱 Configuração'!$C$56,7)=0,INT(('🌱 Configuração'!$B$56+141-'🌱 Configuração'!$C$56)/7)+1=8),"🍄 Beauveria — solo","")))))))),IF('🌱 Configuração'!$B$56+141&lt;'🌱 Configuração'!$E$56,IF(AND('🌱 Configuração'!$B$56+141&gt;='🌱 Configuração'!$D$56,'🌱 Configuração'!$B$56+141&lt;'🌱 Configuração'!$E$56,MOD('🌱 Configuração'!$B$56+141-'🌱 Configuração'!$D$56,7)=0,INT(('🌱 Configuração'!$B$56+141-'🌱 Configuração'!$D$56)/7)+1=1),"🍄 Beauveria bassiana — SOLO apenas",IF(AND('🌱 Configuração'!$B$56+141&gt;='🌱 Configuração'!$D$56,'🌱 Configuração'!$B$56+141&lt;'🌱 Configuração'!$E$56,MOD('🌱 Configuração'!$B$56+141-'🌱 Configuração'!$D$56,7)=0,INT(('🌱 Configuração'!$B$56+141-'🌱 Configuração'!$D$56)/7)+1=2),"🦠 Trichoderma (3 g/L) — solo",IF(AND('🌱 Configuração'!$B$56+141&gt;='🌱 Configuração'!$D$56,'🌱 Configuração'!$B$56+141&lt;'🌱 Configuração'!$E$56,MOD('🌱 Configuração'!$B$56+141-'🌱 Configuração'!$D$56,7)=0,INT(('🌱 Configuração'!$B$56+141-'🌱 Configuração'!$D$56)/7)+1=3),"🍄 Beauveria bassiana — solo | ⚠️ Umid &lt;45%",IF(AND('🌱 Configuração'!$B$56+141&gt;='🌱 Configuração'!$D$56,'🌱 Configuração'!$B$56+141&lt;'🌱 Configuração'!$E$56,MOD('🌱 Configuração'!$B$56+141-'🌱 Configuração'!$D$56,7)=0,INT(('🌱 Configuração'!$B$56+141-'🌱 Configuração'!$D$56)/7)+1=4),"🦠 Trichoderma — solo | Inspecionar buds",IF(AND('🌱 Configuração'!$B$56+141&gt;='🌱 Configuração'!$D$56,'🌱 Configuração'!$B$56+141&lt;'🌱 Configuração'!$E$56,MOD('🌱 Configuração'!$B$56+141-'🌱 Configuração'!$D$56,7)=0,INT(('🌱 Configuração'!$B$56+141-'🌱 Configuração'!$D$56)/7)+1=5),"🍄 Beauveria + inspeção visual buds",IF(AND('🌱 Configuração'!$B$56+141&gt;='🌱 Configuração'!$D$56,'🌱 Configuração'!$B$56+141&lt;'🌱 Configuração'!$E$56,MOD('🌱 Configuração'!$B$56+141-'🌱 Configuração'!$D$56,7)=0,INT(('🌱 Configuração'!$B$56+141-'🌱 Configuração'!$D$56)/7)+1=6),"🦠 Trichoderma + ⚠️ Verificar mofo","")))))),IF(AND('🌱 Configuração'!$B$56+141&gt;='🌱 Configuração'!$E$56,MOD('🌱 Configuração'!$B$56+141-'🌱 Configuração'!$E$56,7)=0),"🔬 Inspeção final — analisar tricomas","")))))</f>
        <v/>
      </c>
      <c r="I147" s="33"/>
    </row>
    <row r="148" spans="1:9" ht="19.5" customHeight="1">
      <c r="A148" s="1"/>
      <c r="B148" s="35" t="str">
        <f>IF(143&lt;='🌱 Configuração'!$F$55,143,"")</f>
        <v/>
      </c>
      <c r="C148" s="13" t="str">
        <f>IF(143&lt;='🌱 Configuração'!$F$55,'🌱 Configuração'!$B$56+142,"")</f>
        <v/>
      </c>
      <c r="D148" s="36" t="str">
        <f>IF(143&gt;'🌱 Configuração'!$F$55,"",IF('🌱 Configuração'!$B$56+142&lt;'🌱 Configuração'!$C$56,"🌱 Clone",IF('🌱 Configuração'!$B$56+142&lt;'🌱 Configuração'!$D$56,"🌿 Vegetativo",IF('🌱 Configuração'!$B$56+142&lt;'🌱 Configuração'!$E$56,"🌸 Floração","🚿 Flush"))))</f>
        <v/>
      </c>
      <c r="E148" s="15" t="str">
        <f>IF(143&gt;'🌱 Configuração'!$F$55,"",IF('🌱 Configuração'!$B$56+142&lt;'🌱 Configuração'!$C$56,"Clone S"&amp;INT((143-1)/7)+1,IF('🌱 Configuração'!$B$56+142&lt;'🌱 Configuração'!$D$56,"Vega S"&amp;INT(('🌱 Configuração'!$B$56+142-'🌱 Configuração'!$C$56)/7)+1,IF('🌱 Configuração'!$B$56+142&lt;'🌱 Configuração'!$E$56,"Flora S"&amp;INT(('🌱 Configuração'!$B$56+142-'🌱 Configuração'!$D$56)/7)+1,"Flush S"&amp;INT(('🌱 Configuração'!$B$56+142-'🌱 Configuração'!$E$56)/7)+1))))</f>
        <v/>
      </c>
      <c r="F148" s="14" t="str">
        <f>IF(143&gt;'🌱 Configuração'!$F$55,"",IF('🌱 Configuração'!$B$56+142='🌱 Configuração'!$C$56,"🌿 INÍCIO VEGA — luz 18h/dia",IF('🌱 Configuração'!$B$56+142='🌱 Configuração'!$D$56,"🌸 INÍCIO FLORAÇÃO — mudar 12/12 🔴",IF('🌱 Configuração'!$B$56+142='🌱 Configuração'!$E$56,"🚿 INÍCIO FLUSH — parar nutrição",IF('🌱 Configuração'!$B$56+142='🌱 Configuração'!$F$56-1,"🔬 Véspera da colheita — analisar tricomas",IF('🌱 Configuração'!$B$56+142='🌱 Configuração'!$F$56,"✂️ COLHEITA — Parabéns! 🎉",""))))))</f>
        <v/>
      </c>
      <c r="G148" s="37" t="s">
        <v>428</v>
      </c>
      <c r="H148" s="38" t="str">
        <f>IF(143&gt;'🌱 Configuração'!$F$55,"",IF('🌱 Configuração'!$B$56+142&lt;'🌱 Configuração'!$C$56,IF(143=1,"🌿 Nim (2 mL/L) — foliar leve",IF(143=8,"🍄 Beauveria bassiana — foliar + solo","")),IF('🌱 Configuração'!$B$56+142&lt;'🌱 Configuração'!$D$56,IF(AND('🌱 Configuração'!$B$56+142&gt;='🌱 Configuração'!$C$56,'🌱 Configuração'!$B$56+142&lt;'🌱 Configuração'!$D$56,MOD('🌱 Configuração'!$B$56+142-'🌱 Configuração'!$C$56,7)=0,INT(('🌱 Configuração'!$B$56+142-'🌱 Configuração'!$C$56)/7)+1=1),"🌿 Nim (2 mL/L) — foliar preventivo",IF(AND('🌱 Configuração'!$B$56+142&gt;='🌱 Configuração'!$C$56,'🌱 Configuração'!$B$56+142&lt;'🌱 Configuração'!$D$56,MOD('🌱 Configuração'!$B$56+142-'🌱 Configuração'!$C$56,7)=0,INT(('🌱 Configuração'!$B$56+142-'🌱 Configuração'!$C$56)/7)+1=2),"🍄 Beauveria bassiana — foliar + solo",IF(AND('🌱 Configuração'!$B$56+142&gt;='🌱 Configuração'!$C$56,'🌱 Configuração'!$B$56+142&lt;'🌱 Configuração'!$D$56,MOD('🌱 Configuração'!$B$56+142-'🌱 Configuração'!$C$56,7)=0,INT(('🌱 Configuração'!$B$56+142-'🌱 Configuração'!$C$56)/7)+1=3),"🟡 Calda Sulfocálcica (1%) — foliar",IF(AND('🌱 Configuração'!$B$56+142&gt;='🌱 Configuração'!$C$56,'🌱 Configuração'!$B$56+142&lt;'🌱 Configuração'!$D$56,MOD('🌱 Configuração'!$B$56+142-'🌱 Configuração'!$C$56,7)=0,INT(('🌱 Configuração'!$B$56+142-'🌱 Configuração'!$C$56)/7)+1=4),"🦠 Trichoderma (3 g/L) — solo",IF(AND('🌱 Configuração'!$B$56+142&gt;='🌱 Configuração'!$C$56,'🌱 Configuração'!$B$56+142&lt;'🌱 Configuração'!$D$56,MOD('🌱 Configuração'!$B$56+142-'🌱 Configuração'!$C$56,7)=0,INT(('🌱 Configuração'!$B$56+142-'🌱 Configuração'!$C$56)/7)+1=5),"🔵 Calda Bordalesa (0.5%) — foliar",IF(AND('🌱 Configuração'!$B$56+142&gt;='🌱 Configuração'!$C$56,'🌱 Configuração'!$B$56+142&lt;'🌱 Configuração'!$D$56,MOD('🌱 Configuração'!$B$56+142-'🌱 Configuração'!$C$56,7)=0,INT(('🌱 Configuração'!$B$56+142-'🌱 Configuração'!$C$56)/7)+1=6),"🌿 Nim (2 mL/L) — ⚠️ ÚLTIMA foliar",IF(AND('🌱 Configuração'!$B$56+142&gt;='🌱 Configuração'!$C$56,'🌱 Configuração'!$B$56+142&lt;'🌱 Configuração'!$D$56,MOD('🌱 Configuração'!$B$56+142-'🌱 Configuração'!$C$56,7)=0,INT(('🌱 Configuração'!$B$56+142-'🌱 Configuração'!$C$56)/7)+1=7),"🦠 Trichoderma — solo",IF(AND('🌱 Configuração'!$B$56+142&gt;='🌱 Configuração'!$C$56,'🌱 Configuração'!$B$56+142&lt;'🌱 Configuração'!$D$56,MOD('🌱 Configuração'!$B$56+142-'🌱 Configuração'!$C$56,7)=0,INT(('🌱 Configuração'!$B$56+142-'🌱 Configuração'!$C$56)/7)+1=8),"🍄 Beauveria — solo","")))))))),IF('🌱 Configuração'!$B$56+142&lt;'🌱 Configuração'!$E$56,IF(AND('🌱 Configuração'!$B$56+142&gt;='🌱 Configuração'!$D$56,'🌱 Configuração'!$B$56+142&lt;'🌱 Configuração'!$E$56,MOD('🌱 Configuração'!$B$56+142-'🌱 Configuração'!$D$56,7)=0,INT(('🌱 Configuração'!$B$56+142-'🌱 Configuração'!$D$56)/7)+1=1),"🍄 Beauveria bassiana — SOLO apenas",IF(AND('🌱 Configuração'!$B$56+142&gt;='🌱 Configuração'!$D$56,'🌱 Configuração'!$B$56+142&lt;'🌱 Configuração'!$E$56,MOD('🌱 Configuração'!$B$56+142-'🌱 Configuração'!$D$56,7)=0,INT(('🌱 Configuração'!$B$56+142-'🌱 Configuração'!$D$56)/7)+1=2),"🦠 Trichoderma (3 g/L) — solo",IF(AND('🌱 Configuração'!$B$56+142&gt;='🌱 Configuração'!$D$56,'🌱 Configuração'!$B$56+142&lt;'🌱 Configuração'!$E$56,MOD('🌱 Configuração'!$B$56+142-'🌱 Configuração'!$D$56,7)=0,INT(('🌱 Configuração'!$B$56+142-'🌱 Configuração'!$D$56)/7)+1=3),"🍄 Beauveria bassiana — solo | ⚠️ Umid &lt;45%",IF(AND('🌱 Configuração'!$B$56+142&gt;='🌱 Configuração'!$D$56,'🌱 Configuração'!$B$56+142&lt;'🌱 Configuração'!$E$56,MOD('🌱 Configuração'!$B$56+142-'🌱 Configuração'!$D$56,7)=0,INT(('🌱 Configuração'!$B$56+142-'🌱 Configuração'!$D$56)/7)+1=4),"🦠 Trichoderma — solo | Inspecionar buds",IF(AND('🌱 Configuração'!$B$56+142&gt;='🌱 Configuração'!$D$56,'🌱 Configuração'!$B$56+142&lt;'🌱 Configuração'!$E$56,MOD('🌱 Configuração'!$B$56+142-'🌱 Configuração'!$D$56,7)=0,INT(('🌱 Configuração'!$B$56+142-'🌱 Configuração'!$D$56)/7)+1=5),"🍄 Beauveria + inspeção visual buds",IF(AND('🌱 Configuração'!$B$56+142&gt;='🌱 Configuração'!$D$56,'🌱 Configuração'!$B$56+142&lt;'🌱 Configuração'!$E$56,MOD('🌱 Configuração'!$B$56+142-'🌱 Configuração'!$D$56,7)=0,INT(('🌱 Configuração'!$B$56+142-'🌱 Configuração'!$D$56)/7)+1=6),"🦠 Trichoderma + ⚠️ Verificar mofo","")))))),IF(AND('🌱 Configuração'!$B$56+142&gt;='🌱 Configuração'!$E$56,MOD('🌱 Configuração'!$B$56+142-'🌱 Configuração'!$E$56,7)=0),"🔬 Inspeção final — analisar tricomas","")))))</f>
        <v/>
      </c>
      <c r="I148" s="33"/>
    </row>
    <row r="149" spans="1:9" ht="19.5" customHeight="1">
      <c r="A149" s="1"/>
      <c r="B149" s="39" t="str">
        <f>IF(144&lt;='🌱 Configuração'!$F$55,144,"")</f>
        <v/>
      </c>
      <c r="C149" s="40" t="str">
        <f>IF(144&lt;='🌱 Configuração'!$F$55,'🌱 Configuração'!$B$56+143,"")</f>
        <v/>
      </c>
      <c r="D149" s="41" t="str">
        <f>IF(144&gt;'🌱 Configuração'!$F$55,"",IF('🌱 Configuração'!$B$56+143&lt;'🌱 Configuração'!$C$56,"🌱 Clone",IF('🌱 Configuração'!$B$56+143&lt;'🌱 Configuração'!$D$56,"🌿 Vegetativo",IF('🌱 Configuração'!$B$56+143&lt;'🌱 Configuração'!$E$56,"🌸 Floração","🚿 Flush"))))</f>
        <v/>
      </c>
      <c r="E149" s="42" t="str">
        <f>IF(144&gt;'🌱 Configuração'!$F$55,"",IF('🌱 Configuração'!$B$56+143&lt;'🌱 Configuração'!$C$56,"Clone S"&amp;INT((144-1)/7)+1,IF('🌱 Configuração'!$B$56+143&lt;'🌱 Configuração'!$D$56,"Vega S"&amp;INT(('🌱 Configuração'!$B$56+143-'🌱 Configuração'!$C$56)/7)+1,IF('🌱 Configuração'!$B$56+143&lt;'🌱 Configuração'!$E$56,"Flora S"&amp;INT(('🌱 Configuração'!$B$56+143-'🌱 Configuração'!$D$56)/7)+1,"Flush S"&amp;INT(('🌱 Configuração'!$B$56+143-'🌱 Configuração'!$E$56)/7)+1))))</f>
        <v/>
      </c>
      <c r="F149" s="43" t="str">
        <f>IF(144&gt;'🌱 Configuração'!$F$55,"",IF('🌱 Configuração'!$B$56+143='🌱 Configuração'!$C$56,"🌿 INÍCIO VEGA — luz 18h/dia",IF('🌱 Configuração'!$B$56+143='🌱 Configuração'!$D$56,"🌸 INÍCIO FLORAÇÃO — mudar 12/12 🔴",IF('🌱 Configuração'!$B$56+143='🌱 Configuração'!$E$56,"🚿 INÍCIO FLUSH — parar nutrição",IF('🌱 Configuração'!$B$56+143='🌱 Configuração'!$F$56-1,"🔬 Véspera da colheita — analisar tricomas",IF('🌱 Configuração'!$B$56+143='🌱 Configuração'!$F$56,"✂️ COLHEITA — Parabéns! 🎉",""))))))</f>
        <v/>
      </c>
      <c r="G149" s="44" t="s">
        <v>428</v>
      </c>
      <c r="H149" s="45" t="str">
        <f>IF(144&gt;'🌱 Configuração'!$F$55,"",IF('🌱 Configuração'!$B$56+143&lt;'🌱 Configuração'!$C$56,IF(144=1,"🌿 Nim (2 mL/L) — foliar leve",IF(144=8,"🍄 Beauveria bassiana — foliar + solo","")),IF('🌱 Configuração'!$B$56+143&lt;'🌱 Configuração'!$D$56,IF(AND('🌱 Configuração'!$B$56+143&gt;='🌱 Configuração'!$C$56,'🌱 Configuração'!$B$56+143&lt;'🌱 Configuração'!$D$56,MOD('🌱 Configuração'!$B$56+143-'🌱 Configuração'!$C$56,7)=0,INT(('🌱 Configuração'!$B$56+143-'🌱 Configuração'!$C$56)/7)+1=1),"🌿 Nim (2 mL/L) — foliar preventivo",IF(AND('🌱 Configuração'!$B$56+143&gt;='🌱 Configuração'!$C$56,'🌱 Configuração'!$B$56+143&lt;'🌱 Configuração'!$D$56,MOD('🌱 Configuração'!$B$56+143-'🌱 Configuração'!$C$56,7)=0,INT(('🌱 Configuração'!$B$56+143-'🌱 Configuração'!$C$56)/7)+1=2),"🍄 Beauveria bassiana — foliar + solo",IF(AND('🌱 Configuração'!$B$56+143&gt;='🌱 Configuração'!$C$56,'🌱 Configuração'!$B$56+143&lt;'🌱 Configuração'!$D$56,MOD('🌱 Configuração'!$B$56+143-'🌱 Configuração'!$C$56,7)=0,INT(('🌱 Configuração'!$B$56+143-'🌱 Configuração'!$C$56)/7)+1=3),"🟡 Calda Sulfocálcica (1%) — foliar",IF(AND('🌱 Configuração'!$B$56+143&gt;='🌱 Configuração'!$C$56,'🌱 Configuração'!$B$56+143&lt;'🌱 Configuração'!$D$56,MOD('🌱 Configuração'!$B$56+143-'🌱 Configuração'!$C$56,7)=0,INT(('🌱 Configuração'!$B$56+143-'🌱 Configuração'!$C$56)/7)+1=4),"🦠 Trichoderma (3 g/L) — solo",IF(AND('🌱 Configuração'!$B$56+143&gt;='🌱 Configuração'!$C$56,'🌱 Configuração'!$B$56+143&lt;'🌱 Configuração'!$D$56,MOD('🌱 Configuração'!$B$56+143-'🌱 Configuração'!$C$56,7)=0,INT(('🌱 Configuração'!$B$56+143-'🌱 Configuração'!$C$56)/7)+1=5),"🔵 Calda Bordalesa (0.5%) — foliar",IF(AND('🌱 Configuração'!$B$56+143&gt;='🌱 Configuração'!$C$56,'🌱 Configuração'!$B$56+143&lt;'🌱 Configuração'!$D$56,MOD('🌱 Configuração'!$B$56+143-'🌱 Configuração'!$C$56,7)=0,INT(('🌱 Configuração'!$B$56+143-'🌱 Configuração'!$C$56)/7)+1=6),"🌿 Nim (2 mL/L) — ⚠️ ÚLTIMA foliar",IF(AND('🌱 Configuração'!$B$56+143&gt;='🌱 Configuração'!$C$56,'🌱 Configuração'!$B$56+143&lt;'🌱 Configuração'!$D$56,MOD('🌱 Configuração'!$B$56+143-'🌱 Configuração'!$C$56,7)=0,INT(('🌱 Configuração'!$B$56+143-'🌱 Configuração'!$C$56)/7)+1=7),"🦠 Trichoderma — solo",IF(AND('🌱 Configuração'!$B$56+143&gt;='🌱 Configuração'!$C$56,'🌱 Configuração'!$B$56+143&lt;'🌱 Configuração'!$D$56,MOD('🌱 Configuração'!$B$56+143-'🌱 Configuração'!$C$56,7)=0,INT(('🌱 Configuração'!$B$56+143-'🌱 Configuração'!$C$56)/7)+1=8),"🍄 Beauveria — solo","")))))))),IF('🌱 Configuração'!$B$56+143&lt;'🌱 Configuração'!$E$56,IF(AND('🌱 Configuração'!$B$56+143&gt;='🌱 Configuração'!$D$56,'🌱 Configuração'!$B$56+143&lt;'🌱 Configuração'!$E$56,MOD('🌱 Configuração'!$B$56+143-'🌱 Configuração'!$D$56,7)=0,INT(('🌱 Configuração'!$B$56+143-'🌱 Configuração'!$D$56)/7)+1=1),"🍄 Beauveria bassiana — SOLO apenas",IF(AND('🌱 Configuração'!$B$56+143&gt;='🌱 Configuração'!$D$56,'🌱 Configuração'!$B$56+143&lt;'🌱 Configuração'!$E$56,MOD('🌱 Configuração'!$B$56+143-'🌱 Configuração'!$D$56,7)=0,INT(('🌱 Configuração'!$B$56+143-'🌱 Configuração'!$D$56)/7)+1=2),"🦠 Trichoderma (3 g/L) — solo",IF(AND('🌱 Configuração'!$B$56+143&gt;='🌱 Configuração'!$D$56,'🌱 Configuração'!$B$56+143&lt;'🌱 Configuração'!$E$56,MOD('🌱 Configuração'!$B$56+143-'🌱 Configuração'!$D$56,7)=0,INT(('🌱 Configuração'!$B$56+143-'🌱 Configuração'!$D$56)/7)+1=3),"🍄 Beauveria bassiana — solo | ⚠️ Umid &lt;45%",IF(AND('🌱 Configuração'!$B$56+143&gt;='🌱 Configuração'!$D$56,'🌱 Configuração'!$B$56+143&lt;'🌱 Configuração'!$E$56,MOD('🌱 Configuração'!$B$56+143-'🌱 Configuração'!$D$56,7)=0,INT(('🌱 Configuração'!$B$56+143-'🌱 Configuração'!$D$56)/7)+1=4),"🦠 Trichoderma — solo | Inspecionar buds",IF(AND('🌱 Configuração'!$B$56+143&gt;='🌱 Configuração'!$D$56,'🌱 Configuração'!$B$56+143&lt;'🌱 Configuração'!$E$56,MOD('🌱 Configuração'!$B$56+143-'🌱 Configuração'!$D$56,7)=0,INT(('🌱 Configuração'!$B$56+143-'🌱 Configuração'!$D$56)/7)+1=5),"🍄 Beauveria + inspeção visual buds",IF(AND('🌱 Configuração'!$B$56+143&gt;='🌱 Configuração'!$D$56,'🌱 Configuração'!$B$56+143&lt;'🌱 Configuração'!$E$56,MOD('🌱 Configuração'!$B$56+143-'🌱 Configuração'!$D$56,7)=0,INT(('🌱 Configuração'!$B$56+143-'🌱 Configuração'!$D$56)/7)+1=6),"🦠 Trichoderma + ⚠️ Verificar mofo","")))))),IF(AND('🌱 Configuração'!$B$56+143&gt;='🌱 Configuração'!$E$56,MOD('🌱 Configuração'!$B$56+143-'🌱 Configuração'!$E$56,7)=0),"🔬 Inspeção final — analisar tricomas","")))))</f>
        <v/>
      </c>
      <c r="I149" s="33"/>
    </row>
    <row r="150" spans="1:9" ht="19.5" customHeight="1">
      <c r="A150" s="1"/>
      <c r="B150" s="35" t="str">
        <f>IF(145&lt;='🌱 Configuração'!$F$55,145,"")</f>
        <v/>
      </c>
      <c r="C150" s="13" t="str">
        <f>IF(145&lt;='🌱 Configuração'!$F$55,'🌱 Configuração'!$B$56+144,"")</f>
        <v/>
      </c>
      <c r="D150" s="36" t="str">
        <f>IF(145&gt;'🌱 Configuração'!$F$55,"",IF('🌱 Configuração'!$B$56+144&lt;'🌱 Configuração'!$C$56,"🌱 Clone",IF('🌱 Configuração'!$B$56+144&lt;'🌱 Configuração'!$D$56,"🌿 Vegetativo",IF('🌱 Configuração'!$B$56+144&lt;'🌱 Configuração'!$E$56,"🌸 Floração","🚿 Flush"))))</f>
        <v/>
      </c>
      <c r="E150" s="15" t="str">
        <f>IF(145&gt;'🌱 Configuração'!$F$55,"",IF('🌱 Configuração'!$B$56+144&lt;'🌱 Configuração'!$C$56,"Clone S"&amp;INT((145-1)/7)+1,IF('🌱 Configuração'!$B$56+144&lt;'🌱 Configuração'!$D$56,"Vega S"&amp;INT(('🌱 Configuração'!$B$56+144-'🌱 Configuração'!$C$56)/7)+1,IF('🌱 Configuração'!$B$56+144&lt;'🌱 Configuração'!$E$56,"Flora S"&amp;INT(('🌱 Configuração'!$B$56+144-'🌱 Configuração'!$D$56)/7)+1,"Flush S"&amp;INT(('🌱 Configuração'!$B$56+144-'🌱 Configuração'!$E$56)/7)+1))))</f>
        <v/>
      </c>
      <c r="F150" s="14" t="str">
        <f>IF(145&gt;'🌱 Configuração'!$F$55,"",IF('🌱 Configuração'!$B$56+144='🌱 Configuração'!$C$56,"🌿 INÍCIO VEGA — luz 18h/dia",IF('🌱 Configuração'!$B$56+144='🌱 Configuração'!$D$56,"🌸 INÍCIO FLORAÇÃO — mudar 12/12 🔴",IF('🌱 Configuração'!$B$56+144='🌱 Configuração'!$E$56,"🚿 INÍCIO FLUSH — parar nutrição",IF('🌱 Configuração'!$B$56+144='🌱 Configuração'!$F$56-1,"🔬 Véspera da colheita — analisar tricomas",IF('🌱 Configuração'!$B$56+144='🌱 Configuração'!$F$56,"✂️ COLHEITA — Parabéns! 🎉",""))))))</f>
        <v/>
      </c>
      <c r="G150" s="37" t="s">
        <v>428</v>
      </c>
      <c r="H150" s="38" t="str">
        <f>IF(145&gt;'🌱 Configuração'!$F$55,"",IF('🌱 Configuração'!$B$56+144&lt;'🌱 Configuração'!$C$56,IF(145=1,"🌿 Nim (2 mL/L) — foliar leve",IF(145=8,"🍄 Beauveria bassiana — foliar + solo","")),IF('🌱 Configuração'!$B$56+144&lt;'🌱 Configuração'!$D$56,IF(AND('🌱 Configuração'!$B$56+144&gt;='🌱 Configuração'!$C$56,'🌱 Configuração'!$B$56+144&lt;'🌱 Configuração'!$D$56,MOD('🌱 Configuração'!$B$56+144-'🌱 Configuração'!$C$56,7)=0,INT(('🌱 Configuração'!$B$56+144-'🌱 Configuração'!$C$56)/7)+1=1),"🌿 Nim (2 mL/L) — foliar preventivo",IF(AND('🌱 Configuração'!$B$56+144&gt;='🌱 Configuração'!$C$56,'🌱 Configuração'!$B$56+144&lt;'🌱 Configuração'!$D$56,MOD('🌱 Configuração'!$B$56+144-'🌱 Configuração'!$C$56,7)=0,INT(('🌱 Configuração'!$B$56+144-'🌱 Configuração'!$C$56)/7)+1=2),"🍄 Beauveria bassiana — foliar + solo",IF(AND('🌱 Configuração'!$B$56+144&gt;='🌱 Configuração'!$C$56,'🌱 Configuração'!$B$56+144&lt;'🌱 Configuração'!$D$56,MOD('🌱 Configuração'!$B$56+144-'🌱 Configuração'!$C$56,7)=0,INT(('🌱 Configuração'!$B$56+144-'🌱 Configuração'!$C$56)/7)+1=3),"🟡 Calda Sulfocálcica (1%) — foliar",IF(AND('🌱 Configuração'!$B$56+144&gt;='🌱 Configuração'!$C$56,'🌱 Configuração'!$B$56+144&lt;'🌱 Configuração'!$D$56,MOD('🌱 Configuração'!$B$56+144-'🌱 Configuração'!$C$56,7)=0,INT(('🌱 Configuração'!$B$56+144-'🌱 Configuração'!$C$56)/7)+1=4),"🦠 Trichoderma (3 g/L) — solo",IF(AND('🌱 Configuração'!$B$56+144&gt;='🌱 Configuração'!$C$56,'🌱 Configuração'!$B$56+144&lt;'🌱 Configuração'!$D$56,MOD('🌱 Configuração'!$B$56+144-'🌱 Configuração'!$C$56,7)=0,INT(('🌱 Configuração'!$B$56+144-'🌱 Configuração'!$C$56)/7)+1=5),"🔵 Calda Bordalesa (0.5%) — foliar",IF(AND('🌱 Configuração'!$B$56+144&gt;='🌱 Configuração'!$C$56,'🌱 Configuração'!$B$56+144&lt;'🌱 Configuração'!$D$56,MOD('🌱 Configuração'!$B$56+144-'🌱 Configuração'!$C$56,7)=0,INT(('🌱 Configuração'!$B$56+144-'🌱 Configuração'!$C$56)/7)+1=6),"🌿 Nim (2 mL/L) — ⚠️ ÚLTIMA foliar",IF(AND('🌱 Configuração'!$B$56+144&gt;='🌱 Configuração'!$C$56,'🌱 Configuração'!$B$56+144&lt;'🌱 Configuração'!$D$56,MOD('🌱 Configuração'!$B$56+144-'🌱 Configuração'!$C$56,7)=0,INT(('🌱 Configuração'!$B$56+144-'🌱 Configuração'!$C$56)/7)+1=7),"🦠 Trichoderma — solo",IF(AND('🌱 Configuração'!$B$56+144&gt;='🌱 Configuração'!$C$56,'🌱 Configuração'!$B$56+144&lt;'🌱 Configuração'!$D$56,MOD('🌱 Configuração'!$B$56+144-'🌱 Configuração'!$C$56,7)=0,INT(('🌱 Configuração'!$B$56+144-'🌱 Configuração'!$C$56)/7)+1=8),"🍄 Beauveria — solo","")))))))),IF('🌱 Configuração'!$B$56+144&lt;'🌱 Configuração'!$E$56,IF(AND('🌱 Configuração'!$B$56+144&gt;='🌱 Configuração'!$D$56,'🌱 Configuração'!$B$56+144&lt;'🌱 Configuração'!$E$56,MOD('🌱 Configuração'!$B$56+144-'🌱 Configuração'!$D$56,7)=0,INT(('🌱 Configuração'!$B$56+144-'🌱 Configuração'!$D$56)/7)+1=1),"🍄 Beauveria bassiana — SOLO apenas",IF(AND('🌱 Configuração'!$B$56+144&gt;='🌱 Configuração'!$D$56,'🌱 Configuração'!$B$56+144&lt;'🌱 Configuração'!$E$56,MOD('🌱 Configuração'!$B$56+144-'🌱 Configuração'!$D$56,7)=0,INT(('🌱 Configuração'!$B$56+144-'🌱 Configuração'!$D$56)/7)+1=2),"🦠 Trichoderma (3 g/L) — solo",IF(AND('🌱 Configuração'!$B$56+144&gt;='🌱 Configuração'!$D$56,'🌱 Configuração'!$B$56+144&lt;'🌱 Configuração'!$E$56,MOD('🌱 Configuração'!$B$56+144-'🌱 Configuração'!$D$56,7)=0,INT(('🌱 Configuração'!$B$56+144-'🌱 Configuração'!$D$56)/7)+1=3),"🍄 Beauveria bassiana — solo | ⚠️ Umid &lt;45%",IF(AND('🌱 Configuração'!$B$56+144&gt;='🌱 Configuração'!$D$56,'🌱 Configuração'!$B$56+144&lt;'🌱 Configuração'!$E$56,MOD('🌱 Configuração'!$B$56+144-'🌱 Configuração'!$D$56,7)=0,INT(('🌱 Configuração'!$B$56+144-'🌱 Configuração'!$D$56)/7)+1=4),"🦠 Trichoderma — solo | Inspecionar buds",IF(AND('🌱 Configuração'!$B$56+144&gt;='🌱 Configuração'!$D$56,'🌱 Configuração'!$B$56+144&lt;'🌱 Configuração'!$E$56,MOD('🌱 Configuração'!$B$56+144-'🌱 Configuração'!$D$56,7)=0,INT(('🌱 Configuração'!$B$56+144-'🌱 Configuração'!$D$56)/7)+1=5),"🍄 Beauveria + inspeção visual buds",IF(AND('🌱 Configuração'!$B$56+144&gt;='🌱 Configuração'!$D$56,'🌱 Configuração'!$B$56+144&lt;'🌱 Configuração'!$E$56,MOD('🌱 Configuração'!$B$56+144-'🌱 Configuração'!$D$56,7)=0,INT(('🌱 Configuração'!$B$56+144-'🌱 Configuração'!$D$56)/7)+1=6),"🦠 Trichoderma + ⚠️ Verificar mofo","")))))),IF(AND('🌱 Configuração'!$B$56+144&gt;='🌱 Configuração'!$E$56,MOD('🌱 Configuração'!$B$56+144-'🌱 Configuração'!$E$56,7)=0),"🔬 Inspeção final — analisar tricomas","")))))</f>
        <v/>
      </c>
      <c r="I150" s="33"/>
    </row>
    <row r="151" spans="1:9" ht="19.5" customHeight="1">
      <c r="A151" s="1"/>
      <c r="B151" s="39" t="str">
        <f>IF(146&lt;='🌱 Configuração'!$F$55,146,"")</f>
        <v/>
      </c>
      <c r="C151" s="40" t="str">
        <f>IF(146&lt;='🌱 Configuração'!$F$55,'🌱 Configuração'!$B$56+145,"")</f>
        <v/>
      </c>
      <c r="D151" s="41" t="str">
        <f>IF(146&gt;'🌱 Configuração'!$F$55,"",IF('🌱 Configuração'!$B$56+145&lt;'🌱 Configuração'!$C$56,"🌱 Clone",IF('🌱 Configuração'!$B$56+145&lt;'🌱 Configuração'!$D$56,"🌿 Vegetativo",IF('🌱 Configuração'!$B$56+145&lt;'🌱 Configuração'!$E$56,"🌸 Floração","🚿 Flush"))))</f>
        <v/>
      </c>
      <c r="E151" s="42" t="str">
        <f>IF(146&gt;'🌱 Configuração'!$F$55,"",IF('🌱 Configuração'!$B$56+145&lt;'🌱 Configuração'!$C$56,"Clone S"&amp;INT((146-1)/7)+1,IF('🌱 Configuração'!$B$56+145&lt;'🌱 Configuração'!$D$56,"Vega S"&amp;INT(('🌱 Configuração'!$B$56+145-'🌱 Configuração'!$C$56)/7)+1,IF('🌱 Configuração'!$B$56+145&lt;'🌱 Configuração'!$E$56,"Flora S"&amp;INT(('🌱 Configuração'!$B$56+145-'🌱 Configuração'!$D$56)/7)+1,"Flush S"&amp;INT(('🌱 Configuração'!$B$56+145-'🌱 Configuração'!$E$56)/7)+1))))</f>
        <v/>
      </c>
      <c r="F151" s="43" t="str">
        <f>IF(146&gt;'🌱 Configuração'!$F$55,"",IF('🌱 Configuração'!$B$56+145='🌱 Configuração'!$C$56,"🌿 INÍCIO VEGA — luz 18h/dia",IF('🌱 Configuração'!$B$56+145='🌱 Configuração'!$D$56,"🌸 INÍCIO FLORAÇÃO — mudar 12/12 🔴",IF('🌱 Configuração'!$B$56+145='🌱 Configuração'!$E$56,"🚿 INÍCIO FLUSH — parar nutrição",IF('🌱 Configuração'!$B$56+145='🌱 Configuração'!$F$56-1,"🔬 Véspera da colheita — analisar tricomas",IF('🌱 Configuração'!$B$56+145='🌱 Configuração'!$F$56,"✂️ COLHEITA — Parabéns! 🎉",""))))))</f>
        <v/>
      </c>
      <c r="G151" s="44" t="s">
        <v>428</v>
      </c>
      <c r="H151" s="45" t="str">
        <f>IF(146&gt;'🌱 Configuração'!$F$55,"",IF('🌱 Configuração'!$B$56+145&lt;'🌱 Configuração'!$C$56,IF(146=1,"🌿 Nim (2 mL/L) — foliar leve",IF(146=8,"🍄 Beauveria bassiana — foliar + solo","")),IF('🌱 Configuração'!$B$56+145&lt;'🌱 Configuração'!$D$56,IF(AND('🌱 Configuração'!$B$56+145&gt;='🌱 Configuração'!$C$56,'🌱 Configuração'!$B$56+145&lt;'🌱 Configuração'!$D$56,MOD('🌱 Configuração'!$B$56+145-'🌱 Configuração'!$C$56,7)=0,INT(('🌱 Configuração'!$B$56+145-'🌱 Configuração'!$C$56)/7)+1=1),"🌿 Nim (2 mL/L) — foliar preventivo",IF(AND('🌱 Configuração'!$B$56+145&gt;='🌱 Configuração'!$C$56,'🌱 Configuração'!$B$56+145&lt;'🌱 Configuração'!$D$56,MOD('🌱 Configuração'!$B$56+145-'🌱 Configuração'!$C$56,7)=0,INT(('🌱 Configuração'!$B$56+145-'🌱 Configuração'!$C$56)/7)+1=2),"🍄 Beauveria bassiana — foliar + solo",IF(AND('🌱 Configuração'!$B$56+145&gt;='🌱 Configuração'!$C$56,'🌱 Configuração'!$B$56+145&lt;'🌱 Configuração'!$D$56,MOD('🌱 Configuração'!$B$56+145-'🌱 Configuração'!$C$56,7)=0,INT(('🌱 Configuração'!$B$56+145-'🌱 Configuração'!$C$56)/7)+1=3),"🟡 Calda Sulfocálcica (1%) — foliar",IF(AND('🌱 Configuração'!$B$56+145&gt;='🌱 Configuração'!$C$56,'🌱 Configuração'!$B$56+145&lt;'🌱 Configuração'!$D$56,MOD('🌱 Configuração'!$B$56+145-'🌱 Configuração'!$C$56,7)=0,INT(('🌱 Configuração'!$B$56+145-'🌱 Configuração'!$C$56)/7)+1=4),"🦠 Trichoderma (3 g/L) — solo",IF(AND('🌱 Configuração'!$B$56+145&gt;='🌱 Configuração'!$C$56,'🌱 Configuração'!$B$56+145&lt;'🌱 Configuração'!$D$56,MOD('🌱 Configuração'!$B$56+145-'🌱 Configuração'!$C$56,7)=0,INT(('🌱 Configuração'!$B$56+145-'🌱 Configuração'!$C$56)/7)+1=5),"🔵 Calda Bordalesa (0.5%) — foliar",IF(AND('🌱 Configuração'!$B$56+145&gt;='🌱 Configuração'!$C$56,'🌱 Configuração'!$B$56+145&lt;'🌱 Configuração'!$D$56,MOD('🌱 Configuração'!$B$56+145-'🌱 Configuração'!$C$56,7)=0,INT(('🌱 Configuração'!$B$56+145-'🌱 Configuração'!$C$56)/7)+1=6),"🌿 Nim (2 mL/L) — ⚠️ ÚLTIMA foliar",IF(AND('🌱 Configuração'!$B$56+145&gt;='🌱 Configuração'!$C$56,'🌱 Configuração'!$B$56+145&lt;'🌱 Configuração'!$D$56,MOD('🌱 Configuração'!$B$56+145-'🌱 Configuração'!$C$56,7)=0,INT(('🌱 Configuração'!$B$56+145-'🌱 Configuração'!$C$56)/7)+1=7),"🦠 Trichoderma — solo",IF(AND('🌱 Configuração'!$B$56+145&gt;='🌱 Configuração'!$C$56,'🌱 Configuração'!$B$56+145&lt;'🌱 Configuração'!$D$56,MOD('🌱 Configuração'!$B$56+145-'🌱 Configuração'!$C$56,7)=0,INT(('🌱 Configuração'!$B$56+145-'🌱 Configuração'!$C$56)/7)+1=8),"🍄 Beauveria — solo","")))))))),IF('🌱 Configuração'!$B$56+145&lt;'🌱 Configuração'!$E$56,IF(AND('🌱 Configuração'!$B$56+145&gt;='🌱 Configuração'!$D$56,'🌱 Configuração'!$B$56+145&lt;'🌱 Configuração'!$E$56,MOD('🌱 Configuração'!$B$56+145-'🌱 Configuração'!$D$56,7)=0,INT(('🌱 Configuração'!$B$56+145-'🌱 Configuração'!$D$56)/7)+1=1),"🍄 Beauveria bassiana — SOLO apenas",IF(AND('🌱 Configuração'!$B$56+145&gt;='🌱 Configuração'!$D$56,'🌱 Configuração'!$B$56+145&lt;'🌱 Configuração'!$E$56,MOD('🌱 Configuração'!$B$56+145-'🌱 Configuração'!$D$56,7)=0,INT(('🌱 Configuração'!$B$56+145-'🌱 Configuração'!$D$56)/7)+1=2),"🦠 Trichoderma (3 g/L) — solo",IF(AND('🌱 Configuração'!$B$56+145&gt;='🌱 Configuração'!$D$56,'🌱 Configuração'!$B$56+145&lt;'🌱 Configuração'!$E$56,MOD('🌱 Configuração'!$B$56+145-'🌱 Configuração'!$D$56,7)=0,INT(('🌱 Configuração'!$B$56+145-'🌱 Configuração'!$D$56)/7)+1=3),"🍄 Beauveria bassiana — solo | ⚠️ Umid &lt;45%",IF(AND('🌱 Configuração'!$B$56+145&gt;='🌱 Configuração'!$D$56,'🌱 Configuração'!$B$56+145&lt;'🌱 Configuração'!$E$56,MOD('🌱 Configuração'!$B$56+145-'🌱 Configuração'!$D$56,7)=0,INT(('🌱 Configuração'!$B$56+145-'🌱 Configuração'!$D$56)/7)+1=4),"🦠 Trichoderma — solo | Inspecionar buds",IF(AND('🌱 Configuração'!$B$56+145&gt;='🌱 Configuração'!$D$56,'🌱 Configuração'!$B$56+145&lt;'🌱 Configuração'!$E$56,MOD('🌱 Configuração'!$B$56+145-'🌱 Configuração'!$D$56,7)=0,INT(('🌱 Configuração'!$B$56+145-'🌱 Configuração'!$D$56)/7)+1=5),"🍄 Beauveria + inspeção visual buds",IF(AND('🌱 Configuração'!$B$56+145&gt;='🌱 Configuração'!$D$56,'🌱 Configuração'!$B$56+145&lt;'🌱 Configuração'!$E$56,MOD('🌱 Configuração'!$B$56+145-'🌱 Configuração'!$D$56,7)=0,INT(('🌱 Configuração'!$B$56+145-'🌱 Configuração'!$D$56)/7)+1=6),"🦠 Trichoderma + ⚠️ Verificar mofo","")))))),IF(AND('🌱 Configuração'!$B$56+145&gt;='🌱 Configuração'!$E$56,MOD('🌱 Configuração'!$B$56+145-'🌱 Configuração'!$E$56,7)=0),"🔬 Inspeção final — analisar tricomas","")))))</f>
        <v/>
      </c>
      <c r="I151" s="33"/>
    </row>
    <row r="152" spans="1:9" ht="19.5" customHeight="1">
      <c r="A152" s="1"/>
      <c r="B152" s="35" t="str">
        <f>IF(147&lt;='🌱 Configuração'!$F$55,147,"")</f>
        <v/>
      </c>
      <c r="C152" s="13" t="str">
        <f>IF(147&lt;='🌱 Configuração'!$F$55,'🌱 Configuração'!$B$56+146,"")</f>
        <v/>
      </c>
      <c r="D152" s="36" t="str">
        <f>IF(147&gt;'🌱 Configuração'!$F$55,"",IF('🌱 Configuração'!$B$56+146&lt;'🌱 Configuração'!$C$56,"🌱 Clone",IF('🌱 Configuração'!$B$56+146&lt;'🌱 Configuração'!$D$56,"🌿 Vegetativo",IF('🌱 Configuração'!$B$56+146&lt;'🌱 Configuração'!$E$56,"🌸 Floração","🚿 Flush"))))</f>
        <v/>
      </c>
      <c r="E152" s="15" t="str">
        <f>IF(147&gt;'🌱 Configuração'!$F$55,"",IF('🌱 Configuração'!$B$56+146&lt;'🌱 Configuração'!$C$56,"Clone S"&amp;INT((147-1)/7)+1,IF('🌱 Configuração'!$B$56+146&lt;'🌱 Configuração'!$D$56,"Vega S"&amp;INT(('🌱 Configuração'!$B$56+146-'🌱 Configuração'!$C$56)/7)+1,IF('🌱 Configuração'!$B$56+146&lt;'🌱 Configuração'!$E$56,"Flora S"&amp;INT(('🌱 Configuração'!$B$56+146-'🌱 Configuração'!$D$56)/7)+1,"Flush S"&amp;INT(('🌱 Configuração'!$B$56+146-'🌱 Configuração'!$E$56)/7)+1))))</f>
        <v/>
      </c>
      <c r="F152" s="14" t="str">
        <f>IF(147&gt;'🌱 Configuração'!$F$55,"",IF('🌱 Configuração'!$B$56+146='🌱 Configuração'!$C$56,"🌿 INÍCIO VEGA — luz 18h/dia",IF('🌱 Configuração'!$B$56+146='🌱 Configuração'!$D$56,"🌸 INÍCIO FLORAÇÃO — mudar 12/12 🔴",IF('🌱 Configuração'!$B$56+146='🌱 Configuração'!$E$56,"🚿 INÍCIO FLUSH — parar nutrição",IF('🌱 Configuração'!$B$56+146='🌱 Configuração'!$F$56-1,"🔬 Véspera da colheita — analisar tricomas",IF('🌱 Configuração'!$B$56+146='🌱 Configuração'!$F$56,"✂️ COLHEITA — Parabéns! 🎉",""))))))</f>
        <v/>
      </c>
      <c r="G152" s="37" t="s">
        <v>428</v>
      </c>
      <c r="H152" s="38" t="str">
        <f>IF(147&gt;'🌱 Configuração'!$F$55,"",IF('🌱 Configuração'!$B$56+146&lt;'🌱 Configuração'!$C$56,IF(147=1,"🌿 Nim (2 mL/L) — foliar leve",IF(147=8,"🍄 Beauveria bassiana — foliar + solo","")),IF('🌱 Configuração'!$B$56+146&lt;'🌱 Configuração'!$D$56,IF(AND('🌱 Configuração'!$B$56+146&gt;='🌱 Configuração'!$C$56,'🌱 Configuração'!$B$56+146&lt;'🌱 Configuração'!$D$56,MOD('🌱 Configuração'!$B$56+146-'🌱 Configuração'!$C$56,7)=0,INT(('🌱 Configuração'!$B$56+146-'🌱 Configuração'!$C$56)/7)+1=1),"🌿 Nim (2 mL/L) — foliar preventivo",IF(AND('🌱 Configuração'!$B$56+146&gt;='🌱 Configuração'!$C$56,'🌱 Configuração'!$B$56+146&lt;'🌱 Configuração'!$D$56,MOD('🌱 Configuração'!$B$56+146-'🌱 Configuração'!$C$56,7)=0,INT(('🌱 Configuração'!$B$56+146-'🌱 Configuração'!$C$56)/7)+1=2),"🍄 Beauveria bassiana — foliar + solo",IF(AND('🌱 Configuração'!$B$56+146&gt;='🌱 Configuração'!$C$56,'🌱 Configuração'!$B$56+146&lt;'🌱 Configuração'!$D$56,MOD('🌱 Configuração'!$B$56+146-'🌱 Configuração'!$C$56,7)=0,INT(('🌱 Configuração'!$B$56+146-'🌱 Configuração'!$C$56)/7)+1=3),"🟡 Calda Sulfocálcica (1%) — foliar",IF(AND('🌱 Configuração'!$B$56+146&gt;='🌱 Configuração'!$C$56,'🌱 Configuração'!$B$56+146&lt;'🌱 Configuração'!$D$56,MOD('🌱 Configuração'!$B$56+146-'🌱 Configuração'!$C$56,7)=0,INT(('🌱 Configuração'!$B$56+146-'🌱 Configuração'!$C$56)/7)+1=4),"🦠 Trichoderma (3 g/L) — solo",IF(AND('🌱 Configuração'!$B$56+146&gt;='🌱 Configuração'!$C$56,'🌱 Configuração'!$B$56+146&lt;'🌱 Configuração'!$D$56,MOD('🌱 Configuração'!$B$56+146-'🌱 Configuração'!$C$56,7)=0,INT(('🌱 Configuração'!$B$56+146-'🌱 Configuração'!$C$56)/7)+1=5),"🔵 Calda Bordalesa (0.5%) — foliar",IF(AND('🌱 Configuração'!$B$56+146&gt;='🌱 Configuração'!$C$56,'🌱 Configuração'!$B$56+146&lt;'🌱 Configuração'!$D$56,MOD('🌱 Configuração'!$B$56+146-'🌱 Configuração'!$C$56,7)=0,INT(('🌱 Configuração'!$B$56+146-'🌱 Configuração'!$C$56)/7)+1=6),"🌿 Nim (2 mL/L) — ⚠️ ÚLTIMA foliar",IF(AND('🌱 Configuração'!$B$56+146&gt;='🌱 Configuração'!$C$56,'🌱 Configuração'!$B$56+146&lt;'🌱 Configuração'!$D$56,MOD('🌱 Configuração'!$B$56+146-'🌱 Configuração'!$C$56,7)=0,INT(('🌱 Configuração'!$B$56+146-'🌱 Configuração'!$C$56)/7)+1=7),"🦠 Trichoderma — solo",IF(AND('🌱 Configuração'!$B$56+146&gt;='🌱 Configuração'!$C$56,'🌱 Configuração'!$B$56+146&lt;'🌱 Configuração'!$D$56,MOD('🌱 Configuração'!$B$56+146-'🌱 Configuração'!$C$56,7)=0,INT(('🌱 Configuração'!$B$56+146-'🌱 Configuração'!$C$56)/7)+1=8),"🍄 Beauveria — solo","")))))))),IF('🌱 Configuração'!$B$56+146&lt;'🌱 Configuração'!$E$56,IF(AND('🌱 Configuração'!$B$56+146&gt;='🌱 Configuração'!$D$56,'🌱 Configuração'!$B$56+146&lt;'🌱 Configuração'!$E$56,MOD('🌱 Configuração'!$B$56+146-'🌱 Configuração'!$D$56,7)=0,INT(('🌱 Configuração'!$B$56+146-'🌱 Configuração'!$D$56)/7)+1=1),"🍄 Beauveria bassiana — SOLO apenas",IF(AND('🌱 Configuração'!$B$56+146&gt;='🌱 Configuração'!$D$56,'🌱 Configuração'!$B$56+146&lt;'🌱 Configuração'!$E$56,MOD('🌱 Configuração'!$B$56+146-'🌱 Configuração'!$D$56,7)=0,INT(('🌱 Configuração'!$B$56+146-'🌱 Configuração'!$D$56)/7)+1=2),"🦠 Trichoderma (3 g/L) — solo",IF(AND('🌱 Configuração'!$B$56+146&gt;='🌱 Configuração'!$D$56,'🌱 Configuração'!$B$56+146&lt;'🌱 Configuração'!$E$56,MOD('🌱 Configuração'!$B$56+146-'🌱 Configuração'!$D$56,7)=0,INT(('🌱 Configuração'!$B$56+146-'🌱 Configuração'!$D$56)/7)+1=3),"🍄 Beauveria bassiana — solo | ⚠️ Umid &lt;45%",IF(AND('🌱 Configuração'!$B$56+146&gt;='🌱 Configuração'!$D$56,'🌱 Configuração'!$B$56+146&lt;'🌱 Configuração'!$E$56,MOD('🌱 Configuração'!$B$56+146-'🌱 Configuração'!$D$56,7)=0,INT(('🌱 Configuração'!$B$56+146-'🌱 Configuração'!$D$56)/7)+1=4),"🦠 Trichoderma — solo | Inspecionar buds",IF(AND('🌱 Configuração'!$B$56+146&gt;='🌱 Configuração'!$D$56,'🌱 Configuração'!$B$56+146&lt;'🌱 Configuração'!$E$56,MOD('🌱 Configuração'!$B$56+146-'🌱 Configuração'!$D$56,7)=0,INT(('🌱 Configuração'!$B$56+146-'🌱 Configuração'!$D$56)/7)+1=5),"🍄 Beauveria + inspeção visual buds",IF(AND('🌱 Configuração'!$B$56+146&gt;='🌱 Configuração'!$D$56,'🌱 Configuração'!$B$56+146&lt;'🌱 Configuração'!$E$56,MOD('🌱 Configuração'!$B$56+146-'🌱 Configuração'!$D$56,7)=0,INT(('🌱 Configuração'!$B$56+146-'🌱 Configuração'!$D$56)/7)+1=6),"🦠 Trichoderma + ⚠️ Verificar mofo","")))))),IF(AND('🌱 Configuração'!$B$56+146&gt;='🌱 Configuração'!$E$56,MOD('🌱 Configuração'!$B$56+146-'🌱 Configuração'!$E$56,7)=0),"🔬 Inspeção final — analisar tricomas","")))))</f>
        <v/>
      </c>
      <c r="I152" s="33"/>
    </row>
    <row r="153" spans="1:9" ht="19.5" customHeight="1">
      <c r="A153" s="1"/>
      <c r="B153" s="39" t="str">
        <f>IF(148&lt;='🌱 Configuração'!$F$55,148,"")</f>
        <v/>
      </c>
      <c r="C153" s="40" t="str">
        <f>IF(148&lt;='🌱 Configuração'!$F$55,'🌱 Configuração'!$B$56+147,"")</f>
        <v/>
      </c>
      <c r="D153" s="41" t="str">
        <f>IF(148&gt;'🌱 Configuração'!$F$55,"",IF('🌱 Configuração'!$B$56+147&lt;'🌱 Configuração'!$C$56,"🌱 Clone",IF('🌱 Configuração'!$B$56+147&lt;'🌱 Configuração'!$D$56,"🌿 Vegetativo",IF('🌱 Configuração'!$B$56+147&lt;'🌱 Configuração'!$E$56,"🌸 Floração","🚿 Flush"))))</f>
        <v/>
      </c>
      <c r="E153" s="42" t="str">
        <f>IF(148&gt;'🌱 Configuração'!$F$55,"",IF('🌱 Configuração'!$B$56+147&lt;'🌱 Configuração'!$C$56,"Clone S"&amp;INT((148-1)/7)+1,IF('🌱 Configuração'!$B$56+147&lt;'🌱 Configuração'!$D$56,"Vega S"&amp;INT(('🌱 Configuração'!$B$56+147-'🌱 Configuração'!$C$56)/7)+1,IF('🌱 Configuração'!$B$56+147&lt;'🌱 Configuração'!$E$56,"Flora S"&amp;INT(('🌱 Configuração'!$B$56+147-'🌱 Configuração'!$D$56)/7)+1,"Flush S"&amp;INT(('🌱 Configuração'!$B$56+147-'🌱 Configuração'!$E$56)/7)+1))))</f>
        <v/>
      </c>
      <c r="F153" s="43" t="str">
        <f>IF(148&gt;'🌱 Configuração'!$F$55,"",IF('🌱 Configuração'!$B$56+147='🌱 Configuração'!$C$56,"🌿 INÍCIO VEGA — luz 18h/dia",IF('🌱 Configuração'!$B$56+147='🌱 Configuração'!$D$56,"🌸 INÍCIO FLORAÇÃO — mudar 12/12 🔴",IF('🌱 Configuração'!$B$56+147='🌱 Configuração'!$E$56,"🚿 INÍCIO FLUSH — parar nutrição",IF('🌱 Configuração'!$B$56+147='🌱 Configuração'!$F$56-1,"🔬 Véspera da colheita — analisar tricomas",IF('🌱 Configuração'!$B$56+147='🌱 Configuração'!$F$56,"✂️ COLHEITA — Parabéns! 🎉",""))))))</f>
        <v/>
      </c>
      <c r="G153" s="44" t="s">
        <v>428</v>
      </c>
      <c r="H153" s="45" t="str">
        <f>IF(148&gt;'🌱 Configuração'!$F$55,"",IF('🌱 Configuração'!$B$56+147&lt;'🌱 Configuração'!$C$56,IF(148=1,"🌿 Nim (2 mL/L) — foliar leve",IF(148=8,"🍄 Beauveria bassiana — foliar + solo","")),IF('🌱 Configuração'!$B$56+147&lt;'🌱 Configuração'!$D$56,IF(AND('🌱 Configuração'!$B$56+147&gt;='🌱 Configuração'!$C$56,'🌱 Configuração'!$B$56+147&lt;'🌱 Configuração'!$D$56,MOD('🌱 Configuração'!$B$56+147-'🌱 Configuração'!$C$56,7)=0,INT(('🌱 Configuração'!$B$56+147-'🌱 Configuração'!$C$56)/7)+1=1),"🌿 Nim (2 mL/L) — foliar preventivo",IF(AND('🌱 Configuração'!$B$56+147&gt;='🌱 Configuração'!$C$56,'🌱 Configuração'!$B$56+147&lt;'🌱 Configuração'!$D$56,MOD('🌱 Configuração'!$B$56+147-'🌱 Configuração'!$C$56,7)=0,INT(('🌱 Configuração'!$B$56+147-'🌱 Configuração'!$C$56)/7)+1=2),"🍄 Beauveria bassiana — foliar + solo",IF(AND('🌱 Configuração'!$B$56+147&gt;='🌱 Configuração'!$C$56,'🌱 Configuração'!$B$56+147&lt;'🌱 Configuração'!$D$56,MOD('🌱 Configuração'!$B$56+147-'🌱 Configuração'!$C$56,7)=0,INT(('🌱 Configuração'!$B$56+147-'🌱 Configuração'!$C$56)/7)+1=3),"🟡 Calda Sulfocálcica (1%) — foliar",IF(AND('🌱 Configuração'!$B$56+147&gt;='🌱 Configuração'!$C$56,'🌱 Configuração'!$B$56+147&lt;'🌱 Configuração'!$D$56,MOD('🌱 Configuração'!$B$56+147-'🌱 Configuração'!$C$56,7)=0,INT(('🌱 Configuração'!$B$56+147-'🌱 Configuração'!$C$56)/7)+1=4),"🦠 Trichoderma (3 g/L) — solo",IF(AND('🌱 Configuração'!$B$56+147&gt;='🌱 Configuração'!$C$56,'🌱 Configuração'!$B$56+147&lt;'🌱 Configuração'!$D$56,MOD('🌱 Configuração'!$B$56+147-'🌱 Configuração'!$C$56,7)=0,INT(('🌱 Configuração'!$B$56+147-'🌱 Configuração'!$C$56)/7)+1=5),"🔵 Calda Bordalesa (0.5%) — foliar",IF(AND('🌱 Configuração'!$B$56+147&gt;='🌱 Configuração'!$C$56,'🌱 Configuração'!$B$56+147&lt;'🌱 Configuração'!$D$56,MOD('🌱 Configuração'!$B$56+147-'🌱 Configuração'!$C$56,7)=0,INT(('🌱 Configuração'!$B$56+147-'🌱 Configuração'!$C$56)/7)+1=6),"🌿 Nim (2 mL/L) — ⚠️ ÚLTIMA foliar",IF(AND('🌱 Configuração'!$B$56+147&gt;='🌱 Configuração'!$C$56,'🌱 Configuração'!$B$56+147&lt;'🌱 Configuração'!$D$56,MOD('🌱 Configuração'!$B$56+147-'🌱 Configuração'!$C$56,7)=0,INT(('🌱 Configuração'!$B$56+147-'🌱 Configuração'!$C$56)/7)+1=7),"🦠 Trichoderma — solo",IF(AND('🌱 Configuração'!$B$56+147&gt;='🌱 Configuração'!$C$56,'🌱 Configuração'!$B$56+147&lt;'🌱 Configuração'!$D$56,MOD('🌱 Configuração'!$B$56+147-'🌱 Configuração'!$C$56,7)=0,INT(('🌱 Configuração'!$B$56+147-'🌱 Configuração'!$C$56)/7)+1=8),"🍄 Beauveria — solo","")))))))),IF('🌱 Configuração'!$B$56+147&lt;'🌱 Configuração'!$E$56,IF(AND('🌱 Configuração'!$B$56+147&gt;='🌱 Configuração'!$D$56,'🌱 Configuração'!$B$56+147&lt;'🌱 Configuração'!$E$56,MOD('🌱 Configuração'!$B$56+147-'🌱 Configuração'!$D$56,7)=0,INT(('🌱 Configuração'!$B$56+147-'🌱 Configuração'!$D$56)/7)+1=1),"🍄 Beauveria bassiana — SOLO apenas",IF(AND('🌱 Configuração'!$B$56+147&gt;='🌱 Configuração'!$D$56,'🌱 Configuração'!$B$56+147&lt;'🌱 Configuração'!$E$56,MOD('🌱 Configuração'!$B$56+147-'🌱 Configuração'!$D$56,7)=0,INT(('🌱 Configuração'!$B$56+147-'🌱 Configuração'!$D$56)/7)+1=2),"🦠 Trichoderma (3 g/L) — solo",IF(AND('🌱 Configuração'!$B$56+147&gt;='🌱 Configuração'!$D$56,'🌱 Configuração'!$B$56+147&lt;'🌱 Configuração'!$E$56,MOD('🌱 Configuração'!$B$56+147-'🌱 Configuração'!$D$56,7)=0,INT(('🌱 Configuração'!$B$56+147-'🌱 Configuração'!$D$56)/7)+1=3),"🍄 Beauveria bassiana — solo | ⚠️ Umid &lt;45%",IF(AND('🌱 Configuração'!$B$56+147&gt;='🌱 Configuração'!$D$56,'🌱 Configuração'!$B$56+147&lt;'🌱 Configuração'!$E$56,MOD('🌱 Configuração'!$B$56+147-'🌱 Configuração'!$D$56,7)=0,INT(('🌱 Configuração'!$B$56+147-'🌱 Configuração'!$D$56)/7)+1=4),"🦠 Trichoderma — solo | Inspecionar buds",IF(AND('🌱 Configuração'!$B$56+147&gt;='🌱 Configuração'!$D$56,'🌱 Configuração'!$B$56+147&lt;'🌱 Configuração'!$E$56,MOD('🌱 Configuração'!$B$56+147-'🌱 Configuração'!$D$56,7)=0,INT(('🌱 Configuração'!$B$56+147-'🌱 Configuração'!$D$56)/7)+1=5),"🍄 Beauveria + inspeção visual buds",IF(AND('🌱 Configuração'!$B$56+147&gt;='🌱 Configuração'!$D$56,'🌱 Configuração'!$B$56+147&lt;'🌱 Configuração'!$E$56,MOD('🌱 Configuração'!$B$56+147-'🌱 Configuração'!$D$56,7)=0,INT(('🌱 Configuração'!$B$56+147-'🌱 Configuração'!$D$56)/7)+1=6),"🦠 Trichoderma + ⚠️ Verificar mofo","")))))),IF(AND('🌱 Configuração'!$B$56+147&gt;='🌱 Configuração'!$E$56,MOD('🌱 Configuração'!$B$56+147-'🌱 Configuração'!$E$56,7)=0),"🔬 Inspeção final — analisar tricomas","")))))</f>
        <v/>
      </c>
      <c r="I153" s="33"/>
    </row>
    <row r="154" spans="1:9" ht="19.5" customHeight="1">
      <c r="A154" s="1"/>
      <c r="B154" s="35" t="str">
        <f>IF(149&lt;='🌱 Configuração'!$F$55,149,"")</f>
        <v/>
      </c>
      <c r="C154" s="13" t="str">
        <f>IF(149&lt;='🌱 Configuração'!$F$55,'🌱 Configuração'!$B$56+148,"")</f>
        <v/>
      </c>
      <c r="D154" s="36" t="str">
        <f>IF(149&gt;'🌱 Configuração'!$F$55,"",IF('🌱 Configuração'!$B$56+148&lt;'🌱 Configuração'!$C$56,"🌱 Clone",IF('🌱 Configuração'!$B$56+148&lt;'🌱 Configuração'!$D$56,"🌿 Vegetativo",IF('🌱 Configuração'!$B$56+148&lt;'🌱 Configuração'!$E$56,"🌸 Floração","🚿 Flush"))))</f>
        <v/>
      </c>
      <c r="E154" s="15" t="str">
        <f>IF(149&gt;'🌱 Configuração'!$F$55,"",IF('🌱 Configuração'!$B$56+148&lt;'🌱 Configuração'!$C$56,"Clone S"&amp;INT((149-1)/7)+1,IF('🌱 Configuração'!$B$56+148&lt;'🌱 Configuração'!$D$56,"Vega S"&amp;INT(('🌱 Configuração'!$B$56+148-'🌱 Configuração'!$C$56)/7)+1,IF('🌱 Configuração'!$B$56+148&lt;'🌱 Configuração'!$E$56,"Flora S"&amp;INT(('🌱 Configuração'!$B$56+148-'🌱 Configuração'!$D$56)/7)+1,"Flush S"&amp;INT(('🌱 Configuração'!$B$56+148-'🌱 Configuração'!$E$56)/7)+1))))</f>
        <v/>
      </c>
      <c r="F154" s="14" t="str">
        <f>IF(149&gt;'🌱 Configuração'!$F$55,"",IF('🌱 Configuração'!$B$56+148='🌱 Configuração'!$C$56,"🌿 INÍCIO VEGA — luz 18h/dia",IF('🌱 Configuração'!$B$56+148='🌱 Configuração'!$D$56,"🌸 INÍCIO FLORAÇÃO — mudar 12/12 🔴",IF('🌱 Configuração'!$B$56+148='🌱 Configuração'!$E$56,"🚿 INÍCIO FLUSH — parar nutrição",IF('🌱 Configuração'!$B$56+148='🌱 Configuração'!$F$56-1,"🔬 Véspera da colheita — analisar tricomas",IF('🌱 Configuração'!$B$56+148='🌱 Configuração'!$F$56,"✂️ COLHEITA — Parabéns! 🎉",""))))))</f>
        <v/>
      </c>
      <c r="G154" s="37" t="s">
        <v>428</v>
      </c>
      <c r="H154" s="38" t="str">
        <f>IF(149&gt;'🌱 Configuração'!$F$55,"",IF('🌱 Configuração'!$B$56+148&lt;'🌱 Configuração'!$C$56,IF(149=1,"🌿 Nim (2 mL/L) — foliar leve",IF(149=8,"🍄 Beauveria bassiana — foliar + solo","")),IF('🌱 Configuração'!$B$56+148&lt;'🌱 Configuração'!$D$56,IF(AND('🌱 Configuração'!$B$56+148&gt;='🌱 Configuração'!$C$56,'🌱 Configuração'!$B$56+148&lt;'🌱 Configuração'!$D$56,MOD('🌱 Configuração'!$B$56+148-'🌱 Configuração'!$C$56,7)=0,INT(('🌱 Configuração'!$B$56+148-'🌱 Configuração'!$C$56)/7)+1=1),"🌿 Nim (2 mL/L) — foliar preventivo",IF(AND('🌱 Configuração'!$B$56+148&gt;='🌱 Configuração'!$C$56,'🌱 Configuração'!$B$56+148&lt;'🌱 Configuração'!$D$56,MOD('🌱 Configuração'!$B$56+148-'🌱 Configuração'!$C$56,7)=0,INT(('🌱 Configuração'!$B$56+148-'🌱 Configuração'!$C$56)/7)+1=2),"🍄 Beauveria bassiana — foliar + solo",IF(AND('🌱 Configuração'!$B$56+148&gt;='🌱 Configuração'!$C$56,'🌱 Configuração'!$B$56+148&lt;'🌱 Configuração'!$D$56,MOD('🌱 Configuração'!$B$56+148-'🌱 Configuração'!$C$56,7)=0,INT(('🌱 Configuração'!$B$56+148-'🌱 Configuração'!$C$56)/7)+1=3),"🟡 Calda Sulfocálcica (1%) — foliar",IF(AND('🌱 Configuração'!$B$56+148&gt;='🌱 Configuração'!$C$56,'🌱 Configuração'!$B$56+148&lt;'🌱 Configuração'!$D$56,MOD('🌱 Configuração'!$B$56+148-'🌱 Configuração'!$C$56,7)=0,INT(('🌱 Configuração'!$B$56+148-'🌱 Configuração'!$C$56)/7)+1=4),"🦠 Trichoderma (3 g/L) — solo",IF(AND('🌱 Configuração'!$B$56+148&gt;='🌱 Configuração'!$C$56,'🌱 Configuração'!$B$56+148&lt;'🌱 Configuração'!$D$56,MOD('🌱 Configuração'!$B$56+148-'🌱 Configuração'!$C$56,7)=0,INT(('🌱 Configuração'!$B$56+148-'🌱 Configuração'!$C$56)/7)+1=5),"🔵 Calda Bordalesa (0.5%) — foliar",IF(AND('🌱 Configuração'!$B$56+148&gt;='🌱 Configuração'!$C$56,'🌱 Configuração'!$B$56+148&lt;'🌱 Configuração'!$D$56,MOD('🌱 Configuração'!$B$56+148-'🌱 Configuração'!$C$56,7)=0,INT(('🌱 Configuração'!$B$56+148-'🌱 Configuração'!$C$56)/7)+1=6),"🌿 Nim (2 mL/L) — ⚠️ ÚLTIMA foliar",IF(AND('🌱 Configuração'!$B$56+148&gt;='🌱 Configuração'!$C$56,'🌱 Configuração'!$B$56+148&lt;'🌱 Configuração'!$D$56,MOD('🌱 Configuração'!$B$56+148-'🌱 Configuração'!$C$56,7)=0,INT(('🌱 Configuração'!$B$56+148-'🌱 Configuração'!$C$56)/7)+1=7),"🦠 Trichoderma — solo",IF(AND('🌱 Configuração'!$B$56+148&gt;='🌱 Configuração'!$C$56,'🌱 Configuração'!$B$56+148&lt;'🌱 Configuração'!$D$56,MOD('🌱 Configuração'!$B$56+148-'🌱 Configuração'!$C$56,7)=0,INT(('🌱 Configuração'!$B$56+148-'🌱 Configuração'!$C$56)/7)+1=8),"🍄 Beauveria — solo","")))))))),IF('🌱 Configuração'!$B$56+148&lt;'🌱 Configuração'!$E$56,IF(AND('🌱 Configuração'!$B$56+148&gt;='🌱 Configuração'!$D$56,'🌱 Configuração'!$B$56+148&lt;'🌱 Configuração'!$E$56,MOD('🌱 Configuração'!$B$56+148-'🌱 Configuração'!$D$56,7)=0,INT(('🌱 Configuração'!$B$56+148-'🌱 Configuração'!$D$56)/7)+1=1),"🍄 Beauveria bassiana — SOLO apenas",IF(AND('🌱 Configuração'!$B$56+148&gt;='🌱 Configuração'!$D$56,'🌱 Configuração'!$B$56+148&lt;'🌱 Configuração'!$E$56,MOD('🌱 Configuração'!$B$56+148-'🌱 Configuração'!$D$56,7)=0,INT(('🌱 Configuração'!$B$56+148-'🌱 Configuração'!$D$56)/7)+1=2),"🦠 Trichoderma (3 g/L) — solo",IF(AND('🌱 Configuração'!$B$56+148&gt;='🌱 Configuração'!$D$56,'🌱 Configuração'!$B$56+148&lt;'🌱 Configuração'!$E$56,MOD('🌱 Configuração'!$B$56+148-'🌱 Configuração'!$D$56,7)=0,INT(('🌱 Configuração'!$B$56+148-'🌱 Configuração'!$D$56)/7)+1=3),"🍄 Beauveria bassiana — solo | ⚠️ Umid &lt;45%",IF(AND('🌱 Configuração'!$B$56+148&gt;='🌱 Configuração'!$D$56,'🌱 Configuração'!$B$56+148&lt;'🌱 Configuração'!$E$56,MOD('🌱 Configuração'!$B$56+148-'🌱 Configuração'!$D$56,7)=0,INT(('🌱 Configuração'!$B$56+148-'🌱 Configuração'!$D$56)/7)+1=4),"🦠 Trichoderma — solo | Inspecionar buds",IF(AND('🌱 Configuração'!$B$56+148&gt;='🌱 Configuração'!$D$56,'🌱 Configuração'!$B$56+148&lt;'🌱 Configuração'!$E$56,MOD('🌱 Configuração'!$B$56+148-'🌱 Configuração'!$D$56,7)=0,INT(('🌱 Configuração'!$B$56+148-'🌱 Configuração'!$D$56)/7)+1=5),"🍄 Beauveria + inspeção visual buds",IF(AND('🌱 Configuração'!$B$56+148&gt;='🌱 Configuração'!$D$56,'🌱 Configuração'!$B$56+148&lt;'🌱 Configuração'!$E$56,MOD('🌱 Configuração'!$B$56+148-'🌱 Configuração'!$D$56,7)=0,INT(('🌱 Configuração'!$B$56+148-'🌱 Configuração'!$D$56)/7)+1=6),"🦠 Trichoderma + ⚠️ Verificar mofo","")))))),IF(AND('🌱 Configuração'!$B$56+148&gt;='🌱 Configuração'!$E$56,MOD('🌱 Configuração'!$B$56+148-'🌱 Configuração'!$E$56,7)=0),"🔬 Inspeção final — analisar tricomas","")))))</f>
        <v/>
      </c>
      <c r="I154" s="33"/>
    </row>
    <row r="155" spans="1:9" ht="19.5" customHeight="1">
      <c r="A155" s="1"/>
      <c r="B155" s="39" t="str">
        <f>IF(150&lt;='🌱 Configuração'!$F$55,150,"")</f>
        <v/>
      </c>
      <c r="C155" s="40" t="str">
        <f>IF(150&lt;='🌱 Configuração'!$F$55,'🌱 Configuração'!$B$56+149,"")</f>
        <v/>
      </c>
      <c r="D155" s="41" t="str">
        <f>IF(150&gt;'🌱 Configuração'!$F$55,"",IF('🌱 Configuração'!$B$56+149&lt;'🌱 Configuração'!$C$56,"🌱 Clone",IF('🌱 Configuração'!$B$56+149&lt;'🌱 Configuração'!$D$56,"🌿 Vegetativo",IF('🌱 Configuração'!$B$56+149&lt;'🌱 Configuração'!$E$56,"🌸 Floração","🚿 Flush"))))</f>
        <v/>
      </c>
      <c r="E155" s="42" t="str">
        <f>IF(150&gt;'🌱 Configuração'!$F$55,"",IF('🌱 Configuração'!$B$56+149&lt;'🌱 Configuração'!$C$56,"Clone S"&amp;INT((150-1)/7)+1,IF('🌱 Configuração'!$B$56+149&lt;'🌱 Configuração'!$D$56,"Vega S"&amp;INT(('🌱 Configuração'!$B$56+149-'🌱 Configuração'!$C$56)/7)+1,IF('🌱 Configuração'!$B$56+149&lt;'🌱 Configuração'!$E$56,"Flora S"&amp;INT(('🌱 Configuração'!$B$56+149-'🌱 Configuração'!$D$56)/7)+1,"Flush S"&amp;INT(('🌱 Configuração'!$B$56+149-'🌱 Configuração'!$E$56)/7)+1))))</f>
        <v/>
      </c>
      <c r="F155" s="43" t="str">
        <f>IF(150&gt;'🌱 Configuração'!$F$55,"",IF('🌱 Configuração'!$B$56+149='🌱 Configuração'!$C$56,"🌿 INÍCIO VEGA — luz 18h/dia",IF('🌱 Configuração'!$B$56+149='🌱 Configuração'!$D$56,"🌸 INÍCIO FLORAÇÃO — mudar 12/12 🔴",IF('🌱 Configuração'!$B$56+149='🌱 Configuração'!$E$56,"🚿 INÍCIO FLUSH — parar nutrição",IF('🌱 Configuração'!$B$56+149='🌱 Configuração'!$F$56-1,"🔬 Véspera da colheita — analisar tricomas",IF('🌱 Configuração'!$B$56+149='🌱 Configuração'!$F$56,"✂️ COLHEITA — Parabéns! 🎉",""))))))</f>
        <v/>
      </c>
      <c r="G155" s="44" t="s">
        <v>428</v>
      </c>
      <c r="H155" s="45" t="str">
        <f>IF(150&gt;'🌱 Configuração'!$F$55,"",IF('🌱 Configuração'!$B$56+149&lt;'🌱 Configuração'!$C$56,IF(150=1,"🌿 Nim (2 mL/L) — foliar leve",IF(150=8,"🍄 Beauveria bassiana — foliar + solo","")),IF('🌱 Configuração'!$B$56+149&lt;'🌱 Configuração'!$D$56,IF(AND('🌱 Configuração'!$B$56+149&gt;='🌱 Configuração'!$C$56,'🌱 Configuração'!$B$56+149&lt;'🌱 Configuração'!$D$56,MOD('🌱 Configuração'!$B$56+149-'🌱 Configuração'!$C$56,7)=0,INT(('🌱 Configuração'!$B$56+149-'🌱 Configuração'!$C$56)/7)+1=1),"🌿 Nim (2 mL/L) — foliar preventivo",IF(AND('🌱 Configuração'!$B$56+149&gt;='🌱 Configuração'!$C$56,'🌱 Configuração'!$B$56+149&lt;'🌱 Configuração'!$D$56,MOD('🌱 Configuração'!$B$56+149-'🌱 Configuração'!$C$56,7)=0,INT(('🌱 Configuração'!$B$56+149-'🌱 Configuração'!$C$56)/7)+1=2),"🍄 Beauveria bassiana — foliar + solo",IF(AND('🌱 Configuração'!$B$56+149&gt;='🌱 Configuração'!$C$56,'🌱 Configuração'!$B$56+149&lt;'🌱 Configuração'!$D$56,MOD('🌱 Configuração'!$B$56+149-'🌱 Configuração'!$C$56,7)=0,INT(('🌱 Configuração'!$B$56+149-'🌱 Configuração'!$C$56)/7)+1=3),"🟡 Calda Sulfocálcica (1%) — foliar",IF(AND('🌱 Configuração'!$B$56+149&gt;='🌱 Configuração'!$C$56,'🌱 Configuração'!$B$56+149&lt;'🌱 Configuração'!$D$56,MOD('🌱 Configuração'!$B$56+149-'🌱 Configuração'!$C$56,7)=0,INT(('🌱 Configuração'!$B$56+149-'🌱 Configuração'!$C$56)/7)+1=4),"🦠 Trichoderma (3 g/L) — solo",IF(AND('🌱 Configuração'!$B$56+149&gt;='🌱 Configuração'!$C$56,'🌱 Configuração'!$B$56+149&lt;'🌱 Configuração'!$D$56,MOD('🌱 Configuração'!$B$56+149-'🌱 Configuração'!$C$56,7)=0,INT(('🌱 Configuração'!$B$56+149-'🌱 Configuração'!$C$56)/7)+1=5),"🔵 Calda Bordalesa (0.5%) — foliar",IF(AND('🌱 Configuração'!$B$56+149&gt;='🌱 Configuração'!$C$56,'🌱 Configuração'!$B$56+149&lt;'🌱 Configuração'!$D$56,MOD('🌱 Configuração'!$B$56+149-'🌱 Configuração'!$C$56,7)=0,INT(('🌱 Configuração'!$B$56+149-'🌱 Configuração'!$C$56)/7)+1=6),"🌿 Nim (2 mL/L) — ⚠️ ÚLTIMA foliar",IF(AND('🌱 Configuração'!$B$56+149&gt;='🌱 Configuração'!$C$56,'🌱 Configuração'!$B$56+149&lt;'🌱 Configuração'!$D$56,MOD('🌱 Configuração'!$B$56+149-'🌱 Configuração'!$C$56,7)=0,INT(('🌱 Configuração'!$B$56+149-'🌱 Configuração'!$C$56)/7)+1=7),"🦠 Trichoderma — solo",IF(AND('🌱 Configuração'!$B$56+149&gt;='🌱 Configuração'!$C$56,'🌱 Configuração'!$B$56+149&lt;'🌱 Configuração'!$D$56,MOD('🌱 Configuração'!$B$56+149-'🌱 Configuração'!$C$56,7)=0,INT(('🌱 Configuração'!$B$56+149-'🌱 Configuração'!$C$56)/7)+1=8),"🍄 Beauveria — solo","")))))))),IF('🌱 Configuração'!$B$56+149&lt;'🌱 Configuração'!$E$56,IF(AND('🌱 Configuração'!$B$56+149&gt;='🌱 Configuração'!$D$56,'🌱 Configuração'!$B$56+149&lt;'🌱 Configuração'!$E$56,MOD('🌱 Configuração'!$B$56+149-'🌱 Configuração'!$D$56,7)=0,INT(('🌱 Configuração'!$B$56+149-'🌱 Configuração'!$D$56)/7)+1=1),"🍄 Beauveria bassiana — SOLO apenas",IF(AND('🌱 Configuração'!$B$56+149&gt;='🌱 Configuração'!$D$56,'🌱 Configuração'!$B$56+149&lt;'🌱 Configuração'!$E$56,MOD('🌱 Configuração'!$B$56+149-'🌱 Configuração'!$D$56,7)=0,INT(('🌱 Configuração'!$B$56+149-'🌱 Configuração'!$D$56)/7)+1=2),"🦠 Trichoderma (3 g/L) — solo",IF(AND('🌱 Configuração'!$B$56+149&gt;='🌱 Configuração'!$D$56,'🌱 Configuração'!$B$56+149&lt;'🌱 Configuração'!$E$56,MOD('🌱 Configuração'!$B$56+149-'🌱 Configuração'!$D$56,7)=0,INT(('🌱 Configuração'!$B$56+149-'🌱 Configuração'!$D$56)/7)+1=3),"🍄 Beauveria bassiana — solo | ⚠️ Umid &lt;45%",IF(AND('🌱 Configuração'!$B$56+149&gt;='🌱 Configuração'!$D$56,'🌱 Configuração'!$B$56+149&lt;'🌱 Configuração'!$E$56,MOD('🌱 Configuração'!$B$56+149-'🌱 Configuração'!$D$56,7)=0,INT(('🌱 Configuração'!$B$56+149-'🌱 Configuração'!$D$56)/7)+1=4),"🦠 Trichoderma — solo | Inspecionar buds",IF(AND('🌱 Configuração'!$B$56+149&gt;='🌱 Configuração'!$D$56,'🌱 Configuração'!$B$56+149&lt;'🌱 Configuração'!$E$56,MOD('🌱 Configuração'!$B$56+149-'🌱 Configuração'!$D$56,7)=0,INT(('🌱 Configuração'!$B$56+149-'🌱 Configuração'!$D$56)/7)+1=5),"🍄 Beauveria + inspeção visual buds",IF(AND('🌱 Configuração'!$B$56+149&gt;='🌱 Configuração'!$D$56,'🌱 Configuração'!$B$56+149&lt;'🌱 Configuração'!$E$56,MOD('🌱 Configuração'!$B$56+149-'🌱 Configuração'!$D$56,7)=0,INT(('🌱 Configuração'!$B$56+149-'🌱 Configuração'!$D$56)/7)+1=6),"🦠 Trichoderma + ⚠️ Verificar mofo","")))))),IF(AND('🌱 Configuração'!$B$56+149&gt;='🌱 Configuração'!$E$56,MOD('🌱 Configuração'!$B$56+149-'🌱 Configuração'!$E$56,7)=0),"🔬 Inspeção final — analisar tricomas","")))))</f>
        <v/>
      </c>
      <c r="I155" s="33"/>
    </row>
    <row r="156" spans="1:9" ht="19.5" customHeight="1">
      <c r="A156" s="1"/>
      <c r="B156" s="35" t="str">
        <f>IF(151&lt;='🌱 Configuração'!$F$55,151,"")</f>
        <v/>
      </c>
      <c r="C156" s="13" t="str">
        <f>IF(151&lt;='🌱 Configuração'!$F$55,'🌱 Configuração'!$B$56+150,"")</f>
        <v/>
      </c>
      <c r="D156" s="36" t="str">
        <f>IF(151&gt;'🌱 Configuração'!$F$55,"",IF('🌱 Configuração'!$B$56+150&lt;'🌱 Configuração'!$C$56,"🌱 Clone",IF('🌱 Configuração'!$B$56+150&lt;'🌱 Configuração'!$D$56,"🌿 Vegetativo",IF('🌱 Configuração'!$B$56+150&lt;'🌱 Configuração'!$E$56,"🌸 Floração","🚿 Flush"))))</f>
        <v/>
      </c>
      <c r="E156" s="15" t="str">
        <f>IF(151&gt;'🌱 Configuração'!$F$55,"",IF('🌱 Configuração'!$B$56+150&lt;'🌱 Configuração'!$C$56,"Clone S"&amp;INT((151-1)/7)+1,IF('🌱 Configuração'!$B$56+150&lt;'🌱 Configuração'!$D$56,"Vega S"&amp;INT(('🌱 Configuração'!$B$56+150-'🌱 Configuração'!$C$56)/7)+1,IF('🌱 Configuração'!$B$56+150&lt;'🌱 Configuração'!$E$56,"Flora S"&amp;INT(('🌱 Configuração'!$B$56+150-'🌱 Configuração'!$D$56)/7)+1,"Flush S"&amp;INT(('🌱 Configuração'!$B$56+150-'🌱 Configuração'!$E$56)/7)+1))))</f>
        <v/>
      </c>
      <c r="F156" s="14" t="str">
        <f>IF(151&gt;'🌱 Configuração'!$F$55,"",IF('🌱 Configuração'!$B$56+150='🌱 Configuração'!$C$56,"🌿 INÍCIO VEGA — luz 18h/dia",IF('🌱 Configuração'!$B$56+150='🌱 Configuração'!$D$56,"🌸 INÍCIO FLORAÇÃO — mudar 12/12 🔴",IF('🌱 Configuração'!$B$56+150='🌱 Configuração'!$E$56,"🚿 INÍCIO FLUSH — parar nutrição",IF('🌱 Configuração'!$B$56+150='🌱 Configuração'!$F$56-1,"🔬 Véspera da colheita — analisar tricomas",IF('🌱 Configuração'!$B$56+150='🌱 Configuração'!$F$56,"✂️ COLHEITA — Parabéns! 🎉",""))))))</f>
        <v/>
      </c>
      <c r="G156" s="37" t="s">
        <v>428</v>
      </c>
      <c r="H156" s="38" t="str">
        <f>IF(151&gt;'🌱 Configuração'!$F$55,"",IF('🌱 Configuração'!$B$56+150&lt;'🌱 Configuração'!$C$56,IF(151=1,"🌿 Nim (2 mL/L) — foliar leve",IF(151=8,"🍄 Beauveria bassiana — foliar + solo","")),IF('🌱 Configuração'!$B$56+150&lt;'🌱 Configuração'!$D$56,IF(AND('🌱 Configuração'!$B$56+150&gt;='🌱 Configuração'!$C$56,'🌱 Configuração'!$B$56+150&lt;'🌱 Configuração'!$D$56,MOD('🌱 Configuração'!$B$56+150-'🌱 Configuração'!$C$56,7)=0,INT(('🌱 Configuração'!$B$56+150-'🌱 Configuração'!$C$56)/7)+1=1),"🌿 Nim (2 mL/L) — foliar preventivo",IF(AND('🌱 Configuração'!$B$56+150&gt;='🌱 Configuração'!$C$56,'🌱 Configuração'!$B$56+150&lt;'🌱 Configuração'!$D$56,MOD('🌱 Configuração'!$B$56+150-'🌱 Configuração'!$C$56,7)=0,INT(('🌱 Configuração'!$B$56+150-'🌱 Configuração'!$C$56)/7)+1=2),"🍄 Beauveria bassiana — foliar + solo",IF(AND('🌱 Configuração'!$B$56+150&gt;='🌱 Configuração'!$C$56,'🌱 Configuração'!$B$56+150&lt;'🌱 Configuração'!$D$56,MOD('🌱 Configuração'!$B$56+150-'🌱 Configuração'!$C$56,7)=0,INT(('🌱 Configuração'!$B$56+150-'🌱 Configuração'!$C$56)/7)+1=3),"🟡 Calda Sulfocálcica (1%) — foliar",IF(AND('🌱 Configuração'!$B$56+150&gt;='🌱 Configuração'!$C$56,'🌱 Configuração'!$B$56+150&lt;'🌱 Configuração'!$D$56,MOD('🌱 Configuração'!$B$56+150-'🌱 Configuração'!$C$56,7)=0,INT(('🌱 Configuração'!$B$56+150-'🌱 Configuração'!$C$56)/7)+1=4),"🦠 Trichoderma (3 g/L) — solo",IF(AND('🌱 Configuração'!$B$56+150&gt;='🌱 Configuração'!$C$56,'🌱 Configuração'!$B$56+150&lt;'🌱 Configuração'!$D$56,MOD('🌱 Configuração'!$B$56+150-'🌱 Configuração'!$C$56,7)=0,INT(('🌱 Configuração'!$B$56+150-'🌱 Configuração'!$C$56)/7)+1=5),"🔵 Calda Bordalesa (0.5%) — foliar",IF(AND('🌱 Configuração'!$B$56+150&gt;='🌱 Configuração'!$C$56,'🌱 Configuração'!$B$56+150&lt;'🌱 Configuração'!$D$56,MOD('🌱 Configuração'!$B$56+150-'🌱 Configuração'!$C$56,7)=0,INT(('🌱 Configuração'!$B$56+150-'🌱 Configuração'!$C$56)/7)+1=6),"🌿 Nim (2 mL/L) — ⚠️ ÚLTIMA foliar",IF(AND('🌱 Configuração'!$B$56+150&gt;='🌱 Configuração'!$C$56,'🌱 Configuração'!$B$56+150&lt;'🌱 Configuração'!$D$56,MOD('🌱 Configuração'!$B$56+150-'🌱 Configuração'!$C$56,7)=0,INT(('🌱 Configuração'!$B$56+150-'🌱 Configuração'!$C$56)/7)+1=7),"🦠 Trichoderma — solo",IF(AND('🌱 Configuração'!$B$56+150&gt;='🌱 Configuração'!$C$56,'🌱 Configuração'!$B$56+150&lt;'🌱 Configuração'!$D$56,MOD('🌱 Configuração'!$B$56+150-'🌱 Configuração'!$C$56,7)=0,INT(('🌱 Configuração'!$B$56+150-'🌱 Configuração'!$C$56)/7)+1=8),"🍄 Beauveria — solo","")))))))),IF('🌱 Configuração'!$B$56+150&lt;'🌱 Configuração'!$E$56,IF(AND('🌱 Configuração'!$B$56+150&gt;='🌱 Configuração'!$D$56,'🌱 Configuração'!$B$56+150&lt;'🌱 Configuração'!$E$56,MOD('🌱 Configuração'!$B$56+150-'🌱 Configuração'!$D$56,7)=0,INT(('🌱 Configuração'!$B$56+150-'🌱 Configuração'!$D$56)/7)+1=1),"🍄 Beauveria bassiana — SOLO apenas",IF(AND('🌱 Configuração'!$B$56+150&gt;='🌱 Configuração'!$D$56,'🌱 Configuração'!$B$56+150&lt;'🌱 Configuração'!$E$56,MOD('🌱 Configuração'!$B$56+150-'🌱 Configuração'!$D$56,7)=0,INT(('🌱 Configuração'!$B$56+150-'🌱 Configuração'!$D$56)/7)+1=2),"🦠 Trichoderma (3 g/L) — solo",IF(AND('🌱 Configuração'!$B$56+150&gt;='🌱 Configuração'!$D$56,'🌱 Configuração'!$B$56+150&lt;'🌱 Configuração'!$E$56,MOD('🌱 Configuração'!$B$56+150-'🌱 Configuração'!$D$56,7)=0,INT(('🌱 Configuração'!$B$56+150-'🌱 Configuração'!$D$56)/7)+1=3),"🍄 Beauveria bassiana — solo | ⚠️ Umid &lt;45%",IF(AND('🌱 Configuração'!$B$56+150&gt;='🌱 Configuração'!$D$56,'🌱 Configuração'!$B$56+150&lt;'🌱 Configuração'!$E$56,MOD('🌱 Configuração'!$B$56+150-'🌱 Configuração'!$D$56,7)=0,INT(('🌱 Configuração'!$B$56+150-'🌱 Configuração'!$D$56)/7)+1=4),"🦠 Trichoderma — solo | Inspecionar buds",IF(AND('🌱 Configuração'!$B$56+150&gt;='🌱 Configuração'!$D$56,'🌱 Configuração'!$B$56+150&lt;'🌱 Configuração'!$E$56,MOD('🌱 Configuração'!$B$56+150-'🌱 Configuração'!$D$56,7)=0,INT(('🌱 Configuração'!$B$56+150-'🌱 Configuração'!$D$56)/7)+1=5),"🍄 Beauveria + inspeção visual buds",IF(AND('🌱 Configuração'!$B$56+150&gt;='🌱 Configuração'!$D$56,'🌱 Configuração'!$B$56+150&lt;'🌱 Configuração'!$E$56,MOD('🌱 Configuração'!$B$56+150-'🌱 Configuração'!$D$56,7)=0,INT(('🌱 Configuração'!$B$56+150-'🌱 Configuração'!$D$56)/7)+1=6),"🦠 Trichoderma + ⚠️ Verificar mofo","")))))),IF(AND('🌱 Configuração'!$B$56+150&gt;='🌱 Configuração'!$E$56,MOD('🌱 Configuração'!$B$56+150-'🌱 Configuração'!$E$56,7)=0),"🔬 Inspeção final — analisar tricomas","")))))</f>
        <v/>
      </c>
      <c r="I156" s="33"/>
    </row>
    <row r="157" spans="1:9" ht="19.5" customHeight="1">
      <c r="A157" s="1"/>
      <c r="B157" s="39" t="str">
        <f>IF(152&lt;='🌱 Configuração'!$F$55,152,"")</f>
        <v/>
      </c>
      <c r="C157" s="40" t="str">
        <f>IF(152&lt;='🌱 Configuração'!$F$55,'🌱 Configuração'!$B$56+151,"")</f>
        <v/>
      </c>
      <c r="D157" s="41" t="str">
        <f>IF(152&gt;'🌱 Configuração'!$F$55,"",IF('🌱 Configuração'!$B$56+151&lt;'🌱 Configuração'!$C$56,"🌱 Clone",IF('🌱 Configuração'!$B$56+151&lt;'🌱 Configuração'!$D$56,"🌿 Vegetativo",IF('🌱 Configuração'!$B$56+151&lt;'🌱 Configuração'!$E$56,"🌸 Floração","🚿 Flush"))))</f>
        <v/>
      </c>
      <c r="E157" s="42" t="str">
        <f>IF(152&gt;'🌱 Configuração'!$F$55,"",IF('🌱 Configuração'!$B$56+151&lt;'🌱 Configuração'!$C$56,"Clone S"&amp;INT((152-1)/7)+1,IF('🌱 Configuração'!$B$56+151&lt;'🌱 Configuração'!$D$56,"Vega S"&amp;INT(('🌱 Configuração'!$B$56+151-'🌱 Configuração'!$C$56)/7)+1,IF('🌱 Configuração'!$B$56+151&lt;'🌱 Configuração'!$E$56,"Flora S"&amp;INT(('🌱 Configuração'!$B$56+151-'🌱 Configuração'!$D$56)/7)+1,"Flush S"&amp;INT(('🌱 Configuração'!$B$56+151-'🌱 Configuração'!$E$56)/7)+1))))</f>
        <v/>
      </c>
      <c r="F157" s="43" t="str">
        <f>IF(152&gt;'🌱 Configuração'!$F$55,"",IF('🌱 Configuração'!$B$56+151='🌱 Configuração'!$C$56,"🌿 INÍCIO VEGA — luz 18h/dia",IF('🌱 Configuração'!$B$56+151='🌱 Configuração'!$D$56,"🌸 INÍCIO FLORAÇÃO — mudar 12/12 🔴",IF('🌱 Configuração'!$B$56+151='🌱 Configuração'!$E$56,"🚿 INÍCIO FLUSH — parar nutrição",IF('🌱 Configuração'!$B$56+151='🌱 Configuração'!$F$56-1,"🔬 Véspera da colheita — analisar tricomas",IF('🌱 Configuração'!$B$56+151='🌱 Configuração'!$F$56,"✂️ COLHEITA — Parabéns! 🎉",""))))))</f>
        <v/>
      </c>
      <c r="G157" s="44" t="s">
        <v>428</v>
      </c>
      <c r="H157" s="45" t="str">
        <f>IF(152&gt;'🌱 Configuração'!$F$55,"",IF('🌱 Configuração'!$B$56+151&lt;'🌱 Configuração'!$C$56,IF(152=1,"🌿 Nim (2 mL/L) — foliar leve",IF(152=8,"🍄 Beauveria bassiana — foliar + solo","")),IF('🌱 Configuração'!$B$56+151&lt;'🌱 Configuração'!$D$56,IF(AND('🌱 Configuração'!$B$56+151&gt;='🌱 Configuração'!$C$56,'🌱 Configuração'!$B$56+151&lt;'🌱 Configuração'!$D$56,MOD('🌱 Configuração'!$B$56+151-'🌱 Configuração'!$C$56,7)=0,INT(('🌱 Configuração'!$B$56+151-'🌱 Configuração'!$C$56)/7)+1=1),"🌿 Nim (2 mL/L) — foliar preventivo",IF(AND('🌱 Configuração'!$B$56+151&gt;='🌱 Configuração'!$C$56,'🌱 Configuração'!$B$56+151&lt;'🌱 Configuração'!$D$56,MOD('🌱 Configuração'!$B$56+151-'🌱 Configuração'!$C$56,7)=0,INT(('🌱 Configuração'!$B$56+151-'🌱 Configuração'!$C$56)/7)+1=2),"🍄 Beauveria bassiana — foliar + solo",IF(AND('🌱 Configuração'!$B$56+151&gt;='🌱 Configuração'!$C$56,'🌱 Configuração'!$B$56+151&lt;'🌱 Configuração'!$D$56,MOD('🌱 Configuração'!$B$56+151-'🌱 Configuração'!$C$56,7)=0,INT(('🌱 Configuração'!$B$56+151-'🌱 Configuração'!$C$56)/7)+1=3),"🟡 Calda Sulfocálcica (1%) — foliar",IF(AND('🌱 Configuração'!$B$56+151&gt;='🌱 Configuração'!$C$56,'🌱 Configuração'!$B$56+151&lt;'🌱 Configuração'!$D$56,MOD('🌱 Configuração'!$B$56+151-'🌱 Configuração'!$C$56,7)=0,INT(('🌱 Configuração'!$B$56+151-'🌱 Configuração'!$C$56)/7)+1=4),"🦠 Trichoderma (3 g/L) — solo",IF(AND('🌱 Configuração'!$B$56+151&gt;='🌱 Configuração'!$C$56,'🌱 Configuração'!$B$56+151&lt;'🌱 Configuração'!$D$56,MOD('🌱 Configuração'!$B$56+151-'🌱 Configuração'!$C$56,7)=0,INT(('🌱 Configuração'!$B$56+151-'🌱 Configuração'!$C$56)/7)+1=5),"🔵 Calda Bordalesa (0.5%) — foliar",IF(AND('🌱 Configuração'!$B$56+151&gt;='🌱 Configuração'!$C$56,'🌱 Configuração'!$B$56+151&lt;'🌱 Configuração'!$D$56,MOD('🌱 Configuração'!$B$56+151-'🌱 Configuração'!$C$56,7)=0,INT(('🌱 Configuração'!$B$56+151-'🌱 Configuração'!$C$56)/7)+1=6),"🌿 Nim (2 mL/L) — ⚠️ ÚLTIMA foliar",IF(AND('🌱 Configuração'!$B$56+151&gt;='🌱 Configuração'!$C$56,'🌱 Configuração'!$B$56+151&lt;'🌱 Configuração'!$D$56,MOD('🌱 Configuração'!$B$56+151-'🌱 Configuração'!$C$56,7)=0,INT(('🌱 Configuração'!$B$56+151-'🌱 Configuração'!$C$56)/7)+1=7),"🦠 Trichoderma — solo",IF(AND('🌱 Configuração'!$B$56+151&gt;='🌱 Configuração'!$C$56,'🌱 Configuração'!$B$56+151&lt;'🌱 Configuração'!$D$56,MOD('🌱 Configuração'!$B$56+151-'🌱 Configuração'!$C$56,7)=0,INT(('🌱 Configuração'!$B$56+151-'🌱 Configuração'!$C$56)/7)+1=8),"🍄 Beauveria — solo","")))))))),IF('🌱 Configuração'!$B$56+151&lt;'🌱 Configuração'!$E$56,IF(AND('🌱 Configuração'!$B$56+151&gt;='🌱 Configuração'!$D$56,'🌱 Configuração'!$B$56+151&lt;'🌱 Configuração'!$E$56,MOD('🌱 Configuração'!$B$56+151-'🌱 Configuração'!$D$56,7)=0,INT(('🌱 Configuração'!$B$56+151-'🌱 Configuração'!$D$56)/7)+1=1),"🍄 Beauveria bassiana — SOLO apenas",IF(AND('🌱 Configuração'!$B$56+151&gt;='🌱 Configuração'!$D$56,'🌱 Configuração'!$B$56+151&lt;'🌱 Configuração'!$E$56,MOD('🌱 Configuração'!$B$56+151-'🌱 Configuração'!$D$56,7)=0,INT(('🌱 Configuração'!$B$56+151-'🌱 Configuração'!$D$56)/7)+1=2),"🦠 Trichoderma (3 g/L) — solo",IF(AND('🌱 Configuração'!$B$56+151&gt;='🌱 Configuração'!$D$56,'🌱 Configuração'!$B$56+151&lt;'🌱 Configuração'!$E$56,MOD('🌱 Configuração'!$B$56+151-'🌱 Configuração'!$D$56,7)=0,INT(('🌱 Configuração'!$B$56+151-'🌱 Configuração'!$D$56)/7)+1=3),"🍄 Beauveria bassiana — solo | ⚠️ Umid &lt;45%",IF(AND('🌱 Configuração'!$B$56+151&gt;='🌱 Configuração'!$D$56,'🌱 Configuração'!$B$56+151&lt;'🌱 Configuração'!$E$56,MOD('🌱 Configuração'!$B$56+151-'🌱 Configuração'!$D$56,7)=0,INT(('🌱 Configuração'!$B$56+151-'🌱 Configuração'!$D$56)/7)+1=4),"🦠 Trichoderma — solo | Inspecionar buds",IF(AND('🌱 Configuração'!$B$56+151&gt;='🌱 Configuração'!$D$56,'🌱 Configuração'!$B$56+151&lt;'🌱 Configuração'!$E$56,MOD('🌱 Configuração'!$B$56+151-'🌱 Configuração'!$D$56,7)=0,INT(('🌱 Configuração'!$B$56+151-'🌱 Configuração'!$D$56)/7)+1=5),"🍄 Beauveria + inspeção visual buds",IF(AND('🌱 Configuração'!$B$56+151&gt;='🌱 Configuração'!$D$56,'🌱 Configuração'!$B$56+151&lt;'🌱 Configuração'!$E$56,MOD('🌱 Configuração'!$B$56+151-'🌱 Configuração'!$D$56,7)=0,INT(('🌱 Configuração'!$B$56+151-'🌱 Configuração'!$D$56)/7)+1=6),"🦠 Trichoderma + ⚠️ Verificar mofo","")))))),IF(AND('🌱 Configuração'!$B$56+151&gt;='🌱 Configuração'!$E$56,MOD('🌱 Configuração'!$B$56+151-'🌱 Configuração'!$E$56,7)=0),"🔬 Inspeção final — analisar tricomas","")))))</f>
        <v/>
      </c>
      <c r="I157" s="33"/>
    </row>
    <row r="158" spans="1:9" ht="19.5" customHeight="1">
      <c r="A158" s="1"/>
      <c r="B158" s="35" t="str">
        <f>IF(153&lt;='🌱 Configuração'!$F$55,153,"")</f>
        <v/>
      </c>
      <c r="C158" s="13" t="str">
        <f>IF(153&lt;='🌱 Configuração'!$F$55,'🌱 Configuração'!$B$56+152,"")</f>
        <v/>
      </c>
      <c r="D158" s="36" t="str">
        <f>IF(153&gt;'🌱 Configuração'!$F$55,"",IF('🌱 Configuração'!$B$56+152&lt;'🌱 Configuração'!$C$56,"🌱 Clone",IF('🌱 Configuração'!$B$56+152&lt;'🌱 Configuração'!$D$56,"🌿 Vegetativo",IF('🌱 Configuração'!$B$56+152&lt;'🌱 Configuração'!$E$56,"🌸 Floração","🚿 Flush"))))</f>
        <v/>
      </c>
      <c r="E158" s="15" t="str">
        <f>IF(153&gt;'🌱 Configuração'!$F$55,"",IF('🌱 Configuração'!$B$56+152&lt;'🌱 Configuração'!$C$56,"Clone S"&amp;INT((153-1)/7)+1,IF('🌱 Configuração'!$B$56+152&lt;'🌱 Configuração'!$D$56,"Vega S"&amp;INT(('🌱 Configuração'!$B$56+152-'🌱 Configuração'!$C$56)/7)+1,IF('🌱 Configuração'!$B$56+152&lt;'🌱 Configuração'!$E$56,"Flora S"&amp;INT(('🌱 Configuração'!$B$56+152-'🌱 Configuração'!$D$56)/7)+1,"Flush S"&amp;INT(('🌱 Configuração'!$B$56+152-'🌱 Configuração'!$E$56)/7)+1))))</f>
        <v/>
      </c>
      <c r="F158" s="14" t="str">
        <f>IF(153&gt;'🌱 Configuração'!$F$55,"",IF('🌱 Configuração'!$B$56+152='🌱 Configuração'!$C$56,"🌿 INÍCIO VEGA — luz 18h/dia",IF('🌱 Configuração'!$B$56+152='🌱 Configuração'!$D$56,"🌸 INÍCIO FLORAÇÃO — mudar 12/12 🔴",IF('🌱 Configuração'!$B$56+152='🌱 Configuração'!$E$56,"🚿 INÍCIO FLUSH — parar nutrição",IF('🌱 Configuração'!$B$56+152='🌱 Configuração'!$F$56-1,"🔬 Véspera da colheita — analisar tricomas",IF('🌱 Configuração'!$B$56+152='🌱 Configuração'!$F$56,"✂️ COLHEITA — Parabéns! 🎉",""))))))</f>
        <v/>
      </c>
      <c r="G158" s="37" t="s">
        <v>428</v>
      </c>
      <c r="H158" s="38" t="str">
        <f>IF(153&gt;'🌱 Configuração'!$F$55,"",IF('🌱 Configuração'!$B$56+152&lt;'🌱 Configuração'!$C$56,IF(153=1,"🌿 Nim (2 mL/L) — foliar leve",IF(153=8,"🍄 Beauveria bassiana — foliar + solo","")),IF('🌱 Configuração'!$B$56+152&lt;'🌱 Configuração'!$D$56,IF(AND('🌱 Configuração'!$B$56+152&gt;='🌱 Configuração'!$C$56,'🌱 Configuração'!$B$56+152&lt;'🌱 Configuração'!$D$56,MOD('🌱 Configuração'!$B$56+152-'🌱 Configuração'!$C$56,7)=0,INT(('🌱 Configuração'!$B$56+152-'🌱 Configuração'!$C$56)/7)+1=1),"🌿 Nim (2 mL/L) — foliar preventivo",IF(AND('🌱 Configuração'!$B$56+152&gt;='🌱 Configuração'!$C$56,'🌱 Configuração'!$B$56+152&lt;'🌱 Configuração'!$D$56,MOD('🌱 Configuração'!$B$56+152-'🌱 Configuração'!$C$56,7)=0,INT(('🌱 Configuração'!$B$56+152-'🌱 Configuração'!$C$56)/7)+1=2),"🍄 Beauveria bassiana — foliar + solo",IF(AND('🌱 Configuração'!$B$56+152&gt;='🌱 Configuração'!$C$56,'🌱 Configuração'!$B$56+152&lt;'🌱 Configuração'!$D$56,MOD('🌱 Configuração'!$B$56+152-'🌱 Configuração'!$C$56,7)=0,INT(('🌱 Configuração'!$B$56+152-'🌱 Configuração'!$C$56)/7)+1=3),"🟡 Calda Sulfocálcica (1%) — foliar",IF(AND('🌱 Configuração'!$B$56+152&gt;='🌱 Configuração'!$C$56,'🌱 Configuração'!$B$56+152&lt;'🌱 Configuração'!$D$56,MOD('🌱 Configuração'!$B$56+152-'🌱 Configuração'!$C$56,7)=0,INT(('🌱 Configuração'!$B$56+152-'🌱 Configuração'!$C$56)/7)+1=4),"🦠 Trichoderma (3 g/L) — solo",IF(AND('🌱 Configuração'!$B$56+152&gt;='🌱 Configuração'!$C$56,'🌱 Configuração'!$B$56+152&lt;'🌱 Configuração'!$D$56,MOD('🌱 Configuração'!$B$56+152-'🌱 Configuração'!$C$56,7)=0,INT(('🌱 Configuração'!$B$56+152-'🌱 Configuração'!$C$56)/7)+1=5),"🔵 Calda Bordalesa (0.5%) — foliar",IF(AND('🌱 Configuração'!$B$56+152&gt;='🌱 Configuração'!$C$56,'🌱 Configuração'!$B$56+152&lt;'🌱 Configuração'!$D$56,MOD('🌱 Configuração'!$B$56+152-'🌱 Configuração'!$C$56,7)=0,INT(('🌱 Configuração'!$B$56+152-'🌱 Configuração'!$C$56)/7)+1=6),"🌿 Nim (2 mL/L) — ⚠️ ÚLTIMA foliar",IF(AND('🌱 Configuração'!$B$56+152&gt;='🌱 Configuração'!$C$56,'🌱 Configuração'!$B$56+152&lt;'🌱 Configuração'!$D$56,MOD('🌱 Configuração'!$B$56+152-'🌱 Configuração'!$C$56,7)=0,INT(('🌱 Configuração'!$B$56+152-'🌱 Configuração'!$C$56)/7)+1=7),"🦠 Trichoderma — solo",IF(AND('🌱 Configuração'!$B$56+152&gt;='🌱 Configuração'!$C$56,'🌱 Configuração'!$B$56+152&lt;'🌱 Configuração'!$D$56,MOD('🌱 Configuração'!$B$56+152-'🌱 Configuração'!$C$56,7)=0,INT(('🌱 Configuração'!$B$56+152-'🌱 Configuração'!$C$56)/7)+1=8),"🍄 Beauveria — solo","")))))))),IF('🌱 Configuração'!$B$56+152&lt;'🌱 Configuração'!$E$56,IF(AND('🌱 Configuração'!$B$56+152&gt;='🌱 Configuração'!$D$56,'🌱 Configuração'!$B$56+152&lt;'🌱 Configuração'!$E$56,MOD('🌱 Configuração'!$B$56+152-'🌱 Configuração'!$D$56,7)=0,INT(('🌱 Configuração'!$B$56+152-'🌱 Configuração'!$D$56)/7)+1=1),"🍄 Beauveria bassiana — SOLO apenas",IF(AND('🌱 Configuração'!$B$56+152&gt;='🌱 Configuração'!$D$56,'🌱 Configuração'!$B$56+152&lt;'🌱 Configuração'!$E$56,MOD('🌱 Configuração'!$B$56+152-'🌱 Configuração'!$D$56,7)=0,INT(('🌱 Configuração'!$B$56+152-'🌱 Configuração'!$D$56)/7)+1=2),"🦠 Trichoderma (3 g/L) — solo",IF(AND('🌱 Configuração'!$B$56+152&gt;='🌱 Configuração'!$D$56,'🌱 Configuração'!$B$56+152&lt;'🌱 Configuração'!$E$56,MOD('🌱 Configuração'!$B$56+152-'🌱 Configuração'!$D$56,7)=0,INT(('🌱 Configuração'!$B$56+152-'🌱 Configuração'!$D$56)/7)+1=3),"🍄 Beauveria bassiana — solo | ⚠️ Umid &lt;45%",IF(AND('🌱 Configuração'!$B$56+152&gt;='🌱 Configuração'!$D$56,'🌱 Configuração'!$B$56+152&lt;'🌱 Configuração'!$E$56,MOD('🌱 Configuração'!$B$56+152-'🌱 Configuração'!$D$56,7)=0,INT(('🌱 Configuração'!$B$56+152-'🌱 Configuração'!$D$56)/7)+1=4),"🦠 Trichoderma — solo | Inspecionar buds",IF(AND('🌱 Configuração'!$B$56+152&gt;='🌱 Configuração'!$D$56,'🌱 Configuração'!$B$56+152&lt;'🌱 Configuração'!$E$56,MOD('🌱 Configuração'!$B$56+152-'🌱 Configuração'!$D$56,7)=0,INT(('🌱 Configuração'!$B$56+152-'🌱 Configuração'!$D$56)/7)+1=5),"🍄 Beauveria + inspeção visual buds",IF(AND('🌱 Configuração'!$B$56+152&gt;='🌱 Configuração'!$D$56,'🌱 Configuração'!$B$56+152&lt;'🌱 Configuração'!$E$56,MOD('🌱 Configuração'!$B$56+152-'🌱 Configuração'!$D$56,7)=0,INT(('🌱 Configuração'!$B$56+152-'🌱 Configuração'!$D$56)/7)+1=6),"🦠 Trichoderma + ⚠️ Verificar mofo","")))))),IF(AND('🌱 Configuração'!$B$56+152&gt;='🌱 Configuração'!$E$56,MOD('🌱 Configuração'!$B$56+152-'🌱 Configuração'!$E$56,7)=0),"🔬 Inspeção final — analisar tricomas","")))))</f>
        <v/>
      </c>
      <c r="I158" s="33"/>
    </row>
    <row r="159" spans="1:9" ht="19.5" customHeight="1">
      <c r="A159" s="1"/>
      <c r="B159" s="39" t="str">
        <f>IF(154&lt;='🌱 Configuração'!$F$55,154,"")</f>
        <v/>
      </c>
      <c r="C159" s="40" t="str">
        <f>IF(154&lt;='🌱 Configuração'!$F$55,'🌱 Configuração'!$B$56+153,"")</f>
        <v/>
      </c>
      <c r="D159" s="41" t="str">
        <f>IF(154&gt;'🌱 Configuração'!$F$55,"",IF('🌱 Configuração'!$B$56+153&lt;'🌱 Configuração'!$C$56,"🌱 Clone",IF('🌱 Configuração'!$B$56+153&lt;'🌱 Configuração'!$D$56,"🌿 Vegetativo",IF('🌱 Configuração'!$B$56+153&lt;'🌱 Configuração'!$E$56,"🌸 Floração","🚿 Flush"))))</f>
        <v/>
      </c>
      <c r="E159" s="42" t="str">
        <f>IF(154&gt;'🌱 Configuração'!$F$55,"",IF('🌱 Configuração'!$B$56+153&lt;'🌱 Configuração'!$C$56,"Clone S"&amp;INT((154-1)/7)+1,IF('🌱 Configuração'!$B$56+153&lt;'🌱 Configuração'!$D$56,"Vega S"&amp;INT(('🌱 Configuração'!$B$56+153-'🌱 Configuração'!$C$56)/7)+1,IF('🌱 Configuração'!$B$56+153&lt;'🌱 Configuração'!$E$56,"Flora S"&amp;INT(('🌱 Configuração'!$B$56+153-'🌱 Configuração'!$D$56)/7)+1,"Flush S"&amp;INT(('🌱 Configuração'!$B$56+153-'🌱 Configuração'!$E$56)/7)+1))))</f>
        <v/>
      </c>
      <c r="F159" s="43" t="str">
        <f>IF(154&gt;'🌱 Configuração'!$F$55,"",IF('🌱 Configuração'!$B$56+153='🌱 Configuração'!$C$56,"🌿 INÍCIO VEGA — luz 18h/dia",IF('🌱 Configuração'!$B$56+153='🌱 Configuração'!$D$56,"🌸 INÍCIO FLORAÇÃO — mudar 12/12 🔴",IF('🌱 Configuração'!$B$56+153='🌱 Configuração'!$E$56,"🚿 INÍCIO FLUSH — parar nutrição",IF('🌱 Configuração'!$B$56+153='🌱 Configuração'!$F$56-1,"🔬 Véspera da colheita — analisar tricomas",IF('🌱 Configuração'!$B$56+153='🌱 Configuração'!$F$56,"✂️ COLHEITA — Parabéns! 🎉",""))))))</f>
        <v/>
      </c>
      <c r="G159" s="44" t="s">
        <v>428</v>
      </c>
      <c r="H159" s="45" t="str">
        <f>IF(154&gt;'🌱 Configuração'!$F$55,"",IF('🌱 Configuração'!$B$56+153&lt;'🌱 Configuração'!$C$56,IF(154=1,"🌿 Nim (2 mL/L) — foliar leve",IF(154=8,"🍄 Beauveria bassiana — foliar + solo","")),IF('🌱 Configuração'!$B$56+153&lt;'🌱 Configuração'!$D$56,IF(AND('🌱 Configuração'!$B$56+153&gt;='🌱 Configuração'!$C$56,'🌱 Configuração'!$B$56+153&lt;'🌱 Configuração'!$D$56,MOD('🌱 Configuração'!$B$56+153-'🌱 Configuração'!$C$56,7)=0,INT(('🌱 Configuração'!$B$56+153-'🌱 Configuração'!$C$56)/7)+1=1),"🌿 Nim (2 mL/L) — foliar preventivo",IF(AND('🌱 Configuração'!$B$56+153&gt;='🌱 Configuração'!$C$56,'🌱 Configuração'!$B$56+153&lt;'🌱 Configuração'!$D$56,MOD('🌱 Configuração'!$B$56+153-'🌱 Configuração'!$C$56,7)=0,INT(('🌱 Configuração'!$B$56+153-'🌱 Configuração'!$C$56)/7)+1=2),"🍄 Beauveria bassiana — foliar + solo",IF(AND('🌱 Configuração'!$B$56+153&gt;='🌱 Configuração'!$C$56,'🌱 Configuração'!$B$56+153&lt;'🌱 Configuração'!$D$56,MOD('🌱 Configuração'!$B$56+153-'🌱 Configuração'!$C$56,7)=0,INT(('🌱 Configuração'!$B$56+153-'🌱 Configuração'!$C$56)/7)+1=3),"🟡 Calda Sulfocálcica (1%) — foliar",IF(AND('🌱 Configuração'!$B$56+153&gt;='🌱 Configuração'!$C$56,'🌱 Configuração'!$B$56+153&lt;'🌱 Configuração'!$D$56,MOD('🌱 Configuração'!$B$56+153-'🌱 Configuração'!$C$56,7)=0,INT(('🌱 Configuração'!$B$56+153-'🌱 Configuração'!$C$56)/7)+1=4),"🦠 Trichoderma (3 g/L) — solo",IF(AND('🌱 Configuração'!$B$56+153&gt;='🌱 Configuração'!$C$56,'🌱 Configuração'!$B$56+153&lt;'🌱 Configuração'!$D$56,MOD('🌱 Configuração'!$B$56+153-'🌱 Configuração'!$C$56,7)=0,INT(('🌱 Configuração'!$B$56+153-'🌱 Configuração'!$C$56)/7)+1=5),"🔵 Calda Bordalesa (0.5%) — foliar",IF(AND('🌱 Configuração'!$B$56+153&gt;='🌱 Configuração'!$C$56,'🌱 Configuração'!$B$56+153&lt;'🌱 Configuração'!$D$56,MOD('🌱 Configuração'!$B$56+153-'🌱 Configuração'!$C$56,7)=0,INT(('🌱 Configuração'!$B$56+153-'🌱 Configuração'!$C$56)/7)+1=6),"🌿 Nim (2 mL/L) — ⚠️ ÚLTIMA foliar",IF(AND('🌱 Configuração'!$B$56+153&gt;='🌱 Configuração'!$C$56,'🌱 Configuração'!$B$56+153&lt;'🌱 Configuração'!$D$56,MOD('🌱 Configuração'!$B$56+153-'🌱 Configuração'!$C$56,7)=0,INT(('🌱 Configuração'!$B$56+153-'🌱 Configuração'!$C$56)/7)+1=7),"🦠 Trichoderma — solo",IF(AND('🌱 Configuração'!$B$56+153&gt;='🌱 Configuração'!$C$56,'🌱 Configuração'!$B$56+153&lt;'🌱 Configuração'!$D$56,MOD('🌱 Configuração'!$B$56+153-'🌱 Configuração'!$C$56,7)=0,INT(('🌱 Configuração'!$B$56+153-'🌱 Configuração'!$C$56)/7)+1=8),"🍄 Beauveria — solo","")))))))),IF('🌱 Configuração'!$B$56+153&lt;'🌱 Configuração'!$E$56,IF(AND('🌱 Configuração'!$B$56+153&gt;='🌱 Configuração'!$D$56,'🌱 Configuração'!$B$56+153&lt;'🌱 Configuração'!$E$56,MOD('🌱 Configuração'!$B$56+153-'🌱 Configuração'!$D$56,7)=0,INT(('🌱 Configuração'!$B$56+153-'🌱 Configuração'!$D$56)/7)+1=1),"🍄 Beauveria bassiana — SOLO apenas",IF(AND('🌱 Configuração'!$B$56+153&gt;='🌱 Configuração'!$D$56,'🌱 Configuração'!$B$56+153&lt;'🌱 Configuração'!$E$56,MOD('🌱 Configuração'!$B$56+153-'🌱 Configuração'!$D$56,7)=0,INT(('🌱 Configuração'!$B$56+153-'🌱 Configuração'!$D$56)/7)+1=2),"🦠 Trichoderma (3 g/L) — solo",IF(AND('🌱 Configuração'!$B$56+153&gt;='🌱 Configuração'!$D$56,'🌱 Configuração'!$B$56+153&lt;'🌱 Configuração'!$E$56,MOD('🌱 Configuração'!$B$56+153-'🌱 Configuração'!$D$56,7)=0,INT(('🌱 Configuração'!$B$56+153-'🌱 Configuração'!$D$56)/7)+1=3),"🍄 Beauveria bassiana — solo | ⚠️ Umid &lt;45%",IF(AND('🌱 Configuração'!$B$56+153&gt;='🌱 Configuração'!$D$56,'🌱 Configuração'!$B$56+153&lt;'🌱 Configuração'!$E$56,MOD('🌱 Configuração'!$B$56+153-'🌱 Configuração'!$D$56,7)=0,INT(('🌱 Configuração'!$B$56+153-'🌱 Configuração'!$D$56)/7)+1=4),"🦠 Trichoderma — solo | Inspecionar buds",IF(AND('🌱 Configuração'!$B$56+153&gt;='🌱 Configuração'!$D$56,'🌱 Configuração'!$B$56+153&lt;'🌱 Configuração'!$E$56,MOD('🌱 Configuração'!$B$56+153-'🌱 Configuração'!$D$56,7)=0,INT(('🌱 Configuração'!$B$56+153-'🌱 Configuração'!$D$56)/7)+1=5),"🍄 Beauveria + inspeção visual buds",IF(AND('🌱 Configuração'!$B$56+153&gt;='🌱 Configuração'!$D$56,'🌱 Configuração'!$B$56+153&lt;'🌱 Configuração'!$E$56,MOD('🌱 Configuração'!$B$56+153-'🌱 Configuração'!$D$56,7)=0,INT(('🌱 Configuração'!$B$56+153-'🌱 Configuração'!$D$56)/7)+1=6),"🦠 Trichoderma + ⚠️ Verificar mofo","")))))),IF(AND('🌱 Configuração'!$B$56+153&gt;='🌱 Configuração'!$E$56,MOD('🌱 Configuração'!$B$56+153-'🌱 Configuração'!$E$56,7)=0),"🔬 Inspeção final — analisar tricomas","")))))</f>
        <v/>
      </c>
      <c r="I159" s="33"/>
    </row>
    <row r="160" spans="1:9" ht="19.5" customHeight="1">
      <c r="A160" s="1"/>
      <c r="B160" s="35" t="str">
        <f>IF(155&lt;='🌱 Configuração'!$F$55,155,"")</f>
        <v/>
      </c>
      <c r="C160" s="13" t="str">
        <f>IF(155&lt;='🌱 Configuração'!$F$55,'🌱 Configuração'!$B$56+154,"")</f>
        <v/>
      </c>
      <c r="D160" s="36" t="str">
        <f>IF(155&gt;'🌱 Configuração'!$F$55,"",IF('🌱 Configuração'!$B$56+154&lt;'🌱 Configuração'!$C$56,"🌱 Clone",IF('🌱 Configuração'!$B$56+154&lt;'🌱 Configuração'!$D$56,"🌿 Vegetativo",IF('🌱 Configuração'!$B$56+154&lt;'🌱 Configuração'!$E$56,"🌸 Floração","🚿 Flush"))))</f>
        <v/>
      </c>
      <c r="E160" s="15" t="str">
        <f>IF(155&gt;'🌱 Configuração'!$F$55,"",IF('🌱 Configuração'!$B$56+154&lt;'🌱 Configuração'!$C$56,"Clone S"&amp;INT((155-1)/7)+1,IF('🌱 Configuração'!$B$56+154&lt;'🌱 Configuração'!$D$56,"Vega S"&amp;INT(('🌱 Configuração'!$B$56+154-'🌱 Configuração'!$C$56)/7)+1,IF('🌱 Configuração'!$B$56+154&lt;'🌱 Configuração'!$E$56,"Flora S"&amp;INT(('🌱 Configuração'!$B$56+154-'🌱 Configuração'!$D$56)/7)+1,"Flush S"&amp;INT(('🌱 Configuração'!$B$56+154-'🌱 Configuração'!$E$56)/7)+1))))</f>
        <v/>
      </c>
      <c r="F160" s="14" t="str">
        <f>IF(155&gt;'🌱 Configuração'!$F$55,"",IF('🌱 Configuração'!$B$56+154='🌱 Configuração'!$C$56,"🌿 INÍCIO VEGA — luz 18h/dia",IF('🌱 Configuração'!$B$56+154='🌱 Configuração'!$D$56,"🌸 INÍCIO FLORAÇÃO — mudar 12/12 🔴",IF('🌱 Configuração'!$B$56+154='🌱 Configuração'!$E$56,"🚿 INÍCIO FLUSH — parar nutrição",IF('🌱 Configuração'!$B$56+154='🌱 Configuração'!$F$56-1,"🔬 Véspera da colheita — analisar tricomas",IF('🌱 Configuração'!$B$56+154='🌱 Configuração'!$F$56,"✂️ COLHEITA — Parabéns! 🎉",""))))))</f>
        <v/>
      </c>
      <c r="G160" s="37" t="s">
        <v>428</v>
      </c>
      <c r="H160" s="38" t="str">
        <f>IF(155&gt;'🌱 Configuração'!$F$55,"",IF('🌱 Configuração'!$B$56+154&lt;'🌱 Configuração'!$C$56,IF(155=1,"🌿 Nim (2 mL/L) — foliar leve",IF(155=8,"🍄 Beauveria bassiana — foliar + solo","")),IF('🌱 Configuração'!$B$56+154&lt;'🌱 Configuração'!$D$56,IF(AND('🌱 Configuração'!$B$56+154&gt;='🌱 Configuração'!$C$56,'🌱 Configuração'!$B$56+154&lt;'🌱 Configuração'!$D$56,MOD('🌱 Configuração'!$B$56+154-'🌱 Configuração'!$C$56,7)=0,INT(('🌱 Configuração'!$B$56+154-'🌱 Configuração'!$C$56)/7)+1=1),"🌿 Nim (2 mL/L) — foliar preventivo",IF(AND('🌱 Configuração'!$B$56+154&gt;='🌱 Configuração'!$C$56,'🌱 Configuração'!$B$56+154&lt;'🌱 Configuração'!$D$56,MOD('🌱 Configuração'!$B$56+154-'🌱 Configuração'!$C$56,7)=0,INT(('🌱 Configuração'!$B$56+154-'🌱 Configuração'!$C$56)/7)+1=2),"🍄 Beauveria bassiana — foliar + solo",IF(AND('🌱 Configuração'!$B$56+154&gt;='🌱 Configuração'!$C$56,'🌱 Configuração'!$B$56+154&lt;'🌱 Configuração'!$D$56,MOD('🌱 Configuração'!$B$56+154-'🌱 Configuração'!$C$56,7)=0,INT(('🌱 Configuração'!$B$56+154-'🌱 Configuração'!$C$56)/7)+1=3),"🟡 Calda Sulfocálcica (1%) — foliar",IF(AND('🌱 Configuração'!$B$56+154&gt;='🌱 Configuração'!$C$56,'🌱 Configuração'!$B$56+154&lt;'🌱 Configuração'!$D$56,MOD('🌱 Configuração'!$B$56+154-'🌱 Configuração'!$C$56,7)=0,INT(('🌱 Configuração'!$B$56+154-'🌱 Configuração'!$C$56)/7)+1=4),"🦠 Trichoderma (3 g/L) — solo",IF(AND('🌱 Configuração'!$B$56+154&gt;='🌱 Configuração'!$C$56,'🌱 Configuração'!$B$56+154&lt;'🌱 Configuração'!$D$56,MOD('🌱 Configuração'!$B$56+154-'🌱 Configuração'!$C$56,7)=0,INT(('🌱 Configuração'!$B$56+154-'🌱 Configuração'!$C$56)/7)+1=5),"🔵 Calda Bordalesa (0.5%) — foliar",IF(AND('🌱 Configuração'!$B$56+154&gt;='🌱 Configuração'!$C$56,'🌱 Configuração'!$B$56+154&lt;'🌱 Configuração'!$D$56,MOD('🌱 Configuração'!$B$56+154-'🌱 Configuração'!$C$56,7)=0,INT(('🌱 Configuração'!$B$56+154-'🌱 Configuração'!$C$56)/7)+1=6),"🌿 Nim (2 mL/L) — ⚠️ ÚLTIMA foliar",IF(AND('🌱 Configuração'!$B$56+154&gt;='🌱 Configuração'!$C$56,'🌱 Configuração'!$B$56+154&lt;'🌱 Configuração'!$D$56,MOD('🌱 Configuração'!$B$56+154-'🌱 Configuração'!$C$56,7)=0,INT(('🌱 Configuração'!$B$56+154-'🌱 Configuração'!$C$56)/7)+1=7),"🦠 Trichoderma — solo",IF(AND('🌱 Configuração'!$B$56+154&gt;='🌱 Configuração'!$C$56,'🌱 Configuração'!$B$56+154&lt;'🌱 Configuração'!$D$56,MOD('🌱 Configuração'!$B$56+154-'🌱 Configuração'!$C$56,7)=0,INT(('🌱 Configuração'!$B$56+154-'🌱 Configuração'!$C$56)/7)+1=8),"🍄 Beauveria — solo","")))))))),IF('🌱 Configuração'!$B$56+154&lt;'🌱 Configuração'!$E$56,IF(AND('🌱 Configuração'!$B$56+154&gt;='🌱 Configuração'!$D$56,'🌱 Configuração'!$B$56+154&lt;'🌱 Configuração'!$E$56,MOD('🌱 Configuração'!$B$56+154-'🌱 Configuração'!$D$56,7)=0,INT(('🌱 Configuração'!$B$56+154-'🌱 Configuração'!$D$56)/7)+1=1),"🍄 Beauveria bassiana — SOLO apenas",IF(AND('🌱 Configuração'!$B$56+154&gt;='🌱 Configuração'!$D$56,'🌱 Configuração'!$B$56+154&lt;'🌱 Configuração'!$E$56,MOD('🌱 Configuração'!$B$56+154-'🌱 Configuração'!$D$56,7)=0,INT(('🌱 Configuração'!$B$56+154-'🌱 Configuração'!$D$56)/7)+1=2),"🦠 Trichoderma (3 g/L) — solo",IF(AND('🌱 Configuração'!$B$56+154&gt;='🌱 Configuração'!$D$56,'🌱 Configuração'!$B$56+154&lt;'🌱 Configuração'!$E$56,MOD('🌱 Configuração'!$B$56+154-'🌱 Configuração'!$D$56,7)=0,INT(('🌱 Configuração'!$B$56+154-'🌱 Configuração'!$D$56)/7)+1=3),"🍄 Beauveria bassiana — solo | ⚠️ Umid &lt;45%",IF(AND('🌱 Configuração'!$B$56+154&gt;='🌱 Configuração'!$D$56,'🌱 Configuração'!$B$56+154&lt;'🌱 Configuração'!$E$56,MOD('🌱 Configuração'!$B$56+154-'🌱 Configuração'!$D$56,7)=0,INT(('🌱 Configuração'!$B$56+154-'🌱 Configuração'!$D$56)/7)+1=4),"🦠 Trichoderma — solo | Inspecionar buds",IF(AND('🌱 Configuração'!$B$56+154&gt;='🌱 Configuração'!$D$56,'🌱 Configuração'!$B$56+154&lt;'🌱 Configuração'!$E$56,MOD('🌱 Configuração'!$B$56+154-'🌱 Configuração'!$D$56,7)=0,INT(('🌱 Configuração'!$B$56+154-'🌱 Configuração'!$D$56)/7)+1=5),"🍄 Beauveria + inspeção visual buds",IF(AND('🌱 Configuração'!$B$56+154&gt;='🌱 Configuração'!$D$56,'🌱 Configuração'!$B$56+154&lt;'🌱 Configuração'!$E$56,MOD('🌱 Configuração'!$B$56+154-'🌱 Configuração'!$D$56,7)=0,INT(('🌱 Configuração'!$B$56+154-'🌱 Configuração'!$D$56)/7)+1=6),"🦠 Trichoderma + ⚠️ Verificar mofo","")))))),IF(AND('🌱 Configuração'!$B$56+154&gt;='🌱 Configuração'!$E$56,MOD('🌱 Configuração'!$B$56+154-'🌱 Configuração'!$E$56,7)=0),"🔬 Inspeção final — analisar tricomas","")))))</f>
        <v/>
      </c>
      <c r="I160" s="33"/>
    </row>
    <row r="161" spans="1:9" ht="19.5" customHeight="1">
      <c r="A161" s="1"/>
      <c r="B161" s="39" t="str">
        <f>IF(156&lt;='🌱 Configuração'!$F$55,156,"")</f>
        <v/>
      </c>
      <c r="C161" s="40" t="str">
        <f>IF(156&lt;='🌱 Configuração'!$F$55,'🌱 Configuração'!$B$56+155,"")</f>
        <v/>
      </c>
      <c r="D161" s="41" t="str">
        <f>IF(156&gt;'🌱 Configuração'!$F$55,"",IF('🌱 Configuração'!$B$56+155&lt;'🌱 Configuração'!$C$56,"🌱 Clone",IF('🌱 Configuração'!$B$56+155&lt;'🌱 Configuração'!$D$56,"🌿 Vegetativo",IF('🌱 Configuração'!$B$56+155&lt;'🌱 Configuração'!$E$56,"🌸 Floração","🚿 Flush"))))</f>
        <v/>
      </c>
      <c r="E161" s="42" t="str">
        <f>IF(156&gt;'🌱 Configuração'!$F$55,"",IF('🌱 Configuração'!$B$56+155&lt;'🌱 Configuração'!$C$56,"Clone S"&amp;INT((156-1)/7)+1,IF('🌱 Configuração'!$B$56+155&lt;'🌱 Configuração'!$D$56,"Vega S"&amp;INT(('🌱 Configuração'!$B$56+155-'🌱 Configuração'!$C$56)/7)+1,IF('🌱 Configuração'!$B$56+155&lt;'🌱 Configuração'!$E$56,"Flora S"&amp;INT(('🌱 Configuração'!$B$56+155-'🌱 Configuração'!$D$56)/7)+1,"Flush S"&amp;INT(('🌱 Configuração'!$B$56+155-'🌱 Configuração'!$E$56)/7)+1))))</f>
        <v/>
      </c>
      <c r="F161" s="43" t="str">
        <f>IF(156&gt;'🌱 Configuração'!$F$55,"",IF('🌱 Configuração'!$B$56+155='🌱 Configuração'!$C$56,"🌿 INÍCIO VEGA — luz 18h/dia",IF('🌱 Configuração'!$B$56+155='🌱 Configuração'!$D$56,"🌸 INÍCIO FLORAÇÃO — mudar 12/12 🔴",IF('🌱 Configuração'!$B$56+155='🌱 Configuração'!$E$56,"🚿 INÍCIO FLUSH — parar nutrição",IF('🌱 Configuração'!$B$56+155='🌱 Configuração'!$F$56-1,"🔬 Véspera da colheita — analisar tricomas",IF('🌱 Configuração'!$B$56+155='🌱 Configuração'!$F$56,"✂️ COLHEITA — Parabéns! 🎉",""))))))</f>
        <v/>
      </c>
      <c r="G161" s="44" t="s">
        <v>428</v>
      </c>
      <c r="H161" s="45" t="str">
        <f>IF(156&gt;'🌱 Configuração'!$F$55,"",IF('🌱 Configuração'!$B$56+155&lt;'🌱 Configuração'!$C$56,IF(156=1,"🌿 Nim (2 mL/L) — foliar leve",IF(156=8,"🍄 Beauveria bassiana — foliar + solo","")),IF('🌱 Configuração'!$B$56+155&lt;'🌱 Configuração'!$D$56,IF(AND('🌱 Configuração'!$B$56+155&gt;='🌱 Configuração'!$C$56,'🌱 Configuração'!$B$56+155&lt;'🌱 Configuração'!$D$56,MOD('🌱 Configuração'!$B$56+155-'🌱 Configuração'!$C$56,7)=0,INT(('🌱 Configuração'!$B$56+155-'🌱 Configuração'!$C$56)/7)+1=1),"🌿 Nim (2 mL/L) — foliar preventivo",IF(AND('🌱 Configuração'!$B$56+155&gt;='🌱 Configuração'!$C$56,'🌱 Configuração'!$B$56+155&lt;'🌱 Configuração'!$D$56,MOD('🌱 Configuração'!$B$56+155-'🌱 Configuração'!$C$56,7)=0,INT(('🌱 Configuração'!$B$56+155-'🌱 Configuração'!$C$56)/7)+1=2),"🍄 Beauveria bassiana — foliar + solo",IF(AND('🌱 Configuração'!$B$56+155&gt;='🌱 Configuração'!$C$56,'🌱 Configuração'!$B$56+155&lt;'🌱 Configuração'!$D$56,MOD('🌱 Configuração'!$B$56+155-'🌱 Configuração'!$C$56,7)=0,INT(('🌱 Configuração'!$B$56+155-'🌱 Configuração'!$C$56)/7)+1=3),"🟡 Calda Sulfocálcica (1%) — foliar",IF(AND('🌱 Configuração'!$B$56+155&gt;='🌱 Configuração'!$C$56,'🌱 Configuração'!$B$56+155&lt;'🌱 Configuração'!$D$56,MOD('🌱 Configuração'!$B$56+155-'🌱 Configuração'!$C$56,7)=0,INT(('🌱 Configuração'!$B$56+155-'🌱 Configuração'!$C$56)/7)+1=4),"🦠 Trichoderma (3 g/L) — solo",IF(AND('🌱 Configuração'!$B$56+155&gt;='🌱 Configuração'!$C$56,'🌱 Configuração'!$B$56+155&lt;'🌱 Configuração'!$D$56,MOD('🌱 Configuração'!$B$56+155-'🌱 Configuração'!$C$56,7)=0,INT(('🌱 Configuração'!$B$56+155-'🌱 Configuração'!$C$56)/7)+1=5),"🔵 Calda Bordalesa (0.5%) — foliar",IF(AND('🌱 Configuração'!$B$56+155&gt;='🌱 Configuração'!$C$56,'🌱 Configuração'!$B$56+155&lt;'🌱 Configuração'!$D$56,MOD('🌱 Configuração'!$B$56+155-'🌱 Configuração'!$C$56,7)=0,INT(('🌱 Configuração'!$B$56+155-'🌱 Configuração'!$C$56)/7)+1=6),"🌿 Nim (2 mL/L) — ⚠️ ÚLTIMA foliar",IF(AND('🌱 Configuração'!$B$56+155&gt;='🌱 Configuração'!$C$56,'🌱 Configuração'!$B$56+155&lt;'🌱 Configuração'!$D$56,MOD('🌱 Configuração'!$B$56+155-'🌱 Configuração'!$C$56,7)=0,INT(('🌱 Configuração'!$B$56+155-'🌱 Configuração'!$C$56)/7)+1=7),"🦠 Trichoderma — solo",IF(AND('🌱 Configuração'!$B$56+155&gt;='🌱 Configuração'!$C$56,'🌱 Configuração'!$B$56+155&lt;'🌱 Configuração'!$D$56,MOD('🌱 Configuração'!$B$56+155-'🌱 Configuração'!$C$56,7)=0,INT(('🌱 Configuração'!$B$56+155-'🌱 Configuração'!$C$56)/7)+1=8),"🍄 Beauveria — solo","")))))))),IF('🌱 Configuração'!$B$56+155&lt;'🌱 Configuração'!$E$56,IF(AND('🌱 Configuração'!$B$56+155&gt;='🌱 Configuração'!$D$56,'🌱 Configuração'!$B$56+155&lt;'🌱 Configuração'!$E$56,MOD('🌱 Configuração'!$B$56+155-'🌱 Configuração'!$D$56,7)=0,INT(('🌱 Configuração'!$B$56+155-'🌱 Configuração'!$D$56)/7)+1=1),"🍄 Beauveria bassiana — SOLO apenas",IF(AND('🌱 Configuração'!$B$56+155&gt;='🌱 Configuração'!$D$56,'🌱 Configuração'!$B$56+155&lt;'🌱 Configuração'!$E$56,MOD('🌱 Configuração'!$B$56+155-'🌱 Configuração'!$D$56,7)=0,INT(('🌱 Configuração'!$B$56+155-'🌱 Configuração'!$D$56)/7)+1=2),"🦠 Trichoderma (3 g/L) — solo",IF(AND('🌱 Configuração'!$B$56+155&gt;='🌱 Configuração'!$D$56,'🌱 Configuração'!$B$56+155&lt;'🌱 Configuração'!$E$56,MOD('🌱 Configuração'!$B$56+155-'🌱 Configuração'!$D$56,7)=0,INT(('🌱 Configuração'!$B$56+155-'🌱 Configuração'!$D$56)/7)+1=3),"🍄 Beauveria bassiana — solo | ⚠️ Umid &lt;45%",IF(AND('🌱 Configuração'!$B$56+155&gt;='🌱 Configuração'!$D$56,'🌱 Configuração'!$B$56+155&lt;'🌱 Configuração'!$E$56,MOD('🌱 Configuração'!$B$56+155-'🌱 Configuração'!$D$56,7)=0,INT(('🌱 Configuração'!$B$56+155-'🌱 Configuração'!$D$56)/7)+1=4),"🦠 Trichoderma — solo | Inspecionar buds",IF(AND('🌱 Configuração'!$B$56+155&gt;='🌱 Configuração'!$D$56,'🌱 Configuração'!$B$56+155&lt;'🌱 Configuração'!$E$56,MOD('🌱 Configuração'!$B$56+155-'🌱 Configuração'!$D$56,7)=0,INT(('🌱 Configuração'!$B$56+155-'🌱 Configuração'!$D$56)/7)+1=5),"🍄 Beauveria + inspeção visual buds",IF(AND('🌱 Configuração'!$B$56+155&gt;='🌱 Configuração'!$D$56,'🌱 Configuração'!$B$56+155&lt;'🌱 Configuração'!$E$56,MOD('🌱 Configuração'!$B$56+155-'🌱 Configuração'!$D$56,7)=0,INT(('🌱 Configuração'!$B$56+155-'🌱 Configuração'!$D$56)/7)+1=6),"🦠 Trichoderma + ⚠️ Verificar mofo","")))))),IF(AND('🌱 Configuração'!$B$56+155&gt;='🌱 Configuração'!$E$56,MOD('🌱 Configuração'!$B$56+155-'🌱 Configuração'!$E$56,7)=0),"🔬 Inspeção final — analisar tricomas","")))))</f>
        <v/>
      </c>
      <c r="I161" s="33"/>
    </row>
    <row r="162" spans="1:9" ht="19.5" customHeight="1">
      <c r="A162" s="1"/>
      <c r="B162" s="35" t="str">
        <f>IF(157&lt;='🌱 Configuração'!$F$55,157,"")</f>
        <v/>
      </c>
      <c r="C162" s="13" t="str">
        <f>IF(157&lt;='🌱 Configuração'!$F$55,'🌱 Configuração'!$B$56+156,"")</f>
        <v/>
      </c>
      <c r="D162" s="36" t="str">
        <f>IF(157&gt;'🌱 Configuração'!$F$55,"",IF('🌱 Configuração'!$B$56+156&lt;'🌱 Configuração'!$C$56,"🌱 Clone",IF('🌱 Configuração'!$B$56+156&lt;'🌱 Configuração'!$D$56,"🌿 Vegetativo",IF('🌱 Configuração'!$B$56+156&lt;'🌱 Configuração'!$E$56,"🌸 Floração","🚿 Flush"))))</f>
        <v/>
      </c>
      <c r="E162" s="15" t="str">
        <f>IF(157&gt;'🌱 Configuração'!$F$55,"",IF('🌱 Configuração'!$B$56+156&lt;'🌱 Configuração'!$C$56,"Clone S"&amp;INT((157-1)/7)+1,IF('🌱 Configuração'!$B$56+156&lt;'🌱 Configuração'!$D$56,"Vega S"&amp;INT(('🌱 Configuração'!$B$56+156-'🌱 Configuração'!$C$56)/7)+1,IF('🌱 Configuração'!$B$56+156&lt;'🌱 Configuração'!$E$56,"Flora S"&amp;INT(('🌱 Configuração'!$B$56+156-'🌱 Configuração'!$D$56)/7)+1,"Flush S"&amp;INT(('🌱 Configuração'!$B$56+156-'🌱 Configuração'!$E$56)/7)+1))))</f>
        <v/>
      </c>
      <c r="F162" s="14" t="str">
        <f>IF(157&gt;'🌱 Configuração'!$F$55,"",IF('🌱 Configuração'!$B$56+156='🌱 Configuração'!$C$56,"🌿 INÍCIO VEGA — luz 18h/dia",IF('🌱 Configuração'!$B$56+156='🌱 Configuração'!$D$56,"🌸 INÍCIO FLORAÇÃO — mudar 12/12 🔴",IF('🌱 Configuração'!$B$56+156='🌱 Configuração'!$E$56,"🚿 INÍCIO FLUSH — parar nutrição",IF('🌱 Configuração'!$B$56+156='🌱 Configuração'!$F$56-1,"🔬 Véspera da colheita — analisar tricomas",IF('🌱 Configuração'!$B$56+156='🌱 Configuração'!$F$56,"✂️ COLHEITA — Parabéns! 🎉",""))))))</f>
        <v/>
      </c>
      <c r="G162" s="37" t="s">
        <v>428</v>
      </c>
      <c r="H162" s="38" t="str">
        <f>IF(157&gt;'🌱 Configuração'!$F$55,"",IF('🌱 Configuração'!$B$56+156&lt;'🌱 Configuração'!$C$56,IF(157=1,"🌿 Nim (2 mL/L) — foliar leve",IF(157=8,"🍄 Beauveria bassiana — foliar + solo","")),IF('🌱 Configuração'!$B$56+156&lt;'🌱 Configuração'!$D$56,IF(AND('🌱 Configuração'!$B$56+156&gt;='🌱 Configuração'!$C$56,'🌱 Configuração'!$B$56+156&lt;'🌱 Configuração'!$D$56,MOD('🌱 Configuração'!$B$56+156-'🌱 Configuração'!$C$56,7)=0,INT(('🌱 Configuração'!$B$56+156-'🌱 Configuração'!$C$56)/7)+1=1),"🌿 Nim (2 mL/L) — foliar preventivo",IF(AND('🌱 Configuração'!$B$56+156&gt;='🌱 Configuração'!$C$56,'🌱 Configuração'!$B$56+156&lt;'🌱 Configuração'!$D$56,MOD('🌱 Configuração'!$B$56+156-'🌱 Configuração'!$C$56,7)=0,INT(('🌱 Configuração'!$B$56+156-'🌱 Configuração'!$C$56)/7)+1=2),"🍄 Beauveria bassiana — foliar + solo",IF(AND('🌱 Configuração'!$B$56+156&gt;='🌱 Configuração'!$C$56,'🌱 Configuração'!$B$56+156&lt;'🌱 Configuração'!$D$56,MOD('🌱 Configuração'!$B$56+156-'🌱 Configuração'!$C$56,7)=0,INT(('🌱 Configuração'!$B$56+156-'🌱 Configuração'!$C$56)/7)+1=3),"🟡 Calda Sulfocálcica (1%) — foliar",IF(AND('🌱 Configuração'!$B$56+156&gt;='🌱 Configuração'!$C$56,'🌱 Configuração'!$B$56+156&lt;'🌱 Configuração'!$D$56,MOD('🌱 Configuração'!$B$56+156-'🌱 Configuração'!$C$56,7)=0,INT(('🌱 Configuração'!$B$56+156-'🌱 Configuração'!$C$56)/7)+1=4),"🦠 Trichoderma (3 g/L) — solo",IF(AND('🌱 Configuração'!$B$56+156&gt;='🌱 Configuração'!$C$56,'🌱 Configuração'!$B$56+156&lt;'🌱 Configuração'!$D$56,MOD('🌱 Configuração'!$B$56+156-'🌱 Configuração'!$C$56,7)=0,INT(('🌱 Configuração'!$B$56+156-'🌱 Configuração'!$C$56)/7)+1=5),"🔵 Calda Bordalesa (0.5%) — foliar",IF(AND('🌱 Configuração'!$B$56+156&gt;='🌱 Configuração'!$C$56,'🌱 Configuração'!$B$56+156&lt;'🌱 Configuração'!$D$56,MOD('🌱 Configuração'!$B$56+156-'🌱 Configuração'!$C$56,7)=0,INT(('🌱 Configuração'!$B$56+156-'🌱 Configuração'!$C$56)/7)+1=6),"🌿 Nim (2 mL/L) — ⚠️ ÚLTIMA foliar",IF(AND('🌱 Configuração'!$B$56+156&gt;='🌱 Configuração'!$C$56,'🌱 Configuração'!$B$56+156&lt;'🌱 Configuração'!$D$56,MOD('🌱 Configuração'!$B$56+156-'🌱 Configuração'!$C$56,7)=0,INT(('🌱 Configuração'!$B$56+156-'🌱 Configuração'!$C$56)/7)+1=7),"🦠 Trichoderma — solo",IF(AND('🌱 Configuração'!$B$56+156&gt;='🌱 Configuração'!$C$56,'🌱 Configuração'!$B$56+156&lt;'🌱 Configuração'!$D$56,MOD('🌱 Configuração'!$B$56+156-'🌱 Configuração'!$C$56,7)=0,INT(('🌱 Configuração'!$B$56+156-'🌱 Configuração'!$C$56)/7)+1=8),"🍄 Beauveria — solo","")))))))),IF('🌱 Configuração'!$B$56+156&lt;'🌱 Configuração'!$E$56,IF(AND('🌱 Configuração'!$B$56+156&gt;='🌱 Configuração'!$D$56,'🌱 Configuração'!$B$56+156&lt;'🌱 Configuração'!$E$56,MOD('🌱 Configuração'!$B$56+156-'🌱 Configuração'!$D$56,7)=0,INT(('🌱 Configuração'!$B$56+156-'🌱 Configuração'!$D$56)/7)+1=1),"🍄 Beauveria bassiana — SOLO apenas",IF(AND('🌱 Configuração'!$B$56+156&gt;='🌱 Configuração'!$D$56,'🌱 Configuração'!$B$56+156&lt;'🌱 Configuração'!$E$56,MOD('🌱 Configuração'!$B$56+156-'🌱 Configuração'!$D$56,7)=0,INT(('🌱 Configuração'!$B$56+156-'🌱 Configuração'!$D$56)/7)+1=2),"🦠 Trichoderma (3 g/L) — solo",IF(AND('🌱 Configuração'!$B$56+156&gt;='🌱 Configuração'!$D$56,'🌱 Configuração'!$B$56+156&lt;'🌱 Configuração'!$E$56,MOD('🌱 Configuração'!$B$56+156-'🌱 Configuração'!$D$56,7)=0,INT(('🌱 Configuração'!$B$56+156-'🌱 Configuração'!$D$56)/7)+1=3),"🍄 Beauveria bassiana — solo | ⚠️ Umid &lt;45%",IF(AND('🌱 Configuração'!$B$56+156&gt;='🌱 Configuração'!$D$56,'🌱 Configuração'!$B$56+156&lt;'🌱 Configuração'!$E$56,MOD('🌱 Configuração'!$B$56+156-'🌱 Configuração'!$D$56,7)=0,INT(('🌱 Configuração'!$B$56+156-'🌱 Configuração'!$D$56)/7)+1=4),"🦠 Trichoderma — solo | Inspecionar buds",IF(AND('🌱 Configuração'!$B$56+156&gt;='🌱 Configuração'!$D$56,'🌱 Configuração'!$B$56+156&lt;'🌱 Configuração'!$E$56,MOD('🌱 Configuração'!$B$56+156-'🌱 Configuração'!$D$56,7)=0,INT(('🌱 Configuração'!$B$56+156-'🌱 Configuração'!$D$56)/7)+1=5),"🍄 Beauveria + inspeção visual buds",IF(AND('🌱 Configuração'!$B$56+156&gt;='🌱 Configuração'!$D$56,'🌱 Configuração'!$B$56+156&lt;'🌱 Configuração'!$E$56,MOD('🌱 Configuração'!$B$56+156-'🌱 Configuração'!$D$56,7)=0,INT(('🌱 Configuração'!$B$56+156-'🌱 Configuração'!$D$56)/7)+1=6),"🦠 Trichoderma + ⚠️ Verificar mofo","")))))),IF(AND('🌱 Configuração'!$B$56+156&gt;='🌱 Configuração'!$E$56,MOD('🌱 Configuração'!$B$56+156-'🌱 Configuração'!$E$56,7)=0),"🔬 Inspeção final — analisar tricomas","")))))</f>
        <v/>
      </c>
      <c r="I162" s="33"/>
    </row>
    <row r="163" spans="1:9" ht="19.5" customHeight="1">
      <c r="A163" s="1"/>
      <c r="B163" s="39" t="str">
        <f>IF(158&lt;='🌱 Configuração'!$F$55,158,"")</f>
        <v/>
      </c>
      <c r="C163" s="40" t="str">
        <f>IF(158&lt;='🌱 Configuração'!$F$55,'🌱 Configuração'!$B$56+157,"")</f>
        <v/>
      </c>
      <c r="D163" s="41" t="str">
        <f>IF(158&gt;'🌱 Configuração'!$F$55,"",IF('🌱 Configuração'!$B$56+157&lt;'🌱 Configuração'!$C$56,"🌱 Clone",IF('🌱 Configuração'!$B$56+157&lt;'🌱 Configuração'!$D$56,"🌿 Vegetativo",IF('🌱 Configuração'!$B$56+157&lt;'🌱 Configuração'!$E$56,"🌸 Floração","🚿 Flush"))))</f>
        <v/>
      </c>
      <c r="E163" s="42" t="str">
        <f>IF(158&gt;'🌱 Configuração'!$F$55,"",IF('🌱 Configuração'!$B$56+157&lt;'🌱 Configuração'!$C$56,"Clone S"&amp;INT((158-1)/7)+1,IF('🌱 Configuração'!$B$56+157&lt;'🌱 Configuração'!$D$56,"Vega S"&amp;INT(('🌱 Configuração'!$B$56+157-'🌱 Configuração'!$C$56)/7)+1,IF('🌱 Configuração'!$B$56+157&lt;'🌱 Configuração'!$E$56,"Flora S"&amp;INT(('🌱 Configuração'!$B$56+157-'🌱 Configuração'!$D$56)/7)+1,"Flush S"&amp;INT(('🌱 Configuração'!$B$56+157-'🌱 Configuração'!$E$56)/7)+1))))</f>
        <v/>
      </c>
      <c r="F163" s="43" t="str">
        <f>IF(158&gt;'🌱 Configuração'!$F$55,"",IF('🌱 Configuração'!$B$56+157='🌱 Configuração'!$C$56,"🌿 INÍCIO VEGA — luz 18h/dia",IF('🌱 Configuração'!$B$56+157='🌱 Configuração'!$D$56,"🌸 INÍCIO FLORAÇÃO — mudar 12/12 🔴",IF('🌱 Configuração'!$B$56+157='🌱 Configuração'!$E$56,"🚿 INÍCIO FLUSH — parar nutrição",IF('🌱 Configuração'!$B$56+157='🌱 Configuração'!$F$56-1,"🔬 Véspera da colheita — analisar tricomas",IF('🌱 Configuração'!$B$56+157='🌱 Configuração'!$F$56,"✂️ COLHEITA — Parabéns! 🎉",""))))))</f>
        <v/>
      </c>
      <c r="G163" s="44" t="s">
        <v>428</v>
      </c>
      <c r="H163" s="45" t="str">
        <f>IF(158&gt;'🌱 Configuração'!$F$55,"",IF('🌱 Configuração'!$B$56+157&lt;'🌱 Configuração'!$C$56,IF(158=1,"🌿 Nim (2 mL/L) — foliar leve",IF(158=8,"🍄 Beauveria bassiana — foliar + solo","")),IF('🌱 Configuração'!$B$56+157&lt;'🌱 Configuração'!$D$56,IF(AND('🌱 Configuração'!$B$56+157&gt;='🌱 Configuração'!$C$56,'🌱 Configuração'!$B$56+157&lt;'🌱 Configuração'!$D$56,MOD('🌱 Configuração'!$B$56+157-'🌱 Configuração'!$C$56,7)=0,INT(('🌱 Configuração'!$B$56+157-'🌱 Configuração'!$C$56)/7)+1=1),"🌿 Nim (2 mL/L) — foliar preventivo",IF(AND('🌱 Configuração'!$B$56+157&gt;='🌱 Configuração'!$C$56,'🌱 Configuração'!$B$56+157&lt;'🌱 Configuração'!$D$56,MOD('🌱 Configuração'!$B$56+157-'🌱 Configuração'!$C$56,7)=0,INT(('🌱 Configuração'!$B$56+157-'🌱 Configuração'!$C$56)/7)+1=2),"🍄 Beauveria bassiana — foliar + solo",IF(AND('🌱 Configuração'!$B$56+157&gt;='🌱 Configuração'!$C$56,'🌱 Configuração'!$B$56+157&lt;'🌱 Configuração'!$D$56,MOD('🌱 Configuração'!$B$56+157-'🌱 Configuração'!$C$56,7)=0,INT(('🌱 Configuração'!$B$56+157-'🌱 Configuração'!$C$56)/7)+1=3),"🟡 Calda Sulfocálcica (1%) — foliar",IF(AND('🌱 Configuração'!$B$56+157&gt;='🌱 Configuração'!$C$56,'🌱 Configuração'!$B$56+157&lt;'🌱 Configuração'!$D$56,MOD('🌱 Configuração'!$B$56+157-'🌱 Configuração'!$C$56,7)=0,INT(('🌱 Configuração'!$B$56+157-'🌱 Configuração'!$C$56)/7)+1=4),"🦠 Trichoderma (3 g/L) — solo",IF(AND('🌱 Configuração'!$B$56+157&gt;='🌱 Configuração'!$C$56,'🌱 Configuração'!$B$56+157&lt;'🌱 Configuração'!$D$56,MOD('🌱 Configuração'!$B$56+157-'🌱 Configuração'!$C$56,7)=0,INT(('🌱 Configuração'!$B$56+157-'🌱 Configuração'!$C$56)/7)+1=5),"🔵 Calda Bordalesa (0.5%) — foliar",IF(AND('🌱 Configuração'!$B$56+157&gt;='🌱 Configuração'!$C$56,'🌱 Configuração'!$B$56+157&lt;'🌱 Configuração'!$D$56,MOD('🌱 Configuração'!$B$56+157-'🌱 Configuração'!$C$56,7)=0,INT(('🌱 Configuração'!$B$56+157-'🌱 Configuração'!$C$56)/7)+1=6),"🌿 Nim (2 mL/L) — ⚠️ ÚLTIMA foliar",IF(AND('🌱 Configuração'!$B$56+157&gt;='🌱 Configuração'!$C$56,'🌱 Configuração'!$B$56+157&lt;'🌱 Configuração'!$D$56,MOD('🌱 Configuração'!$B$56+157-'🌱 Configuração'!$C$56,7)=0,INT(('🌱 Configuração'!$B$56+157-'🌱 Configuração'!$C$56)/7)+1=7),"🦠 Trichoderma — solo",IF(AND('🌱 Configuração'!$B$56+157&gt;='🌱 Configuração'!$C$56,'🌱 Configuração'!$B$56+157&lt;'🌱 Configuração'!$D$56,MOD('🌱 Configuração'!$B$56+157-'🌱 Configuração'!$C$56,7)=0,INT(('🌱 Configuração'!$B$56+157-'🌱 Configuração'!$C$56)/7)+1=8),"🍄 Beauveria — solo","")))))))),IF('🌱 Configuração'!$B$56+157&lt;'🌱 Configuração'!$E$56,IF(AND('🌱 Configuração'!$B$56+157&gt;='🌱 Configuração'!$D$56,'🌱 Configuração'!$B$56+157&lt;'🌱 Configuração'!$E$56,MOD('🌱 Configuração'!$B$56+157-'🌱 Configuração'!$D$56,7)=0,INT(('🌱 Configuração'!$B$56+157-'🌱 Configuração'!$D$56)/7)+1=1),"🍄 Beauveria bassiana — SOLO apenas",IF(AND('🌱 Configuração'!$B$56+157&gt;='🌱 Configuração'!$D$56,'🌱 Configuração'!$B$56+157&lt;'🌱 Configuração'!$E$56,MOD('🌱 Configuração'!$B$56+157-'🌱 Configuração'!$D$56,7)=0,INT(('🌱 Configuração'!$B$56+157-'🌱 Configuração'!$D$56)/7)+1=2),"🦠 Trichoderma (3 g/L) — solo",IF(AND('🌱 Configuração'!$B$56+157&gt;='🌱 Configuração'!$D$56,'🌱 Configuração'!$B$56+157&lt;'🌱 Configuração'!$E$56,MOD('🌱 Configuração'!$B$56+157-'🌱 Configuração'!$D$56,7)=0,INT(('🌱 Configuração'!$B$56+157-'🌱 Configuração'!$D$56)/7)+1=3),"🍄 Beauveria bassiana — solo | ⚠️ Umid &lt;45%",IF(AND('🌱 Configuração'!$B$56+157&gt;='🌱 Configuração'!$D$56,'🌱 Configuração'!$B$56+157&lt;'🌱 Configuração'!$E$56,MOD('🌱 Configuração'!$B$56+157-'🌱 Configuração'!$D$56,7)=0,INT(('🌱 Configuração'!$B$56+157-'🌱 Configuração'!$D$56)/7)+1=4),"🦠 Trichoderma — solo | Inspecionar buds",IF(AND('🌱 Configuração'!$B$56+157&gt;='🌱 Configuração'!$D$56,'🌱 Configuração'!$B$56+157&lt;'🌱 Configuração'!$E$56,MOD('🌱 Configuração'!$B$56+157-'🌱 Configuração'!$D$56,7)=0,INT(('🌱 Configuração'!$B$56+157-'🌱 Configuração'!$D$56)/7)+1=5),"🍄 Beauveria + inspeção visual buds",IF(AND('🌱 Configuração'!$B$56+157&gt;='🌱 Configuração'!$D$56,'🌱 Configuração'!$B$56+157&lt;'🌱 Configuração'!$E$56,MOD('🌱 Configuração'!$B$56+157-'🌱 Configuração'!$D$56,7)=0,INT(('🌱 Configuração'!$B$56+157-'🌱 Configuração'!$D$56)/7)+1=6),"🦠 Trichoderma + ⚠️ Verificar mofo","")))))),IF(AND('🌱 Configuração'!$B$56+157&gt;='🌱 Configuração'!$E$56,MOD('🌱 Configuração'!$B$56+157-'🌱 Configuração'!$E$56,7)=0),"🔬 Inspeção final — analisar tricomas","")))))</f>
        <v/>
      </c>
      <c r="I163" s="33"/>
    </row>
    <row r="164" spans="1:9" ht="19.5" customHeight="1">
      <c r="A164" s="1"/>
      <c r="B164" s="35" t="str">
        <f>IF(159&lt;='🌱 Configuração'!$F$55,159,"")</f>
        <v/>
      </c>
      <c r="C164" s="13" t="str">
        <f>IF(159&lt;='🌱 Configuração'!$F$55,'🌱 Configuração'!$B$56+158,"")</f>
        <v/>
      </c>
      <c r="D164" s="36" t="str">
        <f>IF(159&gt;'🌱 Configuração'!$F$55,"",IF('🌱 Configuração'!$B$56+158&lt;'🌱 Configuração'!$C$56,"🌱 Clone",IF('🌱 Configuração'!$B$56+158&lt;'🌱 Configuração'!$D$56,"🌿 Vegetativo",IF('🌱 Configuração'!$B$56+158&lt;'🌱 Configuração'!$E$56,"🌸 Floração","🚿 Flush"))))</f>
        <v/>
      </c>
      <c r="E164" s="15" t="str">
        <f>IF(159&gt;'🌱 Configuração'!$F$55,"",IF('🌱 Configuração'!$B$56+158&lt;'🌱 Configuração'!$C$56,"Clone S"&amp;INT((159-1)/7)+1,IF('🌱 Configuração'!$B$56+158&lt;'🌱 Configuração'!$D$56,"Vega S"&amp;INT(('🌱 Configuração'!$B$56+158-'🌱 Configuração'!$C$56)/7)+1,IF('🌱 Configuração'!$B$56+158&lt;'🌱 Configuração'!$E$56,"Flora S"&amp;INT(('🌱 Configuração'!$B$56+158-'🌱 Configuração'!$D$56)/7)+1,"Flush S"&amp;INT(('🌱 Configuração'!$B$56+158-'🌱 Configuração'!$E$56)/7)+1))))</f>
        <v/>
      </c>
      <c r="F164" s="14" t="str">
        <f>IF(159&gt;'🌱 Configuração'!$F$55,"",IF('🌱 Configuração'!$B$56+158='🌱 Configuração'!$C$56,"🌿 INÍCIO VEGA — luz 18h/dia",IF('🌱 Configuração'!$B$56+158='🌱 Configuração'!$D$56,"🌸 INÍCIO FLORAÇÃO — mudar 12/12 🔴",IF('🌱 Configuração'!$B$56+158='🌱 Configuração'!$E$56,"🚿 INÍCIO FLUSH — parar nutrição",IF('🌱 Configuração'!$B$56+158='🌱 Configuração'!$F$56-1,"🔬 Véspera da colheita — analisar tricomas",IF('🌱 Configuração'!$B$56+158='🌱 Configuração'!$F$56,"✂️ COLHEITA — Parabéns! 🎉",""))))))</f>
        <v/>
      </c>
      <c r="G164" s="37" t="s">
        <v>428</v>
      </c>
      <c r="H164" s="38" t="str">
        <f>IF(159&gt;'🌱 Configuração'!$F$55,"",IF('🌱 Configuração'!$B$56+158&lt;'🌱 Configuração'!$C$56,IF(159=1,"🌿 Nim (2 mL/L) — foliar leve",IF(159=8,"🍄 Beauveria bassiana — foliar + solo","")),IF('🌱 Configuração'!$B$56+158&lt;'🌱 Configuração'!$D$56,IF(AND('🌱 Configuração'!$B$56+158&gt;='🌱 Configuração'!$C$56,'🌱 Configuração'!$B$56+158&lt;'🌱 Configuração'!$D$56,MOD('🌱 Configuração'!$B$56+158-'🌱 Configuração'!$C$56,7)=0,INT(('🌱 Configuração'!$B$56+158-'🌱 Configuração'!$C$56)/7)+1=1),"🌿 Nim (2 mL/L) — foliar preventivo",IF(AND('🌱 Configuração'!$B$56+158&gt;='🌱 Configuração'!$C$56,'🌱 Configuração'!$B$56+158&lt;'🌱 Configuração'!$D$56,MOD('🌱 Configuração'!$B$56+158-'🌱 Configuração'!$C$56,7)=0,INT(('🌱 Configuração'!$B$56+158-'🌱 Configuração'!$C$56)/7)+1=2),"🍄 Beauveria bassiana — foliar + solo",IF(AND('🌱 Configuração'!$B$56+158&gt;='🌱 Configuração'!$C$56,'🌱 Configuração'!$B$56+158&lt;'🌱 Configuração'!$D$56,MOD('🌱 Configuração'!$B$56+158-'🌱 Configuração'!$C$56,7)=0,INT(('🌱 Configuração'!$B$56+158-'🌱 Configuração'!$C$56)/7)+1=3),"🟡 Calda Sulfocálcica (1%) — foliar",IF(AND('🌱 Configuração'!$B$56+158&gt;='🌱 Configuração'!$C$56,'🌱 Configuração'!$B$56+158&lt;'🌱 Configuração'!$D$56,MOD('🌱 Configuração'!$B$56+158-'🌱 Configuração'!$C$56,7)=0,INT(('🌱 Configuração'!$B$56+158-'🌱 Configuração'!$C$56)/7)+1=4),"🦠 Trichoderma (3 g/L) — solo",IF(AND('🌱 Configuração'!$B$56+158&gt;='🌱 Configuração'!$C$56,'🌱 Configuração'!$B$56+158&lt;'🌱 Configuração'!$D$56,MOD('🌱 Configuração'!$B$56+158-'🌱 Configuração'!$C$56,7)=0,INT(('🌱 Configuração'!$B$56+158-'🌱 Configuração'!$C$56)/7)+1=5),"🔵 Calda Bordalesa (0.5%) — foliar",IF(AND('🌱 Configuração'!$B$56+158&gt;='🌱 Configuração'!$C$56,'🌱 Configuração'!$B$56+158&lt;'🌱 Configuração'!$D$56,MOD('🌱 Configuração'!$B$56+158-'🌱 Configuração'!$C$56,7)=0,INT(('🌱 Configuração'!$B$56+158-'🌱 Configuração'!$C$56)/7)+1=6),"🌿 Nim (2 mL/L) — ⚠️ ÚLTIMA foliar",IF(AND('🌱 Configuração'!$B$56+158&gt;='🌱 Configuração'!$C$56,'🌱 Configuração'!$B$56+158&lt;'🌱 Configuração'!$D$56,MOD('🌱 Configuração'!$B$56+158-'🌱 Configuração'!$C$56,7)=0,INT(('🌱 Configuração'!$B$56+158-'🌱 Configuração'!$C$56)/7)+1=7),"🦠 Trichoderma — solo",IF(AND('🌱 Configuração'!$B$56+158&gt;='🌱 Configuração'!$C$56,'🌱 Configuração'!$B$56+158&lt;'🌱 Configuração'!$D$56,MOD('🌱 Configuração'!$B$56+158-'🌱 Configuração'!$C$56,7)=0,INT(('🌱 Configuração'!$B$56+158-'🌱 Configuração'!$C$56)/7)+1=8),"🍄 Beauveria — solo","")))))))),IF('🌱 Configuração'!$B$56+158&lt;'🌱 Configuração'!$E$56,IF(AND('🌱 Configuração'!$B$56+158&gt;='🌱 Configuração'!$D$56,'🌱 Configuração'!$B$56+158&lt;'🌱 Configuração'!$E$56,MOD('🌱 Configuração'!$B$56+158-'🌱 Configuração'!$D$56,7)=0,INT(('🌱 Configuração'!$B$56+158-'🌱 Configuração'!$D$56)/7)+1=1),"🍄 Beauveria bassiana — SOLO apenas",IF(AND('🌱 Configuração'!$B$56+158&gt;='🌱 Configuração'!$D$56,'🌱 Configuração'!$B$56+158&lt;'🌱 Configuração'!$E$56,MOD('🌱 Configuração'!$B$56+158-'🌱 Configuração'!$D$56,7)=0,INT(('🌱 Configuração'!$B$56+158-'🌱 Configuração'!$D$56)/7)+1=2),"🦠 Trichoderma (3 g/L) — solo",IF(AND('🌱 Configuração'!$B$56+158&gt;='🌱 Configuração'!$D$56,'🌱 Configuração'!$B$56+158&lt;'🌱 Configuração'!$E$56,MOD('🌱 Configuração'!$B$56+158-'🌱 Configuração'!$D$56,7)=0,INT(('🌱 Configuração'!$B$56+158-'🌱 Configuração'!$D$56)/7)+1=3),"🍄 Beauveria bassiana — solo | ⚠️ Umid &lt;45%",IF(AND('🌱 Configuração'!$B$56+158&gt;='🌱 Configuração'!$D$56,'🌱 Configuração'!$B$56+158&lt;'🌱 Configuração'!$E$56,MOD('🌱 Configuração'!$B$56+158-'🌱 Configuração'!$D$56,7)=0,INT(('🌱 Configuração'!$B$56+158-'🌱 Configuração'!$D$56)/7)+1=4),"🦠 Trichoderma — solo | Inspecionar buds",IF(AND('🌱 Configuração'!$B$56+158&gt;='🌱 Configuração'!$D$56,'🌱 Configuração'!$B$56+158&lt;'🌱 Configuração'!$E$56,MOD('🌱 Configuração'!$B$56+158-'🌱 Configuração'!$D$56,7)=0,INT(('🌱 Configuração'!$B$56+158-'🌱 Configuração'!$D$56)/7)+1=5),"🍄 Beauveria + inspeção visual buds",IF(AND('🌱 Configuração'!$B$56+158&gt;='🌱 Configuração'!$D$56,'🌱 Configuração'!$B$56+158&lt;'🌱 Configuração'!$E$56,MOD('🌱 Configuração'!$B$56+158-'🌱 Configuração'!$D$56,7)=0,INT(('🌱 Configuração'!$B$56+158-'🌱 Configuração'!$D$56)/7)+1=6),"🦠 Trichoderma + ⚠️ Verificar mofo","")))))),IF(AND('🌱 Configuração'!$B$56+158&gt;='🌱 Configuração'!$E$56,MOD('🌱 Configuração'!$B$56+158-'🌱 Configuração'!$E$56,7)=0),"🔬 Inspeção final — analisar tricomas","")))))</f>
        <v/>
      </c>
      <c r="I164" s="33"/>
    </row>
    <row r="165" spans="1:9" ht="19.5" customHeight="1">
      <c r="A165" s="1"/>
      <c r="B165" s="39" t="str">
        <f>IF(160&lt;='🌱 Configuração'!$F$55,160,"")</f>
        <v/>
      </c>
      <c r="C165" s="40" t="str">
        <f>IF(160&lt;='🌱 Configuração'!$F$55,'🌱 Configuração'!$B$56+159,"")</f>
        <v/>
      </c>
      <c r="D165" s="41" t="str">
        <f>IF(160&gt;'🌱 Configuração'!$F$55,"",IF('🌱 Configuração'!$B$56+159&lt;'🌱 Configuração'!$C$56,"🌱 Clone",IF('🌱 Configuração'!$B$56+159&lt;'🌱 Configuração'!$D$56,"🌿 Vegetativo",IF('🌱 Configuração'!$B$56+159&lt;'🌱 Configuração'!$E$56,"🌸 Floração","🚿 Flush"))))</f>
        <v/>
      </c>
      <c r="E165" s="42" t="str">
        <f>IF(160&gt;'🌱 Configuração'!$F$55,"",IF('🌱 Configuração'!$B$56+159&lt;'🌱 Configuração'!$C$56,"Clone S"&amp;INT((160-1)/7)+1,IF('🌱 Configuração'!$B$56+159&lt;'🌱 Configuração'!$D$56,"Vega S"&amp;INT(('🌱 Configuração'!$B$56+159-'🌱 Configuração'!$C$56)/7)+1,IF('🌱 Configuração'!$B$56+159&lt;'🌱 Configuração'!$E$56,"Flora S"&amp;INT(('🌱 Configuração'!$B$56+159-'🌱 Configuração'!$D$56)/7)+1,"Flush S"&amp;INT(('🌱 Configuração'!$B$56+159-'🌱 Configuração'!$E$56)/7)+1))))</f>
        <v/>
      </c>
      <c r="F165" s="43" t="str">
        <f>IF(160&gt;'🌱 Configuração'!$F$55,"",IF('🌱 Configuração'!$B$56+159='🌱 Configuração'!$C$56,"🌿 INÍCIO VEGA — luz 18h/dia",IF('🌱 Configuração'!$B$56+159='🌱 Configuração'!$D$56,"🌸 INÍCIO FLORAÇÃO — mudar 12/12 🔴",IF('🌱 Configuração'!$B$56+159='🌱 Configuração'!$E$56,"🚿 INÍCIO FLUSH — parar nutrição",IF('🌱 Configuração'!$B$56+159='🌱 Configuração'!$F$56-1,"🔬 Véspera da colheita — analisar tricomas",IF('🌱 Configuração'!$B$56+159='🌱 Configuração'!$F$56,"✂️ COLHEITA — Parabéns! 🎉",""))))))</f>
        <v/>
      </c>
      <c r="G165" s="44" t="s">
        <v>428</v>
      </c>
      <c r="H165" s="45" t="str">
        <f>IF(160&gt;'🌱 Configuração'!$F$55,"",IF('🌱 Configuração'!$B$56+159&lt;'🌱 Configuração'!$C$56,IF(160=1,"🌿 Nim (2 mL/L) — foliar leve",IF(160=8,"🍄 Beauveria bassiana — foliar + solo","")),IF('🌱 Configuração'!$B$56+159&lt;'🌱 Configuração'!$D$56,IF(AND('🌱 Configuração'!$B$56+159&gt;='🌱 Configuração'!$C$56,'🌱 Configuração'!$B$56+159&lt;'🌱 Configuração'!$D$56,MOD('🌱 Configuração'!$B$56+159-'🌱 Configuração'!$C$56,7)=0,INT(('🌱 Configuração'!$B$56+159-'🌱 Configuração'!$C$56)/7)+1=1),"🌿 Nim (2 mL/L) — foliar preventivo",IF(AND('🌱 Configuração'!$B$56+159&gt;='🌱 Configuração'!$C$56,'🌱 Configuração'!$B$56+159&lt;'🌱 Configuração'!$D$56,MOD('🌱 Configuração'!$B$56+159-'🌱 Configuração'!$C$56,7)=0,INT(('🌱 Configuração'!$B$56+159-'🌱 Configuração'!$C$56)/7)+1=2),"🍄 Beauveria bassiana — foliar + solo",IF(AND('🌱 Configuração'!$B$56+159&gt;='🌱 Configuração'!$C$56,'🌱 Configuração'!$B$56+159&lt;'🌱 Configuração'!$D$56,MOD('🌱 Configuração'!$B$56+159-'🌱 Configuração'!$C$56,7)=0,INT(('🌱 Configuração'!$B$56+159-'🌱 Configuração'!$C$56)/7)+1=3),"🟡 Calda Sulfocálcica (1%) — foliar",IF(AND('🌱 Configuração'!$B$56+159&gt;='🌱 Configuração'!$C$56,'🌱 Configuração'!$B$56+159&lt;'🌱 Configuração'!$D$56,MOD('🌱 Configuração'!$B$56+159-'🌱 Configuração'!$C$56,7)=0,INT(('🌱 Configuração'!$B$56+159-'🌱 Configuração'!$C$56)/7)+1=4),"🦠 Trichoderma (3 g/L) — solo",IF(AND('🌱 Configuração'!$B$56+159&gt;='🌱 Configuração'!$C$56,'🌱 Configuração'!$B$56+159&lt;'🌱 Configuração'!$D$56,MOD('🌱 Configuração'!$B$56+159-'🌱 Configuração'!$C$56,7)=0,INT(('🌱 Configuração'!$B$56+159-'🌱 Configuração'!$C$56)/7)+1=5),"🔵 Calda Bordalesa (0.5%) — foliar",IF(AND('🌱 Configuração'!$B$56+159&gt;='🌱 Configuração'!$C$56,'🌱 Configuração'!$B$56+159&lt;'🌱 Configuração'!$D$56,MOD('🌱 Configuração'!$B$56+159-'🌱 Configuração'!$C$56,7)=0,INT(('🌱 Configuração'!$B$56+159-'🌱 Configuração'!$C$56)/7)+1=6),"🌿 Nim (2 mL/L) — ⚠️ ÚLTIMA foliar",IF(AND('🌱 Configuração'!$B$56+159&gt;='🌱 Configuração'!$C$56,'🌱 Configuração'!$B$56+159&lt;'🌱 Configuração'!$D$56,MOD('🌱 Configuração'!$B$56+159-'🌱 Configuração'!$C$56,7)=0,INT(('🌱 Configuração'!$B$56+159-'🌱 Configuração'!$C$56)/7)+1=7),"🦠 Trichoderma — solo",IF(AND('🌱 Configuração'!$B$56+159&gt;='🌱 Configuração'!$C$56,'🌱 Configuração'!$B$56+159&lt;'🌱 Configuração'!$D$56,MOD('🌱 Configuração'!$B$56+159-'🌱 Configuração'!$C$56,7)=0,INT(('🌱 Configuração'!$B$56+159-'🌱 Configuração'!$C$56)/7)+1=8),"🍄 Beauveria — solo","")))))))),IF('🌱 Configuração'!$B$56+159&lt;'🌱 Configuração'!$E$56,IF(AND('🌱 Configuração'!$B$56+159&gt;='🌱 Configuração'!$D$56,'🌱 Configuração'!$B$56+159&lt;'🌱 Configuração'!$E$56,MOD('🌱 Configuração'!$B$56+159-'🌱 Configuração'!$D$56,7)=0,INT(('🌱 Configuração'!$B$56+159-'🌱 Configuração'!$D$56)/7)+1=1),"🍄 Beauveria bassiana — SOLO apenas",IF(AND('🌱 Configuração'!$B$56+159&gt;='🌱 Configuração'!$D$56,'🌱 Configuração'!$B$56+159&lt;'🌱 Configuração'!$E$56,MOD('🌱 Configuração'!$B$56+159-'🌱 Configuração'!$D$56,7)=0,INT(('🌱 Configuração'!$B$56+159-'🌱 Configuração'!$D$56)/7)+1=2),"🦠 Trichoderma (3 g/L) — solo",IF(AND('🌱 Configuração'!$B$56+159&gt;='🌱 Configuração'!$D$56,'🌱 Configuração'!$B$56+159&lt;'🌱 Configuração'!$E$56,MOD('🌱 Configuração'!$B$56+159-'🌱 Configuração'!$D$56,7)=0,INT(('🌱 Configuração'!$B$56+159-'🌱 Configuração'!$D$56)/7)+1=3),"🍄 Beauveria bassiana — solo | ⚠️ Umid &lt;45%",IF(AND('🌱 Configuração'!$B$56+159&gt;='🌱 Configuração'!$D$56,'🌱 Configuração'!$B$56+159&lt;'🌱 Configuração'!$E$56,MOD('🌱 Configuração'!$B$56+159-'🌱 Configuração'!$D$56,7)=0,INT(('🌱 Configuração'!$B$56+159-'🌱 Configuração'!$D$56)/7)+1=4),"🦠 Trichoderma — solo | Inspecionar buds",IF(AND('🌱 Configuração'!$B$56+159&gt;='🌱 Configuração'!$D$56,'🌱 Configuração'!$B$56+159&lt;'🌱 Configuração'!$E$56,MOD('🌱 Configuração'!$B$56+159-'🌱 Configuração'!$D$56,7)=0,INT(('🌱 Configuração'!$B$56+159-'🌱 Configuração'!$D$56)/7)+1=5),"🍄 Beauveria + inspeção visual buds",IF(AND('🌱 Configuração'!$B$56+159&gt;='🌱 Configuração'!$D$56,'🌱 Configuração'!$B$56+159&lt;'🌱 Configuração'!$E$56,MOD('🌱 Configuração'!$B$56+159-'🌱 Configuração'!$D$56,7)=0,INT(('🌱 Configuração'!$B$56+159-'🌱 Configuração'!$D$56)/7)+1=6),"🦠 Trichoderma + ⚠️ Verificar mofo","")))))),IF(AND('🌱 Configuração'!$B$56+159&gt;='🌱 Configuração'!$E$56,MOD('🌱 Configuração'!$B$56+159-'🌱 Configuração'!$E$56,7)=0),"🔬 Inspeção final — analisar tricomas","")))))</f>
        <v/>
      </c>
      <c r="I165" s="33"/>
    </row>
    <row r="166" spans="1:9" ht="19.5" customHeight="1">
      <c r="A166" s="1"/>
      <c r="B166" s="35" t="str">
        <f>IF(161&lt;='🌱 Configuração'!$F$55,161,"")</f>
        <v/>
      </c>
      <c r="C166" s="13" t="str">
        <f>IF(161&lt;='🌱 Configuração'!$F$55,'🌱 Configuração'!$B$56+160,"")</f>
        <v/>
      </c>
      <c r="D166" s="36" t="str">
        <f>IF(161&gt;'🌱 Configuração'!$F$55,"",IF('🌱 Configuração'!$B$56+160&lt;'🌱 Configuração'!$C$56,"🌱 Clone",IF('🌱 Configuração'!$B$56+160&lt;'🌱 Configuração'!$D$56,"🌿 Vegetativo",IF('🌱 Configuração'!$B$56+160&lt;'🌱 Configuração'!$E$56,"🌸 Floração","🚿 Flush"))))</f>
        <v/>
      </c>
      <c r="E166" s="15" t="str">
        <f>IF(161&gt;'🌱 Configuração'!$F$55,"",IF('🌱 Configuração'!$B$56+160&lt;'🌱 Configuração'!$C$56,"Clone S"&amp;INT((161-1)/7)+1,IF('🌱 Configuração'!$B$56+160&lt;'🌱 Configuração'!$D$56,"Vega S"&amp;INT(('🌱 Configuração'!$B$56+160-'🌱 Configuração'!$C$56)/7)+1,IF('🌱 Configuração'!$B$56+160&lt;'🌱 Configuração'!$E$56,"Flora S"&amp;INT(('🌱 Configuração'!$B$56+160-'🌱 Configuração'!$D$56)/7)+1,"Flush S"&amp;INT(('🌱 Configuração'!$B$56+160-'🌱 Configuração'!$E$56)/7)+1))))</f>
        <v/>
      </c>
      <c r="F166" s="14" t="str">
        <f>IF(161&gt;'🌱 Configuração'!$F$55,"",IF('🌱 Configuração'!$B$56+160='🌱 Configuração'!$C$56,"🌿 INÍCIO VEGA — luz 18h/dia",IF('🌱 Configuração'!$B$56+160='🌱 Configuração'!$D$56,"🌸 INÍCIO FLORAÇÃO — mudar 12/12 🔴",IF('🌱 Configuração'!$B$56+160='🌱 Configuração'!$E$56,"🚿 INÍCIO FLUSH — parar nutrição",IF('🌱 Configuração'!$B$56+160='🌱 Configuração'!$F$56-1,"🔬 Véspera da colheita — analisar tricomas",IF('🌱 Configuração'!$B$56+160='🌱 Configuração'!$F$56,"✂️ COLHEITA — Parabéns! 🎉",""))))))</f>
        <v/>
      </c>
      <c r="G166" s="37" t="s">
        <v>428</v>
      </c>
      <c r="H166" s="38" t="str">
        <f>IF(161&gt;'🌱 Configuração'!$F$55,"",IF('🌱 Configuração'!$B$56+160&lt;'🌱 Configuração'!$C$56,IF(161=1,"🌿 Nim (2 mL/L) — foliar leve",IF(161=8,"🍄 Beauveria bassiana — foliar + solo","")),IF('🌱 Configuração'!$B$56+160&lt;'🌱 Configuração'!$D$56,IF(AND('🌱 Configuração'!$B$56+160&gt;='🌱 Configuração'!$C$56,'🌱 Configuração'!$B$56+160&lt;'🌱 Configuração'!$D$56,MOD('🌱 Configuração'!$B$56+160-'🌱 Configuração'!$C$56,7)=0,INT(('🌱 Configuração'!$B$56+160-'🌱 Configuração'!$C$56)/7)+1=1),"🌿 Nim (2 mL/L) — foliar preventivo",IF(AND('🌱 Configuração'!$B$56+160&gt;='🌱 Configuração'!$C$56,'🌱 Configuração'!$B$56+160&lt;'🌱 Configuração'!$D$56,MOD('🌱 Configuração'!$B$56+160-'🌱 Configuração'!$C$56,7)=0,INT(('🌱 Configuração'!$B$56+160-'🌱 Configuração'!$C$56)/7)+1=2),"🍄 Beauveria bassiana — foliar + solo",IF(AND('🌱 Configuração'!$B$56+160&gt;='🌱 Configuração'!$C$56,'🌱 Configuração'!$B$56+160&lt;'🌱 Configuração'!$D$56,MOD('🌱 Configuração'!$B$56+160-'🌱 Configuração'!$C$56,7)=0,INT(('🌱 Configuração'!$B$56+160-'🌱 Configuração'!$C$56)/7)+1=3),"🟡 Calda Sulfocálcica (1%) — foliar",IF(AND('🌱 Configuração'!$B$56+160&gt;='🌱 Configuração'!$C$56,'🌱 Configuração'!$B$56+160&lt;'🌱 Configuração'!$D$56,MOD('🌱 Configuração'!$B$56+160-'🌱 Configuração'!$C$56,7)=0,INT(('🌱 Configuração'!$B$56+160-'🌱 Configuração'!$C$56)/7)+1=4),"🦠 Trichoderma (3 g/L) — solo",IF(AND('🌱 Configuração'!$B$56+160&gt;='🌱 Configuração'!$C$56,'🌱 Configuração'!$B$56+160&lt;'🌱 Configuração'!$D$56,MOD('🌱 Configuração'!$B$56+160-'🌱 Configuração'!$C$56,7)=0,INT(('🌱 Configuração'!$B$56+160-'🌱 Configuração'!$C$56)/7)+1=5),"🔵 Calda Bordalesa (0.5%) — foliar",IF(AND('🌱 Configuração'!$B$56+160&gt;='🌱 Configuração'!$C$56,'🌱 Configuração'!$B$56+160&lt;'🌱 Configuração'!$D$56,MOD('🌱 Configuração'!$B$56+160-'🌱 Configuração'!$C$56,7)=0,INT(('🌱 Configuração'!$B$56+160-'🌱 Configuração'!$C$56)/7)+1=6),"🌿 Nim (2 mL/L) — ⚠️ ÚLTIMA foliar",IF(AND('🌱 Configuração'!$B$56+160&gt;='🌱 Configuração'!$C$56,'🌱 Configuração'!$B$56+160&lt;'🌱 Configuração'!$D$56,MOD('🌱 Configuração'!$B$56+160-'🌱 Configuração'!$C$56,7)=0,INT(('🌱 Configuração'!$B$56+160-'🌱 Configuração'!$C$56)/7)+1=7),"🦠 Trichoderma — solo",IF(AND('🌱 Configuração'!$B$56+160&gt;='🌱 Configuração'!$C$56,'🌱 Configuração'!$B$56+160&lt;'🌱 Configuração'!$D$56,MOD('🌱 Configuração'!$B$56+160-'🌱 Configuração'!$C$56,7)=0,INT(('🌱 Configuração'!$B$56+160-'🌱 Configuração'!$C$56)/7)+1=8),"🍄 Beauveria — solo","")))))))),IF('🌱 Configuração'!$B$56+160&lt;'🌱 Configuração'!$E$56,IF(AND('🌱 Configuração'!$B$56+160&gt;='🌱 Configuração'!$D$56,'🌱 Configuração'!$B$56+160&lt;'🌱 Configuração'!$E$56,MOD('🌱 Configuração'!$B$56+160-'🌱 Configuração'!$D$56,7)=0,INT(('🌱 Configuração'!$B$56+160-'🌱 Configuração'!$D$56)/7)+1=1),"🍄 Beauveria bassiana — SOLO apenas",IF(AND('🌱 Configuração'!$B$56+160&gt;='🌱 Configuração'!$D$56,'🌱 Configuração'!$B$56+160&lt;'🌱 Configuração'!$E$56,MOD('🌱 Configuração'!$B$56+160-'🌱 Configuração'!$D$56,7)=0,INT(('🌱 Configuração'!$B$56+160-'🌱 Configuração'!$D$56)/7)+1=2),"🦠 Trichoderma (3 g/L) — solo",IF(AND('🌱 Configuração'!$B$56+160&gt;='🌱 Configuração'!$D$56,'🌱 Configuração'!$B$56+160&lt;'🌱 Configuração'!$E$56,MOD('🌱 Configuração'!$B$56+160-'🌱 Configuração'!$D$56,7)=0,INT(('🌱 Configuração'!$B$56+160-'🌱 Configuração'!$D$56)/7)+1=3),"🍄 Beauveria bassiana — solo | ⚠️ Umid &lt;45%",IF(AND('🌱 Configuração'!$B$56+160&gt;='🌱 Configuração'!$D$56,'🌱 Configuração'!$B$56+160&lt;'🌱 Configuração'!$E$56,MOD('🌱 Configuração'!$B$56+160-'🌱 Configuração'!$D$56,7)=0,INT(('🌱 Configuração'!$B$56+160-'🌱 Configuração'!$D$56)/7)+1=4),"🦠 Trichoderma — solo | Inspecionar buds",IF(AND('🌱 Configuração'!$B$56+160&gt;='🌱 Configuração'!$D$56,'🌱 Configuração'!$B$56+160&lt;'🌱 Configuração'!$E$56,MOD('🌱 Configuração'!$B$56+160-'🌱 Configuração'!$D$56,7)=0,INT(('🌱 Configuração'!$B$56+160-'🌱 Configuração'!$D$56)/7)+1=5),"🍄 Beauveria + inspeção visual buds",IF(AND('🌱 Configuração'!$B$56+160&gt;='🌱 Configuração'!$D$56,'🌱 Configuração'!$B$56+160&lt;'🌱 Configuração'!$E$56,MOD('🌱 Configuração'!$B$56+160-'🌱 Configuração'!$D$56,7)=0,INT(('🌱 Configuração'!$B$56+160-'🌱 Configuração'!$D$56)/7)+1=6),"🦠 Trichoderma + ⚠️ Verificar mofo","")))))),IF(AND('🌱 Configuração'!$B$56+160&gt;='🌱 Configuração'!$E$56,MOD('🌱 Configuração'!$B$56+160-'🌱 Configuração'!$E$56,7)=0),"🔬 Inspeção final — analisar tricomas","")))))</f>
        <v/>
      </c>
      <c r="I166" s="33"/>
    </row>
    <row r="167" spans="1:9" ht="19.5" customHeight="1">
      <c r="A167" s="1"/>
      <c r="B167" s="39" t="str">
        <f>IF(162&lt;='🌱 Configuração'!$F$55,162,"")</f>
        <v/>
      </c>
      <c r="C167" s="40" t="str">
        <f>IF(162&lt;='🌱 Configuração'!$F$55,'🌱 Configuração'!$B$56+161,"")</f>
        <v/>
      </c>
      <c r="D167" s="41" t="str">
        <f>IF(162&gt;'🌱 Configuração'!$F$55,"",IF('🌱 Configuração'!$B$56+161&lt;'🌱 Configuração'!$C$56,"🌱 Clone",IF('🌱 Configuração'!$B$56+161&lt;'🌱 Configuração'!$D$56,"🌿 Vegetativo",IF('🌱 Configuração'!$B$56+161&lt;'🌱 Configuração'!$E$56,"🌸 Floração","🚿 Flush"))))</f>
        <v/>
      </c>
      <c r="E167" s="42" t="str">
        <f>IF(162&gt;'🌱 Configuração'!$F$55,"",IF('🌱 Configuração'!$B$56+161&lt;'🌱 Configuração'!$C$56,"Clone S"&amp;INT((162-1)/7)+1,IF('🌱 Configuração'!$B$56+161&lt;'🌱 Configuração'!$D$56,"Vega S"&amp;INT(('🌱 Configuração'!$B$56+161-'🌱 Configuração'!$C$56)/7)+1,IF('🌱 Configuração'!$B$56+161&lt;'🌱 Configuração'!$E$56,"Flora S"&amp;INT(('🌱 Configuração'!$B$56+161-'🌱 Configuração'!$D$56)/7)+1,"Flush S"&amp;INT(('🌱 Configuração'!$B$56+161-'🌱 Configuração'!$E$56)/7)+1))))</f>
        <v/>
      </c>
      <c r="F167" s="43" t="str">
        <f>IF(162&gt;'🌱 Configuração'!$F$55,"",IF('🌱 Configuração'!$B$56+161='🌱 Configuração'!$C$56,"🌿 INÍCIO VEGA — luz 18h/dia",IF('🌱 Configuração'!$B$56+161='🌱 Configuração'!$D$56,"🌸 INÍCIO FLORAÇÃO — mudar 12/12 🔴",IF('🌱 Configuração'!$B$56+161='🌱 Configuração'!$E$56,"🚿 INÍCIO FLUSH — parar nutrição",IF('🌱 Configuração'!$B$56+161='🌱 Configuração'!$F$56-1,"🔬 Véspera da colheita — analisar tricomas",IF('🌱 Configuração'!$B$56+161='🌱 Configuração'!$F$56,"✂️ COLHEITA — Parabéns! 🎉",""))))))</f>
        <v/>
      </c>
      <c r="G167" s="44" t="s">
        <v>428</v>
      </c>
      <c r="H167" s="45" t="str">
        <f>IF(162&gt;'🌱 Configuração'!$F$55,"",IF('🌱 Configuração'!$B$56+161&lt;'🌱 Configuração'!$C$56,IF(162=1,"🌿 Nim (2 mL/L) — foliar leve",IF(162=8,"🍄 Beauveria bassiana — foliar + solo","")),IF('🌱 Configuração'!$B$56+161&lt;'🌱 Configuração'!$D$56,IF(AND('🌱 Configuração'!$B$56+161&gt;='🌱 Configuração'!$C$56,'🌱 Configuração'!$B$56+161&lt;'🌱 Configuração'!$D$56,MOD('🌱 Configuração'!$B$56+161-'🌱 Configuração'!$C$56,7)=0,INT(('🌱 Configuração'!$B$56+161-'🌱 Configuração'!$C$56)/7)+1=1),"🌿 Nim (2 mL/L) — foliar preventivo",IF(AND('🌱 Configuração'!$B$56+161&gt;='🌱 Configuração'!$C$56,'🌱 Configuração'!$B$56+161&lt;'🌱 Configuração'!$D$56,MOD('🌱 Configuração'!$B$56+161-'🌱 Configuração'!$C$56,7)=0,INT(('🌱 Configuração'!$B$56+161-'🌱 Configuração'!$C$56)/7)+1=2),"🍄 Beauveria bassiana — foliar + solo",IF(AND('🌱 Configuração'!$B$56+161&gt;='🌱 Configuração'!$C$56,'🌱 Configuração'!$B$56+161&lt;'🌱 Configuração'!$D$56,MOD('🌱 Configuração'!$B$56+161-'🌱 Configuração'!$C$56,7)=0,INT(('🌱 Configuração'!$B$56+161-'🌱 Configuração'!$C$56)/7)+1=3),"🟡 Calda Sulfocálcica (1%) — foliar",IF(AND('🌱 Configuração'!$B$56+161&gt;='🌱 Configuração'!$C$56,'🌱 Configuração'!$B$56+161&lt;'🌱 Configuração'!$D$56,MOD('🌱 Configuração'!$B$56+161-'🌱 Configuração'!$C$56,7)=0,INT(('🌱 Configuração'!$B$56+161-'🌱 Configuração'!$C$56)/7)+1=4),"🦠 Trichoderma (3 g/L) — solo",IF(AND('🌱 Configuração'!$B$56+161&gt;='🌱 Configuração'!$C$56,'🌱 Configuração'!$B$56+161&lt;'🌱 Configuração'!$D$56,MOD('🌱 Configuração'!$B$56+161-'🌱 Configuração'!$C$56,7)=0,INT(('🌱 Configuração'!$B$56+161-'🌱 Configuração'!$C$56)/7)+1=5),"🔵 Calda Bordalesa (0.5%) — foliar",IF(AND('🌱 Configuração'!$B$56+161&gt;='🌱 Configuração'!$C$56,'🌱 Configuração'!$B$56+161&lt;'🌱 Configuração'!$D$56,MOD('🌱 Configuração'!$B$56+161-'🌱 Configuração'!$C$56,7)=0,INT(('🌱 Configuração'!$B$56+161-'🌱 Configuração'!$C$56)/7)+1=6),"🌿 Nim (2 mL/L) — ⚠️ ÚLTIMA foliar",IF(AND('🌱 Configuração'!$B$56+161&gt;='🌱 Configuração'!$C$56,'🌱 Configuração'!$B$56+161&lt;'🌱 Configuração'!$D$56,MOD('🌱 Configuração'!$B$56+161-'🌱 Configuração'!$C$56,7)=0,INT(('🌱 Configuração'!$B$56+161-'🌱 Configuração'!$C$56)/7)+1=7),"🦠 Trichoderma — solo",IF(AND('🌱 Configuração'!$B$56+161&gt;='🌱 Configuração'!$C$56,'🌱 Configuração'!$B$56+161&lt;'🌱 Configuração'!$D$56,MOD('🌱 Configuração'!$B$56+161-'🌱 Configuração'!$C$56,7)=0,INT(('🌱 Configuração'!$B$56+161-'🌱 Configuração'!$C$56)/7)+1=8),"🍄 Beauveria — solo","")))))))),IF('🌱 Configuração'!$B$56+161&lt;'🌱 Configuração'!$E$56,IF(AND('🌱 Configuração'!$B$56+161&gt;='🌱 Configuração'!$D$56,'🌱 Configuração'!$B$56+161&lt;'🌱 Configuração'!$E$56,MOD('🌱 Configuração'!$B$56+161-'🌱 Configuração'!$D$56,7)=0,INT(('🌱 Configuração'!$B$56+161-'🌱 Configuração'!$D$56)/7)+1=1),"🍄 Beauveria bassiana — SOLO apenas",IF(AND('🌱 Configuração'!$B$56+161&gt;='🌱 Configuração'!$D$56,'🌱 Configuração'!$B$56+161&lt;'🌱 Configuração'!$E$56,MOD('🌱 Configuração'!$B$56+161-'🌱 Configuração'!$D$56,7)=0,INT(('🌱 Configuração'!$B$56+161-'🌱 Configuração'!$D$56)/7)+1=2),"🦠 Trichoderma (3 g/L) — solo",IF(AND('🌱 Configuração'!$B$56+161&gt;='🌱 Configuração'!$D$56,'🌱 Configuração'!$B$56+161&lt;'🌱 Configuração'!$E$56,MOD('🌱 Configuração'!$B$56+161-'🌱 Configuração'!$D$56,7)=0,INT(('🌱 Configuração'!$B$56+161-'🌱 Configuração'!$D$56)/7)+1=3),"🍄 Beauveria bassiana — solo | ⚠️ Umid &lt;45%",IF(AND('🌱 Configuração'!$B$56+161&gt;='🌱 Configuração'!$D$56,'🌱 Configuração'!$B$56+161&lt;'🌱 Configuração'!$E$56,MOD('🌱 Configuração'!$B$56+161-'🌱 Configuração'!$D$56,7)=0,INT(('🌱 Configuração'!$B$56+161-'🌱 Configuração'!$D$56)/7)+1=4),"🦠 Trichoderma — solo | Inspecionar buds",IF(AND('🌱 Configuração'!$B$56+161&gt;='🌱 Configuração'!$D$56,'🌱 Configuração'!$B$56+161&lt;'🌱 Configuração'!$E$56,MOD('🌱 Configuração'!$B$56+161-'🌱 Configuração'!$D$56,7)=0,INT(('🌱 Configuração'!$B$56+161-'🌱 Configuração'!$D$56)/7)+1=5),"🍄 Beauveria + inspeção visual buds",IF(AND('🌱 Configuração'!$B$56+161&gt;='🌱 Configuração'!$D$56,'🌱 Configuração'!$B$56+161&lt;'🌱 Configuração'!$E$56,MOD('🌱 Configuração'!$B$56+161-'🌱 Configuração'!$D$56,7)=0,INT(('🌱 Configuração'!$B$56+161-'🌱 Configuração'!$D$56)/7)+1=6),"🦠 Trichoderma + ⚠️ Verificar mofo","")))))),IF(AND('🌱 Configuração'!$B$56+161&gt;='🌱 Configuração'!$E$56,MOD('🌱 Configuração'!$B$56+161-'🌱 Configuração'!$E$56,7)=0),"🔬 Inspeção final — analisar tricomas","")))))</f>
        <v/>
      </c>
      <c r="I167" s="33"/>
    </row>
    <row r="168" spans="1:9" ht="19.5" customHeight="1">
      <c r="A168" s="1"/>
      <c r="B168" s="35" t="str">
        <f>IF(163&lt;='🌱 Configuração'!$F$55,163,"")</f>
        <v/>
      </c>
      <c r="C168" s="13" t="str">
        <f>IF(163&lt;='🌱 Configuração'!$F$55,'🌱 Configuração'!$B$56+162,"")</f>
        <v/>
      </c>
      <c r="D168" s="36" t="str">
        <f>IF(163&gt;'🌱 Configuração'!$F$55,"",IF('🌱 Configuração'!$B$56+162&lt;'🌱 Configuração'!$C$56,"🌱 Clone",IF('🌱 Configuração'!$B$56+162&lt;'🌱 Configuração'!$D$56,"🌿 Vegetativo",IF('🌱 Configuração'!$B$56+162&lt;'🌱 Configuração'!$E$56,"🌸 Floração","🚿 Flush"))))</f>
        <v/>
      </c>
      <c r="E168" s="15" t="str">
        <f>IF(163&gt;'🌱 Configuração'!$F$55,"",IF('🌱 Configuração'!$B$56+162&lt;'🌱 Configuração'!$C$56,"Clone S"&amp;INT((163-1)/7)+1,IF('🌱 Configuração'!$B$56+162&lt;'🌱 Configuração'!$D$56,"Vega S"&amp;INT(('🌱 Configuração'!$B$56+162-'🌱 Configuração'!$C$56)/7)+1,IF('🌱 Configuração'!$B$56+162&lt;'🌱 Configuração'!$E$56,"Flora S"&amp;INT(('🌱 Configuração'!$B$56+162-'🌱 Configuração'!$D$56)/7)+1,"Flush S"&amp;INT(('🌱 Configuração'!$B$56+162-'🌱 Configuração'!$E$56)/7)+1))))</f>
        <v/>
      </c>
      <c r="F168" s="14" t="str">
        <f>IF(163&gt;'🌱 Configuração'!$F$55,"",IF('🌱 Configuração'!$B$56+162='🌱 Configuração'!$C$56,"🌿 INÍCIO VEGA — luz 18h/dia",IF('🌱 Configuração'!$B$56+162='🌱 Configuração'!$D$56,"🌸 INÍCIO FLORAÇÃO — mudar 12/12 🔴",IF('🌱 Configuração'!$B$56+162='🌱 Configuração'!$E$56,"🚿 INÍCIO FLUSH — parar nutrição",IF('🌱 Configuração'!$B$56+162='🌱 Configuração'!$F$56-1,"🔬 Véspera da colheita — analisar tricomas",IF('🌱 Configuração'!$B$56+162='🌱 Configuração'!$F$56,"✂️ COLHEITA — Parabéns! 🎉",""))))))</f>
        <v/>
      </c>
      <c r="G168" s="37" t="s">
        <v>428</v>
      </c>
      <c r="H168" s="38" t="str">
        <f>IF(163&gt;'🌱 Configuração'!$F$55,"",IF('🌱 Configuração'!$B$56+162&lt;'🌱 Configuração'!$C$56,IF(163=1,"🌿 Nim (2 mL/L) — foliar leve",IF(163=8,"🍄 Beauveria bassiana — foliar + solo","")),IF('🌱 Configuração'!$B$56+162&lt;'🌱 Configuração'!$D$56,IF(AND('🌱 Configuração'!$B$56+162&gt;='🌱 Configuração'!$C$56,'🌱 Configuração'!$B$56+162&lt;'🌱 Configuração'!$D$56,MOD('🌱 Configuração'!$B$56+162-'🌱 Configuração'!$C$56,7)=0,INT(('🌱 Configuração'!$B$56+162-'🌱 Configuração'!$C$56)/7)+1=1),"🌿 Nim (2 mL/L) — foliar preventivo",IF(AND('🌱 Configuração'!$B$56+162&gt;='🌱 Configuração'!$C$56,'🌱 Configuração'!$B$56+162&lt;'🌱 Configuração'!$D$56,MOD('🌱 Configuração'!$B$56+162-'🌱 Configuração'!$C$56,7)=0,INT(('🌱 Configuração'!$B$56+162-'🌱 Configuração'!$C$56)/7)+1=2),"🍄 Beauveria bassiana — foliar + solo",IF(AND('🌱 Configuração'!$B$56+162&gt;='🌱 Configuração'!$C$56,'🌱 Configuração'!$B$56+162&lt;'🌱 Configuração'!$D$56,MOD('🌱 Configuração'!$B$56+162-'🌱 Configuração'!$C$56,7)=0,INT(('🌱 Configuração'!$B$56+162-'🌱 Configuração'!$C$56)/7)+1=3),"🟡 Calda Sulfocálcica (1%) — foliar",IF(AND('🌱 Configuração'!$B$56+162&gt;='🌱 Configuração'!$C$56,'🌱 Configuração'!$B$56+162&lt;'🌱 Configuração'!$D$56,MOD('🌱 Configuração'!$B$56+162-'🌱 Configuração'!$C$56,7)=0,INT(('🌱 Configuração'!$B$56+162-'🌱 Configuração'!$C$56)/7)+1=4),"🦠 Trichoderma (3 g/L) — solo",IF(AND('🌱 Configuração'!$B$56+162&gt;='🌱 Configuração'!$C$56,'🌱 Configuração'!$B$56+162&lt;'🌱 Configuração'!$D$56,MOD('🌱 Configuração'!$B$56+162-'🌱 Configuração'!$C$56,7)=0,INT(('🌱 Configuração'!$B$56+162-'🌱 Configuração'!$C$56)/7)+1=5),"🔵 Calda Bordalesa (0.5%) — foliar",IF(AND('🌱 Configuração'!$B$56+162&gt;='🌱 Configuração'!$C$56,'🌱 Configuração'!$B$56+162&lt;'🌱 Configuração'!$D$56,MOD('🌱 Configuração'!$B$56+162-'🌱 Configuração'!$C$56,7)=0,INT(('🌱 Configuração'!$B$56+162-'🌱 Configuração'!$C$56)/7)+1=6),"🌿 Nim (2 mL/L) — ⚠️ ÚLTIMA foliar",IF(AND('🌱 Configuração'!$B$56+162&gt;='🌱 Configuração'!$C$56,'🌱 Configuração'!$B$56+162&lt;'🌱 Configuração'!$D$56,MOD('🌱 Configuração'!$B$56+162-'🌱 Configuração'!$C$56,7)=0,INT(('🌱 Configuração'!$B$56+162-'🌱 Configuração'!$C$56)/7)+1=7),"🦠 Trichoderma — solo",IF(AND('🌱 Configuração'!$B$56+162&gt;='🌱 Configuração'!$C$56,'🌱 Configuração'!$B$56+162&lt;'🌱 Configuração'!$D$56,MOD('🌱 Configuração'!$B$56+162-'🌱 Configuração'!$C$56,7)=0,INT(('🌱 Configuração'!$B$56+162-'🌱 Configuração'!$C$56)/7)+1=8),"🍄 Beauveria — solo","")))))))),IF('🌱 Configuração'!$B$56+162&lt;'🌱 Configuração'!$E$56,IF(AND('🌱 Configuração'!$B$56+162&gt;='🌱 Configuração'!$D$56,'🌱 Configuração'!$B$56+162&lt;'🌱 Configuração'!$E$56,MOD('🌱 Configuração'!$B$56+162-'🌱 Configuração'!$D$56,7)=0,INT(('🌱 Configuração'!$B$56+162-'🌱 Configuração'!$D$56)/7)+1=1),"🍄 Beauveria bassiana — SOLO apenas",IF(AND('🌱 Configuração'!$B$56+162&gt;='🌱 Configuração'!$D$56,'🌱 Configuração'!$B$56+162&lt;'🌱 Configuração'!$E$56,MOD('🌱 Configuração'!$B$56+162-'🌱 Configuração'!$D$56,7)=0,INT(('🌱 Configuração'!$B$56+162-'🌱 Configuração'!$D$56)/7)+1=2),"🦠 Trichoderma (3 g/L) — solo",IF(AND('🌱 Configuração'!$B$56+162&gt;='🌱 Configuração'!$D$56,'🌱 Configuração'!$B$56+162&lt;'🌱 Configuração'!$E$56,MOD('🌱 Configuração'!$B$56+162-'🌱 Configuração'!$D$56,7)=0,INT(('🌱 Configuração'!$B$56+162-'🌱 Configuração'!$D$56)/7)+1=3),"🍄 Beauveria bassiana — solo | ⚠️ Umid &lt;45%",IF(AND('🌱 Configuração'!$B$56+162&gt;='🌱 Configuração'!$D$56,'🌱 Configuração'!$B$56+162&lt;'🌱 Configuração'!$E$56,MOD('🌱 Configuração'!$B$56+162-'🌱 Configuração'!$D$56,7)=0,INT(('🌱 Configuração'!$B$56+162-'🌱 Configuração'!$D$56)/7)+1=4),"🦠 Trichoderma — solo | Inspecionar buds",IF(AND('🌱 Configuração'!$B$56+162&gt;='🌱 Configuração'!$D$56,'🌱 Configuração'!$B$56+162&lt;'🌱 Configuração'!$E$56,MOD('🌱 Configuração'!$B$56+162-'🌱 Configuração'!$D$56,7)=0,INT(('🌱 Configuração'!$B$56+162-'🌱 Configuração'!$D$56)/7)+1=5),"🍄 Beauveria + inspeção visual buds",IF(AND('🌱 Configuração'!$B$56+162&gt;='🌱 Configuração'!$D$56,'🌱 Configuração'!$B$56+162&lt;'🌱 Configuração'!$E$56,MOD('🌱 Configuração'!$B$56+162-'🌱 Configuração'!$D$56,7)=0,INT(('🌱 Configuração'!$B$56+162-'🌱 Configuração'!$D$56)/7)+1=6),"🦠 Trichoderma + ⚠️ Verificar mofo","")))))),IF(AND('🌱 Configuração'!$B$56+162&gt;='🌱 Configuração'!$E$56,MOD('🌱 Configuração'!$B$56+162-'🌱 Configuração'!$E$56,7)=0),"🔬 Inspeção final — analisar tricomas","")))))</f>
        <v/>
      </c>
      <c r="I168" s="33"/>
    </row>
    <row r="169" spans="1:9" ht="19.5" customHeight="1">
      <c r="A169" s="1"/>
      <c r="B169" s="39" t="str">
        <f>IF(164&lt;='🌱 Configuração'!$F$55,164,"")</f>
        <v/>
      </c>
      <c r="C169" s="40" t="str">
        <f>IF(164&lt;='🌱 Configuração'!$F$55,'🌱 Configuração'!$B$56+163,"")</f>
        <v/>
      </c>
      <c r="D169" s="41" t="str">
        <f>IF(164&gt;'🌱 Configuração'!$F$55,"",IF('🌱 Configuração'!$B$56+163&lt;'🌱 Configuração'!$C$56,"🌱 Clone",IF('🌱 Configuração'!$B$56+163&lt;'🌱 Configuração'!$D$56,"🌿 Vegetativo",IF('🌱 Configuração'!$B$56+163&lt;'🌱 Configuração'!$E$56,"🌸 Floração","🚿 Flush"))))</f>
        <v/>
      </c>
      <c r="E169" s="42" t="str">
        <f>IF(164&gt;'🌱 Configuração'!$F$55,"",IF('🌱 Configuração'!$B$56+163&lt;'🌱 Configuração'!$C$56,"Clone S"&amp;INT((164-1)/7)+1,IF('🌱 Configuração'!$B$56+163&lt;'🌱 Configuração'!$D$56,"Vega S"&amp;INT(('🌱 Configuração'!$B$56+163-'🌱 Configuração'!$C$56)/7)+1,IF('🌱 Configuração'!$B$56+163&lt;'🌱 Configuração'!$E$56,"Flora S"&amp;INT(('🌱 Configuração'!$B$56+163-'🌱 Configuração'!$D$56)/7)+1,"Flush S"&amp;INT(('🌱 Configuração'!$B$56+163-'🌱 Configuração'!$E$56)/7)+1))))</f>
        <v/>
      </c>
      <c r="F169" s="43" t="str">
        <f>IF(164&gt;'🌱 Configuração'!$F$55,"",IF('🌱 Configuração'!$B$56+163='🌱 Configuração'!$C$56,"🌿 INÍCIO VEGA — luz 18h/dia",IF('🌱 Configuração'!$B$56+163='🌱 Configuração'!$D$56,"🌸 INÍCIO FLORAÇÃO — mudar 12/12 🔴",IF('🌱 Configuração'!$B$56+163='🌱 Configuração'!$E$56,"🚿 INÍCIO FLUSH — parar nutrição",IF('🌱 Configuração'!$B$56+163='🌱 Configuração'!$F$56-1,"🔬 Véspera da colheita — analisar tricomas",IF('🌱 Configuração'!$B$56+163='🌱 Configuração'!$F$56,"✂️ COLHEITA — Parabéns! 🎉",""))))))</f>
        <v/>
      </c>
      <c r="G169" s="44" t="s">
        <v>428</v>
      </c>
      <c r="H169" s="45" t="str">
        <f>IF(164&gt;'🌱 Configuração'!$F$55,"",IF('🌱 Configuração'!$B$56+163&lt;'🌱 Configuração'!$C$56,IF(164=1,"🌿 Nim (2 mL/L) — foliar leve",IF(164=8,"🍄 Beauveria bassiana — foliar + solo","")),IF('🌱 Configuração'!$B$56+163&lt;'🌱 Configuração'!$D$56,IF(AND('🌱 Configuração'!$B$56+163&gt;='🌱 Configuração'!$C$56,'🌱 Configuração'!$B$56+163&lt;'🌱 Configuração'!$D$56,MOD('🌱 Configuração'!$B$56+163-'🌱 Configuração'!$C$56,7)=0,INT(('🌱 Configuração'!$B$56+163-'🌱 Configuração'!$C$56)/7)+1=1),"🌿 Nim (2 mL/L) — foliar preventivo",IF(AND('🌱 Configuração'!$B$56+163&gt;='🌱 Configuração'!$C$56,'🌱 Configuração'!$B$56+163&lt;'🌱 Configuração'!$D$56,MOD('🌱 Configuração'!$B$56+163-'🌱 Configuração'!$C$56,7)=0,INT(('🌱 Configuração'!$B$56+163-'🌱 Configuração'!$C$56)/7)+1=2),"🍄 Beauveria bassiana — foliar + solo",IF(AND('🌱 Configuração'!$B$56+163&gt;='🌱 Configuração'!$C$56,'🌱 Configuração'!$B$56+163&lt;'🌱 Configuração'!$D$56,MOD('🌱 Configuração'!$B$56+163-'🌱 Configuração'!$C$56,7)=0,INT(('🌱 Configuração'!$B$56+163-'🌱 Configuração'!$C$56)/7)+1=3),"🟡 Calda Sulfocálcica (1%) — foliar",IF(AND('🌱 Configuração'!$B$56+163&gt;='🌱 Configuração'!$C$56,'🌱 Configuração'!$B$56+163&lt;'🌱 Configuração'!$D$56,MOD('🌱 Configuração'!$B$56+163-'🌱 Configuração'!$C$56,7)=0,INT(('🌱 Configuração'!$B$56+163-'🌱 Configuração'!$C$56)/7)+1=4),"🦠 Trichoderma (3 g/L) — solo",IF(AND('🌱 Configuração'!$B$56+163&gt;='🌱 Configuração'!$C$56,'🌱 Configuração'!$B$56+163&lt;'🌱 Configuração'!$D$56,MOD('🌱 Configuração'!$B$56+163-'🌱 Configuração'!$C$56,7)=0,INT(('🌱 Configuração'!$B$56+163-'🌱 Configuração'!$C$56)/7)+1=5),"🔵 Calda Bordalesa (0.5%) — foliar",IF(AND('🌱 Configuração'!$B$56+163&gt;='🌱 Configuração'!$C$56,'🌱 Configuração'!$B$56+163&lt;'🌱 Configuração'!$D$56,MOD('🌱 Configuração'!$B$56+163-'🌱 Configuração'!$C$56,7)=0,INT(('🌱 Configuração'!$B$56+163-'🌱 Configuração'!$C$56)/7)+1=6),"🌿 Nim (2 mL/L) — ⚠️ ÚLTIMA foliar",IF(AND('🌱 Configuração'!$B$56+163&gt;='🌱 Configuração'!$C$56,'🌱 Configuração'!$B$56+163&lt;'🌱 Configuração'!$D$56,MOD('🌱 Configuração'!$B$56+163-'🌱 Configuração'!$C$56,7)=0,INT(('🌱 Configuração'!$B$56+163-'🌱 Configuração'!$C$56)/7)+1=7),"🦠 Trichoderma — solo",IF(AND('🌱 Configuração'!$B$56+163&gt;='🌱 Configuração'!$C$56,'🌱 Configuração'!$B$56+163&lt;'🌱 Configuração'!$D$56,MOD('🌱 Configuração'!$B$56+163-'🌱 Configuração'!$C$56,7)=0,INT(('🌱 Configuração'!$B$56+163-'🌱 Configuração'!$C$56)/7)+1=8),"🍄 Beauveria — solo","")))))))),IF('🌱 Configuração'!$B$56+163&lt;'🌱 Configuração'!$E$56,IF(AND('🌱 Configuração'!$B$56+163&gt;='🌱 Configuração'!$D$56,'🌱 Configuração'!$B$56+163&lt;'🌱 Configuração'!$E$56,MOD('🌱 Configuração'!$B$56+163-'🌱 Configuração'!$D$56,7)=0,INT(('🌱 Configuração'!$B$56+163-'🌱 Configuração'!$D$56)/7)+1=1),"🍄 Beauveria bassiana — SOLO apenas",IF(AND('🌱 Configuração'!$B$56+163&gt;='🌱 Configuração'!$D$56,'🌱 Configuração'!$B$56+163&lt;'🌱 Configuração'!$E$56,MOD('🌱 Configuração'!$B$56+163-'🌱 Configuração'!$D$56,7)=0,INT(('🌱 Configuração'!$B$56+163-'🌱 Configuração'!$D$56)/7)+1=2),"🦠 Trichoderma (3 g/L) — solo",IF(AND('🌱 Configuração'!$B$56+163&gt;='🌱 Configuração'!$D$56,'🌱 Configuração'!$B$56+163&lt;'🌱 Configuração'!$E$56,MOD('🌱 Configuração'!$B$56+163-'🌱 Configuração'!$D$56,7)=0,INT(('🌱 Configuração'!$B$56+163-'🌱 Configuração'!$D$56)/7)+1=3),"🍄 Beauveria bassiana — solo | ⚠️ Umid &lt;45%",IF(AND('🌱 Configuração'!$B$56+163&gt;='🌱 Configuração'!$D$56,'🌱 Configuração'!$B$56+163&lt;'🌱 Configuração'!$E$56,MOD('🌱 Configuração'!$B$56+163-'🌱 Configuração'!$D$56,7)=0,INT(('🌱 Configuração'!$B$56+163-'🌱 Configuração'!$D$56)/7)+1=4),"🦠 Trichoderma — solo | Inspecionar buds",IF(AND('🌱 Configuração'!$B$56+163&gt;='🌱 Configuração'!$D$56,'🌱 Configuração'!$B$56+163&lt;'🌱 Configuração'!$E$56,MOD('🌱 Configuração'!$B$56+163-'🌱 Configuração'!$D$56,7)=0,INT(('🌱 Configuração'!$B$56+163-'🌱 Configuração'!$D$56)/7)+1=5),"🍄 Beauveria + inspeção visual buds",IF(AND('🌱 Configuração'!$B$56+163&gt;='🌱 Configuração'!$D$56,'🌱 Configuração'!$B$56+163&lt;'🌱 Configuração'!$E$56,MOD('🌱 Configuração'!$B$56+163-'🌱 Configuração'!$D$56,7)=0,INT(('🌱 Configuração'!$B$56+163-'🌱 Configuração'!$D$56)/7)+1=6),"🦠 Trichoderma + ⚠️ Verificar mofo","")))))),IF(AND('🌱 Configuração'!$B$56+163&gt;='🌱 Configuração'!$E$56,MOD('🌱 Configuração'!$B$56+163-'🌱 Configuração'!$E$56,7)=0),"🔬 Inspeção final — analisar tricomas","")))))</f>
        <v/>
      </c>
      <c r="I169" s="33"/>
    </row>
    <row r="170" spans="1:9" ht="19.5" customHeight="1">
      <c r="A170" s="1"/>
      <c r="B170" s="35" t="str">
        <f>IF(165&lt;='🌱 Configuração'!$F$55,165,"")</f>
        <v/>
      </c>
      <c r="C170" s="13" t="str">
        <f>IF(165&lt;='🌱 Configuração'!$F$55,'🌱 Configuração'!$B$56+164,"")</f>
        <v/>
      </c>
      <c r="D170" s="36" t="str">
        <f>IF(165&gt;'🌱 Configuração'!$F$55,"",IF('🌱 Configuração'!$B$56+164&lt;'🌱 Configuração'!$C$56,"🌱 Clone",IF('🌱 Configuração'!$B$56+164&lt;'🌱 Configuração'!$D$56,"🌿 Vegetativo",IF('🌱 Configuração'!$B$56+164&lt;'🌱 Configuração'!$E$56,"🌸 Floração","🚿 Flush"))))</f>
        <v/>
      </c>
      <c r="E170" s="15" t="str">
        <f>IF(165&gt;'🌱 Configuração'!$F$55,"",IF('🌱 Configuração'!$B$56+164&lt;'🌱 Configuração'!$C$56,"Clone S"&amp;INT((165-1)/7)+1,IF('🌱 Configuração'!$B$56+164&lt;'🌱 Configuração'!$D$56,"Vega S"&amp;INT(('🌱 Configuração'!$B$56+164-'🌱 Configuração'!$C$56)/7)+1,IF('🌱 Configuração'!$B$56+164&lt;'🌱 Configuração'!$E$56,"Flora S"&amp;INT(('🌱 Configuração'!$B$56+164-'🌱 Configuração'!$D$56)/7)+1,"Flush S"&amp;INT(('🌱 Configuração'!$B$56+164-'🌱 Configuração'!$E$56)/7)+1))))</f>
        <v/>
      </c>
      <c r="F170" s="14" t="str">
        <f>IF(165&gt;'🌱 Configuração'!$F$55,"",IF('🌱 Configuração'!$B$56+164='🌱 Configuração'!$C$56,"🌿 INÍCIO VEGA — luz 18h/dia",IF('🌱 Configuração'!$B$56+164='🌱 Configuração'!$D$56,"🌸 INÍCIO FLORAÇÃO — mudar 12/12 🔴",IF('🌱 Configuração'!$B$56+164='🌱 Configuração'!$E$56,"🚿 INÍCIO FLUSH — parar nutrição",IF('🌱 Configuração'!$B$56+164='🌱 Configuração'!$F$56-1,"🔬 Véspera da colheita — analisar tricomas",IF('🌱 Configuração'!$B$56+164='🌱 Configuração'!$F$56,"✂️ COLHEITA — Parabéns! 🎉",""))))))</f>
        <v/>
      </c>
      <c r="G170" s="37" t="s">
        <v>428</v>
      </c>
      <c r="H170" s="38" t="str">
        <f>IF(165&gt;'🌱 Configuração'!$F$55,"",IF('🌱 Configuração'!$B$56+164&lt;'🌱 Configuração'!$C$56,IF(165=1,"🌿 Nim (2 mL/L) — foliar leve",IF(165=8,"🍄 Beauveria bassiana — foliar + solo","")),IF('🌱 Configuração'!$B$56+164&lt;'🌱 Configuração'!$D$56,IF(AND('🌱 Configuração'!$B$56+164&gt;='🌱 Configuração'!$C$56,'🌱 Configuração'!$B$56+164&lt;'🌱 Configuração'!$D$56,MOD('🌱 Configuração'!$B$56+164-'🌱 Configuração'!$C$56,7)=0,INT(('🌱 Configuração'!$B$56+164-'🌱 Configuração'!$C$56)/7)+1=1),"🌿 Nim (2 mL/L) — foliar preventivo",IF(AND('🌱 Configuração'!$B$56+164&gt;='🌱 Configuração'!$C$56,'🌱 Configuração'!$B$56+164&lt;'🌱 Configuração'!$D$56,MOD('🌱 Configuração'!$B$56+164-'🌱 Configuração'!$C$56,7)=0,INT(('🌱 Configuração'!$B$56+164-'🌱 Configuração'!$C$56)/7)+1=2),"🍄 Beauveria bassiana — foliar + solo",IF(AND('🌱 Configuração'!$B$56+164&gt;='🌱 Configuração'!$C$56,'🌱 Configuração'!$B$56+164&lt;'🌱 Configuração'!$D$56,MOD('🌱 Configuração'!$B$56+164-'🌱 Configuração'!$C$56,7)=0,INT(('🌱 Configuração'!$B$56+164-'🌱 Configuração'!$C$56)/7)+1=3),"🟡 Calda Sulfocálcica (1%) — foliar",IF(AND('🌱 Configuração'!$B$56+164&gt;='🌱 Configuração'!$C$56,'🌱 Configuração'!$B$56+164&lt;'🌱 Configuração'!$D$56,MOD('🌱 Configuração'!$B$56+164-'🌱 Configuração'!$C$56,7)=0,INT(('🌱 Configuração'!$B$56+164-'🌱 Configuração'!$C$56)/7)+1=4),"🦠 Trichoderma (3 g/L) — solo",IF(AND('🌱 Configuração'!$B$56+164&gt;='🌱 Configuração'!$C$56,'🌱 Configuração'!$B$56+164&lt;'🌱 Configuração'!$D$56,MOD('🌱 Configuração'!$B$56+164-'🌱 Configuração'!$C$56,7)=0,INT(('🌱 Configuração'!$B$56+164-'🌱 Configuração'!$C$56)/7)+1=5),"🔵 Calda Bordalesa (0.5%) — foliar",IF(AND('🌱 Configuração'!$B$56+164&gt;='🌱 Configuração'!$C$56,'🌱 Configuração'!$B$56+164&lt;'🌱 Configuração'!$D$56,MOD('🌱 Configuração'!$B$56+164-'🌱 Configuração'!$C$56,7)=0,INT(('🌱 Configuração'!$B$56+164-'🌱 Configuração'!$C$56)/7)+1=6),"🌿 Nim (2 mL/L) — ⚠️ ÚLTIMA foliar",IF(AND('🌱 Configuração'!$B$56+164&gt;='🌱 Configuração'!$C$56,'🌱 Configuração'!$B$56+164&lt;'🌱 Configuração'!$D$56,MOD('🌱 Configuração'!$B$56+164-'🌱 Configuração'!$C$56,7)=0,INT(('🌱 Configuração'!$B$56+164-'🌱 Configuração'!$C$56)/7)+1=7),"🦠 Trichoderma — solo",IF(AND('🌱 Configuração'!$B$56+164&gt;='🌱 Configuração'!$C$56,'🌱 Configuração'!$B$56+164&lt;'🌱 Configuração'!$D$56,MOD('🌱 Configuração'!$B$56+164-'🌱 Configuração'!$C$56,7)=0,INT(('🌱 Configuração'!$B$56+164-'🌱 Configuração'!$C$56)/7)+1=8),"🍄 Beauveria — solo","")))))))),IF('🌱 Configuração'!$B$56+164&lt;'🌱 Configuração'!$E$56,IF(AND('🌱 Configuração'!$B$56+164&gt;='🌱 Configuração'!$D$56,'🌱 Configuração'!$B$56+164&lt;'🌱 Configuração'!$E$56,MOD('🌱 Configuração'!$B$56+164-'🌱 Configuração'!$D$56,7)=0,INT(('🌱 Configuração'!$B$56+164-'🌱 Configuração'!$D$56)/7)+1=1),"🍄 Beauveria bassiana — SOLO apenas",IF(AND('🌱 Configuração'!$B$56+164&gt;='🌱 Configuração'!$D$56,'🌱 Configuração'!$B$56+164&lt;'🌱 Configuração'!$E$56,MOD('🌱 Configuração'!$B$56+164-'🌱 Configuração'!$D$56,7)=0,INT(('🌱 Configuração'!$B$56+164-'🌱 Configuração'!$D$56)/7)+1=2),"🦠 Trichoderma (3 g/L) — solo",IF(AND('🌱 Configuração'!$B$56+164&gt;='🌱 Configuração'!$D$56,'🌱 Configuração'!$B$56+164&lt;'🌱 Configuração'!$E$56,MOD('🌱 Configuração'!$B$56+164-'🌱 Configuração'!$D$56,7)=0,INT(('🌱 Configuração'!$B$56+164-'🌱 Configuração'!$D$56)/7)+1=3),"🍄 Beauveria bassiana — solo | ⚠️ Umid &lt;45%",IF(AND('🌱 Configuração'!$B$56+164&gt;='🌱 Configuração'!$D$56,'🌱 Configuração'!$B$56+164&lt;'🌱 Configuração'!$E$56,MOD('🌱 Configuração'!$B$56+164-'🌱 Configuração'!$D$56,7)=0,INT(('🌱 Configuração'!$B$56+164-'🌱 Configuração'!$D$56)/7)+1=4),"🦠 Trichoderma — solo | Inspecionar buds",IF(AND('🌱 Configuração'!$B$56+164&gt;='🌱 Configuração'!$D$56,'🌱 Configuração'!$B$56+164&lt;'🌱 Configuração'!$E$56,MOD('🌱 Configuração'!$B$56+164-'🌱 Configuração'!$D$56,7)=0,INT(('🌱 Configuração'!$B$56+164-'🌱 Configuração'!$D$56)/7)+1=5),"🍄 Beauveria + inspeção visual buds",IF(AND('🌱 Configuração'!$B$56+164&gt;='🌱 Configuração'!$D$56,'🌱 Configuração'!$B$56+164&lt;'🌱 Configuração'!$E$56,MOD('🌱 Configuração'!$B$56+164-'🌱 Configuração'!$D$56,7)=0,INT(('🌱 Configuração'!$B$56+164-'🌱 Configuração'!$D$56)/7)+1=6),"🦠 Trichoderma + ⚠️ Verificar mofo","")))))),IF(AND('🌱 Configuração'!$B$56+164&gt;='🌱 Configuração'!$E$56,MOD('🌱 Configuração'!$B$56+164-'🌱 Configuração'!$E$56,7)=0),"🔬 Inspeção final — analisar tricomas","")))))</f>
        <v/>
      </c>
      <c r="I170" s="33"/>
    </row>
    <row r="171" spans="1:9" ht="19.5" customHeight="1">
      <c r="A171" s="1"/>
      <c r="B171" s="39" t="str">
        <f>IF(166&lt;='🌱 Configuração'!$F$55,166,"")</f>
        <v/>
      </c>
      <c r="C171" s="40" t="str">
        <f>IF(166&lt;='🌱 Configuração'!$F$55,'🌱 Configuração'!$B$56+165,"")</f>
        <v/>
      </c>
      <c r="D171" s="41" t="str">
        <f>IF(166&gt;'🌱 Configuração'!$F$55,"",IF('🌱 Configuração'!$B$56+165&lt;'🌱 Configuração'!$C$56,"🌱 Clone",IF('🌱 Configuração'!$B$56+165&lt;'🌱 Configuração'!$D$56,"🌿 Vegetativo",IF('🌱 Configuração'!$B$56+165&lt;'🌱 Configuração'!$E$56,"🌸 Floração","🚿 Flush"))))</f>
        <v/>
      </c>
      <c r="E171" s="42" t="str">
        <f>IF(166&gt;'🌱 Configuração'!$F$55,"",IF('🌱 Configuração'!$B$56+165&lt;'🌱 Configuração'!$C$56,"Clone S"&amp;INT((166-1)/7)+1,IF('🌱 Configuração'!$B$56+165&lt;'🌱 Configuração'!$D$56,"Vega S"&amp;INT(('🌱 Configuração'!$B$56+165-'🌱 Configuração'!$C$56)/7)+1,IF('🌱 Configuração'!$B$56+165&lt;'🌱 Configuração'!$E$56,"Flora S"&amp;INT(('🌱 Configuração'!$B$56+165-'🌱 Configuração'!$D$56)/7)+1,"Flush S"&amp;INT(('🌱 Configuração'!$B$56+165-'🌱 Configuração'!$E$56)/7)+1))))</f>
        <v/>
      </c>
      <c r="F171" s="43" t="str">
        <f>IF(166&gt;'🌱 Configuração'!$F$55,"",IF('🌱 Configuração'!$B$56+165='🌱 Configuração'!$C$56,"🌿 INÍCIO VEGA — luz 18h/dia",IF('🌱 Configuração'!$B$56+165='🌱 Configuração'!$D$56,"🌸 INÍCIO FLORAÇÃO — mudar 12/12 🔴",IF('🌱 Configuração'!$B$56+165='🌱 Configuração'!$E$56,"🚿 INÍCIO FLUSH — parar nutrição",IF('🌱 Configuração'!$B$56+165='🌱 Configuração'!$F$56-1,"🔬 Véspera da colheita — analisar tricomas",IF('🌱 Configuração'!$B$56+165='🌱 Configuração'!$F$56,"✂️ COLHEITA — Parabéns! 🎉",""))))))</f>
        <v/>
      </c>
      <c r="G171" s="44" t="s">
        <v>428</v>
      </c>
      <c r="H171" s="45" t="str">
        <f>IF(166&gt;'🌱 Configuração'!$F$55,"",IF('🌱 Configuração'!$B$56+165&lt;'🌱 Configuração'!$C$56,IF(166=1,"🌿 Nim (2 mL/L) — foliar leve",IF(166=8,"🍄 Beauveria bassiana — foliar + solo","")),IF('🌱 Configuração'!$B$56+165&lt;'🌱 Configuração'!$D$56,IF(AND('🌱 Configuração'!$B$56+165&gt;='🌱 Configuração'!$C$56,'🌱 Configuração'!$B$56+165&lt;'🌱 Configuração'!$D$56,MOD('🌱 Configuração'!$B$56+165-'🌱 Configuração'!$C$56,7)=0,INT(('🌱 Configuração'!$B$56+165-'🌱 Configuração'!$C$56)/7)+1=1),"🌿 Nim (2 mL/L) — foliar preventivo",IF(AND('🌱 Configuração'!$B$56+165&gt;='🌱 Configuração'!$C$56,'🌱 Configuração'!$B$56+165&lt;'🌱 Configuração'!$D$56,MOD('🌱 Configuração'!$B$56+165-'🌱 Configuração'!$C$56,7)=0,INT(('🌱 Configuração'!$B$56+165-'🌱 Configuração'!$C$56)/7)+1=2),"🍄 Beauveria bassiana — foliar + solo",IF(AND('🌱 Configuração'!$B$56+165&gt;='🌱 Configuração'!$C$56,'🌱 Configuração'!$B$56+165&lt;'🌱 Configuração'!$D$56,MOD('🌱 Configuração'!$B$56+165-'🌱 Configuração'!$C$56,7)=0,INT(('🌱 Configuração'!$B$56+165-'🌱 Configuração'!$C$56)/7)+1=3),"🟡 Calda Sulfocálcica (1%) — foliar",IF(AND('🌱 Configuração'!$B$56+165&gt;='🌱 Configuração'!$C$56,'🌱 Configuração'!$B$56+165&lt;'🌱 Configuração'!$D$56,MOD('🌱 Configuração'!$B$56+165-'🌱 Configuração'!$C$56,7)=0,INT(('🌱 Configuração'!$B$56+165-'🌱 Configuração'!$C$56)/7)+1=4),"🦠 Trichoderma (3 g/L) — solo",IF(AND('🌱 Configuração'!$B$56+165&gt;='🌱 Configuração'!$C$56,'🌱 Configuração'!$B$56+165&lt;'🌱 Configuração'!$D$56,MOD('🌱 Configuração'!$B$56+165-'🌱 Configuração'!$C$56,7)=0,INT(('🌱 Configuração'!$B$56+165-'🌱 Configuração'!$C$56)/7)+1=5),"🔵 Calda Bordalesa (0.5%) — foliar",IF(AND('🌱 Configuração'!$B$56+165&gt;='🌱 Configuração'!$C$56,'🌱 Configuração'!$B$56+165&lt;'🌱 Configuração'!$D$56,MOD('🌱 Configuração'!$B$56+165-'🌱 Configuração'!$C$56,7)=0,INT(('🌱 Configuração'!$B$56+165-'🌱 Configuração'!$C$56)/7)+1=6),"🌿 Nim (2 mL/L) — ⚠️ ÚLTIMA foliar",IF(AND('🌱 Configuração'!$B$56+165&gt;='🌱 Configuração'!$C$56,'🌱 Configuração'!$B$56+165&lt;'🌱 Configuração'!$D$56,MOD('🌱 Configuração'!$B$56+165-'🌱 Configuração'!$C$56,7)=0,INT(('🌱 Configuração'!$B$56+165-'🌱 Configuração'!$C$56)/7)+1=7),"🦠 Trichoderma — solo",IF(AND('🌱 Configuração'!$B$56+165&gt;='🌱 Configuração'!$C$56,'🌱 Configuração'!$B$56+165&lt;'🌱 Configuração'!$D$56,MOD('🌱 Configuração'!$B$56+165-'🌱 Configuração'!$C$56,7)=0,INT(('🌱 Configuração'!$B$56+165-'🌱 Configuração'!$C$56)/7)+1=8),"🍄 Beauveria — solo","")))))))),IF('🌱 Configuração'!$B$56+165&lt;'🌱 Configuração'!$E$56,IF(AND('🌱 Configuração'!$B$56+165&gt;='🌱 Configuração'!$D$56,'🌱 Configuração'!$B$56+165&lt;'🌱 Configuração'!$E$56,MOD('🌱 Configuração'!$B$56+165-'🌱 Configuração'!$D$56,7)=0,INT(('🌱 Configuração'!$B$56+165-'🌱 Configuração'!$D$56)/7)+1=1),"🍄 Beauveria bassiana — SOLO apenas",IF(AND('🌱 Configuração'!$B$56+165&gt;='🌱 Configuração'!$D$56,'🌱 Configuração'!$B$56+165&lt;'🌱 Configuração'!$E$56,MOD('🌱 Configuração'!$B$56+165-'🌱 Configuração'!$D$56,7)=0,INT(('🌱 Configuração'!$B$56+165-'🌱 Configuração'!$D$56)/7)+1=2),"🦠 Trichoderma (3 g/L) — solo",IF(AND('🌱 Configuração'!$B$56+165&gt;='🌱 Configuração'!$D$56,'🌱 Configuração'!$B$56+165&lt;'🌱 Configuração'!$E$56,MOD('🌱 Configuração'!$B$56+165-'🌱 Configuração'!$D$56,7)=0,INT(('🌱 Configuração'!$B$56+165-'🌱 Configuração'!$D$56)/7)+1=3),"🍄 Beauveria bassiana — solo | ⚠️ Umid &lt;45%",IF(AND('🌱 Configuração'!$B$56+165&gt;='🌱 Configuração'!$D$56,'🌱 Configuração'!$B$56+165&lt;'🌱 Configuração'!$E$56,MOD('🌱 Configuração'!$B$56+165-'🌱 Configuração'!$D$56,7)=0,INT(('🌱 Configuração'!$B$56+165-'🌱 Configuração'!$D$56)/7)+1=4),"🦠 Trichoderma — solo | Inspecionar buds",IF(AND('🌱 Configuração'!$B$56+165&gt;='🌱 Configuração'!$D$56,'🌱 Configuração'!$B$56+165&lt;'🌱 Configuração'!$E$56,MOD('🌱 Configuração'!$B$56+165-'🌱 Configuração'!$D$56,7)=0,INT(('🌱 Configuração'!$B$56+165-'🌱 Configuração'!$D$56)/7)+1=5),"🍄 Beauveria + inspeção visual buds",IF(AND('🌱 Configuração'!$B$56+165&gt;='🌱 Configuração'!$D$56,'🌱 Configuração'!$B$56+165&lt;'🌱 Configuração'!$E$56,MOD('🌱 Configuração'!$B$56+165-'🌱 Configuração'!$D$56,7)=0,INT(('🌱 Configuração'!$B$56+165-'🌱 Configuração'!$D$56)/7)+1=6),"🦠 Trichoderma + ⚠️ Verificar mofo","")))))),IF(AND('🌱 Configuração'!$B$56+165&gt;='🌱 Configuração'!$E$56,MOD('🌱 Configuração'!$B$56+165-'🌱 Configuração'!$E$56,7)=0),"🔬 Inspeção final — analisar tricomas","")))))</f>
        <v/>
      </c>
      <c r="I171" s="33"/>
    </row>
    <row r="172" spans="1:9" ht="19.5" customHeight="1">
      <c r="A172" s="1"/>
      <c r="B172" s="35" t="str">
        <f>IF(167&lt;='🌱 Configuração'!$F$55,167,"")</f>
        <v/>
      </c>
      <c r="C172" s="13" t="str">
        <f>IF(167&lt;='🌱 Configuração'!$F$55,'🌱 Configuração'!$B$56+166,"")</f>
        <v/>
      </c>
      <c r="D172" s="36" t="str">
        <f>IF(167&gt;'🌱 Configuração'!$F$55,"",IF('🌱 Configuração'!$B$56+166&lt;'🌱 Configuração'!$C$56,"🌱 Clone",IF('🌱 Configuração'!$B$56+166&lt;'🌱 Configuração'!$D$56,"🌿 Vegetativo",IF('🌱 Configuração'!$B$56+166&lt;'🌱 Configuração'!$E$56,"🌸 Floração","🚿 Flush"))))</f>
        <v/>
      </c>
      <c r="E172" s="15" t="str">
        <f>IF(167&gt;'🌱 Configuração'!$F$55,"",IF('🌱 Configuração'!$B$56+166&lt;'🌱 Configuração'!$C$56,"Clone S"&amp;INT((167-1)/7)+1,IF('🌱 Configuração'!$B$56+166&lt;'🌱 Configuração'!$D$56,"Vega S"&amp;INT(('🌱 Configuração'!$B$56+166-'🌱 Configuração'!$C$56)/7)+1,IF('🌱 Configuração'!$B$56+166&lt;'🌱 Configuração'!$E$56,"Flora S"&amp;INT(('🌱 Configuração'!$B$56+166-'🌱 Configuração'!$D$56)/7)+1,"Flush S"&amp;INT(('🌱 Configuração'!$B$56+166-'🌱 Configuração'!$E$56)/7)+1))))</f>
        <v/>
      </c>
      <c r="F172" s="14" t="str">
        <f>IF(167&gt;'🌱 Configuração'!$F$55,"",IF('🌱 Configuração'!$B$56+166='🌱 Configuração'!$C$56,"🌿 INÍCIO VEGA — luz 18h/dia",IF('🌱 Configuração'!$B$56+166='🌱 Configuração'!$D$56,"🌸 INÍCIO FLORAÇÃO — mudar 12/12 🔴",IF('🌱 Configuração'!$B$56+166='🌱 Configuração'!$E$56,"🚿 INÍCIO FLUSH — parar nutrição",IF('🌱 Configuração'!$B$56+166='🌱 Configuração'!$F$56-1,"🔬 Véspera da colheita — analisar tricomas",IF('🌱 Configuração'!$B$56+166='🌱 Configuração'!$F$56,"✂️ COLHEITA — Parabéns! 🎉",""))))))</f>
        <v/>
      </c>
      <c r="G172" s="37" t="s">
        <v>428</v>
      </c>
      <c r="H172" s="38" t="str">
        <f>IF(167&gt;'🌱 Configuração'!$F$55,"",IF('🌱 Configuração'!$B$56+166&lt;'🌱 Configuração'!$C$56,IF(167=1,"🌿 Nim (2 mL/L) — foliar leve",IF(167=8,"🍄 Beauveria bassiana — foliar + solo","")),IF('🌱 Configuração'!$B$56+166&lt;'🌱 Configuração'!$D$56,IF(AND('🌱 Configuração'!$B$56+166&gt;='🌱 Configuração'!$C$56,'🌱 Configuração'!$B$56+166&lt;'🌱 Configuração'!$D$56,MOD('🌱 Configuração'!$B$56+166-'🌱 Configuração'!$C$56,7)=0,INT(('🌱 Configuração'!$B$56+166-'🌱 Configuração'!$C$56)/7)+1=1),"🌿 Nim (2 mL/L) — foliar preventivo",IF(AND('🌱 Configuração'!$B$56+166&gt;='🌱 Configuração'!$C$56,'🌱 Configuração'!$B$56+166&lt;'🌱 Configuração'!$D$56,MOD('🌱 Configuração'!$B$56+166-'🌱 Configuração'!$C$56,7)=0,INT(('🌱 Configuração'!$B$56+166-'🌱 Configuração'!$C$56)/7)+1=2),"🍄 Beauveria bassiana — foliar + solo",IF(AND('🌱 Configuração'!$B$56+166&gt;='🌱 Configuração'!$C$56,'🌱 Configuração'!$B$56+166&lt;'🌱 Configuração'!$D$56,MOD('🌱 Configuração'!$B$56+166-'🌱 Configuração'!$C$56,7)=0,INT(('🌱 Configuração'!$B$56+166-'🌱 Configuração'!$C$56)/7)+1=3),"🟡 Calda Sulfocálcica (1%) — foliar",IF(AND('🌱 Configuração'!$B$56+166&gt;='🌱 Configuração'!$C$56,'🌱 Configuração'!$B$56+166&lt;'🌱 Configuração'!$D$56,MOD('🌱 Configuração'!$B$56+166-'🌱 Configuração'!$C$56,7)=0,INT(('🌱 Configuração'!$B$56+166-'🌱 Configuração'!$C$56)/7)+1=4),"🦠 Trichoderma (3 g/L) — solo",IF(AND('🌱 Configuração'!$B$56+166&gt;='🌱 Configuração'!$C$56,'🌱 Configuração'!$B$56+166&lt;'🌱 Configuração'!$D$56,MOD('🌱 Configuração'!$B$56+166-'🌱 Configuração'!$C$56,7)=0,INT(('🌱 Configuração'!$B$56+166-'🌱 Configuração'!$C$56)/7)+1=5),"🔵 Calda Bordalesa (0.5%) — foliar",IF(AND('🌱 Configuração'!$B$56+166&gt;='🌱 Configuração'!$C$56,'🌱 Configuração'!$B$56+166&lt;'🌱 Configuração'!$D$56,MOD('🌱 Configuração'!$B$56+166-'🌱 Configuração'!$C$56,7)=0,INT(('🌱 Configuração'!$B$56+166-'🌱 Configuração'!$C$56)/7)+1=6),"🌿 Nim (2 mL/L) — ⚠️ ÚLTIMA foliar",IF(AND('🌱 Configuração'!$B$56+166&gt;='🌱 Configuração'!$C$56,'🌱 Configuração'!$B$56+166&lt;'🌱 Configuração'!$D$56,MOD('🌱 Configuração'!$B$56+166-'🌱 Configuração'!$C$56,7)=0,INT(('🌱 Configuração'!$B$56+166-'🌱 Configuração'!$C$56)/7)+1=7),"🦠 Trichoderma — solo",IF(AND('🌱 Configuração'!$B$56+166&gt;='🌱 Configuração'!$C$56,'🌱 Configuração'!$B$56+166&lt;'🌱 Configuração'!$D$56,MOD('🌱 Configuração'!$B$56+166-'🌱 Configuração'!$C$56,7)=0,INT(('🌱 Configuração'!$B$56+166-'🌱 Configuração'!$C$56)/7)+1=8),"🍄 Beauveria — solo","")))))))),IF('🌱 Configuração'!$B$56+166&lt;'🌱 Configuração'!$E$56,IF(AND('🌱 Configuração'!$B$56+166&gt;='🌱 Configuração'!$D$56,'🌱 Configuração'!$B$56+166&lt;'🌱 Configuração'!$E$56,MOD('🌱 Configuração'!$B$56+166-'🌱 Configuração'!$D$56,7)=0,INT(('🌱 Configuração'!$B$56+166-'🌱 Configuração'!$D$56)/7)+1=1),"🍄 Beauveria bassiana — SOLO apenas",IF(AND('🌱 Configuração'!$B$56+166&gt;='🌱 Configuração'!$D$56,'🌱 Configuração'!$B$56+166&lt;'🌱 Configuração'!$E$56,MOD('🌱 Configuração'!$B$56+166-'🌱 Configuração'!$D$56,7)=0,INT(('🌱 Configuração'!$B$56+166-'🌱 Configuração'!$D$56)/7)+1=2),"🦠 Trichoderma (3 g/L) — solo",IF(AND('🌱 Configuração'!$B$56+166&gt;='🌱 Configuração'!$D$56,'🌱 Configuração'!$B$56+166&lt;'🌱 Configuração'!$E$56,MOD('🌱 Configuração'!$B$56+166-'🌱 Configuração'!$D$56,7)=0,INT(('🌱 Configuração'!$B$56+166-'🌱 Configuração'!$D$56)/7)+1=3),"🍄 Beauveria bassiana — solo | ⚠️ Umid &lt;45%",IF(AND('🌱 Configuração'!$B$56+166&gt;='🌱 Configuração'!$D$56,'🌱 Configuração'!$B$56+166&lt;'🌱 Configuração'!$E$56,MOD('🌱 Configuração'!$B$56+166-'🌱 Configuração'!$D$56,7)=0,INT(('🌱 Configuração'!$B$56+166-'🌱 Configuração'!$D$56)/7)+1=4),"🦠 Trichoderma — solo | Inspecionar buds",IF(AND('🌱 Configuração'!$B$56+166&gt;='🌱 Configuração'!$D$56,'🌱 Configuração'!$B$56+166&lt;'🌱 Configuração'!$E$56,MOD('🌱 Configuração'!$B$56+166-'🌱 Configuração'!$D$56,7)=0,INT(('🌱 Configuração'!$B$56+166-'🌱 Configuração'!$D$56)/7)+1=5),"🍄 Beauveria + inspeção visual buds",IF(AND('🌱 Configuração'!$B$56+166&gt;='🌱 Configuração'!$D$56,'🌱 Configuração'!$B$56+166&lt;'🌱 Configuração'!$E$56,MOD('🌱 Configuração'!$B$56+166-'🌱 Configuração'!$D$56,7)=0,INT(('🌱 Configuração'!$B$56+166-'🌱 Configuração'!$D$56)/7)+1=6),"🦠 Trichoderma + ⚠️ Verificar mofo","")))))),IF(AND('🌱 Configuração'!$B$56+166&gt;='🌱 Configuração'!$E$56,MOD('🌱 Configuração'!$B$56+166-'🌱 Configuração'!$E$56,7)=0),"🔬 Inspeção final — analisar tricomas","")))))</f>
        <v/>
      </c>
      <c r="I172" s="33"/>
    </row>
    <row r="173" spans="1:9" ht="19.5" customHeight="1">
      <c r="A173" s="1"/>
      <c r="B173" s="39" t="str">
        <f>IF(168&lt;='🌱 Configuração'!$F$55,168,"")</f>
        <v/>
      </c>
      <c r="C173" s="40" t="str">
        <f>IF(168&lt;='🌱 Configuração'!$F$55,'🌱 Configuração'!$B$56+167,"")</f>
        <v/>
      </c>
      <c r="D173" s="41" t="str">
        <f>IF(168&gt;'🌱 Configuração'!$F$55,"",IF('🌱 Configuração'!$B$56+167&lt;'🌱 Configuração'!$C$56,"🌱 Clone",IF('🌱 Configuração'!$B$56+167&lt;'🌱 Configuração'!$D$56,"🌿 Vegetativo",IF('🌱 Configuração'!$B$56+167&lt;'🌱 Configuração'!$E$56,"🌸 Floração","🚿 Flush"))))</f>
        <v/>
      </c>
      <c r="E173" s="42" t="str">
        <f>IF(168&gt;'🌱 Configuração'!$F$55,"",IF('🌱 Configuração'!$B$56+167&lt;'🌱 Configuração'!$C$56,"Clone S"&amp;INT((168-1)/7)+1,IF('🌱 Configuração'!$B$56+167&lt;'🌱 Configuração'!$D$56,"Vega S"&amp;INT(('🌱 Configuração'!$B$56+167-'🌱 Configuração'!$C$56)/7)+1,IF('🌱 Configuração'!$B$56+167&lt;'🌱 Configuração'!$E$56,"Flora S"&amp;INT(('🌱 Configuração'!$B$56+167-'🌱 Configuração'!$D$56)/7)+1,"Flush S"&amp;INT(('🌱 Configuração'!$B$56+167-'🌱 Configuração'!$E$56)/7)+1))))</f>
        <v/>
      </c>
      <c r="F173" s="43" t="str">
        <f>IF(168&gt;'🌱 Configuração'!$F$55,"",IF('🌱 Configuração'!$B$56+167='🌱 Configuração'!$C$56,"🌿 INÍCIO VEGA — luz 18h/dia",IF('🌱 Configuração'!$B$56+167='🌱 Configuração'!$D$56,"🌸 INÍCIO FLORAÇÃO — mudar 12/12 🔴",IF('🌱 Configuração'!$B$56+167='🌱 Configuração'!$E$56,"🚿 INÍCIO FLUSH — parar nutrição",IF('🌱 Configuração'!$B$56+167='🌱 Configuração'!$F$56-1,"🔬 Véspera da colheita — analisar tricomas",IF('🌱 Configuração'!$B$56+167='🌱 Configuração'!$F$56,"✂️ COLHEITA — Parabéns! 🎉",""))))))</f>
        <v/>
      </c>
      <c r="G173" s="44" t="s">
        <v>428</v>
      </c>
      <c r="H173" s="45" t="str">
        <f>IF(168&gt;'🌱 Configuração'!$F$55,"",IF('🌱 Configuração'!$B$56+167&lt;'🌱 Configuração'!$C$56,IF(168=1,"🌿 Nim (2 mL/L) — foliar leve",IF(168=8,"🍄 Beauveria bassiana — foliar + solo","")),IF('🌱 Configuração'!$B$56+167&lt;'🌱 Configuração'!$D$56,IF(AND('🌱 Configuração'!$B$56+167&gt;='🌱 Configuração'!$C$56,'🌱 Configuração'!$B$56+167&lt;'🌱 Configuração'!$D$56,MOD('🌱 Configuração'!$B$56+167-'🌱 Configuração'!$C$56,7)=0,INT(('🌱 Configuração'!$B$56+167-'🌱 Configuração'!$C$56)/7)+1=1),"🌿 Nim (2 mL/L) — foliar preventivo",IF(AND('🌱 Configuração'!$B$56+167&gt;='🌱 Configuração'!$C$56,'🌱 Configuração'!$B$56+167&lt;'🌱 Configuração'!$D$56,MOD('🌱 Configuração'!$B$56+167-'🌱 Configuração'!$C$56,7)=0,INT(('🌱 Configuração'!$B$56+167-'🌱 Configuração'!$C$56)/7)+1=2),"🍄 Beauveria bassiana — foliar + solo",IF(AND('🌱 Configuração'!$B$56+167&gt;='🌱 Configuração'!$C$56,'🌱 Configuração'!$B$56+167&lt;'🌱 Configuração'!$D$56,MOD('🌱 Configuração'!$B$56+167-'🌱 Configuração'!$C$56,7)=0,INT(('🌱 Configuração'!$B$56+167-'🌱 Configuração'!$C$56)/7)+1=3),"🟡 Calda Sulfocálcica (1%) — foliar",IF(AND('🌱 Configuração'!$B$56+167&gt;='🌱 Configuração'!$C$56,'🌱 Configuração'!$B$56+167&lt;'🌱 Configuração'!$D$56,MOD('🌱 Configuração'!$B$56+167-'🌱 Configuração'!$C$56,7)=0,INT(('🌱 Configuração'!$B$56+167-'🌱 Configuração'!$C$56)/7)+1=4),"🦠 Trichoderma (3 g/L) — solo",IF(AND('🌱 Configuração'!$B$56+167&gt;='🌱 Configuração'!$C$56,'🌱 Configuração'!$B$56+167&lt;'🌱 Configuração'!$D$56,MOD('🌱 Configuração'!$B$56+167-'🌱 Configuração'!$C$56,7)=0,INT(('🌱 Configuração'!$B$56+167-'🌱 Configuração'!$C$56)/7)+1=5),"🔵 Calda Bordalesa (0.5%) — foliar",IF(AND('🌱 Configuração'!$B$56+167&gt;='🌱 Configuração'!$C$56,'🌱 Configuração'!$B$56+167&lt;'🌱 Configuração'!$D$56,MOD('🌱 Configuração'!$B$56+167-'🌱 Configuração'!$C$56,7)=0,INT(('🌱 Configuração'!$B$56+167-'🌱 Configuração'!$C$56)/7)+1=6),"🌿 Nim (2 mL/L) — ⚠️ ÚLTIMA foliar",IF(AND('🌱 Configuração'!$B$56+167&gt;='🌱 Configuração'!$C$56,'🌱 Configuração'!$B$56+167&lt;'🌱 Configuração'!$D$56,MOD('🌱 Configuração'!$B$56+167-'🌱 Configuração'!$C$56,7)=0,INT(('🌱 Configuração'!$B$56+167-'🌱 Configuração'!$C$56)/7)+1=7),"🦠 Trichoderma — solo",IF(AND('🌱 Configuração'!$B$56+167&gt;='🌱 Configuração'!$C$56,'🌱 Configuração'!$B$56+167&lt;'🌱 Configuração'!$D$56,MOD('🌱 Configuração'!$B$56+167-'🌱 Configuração'!$C$56,7)=0,INT(('🌱 Configuração'!$B$56+167-'🌱 Configuração'!$C$56)/7)+1=8),"🍄 Beauveria — solo","")))))))),IF('🌱 Configuração'!$B$56+167&lt;'🌱 Configuração'!$E$56,IF(AND('🌱 Configuração'!$B$56+167&gt;='🌱 Configuração'!$D$56,'🌱 Configuração'!$B$56+167&lt;'🌱 Configuração'!$E$56,MOD('🌱 Configuração'!$B$56+167-'🌱 Configuração'!$D$56,7)=0,INT(('🌱 Configuração'!$B$56+167-'🌱 Configuração'!$D$56)/7)+1=1),"🍄 Beauveria bassiana — SOLO apenas",IF(AND('🌱 Configuração'!$B$56+167&gt;='🌱 Configuração'!$D$56,'🌱 Configuração'!$B$56+167&lt;'🌱 Configuração'!$E$56,MOD('🌱 Configuração'!$B$56+167-'🌱 Configuração'!$D$56,7)=0,INT(('🌱 Configuração'!$B$56+167-'🌱 Configuração'!$D$56)/7)+1=2),"🦠 Trichoderma (3 g/L) — solo",IF(AND('🌱 Configuração'!$B$56+167&gt;='🌱 Configuração'!$D$56,'🌱 Configuração'!$B$56+167&lt;'🌱 Configuração'!$E$56,MOD('🌱 Configuração'!$B$56+167-'🌱 Configuração'!$D$56,7)=0,INT(('🌱 Configuração'!$B$56+167-'🌱 Configuração'!$D$56)/7)+1=3),"🍄 Beauveria bassiana — solo | ⚠️ Umid &lt;45%",IF(AND('🌱 Configuração'!$B$56+167&gt;='🌱 Configuração'!$D$56,'🌱 Configuração'!$B$56+167&lt;'🌱 Configuração'!$E$56,MOD('🌱 Configuração'!$B$56+167-'🌱 Configuração'!$D$56,7)=0,INT(('🌱 Configuração'!$B$56+167-'🌱 Configuração'!$D$56)/7)+1=4),"🦠 Trichoderma — solo | Inspecionar buds",IF(AND('🌱 Configuração'!$B$56+167&gt;='🌱 Configuração'!$D$56,'🌱 Configuração'!$B$56+167&lt;'🌱 Configuração'!$E$56,MOD('🌱 Configuração'!$B$56+167-'🌱 Configuração'!$D$56,7)=0,INT(('🌱 Configuração'!$B$56+167-'🌱 Configuração'!$D$56)/7)+1=5),"🍄 Beauveria + inspeção visual buds",IF(AND('🌱 Configuração'!$B$56+167&gt;='🌱 Configuração'!$D$56,'🌱 Configuração'!$B$56+167&lt;'🌱 Configuração'!$E$56,MOD('🌱 Configuração'!$B$56+167-'🌱 Configuração'!$D$56,7)=0,INT(('🌱 Configuração'!$B$56+167-'🌱 Configuração'!$D$56)/7)+1=6),"🦠 Trichoderma + ⚠️ Verificar mofo","")))))),IF(AND('🌱 Configuração'!$B$56+167&gt;='🌱 Configuração'!$E$56,MOD('🌱 Configuração'!$B$56+167-'🌱 Configuração'!$E$56,7)=0),"🔬 Inspeção final — analisar tricomas","")))))</f>
        <v/>
      </c>
      <c r="I173" s="33"/>
    </row>
    <row r="174" spans="1:9" ht="19.5" customHeight="1">
      <c r="A174" s="1"/>
      <c r="B174" s="35" t="str">
        <f>IF(169&lt;='🌱 Configuração'!$F$55,169,"")</f>
        <v/>
      </c>
      <c r="C174" s="13" t="str">
        <f>IF(169&lt;='🌱 Configuração'!$F$55,'🌱 Configuração'!$B$56+168,"")</f>
        <v/>
      </c>
      <c r="D174" s="36" t="str">
        <f>IF(169&gt;'🌱 Configuração'!$F$55,"",IF('🌱 Configuração'!$B$56+168&lt;'🌱 Configuração'!$C$56,"🌱 Clone",IF('🌱 Configuração'!$B$56+168&lt;'🌱 Configuração'!$D$56,"🌿 Vegetativo",IF('🌱 Configuração'!$B$56+168&lt;'🌱 Configuração'!$E$56,"🌸 Floração","🚿 Flush"))))</f>
        <v/>
      </c>
      <c r="E174" s="15" t="str">
        <f>IF(169&gt;'🌱 Configuração'!$F$55,"",IF('🌱 Configuração'!$B$56+168&lt;'🌱 Configuração'!$C$56,"Clone S"&amp;INT((169-1)/7)+1,IF('🌱 Configuração'!$B$56+168&lt;'🌱 Configuração'!$D$56,"Vega S"&amp;INT(('🌱 Configuração'!$B$56+168-'🌱 Configuração'!$C$56)/7)+1,IF('🌱 Configuração'!$B$56+168&lt;'🌱 Configuração'!$E$56,"Flora S"&amp;INT(('🌱 Configuração'!$B$56+168-'🌱 Configuração'!$D$56)/7)+1,"Flush S"&amp;INT(('🌱 Configuração'!$B$56+168-'🌱 Configuração'!$E$56)/7)+1))))</f>
        <v/>
      </c>
      <c r="F174" s="14" t="str">
        <f>IF(169&gt;'🌱 Configuração'!$F$55,"",IF('🌱 Configuração'!$B$56+168='🌱 Configuração'!$C$56,"🌿 INÍCIO VEGA — luz 18h/dia",IF('🌱 Configuração'!$B$56+168='🌱 Configuração'!$D$56,"🌸 INÍCIO FLORAÇÃO — mudar 12/12 🔴",IF('🌱 Configuração'!$B$56+168='🌱 Configuração'!$E$56,"🚿 INÍCIO FLUSH — parar nutrição",IF('🌱 Configuração'!$B$56+168='🌱 Configuração'!$F$56-1,"🔬 Véspera da colheita — analisar tricomas",IF('🌱 Configuração'!$B$56+168='🌱 Configuração'!$F$56,"✂️ COLHEITA — Parabéns! 🎉",""))))))</f>
        <v/>
      </c>
      <c r="G174" s="37" t="s">
        <v>428</v>
      </c>
      <c r="H174" s="38" t="str">
        <f>IF(169&gt;'🌱 Configuração'!$F$55,"",IF('🌱 Configuração'!$B$56+168&lt;'🌱 Configuração'!$C$56,IF(169=1,"🌿 Nim (2 mL/L) — foliar leve",IF(169=8,"🍄 Beauveria bassiana — foliar + solo","")),IF('🌱 Configuração'!$B$56+168&lt;'🌱 Configuração'!$D$56,IF(AND('🌱 Configuração'!$B$56+168&gt;='🌱 Configuração'!$C$56,'🌱 Configuração'!$B$56+168&lt;'🌱 Configuração'!$D$56,MOD('🌱 Configuração'!$B$56+168-'🌱 Configuração'!$C$56,7)=0,INT(('🌱 Configuração'!$B$56+168-'🌱 Configuração'!$C$56)/7)+1=1),"🌿 Nim (2 mL/L) — foliar preventivo",IF(AND('🌱 Configuração'!$B$56+168&gt;='🌱 Configuração'!$C$56,'🌱 Configuração'!$B$56+168&lt;'🌱 Configuração'!$D$56,MOD('🌱 Configuração'!$B$56+168-'🌱 Configuração'!$C$56,7)=0,INT(('🌱 Configuração'!$B$56+168-'🌱 Configuração'!$C$56)/7)+1=2),"🍄 Beauveria bassiana — foliar + solo",IF(AND('🌱 Configuração'!$B$56+168&gt;='🌱 Configuração'!$C$56,'🌱 Configuração'!$B$56+168&lt;'🌱 Configuração'!$D$56,MOD('🌱 Configuração'!$B$56+168-'🌱 Configuração'!$C$56,7)=0,INT(('🌱 Configuração'!$B$56+168-'🌱 Configuração'!$C$56)/7)+1=3),"🟡 Calda Sulfocálcica (1%) — foliar",IF(AND('🌱 Configuração'!$B$56+168&gt;='🌱 Configuração'!$C$56,'🌱 Configuração'!$B$56+168&lt;'🌱 Configuração'!$D$56,MOD('🌱 Configuração'!$B$56+168-'🌱 Configuração'!$C$56,7)=0,INT(('🌱 Configuração'!$B$56+168-'🌱 Configuração'!$C$56)/7)+1=4),"🦠 Trichoderma (3 g/L) — solo",IF(AND('🌱 Configuração'!$B$56+168&gt;='🌱 Configuração'!$C$56,'🌱 Configuração'!$B$56+168&lt;'🌱 Configuração'!$D$56,MOD('🌱 Configuração'!$B$56+168-'🌱 Configuração'!$C$56,7)=0,INT(('🌱 Configuração'!$B$56+168-'🌱 Configuração'!$C$56)/7)+1=5),"🔵 Calda Bordalesa (0.5%) — foliar",IF(AND('🌱 Configuração'!$B$56+168&gt;='🌱 Configuração'!$C$56,'🌱 Configuração'!$B$56+168&lt;'🌱 Configuração'!$D$56,MOD('🌱 Configuração'!$B$56+168-'🌱 Configuração'!$C$56,7)=0,INT(('🌱 Configuração'!$B$56+168-'🌱 Configuração'!$C$56)/7)+1=6),"🌿 Nim (2 mL/L) — ⚠️ ÚLTIMA foliar",IF(AND('🌱 Configuração'!$B$56+168&gt;='🌱 Configuração'!$C$56,'🌱 Configuração'!$B$56+168&lt;'🌱 Configuração'!$D$56,MOD('🌱 Configuração'!$B$56+168-'🌱 Configuração'!$C$56,7)=0,INT(('🌱 Configuração'!$B$56+168-'🌱 Configuração'!$C$56)/7)+1=7),"🦠 Trichoderma — solo",IF(AND('🌱 Configuração'!$B$56+168&gt;='🌱 Configuração'!$C$56,'🌱 Configuração'!$B$56+168&lt;'🌱 Configuração'!$D$56,MOD('🌱 Configuração'!$B$56+168-'🌱 Configuração'!$C$56,7)=0,INT(('🌱 Configuração'!$B$56+168-'🌱 Configuração'!$C$56)/7)+1=8),"🍄 Beauveria — solo","")))))))),IF('🌱 Configuração'!$B$56+168&lt;'🌱 Configuração'!$E$56,IF(AND('🌱 Configuração'!$B$56+168&gt;='🌱 Configuração'!$D$56,'🌱 Configuração'!$B$56+168&lt;'🌱 Configuração'!$E$56,MOD('🌱 Configuração'!$B$56+168-'🌱 Configuração'!$D$56,7)=0,INT(('🌱 Configuração'!$B$56+168-'🌱 Configuração'!$D$56)/7)+1=1),"🍄 Beauveria bassiana — SOLO apenas",IF(AND('🌱 Configuração'!$B$56+168&gt;='🌱 Configuração'!$D$56,'🌱 Configuração'!$B$56+168&lt;'🌱 Configuração'!$E$56,MOD('🌱 Configuração'!$B$56+168-'🌱 Configuração'!$D$56,7)=0,INT(('🌱 Configuração'!$B$56+168-'🌱 Configuração'!$D$56)/7)+1=2),"🦠 Trichoderma (3 g/L) — solo",IF(AND('🌱 Configuração'!$B$56+168&gt;='🌱 Configuração'!$D$56,'🌱 Configuração'!$B$56+168&lt;'🌱 Configuração'!$E$56,MOD('🌱 Configuração'!$B$56+168-'🌱 Configuração'!$D$56,7)=0,INT(('🌱 Configuração'!$B$56+168-'🌱 Configuração'!$D$56)/7)+1=3),"🍄 Beauveria bassiana — solo | ⚠️ Umid &lt;45%",IF(AND('🌱 Configuração'!$B$56+168&gt;='🌱 Configuração'!$D$56,'🌱 Configuração'!$B$56+168&lt;'🌱 Configuração'!$E$56,MOD('🌱 Configuração'!$B$56+168-'🌱 Configuração'!$D$56,7)=0,INT(('🌱 Configuração'!$B$56+168-'🌱 Configuração'!$D$56)/7)+1=4),"🦠 Trichoderma — solo | Inspecionar buds",IF(AND('🌱 Configuração'!$B$56+168&gt;='🌱 Configuração'!$D$56,'🌱 Configuração'!$B$56+168&lt;'🌱 Configuração'!$E$56,MOD('🌱 Configuração'!$B$56+168-'🌱 Configuração'!$D$56,7)=0,INT(('🌱 Configuração'!$B$56+168-'🌱 Configuração'!$D$56)/7)+1=5),"🍄 Beauveria + inspeção visual buds",IF(AND('🌱 Configuração'!$B$56+168&gt;='🌱 Configuração'!$D$56,'🌱 Configuração'!$B$56+168&lt;'🌱 Configuração'!$E$56,MOD('🌱 Configuração'!$B$56+168-'🌱 Configuração'!$D$56,7)=0,INT(('🌱 Configuração'!$B$56+168-'🌱 Configuração'!$D$56)/7)+1=6),"🦠 Trichoderma + ⚠️ Verificar mofo","")))))),IF(AND('🌱 Configuração'!$B$56+168&gt;='🌱 Configuração'!$E$56,MOD('🌱 Configuração'!$B$56+168-'🌱 Configuração'!$E$56,7)=0),"🔬 Inspeção final — analisar tricomas","")))))</f>
        <v/>
      </c>
      <c r="I174" s="33"/>
    </row>
    <row r="175" spans="1:9" ht="19.5" customHeight="1">
      <c r="A175" s="1"/>
      <c r="B175" s="39" t="str">
        <f>IF(170&lt;='🌱 Configuração'!$F$55,170,"")</f>
        <v/>
      </c>
      <c r="C175" s="40" t="str">
        <f>IF(170&lt;='🌱 Configuração'!$F$55,'🌱 Configuração'!$B$56+169,"")</f>
        <v/>
      </c>
      <c r="D175" s="41" t="str">
        <f>IF(170&gt;'🌱 Configuração'!$F$55,"",IF('🌱 Configuração'!$B$56+169&lt;'🌱 Configuração'!$C$56,"🌱 Clone",IF('🌱 Configuração'!$B$56+169&lt;'🌱 Configuração'!$D$56,"🌿 Vegetativo",IF('🌱 Configuração'!$B$56+169&lt;'🌱 Configuração'!$E$56,"🌸 Floração","🚿 Flush"))))</f>
        <v/>
      </c>
      <c r="E175" s="42" t="str">
        <f>IF(170&gt;'🌱 Configuração'!$F$55,"",IF('🌱 Configuração'!$B$56+169&lt;'🌱 Configuração'!$C$56,"Clone S"&amp;INT((170-1)/7)+1,IF('🌱 Configuração'!$B$56+169&lt;'🌱 Configuração'!$D$56,"Vega S"&amp;INT(('🌱 Configuração'!$B$56+169-'🌱 Configuração'!$C$56)/7)+1,IF('🌱 Configuração'!$B$56+169&lt;'🌱 Configuração'!$E$56,"Flora S"&amp;INT(('🌱 Configuração'!$B$56+169-'🌱 Configuração'!$D$56)/7)+1,"Flush S"&amp;INT(('🌱 Configuração'!$B$56+169-'🌱 Configuração'!$E$56)/7)+1))))</f>
        <v/>
      </c>
      <c r="F175" s="43" t="str">
        <f>IF(170&gt;'🌱 Configuração'!$F$55,"",IF('🌱 Configuração'!$B$56+169='🌱 Configuração'!$C$56,"🌿 INÍCIO VEGA — luz 18h/dia",IF('🌱 Configuração'!$B$56+169='🌱 Configuração'!$D$56,"🌸 INÍCIO FLORAÇÃO — mudar 12/12 🔴",IF('🌱 Configuração'!$B$56+169='🌱 Configuração'!$E$56,"🚿 INÍCIO FLUSH — parar nutrição",IF('🌱 Configuração'!$B$56+169='🌱 Configuração'!$F$56-1,"🔬 Véspera da colheita — analisar tricomas",IF('🌱 Configuração'!$B$56+169='🌱 Configuração'!$F$56,"✂️ COLHEITA — Parabéns! 🎉",""))))))</f>
        <v/>
      </c>
      <c r="G175" s="44" t="s">
        <v>428</v>
      </c>
      <c r="H175" s="45" t="str">
        <f>IF(170&gt;'🌱 Configuração'!$F$55,"",IF('🌱 Configuração'!$B$56+169&lt;'🌱 Configuração'!$C$56,IF(170=1,"🌿 Nim (2 mL/L) — foliar leve",IF(170=8,"🍄 Beauveria bassiana — foliar + solo","")),IF('🌱 Configuração'!$B$56+169&lt;'🌱 Configuração'!$D$56,IF(AND('🌱 Configuração'!$B$56+169&gt;='🌱 Configuração'!$C$56,'🌱 Configuração'!$B$56+169&lt;'🌱 Configuração'!$D$56,MOD('🌱 Configuração'!$B$56+169-'🌱 Configuração'!$C$56,7)=0,INT(('🌱 Configuração'!$B$56+169-'🌱 Configuração'!$C$56)/7)+1=1),"🌿 Nim (2 mL/L) — foliar preventivo",IF(AND('🌱 Configuração'!$B$56+169&gt;='🌱 Configuração'!$C$56,'🌱 Configuração'!$B$56+169&lt;'🌱 Configuração'!$D$56,MOD('🌱 Configuração'!$B$56+169-'🌱 Configuração'!$C$56,7)=0,INT(('🌱 Configuração'!$B$56+169-'🌱 Configuração'!$C$56)/7)+1=2),"🍄 Beauveria bassiana — foliar + solo",IF(AND('🌱 Configuração'!$B$56+169&gt;='🌱 Configuração'!$C$56,'🌱 Configuração'!$B$56+169&lt;'🌱 Configuração'!$D$56,MOD('🌱 Configuração'!$B$56+169-'🌱 Configuração'!$C$56,7)=0,INT(('🌱 Configuração'!$B$56+169-'🌱 Configuração'!$C$56)/7)+1=3),"🟡 Calda Sulfocálcica (1%) — foliar",IF(AND('🌱 Configuração'!$B$56+169&gt;='🌱 Configuração'!$C$56,'🌱 Configuração'!$B$56+169&lt;'🌱 Configuração'!$D$56,MOD('🌱 Configuração'!$B$56+169-'🌱 Configuração'!$C$56,7)=0,INT(('🌱 Configuração'!$B$56+169-'🌱 Configuração'!$C$56)/7)+1=4),"🦠 Trichoderma (3 g/L) — solo",IF(AND('🌱 Configuração'!$B$56+169&gt;='🌱 Configuração'!$C$56,'🌱 Configuração'!$B$56+169&lt;'🌱 Configuração'!$D$56,MOD('🌱 Configuração'!$B$56+169-'🌱 Configuração'!$C$56,7)=0,INT(('🌱 Configuração'!$B$56+169-'🌱 Configuração'!$C$56)/7)+1=5),"🔵 Calda Bordalesa (0.5%) — foliar",IF(AND('🌱 Configuração'!$B$56+169&gt;='🌱 Configuração'!$C$56,'🌱 Configuração'!$B$56+169&lt;'🌱 Configuração'!$D$56,MOD('🌱 Configuração'!$B$56+169-'🌱 Configuração'!$C$56,7)=0,INT(('🌱 Configuração'!$B$56+169-'🌱 Configuração'!$C$56)/7)+1=6),"🌿 Nim (2 mL/L) — ⚠️ ÚLTIMA foliar",IF(AND('🌱 Configuração'!$B$56+169&gt;='🌱 Configuração'!$C$56,'🌱 Configuração'!$B$56+169&lt;'🌱 Configuração'!$D$56,MOD('🌱 Configuração'!$B$56+169-'🌱 Configuração'!$C$56,7)=0,INT(('🌱 Configuração'!$B$56+169-'🌱 Configuração'!$C$56)/7)+1=7),"🦠 Trichoderma — solo",IF(AND('🌱 Configuração'!$B$56+169&gt;='🌱 Configuração'!$C$56,'🌱 Configuração'!$B$56+169&lt;'🌱 Configuração'!$D$56,MOD('🌱 Configuração'!$B$56+169-'🌱 Configuração'!$C$56,7)=0,INT(('🌱 Configuração'!$B$56+169-'🌱 Configuração'!$C$56)/7)+1=8),"🍄 Beauveria — solo","")))))))),IF('🌱 Configuração'!$B$56+169&lt;'🌱 Configuração'!$E$56,IF(AND('🌱 Configuração'!$B$56+169&gt;='🌱 Configuração'!$D$56,'🌱 Configuração'!$B$56+169&lt;'🌱 Configuração'!$E$56,MOD('🌱 Configuração'!$B$56+169-'🌱 Configuração'!$D$56,7)=0,INT(('🌱 Configuração'!$B$56+169-'🌱 Configuração'!$D$56)/7)+1=1),"🍄 Beauveria bassiana — SOLO apenas",IF(AND('🌱 Configuração'!$B$56+169&gt;='🌱 Configuração'!$D$56,'🌱 Configuração'!$B$56+169&lt;'🌱 Configuração'!$E$56,MOD('🌱 Configuração'!$B$56+169-'🌱 Configuração'!$D$56,7)=0,INT(('🌱 Configuração'!$B$56+169-'🌱 Configuração'!$D$56)/7)+1=2),"🦠 Trichoderma (3 g/L) — solo",IF(AND('🌱 Configuração'!$B$56+169&gt;='🌱 Configuração'!$D$56,'🌱 Configuração'!$B$56+169&lt;'🌱 Configuração'!$E$56,MOD('🌱 Configuração'!$B$56+169-'🌱 Configuração'!$D$56,7)=0,INT(('🌱 Configuração'!$B$56+169-'🌱 Configuração'!$D$56)/7)+1=3),"🍄 Beauveria bassiana — solo | ⚠️ Umid &lt;45%",IF(AND('🌱 Configuração'!$B$56+169&gt;='🌱 Configuração'!$D$56,'🌱 Configuração'!$B$56+169&lt;'🌱 Configuração'!$E$56,MOD('🌱 Configuração'!$B$56+169-'🌱 Configuração'!$D$56,7)=0,INT(('🌱 Configuração'!$B$56+169-'🌱 Configuração'!$D$56)/7)+1=4),"🦠 Trichoderma — solo | Inspecionar buds",IF(AND('🌱 Configuração'!$B$56+169&gt;='🌱 Configuração'!$D$56,'🌱 Configuração'!$B$56+169&lt;'🌱 Configuração'!$E$56,MOD('🌱 Configuração'!$B$56+169-'🌱 Configuração'!$D$56,7)=0,INT(('🌱 Configuração'!$B$56+169-'🌱 Configuração'!$D$56)/7)+1=5),"🍄 Beauveria + inspeção visual buds",IF(AND('🌱 Configuração'!$B$56+169&gt;='🌱 Configuração'!$D$56,'🌱 Configuração'!$B$56+169&lt;'🌱 Configuração'!$E$56,MOD('🌱 Configuração'!$B$56+169-'🌱 Configuração'!$D$56,7)=0,INT(('🌱 Configuração'!$B$56+169-'🌱 Configuração'!$D$56)/7)+1=6),"🦠 Trichoderma + ⚠️ Verificar mofo","")))))),IF(AND('🌱 Configuração'!$B$56+169&gt;='🌱 Configuração'!$E$56,MOD('🌱 Configuração'!$B$56+169-'🌱 Configuração'!$E$56,7)=0),"🔬 Inspeção final — analisar tricomas","")))))</f>
        <v/>
      </c>
      <c r="I175" s="33"/>
    </row>
    <row r="176" spans="1:9" ht="19.5" customHeight="1">
      <c r="A176" s="1"/>
      <c r="B176" s="35" t="str">
        <f>IF(171&lt;='🌱 Configuração'!$F$55,171,"")</f>
        <v/>
      </c>
      <c r="C176" s="13" t="str">
        <f>IF(171&lt;='🌱 Configuração'!$F$55,'🌱 Configuração'!$B$56+170,"")</f>
        <v/>
      </c>
      <c r="D176" s="36" t="str">
        <f>IF(171&gt;'🌱 Configuração'!$F$55,"",IF('🌱 Configuração'!$B$56+170&lt;'🌱 Configuração'!$C$56,"🌱 Clone",IF('🌱 Configuração'!$B$56+170&lt;'🌱 Configuração'!$D$56,"🌿 Vegetativo",IF('🌱 Configuração'!$B$56+170&lt;'🌱 Configuração'!$E$56,"🌸 Floração","🚿 Flush"))))</f>
        <v/>
      </c>
      <c r="E176" s="15" t="str">
        <f>IF(171&gt;'🌱 Configuração'!$F$55,"",IF('🌱 Configuração'!$B$56+170&lt;'🌱 Configuração'!$C$56,"Clone S"&amp;INT((171-1)/7)+1,IF('🌱 Configuração'!$B$56+170&lt;'🌱 Configuração'!$D$56,"Vega S"&amp;INT(('🌱 Configuração'!$B$56+170-'🌱 Configuração'!$C$56)/7)+1,IF('🌱 Configuração'!$B$56+170&lt;'🌱 Configuração'!$E$56,"Flora S"&amp;INT(('🌱 Configuração'!$B$56+170-'🌱 Configuração'!$D$56)/7)+1,"Flush S"&amp;INT(('🌱 Configuração'!$B$56+170-'🌱 Configuração'!$E$56)/7)+1))))</f>
        <v/>
      </c>
      <c r="F176" s="14" t="str">
        <f>IF(171&gt;'🌱 Configuração'!$F$55,"",IF('🌱 Configuração'!$B$56+170='🌱 Configuração'!$C$56,"🌿 INÍCIO VEGA — luz 18h/dia",IF('🌱 Configuração'!$B$56+170='🌱 Configuração'!$D$56,"🌸 INÍCIO FLORAÇÃO — mudar 12/12 🔴",IF('🌱 Configuração'!$B$56+170='🌱 Configuração'!$E$56,"🚿 INÍCIO FLUSH — parar nutrição",IF('🌱 Configuração'!$B$56+170='🌱 Configuração'!$F$56-1,"🔬 Véspera da colheita — analisar tricomas",IF('🌱 Configuração'!$B$56+170='🌱 Configuração'!$F$56,"✂️ COLHEITA — Parabéns! 🎉",""))))))</f>
        <v/>
      </c>
      <c r="G176" s="37" t="s">
        <v>428</v>
      </c>
      <c r="H176" s="38" t="str">
        <f>IF(171&gt;'🌱 Configuração'!$F$55,"",IF('🌱 Configuração'!$B$56+170&lt;'🌱 Configuração'!$C$56,IF(171=1,"🌿 Nim (2 mL/L) — foliar leve",IF(171=8,"🍄 Beauveria bassiana — foliar + solo","")),IF('🌱 Configuração'!$B$56+170&lt;'🌱 Configuração'!$D$56,IF(AND('🌱 Configuração'!$B$56+170&gt;='🌱 Configuração'!$C$56,'🌱 Configuração'!$B$56+170&lt;'🌱 Configuração'!$D$56,MOD('🌱 Configuração'!$B$56+170-'🌱 Configuração'!$C$56,7)=0,INT(('🌱 Configuração'!$B$56+170-'🌱 Configuração'!$C$56)/7)+1=1),"🌿 Nim (2 mL/L) — foliar preventivo",IF(AND('🌱 Configuração'!$B$56+170&gt;='🌱 Configuração'!$C$56,'🌱 Configuração'!$B$56+170&lt;'🌱 Configuração'!$D$56,MOD('🌱 Configuração'!$B$56+170-'🌱 Configuração'!$C$56,7)=0,INT(('🌱 Configuração'!$B$56+170-'🌱 Configuração'!$C$56)/7)+1=2),"🍄 Beauveria bassiana — foliar + solo",IF(AND('🌱 Configuração'!$B$56+170&gt;='🌱 Configuração'!$C$56,'🌱 Configuração'!$B$56+170&lt;'🌱 Configuração'!$D$56,MOD('🌱 Configuração'!$B$56+170-'🌱 Configuração'!$C$56,7)=0,INT(('🌱 Configuração'!$B$56+170-'🌱 Configuração'!$C$56)/7)+1=3),"🟡 Calda Sulfocálcica (1%) — foliar",IF(AND('🌱 Configuração'!$B$56+170&gt;='🌱 Configuração'!$C$56,'🌱 Configuração'!$B$56+170&lt;'🌱 Configuração'!$D$56,MOD('🌱 Configuração'!$B$56+170-'🌱 Configuração'!$C$56,7)=0,INT(('🌱 Configuração'!$B$56+170-'🌱 Configuração'!$C$56)/7)+1=4),"🦠 Trichoderma (3 g/L) — solo",IF(AND('🌱 Configuração'!$B$56+170&gt;='🌱 Configuração'!$C$56,'🌱 Configuração'!$B$56+170&lt;'🌱 Configuração'!$D$56,MOD('🌱 Configuração'!$B$56+170-'🌱 Configuração'!$C$56,7)=0,INT(('🌱 Configuração'!$B$56+170-'🌱 Configuração'!$C$56)/7)+1=5),"🔵 Calda Bordalesa (0.5%) — foliar",IF(AND('🌱 Configuração'!$B$56+170&gt;='🌱 Configuração'!$C$56,'🌱 Configuração'!$B$56+170&lt;'🌱 Configuração'!$D$56,MOD('🌱 Configuração'!$B$56+170-'🌱 Configuração'!$C$56,7)=0,INT(('🌱 Configuração'!$B$56+170-'🌱 Configuração'!$C$56)/7)+1=6),"🌿 Nim (2 mL/L) — ⚠️ ÚLTIMA foliar",IF(AND('🌱 Configuração'!$B$56+170&gt;='🌱 Configuração'!$C$56,'🌱 Configuração'!$B$56+170&lt;'🌱 Configuração'!$D$56,MOD('🌱 Configuração'!$B$56+170-'🌱 Configuração'!$C$56,7)=0,INT(('🌱 Configuração'!$B$56+170-'🌱 Configuração'!$C$56)/7)+1=7),"🦠 Trichoderma — solo",IF(AND('🌱 Configuração'!$B$56+170&gt;='🌱 Configuração'!$C$56,'🌱 Configuração'!$B$56+170&lt;'🌱 Configuração'!$D$56,MOD('🌱 Configuração'!$B$56+170-'🌱 Configuração'!$C$56,7)=0,INT(('🌱 Configuração'!$B$56+170-'🌱 Configuração'!$C$56)/7)+1=8),"🍄 Beauveria — solo","")))))))),IF('🌱 Configuração'!$B$56+170&lt;'🌱 Configuração'!$E$56,IF(AND('🌱 Configuração'!$B$56+170&gt;='🌱 Configuração'!$D$56,'🌱 Configuração'!$B$56+170&lt;'🌱 Configuração'!$E$56,MOD('🌱 Configuração'!$B$56+170-'🌱 Configuração'!$D$56,7)=0,INT(('🌱 Configuração'!$B$56+170-'🌱 Configuração'!$D$56)/7)+1=1),"🍄 Beauveria bassiana — SOLO apenas",IF(AND('🌱 Configuração'!$B$56+170&gt;='🌱 Configuração'!$D$56,'🌱 Configuração'!$B$56+170&lt;'🌱 Configuração'!$E$56,MOD('🌱 Configuração'!$B$56+170-'🌱 Configuração'!$D$56,7)=0,INT(('🌱 Configuração'!$B$56+170-'🌱 Configuração'!$D$56)/7)+1=2),"🦠 Trichoderma (3 g/L) — solo",IF(AND('🌱 Configuração'!$B$56+170&gt;='🌱 Configuração'!$D$56,'🌱 Configuração'!$B$56+170&lt;'🌱 Configuração'!$E$56,MOD('🌱 Configuração'!$B$56+170-'🌱 Configuração'!$D$56,7)=0,INT(('🌱 Configuração'!$B$56+170-'🌱 Configuração'!$D$56)/7)+1=3),"🍄 Beauveria bassiana — solo | ⚠️ Umid &lt;45%",IF(AND('🌱 Configuração'!$B$56+170&gt;='🌱 Configuração'!$D$56,'🌱 Configuração'!$B$56+170&lt;'🌱 Configuração'!$E$56,MOD('🌱 Configuração'!$B$56+170-'🌱 Configuração'!$D$56,7)=0,INT(('🌱 Configuração'!$B$56+170-'🌱 Configuração'!$D$56)/7)+1=4),"🦠 Trichoderma — solo | Inspecionar buds",IF(AND('🌱 Configuração'!$B$56+170&gt;='🌱 Configuração'!$D$56,'🌱 Configuração'!$B$56+170&lt;'🌱 Configuração'!$E$56,MOD('🌱 Configuração'!$B$56+170-'🌱 Configuração'!$D$56,7)=0,INT(('🌱 Configuração'!$B$56+170-'🌱 Configuração'!$D$56)/7)+1=5),"🍄 Beauveria + inspeção visual buds",IF(AND('🌱 Configuração'!$B$56+170&gt;='🌱 Configuração'!$D$56,'🌱 Configuração'!$B$56+170&lt;'🌱 Configuração'!$E$56,MOD('🌱 Configuração'!$B$56+170-'🌱 Configuração'!$D$56,7)=0,INT(('🌱 Configuração'!$B$56+170-'🌱 Configuração'!$D$56)/7)+1=6),"🦠 Trichoderma + ⚠️ Verificar mofo","")))))),IF(AND('🌱 Configuração'!$B$56+170&gt;='🌱 Configuração'!$E$56,MOD('🌱 Configuração'!$B$56+170-'🌱 Configuração'!$E$56,7)=0),"🔬 Inspeção final — analisar tricomas","")))))</f>
        <v/>
      </c>
      <c r="I176" s="33"/>
    </row>
    <row r="177" spans="1:9" ht="19.5" customHeight="1">
      <c r="A177" s="1"/>
      <c r="B177" s="39" t="str">
        <f>IF(172&lt;='🌱 Configuração'!$F$55,172,"")</f>
        <v/>
      </c>
      <c r="C177" s="40" t="str">
        <f>IF(172&lt;='🌱 Configuração'!$F$55,'🌱 Configuração'!$B$56+171,"")</f>
        <v/>
      </c>
      <c r="D177" s="41" t="str">
        <f>IF(172&gt;'🌱 Configuração'!$F$55,"",IF('🌱 Configuração'!$B$56+171&lt;'🌱 Configuração'!$C$56,"🌱 Clone",IF('🌱 Configuração'!$B$56+171&lt;'🌱 Configuração'!$D$56,"🌿 Vegetativo",IF('🌱 Configuração'!$B$56+171&lt;'🌱 Configuração'!$E$56,"🌸 Floração","🚿 Flush"))))</f>
        <v/>
      </c>
      <c r="E177" s="42" t="str">
        <f>IF(172&gt;'🌱 Configuração'!$F$55,"",IF('🌱 Configuração'!$B$56+171&lt;'🌱 Configuração'!$C$56,"Clone S"&amp;INT((172-1)/7)+1,IF('🌱 Configuração'!$B$56+171&lt;'🌱 Configuração'!$D$56,"Vega S"&amp;INT(('🌱 Configuração'!$B$56+171-'🌱 Configuração'!$C$56)/7)+1,IF('🌱 Configuração'!$B$56+171&lt;'🌱 Configuração'!$E$56,"Flora S"&amp;INT(('🌱 Configuração'!$B$56+171-'🌱 Configuração'!$D$56)/7)+1,"Flush S"&amp;INT(('🌱 Configuração'!$B$56+171-'🌱 Configuração'!$E$56)/7)+1))))</f>
        <v/>
      </c>
      <c r="F177" s="43" t="str">
        <f>IF(172&gt;'🌱 Configuração'!$F$55,"",IF('🌱 Configuração'!$B$56+171='🌱 Configuração'!$C$56,"🌿 INÍCIO VEGA — luz 18h/dia",IF('🌱 Configuração'!$B$56+171='🌱 Configuração'!$D$56,"🌸 INÍCIO FLORAÇÃO — mudar 12/12 🔴",IF('🌱 Configuração'!$B$56+171='🌱 Configuração'!$E$56,"🚿 INÍCIO FLUSH — parar nutrição",IF('🌱 Configuração'!$B$56+171='🌱 Configuração'!$F$56-1,"🔬 Véspera da colheita — analisar tricomas",IF('🌱 Configuração'!$B$56+171='🌱 Configuração'!$F$56,"✂️ COLHEITA — Parabéns! 🎉",""))))))</f>
        <v/>
      </c>
      <c r="G177" s="44" t="s">
        <v>428</v>
      </c>
      <c r="H177" s="45" t="str">
        <f>IF(172&gt;'🌱 Configuração'!$F$55,"",IF('🌱 Configuração'!$B$56+171&lt;'🌱 Configuração'!$C$56,IF(172=1,"🌿 Nim (2 mL/L) — foliar leve",IF(172=8,"🍄 Beauveria bassiana — foliar + solo","")),IF('🌱 Configuração'!$B$56+171&lt;'🌱 Configuração'!$D$56,IF(AND('🌱 Configuração'!$B$56+171&gt;='🌱 Configuração'!$C$56,'🌱 Configuração'!$B$56+171&lt;'🌱 Configuração'!$D$56,MOD('🌱 Configuração'!$B$56+171-'🌱 Configuração'!$C$56,7)=0,INT(('🌱 Configuração'!$B$56+171-'🌱 Configuração'!$C$56)/7)+1=1),"🌿 Nim (2 mL/L) — foliar preventivo",IF(AND('🌱 Configuração'!$B$56+171&gt;='🌱 Configuração'!$C$56,'🌱 Configuração'!$B$56+171&lt;'🌱 Configuração'!$D$56,MOD('🌱 Configuração'!$B$56+171-'🌱 Configuração'!$C$56,7)=0,INT(('🌱 Configuração'!$B$56+171-'🌱 Configuração'!$C$56)/7)+1=2),"🍄 Beauveria bassiana — foliar + solo",IF(AND('🌱 Configuração'!$B$56+171&gt;='🌱 Configuração'!$C$56,'🌱 Configuração'!$B$56+171&lt;'🌱 Configuração'!$D$56,MOD('🌱 Configuração'!$B$56+171-'🌱 Configuração'!$C$56,7)=0,INT(('🌱 Configuração'!$B$56+171-'🌱 Configuração'!$C$56)/7)+1=3),"🟡 Calda Sulfocálcica (1%) — foliar",IF(AND('🌱 Configuração'!$B$56+171&gt;='🌱 Configuração'!$C$56,'🌱 Configuração'!$B$56+171&lt;'🌱 Configuração'!$D$56,MOD('🌱 Configuração'!$B$56+171-'🌱 Configuração'!$C$56,7)=0,INT(('🌱 Configuração'!$B$56+171-'🌱 Configuração'!$C$56)/7)+1=4),"🦠 Trichoderma (3 g/L) — solo",IF(AND('🌱 Configuração'!$B$56+171&gt;='🌱 Configuração'!$C$56,'🌱 Configuração'!$B$56+171&lt;'🌱 Configuração'!$D$56,MOD('🌱 Configuração'!$B$56+171-'🌱 Configuração'!$C$56,7)=0,INT(('🌱 Configuração'!$B$56+171-'🌱 Configuração'!$C$56)/7)+1=5),"🔵 Calda Bordalesa (0.5%) — foliar",IF(AND('🌱 Configuração'!$B$56+171&gt;='🌱 Configuração'!$C$56,'🌱 Configuração'!$B$56+171&lt;'🌱 Configuração'!$D$56,MOD('🌱 Configuração'!$B$56+171-'🌱 Configuração'!$C$56,7)=0,INT(('🌱 Configuração'!$B$56+171-'🌱 Configuração'!$C$56)/7)+1=6),"🌿 Nim (2 mL/L) — ⚠️ ÚLTIMA foliar",IF(AND('🌱 Configuração'!$B$56+171&gt;='🌱 Configuração'!$C$56,'🌱 Configuração'!$B$56+171&lt;'🌱 Configuração'!$D$56,MOD('🌱 Configuração'!$B$56+171-'🌱 Configuração'!$C$56,7)=0,INT(('🌱 Configuração'!$B$56+171-'🌱 Configuração'!$C$56)/7)+1=7),"🦠 Trichoderma — solo",IF(AND('🌱 Configuração'!$B$56+171&gt;='🌱 Configuração'!$C$56,'🌱 Configuração'!$B$56+171&lt;'🌱 Configuração'!$D$56,MOD('🌱 Configuração'!$B$56+171-'🌱 Configuração'!$C$56,7)=0,INT(('🌱 Configuração'!$B$56+171-'🌱 Configuração'!$C$56)/7)+1=8),"🍄 Beauveria — solo","")))))))),IF('🌱 Configuração'!$B$56+171&lt;'🌱 Configuração'!$E$56,IF(AND('🌱 Configuração'!$B$56+171&gt;='🌱 Configuração'!$D$56,'🌱 Configuração'!$B$56+171&lt;'🌱 Configuração'!$E$56,MOD('🌱 Configuração'!$B$56+171-'🌱 Configuração'!$D$56,7)=0,INT(('🌱 Configuração'!$B$56+171-'🌱 Configuração'!$D$56)/7)+1=1),"🍄 Beauveria bassiana — SOLO apenas",IF(AND('🌱 Configuração'!$B$56+171&gt;='🌱 Configuração'!$D$56,'🌱 Configuração'!$B$56+171&lt;'🌱 Configuração'!$E$56,MOD('🌱 Configuração'!$B$56+171-'🌱 Configuração'!$D$56,7)=0,INT(('🌱 Configuração'!$B$56+171-'🌱 Configuração'!$D$56)/7)+1=2),"🦠 Trichoderma (3 g/L) — solo",IF(AND('🌱 Configuração'!$B$56+171&gt;='🌱 Configuração'!$D$56,'🌱 Configuração'!$B$56+171&lt;'🌱 Configuração'!$E$56,MOD('🌱 Configuração'!$B$56+171-'🌱 Configuração'!$D$56,7)=0,INT(('🌱 Configuração'!$B$56+171-'🌱 Configuração'!$D$56)/7)+1=3),"🍄 Beauveria bassiana — solo | ⚠️ Umid &lt;45%",IF(AND('🌱 Configuração'!$B$56+171&gt;='🌱 Configuração'!$D$56,'🌱 Configuração'!$B$56+171&lt;'🌱 Configuração'!$E$56,MOD('🌱 Configuração'!$B$56+171-'🌱 Configuração'!$D$56,7)=0,INT(('🌱 Configuração'!$B$56+171-'🌱 Configuração'!$D$56)/7)+1=4),"🦠 Trichoderma — solo | Inspecionar buds",IF(AND('🌱 Configuração'!$B$56+171&gt;='🌱 Configuração'!$D$56,'🌱 Configuração'!$B$56+171&lt;'🌱 Configuração'!$E$56,MOD('🌱 Configuração'!$B$56+171-'🌱 Configuração'!$D$56,7)=0,INT(('🌱 Configuração'!$B$56+171-'🌱 Configuração'!$D$56)/7)+1=5),"🍄 Beauveria + inspeção visual buds",IF(AND('🌱 Configuração'!$B$56+171&gt;='🌱 Configuração'!$D$56,'🌱 Configuração'!$B$56+171&lt;'🌱 Configuração'!$E$56,MOD('🌱 Configuração'!$B$56+171-'🌱 Configuração'!$D$56,7)=0,INT(('🌱 Configuração'!$B$56+171-'🌱 Configuração'!$D$56)/7)+1=6),"🦠 Trichoderma + ⚠️ Verificar mofo","")))))),IF(AND('🌱 Configuração'!$B$56+171&gt;='🌱 Configuração'!$E$56,MOD('🌱 Configuração'!$B$56+171-'🌱 Configuração'!$E$56,7)=0),"🔬 Inspeção final — analisar tricomas","")))))</f>
        <v/>
      </c>
      <c r="I177" s="33"/>
    </row>
    <row r="178" spans="1:9" ht="19.5" customHeight="1">
      <c r="A178" s="1"/>
      <c r="B178" s="35" t="str">
        <f>IF(173&lt;='🌱 Configuração'!$F$55,173,"")</f>
        <v/>
      </c>
      <c r="C178" s="13" t="str">
        <f>IF(173&lt;='🌱 Configuração'!$F$55,'🌱 Configuração'!$B$56+172,"")</f>
        <v/>
      </c>
      <c r="D178" s="36" t="str">
        <f>IF(173&gt;'🌱 Configuração'!$F$55,"",IF('🌱 Configuração'!$B$56+172&lt;'🌱 Configuração'!$C$56,"🌱 Clone",IF('🌱 Configuração'!$B$56+172&lt;'🌱 Configuração'!$D$56,"🌿 Vegetativo",IF('🌱 Configuração'!$B$56+172&lt;'🌱 Configuração'!$E$56,"🌸 Floração","🚿 Flush"))))</f>
        <v/>
      </c>
      <c r="E178" s="15" t="str">
        <f>IF(173&gt;'🌱 Configuração'!$F$55,"",IF('🌱 Configuração'!$B$56+172&lt;'🌱 Configuração'!$C$56,"Clone S"&amp;INT((173-1)/7)+1,IF('🌱 Configuração'!$B$56+172&lt;'🌱 Configuração'!$D$56,"Vega S"&amp;INT(('🌱 Configuração'!$B$56+172-'🌱 Configuração'!$C$56)/7)+1,IF('🌱 Configuração'!$B$56+172&lt;'🌱 Configuração'!$E$56,"Flora S"&amp;INT(('🌱 Configuração'!$B$56+172-'🌱 Configuração'!$D$56)/7)+1,"Flush S"&amp;INT(('🌱 Configuração'!$B$56+172-'🌱 Configuração'!$E$56)/7)+1))))</f>
        <v/>
      </c>
      <c r="F178" s="14" t="str">
        <f>IF(173&gt;'🌱 Configuração'!$F$55,"",IF('🌱 Configuração'!$B$56+172='🌱 Configuração'!$C$56,"🌿 INÍCIO VEGA — luz 18h/dia",IF('🌱 Configuração'!$B$56+172='🌱 Configuração'!$D$56,"🌸 INÍCIO FLORAÇÃO — mudar 12/12 🔴",IF('🌱 Configuração'!$B$56+172='🌱 Configuração'!$E$56,"🚿 INÍCIO FLUSH — parar nutrição",IF('🌱 Configuração'!$B$56+172='🌱 Configuração'!$F$56-1,"🔬 Véspera da colheita — analisar tricomas",IF('🌱 Configuração'!$B$56+172='🌱 Configuração'!$F$56,"✂️ COLHEITA — Parabéns! 🎉",""))))))</f>
        <v/>
      </c>
      <c r="G178" s="37" t="s">
        <v>428</v>
      </c>
      <c r="H178" s="38" t="str">
        <f>IF(173&gt;'🌱 Configuração'!$F$55,"",IF('🌱 Configuração'!$B$56+172&lt;'🌱 Configuração'!$C$56,IF(173=1,"🌿 Nim (2 mL/L) — foliar leve",IF(173=8,"🍄 Beauveria bassiana — foliar + solo","")),IF('🌱 Configuração'!$B$56+172&lt;'🌱 Configuração'!$D$56,IF(AND('🌱 Configuração'!$B$56+172&gt;='🌱 Configuração'!$C$56,'🌱 Configuração'!$B$56+172&lt;'🌱 Configuração'!$D$56,MOD('🌱 Configuração'!$B$56+172-'🌱 Configuração'!$C$56,7)=0,INT(('🌱 Configuração'!$B$56+172-'🌱 Configuração'!$C$56)/7)+1=1),"🌿 Nim (2 mL/L) — foliar preventivo",IF(AND('🌱 Configuração'!$B$56+172&gt;='🌱 Configuração'!$C$56,'🌱 Configuração'!$B$56+172&lt;'🌱 Configuração'!$D$56,MOD('🌱 Configuração'!$B$56+172-'🌱 Configuração'!$C$56,7)=0,INT(('🌱 Configuração'!$B$56+172-'🌱 Configuração'!$C$56)/7)+1=2),"🍄 Beauveria bassiana — foliar + solo",IF(AND('🌱 Configuração'!$B$56+172&gt;='🌱 Configuração'!$C$56,'🌱 Configuração'!$B$56+172&lt;'🌱 Configuração'!$D$56,MOD('🌱 Configuração'!$B$56+172-'🌱 Configuração'!$C$56,7)=0,INT(('🌱 Configuração'!$B$56+172-'🌱 Configuração'!$C$56)/7)+1=3),"🟡 Calda Sulfocálcica (1%) — foliar",IF(AND('🌱 Configuração'!$B$56+172&gt;='🌱 Configuração'!$C$56,'🌱 Configuração'!$B$56+172&lt;'🌱 Configuração'!$D$56,MOD('🌱 Configuração'!$B$56+172-'🌱 Configuração'!$C$56,7)=0,INT(('🌱 Configuração'!$B$56+172-'🌱 Configuração'!$C$56)/7)+1=4),"🦠 Trichoderma (3 g/L) — solo",IF(AND('🌱 Configuração'!$B$56+172&gt;='🌱 Configuração'!$C$56,'🌱 Configuração'!$B$56+172&lt;'🌱 Configuração'!$D$56,MOD('🌱 Configuração'!$B$56+172-'🌱 Configuração'!$C$56,7)=0,INT(('🌱 Configuração'!$B$56+172-'🌱 Configuração'!$C$56)/7)+1=5),"🔵 Calda Bordalesa (0.5%) — foliar",IF(AND('🌱 Configuração'!$B$56+172&gt;='🌱 Configuração'!$C$56,'🌱 Configuração'!$B$56+172&lt;'🌱 Configuração'!$D$56,MOD('🌱 Configuração'!$B$56+172-'🌱 Configuração'!$C$56,7)=0,INT(('🌱 Configuração'!$B$56+172-'🌱 Configuração'!$C$56)/7)+1=6),"🌿 Nim (2 mL/L) — ⚠️ ÚLTIMA foliar",IF(AND('🌱 Configuração'!$B$56+172&gt;='🌱 Configuração'!$C$56,'🌱 Configuração'!$B$56+172&lt;'🌱 Configuração'!$D$56,MOD('🌱 Configuração'!$B$56+172-'🌱 Configuração'!$C$56,7)=0,INT(('🌱 Configuração'!$B$56+172-'🌱 Configuração'!$C$56)/7)+1=7),"🦠 Trichoderma — solo",IF(AND('🌱 Configuração'!$B$56+172&gt;='🌱 Configuração'!$C$56,'🌱 Configuração'!$B$56+172&lt;'🌱 Configuração'!$D$56,MOD('🌱 Configuração'!$B$56+172-'🌱 Configuração'!$C$56,7)=0,INT(('🌱 Configuração'!$B$56+172-'🌱 Configuração'!$C$56)/7)+1=8),"🍄 Beauveria — solo","")))))))),IF('🌱 Configuração'!$B$56+172&lt;'🌱 Configuração'!$E$56,IF(AND('🌱 Configuração'!$B$56+172&gt;='🌱 Configuração'!$D$56,'🌱 Configuração'!$B$56+172&lt;'🌱 Configuração'!$E$56,MOD('🌱 Configuração'!$B$56+172-'🌱 Configuração'!$D$56,7)=0,INT(('🌱 Configuração'!$B$56+172-'🌱 Configuração'!$D$56)/7)+1=1),"🍄 Beauveria bassiana — SOLO apenas",IF(AND('🌱 Configuração'!$B$56+172&gt;='🌱 Configuração'!$D$56,'🌱 Configuração'!$B$56+172&lt;'🌱 Configuração'!$E$56,MOD('🌱 Configuração'!$B$56+172-'🌱 Configuração'!$D$56,7)=0,INT(('🌱 Configuração'!$B$56+172-'🌱 Configuração'!$D$56)/7)+1=2),"🦠 Trichoderma (3 g/L) — solo",IF(AND('🌱 Configuração'!$B$56+172&gt;='🌱 Configuração'!$D$56,'🌱 Configuração'!$B$56+172&lt;'🌱 Configuração'!$E$56,MOD('🌱 Configuração'!$B$56+172-'🌱 Configuração'!$D$56,7)=0,INT(('🌱 Configuração'!$B$56+172-'🌱 Configuração'!$D$56)/7)+1=3),"🍄 Beauveria bassiana — solo | ⚠️ Umid &lt;45%",IF(AND('🌱 Configuração'!$B$56+172&gt;='🌱 Configuração'!$D$56,'🌱 Configuração'!$B$56+172&lt;'🌱 Configuração'!$E$56,MOD('🌱 Configuração'!$B$56+172-'🌱 Configuração'!$D$56,7)=0,INT(('🌱 Configuração'!$B$56+172-'🌱 Configuração'!$D$56)/7)+1=4),"🦠 Trichoderma — solo | Inspecionar buds",IF(AND('🌱 Configuração'!$B$56+172&gt;='🌱 Configuração'!$D$56,'🌱 Configuração'!$B$56+172&lt;'🌱 Configuração'!$E$56,MOD('🌱 Configuração'!$B$56+172-'🌱 Configuração'!$D$56,7)=0,INT(('🌱 Configuração'!$B$56+172-'🌱 Configuração'!$D$56)/7)+1=5),"🍄 Beauveria + inspeção visual buds",IF(AND('🌱 Configuração'!$B$56+172&gt;='🌱 Configuração'!$D$56,'🌱 Configuração'!$B$56+172&lt;'🌱 Configuração'!$E$56,MOD('🌱 Configuração'!$B$56+172-'🌱 Configuração'!$D$56,7)=0,INT(('🌱 Configuração'!$B$56+172-'🌱 Configuração'!$D$56)/7)+1=6),"🦠 Trichoderma + ⚠️ Verificar mofo","")))))),IF(AND('🌱 Configuração'!$B$56+172&gt;='🌱 Configuração'!$E$56,MOD('🌱 Configuração'!$B$56+172-'🌱 Configuração'!$E$56,7)=0),"🔬 Inspeção final — analisar tricomas","")))))</f>
        <v/>
      </c>
      <c r="I178" s="33"/>
    </row>
    <row r="179" spans="1:9" ht="19.5" customHeight="1">
      <c r="A179" s="1"/>
      <c r="B179" s="39" t="str">
        <f>IF(174&lt;='🌱 Configuração'!$F$55,174,"")</f>
        <v/>
      </c>
      <c r="C179" s="40" t="str">
        <f>IF(174&lt;='🌱 Configuração'!$F$55,'🌱 Configuração'!$B$56+173,"")</f>
        <v/>
      </c>
      <c r="D179" s="41" t="str">
        <f>IF(174&gt;'🌱 Configuração'!$F$55,"",IF('🌱 Configuração'!$B$56+173&lt;'🌱 Configuração'!$C$56,"🌱 Clone",IF('🌱 Configuração'!$B$56+173&lt;'🌱 Configuração'!$D$56,"🌿 Vegetativo",IF('🌱 Configuração'!$B$56+173&lt;'🌱 Configuração'!$E$56,"🌸 Floração","🚿 Flush"))))</f>
        <v/>
      </c>
      <c r="E179" s="42" t="str">
        <f>IF(174&gt;'🌱 Configuração'!$F$55,"",IF('🌱 Configuração'!$B$56+173&lt;'🌱 Configuração'!$C$56,"Clone S"&amp;INT((174-1)/7)+1,IF('🌱 Configuração'!$B$56+173&lt;'🌱 Configuração'!$D$56,"Vega S"&amp;INT(('🌱 Configuração'!$B$56+173-'🌱 Configuração'!$C$56)/7)+1,IF('🌱 Configuração'!$B$56+173&lt;'🌱 Configuração'!$E$56,"Flora S"&amp;INT(('🌱 Configuração'!$B$56+173-'🌱 Configuração'!$D$56)/7)+1,"Flush S"&amp;INT(('🌱 Configuração'!$B$56+173-'🌱 Configuração'!$E$56)/7)+1))))</f>
        <v/>
      </c>
      <c r="F179" s="43" t="str">
        <f>IF(174&gt;'🌱 Configuração'!$F$55,"",IF('🌱 Configuração'!$B$56+173='🌱 Configuração'!$C$56,"🌿 INÍCIO VEGA — luz 18h/dia",IF('🌱 Configuração'!$B$56+173='🌱 Configuração'!$D$56,"🌸 INÍCIO FLORAÇÃO — mudar 12/12 🔴",IF('🌱 Configuração'!$B$56+173='🌱 Configuração'!$E$56,"🚿 INÍCIO FLUSH — parar nutrição",IF('🌱 Configuração'!$B$56+173='🌱 Configuração'!$F$56-1,"🔬 Véspera da colheita — analisar tricomas",IF('🌱 Configuração'!$B$56+173='🌱 Configuração'!$F$56,"✂️ COLHEITA — Parabéns! 🎉",""))))))</f>
        <v/>
      </c>
      <c r="G179" s="44" t="s">
        <v>428</v>
      </c>
      <c r="H179" s="45" t="str">
        <f>IF(174&gt;'🌱 Configuração'!$F$55,"",IF('🌱 Configuração'!$B$56+173&lt;'🌱 Configuração'!$C$56,IF(174=1,"🌿 Nim (2 mL/L) — foliar leve",IF(174=8,"🍄 Beauveria bassiana — foliar + solo","")),IF('🌱 Configuração'!$B$56+173&lt;'🌱 Configuração'!$D$56,IF(AND('🌱 Configuração'!$B$56+173&gt;='🌱 Configuração'!$C$56,'🌱 Configuração'!$B$56+173&lt;'🌱 Configuração'!$D$56,MOD('🌱 Configuração'!$B$56+173-'🌱 Configuração'!$C$56,7)=0,INT(('🌱 Configuração'!$B$56+173-'🌱 Configuração'!$C$56)/7)+1=1),"🌿 Nim (2 mL/L) — foliar preventivo",IF(AND('🌱 Configuração'!$B$56+173&gt;='🌱 Configuração'!$C$56,'🌱 Configuração'!$B$56+173&lt;'🌱 Configuração'!$D$56,MOD('🌱 Configuração'!$B$56+173-'🌱 Configuração'!$C$56,7)=0,INT(('🌱 Configuração'!$B$56+173-'🌱 Configuração'!$C$56)/7)+1=2),"🍄 Beauveria bassiana — foliar + solo",IF(AND('🌱 Configuração'!$B$56+173&gt;='🌱 Configuração'!$C$56,'🌱 Configuração'!$B$56+173&lt;'🌱 Configuração'!$D$56,MOD('🌱 Configuração'!$B$56+173-'🌱 Configuração'!$C$56,7)=0,INT(('🌱 Configuração'!$B$56+173-'🌱 Configuração'!$C$56)/7)+1=3),"🟡 Calda Sulfocálcica (1%) — foliar",IF(AND('🌱 Configuração'!$B$56+173&gt;='🌱 Configuração'!$C$56,'🌱 Configuração'!$B$56+173&lt;'🌱 Configuração'!$D$56,MOD('🌱 Configuração'!$B$56+173-'🌱 Configuração'!$C$56,7)=0,INT(('🌱 Configuração'!$B$56+173-'🌱 Configuração'!$C$56)/7)+1=4),"🦠 Trichoderma (3 g/L) — solo",IF(AND('🌱 Configuração'!$B$56+173&gt;='🌱 Configuração'!$C$56,'🌱 Configuração'!$B$56+173&lt;'🌱 Configuração'!$D$56,MOD('🌱 Configuração'!$B$56+173-'🌱 Configuração'!$C$56,7)=0,INT(('🌱 Configuração'!$B$56+173-'🌱 Configuração'!$C$56)/7)+1=5),"🔵 Calda Bordalesa (0.5%) — foliar",IF(AND('🌱 Configuração'!$B$56+173&gt;='🌱 Configuração'!$C$56,'🌱 Configuração'!$B$56+173&lt;'🌱 Configuração'!$D$56,MOD('🌱 Configuração'!$B$56+173-'🌱 Configuração'!$C$56,7)=0,INT(('🌱 Configuração'!$B$56+173-'🌱 Configuração'!$C$56)/7)+1=6),"🌿 Nim (2 mL/L) — ⚠️ ÚLTIMA foliar",IF(AND('🌱 Configuração'!$B$56+173&gt;='🌱 Configuração'!$C$56,'🌱 Configuração'!$B$56+173&lt;'🌱 Configuração'!$D$56,MOD('🌱 Configuração'!$B$56+173-'🌱 Configuração'!$C$56,7)=0,INT(('🌱 Configuração'!$B$56+173-'🌱 Configuração'!$C$56)/7)+1=7),"🦠 Trichoderma — solo",IF(AND('🌱 Configuração'!$B$56+173&gt;='🌱 Configuração'!$C$56,'🌱 Configuração'!$B$56+173&lt;'🌱 Configuração'!$D$56,MOD('🌱 Configuração'!$B$56+173-'🌱 Configuração'!$C$56,7)=0,INT(('🌱 Configuração'!$B$56+173-'🌱 Configuração'!$C$56)/7)+1=8),"🍄 Beauveria — solo","")))))))),IF('🌱 Configuração'!$B$56+173&lt;'🌱 Configuração'!$E$56,IF(AND('🌱 Configuração'!$B$56+173&gt;='🌱 Configuração'!$D$56,'🌱 Configuração'!$B$56+173&lt;'🌱 Configuração'!$E$56,MOD('🌱 Configuração'!$B$56+173-'🌱 Configuração'!$D$56,7)=0,INT(('🌱 Configuração'!$B$56+173-'🌱 Configuração'!$D$56)/7)+1=1),"🍄 Beauveria bassiana — SOLO apenas",IF(AND('🌱 Configuração'!$B$56+173&gt;='🌱 Configuração'!$D$56,'🌱 Configuração'!$B$56+173&lt;'🌱 Configuração'!$E$56,MOD('🌱 Configuração'!$B$56+173-'🌱 Configuração'!$D$56,7)=0,INT(('🌱 Configuração'!$B$56+173-'🌱 Configuração'!$D$56)/7)+1=2),"🦠 Trichoderma (3 g/L) — solo",IF(AND('🌱 Configuração'!$B$56+173&gt;='🌱 Configuração'!$D$56,'🌱 Configuração'!$B$56+173&lt;'🌱 Configuração'!$E$56,MOD('🌱 Configuração'!$B$56+173-'🌱 Configuração'!$D$56,7)=0,INT(('🌱 Configuração'!$B$56+173-'🌱 Configuração'!$D$56)/7)+1=3),"🍄 Beauveria bassiana — solo | ⚠️ Umid &lt;45%",IF(AND('🌱 Configuração'!$B$56+173&gt;='🌱 Configuração'!$D$56,'🌱 Configuração'!$B$56+173&lt;'🌱 Configuração'!$E$56,MOD('🌱 Configuração'!$B$56+173-'🌱 Configuração'!$D$56,7)=0,INT(('🌱 Configuração'!$B$56+173-'🌱 Configuração'!$D$56)/7)+1=4),"🦠 Trichoderma — solo | Inspecionar buds",IF(AND('🌱 Configuração'!$B$56+173&gt;='🌱 Configuração'!$D$56,'🌱 Configuração'!$B$56+173&lt;'🌱 Configuração'!$E$56,MOD('🌱 Configuração'!$B$56+173-'🌱 Configuração'!$D$56,7)=0,INT(('🌱 Configuração'!$B$56+173-'🌱 Configuração'!$D$56)/7)+1=5),"🍄 Beauveria + inspeção visual buds",IF(AND('🌱 Configuração'!$B$56+173&gt;='🌱 Configuração'!$D$56,'🌱 Configuração'!$B$56+173&lt;'🌱 Configuração'!$E$56,MOD('🌱 Configuração'!$B$56+173-'🌱 Configuração'!$D$56,7)=0,INT(('🌱 Configuração'!$B$56+173-'🌱 Configuração'!$D$56)/7)+1=6),"🦠 Trichoderma + ⚠️ Verificar mofo","")))))),IF(AND('🌱 Configuração'!$B$56+173&gt;='🌱 Configuração'!$E$56,MOD('🌱 Configuração'!$B$56+173-'🌱 Configuração'!$E$56,7)=0),"🔬 Inspeção final — analisar tricomas","")))))</f>
        <v/>
      </c>
      <c r="I179" s="33"/>
    </row>
    <row r="180" spans="1:9" ht="19.5" customHeight="1">
      <c r="A180" s="1"/>
      <c r="B180" s="35" t="str">
        <f>IF(175&lt;='🌱 Configuração'!$F$55,175,"")</f>
        <v/>
      </c>
      <c r="C180" s="13" t="str">
        <f>IF(175&lt;='🌱 Configuração'!$F$55,'🌱 Configuração'!$B$56+174,"")</f>
        <v/>
      </c>
      <c r="D180" s="36" t="str">
        <f>IF(175&gt;'🌱 Configuração'!$F$55,"",IF('🌱 Configuração'!$B$56+174&lt;'🌱 Configuração'!$C$56,"🌱 Clone",IF('🌱 Configuração'!$B$56+174&lt;'🌱 Configuração'!$D$56,"🌿 Vegetativo",IF('🌱 Configuração'!$B$56+174&lt;'🌱 Configuração'!$E$56,"🌸 Floração","🚿 Flush"))))</f>
        <v/>
      </c>
      <c r="E180" s="15" t="str">
        <f>IF(175&gt;'🌱 Configuração'!$F$55,"",IF('🌱 Configuração'!$B$56+174&lt;'🌱 Configuração'!$C$56,"Clone S"&amp;INT((175-1)/7)+1,IF('🌱 Configuração'!$B$56+174&lt;'🌱 Configuração'!$D$56,"Vega S"&amp;INT(('🌱 Configuração'!$B$56+174-'🌱 Configuração'!$C$56)/7)+1,IF('🌱 Configuração'!$B$56+174&lt;'🌱 Configuração'!$E$56,"Flora S"&amp;INT(('🌱 Configuração'!$B$56+174-'🌱 Configuração'!$D$56)/7)+1,"Flush S"&amp;INT(('🌱 Configuração'!$B$56+174-'🌱 Configuração'!$E$56)/7)+1))))</f>
        <v/>
      </c>
      <c r="F180" s="14" t="str">
        <f>IF(175&gt;'🌱 Configuração'!$F$55,"",IF('🌱 Configuração'!$B$56+174='🌱 Configuração'!$C$56,"🌿 INÍCIO VEGA — luz 18h/dia",IF('🌱 Configuração'!$B$56+174='🌱 Configuração'!$D$56,"🌸 INÍCIO FLORAÇÃO — mudar 12/12 🔴",IF('🌱 Configuração'!$B$56+174='🌱 Configuração'!$E$56,"🚿 INÍCIO FLUSH — parar nutrição",IF('🌱 Configuração'!$B$56+174='🌱 Configuração'!$F$56-1,"🔬 Véspera da colheita — analisar tricomas",IF('🌱 Configuração'!$B$56+174='🌱 Configuração'!$F$56,"✂️ COLHEITA — Parabéns! 🎉",""))))))</f>
        <v/>
      </c>
      <c r="G180" s="37" t="s">
        <v>428</v>
      </c>
      <c r="H180" s="38" t="str">
        <f>IF(175&gt;'🌱 Configuração'!$F$55,"",IF('🌱 Configuração'!$B$56+174&lt;'🌱 Configuração'!$C$56,IF(175=1,"🌿 Nim (2 mL/L) — foliar leve",IF(175=8,"🍄 Beauveria bassiana — foliar + solo","")),IF('🌱 Configuração'!$B$56+174&lt;'🌱 Configuração'!$D$56,IF(AND('🌱 Configuração'!$B$56+174&gt;='🌱 Configuração'!$C$56,'🌱 Configuração'!$B$56+174&lt;'🌱 Configuração'!$D$56,MOD('🌱 Configuração'!$B$56+174-'🌱 Configuração'!$C$56,7)=0,INT(('🌱 Configuração'!$B$56+174-'🌱 Configuração'!$C$56)/7)+1=1),"🌿 Nim (2 mL/L) — foliar preventivo",IF(AND('🌱 Configuração'!$B$56+174&gt;='🌱 Configuração'!$C$56,'🌱 Configuração'!$B$56+174&lt;'🌱 Configuração'!$D$56,MOD('🌱 Configuração'!$B$56+174-'🌱 Configuração'!$C$56,7)=0,INT(('🌱 Configuração'!$B$56+174-'🌱 Configuração'!$C$56)/7)+1=2),"🍄 Beauveria bassiana — foliar + solo",IF(AND('🌱 Configuração'!$B$56+174&gt;='🌱 Configuração'!$C$56,'🌱 Configuração'!$B$56+174&lt;'🌱 Configuração'!$D$56,MOD('🌱 Configuração'!$B$56+174-'🌱 Configuração'!$C$56,7)=0,INT(('🌱 Configuração'!$B$56+174-'🌱 Configuração'!$C$56)/7)+1=3),"🟡 Calda Sulfocálcica (1%) — foliar",IF(AND('🌱 Configuração'!$B$56+174&gt;='🌱 Configuração'!$C$56,'🌱 Configuração'!$B$56+174&lt;'🌱 Configuração'!$D$56,MOD('🌱 Configuração'!$B$56+174-'🌱 Configuração'!$C$56,7)=0,INT(('🌱 Configuração'!$B$56+174-'🌱 Configuração'!$C$56)/7)+1=4),"🦠 Trichoderma (3 g/L) — solo",IF(AND('🌱 Configuração'!$B$56+174&gt;='🌱 Configuração'!$C$56,'🌱 Configuração'!$B$56+174&lt;'🌱 Configuração'!$D$56,MOD('🌱 Configuração'!$B$56+174-'🌱 Configuração'!$C$56,7)=0,INT(('🌱 Configuração'!$B$56+174-'🌱 Configuração'!$C$56)/7)+1=5),"🔵 Calda Bordalesa (0.5%) — foliar",IF(AND('🌱 Configuração'!$B$56+174&gt;='🌱 Configuração'!$C$56,'🌱 Configuração'!$B$56+174&lt;'🌱 Configuração'!$D$56,MOD('🌱 Configuração'!$B$56+174-'🌱 Configuração'!$C$56,7)=0,INT(('🌱 Configuração'!$B$56+174-'🌱 Configuração'!$C$56)/7)+1=6),"🌿 Nim (2 mL/L) — ⚠️ ÚLTIMA foliar",IF(AND('🌱 Configuração'!$B$56+174&gt;='🌱 Configuração'!$C$56,'🌱 Configuração'!$B$56+174&lt;'🌱 Configuração'!$D$56,MOD('🌱 Configuração'!$B$56+174-'🌱 Configuração'!$C$56,7)=0,INT(('🌱 Configuração'!$B$56+174-'🌱 Configuração'!$C$56)/7)+1=7),"🦠 Trichoderma — solo",IF(AND('🌱 Configuração'!$B$56+174&gt;='🌱 Configuração'!$C$56,'🌱 Configuração'!$B$56+174&lt;'🌱 Configuração'!$D$56,MOD('🌱 Configuração'!$B$56+174-'🌱 Configuração'!$C$56,7)=0,INT(('🌱 Configuração'!$B$56+174-'🌱 Configuração'!$C$56)/7)+1=8),"🍄 Beauveria — solo","")))))))),IF('🌱 Configuração'!$B$56+174&lt;'🌱 Configuração'!$E$56,IF(AND('🌱 Configuração'!$B$56+174&gt;='🌱 Configuração'!$D$56,'🌱 Configuração'!$B$56+174&lt;'🌱 Configuração'!$E$56,MOD('🌱 Configuração'!$B$56+174-'🌱 Configuração'!$D$56,7)=0,INT(('🌱 Configuração'!$B$56+174-'🌱 Configuração'!$D$56)/7)+1=1),"🍄 Beauveria bassiana — SOLO apenas",IF(AND('🌱 Configuração'!$B$56+174&gt;='🌱 Configuração'!$D$56,'🌱 Configuração'!$B$56+174&lt;'🌱 Configuração'!$E$56,MOD('🌱 Configuração'!$B$56+174-'🌱 Configuração'!$D$56,7)=0,INT(('🌱 Configuração'!$B$56+174-'🌱 Configuração'!$D$56)/7)+1=2),"🦠 Trichoderma (3 g/L) — solo",IF(AND('🌱 Configuração'!$B$56+174&gt;='🌱 Configuração'!$D$56,'🌱 Configuração'!$B$56+174&lt;'🌱 Configuração'!$E$56,MOD('🌱 Configuração'!$B$56+174-'🌱 Configuração'!$D$56,7)=0,INT(('🌱 Configuração'!$B$56+174-'🌱 Configuração'!$D$56)/7)+1=3),"🍄 Beauveria bassiana — solo | ⚠️ Umid &lt;45%",IF(AND('🌱 Configuração'!$B$56+174&gt;='🌱 Configuração'!$D$56,'🌱 Configuração'!$B$56+174&lt;'🌱 Configuração'!$E$56,MOD('🌱 Configuração'!$B$56+174-'🌱 Configuração'!$D$56,7)=0,INT(('🌱 Configuração'!$B$56+174-'🌱 Configuração'!$D$56)/7)+1=4),"🦠 Trichoderma — solo | Inspecionar buds",IF(AND('🌱 Configuração'!$B$56+174&gt;='🌱 Configuração'!$D$56,'🌱 Configuração'!$B$56+174&lt;'🌱 Configuração'!$E$56,MOD('🌱 Configuração'!$B$56+174-'🌱 Configuração'!$D$56,7)=0,INT(('🌱 Configuração'!$B$56+174-'🌱 Configuração'!$D$56)/7)+1=5),"🍄 Beauveria + inspeção visual buds",IF(AND('🌱 Configuração'!$B$56+174&gt;='🌱 Configuração'!$D$56,'🌱 Configuração'!$B$56+174&lt;'🌱 Configuração'!$E$56,MOD('🌱 Configuração'!$B$56+174-'🌱 Configuração'!$D$56,7)=0,INT(('🌱 Configuração'!$B$56+174-'🌱 Configuração'!$D$56)/7)+1=6),"🦠 Trichoderma + ⚠️ Verificar mofo","")))))),IF(AND('🌱 Configuração'!$B$56+174&gt;='🌱 Configuração'!$E$56,MOD('🌱 Configuração'!$B$56+174-'🌱 Configuração'!$E$56,7)=0),"🔬 Inspeção final — analisar tricomas","")))))</f>
        <v/>
      </c>
      <c r="I180" s="33"/>
    </row>
    <row r="181" spans="1:9" ht="19.5" customHeight="1">
      <c r="A181" s="1"/>
      <c r="B181" s="39" t="str">
        <f>IF(176&lt;='🌱 Configuração'!$F$55,176,"")</f>
        <v/>
      </c>
      <c r="C181" s="40" t="str">
        <f>IF(176&lt;='🌱 Configuração'!$F$55,'🌱 Configuração'!$B$56+175,"")</f>
        <v/>
      </c>
      <c r="D181" s="41" t="str">
        <f>IF(176&gt;'🌱 Configuração'!$F$55,"",IF('🌱 Configuração'!$B$56+175&lt;'🌱 Configuração'!$C$56,"🌱 Clone",IF('🌱 Configuração'!$B$56+175&lt;'🌱 Configuração'!$D$56,"🌿 Vegetativo",IF('🌱 Configuração'!$B$56+175&lt;'🌱 Configuração'!$E$56,"🌸 Floração","🚿 Flush"))))</f>
        <v/>
      </c>
      <c r="E181" s="42" t="str">
        <f>IF(176&gt;'🌱 Configuração'!$F$55,"",IF('🌱 Configuração'!$B$56+175&lt;'🌱 Configuração'!$C$56,"Clone S"&amp;INT((176-1)/7)+1,IF('🌱 Configuração'!$B$56+175&lt;'🌱 Configuração'!$D$56,"Vega S"&amp;INT(('🌱 Configuração'!$B$56+175-'🌱 Configuração'!$C$56)/7)+1,IF('🌱 Configuração'!$B$56+175&lt;'🌱 Configuração'!$E$56,"Flora S"&amp;INT(('🌱 Configuração'!$B$56+175-'🌱 Configuração'!$D$56)/7)+1,"Flush S"&amp;INT(('🌱 Configuração'!$B$56+175-'🌱 Configuração'!$E$56)/7)+1))))</f>
        <v/>
      </c>
      <c r="F181" s="43" t="str">
        <f>IF(176&gt;'🌱 Configuração'!$F$55,"",IF('🌱 Configuração'!$B$56+175='🌱 Configuração'!$C$56,"🌿 INÍCIO VEGA — luz 18h/dia",IF('🌱 Configuração'!$B$56+175='🌱 Configuração'!$D$56,"🌸 INÍCIO FLORAÇÃO — mudar 12/12 🔴",IF('🌱 Configuração'!$B$56+175='🌱 Configuração'!$E$56,"🚿 INÍCIO FLUSH — parar nutrição",IF('🌱 Configuração'!$B$56+175='🌱 Configuração'!$F$56-1,"🔬 Véspera da colheita — analisar tricomas",IF('🌱 Configuração'!$B$56+175='🌱 Configuração'!$F$56,"✂️ COLHEITA — Parabéns! 🎉",""))))))</f>
        <v/>
      </c>
      <c r="G181" s="44" t="s">
        <v>428</v>
      </c>
      <c r="H181" s="45" t="str">
        <f>IF(176&gt;'🌱 Configuração'!$F$55,"",IF('🌱 Configuração'!$B$56+175&lt;'🌱 Configuração'!$C$56,IF(176=1,"🌿 Nim (2 mL/L) — foliar leve",IF(176=8,"🍄 Beauveria bassiana — foliar + solo","")),IF('🌱 Configuração'!$B$56+175&lt;'🌱 Configuração'!$D$56,IF(AND('🌱 Configuração'!$B$56+175&gt;='🌱 Configuração'!$C$56,'🌱 Configuração'!$B$56+175&lt;'🌱 Configuração'!$D$56,MOD('🌱 Configuração'!$B$56+175-'🌱 Configuração'!$C$56,7)=0,INT(('🌱 Configuração'!$B$56+175-'🌱 Configuração'!$C$56)/7)+1=1),"🌿 Nim (2 mL/L) — foliar preventivo",IF(AND('🌱 Configuração'!$B$56+175&gt;='🌱 Configuração'!$C$56,'🌱 Configuração'!$B$56+175&lt;'🌱 Configuração'!$D$56,MOD('🌱 Configuração'!$B$56+175-'🌱 Configuração'!$C$56,7)=0,INT(('🌱 Configuração'!$B$56+175-'🌱 Configuração'!$C$56)/7)+1=2),"🍄 Beauveria bassiana — foliar + solo",IF(AND('🌱 Configuração'!$B$56+175&gt;='🌱 Configuração'!$C$56,'🌱 Configuração'!$B$56+175&lt;'🌱 Configuração'!$D$56,MOD('🌱 Configuração'!$B$56+175-'🌱 Configuração'!$C$56,7)=0,INT(('🌱 Configuração'!$B$56+175-'🌱 Configuração'!$C$56)/7)+1=3),"🟡 Calda Sulfocálcica (1%) — foliar",IF(AND('🌱 Configuração'!$B$56+175&gt;='🌱 Configuração'!$C$56,'🌱 Configuração'!$B$56+175&lt;'🌱 Configuração'!$D$56,MOD('🌱 Configuração'!$B$56+175-'🌱 Configuração'!$C$56,7)=0,INT(('🌱 Configuração'!$B$56+175-'🌱 Configuração'!$C$56)/7)+1=4),"🦠 Trichoderma (3 g/L) — solo",IF(AND('🌱 Configuração'!$B$56+175&gt;='🌱 Configuração'!$C$56,'🌱 Configuração'!$B$56+175&lt;'🌱 Configuração'!$D$56,MOD('🌱 Configuração'!$B$56+175-'🌱 Configuração'!$C$56,7)=0,INT(('🌱 Configuração'!$B$56+175-'🌱 Configuração'!$C$56)/7)+1=5),"🔵 Calda Bordalesa (0.5%) — foliar",IF(AND('🌱 Configuração'!$B$56+175&gt;='🌱 Configuração'!$C$56,'🌱 Configuração'!$B$56+175&lt;'🌱 Configuração'!$D$56,MOD('🌱 Configuração'!$B$56+175-'🌱 Configuração'!$C$56,7)=0,INT(('🌱 Configuração'!$B$56+175-'🌱 Configuração'!$C$56)/7)+1=6),"🌿 Nim (2 mL/L) — ⚠️ ÚLTIMA foliar",IF(AND('🌱 Configuração'!$B$56+175&gt;='🌱 Configuração'!$C$56,'🌱 Configuração'!$B$56+175&lt;'🌱 Configuração'!$D$56,MOD('🌱 Configuração'!$B$56+175-'🌱 Configuração'!$C$56,7)=0,INT(('🌱 Configuração'!$B$56+175-'🌱 Configuração'!$C$56)/7)+1=7),"🦠 Trichoderma — solo",IF(AND('🌱 Configuração'!$B$56+175&gt;='🌱 Configuração'!$C$56,'🌱 Configuração'!$B$56+175&lt;'🌱 Configuração'!$D$56,MOD('🌱 Configuração'!$B$56+175-'🌱 Configuração'!$C$56,7)=0,INT(('🌱 Configuração'!$B$56+175-'🌱 Configuração'!$C$56)/7)+1=8),"🍄 Beauveria — solo","")))))))),IF('🌱 Configuração'!$B$56+175&lt;'🌱 Configuração'!$E$56,IF(AND('🌱 Configuração'!$B$56+175&gt;='🌱 Configuração'!$D$56,'🌱 Configuração'!$B$56+175&lt;'🌱 Configuração'!$E$56,MOD('🌱 Configuração'!$B$56+175-'🌱 Configuração'!$D$56,7)=0,INT(('🌱 Configuração'!$B$56+175-'🌱 Configuração'!$D$56)/7)+1=1),"🍄 Beauveria bassiana — SOLO apenas",IF(AND('🌱 Configuração'!$B$56+175&gt;='🌱 Configuração'!$D$56,'🌱 Configuração'!$B$56+175&lt;'🌱 Configuração'!$E$56,MOD('🌱 Configuração'!$B$56+175-'🌱 Configuração'!$D$56,7)=0,INT(('🌱 Configuração'!$B$56+175-'🌱 Configuração'!$D$56)/7)+1=2),"🦠 Trichoderma (3 g/L) — solo",IF(AND('🌱 Configuração'!$B$56+175&gt;='🌱 Configuração'!$D$56,'🌱 Configuração'!$B$56+175&lt;'🌱 Configuração'!$E$56,MOD('🌱 Configuração'!$B$56+175-'🌱 Configuração'!$D$56,7)=0,INT(('🌱 Configuração'!$B$56+175-'🌱 Configuração'!$D$56)/7)+1=3),"🍄 Beauveria bassiana — solo | ⚠️ Umid &lt;45%",IF(AND('🌱 Configuração'!$B$56+175&gt;='🌱 Configuração'!$D$56,'🌱 Configuração'!$B$56+175&lt;'🌱 Configuração'!$E$56,MOD('🌱 Configuração'!$B$56+175-'🌱 Configuração'!$D$56,7)=0,INT(('🌱 Configuração'!$B$56+175-'🌱 Configuração'!$D$56)/7)+1=4),"🦠 Trichoderma — solo | Inspecionar buds",IF(AND('🌱 Configuração'!$B$56+175&gt;='🌱 Configuração'!$D$56,'🌱 Configuração'!$B$56+175&lt;'🌱 Configuração'!$E$56,MOD('🌱 Configuração'!$B$56+175-'🌱 Configuração'!$D$56,7)=0,INT(('🌱 Configuração'!$B$56+175-'🌱 Configuração'!$D$56)/7)+1=5),"🍄 Beauveria + inspeção visual buds",IF(AND('🌱 Configuração'!$B$56+175&gt;='🌱 Configuração'!$D$56,'🌱 Configuração'!$B$56+175&lt;'🌱 Configuração'!$E$56,MOD('🌱 Configuração'!$B$56+175-'🌱 Configuração'!$D$56,7)=0,INT(('🌱 Configuração'!$B$56+175-'🌱 Configuração'!$D$56)/7)+1=6),"🦠 Trichoderma + ⚠️ Verificar mofo","")))))),IF(AND('🌱 Configuração'!$B$56+175&gt;='🌱 Configuração'!$E$56,MOD('🌱 Configuração'!$B$56+175-'🌱 Configuração'!$E$56,7)=0),"🔬 Inspeção final — analisar tricomas","")))))</f>
        <v/>
      </c>
      <c r="I181" s="33"/>
    </row>
    <row r="182" spans="1:9" ht="19.5" customHeight="1">
      <c r="A182" s="1"/>
      <c r="B182" s="35" t="str">
        <f>IF(177&lt;='🌱 Configuração'!$F$55,177,"")</f>
        <v/>
      </c>
      <c r="C182" s="13" t="str">
        <f>IF(177&lt;='🌱 Configuração'!$F$55,'🌱 Configuração'!$B$56+176,"")</f>
        <v/>
      </c>
      <c r="D182" s="36" t="str">
        <f>IF(177&gt;'🌱 Configuração'!$F$55,"",IF('🌱 Configuração'!$B$56+176&lt;'🌱 Configuração'!$C$56,"🌱 Clone",IF('🌱 Configuração'!$B$56+176&lt;'🌱 Configuração'!$D$56,"🌿 Vegetativo",IF('🌱 Configuração'!$B$56+176&lt;'🌱 Configuração'!$E$56,"🌸 Floração","🚿 Flush"))))</f>
        <v/>
      </c>
      <c r="E182" s="15" t="str">
        <f>IF(177&gt;'🌱 Configuração'!$F$55,"",IF('🌱 Configuração'!$B$56+176&lt;'🌱 Configuração'!$C$56,"Clone S"&amp;INT((177-1)/7)+1,IF('🌱 Configuração'!$B$56+176&lt;'🌱 Configuração'!$D$56,"Vega S"&amp;INT(('🌱 Configuração'!$B$56+176-'🌱 Configuração'!$C$56)/7)+1,IF('🌱 Configuração'!$B$56+176&lt;'🌱 Configuração'!$E$56,"Flora S"&amp;INT(('🌱 Configuração'!$B$56+176-'🌱 Configuração'!$D$56)/7)+1,"Flush S"&amp;INT(('🌱 Configuração'!$B$56+176-'🌱 Configuração'!$E$56)/7)+1))))</f>
        <v/>
      </c>
      <c r="F182" s="14" t="str">
        <f>IF(177&gt;'🌱 Configuração'!$F$55,"",IF('🌱 Configuração'!$B$56+176='🌱 Configuração'!$C$56,"🌿 INÍCIO VEGA — luz 18h/dia",IF('🌱 Configuração'!$B$56+176='🌱 Configuração'!$D$56,"🌸 INÍCIO FLORAÇÃO — mudar 12/12 🔴",IF('🌱 Configuração'!$B$56+176='🌱 Configuração'!$E$56,"🚿 INÍCIO FLUSH — parar nutrição",IF('🌱 Configuração'!$B$56+176='🌱 Configuração'!$F$56-1,"🔬 Véspera da colheita — analisar tricomas",IF('🌱 Configuração'!$B$56+176='🌱 Configuração'!$F$56,"✂️ COLHEITA — Parabéns! 🎉",""))))))</f>
        <v/>
      </c>
      <c r="G182" s="37" t="s">
        <v>428</v>
      </c>
      <c r="H182" s="38" t="str">
        <f>IF(177&gt;'🌱 Configuração'!$F$55,"",IF('🌱 Configuração'!$B$56+176&lt;'🌱 Configuração'!$C$56,IF(177=1,"🌿 Nim (2 mL/L) — foliar leve",IF(177=8,"🍄 Beauveria bassiana — foliar + solo","")),IF('🌱 Configuração'!$B$56+176&lt;'🌱 Configuração'!$D$56,IF(AND('🌱 Configuração'!$B$56+176&gt;='🌱 Configuração'!$C$56,'🌱 Configuração'!$B$56+176&lt;'🌱 Configuração'!$D$56,MOD('🌱 Configuração'!$B$56+176-'🌱 Configuração'!$C$56,7)=0,INT(('🌱 Configuração'!$B$56+176-'🌱 Configuração'!$C$56)/7)+1=1),"🌿 Nim (2 mL/L) — foliar preventivo",IF(AND('🌱 Configuração'!$B$56+176&gt;='🌱 Configuração'!$C$56,'🌱 Configuração'!$B$56+176&lt;'🌱 Configuração'!$D$56,MOD('🌱 Configuração'!$B$56+176-'🌱 Configuração'!$C$56,7)=0,INT(('🌱 Configuração'!$B$56+176-'🌱 Configuração'!$C$56)/7)+1=2),"🍄 Beauveria bassiana — foliar + solo",IF(AND('🌱 Configuração'!$B$56+176&gt;='🌱 Configuração'!$C$56,'🌱 Configuração'!$B$56+176&lt;'🌱 Configuração'!$D$56,MOD('🌱 Configuração'!$B$56+176-'🌱 Configuração'!$C$56,7)=0,INT(('🌱 Configuração'!$B$56+176-'🌱 Configuração'!$C$56)/7)+1=3),"🟡 Calda Sulfocálcica (1%) — foliar",IF(AND('🌱 Configuração'!$B$56+176&gt;='🌱 Configuração'!$C$56,'🌱 Configuração'!$B$56+176&lt;'🌱 Configuração'!$D$56,MOD('🌱 Configuração'!$B$56+176-'🌱 Configuração'!$C$56,7)=0,INT(('🌱 Configuração'!$B$56+176-'🌱 Configuração'!$C$56)/7)+1=4),"🦠 Trichoderma (3 g/L) — solo",IF(AND('🌱 Configuração'!$B$56+176&gt;='🌱 Configuração'!$C$56,'🌱 Configuração'!$B$56+176&lt;'🌱 Configuração'!$D$56,MOD('🌱 Configuração'!$B$56+176-'🌱 Configuração'!$C$56,7)=0,INT(('🌱 Configuração'!$B$56+176-'🌱 Configuração'!$C$56)/7)+1=5),"🔵 Calda Bordalesa (0.5%) — foliar",IF(AND('🌱 Configuração'!$B$56+176&gt;='🌱 Configuração'!$C$56,'🌱 Configuração'!$B$56+176&lt;'🌱 Configuração'!$D$56,MOD('🌱 Configuração'!$B$56+176-'🌱 Configuração'!$C$56,7)=0,INT(('🌱 Configuração'!$B$56+176-'🌱 Configuração'!$C$56)/7)+1=6),"🌿 Nim (2 mL/L) — ⚠️ ÚLTIMA foliar",IF(AND('🌱 Configuração'!$B$56+176&gt;='🌱 Configuração'!$C$56,'🌱 Configuração'!$B$56+176&lt;'🌱 Configuração'!$D$56,MOD('🌱 Configuração'!$B$56+176-'🌱 Configuração'!$C$56,7)=0,INT(('🌱 Configuração'!$B$56+176-'🌱 Configuração'!$C$56)/7)+1=7),"🦠 Trichoderma — solo",IF(AND('🌱 Configuração'!$B$56+176&gt;='🌱 Configuração'!$C$56,'🌱 Configuração'!$B$56+176&lt;'🌱 Configuração'!$D$56,MOD('🌱 Configuração'!$B$56+176-'🌱 Configuração'!$C$56,7)=0,INT(('🌱 Configuração'!$B$56+176-'🌱 Configuração'!$C$56)/7)+1=8),"🍄 Beauveria — solo","")))))))),IF('🌱 Configuração'!$B$56+176&lt;'🌱 Configuração'!$E$56,IF(AND('🌱 Configuração'!$B$56+176&gt;='🌱 Configuração'!$D$56,'🌱 Configuração'!$B$56+176&lt;'🌱 Configuração'!$E$56,MOD('🌱 Configuração'!$B$56+176-'🌱 Configuração'!$D$56,7)=0,INT(('🌱 Configuração'!$B$56+176-'🌱 Configuração'!$D$56)/7)+1=1),"🍄 Beauveria bassiana — SOLO apenas",IF(AND('🌱 Configuração'!$B$56+176&gt;='🌱 Configuração'!$D$56,'🌱 Configuração'!$B$56+176&lt;'🌱 Configuração'!$E$56,MOD('🌱 Configuração'!$B$56+176-'🌱 Configuração'!$D$56,7)=0,INT(('🌱 Configuração'!$B$56+176-'🌱 Configuração'!$D$56)/7)+1=2),"🦠 Trichoderma (3 g/L) — solo",IF(AND('🌱 Configuração'!$B$56+176&gt;='🌱 Configuração'!$D$56,'🌱 Configuração'!$B$56+176&lt;'🌱 Configuração'!$E$56,MOD('🌱 Configuração'!$B$56+176-'🌱 Configuração'!$D$56,7)=0,INT(('🌱 Configuração'!$B$56+176-'🌱 Configuração'!$D$56)/7)+1=3),"🍄 Beauveria bassiana — solo | ⚠️ Umid &lt;45%",IF(AND('🌱 Configuração'!$B$56+176&gt;='🌱 Configuração'!$D$56,'🌱 Configuração'!$B$56+176&lt;'🌱 Configuração'!$E$56,MOD('🌱 Configuração'!$B$56+176-'🌱 Configuração'!$D$56,7)=0,INT(('🌱 Configuração'!$B$56+176-'🌱 Configuração'!$D$56)/7)+1=4),"🦠 Trichoderma — solo | Inspecionar buds",IF(AND('🌱 Configuração'!$B$56+176&gt;='🌱 Configuração'!$D$56,'🌱 Configuração'!$B$56+176&lt;'🌱 Configuração'!$E$56,MOD('🌱 Configuração'!$B$56+176-'🌱 Configuração'!$D$56,7)=0,INT(('🌱 Configuração'!$B$56+176-'🌱 Configuração'!$D$56)/7)+1=5),"🍄 Beauveria + inspeção visual buds",IF(AND('🌱 Configuração'!$B$56+176&gt;='🌱 Configuração'!$D$56,'🌱 Configuração'!$B$56+176&lt;'🌱 Configuração'!$E$56,MOD('🌱 Configuração'!$B$56+176-'🌱 Configuração'!$D$56,7)=0,INT(('🌱 Configuração'!$B$56+176-'🌱 Configuração'!$D$56)/7)+1=6),"🦠 Trichoderma + ⚠️ Verificar mofo","")))))),IF(AND('🌱 Configuração'!$B$56+176&gt;='🌱 Configuração'!$E$56,MOD('🌱 Configuração'!$B$56+176-'🌱 Configuração'!$E$56,7)=0),"🔬 Inspeção final — analisar tricomas","")))))</f>
        <v/>
      </c>
      <c r="I182" s="33"/>
    </row>
    <row r="183" spans="1:9" ht="19.5" customHeight="1">
      <c r="A183" s="1"/>
      <c r="B183" s="39" t="str">
        <f>IF(178&lt;='🌱 Configuração'!$F$55,178,"")</f>
        <v/>
      </c>
      <c r="C183" s="40" t="str">
        <f>IF(178&lt;='🌱 Configuração'!$F$55,'🌱 Configuração'!$B$56+177,"")</f>
        <v/>
      </c>
      <c r="D183" s="41" t="str">
        <f>IF(178&gt;'🌱 Configuração'!$F$55,"",IF('🌱 Configuração'!$B$56+177&lt;'🌱 Configuração'!$C$56,"🌱 Clone",IF('🌱 Configuração'!$B$56+177&lt;'🌱 Configuração'!$D$56,"🌿 Vegetativo",IF('🌱 Configuração'!$B$56+177&lt;'🌱 Configuração'!$E$56,"🌸 Floração","🚿 Flush"))))</f>
        <v/>
      </c>
      <c r="E183" s="42" t="str">
        <f>IF(178&gt;'🌱 Configuração'!$F$55,"",IF('🌱 Configuração'!$B$56+177&lt;'🌱 Configuração'!$C$56,"Clone S"&amp;INT((178-1)/7)+1,IF('🌱 Configuração'!$B$56+177&lt;'🌱 Configuração'!$D$56,"Vega S"&amp;INT(('🌱 Configuração'!$B$56+177-'🌱 Configuração'!$C$56)/7)+1,IF('🌱 Configuração'!$B$56+177&lt;'🌱 Configuração'!$E$56,"Flora S"&amp;INT(('🌱 Configuração'!$B$56+177-'🌱 Configuração'!$D$56)/7)+1,"Flush S"&amp;INT(('🌱 Configuração'!$B$56+177-'🌱 Configuração'!$E$56)/7)+1))))</f>
        <v/>
      </c>
      <c r="F183" s="43" t="str">
        <f>IF(178&gt;'🌱 Configuração'!$F$55,"",IF('🌱 Configuração'!$B$56+177='🌱 Configuração'!$C$56,"🌿 INÍCIO VEGA — luz 18h/dia",IF('🌱 Configuração'!$B$56+177='🌱 Configuração'!$D$56,"🌸 INÍCIO FLORAÇÃO — mudar 12/12 🔴",IF('🌱 Configuração'!$B$56+177='🌱 Configuração'!$E$56,"🚿 INÍCIO FLUSH — parar nutrição",IF('🌱 Configuração'!$B$56+177='🌱 Configuração'!$F$56-1,"🔬 Véspera da colheita — analisar tricomas",IF('🌱 Configuração'!$B$56+177='🌱 Configuração'!$F$56,"✂️ COLHEITA — Parabéns! 🎉",""))))))</f>
        <v/>
      </c>
      <c r="G183" s="44" t="s">
        <v>428</v>
      </c>
      <c r="H183" s="45" t="str">
        <f>IF(178&gt;'🌱 Configuração'!$F$55,"",IF('🌱 Configuração'!$B$56+177&lt;'🌱 Configuração'!$C$56,IF(178=1,"🌿 Nim (2 mL/L) — foliar leve",IF(178=8,"🍄 Beauveria bassiana — foliar + solo","")),IF('🌱 Configuração'!$B$56+177&lt;'🌱 Configuração'!$D$56,IF(AND('🌱 Configuração'!$B$56+177&gt;='🌱 Configuração'!$C$56,'🌱 Configuração'!$B$56+177&lt;'🌱 Configuração'!$D$56,MOD('🌱 Configuração'!$B$56+177-'🌱 Configuração'!$C$56,7)=0,INT(('🌱 Configuração'!$B$56+177-'🌱 Configuração'!$C$56)/7)+1=1),"🌿 Nim (2 mL/L) — foliar preventivo",IF(AND('🌱 Configuração'!$B$56+177&gt;='🌱 Configuração'!$C$56,'🌱 Configuração'!$B$56+177&lt;'🌱 Configuração'!$D$56,MOD('🌱 Configuração'!$B$56+177-'🌱 Configuração'!$C$56,7)=0,INT(('🌱 Configuração'!$B$56+177-'🌱 Configuração'!$C$56)/7)+1=2),"🍄 Beauveria bassiana — foliar + solo",IF(AND('🌱 Configuração'!$B$56+177&gt;='🌱 Configuração'!$C$56,'🌱 Configuração'!$B$56+177&lt;'🌱 Configuração'!$D$56,MOD('🌱 Configuração'!$B$56+177-'🌱 Configuração'!$C$56,7)=0,INT(('🌱 Configuração'!$B$56+177-'🌱 Configuração'!$C$56)/7)+1=3),"🟡 Calda Sulfocálcica (1%) — foliar",IF(AND('🌱 Configuração'!$B$56+177&gt;='🌱 Configuração'!$C$56,'🌱 Configuração'!$B$56+177&lt;'🌱 Configuração'!$D$56,MOD('🌱 Configuração'!$B$56+177-'🌱 Configuração'!$C$56,7)=0,INT(('🌱 Configuração'!$B$56+177-'🌱 Configuração'!$C$56)/7)+1=4),"🦠 Trichoderma (3 g/L) — solo",IF(AND('🌱 Configuração'!$B$56+177&gt;='🌱 Configuração'!$C$56,'🌱 Configuração'!$B$56+177&lt;'🌱 Configuração'!$D$56,MOD('🌱 Configuração'!$B$56+177-'🌱 Configuração'!$C$56,7)=0,INT(('🌱 Configuração'!$B$56+177-'🌱 Configuração'!$C$56)/7)+1=5),"🔵 Calda Bordalesa (0.5%) — foliar",IF(AND('🌱 Configuração'!$B$56+177&gt;='🌱 Configuração'!$C$56,'🌱 Configuração'!$B$56+177&lt;'🌱 Configuração'!$D$56,MOD('🌱 Configuração'!$B$56+177-'🌱 Configuração'!$C$56,7)=0,INT(('🌱 Configuração'!$B$56+177-'🌱 Configuração'!$C$56)/7)+1=6),"🌿 Nim (2 mL/L) — ⚠️ ÚLTIMA foliar",IF(AND('🌱 Configuração'!$B$56+177&gt;='🌱 Configuração'!$C$56,'🌱 Configuração'!$B$56+177&lt;'🌱 Configuração'!$D$56,MOD('🌱 Configuração'!$B$56+177-'🌱 Configuração'!$C$56,7)=0,INT(('🌱 Configuração'!$B$56+177-'🌱 Configuração'!$C$56)/7)+1=7),"🦠 Trichoderma — solo",IF(AND('🌱 Configuração'!$B$56+177&gt;='🌱 Configuração'!$C$56,'🌱 Configuração'!$B$56+177&lt;'🌱 Configuração'!$D$56,MOD('🌱 Configuração'!$B$56+177-'🌱 Configuração'!$C$56,7)=0,INT(('🌱 Configuração'!$B$56+177-'🌱 Configuração'!$C$56)/7)+1=8),"🍄 Beauveria — solo","")))))))),IF('🌱 Configuração'!$B$56+177&lt;'🌱 Configuração'!$E$56,IF(AND('🌱 Configuração'!$B$56+177&gt;='🌱 Configuração'!$D$56,'🌱 Configuração'!$B$56+177&lt;'🌱 Configuração'!$E$56,MOD('🌱 Configuração'!$B$56+177-'🌱 Configuração'!$D$56,7)=0,INT(('🌱 Configuração'!$B$56+177-'🌱 Configuração'!$D$56)/7)+1=1),"🍄 Beauveria bassiana — SOLO apenas",IF(AND('🌱 Configuração'!$B$56+177&gt;='🌱 Configuração'!$D$56,'🌱 Configuração'!$B$56+177&lt;'🌱 Configuração'!$E$56,MOD('🌱 Configuração'!$B$56+177-'🌱 Configuração'!$D$56,7)=0,INT(('🌱 Configuração'!$B$56+177-'🌱 Configuração'!$D$56)/7)+1=2),"🦠 Trichoderma (3 g/L) — solo",IF(AND('🌱 Configuração'!$B$56+177&gt;='🌱 Configuração'!$D$56,'🌱 Configuração'!$B$56+177&lt;'🌱 Configuração'!$E$56,MOD('🌱 Configuração'!$B$56+177-'🌱 Configuração'!$D$56,7)=0,INT(('🌱 Configuração'!$B$56+177-'🌱 Configuração'!$D$56)/7)+1=3),"🍄 Beauveria bassiana — solo | ⚠️ Umid &lt;45%",IF(AND('🌱 Configuração'!$B$56+177&gt;='🌱 Configuração'!$D$56,'🌱 Configuração'!$B$56+177&lt;'🌱 Configuração'!$E$56,MOD('🌱 Configuração'!$B$56+177-'🌱 Configuração'!$D$56,7)=0,INT(('🌱 Configuração'!$B$56+177-'🌱 Configuração'!$D$56)/7)+1=4),"🦠 Trichoderma — solo | Inspecionar buds",IF(AND('🌱 Configuração'!$B$56+177&gt;='🌱 Configuração'!$D$56,'🌱 Configuração'!$B$56+177&lt;'🌱 Configuração'!$E$56,MOD('🌱 Configuração'!$B$56+177-'🌱 Configuração'!$D$56,7)=0,INT(('🌱 Configuração'!$B$56+177-'🌱 Configuração'!$D$56)/7)+1=5),"🍄 Beauveria + inspeção visual buds",IF(AND('🌱 Configuração'!$B$56+177&gt;='🌱 Configuração'!$D$56,'🌱 Configuração'!$B$56+177&lt;'🌱 Configuração'!$E$56,MOD('🌱 Configuração'!$B$56+177-'🌱 Configuração'!$D$56,7)=0,INT(('🌱 Configuração'!$B$56+177-'🌱 Configuração'!$D$56)/7)+1=6),"🦠 Trichoderma + ⚠️ Verificar mofo","")))))),IF(AND('🌱 Configuração'!$B$56+177&gt;='🌱 Configuração'!$E$56,MOD('🌱 Configuração'!$B$56+177-'🌱 Configuração'!$E$56,7)=0),"🔬 Inspeção final — analisar tricomas","")))))</f>
        <v/>
      </c>
      <c r="I183" s="33"/>
    </row>
    <row r="184" spans="1:9" ht="19.5" customHeight="1">
      <c r="A184" s="1"/>
      <c r="B184" s="35" t="str">
        <f>IF(179&lt;='🌱 Configuração'!$F$55,179,"")</f>
        <v/>
      </c>
      <c r="C184" s="13" t="str">
        <f>IF(179&lt;='🌱 Configuração'!$F$55,'🌱 Configuração'!$B$56+178,"")</f>
        <v/>
      </c>
      <c r="D184" s="36" t="str">
        <f>IF(179&gt;'🌱 Configuração'!$F$55,"",IF('🌱 Configuração'!$B$56+178&lt;'🌱 Configuração'!$C$56,"🌱 Clone",IF('🌱 Configuração'!$B$56+178&lt;'🌱 Configuração'!$D$56,"🌿 Vegetativo",IF('🌱 Configuração'!$B$56+178&lt;'🌱 Configuração'!$E$56,"🌸 Floração","🚿 Flush"))))</f>
        <v/>
      </c>
      <c r="E184" s="15" t="str">
        <f>IF(179&gt;'🌱 Configuração'!$F$55,"",IF('🌱 Configuração'!$B$56+178&lt;'🌱 Configuração'!$C$56,"Clone S"&amp;INT((179-1)/7)+1,IF('🌱 Configuração'!$B$56+178&lt;'🌱 Configuração'!$D$56,"Vega S"&amp;INT(('🌱 Configuração'!$B$56+178-'🌱 Configuração'!$C$56)/7)+1,IF('🌱 Configuração'!$B$56+178&lt;'🌱 Configuração'!$E$56,"Flora S"&amp;INT(('🌱 Configuração'!$B$56+178-'🌱 Configuração'!$D$56)/7)+1,"Flush S"&amp;INT(('🌱 Configuração'!$B$56+178-'🌱 Configuração'!$E$56)/7)+1))))</f>
        <v/>
      </c>
      <c r="F184" s="14" t="str">
        <f>IF(179&gt;'🌱 Configuração'!$F$55,"",IF('🌱 Configuração'!$B$56+178='🌱 Configuração'!$C$56,"🌿 INÍCIO VEGA — luz 18h/dia",IF('🌱 Configuração'!$B$56+178='🌱 Configuração'!$D$56,"🌸 INÍCIO FLORAÇÃO — mudar 12/12 🔴",IF('🌱 Configuração'!$B$56+178='🌱 Configuração'!$E$56,"🚿 INÍCIO FLUSH — parar nutrição",IF('🌱 Configuração'!$B$56+178='🌱 Configuração'!$F$56-1,"🔬 Véspera da colheita — analisar tricomas",IF('🌱 Configuração'!$B$56+178='🌱 Configuração'!$F$56,"✂️ COLHEITA — Parabéns! 🎉",""))))))</f>
        <v/>
      </c>
      <c r="G184" s="37" t="s">
        <v>428</v>
      </c>
      <c r="H184" s="38" t="str">
        <f>IF(179&gt;'🌱 Configuração'!$F$55,"",IF('🌱 Configuração'!$B$56+178&lt;'🌱 Configuração'!$C$56,IF(179=1,"🌿 Nim (2 mL/L) — foliar leve",IF(179=8,"🍄 Beauveria bassiana — foliar + solo","")),IF('🌱 Configuração'!$B$56+178&lt;'🌱 Configuração'!$D$56,IF(AND('🌱 Configuração'!$B$56+178&gt;='🌱 Configuração'!$C$56,'🌱 Configuração'!$B$56+178&lt;'🌱 Configuração'!$D$56,MOD('🌱 Configuração'!$B$56+178-'🌱 Configuração'!$C$56,7)=0,INT(('🌱 Configuração'!$B$56+178-'🌱 Configuração'!$C$56)/7)+1=1),"🌿 Nim (2 mL/L) — foliar preventivo",IF(AND('🌱 Configuração'!$B$56+178&gt;='🌱 Configuração'!$C$56,'🌱 Configuração'!$B$56+178&lt;'🌱 Configuração'!$D$56,MOD('🌱 Configuração'!$B$56+178-'🌱 Configuração'!$C$56,7)=0,INT(('🌱 Configuração'!$B$56+178-'🌱 Configuração'!$C$56)/7)+1=2),"🍄 Beauveria bassiana — foliar + solo",IF(AND('🌱 Configuração'!$B$56+178&gt;='🌱 Configuração'!$C$56,'🌱 Configuração'!$B$56+178&lt;'🌱 Configuração'!$D$56,MOD('🌱 Configuração'!$B$56+178-'🌱 Configuração'!$C$56,7)=0,INT(('🌱 Configuração'!$B$56+178-'🌱 Configuração'!$C$56)/7)+1=3),"🟡 Calda Sulfocálcica (1%) — foliar",IF(AND('🌱 Configuração'!$B$56+178&gt;='🌱 Configuração'!$C$56,'🌱 Configuração'!$B$56+178&lt;'🌱 Configuração'!$D$56,MOD('🌱 Configuração'!$B$56+178-'🌱 Configuração'!$C$56,7)=0,INT(('🌱 Configuração'!$B$56+178-'🌱 Configuração'!$C$56)/7)+1=4),"🦠 Trichoderma (3 g/L) — solo",IF(AND('🌱 Configuração'!$B$56+178&gt;='🌱 Configuração'!$C$56,'🌱 Configuração'!$B$56+178&lt;'🌱 Configuração'!$D$56,MOD('🌱 Configuração'!$B$56+178-'🌱 Configuração'!$C$56,7)=0,INT(('🌱 Configuração'!$B$56+178-'🌱 Configuração'!$C$56)/7)+1=5),"🔵 Calda Bordalesa (0.5%) — foliar",IF(AND('🌱 Configuração'!$B$56+178&gt;='🌱 Configuração'!$C$56,'🌱 Configuração'!$B$56+178&lt;'🌱 Configuração'!$D$56,MOD('🌱 Configuração'!$B$56+178-'🌱 Configuração'!$C$56,7)=0,INT(('🌱 Configuração'!$B$56+178-'🌱 Configuração'!$C$56)/7)+1=6),"🌿 Nim (2 mL/L) — ⚠️ ÚLTIMA foliar",IF(AND('🌱 Configuração'!$B$56+178&gt;='🌱 Configuração'!$C$56,'🌱 Configuração'!$B$56+178&lt;'🌱 Configuração'!$D$56,MOD('🌱 Configuração'!$B$56+178-'🌱 Configuração'!$C$56,7)=0,INT(('🌱 Configuração'!$B$56+178-'🌱 Configuração'!$C$56)/7)+1=7),"🦠 Trichoderma — solo",IF(AND('🌱 Configuração'!$B$56+178&gt;='🌱 Configuração'!$C$56,'🌱 Configuração'!$B$56+178&lt;'🌱 Configuração'!$D$56,MOD('🌱 Configuração'!$B$56+178-'🌱 Configuração'!$C$56,7)=0,INT(('🌱 Configuração'!$B$56+178-'🌱 Configuração'!$C$56)/7)+1=8),"🍄 Beauveria — solo","")))))))),IF('🌱 Configuração'!$B$56+178&lt;'🌱 Configuração'!$E$56,IF(AND('🌱 Configuração'!$B$56+178&gt;='🌱 Configuração'!$D$56,'🌱 Configuração'!$B$56+178&lt;'🌱 Configuração'!$E$56,MOD('🌱 Configuração'!$B$56+178-'🌱 Configuração'!$D$56,7)=0,INT(('🌱 Configuração'!$B$56+178-'🌱 Configuração'!$D$56)/7)+1=1),"🍄 Beauveria bassiana — SOLO apenas",IF(AND('🌱 Configuração'!$B$56+178&gt;='🌱 Configuração'!$D$56,'🌱 Configuração'!$B$56+178&lt;'🌱 Configuração'!$E$56,MOD('🌱 Configuração'!$B$56+178-'🌱 Configuração'!$D$56,7)=0,INT(('🌱 Configuração'!$B$56+178-'🌱 Configuração'!$D$56)/7)+1=2),"🦠 Trichoderma (3 g/L) — solo",IF(AND('🌱 Configuração'!$B$56+178&gt;='🌱 Configuração'!$D$56,'🌱 Configuração'!$B$56+178&lt;'🌱 Configuração'!$E$56,MOD('🌱 Configuração'!$B$56+178-'🌱 Configuração'!$D$56,7)=0,INT(('🌱 Configuração'!$B$56+178-'🌱 Configuração'!$D$56)/7)+1=3),"🍄 Beauveria bassiana — solo | ⚠️ Umid &lt;45%",IF(AND('🌱 Configuração'!$B$56+178&gt;='🌱 Configuração'!$D$56,'🌱 Configuração'!$B$56+178&lt;'🌱 Configuração'!$E$56,MOD('🌱 Configuração'!$B$56+178-'🌱 Configuração'!$D$56,7)=0,INT(('🌱 Configuração'!$B$56+178-'🌱 Configuração'!$D$56)/7)+1=4),"🦠 Trichoderma — solo | Inspecionar buds",IF(AND('🌱 Configuração'!$B$56+178&gt;='🌱 Configuração'!$D$56,'🌱 Configuração'!$B$56+178&lt;'🌱 Configuração'!$E$56,MOD('🌱 Configuração'!$B$56+178-'🌱 Configuração'!$D$56,7)=0,INT(('🌱 Configuração'!$B$56+178-'🌱 Configuração'!$D$56)/7)+1=5),"🍄 Beauveria + inspeção visual buds",IF(AND('🌱 Configuração'!$B$56+178&gt;='🌱 Configuração'!$D$56,'🌱 Configuração'!$B$56+178&lt;'🌱 Configuração'!$E$56,MOD('🌱 Configuração'!$B$56+178-'🌱 Configuração'!$D$56,7)=0,INT(('🌱 Configuração'!$B$56+178-'🌱 Configuração'!$D$56)/7)+1=6),"🦠 Trichoderma + ⚠️ Verificar mofo","")))))),IF(AND('🌱 Configuração'!$B$56+178&gt;='🌱 Configuração'!$E$56,MOD('🌱 Configuração'!$B$56+178-'🌱 Configuração'!$E$56,7)=0),"🔬 Inspeção final — analisar tricomas","")))))</f>
        <v/>
      </c>
      <c r="I184" s="33"/>
    </row>
    <row r="185" spans="1:9" ht="19.5" customHeight="1">
      <c r="A185" s="1"/>
      <c r="B185" s="39" t="str">
        <f>IF(180&lt;='🌱 Configuração'!$F$55,180,"")</f>
        <v/>
      </c>
      <c r="C185" s="40" t="str">
        <f>IF(180&lt;='🌱 Configuração'!$F$55,'🌱 Configuração'!$B$56+179,"")</f>
        <v/>
      </c>
      <c r="D185" s="41" t="str">
        <f>IF(180&gt;'🌱 Configuração'!$F$55,"",IF('🌱 Configuração'!$B$56+179&lt;'🌱 Configuração'!$C$56,"🌱 Clone",IF('🌱 Configuração'!$B$56+179&lt;'🌱 Configuração'!$D$56,"🌿 Vegetativo",IF('🌱 Configuração'!$B$56+179&lt;'🌱 Configuração'!$E$56,"🌸 Floração","🚿 Flush"))))</f>
        <v/>
      </c>
      <c r="E185" s="42" t="str">
        <f>IF(180&gt;'🌱 Configuração'!$F$55,"",IF('🌱 Configuração'!$B$56+179&lt;'🌱 Configuração'!$C$56,"Clone S"&amp;INT((180-1)/7)+1,IF('🌱 Configuração'!$B$56+179&lt;'🌱 Configuração'!$D$56,"Vega S"&amp;INT(('🌱 Configuração'!$B$56+179-'🌱 Configuração'!$C$56)/7)+1,IF('🌱 Configuração'!$B$56+179&lt;'🌱 Configuração'!$E$56,"Flora S"&amp;INT(('🌱 Configuração'!$B$56+179-'🌱 Configuração'!$D$56)/7)+1,"Flush S"&amp;INT(('🌱 Configuração'!$B$56+179-'🌱 Configuração'!$E$56)/7)+1))))</f>
        <v/>
      </c>
      <c r="F185" s="43" t="str">
        <f>IF(180&gt;'🌱 Configuração'!$F$55,"",IF('🌱 Configuração'!$B$56+179='🌱 Configuração'!$C$56,"🌿 INÍCIO VEGA — luz 18h/dia",IF('🌱 Configuração'!$B$56+179='🌱 Configuração'!$D$56,"🌸 INÍCIO FLORAÇÃO — mudar 12/12 🔴",IF('🌱 Configuração'!$B$56+179='🌱 Configuração'!$E$56,"🚿 INÍCIO FLUSH — parar nutrição",IF('🌱 Configuração'!$B$56+179='🌱 Configuração'!$F$56-1,"🔬 Véspera da colheita — analisar tricomas",IF('🌱 Configuração'!$B$56+179='🌱 Configuração'!$F$56,"✂️ COLHEITA — Parabéns! 🎉",""))))))</f>
        <v/>
      </c>
      <c r="G185" s="44" t="s">
        <v>428</v>
      </c>
      <c r="H185" s="45" t="str">
        <f>IF(180&gt;'🌱 Configuração'!$F$55,"",IF('🌱 Configuração'!$B$56+179&lt;'🌱 Configuração'!$C$56,IF(180=1,"🌿 Nim (2 mL/L) — foliar leve",IF(180=8,"🍄 Beauveria bassiana — foliar + solo","")),IF('🌱 Configuração'!$B$56+179&lt;'🌱 Configuração'!$D$56,IF(AND('🌱 Configuração'!$B$56+179&gt;='🌱 Configuração'!$C$56,'🌱 Configuração'!$B$56+179&lt;'🌱 Configuração'!$D$56,MOD('🌱 Configuração'!$B$56+179-'🌱 Configuração'!$C$56,7)=0,INT(('🌱 Configuração'!$B$56+179-'🌱 Configuração'!$C$56)/7)+1=1),"🌿 Nim (2 mL/L) — foliar preventivo",IF(AND('🌱 Configuração'!$B$56+179&gt;='🌱 Configuração'!$C$56,'🌱 Configuração'!$B$56+179&lt;'🌱 Configuração'!$D$56,MOD('🌱 Configuração'!$B$56+179-'🌱 Configuração'!$C$56,7)=0,INT(('🌱 Configuração'!$B$56+179-'🌱 Configuração'!$C$56)/7)+1=2),"🍄 Beauveria bassiana — foliar + solo",IF(AND('🌱 Configuração'!$B$56+179&gt;='🌱 Configuração'!$C$56,'🌱 Configuração'!$B$56+179&lt;'🌱 Configuração'!$D$56,MOD('🌱 Configuração'!$B$56+179-'🌱 Configuração'!$C$56,7)=0,INT(('🌱 Configuração'!$B$56+179-'🌱 Configuração'!$C$56)/7)+1=3),"🟡 Calda Sulfocálcica (1%) — foliar",IF(AND('🌱 Configuração'!$B$56+179&gt;='🌱 Configuração'!$C$56,'🌱 Configuração'!$B$56+179&lt;'🌱 Configuração'!$D$56,MOD('🌱 Configuração'!$B$56+179-'🌱 Configuração'!$C$56,7)=0,INT(('🌱 Configuração'!$B$56+179-'🌱 Configuração'!$C$56)/7)+1=4),"🦠 Trichoderma (3 g/L) — solo",IF(AND('🌱 Configuração'!$B$56+179&gt;='🌱 Configuração'!$C$56,'🌱 Configuração'!$B$56+179&lt;'🌱 Configuração'!$D$56,MOD('🌱 Configuração'!$B$56+179-'🌱 Configuração'!$C$56,7)=0,INT(('🌱 Configuração'!$B$56+179-'🌱 Configuração'!$C$56)/7)+1=5),"🔵 Calda Bordalesa (0.5%) — foliar",IF(AND('🌱 Configuração'!$B$56+179&gt;='🌱 Configuração'!$C$56,'🌱 Configuração'!$B$56+179&lt;'🌱 Configuração'!$D$56,MOD('🌱 Configuração'!$B$56+179-'🌱 Configuração'!$C$56,7)=0,INT(('🌱 Configuração'!$B$56+179-'🌱 Configuração'!$C$56)/7)+1=6),"🌿 Nim (2 mL/L) — ⚠️ ÚLTIMA foliar",IF(AND('🌱 Configuração'!$B$56+179&gt;='🌱 Configuração'!$C$56,'🌱 Configuração'!$B$56+179&lt;'🌱 Configuração'!$D$56,MOD('🌱 Configuração'!$B$56+179-'🌱 Configuração'!$C$56,7)=0,INT(('🌱 Configuração'!$B$56+179-'🌱 Configuração'!$C$56)/7)+1=7),"🦠 Trichoderma — solo",IF(AND('🌱 Configuração'!$B$56+179&gt;='🌱 Configuração'!$C$56,'🌱 Configuração'!$B$56+179&lt;'🌱 Configuração'!$D$56,MOD('🌱 Configuração'!$B$56+179-'🌱 Configuração'!$C$56,7)=0,INT(('🌱 Configuração'!$B$56+179-'🌱 Configuração'!$C$56)/7)+1=8),"🍄 Beauveria — solo","")))))))),IF('🌱 Configuração'!$B$56+179&lt;'🌱 Configuração'!$E$56,IF(AND('🌱 Configuração'!$B$56+179&gt;='🌱 Configuração'!$D$56,'🌱 Configuração'!$B$56+179&lt;'🌱 Configuração'!$E$56,MOD('🌱 Configuração'!$B$56+179-'🌱 Configuração'!$D$56,7)=0,INT(('🌱 Configuração'!$B$56+179-'🌱 Configuração'!$D$56)/7)+1=1),"🍄 Beauveria bassiana — SOLO apenas",IF(AND('🌱 Configuração'!$B$56+179&gt;='🌱 Configuração'!$D$56,'🌱 Configuração'!$B$56+179&lt;'🌱 Configuração'!$E$56,MOD('🌱 Configuração'!$B$56+179-'🌱 Configuração'!$D$56,7)=0,INT(('🌱 Configuração'!$B$56+179-'🌱 Configuração'!$D$56)/7)+1=2),"🦠 Trichoderma (3 g/L) — solo",IF(AND('🌱 Configuração'!$B$56+179&gt;='🌱 Configuração'!$D$56,'🌱 Configuração'!$B$56+179&lt;'🌱 Configuração'!$E$56,MOD('🌱 Configuração'!$B$56+179-'🌱 Configuração'!$D$56,7)=0,INT(('🌱 Configuração'!$B$56+179-'🌱 Configuração'!$D$56)/7)+1=3),"🍄 Beauveria bassiana — solo | ⚠️ Umid &lt;45%",IF(AND('🌱 Configuração'!$B$56+179&gt;='🌱 Configuração'!$D$56,'🌱 Configuração'!$B$56+179&lt;'🌱 Configuração'!$E$56,MOD('🌱 Configuração'!$B$56+179-'🌱 Configuração'!$D$56,7)=0,INT(('🌱 Configuração'!$B$56+179-'🌱 Configuração'!$D$56)/7)+1=4),"🦠 Trichoderma — solo | Inspecionar buds",IF(AND('🌱 Configuração'!$B$56+179&gt;='🌱 Configuração'!$D$56,'🌱 Configuração'!$B$56+179&lt;'🌱 Configuração'!$E$56,MOD('🌱 Configuração'!$B$56+179-'🌱 Configuração'!$D$56,7)=0,INT(('🌱 Configuração'!$B$56+179-'🌱 Configuração'!$D$56)/7)+1=5),"🍄 Beauveria + inspeção visual buds",IF(AND('🌱 Configuração'!$B$56+179&gt;='🌱 Configuração'!$D$56,'🌱 Configuração'!$B$56+179&lt;'🌱 Configuração'!$E$56,MOD('🌱 Configuração'!$B$56+179-'🌱 Configuração'!$D$56,7)=0,INT(('🌱 Configuração'!$B$56+179-'🌱 Configuração'!$D$56)/7)+1=6),"🦠 Trichoderma + ⚠️ Verificar mofo","")))))),IF(AND('🌱 Configuração'!$B$56+179&gt;='🌱 Configuração'!$E$56,MOD('🌱 Configuração'!$B$56+179-'🌱 Configuração'!$E$56,7)=0),"🔬 Inspeção final — analisar tricomas","")))))</f>
        <v/>
      </c>
      <c r="I185" s="33"/>
    </row>
    <row r="186" spans="1:9" ht="19.5" customHeight="1">
      <c r="A186" s="1"/>
      <c r="B186" s="35" t="str">
        <f>IF(181&lt;='🌱 Configuração'!$F$55,181,"")</f>
        <v/>
      </c>
      <c r="C186" s="13" t="str">
        <f>IF(181&lt;='🌱 Configuração'!$F$55,'🌱 Configuração'!$B$56+180,"")</f>
        <v/>
      </c>
      <c r="D186" s="36" t="str">
        <f>IF(181&gt;'🌱 Configuração'!$F$55,"",IF('🌱 Configuração'!$B$56+180&lt;'🌱 Configuração'!$C$56,"🌱 Clone",IF('🌱 Configuração'!$B$56+180&lt;'🌱 Configuração'!$D$56,"🌿 Vegetativo",IF('🌱 Configuração'!$B$56+180&lt;'🌱 Configuração'!$E$56,"🌸 Floração","🚿 Flush"))))</f>
        <v/>
      </c>
      <c r="E186" s="15" t="str">
        <f>IF(181&gt;'🌱 Configuração'!$F$55,"",IF('🌱 Configuração'!$B$56+180&lt;'🌱 Configuração'!$C$56,"Clone S"&amp;INT((181-1)/7)+1,IF('🌱 Configuração'!$B$56+180&lt;'🌱 Configuração'!$D$56,"Vega S"&amp;INT(('🌱 Configuração'!$B$56+180-'🌱 Configuração'!$C$56)/7)+1,IF('🌱 Configuração'!$B$56+180&lt;'🌱 Configuração'!$E$56,"Flora S"&amp;INT(('🌱 Configuração'!$B$56+180-'🌱 Configuração'!$D$56)/7)+1,"Flush S"&amp;INT(('🌱 Configuração'!$B$56+180-'🌱 Configuração'!$E$56)/7)+1))))</f>
        <v/>
      </c>
      <c r="F186" s="14" t="str">
        <f>IF(181&gt;'🌱 Configuração'!$F$55,"",IF('🌱 Configuração'!$B$56+180='🌱 Configuração'!$C$56,"🌿 INÍCIO VEGA — luz 18h/dia",IF('🌱 Configuração'!$B$56+180='🌱 Configuração'!$D$56,"🌸 INÍCIO FLORAÇÃO — mudar 12/12 🔴",IF('🌱 Configuração'!$B$56+180='🌱 Configuração'!$E$56,"🚿 INÍCIO FLUSH — parar nutrição",IF('🌱 Configuração'!$B$56+180='🌱 Configuração'!$F$56-1,"🔬 Véspera da colheita — analisar tricomas",IF('🌱 Configuração'!$B$56+180='🌱 Configuração'!$F$56,"✂️ COLHEITA — Parabéns! 🎉",""))))))</f>
        <v/>
      </c>
      <c r="G186" s="37" t="s">
        <v>428</v>
      </c>
      <c r="H186" s="38" t="str">
        <f>IF(181&gt;'🌱 Configuração'!$F$55,"",IF('🌱 Configuração'!$B$56+180&lt;'🌱 Configuração'!$C$56,IF(181=1,"🌿 Nim (2 mL/L) — foliar leve",IF(181=8,"🍄 Beauveria bassiana — foliar + solo","")),IF('🌱 Configuração'!$B$56+180&lt;'🌱 Configuração'!$D$56,IF(AND('🌱 Configuração'!$B$56+180&gt;='🌱 Configuração'!$C$56,'🌱 Configuração'!$B$56+180&lt;'🌱 Configuração'!$D$56,MOD('🌱 Configuração'!$B$56+180-'🌱 Configuração'!$C$56,7)=0,INT(('🌱 Configuração'!$B$56+180-'🌱 Configuração'!$C$56)/7)+1=1),"🌿 Nim (2 mL/L) — foliar preventivo",IF(AND('🌱 Configuração'!$B$56+180&gt;='🌱 Configuração'!$C$56,'🌱 Configuração'!$B$56+180&lt;'🌱 Configuração'!$D$56,MOD('🌱 Configuração'!$B$56+180-'🌱 Configuração'!$C$56,7)=0,INT(('🌱 Configuração'!$B$56+180-'🌱 Configuração'!$C$56)/7)+1=2),"🍄 Beauveria bassiana — foliar + solo",IF(AND('🌱 Configuração'!$B$56+180&gt;='🌱 Configuração'!$C$56,'🌱 Configuração'!$B$56+180&lt;'🌱 Configuração'!$D$56,MOD('🌱 Configuração'!$B$56+180-'🌱 Configuração'!$C$56,7)=0,INT(('🌱 Configuração'!$B$56+180-'🌱 Configuração'!$C$56)/7)+1=3),"🟡 Calda Sulfocálcica (1%) — foliar",IF(AND('🌱 Configuração'!$B$56+180&gt;='🌱 Configuração'!$C$56,'🌱 Configuração'!$B$56+180&lt;'🌱 Configuração'!$D$56,MOD('🌱 Configuração'!$B$56+180-'🌱 Configuração'!$C$56,7)=0,INT(('🌱 Configuração'!$B$56+180-'🌱 Configuração'!$C$56)/7)+1=4),"🦠 Trichoderma (3 g/L) — solo",IF(AND('🌱 Configuração'!$B$56+180&gt;='🌱 Configuração'!$C$56,'🌱 Configuração'!$B$56+180&lt;'🌱 Configuração'!$D$56,MOD('🌱 Configuração'!$B$56+180-'🌱 Configuração'!$C$56,7)=0,INT(('🌱 Configuração'!$B$56+180-'🌱 Configuração'!$C$56)/7)+1=5),"🔵 Calda Bordalesa (0.5%) — foliar",IF(AND('🌱 Configuração'!$B$56+180&gt;='🌱 Configuração'!$C$56,'🌱 Configuração'!$B$56+180&lt;'🌱 Configuração'!$D$56,MOD('🌱 Configuração'!$B$56+180-'🌱 Configuração'!$C$56,7)=0,INT(('🌱 Configuração'!$B$56+180-'🌱 Configuração'!$C$56)/7)+1=6),"🌿 Nim (2 mL/L) — ⚠️ ÚLTIMA foliar",IF(AND('🌱 Configuração'!$B$56+180&gt;='🌱 Configuração'!$C$56,'🌱 Configuração'!$B$56+180&lt;'🌱 Configuração'!$D$56,MOD('🌱 Configuração'!$B$56+180-'🌱 Configuração'!$C$56,7)=0,INT(('🌱 Configuração'!$B$56+180-'🌱 Configuração'!$C$56)/7)+1=7),"🦠 Trichoderma — solo",IF(AND('🌱 Configuração'!$B$56+180&gt;='🌱 Configuração'!$C$56,'🌱 Configuração'!$B$56+180&lt;'🌱 Configuração'!$D$56,MOD('🌱 Configuração'!$B$56+180-'🌱 Configuração'!$C$56,7)=0,INT(('🌱 Configuração'!$B$56+180-'🌱 Configuração'!$C$56)/7)+1=8),"🍄 Beauveria — solo","")))))))),IF('🌱 Configuração'!$B$56+180&lt;'🌱 Configuração'!$E$56,IF(AND('🌱 Configuração'!$B$56+180&gt;='🌱 Configuração'!$D$56,'🌱 Configuração'!$B$56+180&lt;'🌱 Configuração'!$E$56,MOD('🌱 Configuração'!$B$56+180-'🌱 Configuração'!$D$56,7)=0,INT(('🌱 Configuração'!$B$56+180-'🌱 Configuração'!$D$56)/7)+1=1),"🍄 Beauveria bassiana — SOLO apenas",IF(AND('🌱 Configuração'!$B$56+180&gt;='🌱 Configuração'!$D$56,'🌱 Configuração'!$B$56+180&lt;'🌱 Configuração'!$E$56,MOD('🌱 Configuração'!$B$56+180-'🌱 Configuração'!$D$56,7)=0,INT(('🌱 Configuração'!$B$56+180-'🌱 Configuração'!$D$56)/7)+1=2),"🦠 Trichoderma (3 g/L) — solo",IF(AND('🌱 Configuração'!$B$56+180&gt;='🌱 Configuração'!$D$56,'🌱 Configuração'!$B$56+180&lt;'🌱 Configuração'!$E$56,MOD('🌱 Configuração'!$B$56+180-'🌱 Configuração'!$D$56,7)=0,INT(('🌱 Configuração'!$B$56+180-'🌱 Configuração'!$D$56)/7)+1=3),"🍄 Beauveria bassiana — solo | ⚠️ Umid &lt;45%",IF(AND('🌱 Configuração'!$B$56+180&gt;='🌱 Configuração'!$D$56,'🌱 Configuração'!$B$56+180&lt;'🌱 Configuração'!$E$56,MOD('🌱 Configuração'!$B$56+180-'🌱 Configuração'!$D$56,7)=0,INT(('🌱 Configuração'!$B$56+180-'🌱 Configuração'!$D$56)/7)+1=4),"🦠 Trichoderma — solo | Inspecionar buds",IF(AND('🌱 Configuração'!$B$56+180&gt;='🌱 Configuração'!$D$56,'🌱 Configuração'!$B$56+180&lt;'🌱 Configuração'!$E$56,MOD('🌱 Configuração'!$B$56+180-'🌱 Configuração'!$D$56,7)=0,INT(('🌱 Configuração'!$B$56+180-'🌱 Configuração'!$D$56)/7)+1=5),"🍄 Beauveria + inspeção visual buds",IF(AND('🌱 Configuração'!$B$56+180&gt;='🌱 Configuração'!$D$56,'🌱 Configuração'!$B$56+180&lt;'🌱 Configuração'!$E$56,MOD('🌱 Configuração'!$B$56+180-'🌱 Configuração'!$D$56,7)=0,INT(('🌱 Configuração'!$B$56+180-'🌱 Configuração'!$D$56)/7)+1=6),"🦠 Trichoderma + ⚠️ Verificar mofo","")))))),IF(AND('🌱 Configuração'!$B$56+180&gt;='🌱 Configuração'!$E$56,MOD('🌱 Configuração'!$B$56+180-'🌱 Configuração'!$E$56,7)=0),"🔬 Inspeção final — analisar tricomas","")))))</f>
        <v/>
      </c>
      <c r="I186" s="33"/>
    </row>
    <row r="187" spans="1:9" ht="19.5" customHeight="1">
      <c r="A187" s="1"/>
      <c r="B187" s="39" t="str">
        <f>IF(182&lt;='🌱 Configuração'!$F$55,182,"")</f>
        <v/>
      </c>
      <c r="C187" s="40" t="str">
        <f>IF(182&lt;='🌱 Configuração'!$F$55,'🌱 Configuração'!$B$56+181,"")</f>
        <v/>
      </c>
      <c r="D187" s="41" t="str">
        <f>IF(182&gt;'🌱 Configuração'!$F$55,"",IF('🌱 Configuração'!$B$56+181&lt;'🌱 Configuração'!$C$56,"🌱 Clone",IF('🌱 Configuração'!$B$56+181&lt;'🌱 Configuração'!$D$56,"🌿 Vegetativo",IF('🌱 Configuração'!$B$56+181&lt;'🌱 Configuração'!$E$56,"🌸 Floração","🚿 Flush"))))</f>
        <v/>
      </c>
      <c r="E187" s="42" t="str">
        <f>IF(182&gt;'🌱 Configuração'!$F$55,"",IF('🌱 Configuração'!$B$56+181&lt;'🌱 Configuração'!$C$56,"Clone S"&amp;INT((182-1)/7)+1,IF('🌱 Configuração'!$B$56+181&lt;'🌱 Configuração'!$D$56,"Vega S"&amp;INT(('🌱 Configuração'!$B$56+181-'🌱 Configuração'!$C$56)/7)+1,IF('🌱 Configuração'!$B$56+181&lt;'🌱 Configuração'!$E$56,"Flora S"&amp;INT(('🌱 Configuração'!$B$56+181-'🌱 Configuração'!$D$56)/7)+1,"Flush S"&amp;INT(('🌱 Configuração'!$B$56+181-'🌱 Configuração'!$E$56)/7)+1))))</f>
        <v/>
      </c>
      <c r="F187" s="43" t="str">
        <f>IF(182&gt;'🌱 Configuração'!$F$55,"",IF('🌱 Configuração'!$B$56+181='🌱 Configuração'!$C$56,"🌿 INÍCIO VEGA — luz 18h/dia",IF('🌱 Configuração'!$B$56+181='🌱 Configuração'!$D$56,"🌸 INÍCIO FLORAÇÃO — mudar 12/12 🔴",IF('🌱 Configuração'!$B$56+181='🌱 Configuração'!$E$56,"🚿 INÍCIO FLUSH — parar nutrição",IF('🌱 Configuração'!$B$56+181='🌱 Configuração'!$F$56-1,"🔬 Véspera da colheita — analisar tricomas",IF('🌱 Configuração'!$B$56+181='🌱 Configuração'!$F$56,"✂️ COLHEITA — Parabéns! 🎉",""))))))</f>
        <v/>
      </c>
      <c r="G187" s="44" t="s">
        <v>428</v>
      </c>
      <c r="H187" s="45" t="str">
        <f>IF(182&gt;'🌱 Configuração'!$F$55,"",IF('🌱 Configuração'!$B$56+181&lt;'🌱 Configuração'!$C$56,IF(182=1,"🌿 Nim (2 mL/L) — foliar leve",IF(182=8,"🍄 Beauveria bassiana — foliar + solo","")),IF('🌱 Configuração'!$B$56+181&lt;'🌱 Configuração'!$D$56,IF(AND('🌱 Configuração'!$B$56+181&gt;='🌱 Configuração'!$C$56,'🌱 Configuração'!$B$56+181&lt;'🌱 Configuração'!$D$56,MOD('🌱 Configuração'!$B$56+181-'🌱 Configuração'!$C$56,7)=0,INT(('🌱 Configuração'!$B$56+181-'🌱 Configuração'!$C$56)/7)+1=1),"🌿 Nim (2 mL/L) — foliar preventivo",IF(AND('🌱 Configuração'!$B$56+181&gt;='🌱 Configuração'!$C$56,'🌱 Configuração'!$B$56+181&lt;'🌱 Configuração'!$D$56,MOD('🌱 Configuração'!$B$56+181-'🌱 Configuração'!$C$56,7)=0,INT(('🌱 Configuração'!$B$56+181-'🌱 Configuração'!$C$56)/7)+1=2),"🍄 Beauveria bassiana — foliar + solo",IF(AND('🌱 Configuração'!$B$56+181&gt;='🌱 Configuração'!$C$56,'🌱 Configuração'!$B$56+181&lt;'🌱 Configuração'!$D$56,MOD('🌱 Configuração'!$B$56+181-'🌱 Configuração'!$C$56,7)=0,INT(('🌱 Configuração'!$B$56+181-'🌱 Configuração'!$C$56)/7)+1=3),"🟡 Calda Sulfocálcica (1%) — foliar",IF(AND('🌱 Configuração'!$B$56+181&gt;='🌱 Configuração'!$C$56,'🌱 Configuração'!$B$56+181&lt;'🌱 Configuração'!$D$56,MOD('🌱 Configuração'!$B$56+181-'🌱 Configuração'!$C$56,7)=0,INT(('🌱 Configuração'!$B$56+181-'🌱 Configuração'!$C$56)/7)+1=4),"🦠 Trichoderma (3 g/L) — solo",IF(AND('🌱 Configuração'!$B$56+181&gt;='🌱 Configuração'!$C$56,'🌱 Configuração'!$B$56+181&lt;'🌱 Configuração'!$D$56,MOD('🌱 Configuração'!$B$56+181-'🌱 Configuração'!$C$56,7)=0,INT(('🌱 Configuração'!$B$56+181-'🌱 Configuração'!$C$56)/7)+1=5),"🔵 Calda Bordalesa (0.5%) — foliar",IF(AND('🌱 Configuração'!$B$56+181&gt;='🌱 Configuração'!$C$56,'🌱 Configuração'!$B$56+181&lt;'🌱 Configuração'!$D$56,MOD('🌱 Configuração'!$B$56+181-'🌱 Configuração'!$C$56,7)=0,INT(('🌱 Configuração'!$B$56+181-'🌱 Configuração'!$C$56)/7)+1=6),"🌿 Nim (2 mL/L) — ⚠️ ÚLTIMA foliar",IF(AND('🌱 Configuração'!$B$56+181&gt;='🌱 Configuração'!$C$56,'🌱 Configuração'!$B$56+181&lt;'🌱 Configuração'!$D$56,MOD('🌱 Configuração'!$B$56+181-'🌱 Configuração'!$C$56,7)=0,INT(('🌱 Configuração'!$B$56+181-'🌱 Configuração'!$C$56)/7)+1=7),"🦠 Trichoderma — solo",IF(AND('🌱 Configuração'!$B$56+181&gt;='🌱 Configuração'!$C$56,'🌱 Configuração'!$B$56+181&lt;'🌱 Configuração'!$D$56,MOD('🌱 Configuração'!$B$56+181-'🌱 Configuração'!$C$56,7)=0,INT(('🌱 Configuração'!$B$56+181-'🌱 Configuração'!$C$56)/7)+1=8),"🍄 Beauveria — solo","")))))))),IF('🌱 Configuração'!$B$56+181&lt;'🌱 Configuração'!$E$56,IF(AND('🌱 Configuração'!$B$56+181&gt;='🌱 Configuração'!$D$56,'🌱 Configuração'!$B$56+181&lt;'🌱 Configuração'!$E$56,MOD('🌱 Configuração'!$B$56+181-'🌱 Configuração'!$D$56,7)=0,INT(('🌱 Configuração'!$B$56+181-'🌱 Configuração'!$D$56)/7)+1=1),"🍄 Beauveria bassiana — SOLO apenas",IF(AND('🌱 Configuração'!$B$56+181&gt;='🌱 Configuração'!$D$56,'🌱 Configuração'!$B$56+181&lt;'🌱 Configuração'!$E$56,MOD('🌱 Configuração'!$B$56+181-'🌱 Configuração'!$D$56,7)=0,INT(('🌱 Configuração'!$B$56+181-'🌱 Configuração'!$D$56)/7)+1=2),"🦠 Trichoderma (3 g/L) — solo",IF(AND('🌱 Configuração'!$B$56+181&gt;='🌱 Configuração'!$D$56,'🌱 Configuração'!$B$56+181&lt;'🌱 Configuração'!$E$56,MOD('🌱 Configuração'!$B$56+181-'🌱 Configuração'!$D$56,7)=0,INT(('🌱 Configuração'!$B$56+181-'🌱 Configuração'!$D$56)/7)+1=3),"🍄 Beauveria bassiana — solo | ⚠️ Umid &lt;45%",IF(AND('🌱 Configuração'!$B$56+181&gt;='🌱 Configuração'!$D$56,'🌱 Configuração'!$B$56+181&lt;'🌱 Configuração'!$E$56,MOD('🌱 Configuração'!$B$56+181-'🌱 Configuração'!$D$56,7)=0,INT(('🌱 Configuração'!$B$56+181-'🌱 Configuração'!$D$56)/7)+1=4),"🦠 Trichoderma — solo | Inspecionar buds",IF(AND('🌱 Configuração'!$B$56+181&gt;='🌱 Configuração'!$D$56,'🌱 Configuração'!$B$56+181&lt;'🌱 Configuração'!$E$56,MOD('🌱 Configuração'!$B$56+181-'🌱 Configuração'!$D$56,7)=0,INT(('🌱 Configuração'!$B$56+181-'🌱 Configuração'!$D$56)/7)+1=5),"🍄 Beauveria + inspeção visual buds",IF(AND('🌱 Configuração'!$B$56+181&gt;='🌱 Configuração'!$D$56,'🌱 Configuração'!$B$56+181&lt;'🌱 Configuração'!$E$56,MOD('🌱 Configuração'!$B$56+181-'🌱 Configuração'!$D$56,7)=0,INT(('🌱 Configuração'!$B$56+181-'🌱 Configuração'!$D$56)/7)+1=6),"🦠 Trichoderma + ⚠️ Verificar mofo","")))))),IF(AND('🌱 Configuração'!$B$56+181&gt;='🌱 Configuração'!$E$56,MOD('🌱 Configuração'!$B$56+181-'🌱 Configuração'!$E$56,7)=0),"🔬 Inspeção final — analisar tricomas","")))))</f>
        <v/>
      </c>
      <c r="I187" s="33"/>
    </row>
    <row r="188" spans="1:9" ht="19.5" customHeight="1">
      <c r="A188" s="1"/>
      <c r="B188" s="35" t="str">
        <f>IF(183&lt;='🌱 Configuração'!$F$55,183,"")</f>
        <v/>
      </c>
      <c r="C188" s="13" t="str">
        <f>IF(183&lt;='🌱 Configuração'!$F$55,'🌱 Configuração'!$B$56+182,"")</f>
        <v/>
      </c>
      <c r="D188" s="36" t="str">
        <f>IF(183&gt;'🌱 Configuração'!$F$55,"",IF('🌱 Configuração'!$B$56+182&lt;'🌱 Configuração'!$C$56,"🌱 Clone",IF('🌱 Configuração'!$B$56+182&lt;'🌱 Configuração'!$D$56,"🌿 Vegetativo",IF('🌱 Configuração'!$B$56+182&lt;'🌱 Configuração'!$E$56,"🌸 Floração","🚿 Flush"))))</f>
        <v/>
      </c>
      <c r="E188" s="15" t="str">
        <f>IF(183&gt;'🌱 Configuração'!$F$55,"",IF('🌱 Configuração'!$B$56+182&lt;'🌱 Configuração'!$C$56,"Clone S"&amp;INT((183-1)/7)+1,IF('🌱 Configuração'!$B$56+182&lt;'🌱 Configuração'!$D$56,"Vega S"&amp;INT(('🌱 Configuração'!$B$56+182-'🌱 Configuração'!$C$56)/7)+1,IF('🌱 Configuração'!$B$56+182&lt;'🌱 Configuração'!$E$56,"Flora S"&amp;INT(('🌱 Configuração'!$B$56+182-'🌱 Configuração'!$D$56)/7)+1,"Flush S"&amp;INT(('🌱 Configuração'!$B$56+182-'🌱 Configuração'!$E$56)/7)+1))))</f>
        <v/>
      </c>
      <c r="F188" s="14" t="str">
        <f>IF(183&gt;'🌱 Configuração'!$F$55,"",IF('🌱 Configuração'!$B$56+182='🌱 Configuração'!$C$56,"🌿 INÍCIO VEGA — luz 18h/dia",IF('🌱 Configuração'!$B$56+182='🌱 Configuração'!$D$56,"🌸 INÍCIO FLORAÇÃO — mudar 12/12 🔴",IF('🌱 Configuração'!$B$56+182='🌱 Configuração'!$E$56,"🚿 INÍCIO FLUSH — parar nutrição",IF('🌱 Configuração'!$B$56+182='🌱 Configuração'!$F$56-1,"🔬 Véspera da colheita — analisar tricomas",IF('🌱 Configuração'!$B$56+182='🌱 Configuração'!$F$56,"✂️ COLHEITA — Parabéns! 🎉",""))))))</f>
        <v/>
      </c>
      <c r="G188" s="37" t="s">
        <v>428</v>
      </c>
      <c r="H188" s="38" t="str">
        <f>IF(183&gt;'🌱 Configuração'!$F$55,"",IF('🌱 Configuração'!$B$56+182&lt;'🌱 Configuração'!$C$56,IF(183=1,"🌿 Nim (2 mL/L) — foliar leve",IF(183=8,"🍄 Beauveria bassiana — foliar + solo","")),IF('🌱 Configuração'!$B$56+182&lt;'🌱 Configuração'!$D$56,IF(AND('🌱 Configuração'!$B$56+182&gt;='🌱 Configuração'!$C$56,'🌱 Configuração'!$B$56+182&lt;'🌱 Configuração'!$D$56,MOD('🌱 Configuração'!$B$56+182-'🌱 Configuração'!$C$56,7)=0,INT(('🌱 Configuração'!$B$56+182-'🌱 Configuração'!$C$56)/7)+1=1),"🌿 Nim (2 mL/L) — foliar preventivo",IF(AND('🌱 Configuração'!$B$56+182&gt;='🌱 Configuração'!$C$56,'🌱 Configuração'!$B$56+182&lt;'🌱 Configuração'!$D$56,MOD('🌱 Configuração'!$B$56+182-'🌱 Configuração'!$C$56,7)=0,INT(('🌱 Configuração'!$B$56+182-'🌱 Configuração'!$C$56)/7)+1=2),"🍄 Beauveria bassiana — foliar + solo",IF(AND('🌱 Configuração'!$B$56+182&gt;='🌱 Configuração'!$C$56,'🌱 Configuração'!$B$56+182&lt;'🌱 Configuração'!$D$56,MOD('🌱 Configuração'!$B$56+182-'🌱 Configuração'!$C$56,7)=0,INT(('🌱 Configuração'!$B$56+182-'🌱 Configuração'!$C$56)/7)+1=3),"🟡 Calda Sulfocálcica (1%) — foliar",IF(AND('🌱 Configuração'!$B$56+182&gt;='🌱 Configuração'!$C$56,'🌱 Configuração'!$B$56+182&lt;'🌱 Configuração'!$D$56,MOD('🌱 Configuração'!$B$56+182-'🌱 Configuração'!$C$56,7)=0,INT(('🌱 Configuração'!$B$56+182-'🌱 Configuração'!$C$56)/7)+1=4),"🦠 Trichoderma (3 g/L) — solo",IF(AND('🌱 Configuração'!$B$56+182&gt;='🌱 Configuração'!$C$56,'🌱 Configuração'!$B$56+182&lt;'🌱 Configuração'!$D$56,MOD('🌱 Configuração'!$B$56+182-'🌱 Configuração'!$C$56,7)=0,INT(('🌱 Configuração'!$B$56+182-'🌱 Configuração'!$C$56)/7)+1=5),"🔵 Calda Bordalesa (0.5%) — foliar",IF(AND('🌱 Configuração'!$B$56+182&gt;='🌱 Configuração'!$C$56,'🌱 Configuração'!$B$56+182&lt;'🌱 Configuração'!$D$56,MOD('🌱 Configuração'!$B$56+182-'🌱 Configuração'!$C$56,7)=0,INT(('🌱 Configuração'!$B$56+182-'🌱 Configuração'!$C$56)/7)+1=6),"🌿 Nim (2 mL/L) — ⚠️ ÚLTIMA foliar",IF(AND('🌱 Configuração'!$B$56+182&gt;='🌱 Configuração'!$C$56,'🌱 Configuração'!$B$56+182&lt;'🌱 Configuração'!$D$56,MOD('🌱 Configuração'!$B$56+182-'🌱 Configuração'!$C$56,7)=0,INT(('🌱 Configuração'!$B$56+182-'🌱 Configuração'!$C$56)/7)+1=7),"🦠 Trichoderma — solo",IF(AND('🌱 Configuração'!$B$56+182&gt;='🌱 Configuração'!$C$56,'🌱 Configuração'!$B$56+182&lt;'🌱 Configuração'!$D$56,MOD('🌱 Configuração'!$B$56+182-'🌱 Configuração'!$C$56,7)=0,INT(('🌱 Configuração'!$B$56+182-'🌱 Configuração'!$C$56)/7)+1=8),"🍄 Beauveria — solo","")))))))),IF('🌱 Configuração'!$B$56+182&lt;'🌱 Configuração'!$E$56,IF(AND('🌱 Configuração'!$B$56+182&gt;='🌱 Configuração'!$D$56,'🌱 Configuração'!$B$56+182&lt;'🌱 Configuração'!$E$56,MOD('🌱 Configuração'!$B$56+182-'🌱 Configuração'!$D$56,7)=0,INT(('🌱 Configuração'!$B$56+182-'🌱 Configuração'!$D$56)/7)+1=1),"🍄 Beauveria bassiana — SOLO apenas",IF(AND('🌱 Configuração'!$B$56+182&gt;='🌱 Configuração'!$D$56,'🌱 Configuração'!$B$56+182&lt;'🌱 Configuração'!$E$56,MOD('🌱 Configuração'!$B$56+182-'🌱 Configuração'!$D$56,7)=0,INT(('🌱 Configuração'!$B$56+182-'🌱 Configuração'!$D$56)/7)+1=2),"🦠 Trichoderma (3 g/L) — solo",IF(AND('🌱 Configuração'!$B$56+182&gt;='🌱 Configuração'!$D$56,'🌱 Configuração'!$B$56+182&lt;'🌱 Configuração'!$E$56,MOD('🌱 Configuração'!$B$56+182-'🌱 Configuração'!$D$56,7)=0,INT(('🌱 Configuração'!$B$56+182-'🌱 Configuração'!$D$56)/7)+1=3),"🍄 Beauveria bassiana — solo | ⚠️ Umid &lt;45%",IF(AND('🌱 Configuração'!$B$56+182&gt;='🌱 Configuração'!$D$56,'🌱 Configuração'!$B$56+182&lt;'🌱 Configuração'!$E$56,MOD('🌱 Configuração'!$B$56+182-'🌱 Configuração'!$D$56,7)=0,INT(('🌱 Configuração'!$B$56+182-'🌱 Configuração'!$D$56)/7)+1=4),"🦠 Trichoderma — solo | Inspecionar buds",IF(AND('🌱 Configuração'!$B$56+182&gt;='🌱 Configuração'!$D$56,'🌱 Configuração'!$B$56+182&lt;'🌱 Configuração'!$E$56,MOD('🌱 Configuração'!$B$56+182-'🌱 Configuração'!$D$56,7)=0,INT(('🌱 Configuração'!$B$56+182-'🌱 Configuração'!$D$56)/7)+1=5),"🍄 Beauveria + inspeção visual buds",IF(AND('🌱 Configuração'!$B$56+182&gt;='🌱 Configuração'!$D$56,'🌱 Configuração'!$B$56+182&lt;'🌱 Configuração'!$E$56,MOD('🌱 Configuração'!$B$56+182-'🌱 Configuração'!$D$56,7)=0,INT(('🌱 Configuração'!$B$56+182-'🌱 Configuração'!$D$56)/7)+1=6),"🦠 Trichoderma + ⚠️ Verificar mofo","")))))),IF(AND('🌱 Configuração'!$B$56+182&gt;='🌱 Configuração'!$E$56,MOD('🌱 Configuração'!$B$56+182-'🌱 Configuração'!$E$56,7)=0),"🔬 Inspeção final — analisar tricomas","")))))</f>
        <v/>
      </c>
      <c r="I188" s="33"/>
    </row>
    <row r="189" spans="1:9" ht="19.5" customHeight="1">
      <c r="A189" s="1"/>
      <c r="B189" s="39" t="str">
        <f>IF(184&lt;='🌱 Configuração'!$F$55,184,"")</f>
        <v/>
      </c>
      <c r="C189" s="40" t="str">
        <f>IF(184&lt;='🌱 Configuração'!$F$55,'🌱 Configuração'!$B$56+183,"")</f>
        <v/>
      </c>
      <c r="D189" s="41" t="str">
        <f>IF(184&gt;'🌱 Configuração'!$F$55,"",IF('🌱 Configuração'!$B$56+183&lt;'🌱 Configuração'!$C$56,"🌱 Clone",IF('🌱 Configuração'!$B$56+183&lt;'🌱 Configuração'!$D$56,"🌿 Vegetativo",IF('🌱 Configuração'!$B$56+183&lt;'🌱 Configuração'!$E$56,"🌸 Floração","🚿 Flush"))))</f>
        <v/>
      </c>
      <c r="E189" s="42" t="str">
        <f>IF(184&gt;'🌱 Configuração'!$F$55,"",IF('🌱 Configuração'!$B$56+183&lt;'🌱 Configuração'!$C$56,"Clone S"&amp;INT((184-1)/7)+1,IF('🌱 Configuração'!$B$56+183&lt;'🌱 Configuração'!$D$56,"Vega S"&amp;INT(('🌱 Configuração'!$B$56+183-'🌱 Configuração'!$C$56)/7)+1,IF('🌱 Configuração'!$B$56+183&lt;'🌱 Configuração'!$E$56,"Flora S"&amp;INT(('🌱 Configuração'!$B$56+183-'🌱 Configuração'!$D$56)/7)+1,"Flush S"&amp;INT(('🌱 Configuração'!$B$56+183-'🌱 Configuração'!$E$56)/7)+1))))</f>
        <v/>
      </c>
      <c r="F189" s="43" t="str">
        <f>IF(184&gt;'🌱 Configuração'!$F$55,"",IF('🌱 Configuração'!$B$56+183='🌱 Configuração'!$C$56,"🌿 INÍCIO VEGA — luz 18h/dia",IF('🌱 Configuração'!$B$56+183='🌱 Configuração'!$D$56,"🌸 INÍCIO FLORAÇÃO — mudar 12/12 🔴",IF('🌱 Configuração'!$B$56+183='🌱 Configuração'!$E$56,"🚿 INÍCIO FLUSH — parar nutrição",IF('🌱 Configuração'!$B$56+183='🌱 Configuração'!$F$56-1,"🔬 Véspera da colheita — analisar tricomas",IF('🌱 Configuração'!$B$56+183='🌱 Configuração'!$F$56,"✂️ COLHEITA — Parabéns! 🎉",""))))))</f>
        <v/>
      </c>
      <c r="G189" s="44" t="s">
        <v>428</v>
      </c>
      <c r="H189" s="45" t="str">
        <f>IF(184&gt;'🌱 Configuração'!$F$55,"",IF('🌱 Configuração'!$B$56+183&lt;'🌱 Configuração'!$C$56,IF(184=1,"🌿 Nim (2 mL/L) — foliar leve",IF(184=8,"🍄 Beauveria bassiana — foliar + solo","")),IF('🌱 Configuração'!$B$56+183&lt;'🌱 Configuração'!$D$56,IF(AND('🌱 Configuração'!$B$56+183&gt;='🌱 Configuração'!$C$56,'🌱 Configuração'!$B$56+183&lt;'🌱 Configuração'!$D$56,MOD('🌱 Configuração'!$B$56+183-'🌱 Configuração'!$C$56,7)=0,INT(('🌱 Configuração'!$B$56+183-'🌱 Configuração'!$C$56)/7)+1=1),"🌿 Nim (2 mL/L) — foliar preventivo",IF(AND('🌱 Configuração'!$B$56+183&gt;='🌱 Configuração'!$C$56,'🌱 Configuração'!$B$56+183&lt;'🌱 Configuração'!$D$56,MOD('🌱 Configuração'!$B$56+183-'🌱 Configuração'!$C$56,7)=0,INT(('🌱 Configuração'!$B$56+183-'🌱 Configuração'!$C$56)/7)+1=2),"🍄 Beauveria bassiana — foliar + solo",IF(AND('🌱 Configuração'!$B$56+183&gt;='🌱 Configuração'!$C$56,'🌱 Configuração'!$B$56+183&lt;'🌱 Configuração'!$D$56,MOD('🌱 Configuração'!$B$56+183-'🌱 Configuração'!$C$56,7)=0,INT(('🌱 Configuração'!$B$56+183-'🌱 Configuração'!$C$56)/7)+1=3),"🟡 Calda Sulfocálcica (1%) — foliar",IF(AND('🌱 Configuração'!$B$56+183&gt;='🌱 Configuração'!$C$56,'🌱 Configuração'!$B$56+183&lt;'🌱 Configuração'!$D$56,MOD('🌱 Configuração'!$B$56+183-'🌱 Configuração'!$C$56,7)=0,INT(('🌱 Configuração'!$B$56+183-'🌱 Configuração'!$C$56)/7)+1=4),"🦠 Trichoderma (3 g/L) — solo",IF(AND('🌱 Configuração'!$B$56+183&gt;='🌱 Configuração'!$C$56,'🌱 Configuração'!$B$56+183&lt;'🌱 Configuração'!$D$56,MOD('🌱 Configuração'!$B$56+183-'🌱 Configuração'!$C$56,7)=0,INT(('🌱 Configuração'!$B$56+183-'🌱 Configuração'!$C$56)/7)+1=5),"🔵 Calda Bordalesa (0.5%) — foliar",IF(AND('🌱 Configuração'!$B$56+183&gt;='🌱 Configuração'!$C$56,'🌱 Configuração'!$B$56+183&lt;'🌱 Configuração'!$D$56,MOD('🌱 Configuração'!$B$56+183-'🌱 Configuração'!$C$56,7)=0,INT(('🌱 Configuração'!$B$56+183-'🌱 Configuração'!$C$56)/7)+1=6),"🌿 Nim (2 mL/L) — ⚠️ ÚLTIMA foliar",IF(AND('🌱 Configuração'!$B$56+183&gt;='🌱 Configuração'!$C$56,'🌱 Configuração'!$B$56+183&lt;'🌱 Configuração'!$D$56,MOD('🌱 Configuração'!$B$56+183-'🌱 Configuração'!$C$56,7)=0,INT(('🌱 Configuração'!$B$56+183-'🌱 Configuração'!$C$56)/7)+1=7),"🦠 Trichoderma — solo",IF(AND('🌱 Configuração'!$B$56+183&gt;='🌱 Configuração'!$C$56,'🌱 Configuração'!$B$56+183&lt;'🌱 Configuração'!$D$56,MOD('🌱 Configuração'!$B$56+183-'🌱 Configuração'!$C$56,7)=0,INT(('🌱 Configuração'!$B$56+183-'🌱 Configuração'!$C$56)/7)+1=8),"🍄 Beauveria — solo","")))))))),IF('🌱 Configuração'!$B$56+183&lt;'🌱 Configuração'!$E$56,IF(AND('🌱 Configuração'!$B$56+183&gt;='🌱 Configuração'!$D$56,'🌱 Configuração'!$B$56+183&lt;'🌱 Configuração'!$E$56,MOD('🌱 Configuração'!$B$56+183-'🌱 Configuração'!$D$56,7)=0,INT(('🌱 Configuração'!$B$56+183-'🌱 Configuração'!$D$56)/7)+1=1),"🍄 Beauveria bassiana — SOLO apenas",IF(AND('🌱 Configuração'!$B$56+183&gt;='🌱 Configuração'!$D$56,'🌱 Configuração'!$B$56+183&lt;'🌱 Configuração'!$E$56,MOD('🌱 Configuração'!$B$56+183-'🌱 Configuração'!$D$56,7)=0,INT(('🌱 Configuração'!$B$56+183-'🌱 Configuração'!$D$56)/7)+1=2),"🦠 Trichoderma (3 g/L) — solo",IF(AND('🌱 Configuração'!$B$56+183&gt;='🌱 Configuração'!$D$56,'🌱 Configuração'!$B$56+183&lt;'🌱 Configuração'!$E$56,MOD('🌱 Configuração'!$B$56+183-'🌱 Configuração'!$D$56,7)=0,INT(('🌱 Configuração'!$B$56+183-'🌱 Configuração'!$D$56)/7)+1=3),"🍄 Beauveria bassiana — solo | ⚠️ Umid &lt;45%",IF(AND('🌱 Configuração'!$B$56+183&gt;='🌱 Configuração'!$D$56,'🌱 Configuração'!$B$56+183&lt;'🌱 Configuração'!$E$56,MOD('🌱 Configuração'!$B$56+183-'🌱 Configuração'!$D$56,7)=0,INT(('🌱 Configuração'!$B$56+183-'🌱 Configuração'!$D$56)/7)+1=4),"🦠 Trichoderma — solo | Inspecionar buds",IF(AND('🌱 Configuração'!$B$56+183&gt;='🌱 Configuração'!$D$56,'🌱 Configuração'!$B$56+183&lt;'🌱 Configuração'!$E$56,MOD('🌱 Configuração'!$B$56+183-'🌱 Configuração'!$D$56,7)=0,INT(('🌱 Configuração'!$B$56+183-'🌱 Configuração'!$D$56)/7)+1=5),"🍄 Beauveria + inspeção visual buds",IF(AND('🌱 Configuração'!$B$56+183&gt;='🌱 Configuração'!$D$56,'🌱 Configuração'!$B$56+183&lt;'🌱 Configuração'!$E$56,MOD('🌱 Configuração'!$B$56+183-'🌱 Configuração'!$D$56,7)=0,INT(('🌱 Configuração'!$B$56+183-'🌱 Configuração'!$D$56)/7)+1=6),"🦠 Trichoderma + ⚠️ Verificar mofo","")))))),IF(AND('🌱 Configuração'!$B$56+183&gt;='🌱 Configuração'!$E$56,MOD('🌱 Configuração'!$B$56+183-'🌱 Configuração'!$E$56,7)=0),"🔬 Inspeção final — analisar tricomas","")))))</f>
        <v/>
      </c>
      <c r="I189" s="33"/>
    </row>
    <row r="190" spans="1:9" ht="19.5" customHeight="1">
      <c r="A190" s="1"/>
      <c r="B190" s="35" t="str">
        <f>IF(185&lt;='🌱 Configuração'!$F$55,185,"")</f>
        <v/>
      </c>
      <c r="C190" s="13" t="str">
        <f>IF(185&lt;='🌱 Configuração'!$F$55,'🌱 Configuração'!$B$56+184,"")</f>
        <v/>
      </c>
      <c r="D190" s="36" t="str">
        <f>IF(185&gt;'🌱 Configuração'!$F$55,"",IF('🌱 Configuração'!$B$56+184&lt;'🌱 Configuração'!$C$56,"🌱 Clone",IF('🌱 Configuração'!$B$56+184&lt;'🌱 Configuração'!$D$56,"🌿 Vegetativo",IF('🌱 Configuração'!$B$56+184&lt;'🌱 Configuração'!$E$56,"🌸 Floração","🚿 Flush"))))</f>
        <v/>
      </c>
      <c r="E190" s="15" t="str">
        <f>IF(185&gt;'🌱 Configuração'!$F$55,"",IF('🌱 Configuração'!$B$56+184&lt;'🌱 Configuração'!$C$56,"Clone S"&amp;INT((185-1)/7)+1,IF('🌱 Configuração'!$B$56+184&lt;'🌱 Configuração'!$D$56,"Vega S"&amp;INT(('🌱 Configuração'!$B$56+184-'🌱 Configuração'!$C$56)/7)+1,IF('🌱 Configuração'!$B$56+184&lt;'🌱 Configuração'!$E$56,"Flora S"&amp;INT(('🌱 Configuração'!$B$56+184-'🌱 Configuração'!$D$56)/7)+1,"Flush S"&amp;INT(('🌱 Configuração'!$B$56+184-'🌱 Configuração'!$E$56)/7)+1))))</f>
        <v/>
      </c>
      <c r="F190" s="14" t="str">
        <f>IF(185&gt;'🌱 Configuração'!$F$55,"",IF('🌱 Configuração'!$B$56+184='🌱 Configuração'!$C$56,"🌿 INÍCIO VEGA — luz 18h/dia",IF('🌱 Configuração'!$B$56+184='🌱 Configuração'!$D$56,"🌸 INÍCIO FLORAÇÃO — mudar 12/12 🔴",IF('🌱 Configuração'!$B$56+184='🌱 Configuração'!$E$56,"🚿 INÍCIO FLUSH — parar nutrição",IF('🌱 Configuração'!$B$56+184='🌱 Configuração'!$F$56-1,"🔬 Véspera da colheita — analisar tricomas",IF('🌱 Configuração'!$B$56+184='🌱 Configuração'!$F$56,"✂️ COLHEITA — Parabéns! 🎉",""))))))</f>
        <v/>
      </c>
      <c r="G190" s="37" t="s">
        <v>428</v>
      </c>
      <c r="H190" s="38" t="str">
        <f>IF(185&gt;'🌱 Configuração'!$F$55,"",IF('🌱 Configuração'!$B$56+184&lt;'🌱 Configuração'!$C$56,IF(185=1,"🌿 Nim (2 mL/L) — foliar leve",IF(185=8,"🍄 Beauveria bassiana — foliar + solo","")),IF('🌱 Configuração'!$B$56+184&lt;'🌱 Configuração'!$D$56,IF(AND('🌱 Configuração'!$B$56+184&gt;='🌱 Configuração'!$C$56,'🌱 Configuração'!$B$56+184&lt;'🌱 Configuração'!$D$56,MOD('🌱 Configuração'!$B$56+184-'🌱 Configuração'!$C$56,7)=0,INT(('🌱 Configuração'!$B$56+184-'🌱 Configuração'!$C$56)/7)+1=1),"🌿 Nim (2 mL/L) — foliar preventivo",IF(AND('🌱 Configuração'!$B$56+184&gt;='🌱 Configuração'!$C$56,'🌱 Configuração'!$B$56+184&lt;'🌱 Configuração'!$D$56,MOD('🌱 Configuração'!$B$56+184-'🌱 Configuração'!$C$56,7)=0,INT(('🌱 Configuração'!$B$56+184-'🌱 Configuração'!$C$56)/7)+1=2),"🍄 Beauveria bassiana — foliar + solo",IF(AND('🌱 Configuração'!$B$56+184&gt;='🌱 Configuração'!$C$56,'🌱 Configuração'!$B$56+184&lt;'🌱 Configuração'!$D$56,MOD('🌱 Configuração'!$B$56+184-'🌱 Configuração'!$C$56,7)=0,INT(('🌱 Configuração'!$B$56+184-'🌱 Configuração'!$C$56)/7)+1=3),"🟡 Calda Sulfocálcica (1%) — foliar",IF(AND('🌱 Configuração'!$B$56+184&gt;='🌱 Configuração'!$C$56,'🌱 Configuração'!$B$56+184&lt;'🌱 Configuração'!$D$56,MOD('🌱 Configuração'!$B$56+184-'🌱 Configuração'!$C$56,7)=0,INT(('🌱 Configuração'!$B$56+184-'🌱 Configuração'!$C$56)/7)+1=4),"🦠 Trichoderma (3 g/L) — solo",IF(AND('🌱 Configuração'!$B$56+184&gt;='🌱 Configuração'!$C$56,'🌱 Configuração'!$B$56+184&lt;'🌱 Configuração'!$D$56,MOD('🌱 Configuração'!$B$56+184-'🌱 Configuração'!$C$56,7)=0,INT(('🌱 Configuração'!$B$56+184-'🌱 Configuração'!$C$56)/7)+1=5),"🔵 Calda Bordalesa (0.5%) — foliar",IF(AND('🌱 Configuração'!$B$56+184&gt;='🌱 Configuração'!$C$56,'🌱 Configuração'!$B$56+184&lt;'🌱 Configuração'!$D$56,MOD('🌱 Configuração'!$B$56+184-'🌱 Configuração'!$C$56,7)=0,INT(('🌱 Configuração'!$B$56+184-'🌱 Configuração'!$C$56)/7)+1=6),"🌿 Nim (2 mL/L) — ⚠️ ÚLTIMA foliar",IF(AND('🌱 Configuração'!$B$56+184&gt;='🌱 Configuração'!$C$56,'🌱 Configuração'!$B$56+184&lt;'🌱 Configuração'!$D$56,MOD('🌱 Configuração'!$B$56+184-'🌱 Configuração'!$C$56,7)=0,INT(('🌱 Configuração'!$B$56+184-'🌱 Configuração'!$C$56)/7)+1=7),"🦠 Trichoderma — solo",IF(AND('🌱 Configuração'!$B$56+184&gt;='🌱 Configuração'!$C$56,'🌱 Configuração'!$B$56+184&lt;'🌱 Configuração'!$D$56,MOD('🌱 Configuração'!$B$56+184-'🌱 Configuração'!$C$56,7)=0,INT(('🌱 Configuração'!$B$56+184-'🌱 Configuração'!$C$56)/7)+1=8),"🍄 Beauveria — solo","")))))))),IF('🌱 Configuração'!$B$56+184&lt;'🌱 Configuração'!$E$56,IF(AND('🌱 Configuração'!$B$56+184&gt;='🌱 Configuração'!$D$56,'🌱 Configuração'!$B$56+184&lt;'🌱 Configuração'!$E$56,MOD('🌱 Configuração'!$B$56+184-'🌱 Configuração'!$D$56,7)=0,INT(('🌱 Configuração'!$B$56+184-'🌱 Configuração'!$D$56)/7)+1=1),"🍄 Beauveria bassiana — SOLO apenas",IF(AND('🌱 Configuração'!$B$56+184&gt;='🌱 Configuração'!$D$56,'🌱 Configuração'!$B$56+184&lt;'🌱 Configuração'!$E$56,MOD('🌱 Configuração'!$B$56+184-'🌱 Configuração'!$D$56,7)=0,INT(('🌱 Configuração'!$B$56+184-'🌱 Configuração'!$D$56)/7)+1=2),"🦠 Trichoderma (3 g/L) — solo",IF(AND('🌱 Configuração'!$B$56+184&gt;='🌱 Configuração'!$D$56,'🌱 Configuração'!$B$56+184&lt;'🌱 Configuração'!$E$56,MOD('🌱 Configuração'!$B$56+184-'🌱 Configuração'!$D$56,7)=0,INT(('🌱 Configuração'!$B$56+184-'🌱 Configuração'!$D$56)/7)+1=3),"🍄 Beauveria bassiana — solo | ⚠️ Umid &lt;45%",IF(AND('🌱 Configuração'!$B$56+184&gt;='🌱 Configuração'!$D$56,'🌱 Configuração'!$B$56+184&lt;'🌱 Configuração'!$E$56,MOD('🌱 Configuração'!$B$56+184-'🌱 Configuração'!$D$56,7)=0,INT(('🌱 Configuração'!$B$56+184-'🌱 Configuração'!$D$56)/7)+1=4),"🦠 Trichoderma — solo | Inspecionar buds",IF(AND('🌱 Configuração'!$B$56+184&gt;='🌱 Configuração'!$D$56,'🌱 Configuração'!$B$56+184&lt;'🌱 Configuração'!$E$56,MOD('🌱 Configuração'!$B$56+184-'🌱 Configuração'!$D$56,7)=0,INT(('🌱 Configuração'!$B$56+184-'🌱 Configuração'!$D$56)/7)+1=5),"🍄 Beauveria + inspeção visual buds",IF(AND('🌱 Configuração'!$B$56+184&gt;='🌱 Configuração'!$D$56,'🌱 Configuração'!$B$56+184&lt;'🌱 Configuração'!$E$56,MOD('🌱 Configuração'!$B$56+184-'🌱 Configuração'!$D$56,7)=0,INT(('🌱 Configuração'!$B$56+184-'🌱 Configuração'!$D$56)/7)+1=6),"🦠 Trichoderma + ⚠️ Verificar mofo","")))))),IF(AND('🌱 Configuração'!$B$56+184&gt;='🌱 Configuração'!$E$56,MOD('🌱 Configuração'!$B$56+184-'🌱 Configuração'!$E$56,7)=0),"🔬 Inspeção final — analisar tricomas","")))))</f>
        <v/>
      </c>
      <c r="I190" s="33"/>
    </row>
    <row r="191" spans="1:9" ht="19.5" customHeight="1">
      <c r="A191" s="1"/>
      <c r="B191" s="39" t="str">
        <f>IF(186&lt;='🌱 Configuração'!$F$55,186,"")</f>
        <v/>
      </c>
      <c r="C191" s="40" t="str">
        <f>IF(186&lt;='🌱 Configuração'!$F$55,'🌱 Configuração'!$B$56+185,"")</f>
        <v/>
      </c>
      <c r="D191" s="41" t="str">
        <f>IF(186&gt;'🌱 Configuração'!$F$55,"",IF('🌱 Configuração'!$B$56+185&lt;'🌱 Configuração'!$C$56,"🌱 Clone",IF('🌱 Configuração'!$B$56+185&lt;'🌱 Configuração'!$D$56,"🌿 Vegetativo",IF('🌱 Configuração'!$B$56+185&lt;'🌱 Configuração'!$E$56,"🌸 Floração","🚿 Flush"))))</f>
        <v/>
      </c>
      <c r="E191" s="42" t="str">
        <f>IF(186&gt;'🌱 Configuração'!$F$55,"",IF('🌱 Configuração'!$B$56+185&lt;'🌱 Configuração'!$C$56,"Clone S"&amp;INT((186-1)/7)+1,IF('🌱 Configuração'!$B$56+185&lt;'🌱 Configuração'!$D$56,"Vega S"&amp;INT(('🌱 Configuração'!$B$56+185-'🌱 Configuração'!$C$56)/7)+1,IF('🌱 Configuração'!$B$56+185&lt;'🌱 Configuração'!$E$56,"Flora S"&amp;INT(('🌱 Configuração'!$B$56+185-'🌱 Configuração'!$D$56)/7)+1,"Flush S"&amp;INT(('🌱 Configuração'!$B$56+185-'🌱 Configuração'!$E$56)/7)+1))))</f>
        <v/>
      </c>
      <c r="F191" s="43" t="str">
        <f>IF(186&gt;'🌱 Configuração'!$F$55,"",IF('🌱 Configuração'!$B$56+185='🌱 Configuração'!$C$56,"🌿 INÍCIO VEGA — luz 18h/dia",IF('🌱 Configuração'!$B$56+185='🌱 Configuração'!$D$56,"🌸 INÍCIO FLORAÇÃO — mudar 12/12 🔴",IF('🌱 Configuração'!$B$56+185='🌱 Configuração'!$E$56,"🚿 INÍCIO FLUSH — parar nutrição",IF('🌱 Configuração'!$B$56+185='🌱 Configuração'!$F$56-1,"🔬 Véspera da colheita — analisar tricomas",IF('🌱 Configuração'!$B$56+185='🌱 Configuração'!$F$56,"✂️ COLHEITA — Parabéns! 🎉",""))))))</f>
        <v/>
      </c>
      <c r="G191" s="44" t="s">
        <v>428</v>
      </c>
      <c r="H191" s="45" t="str">
        <f>IF(186&gt;'🌱 Configuração'!$F$55,"",IF('🌱 Configuração'!$B$56+185&lt;'🌱 Configuração'!$C$56,IF(186=1,"🌿 Nim (2 mL/L) — foliar leve",IF(186=8,"🍄 Beauveria bassiana — foliar + solo","")),IF('🌱 Configuração'!$B$56+185&lt;'🌱 Configuração'!$D$56,IF(AND('🌱 Configuração'!$B$56+185&gt;='🌱 Configuração'!$C$56,'🌱 Configuração'!$B$56+185&lt;'🌱 Configuração'!$D$56,MOD('🌱 Configuração'!$B$56+185-'🌱 Configuração'!$C$56,7)=0,INT(('🌱 Configuração'!$B$56+185-'🌱 Configuração'!$C$56)/7)+1=1),"🌿 Nim (2 mL/L) — foliar preventivo",IF(AND('🌱 Configuração'!$B$56+185&gt;='🌱 Configuração'!$C$56,'🌱 Configuração'!$B$56+185&lt;'🌱 Configuração'!$D$56,MOD('🌱 Configuração'!$B$56+185-'🌱 Configuração'!$C$56,7)=0,INT(('🌱 Configuração'!$B$56+185-'🌱 Configuração'!$C$56)/7)+1=2),"🍄 Beauveria bassiana — foliar + solo",IF(AND('🌱 Configuração'!$B$56+185&gt;='🌱 Configuração'!$C$56,'🌱 Configuração'!$B$56+185&lt;'🌱 Configuração'!$D$56,MOD('🌱 Configuração'!$B$56+185-'🌱 Configuração'!$C$56,7)=0,INT(('🌱 Configuração'!$B$56+185-'🌱 Configuração'!$C$56)/7)+1=3),"🟡 Calda Sulfocálcica (1%) — foliar",IF(AND('🌱 Configuração'!$B$56+185&gt;='🌱 Configuração'!$C$56,'🌱 Configuração'!$B$56+185&lt;'🌱 Configuração'!$D$56,MOD('🌱 Configuração'!$B$56+185-'🌱 Configuração'!$C$56,7)=0,INT(('🌱 Configuração'!$B$56+185-'🌱 Configuração'!$C$56)/7)+1=4),"🦠 Trichoderma (3 g/L) — solo",IF(AND('🌱 Configuração'!$B$56+185&gt;='🌱 Configuração'!$C$56,'🌱 Configuração'!$B$56+185&lt;'🌱 Configuração'!$D$56,MOD('🌱 Configuração'!$B$56+185-'🌱 Configuração'!$C$56,7)=0,INT(('🌱 Configuração'!$B$56+185-'🌱 Configuração'!$C$56)/7)+1=5),"🔵 Calda Bordalesa (0.5%) — foliar",IF(AND('🌱 Configuração'!$B$56+185&gt;='🌱 Configuração'!$C$56,'🌱 Configuração'!$B$56+185&lt;'🌱 Configuração'!$D$56,MOD('🌱 Configuração'!$B$56+185-'🌱 Configuração'!$C$56,7)=0,INT(('🌱 Configuração'!$B$56+185-'🌱 Configuração'!$C$56)/7)+1=6),"🌿 Nim (2 mL/L) — ⚠️ ÚLTIMA foliar",IF(AND('🌱 Configuração'!$B$56+185&gt;='🌱 Configuração'!$C$56,'🌱 Configuração'!$B$56+185&lt;'🌱 Configuração'!$D$56,MOD('🌱 Configuração'!$B$56+185-'🌱 Configuração'!$C$56,7)=0,INT(('🌱 Configuração'!$B$56+185-'🌱 Configuração'!$C$56)/7)+1=7),"🦠 Trichoderma — solo",IF(AND('🌱 Configuração'!$B$56+185&gt;='🌱 Configuração'!$C$56,'🌱 Configuração'!$B$56+185&lt;'🌱 Configuração'!$D$56,MOD('🌱 Configuração'!$B$56+185-'🌱 Configuração'!$C$56,7)=0,INT(('🌱 Configuração'!$B$56+185-'🌱 Configuração'!$C$56)/7)+1=8),"🍄 Beauveria — solo","")))))))),IF('🌱 Configuração'!$B$56+185&lt;'🌱 Configuração'!$E$56,IF(AND('🌱 Configuração'!$B$56+185&gt;='🌱 Configuração'!$D$56,'🌱 Configuração'!$B$56+185&lt;'🌱 Configuração'!$E$56,MOD('🌱 Configuração'!$B$56+185-'🌱 Configuração'!$D$56,7)=0,INT(('🌱 Configuração'!$B$56+185-'🌱 Configuração'!$D$56)/7)+1=1),"🍄 Beauveria bassiana — SOLO apenas",IF(AND('🌱 Configuração'!$B$56+185&gt;='🌱 Configuração'!$D$56,'🌱 Configuração'!$B$56+185&lt;'🌱 Configuração'!$E$56,MOD('🌱 Configuração'!$B$56+185-'🌱 Configuração'!$D$56,7)=0,INT(('🌱 Configuração'!$B$56+185-'🌱 Configuração'!$D$56)/7)+1=2),"🦠 Trichoderma (3 g/L) — solo",IF(AND('🌱 Configuração'!$B$56+185&gt;='🌱 Configuração'!$D$56,'🌱 Configuração'!$B$56+185&lt;'🌱 Configuração'!$E$56,MOD('🌱 Configuração'!$B$56+185-'🌱 Configuração'!$D$56,7)=0,INT(('🌱 Configuração'!$B$56+185-'🌱 Configuração'!$D$56)/7)+1=3),"🍄 Beauveria bassiana — solo | ⚠️ Umid &lt;45%",IF(AND('🌱 Configuração'!$B$56+185&gt;='🌱 Configuração'!$D$56,'🌱 Configuração'!$B$56+185&lt;'🌱 Configuração'!$E$56,MOD('🌱 Configuração'!$B$56+185-'🌱 Configuração'!$D$56,7)=0,INT(('🌱 Configuração'!$B$56+185-'🌱 Configuração'!$D$56)/7)+1=4),"🦠 Trichoderma — solo | Inspecionar buds",IF(AND('🌱 Configuração'!$B$56+185&gt;='🌱 Configuração'!$D$56,'🌱 Configuração'!$B$56+185&lt;'🌱 Configuração'!$E$56,MOD('🌱 Configuração'!$B$56+185-'🌱 Configuração'!$D$56,7)=0,INT(('🌱 Configuração'!$B$56+185-'🌱 Configuração'!$D$56)/7)+1=5),"🍄 Beauveria + inspeção visual buds",IF(AND('🌱 Configuração'!$B$56+185&gt;='🌱 Configuração'!$D$56,'🌱 Configuração'!$B$56+185&lt;'🌱 Configuração'!$E$56,MOD('🌱 Configuração'!$B$56+185-'🌱 Configuração'!$D$56,7)=0,INT(('🌱 Configuração'!$B$56+185-'🌱 Configuração'!$D$56)/7)+1=6),"🦠 Trichoderma + ⚠️ Verificar mofo","")))))),IF(AND('🌱 Configuração'!$B$56+185&gt;='🌱 Configuração'!$E$56,MOD('🌱 Configuração'!$B$56+185-'🌱 Configuração'!$E$56,7)=0),"🔬 Inspeção final — analisar tricomas","")))))</f>
        <v/>
      </c>
      <c r="I191" s="33"/>
    </row>
    <row r="192" spans="1:9" ht="19.5" customHeight="1">
      <c r="A192" s="1"/>
      <c r="B192" s="35" t="str">
        <f>IF(187&lt;='🌱 Configuração'!$F$55,187,"")</f>
        <v/>
      </c>
      <c r="C192" s="13" t="str">
        <f>IF(187&lt;='🌱 Configuração'!$F$55,'🌱 Configuração'!$B$56+186,"")</f>
        <v/>
      </c>
      <c r="D192" s="36" t="str">
        <f>IF(187&gt;'🌱 Configuração'!$F$55,"",IF('🌱 Configuração'!$B$56+186&lt;'🌱 Configuração'!$C$56,"🌱 Clone",IF('🌱 Configuração'!$B$56+186&lt;'🌱 Configuração'!$D$56,"🌿 Vegetativo",IF('🌱 Configuração'!$B$56+186&lt;'🌱 Configuração'!$E$56,"🌸 Floração","🚿 Flush"))))</f>
        <v/>
      </c>
      <c r="E192" s="15" t="str">
        <f>IF(187&gt;'🌱 Configuração'!$F$55,"",IF('🌱 Configuração'!$B$56+186&lt;'🌱 Configuração'!$C$56,"Clone S"&amp;INT((187-1)/7)+1,IF('🌱 Configuração'!$B$56+186&lt;'🌱 Configuração'!$D$56,"Vega S"&amp;INT(('🌱 Configuração'!$B$56+186-'🌱 Configuração'!$C$56)/7)+1,IF('🌱 Configuração'!$B$56+186&lt;'🌱 Configuração'!$E$56,"Flora S"&amp;INT(('🌱 Configuração'!$B$56+186-'🌱 Configuração'!$D$56)/7)+1,"Flush S"&amp;INT(('🌱 Configuração'!$B$56+186-'🌱 Configuração'!$E$56)/7)+1))))</f>
        <v/>
      </c>
      <c r="F192" s="14" t="str">
        <f>IF(187&gt;'🌱 Configuração'!$F$55,"",IF('🌱 Configuração'!$B$56+186='🌱 Configuração'!$C$56,"🌿 INÍCIO VEGA — luz 18h/dia",IF('🌱 Configuração'!$B$56+186='🌱 Configuração'!$D$56,"🌸 INÍCIO FLORAÇÃO — mudar 12/12 🔴",IF('🌱 Configuração'!$B$56+186='🌱 Configuração'!$E$56,"🚿 INÍCIO FLUSH — parar nutrição",IF('🌱 Configuração'!$B$56+186='🌱 Configuração'!$F$56-1,"🔬 Véspera da colheita — analisar tricomas",IF('🌱 Configuração'!$B$56+186='🌱 Configuração'!$F$56,"✂️ COLHEITA — Parabéns! 🎉",""))))))</f>
        <v/>
      </c>
      <c r="G192" s="37" t="s">
        <v>428</v>
      </c>
      <c r="H192" s="38" t="str">
        <f>IF(187&gt;'🌱 Configuração'!$F$55,"",IF('🌱 Configuração'!$B$56+186&lt;'🌱 Configuração'!$C$56,IF(187=1,"🌿 Nim (2 mL/L) — foliar leve",IF(187=8,"🍄 Beauveria bassiana — foliar + solo","")),IF('🌱 Configuração'!$B$56+186&lt;'🌱 Configuração'!$D$56,IF(AND('🌱 Configuração'!$B$56+186&gt;='🌱 Configuração'!$C$56,'🌱 Configuração'!$B$56+186&lt;'🌱 Configuração'!$D$56,MOD('🌱 Configuração'!$B$56+186-'🌱 Configuração'!$C$56,7)=0,INT(('🌱 Configuração'!$B$56+186-'🌱 Configuração'!$C$56)/7)+1=1),"🌿 Nim (2 mL/L) — foliar preventivo",IF(AND('🌱 Configuração'!$B$56+186&gt;='🌱 Configuração'!$C$56,'🌱 Configuração'!$B$56+186&lt;'🌱 Configuração'!$D$56,MOD('🌱 Configuração'!$B$56+186-'🌱 Configuração'!$C$56,7)=0,INT(('🌱 Configuração'!$B$56+186-'🌱 Configuração'!$C$56)/7)+1=2),"🍄 Beauveria bassiana — foliar + solo",IF(AND('🌱 Configuração'!$B$56+186&gt;='🌱 Configuração'!$C$56,'🌱 Configuração'!$B$56+186&lt;'🌱 Configuração'!$D$56,MOD('🌱 Configuração'!$B$56+186-'🌱 Configuração'!$C$56,7)=0,INT(('🌱 Configuração'!$B$56+186-'🌱 Configuração'!$C$56)/7)+1=3),"🟡 Calda Sulfocálcica (1%) — foliar",IF(AND('🌱 Configuração'!$B$56+186&gt;='🌱 Configuração'!$C$56,'🌱 Configuração'!$B$56+186&lt;'🌱 Configuração'!$D$56,MOD('🌱 Configuração'!$B$56+186-'🌱 Configuração'!$C$56,7)=0,INT(('🌱 Configuração'!$B$56+186-'🌱 Configuração'!$C$56)/7)+1=4),"🦠 Trichoderma (3 g/L) — solo",IF(AND('🌱 Configuração'!$B$56+186&gt;='🌱 Configuração'!$C$56,'🌱 Configuração'!$B$56+186&lt;'🌱 Configuração'!$D$56,MOD('🌱 Configuração'!$B$56+186-'🌱 Configuração'!$C$56,7)=0,INT(('🌱 Configuração'!$B$56+186-'🌱 Configuração'!$C$56)/7)+1=5),"🔵 Calda Bordalesa (0.5%) — foliar",IF(AND('🌱 Configuração'!$B$56+186&gt;='🌱 Configuração'!$C$56,'🌱 Configuração'!$B$56+186&lt;'🌱 Configuração'!$D$56,MOD('🌱 Configuração'!$B$56+186-'🌱 Configuração'!$C$56,7)=0,INT(('🌱 Configuração'!$B$56+186-'🌱 Configuração'!$C$56)/7)+1=6),"🌿 Nim (2 mL/L) — ⚠️ ÚLTIMA foliar",IF(AND('🌱 Configuração'!$B$56+186&gt;='🌱 Configuração'!$C$56,'🌱 Configuração'!$B$56+186&lt;'🌱 Configuração'!$D$56,MOD('🌱 Configuração'!$B$56+186-'🌱 Configuração'!$C$56,7)=0,INT(('🌱 Configuração'!$B$56+186-'🌱 Configuração'!$C$56)/7)+1=7),"🦠 Trichoderma — solo",IF(AND('🌱 Configuração'!$B$56+186&gt;='🌱 Configuração'!$C$56,'🌱 Configuração'!$B$56+186&lt;'🌱 Configuração'!$D$56,MOD('🌱 Configuração'!$B$56+186-'🌱 Configuração'!$C$56,7)=0,INT(('🌱 Configuração'!$B$56+186-'🌱 Configuração'!$C$56)/7)+1=8),"🍄 Beauveria — solo","")))))))),IF('🌱 Configuração'!$B$56+186&lt;'🌱 Configuração'!$E$56,IF(AND('🌱 Configuração'!$B$56+186&gt;='🌱 Configuração'!$D$56,'🌱 Configuração'!$B$56+186&lt;'🌱 Configuração'!$E$56,MOD('🌱 Configuração'!$B$56+186-'🌱 Configuração'!$D$56,7)=0,INT(('🌱 Configuração'!$B$56+186-'🌱 Configuração'!$D$56)/7)+1=1),"🍄 Beauveria bassiana — SOLO apenas",IF(AND('🌱 Configuração'!$B$56+186&gt;='🌱 Configuração'!$D$56,'🌱 Configuração'!$B$56+186&lt;'🌱 Configuração'!$E$56,MOD('🌱 Configuração'!$B$56+186-'🌱 Configuração'!$D$56,7)=0,INT(('🌱 Configuração'!$B$56+186-'🌱 Configuração'!$D$56)/7)+1=2),"🦠 Trichoderma (3 g/L) — solo",IF(AND('🌱 Configuração'!$B$56+186&gt;='🌱 Configuração'!$D$56,'🌱 Configuração'!$B$56+186&lt;'🌱 Configuração'!$E$56,MOD('🌱 Configuração'!$B$56+186-'🌱 Configuração'!$D$56,7)=0,INT(('🌱 Configuração'!$B$56+186-'🌱 Configuração'!$D$56)/7)+1=3),"🍄 Beauveria bassiana — solo | ⚠️ Umid &lt;45%",IF(AND('🌱 Configuração'!$B$56+186&gt;='🌱 Configuração'!$D$56,'🌱 Configuração'!$B$56+186&lt;'🌱 Configuração'!$E$56,MOD('🌱 Configuração'!$B$56+186-'🌱 Configuração'!$D$56,7)=0,INT(('🌱 Configuração'!$B$56+186-'🌱 Configuração'!$D$56)/7)+1=4),"🦠 Trichoderma — solo | Inspecionar buds",IF(AND('🌱 Configuração'!$B$56+186&gt;='🌱 Configuração'!$D$56,'🌱 Configuração'!$B$56+186&lt;'🌱 Configuração'!$E$56,MOD('🌱 Configuração'!$B$56+186-'🌱 Configuração'!$D$56,7)=0,INT(('🌱 Configuração'!$B$56+186-'🌱 Configuração'!$D$56)/7)+1=5),"🍄 Beauveria + inspeção visual buds",IF(AND('🌱 Configuração'!$B$56+186&gt;='🌱 Configuração'!$D$56,'🌱 Configuração'!$B$56+186&lt;'🌱 Configuração'!$E$56,MOD('🌱 Configuração'!$B$56+186-'🌱 Configuração'!$D$56,7)=0,INT(('🌱 Configuração'!$B$56+186-'🌱 Configuração'!$D$56)/7)+1=6),"🦠 Trichoderma + ⚠️ Verificar mofo","")))))),IF(AND('🌱 Configuração'!$B$56+186&gt;='🌱 Configuração'!$E$56,MOD('🌱 Configuração'!$B$56+186-'🌱 Configuração'!$E$56,7)=0),"🔬 Inspeção final — analisar tricomas","")))))</f>
        <v/>
      </c>
      <c r="I192" s="33"/>
    </row>
    <row r="193" spans="1:9" ht="19.5" customHeight="1">
      <c r="A193" s="1"/>
      <c r="B193" s="39" t="str">
        <f>IF(188&lt;='🌱 Configuração'!$F$55,188,"")</f>
        <v/>
      </c>
      <c r="C193" s="40" t="str">
        <f>IF(188&lt;='🌱 Configuração'!$F$55,'🌱 Configuração'!$B$56+187,"")</f>
        <v/>
      </c>
      <c r="D193" s="41" t="str">
        <f>IF(188&gt;'🌱 Configuração'!$F$55,"",IF('🌱 Configuração'!$B$56+187&lt;'🌱 Configuração'!$C$56,"🌱 Clone",IF('🌱 Configuração'!$B$56+187&lt;'🌱 Configuração'!$D$56,"🌿 Vegetativo",IF('🌱 Configuração'!$B$56+187&lt;'🌱 Configuração'!$E$56,"🌸 Floração","🚿 Flush"))))</f>
        <v/>
      </c>
      <c r="E193" s="42" t="str">
        <f>IF(188&gt;'🌱 Configuração'!$F$55,"",IF('🌱 Configuração'!$B$56+187&lt;'🌱 Configuração'!$C$56,"Clone S"&amp;INT((188-1)/7)+1,IF('🌱 Configuração'!$B$56+187&lt;'🌱 Configuração'!$D$56,"Vega S"&amp;INT(('🌱 Configuração'!$B$56+187-'🌱 Configuração'!$C$56)/7)+1,IF('🌱 Configuração'!$B$56+187&lt;'🌱 Configuração'!$E$56,"Flora S"&amp;INT(('🌱 Configuração'!$B$56+187-'🌱 Configuração'!$D$56)/7)+1,"Flush S"&amp;INT(('🌱 Configuração'!$B$56+187-'🌱 Configuração'!$E$56)/7)+1))))</f>
        <v/>
      </c>
      <c r="F193" s="43" t="str">
        <f>IF(188&gt;'🌱 Configuração'!$F$55,"",IF('🌱 Configuração'!$B$56+187='🌱 Configuração'!$C$56,"🌿 INÍCIO VEGA — luz 18h/dia",IF('🌱 Configuração'!$B$56+187='🌱 Configuração'!$D$56,"🌸 INÍCIO FLORAÇÃO — mudar 12/12 🔴",IF('🌱 Configuração'!$B$56+187='🌱 Configuração'!$E$56,"🚿 INÍCIO FLUSH — parar nutrição",IF('🌱 Configuração'!$B$56+187='🌱 Configuração'!$F$56-1,"🔬 Véspera da colheita — analisar tricomas",IF('🌱 Configuração'!$B$56+187='🌱 Configuração'!$F$56,"✂️ COLHEITA — Parabéns! 🎉",""))))))</f>
        <v/>
      </c>
      <c r="G193" s="44" t="s">
        <v>428</v>
      </c>
      <c r="H193" s="45" t="str">
        <f>IF(188&gt;'🌱 Configuração'!$F$55,"",IF('🌱 Configuração'!$B$56+187&lt;'🌱 Configuração'!$C$56,IF(188=1,"🌿 Nim (2 mL/L) — foliar leve",IF(188=8,"🍄 Beauveria bassiana — foliar + solo","")),IF('🌱 Configuração'!$B$56+187&lt;'🌱 Configuração'!$D$56,IF(AND('🌱 Configuração'!$B$56+187&gt;='🌱 Configuração'!$C$56,'🌱 Configuração'!$B$56+187&lt;'🌱 Configuração'!$D$56,MOD('🌱 Configuração'!$B$56+187-'🌱 Configuração'!$C$56,7)=0,INT(('🌱 Configuração'!$B$56+187-'🌱 Configuração'!$C$56)/7)+1=1),"🌿 Nim (2 mL/L) — foliar preventivo",IF(AND('🌱 Configuração'!$B$56+187&gt;='🌱 Configuração'!$C$56,'🌱 Configuração'!$B$56+187&lt;'🌱 Configuração'!$D$56,MOD('🌱 Configuração'!$B$56+187-'🌱 Configuração'!$C$56,7)=0,INT(('🌱 Configuração'!$B$56+187-'🌱 Configuração'!$C$56)/7)+1=2),"🍄 Beauveria bassiana — foliar + solo",IF(AND('🌱 Configuração'!$B$56+187&gt;='🌱 Configuração'!$C$56,'🌱 Configuração'!$B$56+187&lt;'🌱 Configuração'!$D$56,MOD('🌱 Configuração'!$B$56+187-'🌱 Configuração'!$C$56,7)=0,INT(('🌱 Configuração'!$B$56+187-'🌱 Configuração'!$C$56)/7)+1=3),"🟡 Calda Sulfocálcica (1%) — foliar",IF(AND('🌱 Configuração'!$B$56+187&gt;='🌱 Configuração'!$C$56,'🌱 Configuração'!$B$56+187&lt;'🌱 Configuração'!$D$56,MOD('🌱 Configuração'!$B$56+187-'🌱 Configuração'!$C$56,7)=0,INT(('🌱 Configuração'!$B$56+187-'🌱 Configuração'!$C$56)/7)+1=4),"🦠 Trichoderma (3 g/L) — solo",IF(AND('🌱 Configuração'!$B$56+187&gt;='🌱 Configuração'!$C$56,'🌱 Configuração'!$B$56+187&lt;'🌱 Configuração'!$D$56,MOD('🌱 Configuração'!$B$56+187-'🌱 Configuração'!$C$56,7)=0,INT(('🌱 Configuração'!$B$56+187-'🌱 Configuração'!$C$56)/7)+1=5),"🔵 Calda Bordalesa (0.5%) — foliar",IF(AND('🌱 Configuração'!$B$56+187&gt;='🌱 Configuração'!$C$56,'🌱 Configuração'!$B$56+187&lt;'🌱 Configuração'!$D$56,MOD('🌱 Configuração'!$B$56+187-'🌱 Configuração'!$C$56,7)=0,INT(('🌱 Configuração'!$B$56+187-'🌱 Configuração'!$C$56)/7)+1=6),"🌿 Nim (2 mL/L) — ⚠️ ÚLTIMA foliar",IF(AND('🌱 Configuração'!$B$56+187&gt;='🌱 Configuração'!$C$56,'🌱 Configuração'!$B$56+187&lt;'🌱 Configuração'!$D$56,MOD('🌱 Configuração'!$B$56+187-'🌱 Configuração'!$C$56,7)=0,INT(('🌱 Configuração'!$B$56+187-'🌱 Configuração'!$C$56)/7)+1=7),"🦠 Trichoderma — solo",IF(AND('🌱 Configuração'!$B$56+187&gt;='🌱 Configuração'!$C$56,'🌱 Configuração'!$B$56+187&lt;'🌱 Configuração'!$D$56,MOD('🌱 Configuração'!$B$56+187-'🌱 Configuração'!$C$56,7)=0,INT(('🌱 Configuração'!$B$56+187-'🌱 Configuração'!$C$56)/7)+1=8),"🍄 Beauveria — solo","")))))))),IF('🌱 Configuração'!$B$56+187&lt;'🌱 Configuração'!$E$56,IF(AND('🌱 Configuração'!$B$56+187&gt;='🌱 Configuração'!$D$56,'🌱 Configuração'!$B$56+187&lt;'🌱 Configuração'!$E$56,MOD('🌱 Configuração'!$B$56+187-'🌱 Configuração'!$D$56,7)=0,INT(('🌱 Configuração'!$B$56+187-'🌱 Configuração'!$D$56)/7)+1=1),"🍄 Beauveria bassiana — SOLO apenas",IF(AND('🌱 Configuração'!$B$56+187&gt;='🌱 Configuração'!$D$56,'🌱 Configuração'!$B$56+187&lt;'🌱 Configuração'!$E$56,MOD('🌱 Configuração'!$B$56+187-'🌱 Configuração'!$D$56,7)=0,INT(('🌱 Configuração'!$B$56+187-'🌱 Configuração'!$D$56)/7)+1=2),"🦠 Trichoderma (3 g/L) — solo",IF(AND('🌱 Configuração'!$B$56+187&gt;='🌱 Configuração'!$D$56,'🌱 Configuração'!$B$56+187&lt;'🌱 Configuração'!$E$56,MOD('🌱 Configuração'!$B$56+187-'🌱 Configuração'!$D$56,7)=0,INT(('🌱 Configuração'!$B$56+187-'🌱 Configuração'!$D$56)/7)+1=3),"🍄 Beauveria bassiana — solo | ⚠️ Umid &lt;45%",IF(AND('🌱 Configuração'!$B$56+187&gt;='🌱 Configuração'!$D$56,'🌱 Configuração'!$B$56+187&lt;'🌱 Configuração'!$E$56,MOD('🌱 Configuração'!$B$56+187-'🌱 Configuração'!$D$56,7)=0,INT(('🌱 Configuração'!$B$56+187-'🌱 Configuração'!$D$56)/7)+1=4),"🦠 Trichoderma — solo | Inspecionar buds",IF(AND('🌱 Configuração'!$B$56+187&gt;='🌱 Configuração'!$D$56,'🌱 Configuração'!$B$56+187&lt;'🌱 Configuração'!$E$56,MOD('🌱 Configuração'!$B$56+187-'🌱 Configuração'!$D$56,7)=0,INT(('🌱 Configuração'!$B$56+187-'🌱 Configuração'!$D$56)/7)+1=5),"🍄 Beauveria + inspeção visual buds",IF(AND('🌱 Configuração'!$B$56+187&gt;='🌱 Configuração'!$D$56,'🌱 Configuração'!$B$56+187&lt;'🌱 Configuração'!$E$56,MOD('🌱 Configuração'!$B$56+187-'🌱 Configuração'!$D$56,7)=0,INT(('🌱 Configuração'!$B$56+187-'🌱 Configuração'!$D$56)/7)+1=6),"🦠 Trichoderma + ⚠️ Verificar mofo","")))))),IF(AND('🌱 Configuração'!$B$56+187&gt;='🌱 Configuração'!$E$56,MOD('🌱 Configuração'!$B$56+187-'🌱 Configuração'!$E$56,7)=0),"🔬 Inspeção final — analisar tricomas","")))))</f>
        <v/>
      </c>
      <c r="I193" s="33"/>
    </row>
    <row r="194" spans="1:9" ht="19.5" customHeight="1">
      <c r="A194" s="1"/>
      <c r="B194" s="35" t="str">
        <f>IF(189&lt;='🌱 Configuração'!$F$55,189,"")</f>
        <v/>
      </c>
      <c r="C194" s="13" t="str">
        <f>IF(189&lt;='🌱 Configuração'!$F$55,'🌱 Configuração'!$B$56+188,"")</f>
        <v/>
      </c>
      <c r="D194" s="36" t="str">
        <f>IF(189&gt;'🌱 Configuração'!$F$55,"",IF('🌱 Configuração'!$B$56+188&lt;'🌱 Configuração'!$C$56,"🌱 Clone",IF('🌱 Configuração'!$B$56+188&lt;'🌱 Configuração'!$D$56,"🌿 Vegetativo",IF('🌱 Configuração'!$B$56+188&lt;'🌱 Configuração'!$E$56,"🌸 Floração","🚿 Flush"))))</f>
        <v/>
      </c>
      <c r="E194" s="15" t="str">
        <f>IF(189&gt;'🌱 Configuração'!$F$55,"",IF('🌱 Configuração'!$B$56+188&lt;'🌱 Configuração'!$C$56,"Clone S"&amp;INT((189-1)/7)+1,IF('🌱 Configuração'!$B$56+188&lt;'🌱 Configuração'!$D$56,"Vega S"&amp;INT(('🌱 Configuração'!$B$56+188-'🌱 Configuração'!$C$56)/7)+1,IF('🌱 Configuração'!$B$56+188&lt;'🌱 Configuração'!$E$56,"Flora S"&amp;INT(('🌱 Configuração'!$B$56+188-'🌱 Configuração'!$D$56)/7)+1,"Flush S"&amp;INT(('🌱 Configuração'!$B$56+188-'🌱 Configuração'!$E$56)/7)+1))))</f>
        <v/>
      </c>
      <c r="F194" s="14" t="str">
        <f>IF(189&gt;'🌱 Configuração'!$F$55,"",IF('🌱 Configuração'!$B$56+188='🌱 Configuração'!$C$56,"🌿 INÍCIO VEGA — luz 18h/dia",IF('🌱 Configuração'!$B$56+188='🌱 Configuração'!$D$56,"🌸 INÍCIO FLORAÇÃO — mudar 12/12 🔴",IF('🌱 Configuração'!$B$56+188='🌱 Configuração'!$E$56,"🚿 INÍCIO FLUSH — parar nutrição",IF('🌱 Configuração'!$B$56+188='🌱 Configuração'!$F$56-1,"🔬 Véspera da colheita — analisar tricomas",IF('🌱 Configuração'!$B$56+188='🌱 Configuração'!$F$56,"✂️ COLHEITA — Parabéns! 🎉",""))))))</f>
        <v/>
      </c>
      <c r="G194" s="37" t="s">
        <v>428</v>
      </c>
      <c r="H194" s="38" t="str">
        <f>IF(189&gt;'🌱 Configuração'!$F$55,"",IF('🌱 Configuração'!$B$56+188&lt;'🌱 Configuração'!$C$56,IF(189=1,"🌿 Nim (2 mL/L) — foliar leve",IF(189=8,"🍄 Beauveria bassiana — foliar + solo","")),IF('🌱 Configuração'!$B$56+188&lt;'🌱 Configuração'!$D$56,IF(AND('🌱 Configuração'!$B$56+188&gt;='🌱 Configuração'!$C$56,'🌱 Configuração'!$B$56+188&lt;'🌱 Configuração'!$D$56,MOD('🌱 Configuração'!$B$56+188-'🌱 Configuração'!$C$56,7)=0,INT(('🌱 Configuração'!$B$56+188-'🌱 Configuração'!$C$56)/7)+1=1),"🌿 Nim (2 mL/L) — foliar preventivo",IF(AND('🌱 Configuração'!$B$56+188&gt;='🌱 Configuração'!$C$56,'🌱 Configuração'!$B$56+188&lt;'🌱 Configuração'!$D$56,MOD('🌱 Configuração'!$B$56+188-'🌱 Configuração'!$C$56,7)=0,INT(('🌱 Configuração'!$B$56+188-'🌱 Configuração'!$C$56)/7)+1=2),"🍄 Beauveria bassiana — foliar + solo",IF(AND('🌱 Configuração'!$B$56+188&gt;='🌱 Configuração'!$C$56,'🌱 Configuração'!$B$56+188&lt;'🌱 Configuração'!$D$56,MOD('🌱 Configuração'!$B$56+188-'🌱 Configuração'!$C$56,7)=0,INT(('🌱 Configuração'!$B$56+188-'🌱 Configuração'!$C$56)/7)+1=3),"🟡 Calda Sulfocálcica (1%) — foliar",IF(AND('🌱 Configuração'!$B$56+188&gt;='🌱 Configuração'!$C$56,'🌱 Configuração'!$B$56+188&lt;'🌱 Configuração'!$D$56,MOD('🌱 Configuração'!$B$56+188-'🌱 Configuração'!$C$56,7)=0,INT(('🌱 Configuração'!$B$56+188-'🌱 Configuração'!$C$56)/7)+1=4),"🦠 Trichoderma (3 g/L) — solo",IF(AND('🌱 Configuração'!$B$56+188&gt;='🌱 Configuração'!$C$56,'🌱 Configuração'!$B$56+188&lt;'🌱 Configuração'!$D$56,MOD('🌱 Configuração'!$B$56+188-'🌱 Configuração'!$C$56,7)=0,INT(('🌱 Configuração'!$B$56+188-'🌱 Configuração'!$C$56)/7)+1=5),"🔵 Calda Bordalesa (0.5%) — foliar",IF(AND('🌱 Configuração'!$B$56+188&gt;='🌱 Configuração'!$C$56,'🌱 Configuração'!$B$56+188&lt;'🌱 Configuração'!$D$56,MOD('🌱 Configuração'!$B$56+188-'🌱 Configuração'!$C$56,7)=0,INT(('🌱 Configuração'!$B$56+188-'🌱 Configuração'!$C$56)/7)+1=6),"🌿 Nim (2 mL/L) — ⚠️ ÚLTIMA foliar",IF(AND('🌱 Configuração'!$B$56+188&gt;='🌱 Configuração'!$C$56,'🌱 Configuração'!$B$56+188&lt;'🌱 Configuração'!$D$56,MOD('🌱 Configuração'!$B$56+188-'🌱 Configuração'!$C$56,7)=0,INT(('🌱 Configuração'!$B$56+188-'🌱 Configuração'!$C$56)/7)+1=7),"🦠 Trichoderma — solo",IF(AND('🌱 Configuração'!$B$56+188&gt;='🌱 Configuração'!$C$56,'🌱 Configuração'!$B$56+188&lt;'🌱 Configuração'!$D$56,MOD('🌱 Configuração'!$B$56+188-'🌱 Configuração'!$C$56,7)=0,INT(('🌱 Configuração'!$B$56+188-'🌱 Configuração'!$C$56)/7)+1=8),"🍄 Beauveria — solo","")))))))),IF('🌱 Configuração'!$B$56+188&lt;'🌱 Configuração'!$E$56,IF(AND('🌱 Configuração'!$B$56+188&gt;='🌱 Configuração'!$D$56,'🌱 Configuração'!$B$56+188&lt;'🌱 Configuração'!$E$56,MOD('🌱 Configuração'!$B$56+188-'🌱 Configuração'!$D$56,7)=0,INT(('🌱 Configuração'!$B$56+188-'🌱 Configuração'!$D$56)/7)+1=1),"🍄 Beauveria bassiana — SOLO apenas",IF(AND('🌱 Configuração'!$B$56+188&gt;='🌱 Configuração'!$D$56,'🌱 Configuração'!$B$56+188&lt;'🌱 Configuração'!$E$56,MOD('🌱 Configuração'!$B$56+188-'🌱 Configuração'!$D$56,7)=0,INT(('🌱 Configuração'!$B$56+188-'🌱 Configuração'!$D$56)/7)+1=2),"🦠 Trichoderma (3 g/L) — solo",IF(AND('🌱 Configuração'!$B$56+188&gt;='🌱 Configuração'!$D$56,'🌱 Configuração'!$B$56+188&lt;'🌱 Configuração'!$E$56,MOD('🌱 Configuração'!$B$56+188-'🌱 Configuração'!$D$56,7)=0,INT(('🌱 Configuração'!$B$56+188-'🌱 Configuração'!$D$56)/7)+1=3),"🍄 Beauveria bassiana — solo | ⚠️ Umid &lt;45%",IF(AND('🌱 Configuração'!$B$56+188&gt;='🌱 Configuração'!$D$56,'🌱 Configuração'!$B$56+188&lt;'🌱 Configuração'!$E$56,MOD('🌱 Configuração'!$B$56+188-'🌱 Configuração'!$D$56,7)=0,INT(('🌱 Configuração'!$B$56+188-'🌱 Configuração'!$D$56)/7)+1=4),"🦠 Trichoderma — solo | Inspecionar buds",IF(AND('🌱 Configuração'!$B$56+188&gt;='🌱 Configuração'!$D$56,'🌱 Configuração'!$B$56+188&lt;'🌱 Configuração'!$E$56,MOD('🌱 Configuração'!$B$56+188-'🌱 Configuração'!$D$56,7)=0,INT(('🌱 Configuração'!$B$56+188-'🌱 Configuração'!$D$56)/7)+1=5),"🍄 Beauveria + inspeção visual buds",IF(AND('🌱 Configuração'!$B$56+188&gt;='🌱 Configuração'!$D$56,'🌱 Configuração'!$B$56+188&lt;'🌱 Configuração'!$E$56,MOD('🌱 Configuração'!$B$56+188-'🌱 Configuração'!$D$56,7)=0,INT(('🌱 Configuração'!$B$56+188-'🌱 Configuração'!$D$56)/7)+1=6),"🦠 Trichoderma + ⚠️ Verificar mofo","")))))),IF(AND('🌱 Configuração'!$B$56+188&gt;='🌱 Configuração'!$E$56,MOD('🌱 Configuração'!$B$56+188-'🌱 Configuração'!$E$56,7)=0),"🔬 Inspeção final — analisar tricomas","")))))</f>
        <v/>
      </c>
      <c r="I194" s="33"/>
    </row>
    <row r="195" spans="1:9" ht="19.5" customHeight="1">
      <c r="A195" s="1"/>
      <c r="B195" s="39" t="str">
        <f>IF(190&lt;='🌱 Configuração'!$F$55,190,"")</f>
        <v/>
      </c>
      <c r="C195" s="40" t="str">
        <f>IF(190&lt;='🌱 Configuração'!$F$55,'🌱 Configuração'!$B$56+189,"")</f>
        <v/>
      </c>
      <c r="D195" s="41" t="str">
        <f>IF(190&gt;'🌱 Configuração'!$F$55,"",IF('🌱 Configuração'!$B$56+189&lt;'🌱 Configuração'!$C$56,"🌱 Clone",IF('🌱 Configuração'!$B$56+189&lt;'🌱 Configuração'!$D$56,"🌿 Vegetativo",IF('🌱 Configuração'!$B$56+189&lt;'🌱 Configuração'!$E$56,"🌸 Floração","🚿 Flush"))))</f>
        <v/>
      </c>
      <c r="E195" s="42" t="str">
        <f>IF(190&gt;'🌱 Configuração'!$F$55,"",IF('🌱 Configuração'!$B$56+189&lt;'🌱 Configuração'!$C$56,"Clone S"&amp;INT((190-1)/7)+1,IF('🌱 Configuração'!$B$56+189&lt;'🌱 Configuração'!$D$56,"Vega S"&amp;INT(('🌱 Configuração'!$B$56+189-'🌱 Configuração'!$C$56)/7)+1,IF('🌱 Configuração'!$B$56+189&lt;'🌱 Configuração'!$E$56,"Flora S"&amp;INT(('🌱 Configuração'!$B$56+189-'🌱 Configuração'!$D$56)/7)+1,"Flush S"&amp;INT(('🌱 Configuração'!$B$56+189-'🌱 Configuração'!$E$56)/7)+1))))</f>
        <v/>
      </c>
      <c r="F195" s="43" t="str">
        <f>IF(190&gt;'🌱 Configuração'!$F$55,"",IF('🌱 Configuração'!$B$56+189='🌱 Configuração'!$C$56,"🌿 INÍCIO VEGA — luz 18h/dia",IF('🌱 Configuração'!$B$56+189='🌱 Configuração'!$D$56,"🌸 INÍCIO FLORAÇÃO — mudar 12/12 🔴",IF('🌱 Configuração'!$B$56+189='🌱 Configuração'!$E$56,"🚿 INÍCIO FLUSH — parar nutrição",IF('🌱 Configuração'!$B$56+189='🌱 Configuração'!$F$56-1,"🔬 Véspera da colheita — analisar tricomas",IF('🌱 Configuração'!$B$56+189='🌱 Configuração'!$F$56,"✂️ COLHEITA — Parabéns! 🎉",""))))))</f>
        <v/>
      </c>
      <c r="G195" s="44" t="s">
        <v>428</v>
      </c>
      <c r="H195" s="45" t="str">
        <f>IF(190&gt;'🌱 Configuração'!$F$55,"",IF('🌱 Configuração'!$B$56+189&lt;'🌱 Configuração'!$C$56,IF(190=1,"🌿 Nim (2 mL/L) — foliar leve",IF(190=8,"🍄 Beauveria bassiana — foliar + solo","")),IF('🌱 Configuração'!$B$56+189&lt;'🌱 Configuração'!$D$56,IF(AND('🌱 Configuração'!$B$56+189&gt;='🌱 Configuração'!$C$56,'🌱 Configuração'!$B$56+189&lt;'🌱 Configuração'!$D$56,MOD('🌱 Configuração'!$B$56+189-'🌱 Configuração'!$C$56,7)=0,INT(('🌱 Configuração'!$B$56+189-'🌱 Configuração'!$C$56)/7)+1=1),"🌿 Nim (2 mL/L) — foliar preventivo",IF(AND('🌱 Configuração'!$B$56+189&gt;='🌱 Configuração'!$C$56,'🌱 Configuração'!$B$56+189&lt;'🌱 Configuração'!$D$56,MOD('🌱 Configuração'!$B$56+189-'🌱 Configuração'!$C$56,7)=0,INT(('🌱 Configuração'!$B$56+189-'🌱 Configuração'!$C$56)/7)+1=2),"🍄 Beauveria bassiana — foliar + solo",IF(AND('🌱 Configuração'!$B$56+189&gt;='🌱 Configuração'!$C$56,'🌱 Configuração'!$B$56+189&lt;'🌱 Configuração'!$D$56,MOD('🌱 Configuração'!$B$56+189-'🌱 Configuração'!$C$56,7)=0,INT(('🌱 Configuração'!$B$56+189-'🌱 Configuração'!$C$56)/7)+1=3),"🟡 Calda Sulfocálcica (1%) — foliar",IF(AND('🌱 Configuração'!$B$56+189&gt;='🌱 Configuração'!$C$56,'🌱 Configuração'!$B$56+189&lt;'🌱 Configuração'!$D$56,MOD('🌱 Configuração'!$B$56+189-'🌱 Configuração'!$C$56,7)=0,INT(('🌱 Configuração'!$B$56+189-'🌱 Configuração'!$C$56)/7)+1=4),"🦠 Trichoderma (3 g/L) — solo",IF(AND('🌱 Configuração'!$B$56+189&gt;='🌱 Configuração'!$C$56,'🌱 Configuração'!$B$56+189&lt;'🌱 Configuração'!$D$56,MOD('🌱 Configuração'!$B$56+189-'🌱 Configuração'!$C$56,7)=0,INT(('🌱 Configuração'!$B$56+189-'🌱 Configuração'!$C$56)/7)+1=5),"🔵 Calda Bordalesa (0.5%) — foliar",IF(AND('🌱 Configuração'!$B$56+189&gt;='🌱 Configuração'!$C$56,'🌱 Configuração'!$B$56+189&lt;'🌱 Configuração'!$D$56,MOD('🌱 Configuração'!$B$56+189-'🌱 Configuração'!$C$56,7)=0,INT(('🌱 Configuração'!$B$56+189-'🌱 Configuração'!$C$56)/7)+1=6),"🌿 Nim (2 mL/L) — ⚠️ ÚLTIMA foliar",IF(AND('🌱 Configuração'!$B$56+189&gt;='🌱 Configuração'!$C$56,'🌱 Configuração'!$B$56+189&lt;'🌱 Configuração'!$D$56,MOD('🌱 Configuração'!$B$56+189-'🌱 Configuração'!$C$56,7)=0,INT(('🌱 Configuração'!$B$56+189-'🌱 Configuração'!$C$56)/7)+1=7),"🦠 Trichoderma — solo",IF(AND('🌱 Configuração'!$B$56+189&gt;='🌱 Configuração'!$C$56,'🌱 Configuração'!$B$56+189&lt;'🌱 Configuração'!$D$56,MOD('🌱 Configuração'!$B$56+189-'🌱 Configuração'!$C$56,7)=0,INT(('🌱 Configuração'!$B$56+189-'🌱 Configuração'!$C$56)/7)+1=8),"🍄 Beauveria — solo","")))))))),IF('🌱 Configuração'!$B$56+189&lt;'🌱 Configuração'!$E$56,IF(AND('🌱 Configuração'!$B$56+189&gt;='🌱 Configuração'!$D$56,'🌱 Configuração'!$B$56+189&lt;'🌱 Configuração'!$E$56,MOD('🌱 Configuração'!$B$56+189-'🌱 Configuração'!$D$56,7)=0,INT(('🌱 Configuração'!$B$56+189-'🌱 Configuração'!$D$56)/7)+1=1),"🍄 Beauveria bassiana — SOLO apenas",IF(AND('🌱 Configuração'!$B$56+189&gt;='🌱 Configuração'!$D$56,'🌱 Configuração'!$B$56+189&lt;'🌱 Configuração'!$E$56,MOD('🌱 Configuração'!$B$56+189-'🌱 Configuração'!$D$56,7)=0,INT(('🌱 Configuração'!$B$56+189-'🌱 Configuração'!$D$56)/7)+1=2),"🦠 Trichoderma (3 g/L) — solo",IF(AND('🌱 Configuração'!$B$56+189&gt;='🌱 Configuração'!$D$56,'🌱 Configuração'!$B$56+189&lt;'🌱 Configuração'!$E$56,MOD('🌱 Configuração'!$B$56+189-'🌱 Configuração'!$D$56,7)=0,INT(('🌱 Configuração'!$B$56+189-'🌱 Configuração'!$D$56)/7)+1=3),"🍄 Beauveria bassiana — solo | ⚠️ Umid &lt;45%",IF(AND('🌱 Configuração'!$B$56+189&gt;='🌱 Configuração'!$D$56,'🌱 Configuração'!$B$56+189&lt;'🌱 Configuração'!$E$56,MOD('🌱 Configuração'!$B$56+189-'🌱 Configuração'!$D$56,7)=0,INT(('🌱 Configuração'!$B$56+189-'🌱 Configuração'!$D$56)/7)+1=4),"🦠 Trichoderma — solo | Inspecionar buds",IF(AND('🌱 Configuração'!$B$56+189&gt;='🌱 Configuração'!$D$56,'🌱 Configuração'!$B$56+189&lt;'🌱 Configuração'!$E$56,MOD('🌱 Configuração'!$B$56+189-'🌱 Configuração'!$D$56,7)=0,INT(('🌱 Configuração'!$B$56+189-'🌱 Configuração'!$D$56)/7)+1=5),"🍄 Beauveria + inspeção visual buds",IF(AND('🌱 Configuração'!$B$56+189&gt;='🌱 Configuração'!$D$56,'🌱 Configuração'!$B$56+189&lt;'🌱 Configuração'!$E$56,MOD('🌱 Configuração'!$B$56+189-'🌱 Configuração'!$D$56,7)=0,INT(('🌱 Configuração'!$B$56+189-'🌱 Configuração'!$D$56)/7)+1=6),"🦠 Trichoderma + ⚠️ Verificar mofo","")))))),IF(AND('🌱 Configuração'!$B$56+189&gt;='🌱 Configuração'!$E$56,MOD('🌱 Configuração'!$B$56+189-'🌱 Configuração'!$E$56,7)=0),"🔬 Inspeção final — analisar tricomas","")))))</f>
        <v/>
      </c>
      <c r="I195" s="33"/>
    </row>
    <row r="196" spans="1:9" ht="19.5" customHeight="1">
      <c r="A196" s="1"/>
      <c r="B196" s="35" t="str">
        <f>IF(191&lt;='🌱 Configuração'!$F$55,191,"")</f>
        <v/>
      </c>
      <c r="C196" s="13" t="str">
        <f>IF(191&lt;='🌱 Configuração'!$F$55,'🌱 Configuração'!$B$56+190,"")</f>
        <v/>
      </c>
      <c r="D196" s="36" t="str">
        <f>IF(191&gt;'🌱 Configuração'!$F$55,"",IF('🌱 Configuração'!$B$56+190&lt;'🌱 Configuração'!$C$56,"🌱 Clone",IF('🌱 Configuração'!$B$56+190&lt;'🌱 Configuração'!$D$56,"🌿 Vegetativo",IF('🌱 Configuração'!$B$56+190&lt;'🌱 Configuração'!$E$56,"🌸 Floração","🚿 Flush"))))</f>
        <v/>
      </c>
      <c r="E196" s="15" t="str">
        <f>IF(191&gt;'🌱 Configuração'!$F$55,"",IF('🌱 Configuração'!$B$56+190&lt;'🌱 Configuração'!$C$56,"Clone S"&amp;INT((191-1)/7)+1,IF('🌱 Configuração'!$B$56+190&lt;'🌱 Configuração'!$D$56,"Vega S"&amp;INT(('🌱 Configuração'!$B$56+190-'🌱 Configuração'!$C$56)/7)+1,IF('🌱 Configuração'!$B$56+190&lt;'🌱 Configuração'!$E$56,"Flora S"&amp;INT(('🌱 Configuração'!$B$56+190-'🌱 Configuração'!$D$56)/7)+1,"Flush S"&amp;INT(('🌱 Configuração'!$B$56+190-'🌱 Configuração'!$E$56)/7)+1))))</f>
        <v/>
      </c>
      <c r="F196" s="14" t="str">
        <f>IF(191&gt;'🌱 Configuração'!$F$55,"",IF('🌱 Configuração'!$B$56+190='🌱 Configuração'!$C$56,"🌿 INÍCIO VEGA — luz 18h/dia",IF('🌱 Configuração'!$B$56+190='🌱 Configuração'!$D$56,"🌸 INÍCIO FLORAÇÃO — mudar 12/12 🔴",IF('🌱 Configuração'!$B$56+190='🌱 Configuração'!$E$56,"🚿 INÍCIO FLUSH — parar nutrição",IF('🌱 Configuração'!$B$56+190='🌱 Configuração'!$F$56-1,"🔬 Véspera da colheita — analisar tricomas",IF('🌱 Configuração'!$B$56+190='🌱 Configuração'!$F$56,"✂️ COLHEITA — Parabéns! 🎉",""))))))</f>
        <v/>
      </c>
      <c r="G196" s="37" t="s">
        <v>428</v>
      </c>
      <c r="H196" s="38" t="str">
        <f>IF(191&gt;'🌱 Configuração'!$F$55,"",IF('🌱 Configuração'!$B$56+190&lt;'🌱 Configuração'!$C$56,IF(191=1,"🌿 Nim (2 mL/L) — foliar leve",IF(191=8,"🍄 Beauveria bassiana — foliar + solo","")),IF('🌱 Configuração'!$B$56+190&lt;'🌱 Configuração'!$D$56,IF(AND('🌱 Configuração'!$B$56+190&gt;='🌱 Configuração'!$C$56,'🌱 Configuração'!$B$56+190&lt;'🌱 Configuração'!$D$56,MOD('🌱 Configuração'!$B$56+190-'🌱 Configuração'!$C$56,7)=0,INT(('🌱 Configuração'!$B$56+190-'🌱 Configuração'!$C$56)/7)+1=1),"🌿 Nim (2 mL/L) — foliar preventivo",IF(AND('🌱 Configuração'!$B$56+190&gt;='🌱 Configuração'!$C$56,'🌱 Configuração'!$B$56+190&lt;'🌱 Configuração'!$D$56,MOD('🌱 Configuração'!$B$56+190-'🌱 Configuração'!$C$56,7)=0,INT(('🌱 Configuração'!$B$56+190-'🌱 Configuração'!$C$56)/7)+1=2),"🍄 Beauveria bassiana — foliar + solo",IF(AND('🌱 Configuração'!$B$56+190&gt;='🌱 Configuração'!$C$56,'🌱 Configuração'!$B$56+190&lt;'🌱 Configuração'!$D$56,MOD('🌱 Configuração'!$B$56+190-'🌱 Configuração'!$C$56,7)=0,INT(('🌱 Configuração'!$B$56+190-'🌱 Configuração'!$C$56)/7)+1=3),"🟡 Calda Sulfocálcica (1%) — foliar",IF(AND('🌱 Configuração'!$B$56+190&gt;='🌱 Configuração'!$C$56,'🌱 Configuração'!$B$56+190&lt;'🌱 Configuração'!$D$56,MOD('🌱 Configuração'!$B$56+190-'🌱 Configuração'!$C$56,7)=0,INT(('🌱 Configuração'!$B$56+190-'🌱 Configuração'!$C$56)/7)+1=4),"🦠 Trichoderma (3 g/L) — solo",IF(AND('🌱 Configuração'!$B$56+190&gt;='🌱 Configuração'!$C$56,'🌱 Configuração'!$B$56+190&lt;'🌱 Configuração'!$D$56,MOD('🌱 Configuração'!$B$56+190-'🌱 Configuração'!$C$56,7)=0,INT(('🌱 Configuração'!$B$56+190-'🌱 Configuração'!$C$56)/7)+1=5),"🔵 Calda Bordalesa (0.5%) — foliar",IF(AND('🌱 Configuração'!$B$56+190&gt;='🌱 Configuração'!$C$56,'🌱 Configuração'!$B$56+190&lt;'🌱 Configuração'!$D$56,MOD('🌱 Configuração'!$B$56+190-'🌱 Configuração'!$C$56,7)=0,INT(('🌱 Configuração'!$B$56+190-'🌱 Configuração'!$C$56)/7)+1=6),"🌿 Nim (2 mL/L) — ⚠️ ÚLTIMA foliar",IF(AND('🌱 Configuração'!$B$56+190&gt;='🌱 Configuração'!$C$56,'🌱 Configuração'!$B$56+190&lt;'🌱 Configuração'!$D$56,MOD('🌱 Configuração'!$B$56+190-'🌱 Configuração'!$C$56,7)=0,INT(('🌱 Configuração'!$B$56+190-'🌱 Configuração'!$C$56)/7)+1=7),"🦠 Trichoderma — solo",IF(AND('🌱 Configuração'!$B$56+190&gt;='🌱 Configuração'!$C$56,'🌱 Configuração'!$B$56+190&lt;'🌱 Configuração'!$D$56,MOD('🌱 Configuração'!$B$56+190-'🌱 Configuração'!$C$56,7)=0,INT(('🌱 Configuração'!$B$56+190-'🌱 Configuração'!$C$56)/7)+1=8),"🍄 Beauveria — solo","")))))))),IF('🌱 Configuração'!$B$56+190&lt;'🌱 Configuração'!$E$56,IF(AND('🌱 Configuração'!$B$56+190&gt;='🌱 Configuração'!$D$56,'🌱 Configuração'!$B$56+190&lt;'🌱 Configuração'!$E$56,MOD('🌱 Configuração'!$B$56+190-'🌱 Configuração'!$D$56,7)=0,INT(('🌱 Configuração'!$B$56+190-'🌱 Configuração'!$D$56)/7)+1=1),"🍄 Beauveria bassiana — SOLO apenas",IF(AND('🌱 Configuração'!$B$56+190&gt;='🌱 Configuração'!$D$56,'🌱 Configuração'!$B$56+190&lt;'🌱 Configuração'!$E$56,MOD('🌱 Configuração'!$B$56+190-'🌱 Configuração'!$D$56,7)=0,INT(('🌱 Configuração'!$B$56+190-'🌱 Configuração'!$D$56)/7)+1=2),"🦠 Trichoderma (3 g/L) — solo",IF(AND('🌱 Configuração'!$B$56+190&gt;='🌱 Configuração'!$D$56,'🌱 Configuração'!$B$56+190&lt;'🌱 Configuração'!$E$56,MOD('🌱 Configuração'!$B$56+190-'🌱 Configuração'!$D$56,7)=0,INT(('🌱 Configuração'!$B$56+190-'🌱 Configuração'!$D$56)/7)+1=3),"🍄 Beauveria bassiana — solo | ⚠️ Umid &lt;45%",IF(AND('🌱 Configuração'!$B$56+190&gt;='🌱 Configuração'!$D$56,'🌱 Configuração'!$B$56+190&lt;'🌱 Configuração'!$E$56,MOD('🌱 Configuração'!$B$56+190-'🌱 Configuração'!$D$56,7)=0,INT(('🌱 Configuração'!$B$56+190-'🌱 Configuração'!$D$56)/7)+1=4),"🦠 Trichoderma — solo | Inspecionar buds",IF(AND('🌱 Configuração'!$B$56+190&gt;='🌱 Configuração'!$D$56,'🌱 Configuração'!$B$56+190&lt;'🌱 Configuração'!$E$56,MOD('🌱 Configuração'!$B$56+190-'🌱 Configuração'!$D$56,7)=0,INT(('🌱 Configuração'!$B$56+190-'🌱 Configuração'!$D$56)/7)+1=5),"🍄 Beauveria + inspeção visual buds",IF(AND('🌱 Configuração'!$B$56+190&gt;='🌱 Configuração'!$D$56,'🌱 Configuração'!$B$56+190&lt;'🌱 Configuração'!$E$56,MOD('🌱 Configuração'!$B$56+190-'🌱 Configuração'!$D$56,7)=0,INT(('🌱 Configuração'!$B$56+190-'🌱 Configuração'!$D$56)/7)+1=6),"🦠 Trichoderma + ⚠️ Verificar mofo","")))))),IF(AND('🌱 Configuração'!$B$56+190&gt;='🌱 Configuração'!$E$56,MOD('🌱 Configuração'!$B$56+190-'🌱 Configuração'!$E$56,7)=0),"🔬 Inspeção final — analisar tricomas","")))))</f>
        <v/>
      </c>
      <c r="I196" s="33"/>
    </row>
    <row r="197" spans="1:9" ht="19.5" customHeight="1">
      <c r="A197" s="1"/>
      <c r="B197" s="39" t="str">
        <f>IF(192&lt;='🌱 Configuração'!$F$55,192,"")</f>
        <v/>
      </c>
      <c r="C197" s="40" t="str">
        <f>IF(192&lt;='🌱 Configuração'!$F$55,'🌱 Configuração'!$B$56+191,"")</f>
        <v/>
      </c>
      <c r="D197" s="41" t="str">
        <f>IF(192&gt;'🌱 Configuração'!$F$55,"",IF('🌱 Configuração'!$B$56+191&lt;'🌱 Configuração'!$C$56,"🌱 Clone",IF('🌱 Configuração'!$B$56+191&lt;'🌱 Configuração'!$D$56,"🌿 Vegetativo",IF('🌱 Configuração'!$B$56+191&lt;'🌱 Configuração'!$E$56,"🌸 Floração","🚿 Flush"))))</f>
        <v/>
      </c>
      <c r="E197" s="42" t="str">
        <f>IF(192&gt;'🌱 Configuração'!$F$55,"",IF('🌱 Configuração'!$B$56+191&lt;'🌱 Configuração'!$C$56,"Clone S"&amp;INT((192-1)/7)+1,IF('🌱 Configuração'!$B$56+191&lt;'🌱 Configuração'!$D$56,"Vega S"&amp;INT(('🌱 Configuração'!$B$56+191-'🌱 Configuração'!$C$56)/7)+1,IF('🌱 Configuração'!$B$56+191&lt;'🌱 Configuração'!$E$56,"Flora S"&amp;INT(('🌱 Configuração'!$B$56+191-'🌱 Configuração'!$D$56)/7)+1,"Flush S"&amp;INT(('🌱 Configuração'!$B$56+191-'🌱 Configuração'!$E$56)/7)+1))))</f>
        <v/>
      </c>
      <c r="F197" s="43" t="str">
        <f>IF(192&gt;'🌱 Configuração'!$F$55,"",IF('🌱 Configuração'!$B$56+191='🌱 Configuração'!$C$56,"🌿 INÍCIO VEGA — luz 18h/dia",IF('🌱 Configuração'!$B$56+191='🌱 Configuração'!$D$56,"🌸 INÍCIO FLORAÇÃO — mudar 12/12 🔴",IF('🌱 Configuração'!$B$56+191='🌱 Configuração'!$E$56,"🚿 INÍCIO FLUSH — parar nutrição",IF('🌱 Configuração'!$B$56+191='🌱 Configuração'!$F$56-1,"🔬 Véspera da colheita — analisar tricomas",IF('🌱 Configuração'!$B$56+191='🌱 Configuração'!$F$56,"✂️ COLHEITA — Parabéns! 🎉",""))))))</f>
        <v/>
      </c>
      <c r="G197" s="44" t="s">
        <v>428</v>
      </c>
      <c r="H197" s="45" t="str">
        <f>IF(192&gt;'🌱 Configuração'!$F$55,"",IF('🌱 Configuração'!$B$56+191&lt;'🌱 Configuração'!$C$56,IF(192=1,"🌿 Nim (2 mL/L) — foliar leve",IF(192=8,"🍄 Beauveria bassiana — foliar + solo","")),IF('🌱 Configuração'!$B$56+191&lt;'🌱 Configuração'!$D$56,IF(AND('🌱 Configuração'!$B$56+191&gt;='🌱 Configuração'!$C$56,'🌱 Configuração'!$B$56+191&lt;'🌱 Configuração'!$D$56,MOD('🌱 Configuração'!$B$56+191-'🌱 Configuração'!$C$56,7)=0,INT(('🌱 Configuração'!$B$56+191-'🌱 Configuração'!$C$56)/7)+1=1),"🌿 Nim (2 mL/L) — foliar preventivo",IF(AND('🌱 Configuração'!$B$56+191&gt;='🌱 Configuração'!$C$56,'🌱 Configuração'!$B$56+191&lt;'🌱 Configuração'!$D$56,MOD('🌱 Configuração'!$B$56+191-'🌱 Configuração'!$C$56,7)=0,INT(('🌱 Configuração'!$B$56+191-'🌱 Configuração'!$C$56)/7)+1=2),"🍄 Beauveria bassiana — foliar + solo",IF(AND('🌱 Configuração'!$B$56+191&gt;='🌱 Configuração'!$C$56,'🌱 Configuração'!$B$56+191&lt;'🌱 Configuração'!$D$56,MOD('🌱 Configuração'!$B$56+191-'🌱 Configuração'!$C$56,7)=0,INT(('🌱 Configuração'!$B$56+191-'🌱 Configuração'!$C$56)/7)+1=3),"🟡 Calda Sulfocálcica (1%) — foliar",IF(AND('🌱 Configuração'!$B$56+191&gt;='🌱 Configuração'!$C$56,'🌱 Configuração'!$B$56+191&lt;'🌱 Configuração'!$D$56,MOD('🌱 Configuração'!$B$56+191-'🌱 Configuração'!$C$56,7)=0,INT(('🌱 Configuração'!$B$56+191-'🌱 Configuração'!$C$56)/7)+1=4),"🦠 Trichoderma (3 g/L) — solo",IF(AND('🌱 Configuração'!$B$56+191&gt;='🌱 Configuração'!$C$56,'🌱 Configuração'!$B$56+191&lt;'🌱 Configuração'!$D$56,MOD('🌱 Configuração'!$B$56+191-'🌱 Configuração'!$C$56,7)=0,INT(('🌱 Configuração'!$B$56+191-'🌱 Configuração'!$C$56)/7)+1=5),"🔵 Calda Bordalesa (0.5%) — foliar",IF(AND('🌱 Configuração'!$B$56+191&gt;='🌱 Configuração'!$C$56,'🌱 Configuração'!$B$56+191&lt;'🌱 Configuração'!$D$56,MOD('🌱 Configuração'!$B$56+191-'🌱 Configuração'!$C$56,7)=0,INT(('🌱 Configuração'!$B$56+191-'🌱 Configuração'!$C$56)/7)+1=6),"🌿 Nim (2 mL/L) — ⚠️ ÚLTIMA foliar",IF(AND('🌱 Configuração'!$B$56+191&gt;='🌱 Configuração'!$C$56,'🌱 Configuração'!$B$56+191&lt;'🌱 Configuração'!$D$56,MOD('🌱 Configuração'!$B$56+191-'🌱 Configuração'!$C$56,7)=0,INT(('🌱 Configuração'!$B$56+191-'🌱 Configuração'!$C$56)/7)+1=7),"🦠 Trichoderma — solo",IF(AND('🌱 Configuração'!$B$56+191&gt;='🌱 Configuração'!$C$56,'🌱 Configuração'!$B$56+191&lt;'🌱 Configuração'!$D$56,MOD('🌱 Configuração'!$B$56+191-'🌱 Configuração'!$C$56,7)=0,INT(('🌱 Configuração'!$B$56+191-'🌱 Configuração'!$C$56)/7)+1=8),"🍄 Beauveria — solo","")))))))),IF('🌱 Configuração'!$B$56+191&lt;'🌱 Configuração'!$E$56,IF(AND('🌱 Configuração'!$B$56+191&gt;='🌱 Configuração'!$D$56,'🌱 Configuração'!$B$56+191&lt;'🌱 Configuração'!$E$56,MOD('🌱 Configuração'!$B$56+191-'🌱 Configuração'!$D$56,7)=0,INT(('🌱 Configuração'!$B$56+191-'🌱 Configuração'!$D$56)/7)+1=1),"🍄 Beauveria bassiana — SOLO apenas",IF(AND('🌱 Configuração'!$B$56+191&gt;='🌱 Configuração'!$D$56,'🌱 Configuração'!$B$56+191&lt;'🌱 Configuração'!$E$56,MOD('🌱 Configuração'!$B$56+191-'🌱 Configuração'!$D$56,7)=0,INT(('🌱 Configuração'!$B$56+191-'🌱 Configuração'!$D$56)/7)+1=2),"🦠 Trichoderma (3 g/L) — solo",IF(AND('🌱 Configuração'!$B$56+191&gt;='🌱 Configuração'!$D$56,'🌱 Configuração'!$B$56+191&lt;'🌱 Configuração'!$E$56,MOD('🌱 Configuração'!$B$56+191-'🌱 Configuração'!$D$56,7)=0,INT(('🌱 Configuração'!$B$56+191-'🌱 Configuração'!$D$56)/7)+1=3),"🍄 Beauveria bassiana — solo | ⚠️ Umid &lt;45%",IF(AND('🌱 Configuração'!$B$56+191&gt;='🌱 Configuração'!$D$56,'🌱 Configuração'!$B$56+191&lt;'🌱 Configuração'!$E$56,MOD('🌱 Configuração'!$B$56+191-'🌱 Configuração'!$D$56,7)=0,INT(('🌱 Configuração'!$B$56+191-'🌱 Configuração'!$D$56)/7)+1=4),"🦠 Trichoderma — solo | Inspecionar buds",IF(AND('🌱 Configuração'!$B$56+191&gt;='🌱 Configuração'!$D$56,'🌱 Configuração'!$B$56+191&lt;'🌱 Configuração'!$E$56,MOD('🌱 Configuração'!$B$56+191-'🌱 Configuração'!$D$56,7)=0,INT(('🌱 Configuração'!$B$56+191-'🌱 Configuração'!$D$56)/7)+1=5),"🍄 Beauveria + inspeção visual buds",IF(AND('🌱 Configuração'!$B$56+191&gt;='🌱 Configuração'!$D$56,'🌱 Configuração'!$B$56+191&lt;'🌱 Configuração'!$E$56,MOD('🌱 Configuração'!$B$56+191-'🌱 Configuração'!$D$56,7)=0,INT(('🌱 Configuração'!$B$56+191-'🌱 Configuração'!$D$56)/7)+1=6),"🦠 Trichoderma + ⚠️ Verificar mofo","")))))),IF(AND('🌱 Configuração'!$B$56+191&gt;='🌱 Configuração'!$E$56,MOD('🌱 Configuração'!$B$56+191-'🌱 Configuração'!$E$56,7)=0),"🔬 Inspeção final — analisar tricomas","")))))</f>
        <v/>
      </c>
      <c r="I197" s="33"/>
    </row>
    <row r="198" spans="1:9" ht="19.5" customHeight="1">
      <c r="A198" s="1"/>
      <c r="B198" s="35" t="str">
        <f>IF(193&lt;='🌱 Configuração'!$F$55,193,"")</f>
        <v/>
      </c>
      <c r="C198" s="13" t="str">
        <f>IF(193&lt;='🌱 Configuração'!$F$55,'🌱 Configuração'!$B$56+192,"")</f>
        <v/>
      </c>
      <c r="D198" s="36" t="str">
        <f>IF(193&gt;'🌱 Configuração'!$F$55,"",IF('🌱 Configuração'!$B$56+192&lt;'🌱 Configuração'!$C$56,"🌱 Clone",IF('🌱 Configuração'!$B$56+192&lt;'🌱 Configuração'!$D$56,"🌿 Vegetativo",IF('🌱 Configuração'!$B$56+192&lt;'🌱 Configuração'!$E$56,"🌸 Floração","🚿 Flush"))))</f>
        <v/>
      </c>
      <c r="E198" s="15" t="str">
        <f>IF(193&gt;'🌱 Configuração'!$F$55,"",IF('🌱 Configuração'!$B$56+192&lt;'🌱 Configuração'!$C$56,"Clone S"&amp;INT((193-1)/7)+1,IF('🌱 Configuração'!$B$56+192&lt;'🌱 Configuração'!$D$56,"Vega S"&amp;INT(('🌱 Configuração'!$B$56+192-'🌱 Configuração'!$C$56)/7)+1,IF('🌱 Configuração'!$B$56+192&lt;'🌱 Configuração'!$E$56,"Flora S"&amp;INT(('🌱 Configuração'!$B$56+192-'🌱 Configuração'!$D$56)/7)+1,"Flush S"&amp;INT(('🌱 Configuração'!$B$56+192-'🌱 Configuração'!$E$56)/7)+1))))</f>
        <v/>
      </c>
      <c r="F198" s="14" t="str">
        <f>IF(193&gt;'🌱 Configuração'!$F$55,"",IF('🌱 Configuração'!$B$56+192='🌱 Configuração'!$C$56,"🌿 INÍCIO VEGA — luz 18h/dia",IF('🌱 Configuração'!$B$56+192='🌱 Configuração'!$D$56,"🌸 INÍCIO FLORAÇÃO — mudar 12/12 🔴",IF('🌱 Configuração'!$B$56+192='🌱 Configuração'!$E$56,"🚿 INÍCIO FLUSH — parar nutrição",IF('🌱 Configuração'!$B$56+192='🌱 Configuração'!$F$56-1,"🔬 Véspera da colheita — analisar tricomas",IF('🌱 Configuração'!$B$56+192='🌱 Configuração'!$F$56,"✂️ COLHEITA — Parabéns! 🎉",""))))))</f>
        <v/>
      </c>
      <c r="G198" s="37" t="s">
        <v>428</v>
      </c>
      <c r="H198" s="38" t="str">
        <f>IF(193&gt;'🌱 Configuração'!$F$55,"",IF('🌱 Configuração'!$B$56+192&lt;'🌱 Configuração'!$C$56,IF(193=1,"🌿 Nim (2 mL/L) — foliar leve",IF(193=8,"🍄 Beauveria bassiana — foliar + solo","")),IF('🌱 Configuração'!$B$56+192&lt;'🌱 Configuração'!$D$56,IF(AND('🌱 Configuração'!$B$56+192&gt;='🌱 Configuração'!$C$56,'🌱 Configuração'!$B$56+192&lt;'🌱 Configuração'!$D$56,MOD('🌱 Configuração'!$B$56+192-'🌱 Configuração'!$C$56,7)=0,INT(('🌱 Configuração'!$B$56+192-'🌱 Configuração'!$C$56)/7)+1=1),"🌿 Nim (2 mL/L) — foliar preventivo",IF(AND('🌱 Configuração'!$B$56+192&gt;='🌱 Configuração'!$C$56,'🌱 Configuração'!$B$56+192&lt;'🌱 Configuração'!$D$56,MOD('🌱 Configuração'!$B$56+192-'🌱 Configuração'!$C$56,7)=0,INT(('🌱 Configuração'!$B$56+192-'🌱 Configuração'!$C$56)/7)+1=2),"🍄 Beauveria bassiana — foliar + solo",IF(AND('🌱 Configuração'!$B$56+192&gt;='🌱 Configuração'!$C$56,'🌱 Configuração'!$B$56+192&lt;'🌱 Configuração'!$D$56,MOD('🌱 Configuração'!$B$56+192-'🌱 Configuração'!$C$56,7)=0,INT(('🌱 Configuração'!$B$56+192-'🌱 Configuração'!$C$56)/7)+1=3),"🟡 Calda Sulfocálcica (1%) — foliar",IF(AND('🌱 Configuração'!$B$56+192&gt;='🌱 Configuração'!$C$56,'🌱 Configuração'!$B$56+192&lt;'🌱 Configuração'!$D$56,MOD('🌱 Configuração'!$B$56+192-'🌱 Configuração'!$C$56,7)=0,INT(('🌱 Configuração'!$B$56+192-'🌱 Configuração'!$C$56)/7)+1=4),"🦠 Trichoderma (3 g/L) — solo",IF(AND('🌱 Configuração'!$B$56+192&gt;='🌱 Configuração'!$C$56,'🌱 Configuração'!$B$56+192&lt;'🌱 Configuração'!$D$56,MOD('🌱 Configuração'!$B$56+192-'🌱 Configuração'!$C$56,7)=0,INT(('🌱 Configuração'!$B$56+192-'🌱 Configuração'!$C$56)/7)+1=5),"🔵 Calda Bordalesa (0.5%) — foliar",IF(AND('🌱 Configuração'!$B$56+192&gt;='🌱 Configuração'!$C$56,'🌱 Configuração'!$B$56+192&lt;'🌱 Configuração'!$D$56,MOD('🌱 Configuração'!$B$56+192-'🌱 Configuração'!$C$56,7)=0,INT(('🌱 Configuração'!$B$56+192-'🌱 Configuração'!$C$56)/7)+1=6),"🌿 Nim (2 mL/L) — ⚠️ ÚLTIMA foliar",IF(AND('🌱 Configuração'!$B$56+192&gt;='🌱 Configuração'!$C$56,'🌱 Configuração'!$B$56+192&lt;'🌱 Configuração'!$D$56,MOD('🌱 Configuração'!$B$56+192-'🌱 Configuração'!$C$56,7)=0,INT(('🌱 Configuração'!$B$56+192-'🌱 Configuração'!$C$56)/7)+1=7),"🦠 Trichoderma — solo",IF(AND('🌱 Configuração'!$B$56+192&gt;='🌱 Configuração'!$C$56,'🌱 Configuração'!$B$56+192&lt;'🌱 Configuração'!$D$56,MOD('🌱 Configuração'!$B$56+192-'🌱 Configuração'!$C$56,7)=0,INT(('🌱 Configuração'!$B$56+192-'🌱 Configuração'!$C$56)/7)+1=8),"🍄 Beauveria — solo","")))))))),IF('🌱 Configuração'!$B$56+192&lt;'🌱 Configuração'!$E$56,IF(AND('🌱 Configuração'!$B$56+192&gt;='🌱 Configuração'!$D$56,'🌱 Configuração'!$B$56+192&lt;'🌱 Configuração'!$E$56,MOD('🌱 Configuração'!$B$56+192-'🌱 Configuração'!$D$56,7)=0,INT(('🌱 Configuração'!$B$56+192-'🌱 Configuração'!$D$56)/7)+1=1),"🍄 Beauveria bassiana — SOLO apenas",IF(AND('🌱 Configuração'!$B$56+192&gt;='🌱 Configuração'!$D$56,'🌱 Configuração'!$B$56+192&lt;'🌱 Configuração'!$E$56,MOD('🌱 Configuração'!$B$56+192-'🌱 Configuração'!$D$56,7)=0,INT(('🌱 Configuração'!$B$56+192-'🌱 Configuração'!$D$56)/7)+1=2),"🦠 Trichoderma (3 g/L) — solo",IF(AND('🌱 Configuração'!$B$56+192&gt;='🌱 Configuração'!$D$56,'🌱 Configuração'!$B$56+192&lt;'🌱 Configuração'!$E$56,MOD('🌱 Configuração'!$B$56+192-'🌱 Configuração'!$D$56,7)=0,INT(('🌱 Configuração'!$B$56+192-'🌱 Configuração'!$D$56)/7)+1=3),"🍄 Beauveria bassiana — solo | ⚠️ Umid &lt;45%",IF(AND('🌱 Configuração'!$B$56+192&gt;='🌱 Configuração'!$D$56,'🌱 Configuração'!$B$56+192&lt;'🌱 Configuração'!$E$56,MOD('🌱 Configuração'!$B$56+192-'🌱 Configuração'!$D$56,7)=0,INT(('🌱 Configuração'!$B$56+192-'🌱 Configuração'!$D$56)/7)+1=4),"🦠 Trichoderma — solo | Inspecionar buds",IF(AND('🌱 Configuração'!$B$56+192&gt;='🌱 Configuração'!$D$56,'🌱 Configuração'!$B$56+192&lt;'🌱 Configuração'!$E$56,MOD('🌱 Configuração'!$B$56+192-'🌱 Configuração'!$D$56,7)=0,INT(('🌱 Configuração'!$B$56+192-'🌱 Configuração'!$D$56)/7)+1=5),"🍄 Beauveria + inspeção visual buds",IF(AND('🌱 Configuração'!$B$56+192&gt;='🌱 Configuração'!$D$56,'🌱 Configuração'!$B$56+192&lt;'🌱 Configuração'!$E$56,MOD('🌱 Configuração'!$B$56+192-'🌱 Configuração'!$D$56,7)=0,INT(('🌱 Configuração'!$B$56+192-'🌱 Configuração'!$D$56)/7)+1=6),"🦠 Trichoderma + ⚠️ Verificar mofo","")))))),IF(AND('🌱 Configuração'!$B$56+192&gt;='🌱 Configuração'!$E$56,MOD('🌱 Configuração'!$B$56+192-'🌱 Configuração'!$E$56,7)=0),"🔬 Inspeção final — analisar tricomas","")))))</f>
        <v/>
      </c>
      <c r="I198" s="33"/>
    </row>
    <row r="199" spans="1:9" ht="19.5" customHeight="1">
      <c r="A199" s="1"/>
      <c r="B199" s="39" t="str">
        <f>IF(194&lt;='🌱 Configuração'!$F$55,194,"")</f>
        <v/>
      </c>
      <c r="C199" s="40" t="str">
        <f>IF(194&lt;='🌱 Configuração'!$F$55,'🌱 Configuração'!$B$56+193,"")</f>
        <v/>
      </c>
      <c r="D199" s="41" t="str">
        <f>IF(194&gt;'🌱 Configuração'!$F$55,"",IF('🌱 Configuração'!$B$56+193&lt;'🌱 Configuração'!$C$56,"🌱 Clone",IF('🌱 Configuração'!$B$56+193&lt;'🌱 Configuração'!$D$56,"🌿 Vegetativo",IF('🌱 Configuração'!$B$56+193&lt;'🌱 Configuração'!$E$56,"🌸 Floração","🚿 Flush"))))</f>
        <v/>
      </c>
      <c r="E199" s="42" t="str">
        <f>IF(194&gt;'🌱 Configuração'!$F$55,"",IF('🌱 Configuração'!$B$56+193&lt;'🌱 Configuração'!$C$56,"Clone S"&amp;INT((194-1)/7)+1,IF('🌱 Configuração'!$B$56+193&lt;'🌱 Configuração'!$D$56,"Vega S"&amp;INT(('🌱 Configuração'!$B$56+193-'🌱 Configuração'!$C$56)/7)+1,IF('🌱 Configuração'!$B$56+193&lt;'🌱 Configuração'!$E$56,"Flora S"&amp;INT(('🌱 Configuração'!$B$56+193-'🌱 Configuração'!$D$56)/7)+1,"Flush S"&amp;INT(('🌱 Configuração'!$B$56+193-'🌱 Configuração'!$E$56)/7)+1))))</f>
        <v/>
      </c>
      <c r="F199" s="43" t="str">
        <f>IF(194&gt;'🌱 Configuração'!$F$55,"",IF('🌱 Configuração'!$B$56+193='🌱 Configuração'!$C$56,"🌿 INÍCIO VEGA — luz 18h/dia",IF('🌱 Configuração'!$B$56+193='🌱 Configuração'!$D$56,"🌸 INÍCIO FLORAÇÃO — mudar 12/12 🔴",IF('🌱 Configuração'!$B$56+193='🌱 Configuração'!$E$56,"🚿 INÍCIO FLUSH — parar nutrição",IF('🌱 Configuração'!$B$56+193='🌱 Configuração'!$F$56-1,"🔬 Véspera da colheita — analisar tricomas",IF('🌱 Configuração'!$B$56+193='🌱 Configuração'!$F$56,"✂️ COLHEITA — Parabéns! 🎉",""))))))</f>
        <v/>
      </c>
      <c r="G199" s="44" t="s">
        <v>428</v>
      </c>
      <c r="H199" s="45" t="str">
        <f>IF(194&gt;'🌱 Configuração'!$F$55,"",IF('🌱 Configuração'!$B$56+193&lt;'🌱 Configuração'!$C$56,IF(194=1,"🌿 Nim (2 mL/L) — foliar leve",IF(194=8,"🍄 Beauveria bassiana — foliar + solo","")),IF('🌱 Configuração'!$B$56+193&lt;'🌱 Configuração'!$D$56,IF(AND('🌱 Configuração'!$B$56+193&gt;='🌱 Configuração'!$C$56,'🌱 Configuração'!$B$56+193&lt;'🌱 Configuração'!$D$56,MOD('🌱 Configuração'!$B$56+193-'🌱 Configuração'!$C$56,7)=0,INT(('🌱 Configuração'!$B$56+193-'🌱 Configuração'!$C$56)/7)+1=1),"🌿 Nim (2 mL/L) — foliar preventivo",IF(AND('🌱 Configuração'!$B$56+193&gt;='🌱 Configuração'!$C$56,'🌱 Configuração'!$B$56+193&lt;'🌱 Configuração'!$D$56,MOD('🌱 Configuração'!$B$56+193-'🌱 Configuração'!$C$56,7)=0,INT(('🌱 Configuração'!$B$56+193-'🌱 Configuração'!$C$56)/7)+1=2),"🍄 Beauveria bassiana — foliar + solo",IF(AND('🌱 Configuração'!$B$56+193&gt;='🌱 Configuração'!$C$56,'🌱 Configuração'!$B$56+193&lt;'🌱 Configuração'!$D$56,MOD('🌱 Configuração'!$B$56+193-'🌱 Configuração'!$C$56,7)=0,INT(('🌱 Configuração'!$B$56+193-'🌱 Configuração'!$C$56)/7)+1=3),"🟡 Calda Sulfocálcica (1%) — foliar",IF(AND('🌱 Configuração'!$B$56+193&gt;='🌱 Configuração'!$C$56,'🌱 Configuração'!$B$56+193&lt;'🌱 Configuração'!$D$56,MOD('🌱 Configuração'!$B$56+193-'🌱 Configuração'!$C$56,7)=0,INT(('🌱 Configuração'!$B$56+193-'🌱 Configuração'!$C$56)/7)+1=4),"🦠 Trichoderma (3 g/L) — solo",IF(AND('🌱 Configuração'!$B$56+193&gt;='🌱 Configuração'!$C$56,'🌱 Configuração'!$B$56+193&lt;'🌱 Configuração'!$D$56,MOD('🌱 Configuração'!$B$56+193-'🌱 Configuração'!$C$56,7)=0,INT(('🌱 Configuração'!$B$56+193-'🌱 Configuração'!$C$56)/7)+1=5),"🔵 Calda Bordalesa (0.5%) — foliar",IF(AND('🌱 Configuração'!$B$56+193&gt;='🌱 Configuração'!$C$56,'🌱 Configuração'!$B$56+193&lt;'🌱 Configuração'!$D$56,MOD('🌱 Configuração'!$B$56+193-'🌱 Configuração'!$C$56,7)=0,INT(('🌱 Configuração'!$B$56+193-'🌱 Configuração'!$C$56)/7)+1=6),"🌿 Nim (2 mL/L) — ⚠️ ÚLTIMA foliar",IF(AND('🌱 Configuração'!$B$56+193&gt;='🌱 Configuração'!$C$56,'🌱 Configuração'!$B$56+193&lt;'🌱 Configuração'!$D$56,MOD('🌱 Configuração'!$B$56+193-'🌱 Configuração'!$C$56,7)=0,INT(('🌱 Configuração'!$B$56+193-'🌱 Configuração'!$C$56)/7)+1=7),"🦠 Trichoderma — solo",IF(AND('🌱 Configuração'!$B$56+193&gt;='🌱 Configuração'!$C$56,'🌱 Configuração'!$B$56+193&lt;'🌱 Configuração'!$D$56,MOD('🌱 Configuração'!$B$56+193-'🌱 Configuração'!$C$56,7)=0,INT(('🌱 Configuração'!$B$56+193-'🌱 Configuração'!$C$56)/7)+1=8),"🍄 Beauveria — solo","")))))))),IF('🌱 Configuração'!$B$56+193&lt;'🌱 Configuração'!$E$56,IF(AND('🌱 Configuração'!$B$56+193&gt;='🌱 Configuração'!$D$56,'🌱 Configuração'!$B$56+193&lt;'🌱 Configuração'!$E$56,MOD('🌱 Configuração'!$B$56+193-'🌱 Configuração'!$D$56,7)=0,INT(('🌱 Configuração'!$B$56+193-'🌱 Configuração'!$D$56)/7)+1=1),"🍄 Beauveria bassiana — SOLO apenas",IF(AND('🌱 Configuração'!$B$56+193&gt;='🌱 Configuração'!$D$56,'🌱 Configuração'!$B$56+193&lt;'🌱 Configuração'!$E$56,MOD('🌱 Configuração'!$B$56+193-'🌱 Configuração'!$D$56,7)=0,INT(('🌱 Configuração'!$B$56+193-'🌱 Configuração'!$D$56)/7)+1=2),"🦠 Trichoderma (3 g/L) — solo",IF(AND('🌱 Configuração'!$B$56+193&gt;='🌱 Configuração'!$D$56,'🌱 Configuração'!$B$56+193&lt;'🌱 Configuração'!$E$56,MOD('🌱 Configuração'!$B$56+193-'🌱 Configuração'!$D$56,7)=0,INT(('🌱 Configuração'!$B$56+193-'🌱 Configuração'!$D$56)/7)+1=3),"🍄 Beauveria bassiana — solo | ⚠️ Umid &lt;45%",IF(AND('🌱 Configuração'!$B$56+193&gt;='🌱 Configuração'!$D$56,'🌱 Configuração'!$B$56+193&lt;'🌱 Configuração'!$E$56,MOD('🌱 Configuração'!$B$56+193-'🌱 Configuração'!$D$56,7)=0,INT(('🌱 Configuração'!$B$56+193-'🌱 Configuração'!$D$56)/7)+1=4),"🦠 Trichoderma — solo | Inspecionar buds",IF(AND('🌱 Configuração'!$B$56+193&gt;='🌱 Configuração'!$D$56,'🌱 Configuração'!$B$56+193&lt;'🌱 Configuração'!$E$56,MOD('🌱 Configuração'!$B$56+193-'🌱 Configuração'!$D$56,7)=0,INT(('🌱 Configuração'!$B$56+193-'🌱 Configuração'!$D$56)/7)+1=5),"🍄 Beauveria + inspeção visual buds",IF(AND('🌱 Configuração'!$B$56+193&gt;='🌱 Configuração'!$D$56,'🌱 Configuração'!$B$56+193&lt;'🌱 Configuração'!$E$56,MOD('🌱 Configuração'!$B$56+193-'🌱 Configuração'!$D$56,7)=0,INT(('🌱 Configuração'!$B$56+193-'🌱 Configuração'!$D$56)/7)+1=6),"🦠 Trichoderma + ⚠️ Verificar mofo","")))))),IF(AND('🌱 Configuração'!$B$56+193&gt;='🌱 Configuração'!$E$56,MOD('🌱 Configuração'!$B$56+193-'🌱 Configuração'!$E$56,7)=0),"🔬 Inspeção final — analisar tricomas","")))))</f>
        <v/>
      </c>
      <c r="I199" s="33"/>
    </row>
    <row r="200" spans="1:9" ht="19.5" customHeight="1">
      <c r="A200" s="1"/>
      <c r="B200" s="35" t="str">
        <f>IF(195&lt;='🌱 Configuração'!$F$55,195,"")</f>
        <v/>
      </c>
      <c r="C200" s="13" t="str">
        <f>IF(195&lt;='🌱 Configuração'!$F$55,'🌱 Configuração'!$B$56+194,"")</f>
        <v/>
      </c>
      <c r="D200" s="36" t="str">
        <f>IF(195&gt;'🌱 Configuração'!$F$55,"",IF('🌱 Configuração'!$B$56+194&lt;'🌱 Configuração'!$C$56,"🌱 Clone",IF('🌱 Configuração'!$B$56+194&lt;'🌱 Configuração'!$D$56,"🌿 Vegetativo",IF('🌱 Configuração'!$B$56+194&lt;'🌱 Configuração'!$E$56,"🌸 Floração","🚿 Flush"))))</f>
        <v/>
      </c>
      <c r="E200" s="15" t="str">
        <f>IF(195&gt;'🌱 Configuração'!$F$55,"",IF('🌱 Configuração'!$B$56+194&lt;'🌱 Configuração'!$C$56,"Clone S"&amp;INT((195-1)/7)+1,IF('🌱 Configuração'!$B$56+194&lt;'🌱 Configuração'!$D$56,"Vega S"&amp;INT(('🌱 Configuração'!$B$56+194-'🌱 Configuração'!$C$56)/7)+1,IF('🌱 Configuração'!$B$56+194&lt;'🌱 Configuração'!$E$56,"Flora S"&amp;INT(('🌱 Configuração'!$B$56+194-'🌱 Configuração'!$D$56)/7)+1,"Flush S"&amp;INT(('🌱 Configuração'!$B$56+194-'🌱 Configuração'!$E$56)/7)+1))))</f>
        <v/>
      </c>
      <c r="F200" s="14" t="str">
        <f>IF(195&gt;'🌱 Configuração'!$F$55,"",IF('🌱 Configuração'!$B$56+194='🌱 Configuração'!$C$56,"🌿 INÍCIO VEGA — luz 18h/dia",IF('🌱 Configuração'!$B$56+194='🌱 Configuração'!$D$56,"🌸 INÍCIO FLORAÇÃO — mudar 12/12 🔴",IF('🌱 Configuração'!$B$56+194='🌱 Configuração'!$E$56,"🚿 INÍCIO FLUSH — parar nutrição",IF('🌱 Configuração'!$B$56+194='🌱 Configuração'!$F$56-1,"🔬 Véspera da colheita — analisar tricomas",IF('🌱 Configuração'!$B$56+194='🌱 Configuração'!$F$56,"✂️ COLHEITA — Parabéns! 🎉",""))))))</f>
        <v/>
      </c>
      <c r="G200" s="37" t="s">
        <v>428</v>
      </c>
      <c r="H200" s="38" t="str">
        <f>IF(195&gt;'🌱 Configuração'!$F$55,"",IF('🌱 Configuração'!$B$56+194&lt;'🌱 Configuração'!$C$56,IF(195=1,"🌿 Nim (2 mL/L) — foliar leve",IF(195=8,"🍄 Beauveria bassiana — foliar + solo","")),IF('🌱 Configuração'!$B$56+194&lt;'🌱 Configuração'!$D$56,IF(AND('🌱 Configuração'!$B$56+194&gt;='🌱 Configuração'!$C$56,'🌱 Configuração'!$B$56+194&lt;'🌱 Configuração'!$D$56,MOD('🌱 Configuração'!$B$56+194-'🌱 Configuração'!$C$56,7)=0,INT(('🌱 Configuração'!$B$56+194-'🌱 Configuração'!$C$56)/7)+1=1),"🌿 Nim (2 mL/L) — foliar preventivo",IF(AND('🌱 Configuração'!$B$56+194&gt;='🌱 Configuração'!$C$56,'🌱 Configuração'!$B$56+194&lt;'🌱 Configuração'!$D$56,MOD('🌱 Configuração'!$B$56+194-'🌱 Configuração'!$C$56,7)=0,INT(('🌱 Configuração'!$B$56+194-'🌱 Configuração'!$C$56)/7)+1=2),"🍄 Beauveria bassiana — foliar + solo",IF(AND('🌱 Configuração'!$B$56+194&gt;='🌱 Configuração'!$C$56,'🌱 Configuração'!$B$56+194&lt;'🌱 Configuração'!$D$56,MOD('🌱 Configuração'!$B$56+194-'🌱 Configuração'!$C$56,7)=0,INT(('🌱 Configuração'!$B$56+194-'🌱 Configuração'!$C$56)/7)+1=3),"🟡 Calda Sulfocálcica (1%) — foliar",IF(AND('🌱 Configuração'!$B$56+194&gt;='🌱 Configuração'!$C$56,'🌱 Configuração'!$B$56+194&lt;'🌱 Configuração'!$D$56,MOD('🌱 Configuração'!$B$56+194-'🌱 Configuração'!$C$56,7)=0,INT(('🌱 Configuração'!$B$56+194-'🌱 Configuração'!$C$56)/7)+1=4),"🦠 Trichoderma (3 g/L) — solo",IF(AND('🌱 Configuração'!$B$56+194&gt;='🌱 Configuração'!$C$56,'🌱 Configuração'!$B$56+194&lt;'🌱 Configuração'!$D$56,MOD('🌱 Configuração'!$B$56+194-'🌱 Configuração'!$C$56,7)=0,INT(('🌱 Configuração'!$B$56+194-'🌱 Configuração'!$C$56)/7)+1=5),"🔵 Calda Bordalesa (0.5%) — foliar",IF(AND('🌱 Configuração'!$B$56+194&gt;='🌱 Configuração'!$C$56,'🌱 Configuração'!$B$56+194&lt;'🌱 Configuração'!$D$56,MOD('🌱 Configuração'!$B$56+194-'🌱 Configuração'!$C$56,7)=0,INT(('🌱 Configuração'!$B$56+194-'🌱 Configuração'!$C$56)/7)+1=6),"🌿 Nim (2 mL/L) — ⚠️ ÚLTIMA foliar",IF(AND('🌱 Configuração'!$B$56+194&gt;='🌱 Configuração'!$C$56,'🌱 Configuração'!$B$56+194&lt;'🌱 Configuração'!$D$56,MOD('🌱 Configuração'!$B$56+194-'🌱 Configuração'!$C$56,7)=0,INT(('🌱 Configuração'!$B$56+194-'🌱 Configuração'!$C$56)/7)+1=7),"🦠 Trichoderma — solo",IF(AND('🌱 Configuração'!$B$56+194&gt;='🌱 Configuração'!$C$56,'🌱 Configuração'!$B$56+194&lt;'🌱 Configuração'!$D$56,MOD('🌱 Configuração'!$B$56+194-'🌱 Configuração'!$C$56,7)=0,INT(('🌱 Configuração'!$B$56+194-'🌱 Configuração'!$C$56)/7)+1=8),"🍄 Beauveria — solo","")))))))),IF('🌱 Configuração'!$B$56+194&lt;'🌱 Configuração'!$E$56,IF(AND('🌱 Configuração'!$B$56+194&gt;='🌱 Configuração'!$D$56,'🌱 Configuração'!$B$56+194&lt;'🌱 Configuração'!$E$56,MOD('🌱 Configuração'!$B$56+194-'🌱 Configuração'!$D$56,7)=0,INT(('🌱 Configuração'!$B$56+194-'🌱 Configuração'!$D$56)/7)+1=1),"🍄 Beauveria bassiana — SOLO apenas",IF(AND('🌱 Configuração'!$B$56+194&gt;='🌱 Configuração'!$D$56,'🌱 Configuração'!$B$56+194&lt;'🌱 Configuração'!$E$56,MOD('🌱 Configuração'!$B$56+194-'🌱 Configuração'!$D$56,7)=0,INT(('🌱 Configuração'!$B$56+194-'🌱 Configuração'!$D$56)/7)+1=2),"🦠 Trichoderma (3 g/L) — solo",IF(AND('🌱 Configuração'!$B$56+194&gt;='🌱 Configuração'!$D$56,'🌱 Configuração'!$B$56+194&lt;'🌱 Configuração'!$E$56,MOD('🌱 Configuração'!$B$56+194-'🌱 Configuração'!$D$56,7)=0,INT(('🌱 Configuração'!$B$56+194-'🌱 Configuração'!$D$56)/7)+1=3),"🍄 Beauveria bassiana — solo | ⚠️ Umid &lt;45%",IF(AND('🌱 Configuração'!$B$56+194&gt;='🌱 Configuração'!$D$56,'🌱 Configuração'!$B$56+194&lt;'🌱 Configuração'!$E$56,MOD('🌱 Configuração'!$B$56+194-'🌱 Configuração'!$D$56,7)=0,INT(('🌱 Configuração'!$B$56+194-'🌱 Configuração'!$D$56)/7)+1=4),"🦠 Trichoderma — solo | Inspecionar buds",IF(AND('🌱 Configuração'!$B$56+194&gt;='🌱 Configuração'!$D$56,'🌱 Configuração'!$B$56+194&lt;'🌱 Configuração'!$E$56,MOD('🌱 Configuração'!$B$56+194-'🌱 Configuração'!$D$56,7)=0,INT(('🌱 Configuração'!$B$56+194-'🌱 Configuração'!$D$56)/7)+1=5),"🍄 Beauveria + inspeção visual buds",IF(AND('🌱 Configuração'!$B$56+194&gt;='🌱 Configuração'!$D$56,'🌱 Configuração'!$B$56+194&lt;'🌱 Configuração'!$E$56,MOD('🌱 Configuração'!$B$56+194-'🌱 Configuração'!$D$56,7)=0,INT(('🌱 Configuração'!$B$56+194-'🌱 Configuração'!$D$56)/7)+1=6),"🦠 Trichoderma + ⚠️ Verificar mofo","")))))),IF(AND('🌱 Configuração'!$B$56+194&gt;='🌱 Configuração'!$E$56,MOD('🌱 Configuração'!$B$56+194-'🌱 Configuração'!$E$56,7)=0),"🔬 Inspeção final — analisar tricomas","")))))</f>
        <v/>
      </c>
      <c r="I200" s="33"/>
    </row>
    <row r="201" spans="1:9" ht="19.5" customHeight="1">
      <c r="A201" s="1"/>
      <c r="B201" s="39" t="str">
        <f>IF(196&lt;='🌱 Configuração'!$F$55,196,"")</f>
        <v/>
      </c>
      <c r="C201" s="40" t="str">
        <f>IF(196&lt;='🌱 Configuração'!$F$55,'🌱 Configuração'!$B$56+195,"")</f>
        <v/>
      </c>
      <c r="D201" s="41" t="str">
        <f>IF(196&gt;'🌱 Configuração'!$F$55,"",IF('🌱 Configuração'!$B$56+195&lt;'🌱 Configuração'!$C$56,"🌱 Clone",IF('🌱 Configuração'!$B$56+195&lt;'🌱 Configuração'!$D$56,"🌿 Vegetativo",IF('🌱 Configuração'!$B$56+195&lt;'🌱 Configuração'!$E$56,"🌸 Floração","🚿 Flush"))))</f>
        <v/>
      </c>
      <c r="E201" s="42" t="str">
        <f>IF(196&gt;'🌱 Configuração'!$F$55,"",IF('🌱 Configuração'!$B$56+195&lt;'🌱 Configuração'!$C$56,"Clone S"&amp;INT((196-1)/7)+1,IF('🌱 Configuração'!$B$56+195&lt;'🌱 Configuração'!$D$56,"Vega S"&amp;INT(('🌱 Configuração'!$B$56+195-'🌱 Configuração'!$C$56)/7)+1,IF('🌱 Configuração'!$B$56+195&lt;'🌱 Configuração'!$E$56,"Flora S"&amp;INT(('🌱 Configuração'!$B$56+195-'🌱 Configuração'!$D$56)/7)+1,"Flush S"&amp;INT(('🌱 Configuração'!$B$56+195-'🌱 Configuração'!$E$56)/7)+1))))</f>
        <v/>
      </c>
      <c r="F201" s="43" t="str">
        <f>IF(196&gt;'🌱 Configuração'!$F$55,"",IF('🌱 Configuração'!$B$56+195='🌱 Configuração'!$C$56,"🌿 INÍCIO VEGA — luz 18h/dia",IF('🌱 Configuração'!$B$56+195='🌱 Configuração'!$D$56,"🌸 INÍCIO FLORAÇÃO — mudar 12/12 🔴",IF('🌱 Configuração'!$B$56+195='🌱 Configuração'!$E$56,"🚿 INÍCIO FLUSH — parar nutrição",IF('🌱 Configuração'!$B$56+195='🌱 Configuração'!$F$56-1,"🔬 Véspera da colheita — analisar tricomas",IF('🌱 Configuração'!$B$56+195='🌱 Configuração'!$F$56,"✂️ COLHEITA — Parabéns! 🎉",""))))))</f>
        <v/>
      </c>
      <c r="G201" s="44" t="s">
        <v>428</v>
      </c>
      <c r="H201" s="45" t="str">
        <f>IF(196&gt;'🌱 Configuração'!$F$55,"",IF('🌱 Configuração'!$B$56+195&lt;'🌱 Configuração'!$C$56,IF(196=1,"🌿 Nim (2 mL/L) — foliar leve",IF(196=8,"🍄 Beauveria bassiana — foliar + solo","")),IF('🌱 Configuração'!$B$56+195&lt;'🌱 Configuração'!$D$56,IF(AND('🌱 Configuração'!$B$56+195&gt;='🌱 Configuração'!$C$56,'🌱 Configuração'!$B$56+195&lt;'🌱 Configuração'!$D$56,MOD('🌱 Configuração'!$B$56+195-'🌱 Configuração'!$C$56,7)=0,INT(('🌱 Configuração'!$B$56+195-'🌱 Configuração'!$C$56)/7)+1=1),"🌿 Nim (2 mL/L) — foliar preventivo",IF(AND('🌱 Configuração'!$B$56+195&gt;='🌱 Configuração'!$C$56,'🌱 Configuração'!$B$56+195&lt;'🌱 Configuração'!$D$56,MOD('🌱 Configuração'!$B$56+195-'🌱 Configuração'!$C$56,7)=0,INT(('🌱 Configuração'!$B$56+195-'🌱 Configuração'!$C$56)/7)+1=2),"🍄 Beauveria bassiana — foliar + solo",IF(AND('🌱 Configuração'!$B$56+195&gt;='🌱 Configuração'!$C$56,'🌱 Configuração'!$B$56+195&lt;'🌱 Configuração'!$D$56,MOD('🌱 Configuração'!$B$56+195-'🌱 Configuração'!$C$56,7)=0,INT(('🌱 Configuração'!$B$56+195-'🌱 Configuração'!$C$56)/7)+1=3),"🟡 Calda Sulfocálcica (1%) — foliar",IF(AND('🌱 Configuração'!$B$56+195&gt;='🌱 Configuração'!$C$56,'🌱 Configuração'!$B$56+195&lt;'🌱 Configuração'!$D$56,MOD('🌱 Configuração'!$B$56+195-'🌱 Configuração'!$C$56,7)=0,INT(('🌱 Configuração'!$B$56+195-'🌱 Configuração'!$C$56)/7)+1=4),"🦠 Trichoderma (3 g/L) — solo",IF(AND('🌱 Configuração'!$B$56+195&gt;='🌱 Configuração'!$C$56,'🌱 Configuração'!$B$56+195&lt;'🌱 Configuração'!$D$56,MOD('🌱 Configuração'!$B$56+195-'🌱 Configuração'!$C$56,7)=0,INT(('🌱 Configuração'!$B$56+195-'🌱 Configuração'!$C$56)/7)+1=5),"🔵 Calda Bordalesa (0.5%) — foliar",IF(AND('🌱 Configuração'!$B$56+195&gt;='🌱 Configuração'!$C$56,'🌱 Configuração'!$B$56+195&lt;'🌱 Configuração'!$D$56,MOD('🌱 Configuração'!$B$56+195-'🌱 Configuração'!$C$56,7)=0,INT(('🌱 Configuração'!$B$56+195-'🌱 Configuração'!$C$56)/7)+1=6),"🌿 Nim (2 mL/L) — ⚠️ ÚLTIMA foliar",IF(AND('🌱 Configuração'!$B$56+195&gt;='🌱 Configuração'!$C$56,'🌱 Configuração'!$B$56+195&lt;'🌱 Configuração'!$D$56,MOD('🌱 Configuração'!$B$56+195-'🌱 Configuração'!$C$56,7)=0,INT(('🌱 Configuração'!$B$56+195-'🌱 Configuração'!$C$56)/7)+1=7),"🦠 Trichoderma — solo",IF(AND('🌱 Configuração'!$B$56+195&gt;='🌱 Configuração'!$C$56,'🌱 Configuração'!$B$56+195&lt;'🌱 Configuração'!$D$56,MOD('🌱 Configuração'!$B$56+195-'🌱 Configuração'!$C$56,7)=0,INT(('🌱 Configuração'!$B$56+195-'🌱 Configuração'!$C$56)/7)+1=8),"🍄 Beauveria — solo","")))))))),IF('🌱 Configuração'!$B$56+195&lt;'🌱 Configuração'!$E$56,IF(AND('🌱 Configuração'!$B$56+195&gt;='🌱 Configuração'!$D$56,'🌱 Configuração'!$B$56+195&lt;'🌱 Configuração'!$E$56,MOD('🌱 Configuração'!$B$56+195-'🌱 Configuração'!$D$56,7)=0,INT(('🌱 Configuração'!$B$56+195-'🌱 Configuração'!$D$56)/7)+1=1),"🍄 Beauveria bassiana — SOLO apenas",IF(AND('🌱 Configuração'!$B$56+195&gt;='🌱 Configuração'!$D$56,'🌱 Configuração'!$B$56+195&lt;'🌱 Configuração'!$E$56,MOD('🌱 Configuração'!$B$56+195-'🌱 Configuração'!$D$56,7)=0,INT(('🌱 Configuração'!$B$56+195-'🌱 Configuração'!$D$56)/7)+1=2),"🦠 Trichoderma (3 g/L) — solo",IF(AND('🌱 Configuração'!$B$56+195&gt;='🌱 Configuração'!$D$56,'🌱 Configuração'!$B$56+195&lt;'🌱 Configuração'!$E$56,MOD('🌱 Configuração'!$B$56+195-'🌱 Configuração'!$D$56,7)=0,INT(('🌱 Configuração'!$B$56+195-'🌱 Configuração'!$D$56)/7)+1=3),"🍄 Beauveria bassiana — solo | ⚠️ Umid &lt;45%",IF(AND('🌱 Configuração'!$B$56+195&gt;='🌱 Configuração'!$D$56,'🌱 Configuração'!$B$56+195&lt;'🌱 Configuração'!$E$56,MOD('🌱 Configuração'!$B$56+195-'🌱 Configuração'!$D$56,7)=0,INT(('🌱 Configuração'!$B$56+195-'🌱 Configuração'!$D$56)/7)+1=4),"🦠 Trichoderma — solo | Inspecionar buds",IF(AND('🌱 Configuração'!$B$56+195&gt;='🌱 Configuração'!$D$56,'🌱 Configuração'!$B$56+195&lt;'🌱 Configuração'!$E$56,MOD('🌱 Configuração'!$B$56+195-'🌱 Configuração'!$D$56,7)=0,INT(('🌱 Configuração'!$B$56+195-'🌱 Configuração'!$D$56)/7)+1=5),"🍄 Beauveria + inspeção visual buds",IF(AND('🌱 Configuração'!$B$56+195&gt;='🌱 Configuração'!$D$56,'🌱 Configuração'!$B$56+195&lt;'🌱 Configuração'!$E$56,MOD('🌱 Configuração'!$B$56+195-'🌱 Configuração'!$D$56,7)=0,INT(('🌱 Configuração'!$B$56+195-'🌱 Configuração'!$D$56)/7)+1=6),"🦠 Trichoderma + ⚠️ Verificar mofo","")))))),IF(AND('🌱 Configuração'!$B$56+195&gt;='🌱 Configuração'!$E$56,MOD('🌱 Configuração'!$B$56+195-'🌱 Configuração'!$E$56,7)=0),"🔬 Inspeção final — analisar tricomas","")))))</f>
        <v/>
      </c>
      <c r="I201" s="33"/>
    </row>
    <row r="202" spans="1:9" ht="19.5" customHeight="1">
      <c r="A202" s="1"/>
      <c r="B202" s="35" t="str">
        <f>IF(197&lt;='🌱 Configuração'!$F$55,197,"")</f>
        <v/>
      </c>
      <c r="C202" s="13" t="str">
        <f>IF(197&lt;='🌱 Configuração'!$F$55,'🌱 Configuração'!$B$56+196,"")</f>
        <v/>
      </c>
      <c r="D202" s="36" t="str">
        <f>IF(197&gt;'🌱 Configuração'!$F$55,"",IF('🌱 Configuração'!$B$56+196&lt;'🌱 Configuração'!$C$56,"🌱 Clone",IF('🌱 Configuração'!$B$56+196&lt;'🌱 Configuração'!$D$56,"🌿 Vegetativo",IF('🌱 Configuração'!$B$56+196&lt;'🌱 Configuração'!$E$56,"🌸 Floração","🚿 Flush"))))</f>
        <v/>
      </c>
      <c r="E202" s="15" t="str">
        <f>IF(197&gt;'🌱 Configuração'!$F$55,"",IF('🌱 Configuração'!$B$56+196&lt;'🌱 Configuração'!$C$56,"Clone S"&amp;INT((197-1)/7)+1,IF('🌱 Configuração'!$B$56+196&lt;'🌱 Configuração'!$D$56,"Vega S"&amp;INT(('🌱 Configuração'!$B$56+196-'🌱 Configuração'!$C$56)/7)+1,IF('🌱 Configuração'!$B$56+196&lt;'🌱 Configuração'!$E$56,"Flora S"&amp;INT(('🌱 Configuração'!$B$56+196-'🌱 Configuração'!$D$56)/7)+1,"Flush S"&amp;INT(('🌱 Configuração'!$B$56+196-'🌱 Configuração'!$E$56)/7)+1))))</f>
        <v/>
      </c>
      <c r="F202" s="14" t="str">
        <f>IF(197&gt;'🌱 Configuração'!$F$55,"",IF('🌱 Configuração'!$B$56+196='🌱 Configuração'!$C$56,"🌿 INÍCIO VEGA — luz 18h/dia",IF('🌱 Configuração'!$B$56+196='🌱 Configuração'!$D$56,"🌸 INÍCIO FLORAÇÃO — mudar 12/12 🔴",IF('🌱 Configuração'!$B$56+196='🌱 Configuração'!$E$56,"🚿 INÍCIO FLUSH — parar nutrição",IF('🌱 Configuração'!$B$56+196='🌱 Configuração'!$F$56-1,"🔬 Véspera da colheita — analisar tricomas",IF('🌱 Configuração'!$B$56+196='🌱 Configuração'!$F$56,"✂️ COLHEITA — Parabéns! 🎉",""))))))</f>
        <v/>
      </c>
      <c r="G202" s="37" t="s">
        <v>428</v>
      </c>
      <c r="H202" s="38" t="str">
        <f>IF(197&gt;'🌱 Configuração'!$F$55,"",IF('🌱 Configuração'!$B$56+196&lt;'🌱 Configuração'!$C$56,IF(197=1,"🌿 Nim (2 mL/L) — foliar leve",IF(197=8,"🍄 Beauveria bassiana — foliar + solo","")),IF('🌱 Configuração'!$B$56+196&lt;'🌱 Configuração'!$D$56,IF(AND('🌱 Configuração'!$B$56+196&gt;='🌱 Configuração'!$C$56,'🌱 Configuração'!$B$56+196&lt;'🌱 Configuração'!$D$56,MOD('🌱 Configuração'!$B$56+196-'🌱 Configuração'!$C$56,7)=0,INT(('🌱 Configuração'!$B$56+196-'🌱 Configuração'!$C$56)/7)+1=1),"🌿 Nim (2 mL/L) — foliar preventivo",IF(AND('🌱 Configuração'!$B$56+196&gt;='🌱 Configuração'!$C$56,'🌱 Configuração'!$B$56+196&lt;'🌱 Configuração'!$D$56,MOD('🌱 Configuração'!$B$56+196-'🌱 Configuração'!$C$56,7)=0,INT(('🌱 Configuração'!$B$56+196-'🌱 Configuração'!$C$56)/7)+1=2),"🍄 Beauveria bassiana — foliar + solo",IF(AND('🌱 Configuração'!$B$56+196&gt;='🌱 Configuração'!$C$56,'🌱 Configuração'!$B$56+196&lt;'🌱 Configuração'!$D$56,MOD('🌱 Configuração'!$B$56+196-'🌱 Configuração'!$C$56,7)=0,INT(('🌱 Configuração'!$B$56+196-'🌱 Configuração'!$C$56)/7)+1=3),"🟡 Calda Sulfocálcica (1%) — foliar",IF(AND('🌱 Configuração'!$B$56+196&gt;='🌱 Configuração'!$C$56,'🌱 Configuração'!$B$56+196&lt;'🌱 Configuração'!$D$56,MOD('🌱 Configuração'!$B$56+196-'🌱 Configuração'!$C$56,7)=0,INT(('🌱 Configuração'!$B$56+196-'🌱 Configuração'!$C$56)/7)+1=4),"🦠 Trichoderma (3 g/L) — solo",IF(AND('🌱 Configuração'!$B$56+196&gt;='🌱 Configuração'!$C$56,'🌱 Configuração'!$B$56+196&lt;'🌱 Configuração'!$D$56,MOD('🌱 Configuração'!$B$56+196-'🌱 Configuração'!$C$56,7)=0,INT(('🌱 Configuração'!$B$56+196-'🌱 Configuração'!$C$56)/7)+1=5),"🔵 Calda Bordalesa (0.5%) — foliar",IF(AND('🌱 Configuração'!$B$56+196&gt;='🌱 Configuração'!$C$56,'🌱 Configuração'!$B$56+196&lt;'🌱 Configuração'!$D$56,MOD('🌱 Configuração'!$B$56+196-'🌱 Configuração'!$C$56,7)=0,INT(('🌱 Configuração'!$B$56+196-'🌱 Configuração'!$C$56)/7)+1=6),"🌿 Nim (2 mL/L) — ⚠️ ÚLTIMA foliar",IF(AND('🌱 Configuração'!$B$56+196&gt;='🌱 Configuração'!$C$56,'🌱 Configuração'!$B$56+196&lt;'🌱 Configuração'!$D$56,MOD('🌱 Configuração'!$B$56+196-'🌱 Configuração'!$C$56,7)=0,INT(('🌱 Configuração'!$B$56+196-'🌱 Configuração'!$C$56)/7)+1=7),"🦠 Trichoderma — solo",IF(AND('🌱 Configuração'!$B$56+196&gt;='🌱 Configuração'!$C$56,'🌱 Configuração'!$B$56+196&lt;'🌱 Configuração'!$D$56,MOD('🌱 Configuração'!$B$56+196-'🌱 Configuração'!$C$56,7)=0,INT(('🌱 Configuração'!$B$56+196-'🌱 Configuração'!$C$56)/7)+1=8),"🍄 Beauveria — solo","")))))))),IF('🌱 Configuração'!$B$56+196&lt;'🌱 Configuração'!$E$56,IF(AND('🌱 Configuração'!$B$56+196&gt;='🌱 Configuração'!$D$56,'🌱 Configuração'!$B$56+196&lt;'🌱 Configuração'!$E$56,MOD('🌱 Configuração'!$B$56+196-'🌱 Configuração'!$D$56,7)=0,INT(('🌱 Configuração'!$B$56+196-'🌱 Configuração'!$D$56)/7)+1=1),"🍄 Beauveria bassiana — SOLO apenas",IF(AND('🌱 Configuração'!$B$56+196&gt;='🌱 Configuração'!$D$56,'🌱 Configuração'!$B$56+196&lt;'🌱 Configuração'!$E$56,MOD('🌱 Configuração'!$B$56+196-'🌱 Configuração'!$D$56,7)=0,INT(('🌱 Configuração'!$B$56+196-'🌱 Configuração'!$D$56)/7)+1=2),"🦠 Trichoderma (3 g/L) — solo",IF(AND('🌱 Configuração'!$B$56+196&gt;='🌱 Configuração'!$D$56,'🌱 Configuração'!$B$56+196&lt;'🌱 Configuração'!$E$56,MOD('🌱 Configuração'!$B$56+196-'🌱 Configuração'!$D$56,7)=0,INT(('🌱 Configuração'!$B$56+196-'🌱 Configuração'!$D$56)/7)+1=3),"🍄 Beauveria bassiana — solo | ⚠️ Umid &lt;45%",IF(AND('🌱 Configuração'!$B$56+196&gt;='🌱 Configuração'!$D$56,'🌱 Configuração'!$B$56+196&lt;'🌱 Configuração'!$E$56,MOD('🌱 Configuração'!$B$56+196-'🌱 Configuração'!$D$56,7)=0,INT(('🌱 Configuração'!$B$56+196-'🌱 Configuração'!$D$56)/7)+1=4),"🦠 Trichoderma — solo | Inspecionar buds",IF(AND('🌱 Configuração'!$B$56+196&gt;='🌱 Configuração'!$D$56,'🌱 Configuração'!$B$56+196&lt;'🌱 Configuração'!$E$56,MOD('🌱 Configuração'!$B$56+196-'🌱 Configuração'!$D$56,7)=0,INT(('🌱 Configuração'!$B$56+196-'🌱 Configuração'!$D$56)/7)+1=5),"🍄 Beauveria + inspeção visual buds",IF(AND('🌱 Configuração'!$B$56+196&gt;='🌱 Configuração'!$D$56,'🌱 Configuração'!$B$56+196&lt;'🌱 Configuração'!$E$56,MOD('🌱 Configuração'!$B$56+196-'🌱 Configuração'!$D$56,7)=0,INT(('🌱 Configuração'!$B$56+196-'🌱 Configuração'!$D$56)/7)+1=6),"🦠 Trichoderma + ⚠️ Verificar mofo","")))))),IF(AND('🌱 Configuração'!$B$56+196&gt;='🌱 Configuração'!$E$56,MOD('🌱 Configuração'!$B$56+196-'🌱 Configuração'!$E$56,7)=0),"🔬 Inspeção final — analisar tricomas","")))))</f>
        <v/>
      </c>
      <c r="I202" s="33"/>
    </row>
    <row r="203" spans="1:9" ht="19.5" customHeight="1">
      <c r="A203" s="1"/>
      <c r="B203" s="39" t="str">
        <f>IF(198&lt;='🌱 Configuração'!$F$55,198,"")</f>
        <v/>
      </c>
      <c r="C203" s="40" t="str">
        <f>IF(198&lt;='🌱 Configuração'!$F$55,'🌱 Configuração'!$B$56+197,"")</f>
        <v/>
      </c>
      <c r="D203" s="41" t="str">
        <f>IF(198&gt;'🌱 Configuração'!$F$55,"",IF('🌱 Configuração'!$B$56+197&lt;'🌱 Configuração'!$C$56,"🌱 Clone",IF('🌱 Configuração'!$B$56+197&lt;'🌱 Configuração'!$D$56,"🌿 Vegetativo",IF('🌱 Configuração'!$B$56+197&lt;'🌱 Configuração'!$E$56,"🌸 Floração","🚿 Flush"))))</f>
        <v/>
      </c>
      <c r="E203" s="42" t="str">
        <f>IF(198&gt;'🌱 Configuração'!$F$55,"",IF('🌱 Configuração'!$B$56+197&lt;'🌱 Configuração'!$C$56,"Clone S"&amp;INT((198-1)/7)+1,IF('🌱 Configuração'!$B$56+197&lt;'🌱 Configuração'!$D$56,"Vega S"&amp;INT(('🌱 Configuração'!$B$56+197-'🌱 Configuração'!$C$56)/7)+1,IF('🌱 Configuração'!$B$56+197&lt;'🌱 Configuração'!$E$56,"Flora S"&amp;INT(('🌱 Configuração'!$B$56+197-'🌱 Configuração'!$D$56)/7)+1,"Flush S"&amp;INT(('🌱 Configuração'!$B$56+197-'🌱 Configuração'!$E$56)/7)+1))))</f>
        <v/>
      </c>
      <c r="F203" s="43" t="str">
        <f>IF(198&gt;'🌱 Configuração'!$F$55,"",IF('🌱 Configuração'!$B$56+197='🌱 Configuração'!$C$56,"🌿 INÍCIO VEGA — luz 18h/dia",IF('🌱 Configuração'!$B$56+197='🌱 Configuração'!$D$56,"🌸 INÍCIO FLORAÇÃO — mudar 12/12 🔴",IF('🌱 Configuração'!$B$56+197='🌱 Configuração'!$E$56,"🚿 INÍCIO FLUSH — parar nutrição",IF('🌱 Configuração'!$B$56+197='🌱 Configuração'!$F$56-1,"🔬 Véspera da colheita — analisar tricomas",IF('🌱 Configuração'!$B$56+197='🌱 Configuração'!$F$56,"✂️ COLHEITA — Parabéns! 🎉",""))))))</f>
        <v/>
      </c>
      <c r="G203" s="44" t="s">
        <v>428</v>
      </c>
      <c r="H203" s="45" t="str">
        <f>IF(198&gt;'🌱 Configuração'!$F$55,"",IF('🌱 Configuração'!$B$56+197&lt;'🌱 Configuração'!$C$56,IF(198=1,"🌿 Nim (2 mL/L) — foliar leve",IF(198=8,"🍄 Beauveria bassiana — foliar + solo","")),IF('🌱 Configuração'!$B$56+197&lt;'🌱 Configuração'!$D$56,IF(AND('🌱 Configuração'!$B$56+197&gt;='🌱 Configuração'!$C$56,'🌱 Configuração'!$B$56+197&lt;'🌱 Configuração'!$D$56,MOD('🌱 Configuração'!$B$56+197-'🌱 Configuração'!$C$56,7)=0,INT(('🌱 Configuração'!$B$56+197-'🌱 Configuração'!$C$56)/7)+1=1),"🌿 Nim (2 mL/L) — foliar preventivo",IF(AND('🌱 Configuração'!$B$56+197&gt;='🌱 Configuração'!$C$56,'🌱 Configuração'!$B$56+197&lt;'🌱 Configuração'!$D$56,MOD('🌱 Configuração'!$B$56+197-'🌱 Configuração'!$C$56,7)=0,INT(('🌱 Configuração'!$B$56+197-'🌱 Configuração'!$C$56)/7)+1=2),"🍄 Beauveria bassiana — foliar + solo",IF(AND('🌱 Configuração'!$B$56+197&gt;='🌱 Configuração'!$C$56,'🌱 Configuração'!$B$56+197&lt;'🌱 Configuração'!$D$56,MOD('🌱 Configuração'!$B$56+197-'🌱 Configuração'!$C$56,7)=0,INT(('🌱 Configuração'!$B$56+197-'🌱 Configuração'!$C$56)/7)+1=3),"🟡 Calda Sulfocálcica (1%) — foliar",IF(AND('🌱 Configuração'!$B$56+197&gt;='🌱 Configuração'!$C$56,'🌱 Configuração'!$B$56+197&lt;'🌱 Configuração'!$D$56,MOD('🌱 Configuração'!$B$56+197-'🌱 Configuração'!$C$56,7)=0,INT(('🌱 Configuração'!$B$56+197-'🌱 Configuração'!$C$56)/7)+1=4),"🦠 Trichoderma (3 g/L) — solo",IF(AND('🌱 Configuração'!$B$56+197&gt;='🌱 Configuração'!$C$56,'🌱 Configuração'!$B$56+197&lt;'🌱 Configuração'!$D$56,MOD('🌱 Configuração'!$B$56+197-'🌱 Configuração'!$C$56,7)=0,INT(('🌱 Configuração'!$B$56+197-'🌱 Configuração'!$C$56)/7)+1=5),"🔵 Calda Bordalesa (0.5%) — foliar",IF(AND('🌱 Configuração'!$B$56+197&gt;='🌱 Configuração'!$C$56,'🌱 Configuração'!$B$56+197&lt;'🌱 Configuração'!$D$56,MOD('🌱 Configuração'!$B$56+197-'🌱 Configuração'!$C$56,7)=0,INT(('🌱 Configuração'!$B$56+197-'🌱 Configuração'!$C$56)/7)+1=6),"🌿 Nim (2 mL/L) — ⚠️ ÚLTIMA foliar",IF(AND('🌱 Configuração'!$B$56+197&gt;='🌱 Configuração'!$C$56,'🌱 Configuração'!$B$56+197&lt;'🌱 Configuração'!$D$56,MOD('🌱 Configuração'!$B$56+197-'🌱 Configuração'!$C$56,7)=0,INT(('🌱 Configuração'!$B$56+197-'🌱 Configuração'!$C$56)/7)+1=7),"🦠 Trichoderma — solo",IF(AND('🌱 Configuração'!$B$56+197&gt;='🌱 Configuração'!$C$56,'🌱 Configuração'!$B$56+197&lt;'🌱 Configuração'!$D$56,MOD('🌱 Configuração'!$B$56+197-'🌱 Configuração'!$C$56,7)=0,INT(('🌱 Configuração'!$B$56+197-'🌱 Configuração'!$C$56)/7)+1=8),"🍄 Beauveria — solo","")))))))),IF('🌱 Configuração'!$B$56+197&lt;'🌱 Configuração'!$E$56,IF(AND('🌱 Configuração'!$B$56+197&gt;='🌱 Configuração'!$D$56,'🌱 Configuração'!$B$56+197&lt;'🌱 Configuração'!$E$56,MOD('🌱 Configuração'!$B$56+197-'🌱 Configuração'!$D$56,7)=0,INT(('🌱 Configuração'!$B$56+197-'🌱 Configuração'!$D$56)/7)+1=1),"🍄 Beauveria bassiana — SOLO apenas",IF(AND('🌱 Configuração'!$B$56+197&gt;='🌱 Configuração'!$D$56,'🌱 Configuração'!$B$56+197&lt;'🌱 Configuração'!$E$56,MOD('🌱 Configuração'!$B$56+197-'🌱 Configuração'!$D$56,7)=0,INT(('🌱 Configuração'!$B$56+197-'🌱 Configuração'!$D$56)/7)+1=2),"🦠 Trichoderma (3 g/L) — solo",IF(AND('🌱 Configuração'!$B$56+197&gt;='🌱 Configuração'!$D$56,'🌱 Configuração'!$B$56+197&lt;'🌱 Configuração'!$E$56,MOD('🌱 Configuração'!$B$56+197-'🌱 Configuração'!$D$56,7)=0,INT(('🌱 Configuração'!$B$56+197-'🌱 Configuração'!$D$56)/7)+1=3),"🍄 Beauveria bassiana — solo | ⚠️ Umid &lt;45%",IF(AND('🌱 Configuração'!$B$56+197&gt;='🌱 Configuração'!$D$56,'🌱 Configuração'!$B$56+197&lt;'🌱 Configuração'!$E$56,MOD('🌱 Configuração'!$B$56+197-'🌱 Configuração'!$D$56,7)=0,INT(('🌱 Configuração'!$B$56+197-'🌱 Configuração'!$D$56)/7)+1=4),"🦠 Trichoderma — solo | Inspecionar buds",IF(AND('🌱 Configuração'!$B$56+197&gt;='🌱 Configuração'!$D$56,'🌱 Configuração'!$B$56+197&lt;'🌱 Configuração'!$E$56,MOD('🌱 Configuração'!$B$56+197-'🌱 Configuração'!$D$56,7)=0,INT(('🌱 Configuração'!$B$56+197-'🌱 Configuração'!$D$56)/7)+1=5),"🍄 Beauveria + inspeção visual buds",IF(AND('🌱 Configuração'!$B$56+197&gt;='🌱 Configuração'!$D$56,'🌱 Configuração'!$B$56+197&lt;'🌱 Configuração'!$E$56,MOD('🌱 Configuração'!$B$56+197-'🌱 Configuração'!$D$56,7)=0,INT(('🌱 Configuração'!$B$56+197-'🌱 Configuração'!$D$56)/7)+1=6),"🦠 Trichoderma + ⚠️ Verificar mofo","")))))),IF(AND('🌱 Configuração'!$B$56+197&gt;='🌱 Configuração'!$E$56,MOD('🌱 Configuração'!$B$56+197-'🌱 Configuração'!$E$56,7)=0),"🔬 Inspeção final — analisar tricomas","")))))</f>
        <v/>
      </c>
      <c r="I203" s="33"/>
    </row>
    <row r="204" spans="1:9" ht="19.5" customHeight="1">
      <c r="A204" s="1"/>
      <c r="B204" s="35" t="str">
        <f>IF(199&lt;='🌱 Configuração'!$F$55,199,"")</f>
        <v/>
      </c>
      <c r="C204" s="13" t="str">
        <f>IF(199&lt;='🌱 Configuração'!$F$55,'🌱 Configuração'!$B$56+198,"")</f>
        <v/>
      </c>
      <c r="D204" s="36" t="str">
        <f>IF(199&gt;'🌱 Configuração'!$F$55,"",IF('🌱 Configuração'!$B$56+198&lt;'🌱 Configuração'!$C$56,"🌱 Clone",IF('🌱 Configuração'!$B$56+198&lt;'🌱 Configuração'!$D$56,"🌿 Vegetativo",IF('🌱 Configuração'!$B$56+198&lt;'🌱 Configuração'!$E$56,"🌸 Floração","🚿 Flush"))))</f>
        <v/>
      </c>
      <c r="E204" s="15" t="str">
        <f>IF(199&gt;'🌱 Configuração'!$F$55,"",IF('🌱 Configuração'!$B$56+198&lt;'🌱 Configuração'!$C$56,"Clone S"&amp;INT((199-1)/7)+1,IF('🌱 Configuração'!$B$56+198&lt;'🌱 Configuração'!$D$56,"Vega S"&amp;INT(('🌱 Configuração'!$B$56+198-'🌱 Configuração'!$C$56)/7)+1,IF('🌱 Configuração'!$B$56+198&lt;'🌱 Configuração'!$E$56,"Flora S"&amp;INT(('🌱 Configuração'!$B$56+198-'🌱 Configuração'!$D$56)/7)+1,"Flush S"&amp;INT(('🌱 Configuração'!$B$56+198-'🌱 Configuração'!$E$56)/7)+1))))</f>
        <v/>
      </c>
      <c r="F204" s="14" t="str">
        <f>IF(199&gt;'🌱 Configuração'!$F$55,"",IF('🌱 Configuração'!$B$56+198='🌱 Configuração'!$C$56,"🌿 INÍCIO VEGA — luz 18h/dia",IF('🌱 Configuração'!$B$56+198='🌱 Configuração'!$D$56,"🌸 INÍCIO FLORAÇÃO — mudar 12/12 🔴",IF('🌱 Configuração'!$B$56+198='🌱 Configuração'!$E$56,"🚿 INÍCIO FLUSH — parar nutrição",IF('🌱 Configuração'!$B$56+198='🌱 Configuração'!$F$56-1,"🔬 Véspera da colheita — analisar tricomas",IF('🌱 Configuração'!$B$56+198='🌱 Configuração'!$F$56,"✂️ COLHEITA — Parabéns! 🎉",""))))))</f>
        <v/>
      </c>
      <c r="G204" s="37" t="s">
        <v>428</v>
      </c>
      <c r="H204" s="38" t="str">
        <f>IF(199&gt;'🌱 Configuração'!$F$55,"",IF('🌱 Configuração'!$B$56+198&lt;'🌱 Configuração'!$C$56,IF(199=1,"🌿 Nim (2 mL/L) — foliar leve",IF(199=8,"🍄 Beauveria bassiana — foliar + solo","")),IF('🌱 Configuração'!$B$56+198&lt;'🌱 Configuração'!$D$56,IF(AND('🌱 Configuração'!$B$56+198&gt;='🌱 Configuração'!$C$56,'🌱 Configuração'!$B$56+198&lt;'🌱 Configuração'!$D$56,MOD('🌱 Configuração'!$B$56+198-'🌱 Configuração'!$C$56,7)=0,INT(('🌱 Configuração'!$B$56+198-'🌱 Configuração'!$C$56)/7)+1=1),"🌿 Nim (2 mL/L) — foliar preventivo",IF(AND('🌱 Configuração'!$B$56+198&gt;='🌱 Configuração'!$C$56,'🌱 Configuração'!$B$56+198&lt;'🌱 Configuração'!$D$56,MOD('🌱 Configuração'!$B$56+198-'🌱 Configuração'!$C$56,7)=0,INT(('🌱 Configuração'!$B$56+198-'🌱 Configuração'!$C$56)/7)+1=2),"🍄 Beauveria bassiana — foliar + solo",IF(AND('🌱 Configuração'!$B$56+198&gt;='🌱 Configuração'!$C$56,'🌱 Configuração'!$B$56+198&lt;'🌱 Configuração'!$D$56,MOD('🌱 Configuração'!$B$56+198-'🌱 Configuração'!$C$56,7)=0,INT(('🌱 Configuração'!$B$56+198-'🌱 Configuração'!$C$56)/7)+1=3),"🟡 Calda Sulfocálcica (1%) — foliar",IF(AND('🌱 Configuração'!$B$56+198&gt;='🌱 Configuração'!$C$56,'🌱 Configuração'!$B$56+198&lt;'🌱 Configuração'!$D$56,MOD('🌱 Configuração'!$B$56+198-'🌱 Configuração'!$C$56,7)=0,INT(('🌱 Configuração'!$B$56+198-'🌱 Configuração'!$C$56)/7)+1=4),"🦠 Trichoderma (3 g/L) — solo",IF(AND('🌱 Configuração'!$B$56+198&gt;='🌱 Configuração'!$C$56,'🌱 Configuração'!$B$56+198&lt;'🌱 Configuração'!$D$56,MOD('🌱 Configuração'!$B$56+198-'🌱 Configuração'!$C$56,7)=0,INT(('🌱 Configuração'!$B$56+198-'🌱 Configuração'!$C$56)/7)+1=5),"🔵 Calda Bordalesa (0.5%) — foliar",IF(AND('🌱 Configuração'!$B$56+198&gt;='🌱 Configuração'!$C$56,'🌱 Configuração'!$B$56+198&lt;'🌱 Configuração'!$D$56,MOD('🌱 Configuração'!$B$56+198-'🌱 Configuração'!$C$56,7)=0,INT(('🌱 Configuração'!$B$56+198-'🌱 Configuração'!$C$56)/7)+1=6),"🌿 Nim (2 mL/L) — ⚠️ ÚLTIMA foliar",IF(AND('🌱 Configuração'!$B$56+198&gt;='🌱 Configuração'!$C$56,'🌱 Configuração'!$B$56+198&lt;'🌱 Configuração'!$D$56,MOD('🌱 Configuração'!$B$56+198-'🌱 Configuração'!$C$56,7)=0,INT(('🌱 Configuração'!$B$56+198-'🌱 Configuração'!$C$56)/7)+1=7),"🦠 Trichoderma — solo",IF(AND('🌱 Configuração'!$B$56+198&gt;='🌱 Configuração'!$C$56,'🌱 Configuração'!$B$56+198&lt;'🌱 Configuração'!$D$56,MOD('🌱 Configuração'!$B$56+198-'🌱 Configuração'!$C$56,7)=0,INT(('🌱 Configuração'!$B$56+198-'🌱 Configuração'!$C$56)/7)+1=8),"🍄 Beauveria — solo","")))))))),IF('🌱 Configuração'!$B$56+198&lt;'🌱 Configuração'!$E$56,IF(AND('🌱 Configuração'!$B$56+198&gt;='🌱 Configuração'!$D$56,'🌱 Configuração'!$B$56+198&lt;'🌱 Configuração'!$E$56,MOD('🌱 Configuração'!$B$56+198-'🌱 Configuração'!$D$56,7)=0,INT(('🌱 Configuração'!$B$56+198-'🌱 Configuração'!$D$56)/7)+1=1),"🍄 Beauveria bassiana — SOLO apenas",IF(AND('🌱 Configuração'!$B$56+198&gt;='🌱 Configuração'!$D$56,'🌱 Configuração'!$B$56+198&lt;'🌱 Configuração'!$E$56,MOD('🌱 Configuração'!$B$56+198-'🌱 Configuração'!$D$56,7)=0,INT(('🌱 Configuração'!$B$56+198-'🌱 Configuração'!$D$56)/7)+1=2),"🦠 Trichoderma (3 g/L) — solo",IF(AND('🌱 Configuração'!$B$56+198&gt;='🌱 Configuração'!$D$56,'🌱 Configuração'!$B$56+198&lt;'🌱 Configuração'!$E$56,MOD('🌱 Configuração'!$B$56+198-'🌱 Configuração'!$D$56,7)=0,INT(('🌱 Configuração'!$B$56+198-'🌱 Configuração'!$D$56)/7)+1=3),"🍄 Beauveria bassiana — solo | ⚠️ Umid &lt;45%",IF(AND('🌱 Configuração'!$B$56+198&gt;='🌱 Configuração'!$D$56,'🌱 Configuração'!$B$56+198&lt;'🌱 Configuração'!$E$56,MOD('🌱 Configuração'!$B$56+198-'🌱 Configuração'!$D$56,7)=0,INT(('🌱 Configuração'!$B$56+198-'🌱 Configuração'!$D$56)/7)+1=4),"🦠 Trichoderma — solo | Inspecionar buds",IF(AND('🌱 Configuração'!$B$56+198&gt;='🌱 Configuração'!$D$56,'🌱 Configuração'!$B$56+198&lt;'🌱 Configuração'!$E$56,MOD('🌱 Configuração'!$B$56+198-'🌱 Configuração'!$D$56,7)=0,INT(('🌱 Configuração'!$B$56+198-'🌱 Configuração'!$D$56)/7)+1=5),"🍄 Beauveria + inspeção visual buds",IF(AND('🌱 Configuração'!$B$56+198&gt;='🌱 Configuração'!$D$56,'🌱 Configuração'!$B$56+198&lt;'🌱 Configuração'!$E$56,MOD('🌱 Configuração'!$B$56+198-'🌱 Configuração'!$D$56,7)=0,INT(('🌱 Configuração'!$B$56+198-'🌱 Configuração'!$D$56)/7)+1=6),"🦠 Trichoderma + ⚠️ Verificar mofo","")))))),IF(AND('🌱 Configuração'!$B$56+198&gt;='🌱 Configuração'!$E$56,MOD('🌱 Configuração'!$B$56+198-'🌱 Configuração'!$E$56,7)=0),"🔬 Inspeção final — analisar tricomas","")))))</f>
        <v/>
      </c>
      <c r="I204" s="33"/>
    </row>
    <row r="205" spans="1:9" ht="19.5" customHeight="1">
      <c r="A205" s="1"/>
      <c r="B205" s="39" t="str">
        <f>IF(200&lt;='🌱 Configuração'!$F$55,200,"")</f>
        <v/>
      </c>
      <c r="C205" s="40" t="str">
        <f>IF(200&lt;='🌱 Configuração'!$F$55,'🌱 Configuração'!$B$56+199,"")</f>
        <v/>
      </c>
      <c r="D205" s="41" t="str">
        <f>IF(200&gt;'🌱 Configuração'!$F$55,"",IF('🌱 Configuração'!$B$56+199&lt;'🌱 Configuração'!$C$56,"🌱 Clone",IF('🌱 Configuração'!$B$56+199&lt;'🌱 Configuração'!$D$56,"🌿 Vegetativo",IF('🌱 Configuração'!$B$56+199&lt;'🌱 Configuração'!$E$56,"🌸 Floração","🚿 Flush"))))</f>
        <v/>
      </c>
      <c r="E205" s="42" t="str">
        <f>IF(200&gt;'🌱 Configuração'!$F$55,"",IF('🌱 Configuração'!$B$56+199&lt;'🌱 Configuração'!$C$56,"Clone S"&amp;INT((200-1)/7)+1,IF('🌱 Configuração'!$B$56+199&lt;'🌱 Configuração'!$D$56,"Vega S"&amp;INT(('🌱 Configuração'!$B$56+199-'🌱 Configuração'!$C$56)/7)+1,IF('🌱 Configuração'!$B$56+199&lt;'🌱 Configuração'!$E$56,"Flora S"&amp;INT(('🌱 Configuração'!$B$56+199-'🌱 Configuração'!$D$56)/7)+1,"Flush S"&amp;INT(('🌱 Configuração'!$B$56+199-'🌱 Configuração'!$E$56)/7)+1))))</f>
        <v/>
      </c>
      <c r="F205" s="43" t="str">
        <f>IF(200&gt;'🌱 Configuração'!$F$55,"",IF('🌱 Configuração'!$B$56+199='🌱 Configuração'!$C$56,"🌿 INÍCIO VEGA — luz 18h/dia",IF('🌱 Configuração'!$B$56+199='🌱 Configuração'!$D$56,"🌸 INÍCIO FLORAÇÃO — mudar 12/12 🔴",IF('🌱 Configuração'!$B$56+199='🌱 Configuração'!$E$56,"🚿 INÍCIO FLUSH — parar nutrição",IF('🌱 Configuração'!$B$56+199='🌱 Configuração'!$F$56-1,"🔬 Véspera da colheita — analisar tricomas",IF('🌱 Configuração'!$B$56+199='🌱 Configuração'!$F$56,"✂️ COLHEITA — Parabéns! 🎉",""))))))</f>
        <v/>
      </c>
      <c r="G205" s="44" t="s">
        <v>428</v>
      </c>
      <c r="H205" s="45" t="str">
        <f>IF(200&gt;'🌱 Configuração'!$F$55,"",IF('🌱 Configuração'!$B$56+199&lt;'🌱 Configuração'!$C$56,IF(200=1,"🌿 Nim (2 mL/L) — foliar leve",IF(200=8,"🍄 Beauveria bassiana — foliar + solo","")),IF('🌱 Configuração'!$B$56+199&lt;'🌱 Configuração'!$D$56,IF(AND('🌱 Configuração'!$B$56+199&gt;='🌱 Configuração'!$C$56,'🌱 Configuração'!$B$56+199&lt;'🌱 Configuração'!$D$56,MOD('🌱 Configuração'!$B$56+199-'🌱 Configuração'!$C$56,7)=0,INT(('🌱 Configuração'!$B$56+199-'🌱 Configuração'!$C$56)/7)+1=1),"🌿 Nim (2 mL/L) — foliar preventivo",IF(AND('🌱 Configuração'!$B$56+199&gt;='🌱 Configuração'!$C$56,'🌱 Configuração'!$B$56+199&lt;'🌱 Configuração'!$D$56,MOD('🌱 Configuração'!$B$56+199-'🌱 Configuração'!$C$56,7)=0,INT(('🌱 Configuração'!$B$56+199-'🌱 Configuração'!$C$56)/7)+1=2),"🍄 Beauveria bassiana — foliar + solo",IF(AND('🌱 Configuração'!$B$56+199&gt;='🌱 Configuração'!$C$56,'🌱 Configuração'!$B$56+199&lt;'🌱 Configuração'!$D$56,MOD('🌱 Configuração'!$B$56+199-'🌱 Configuração'!$C$56,7)=0,INT(('🌱 Configuração'!$B$56+199-'🌱 Configuração'!$C$56)/7)+1=3),"🟡 Calda Sulfocálcica (1%) — foliar",IF(AND('🌱 Configuração'!$B$56+199&gt;='🌱 Configuração'!$C$56,'🌱 Configuração'!$B$56+199&lt;'🌱 Configuração'!$D$56,MOD('🌱 Configuração'!$B$56+199-'🌱 Configuração'!$C$56,7)=0,INT(('🌱 Configuração'!$B$56+199-'🌱 Configuração'!$C$56)/7)+1=4),"🦠 Trichoderma (3 g/L) — solo",IF(AND('🌱 Configuração'!$B$56+199&gt;='🌱 Configuração'!$C$56,'🌱 Configuração'!$B$56+199&lt;'🌱 Configuração'!$D$56,MOD('🌱 Configuração'!$B$56+199-'🌱 Configuração'!$C$56,7)=0,INT(('🌱 Configuração'!$B$56+199-'🌱 Configuração'!$C$56)/7)+1=5),"🔵 Calda Bordalesa (0.5%) — foliar",IF(AND('🌱 Configuração'!$B$56+199&gt;='🌱 Configuração'!$C$56,'🌱 Configuração'!$B$56+199&lt;'🌱 Configuração'!$D$56,MOD('🌱 Configuração'!$B$56+199-'🌱 Configuração'!$C$56,7)=0,INT(('🌱 Configuração'!$B$56+199-'🌱 Configuração'!$C$56)/7)+1=6),"🌿 Nim (2 mL/L) — ⚠️ ÚLTIMA foliar",IF(AND('🌱 Configuração'!$B$56+199&gt;='🌱 Configuração'!$C$56,'🌱 Configuração'!$B$56+199&lt;'🌱 Configuração'!$D$56,MOD('🌱 Configuração'!$B$56+199-'🌱 Configuração'!$C$56,7)=0,INT(('🌱 Configuração'!$B$56+199-'🌱 Configuração'!$C$56)/7)+1=7),"🦠 Trichoderma — solo",IF(AND('🌱 Configuração'!$B$56+199&gt;='🌱 Configuração'!$C$56,'🌱 Configuração'!$B$56+199&lt;'🌱 Configuração'!$D$56,MOD('🌱 Configuração'!$B$56+199-'🌱 Configuração'!$C$56,7)=0,INT(('🌱 Configuração'!$B$56+199-'🌱 Configuração'!$C$56)/7)+1=8),"🍄 Beauveria — solo","")))))))),IF('🌱 Configuração'!$B$56+199&lt;'🌱 Configuração'!$E$56,IF(AND('🌱 Configuração'!$B$56+199&gt;='🌱 Configuração'!$D$56,'🌱 Configuração'!$B$56+199&lt;'🌱 Configuração'!$E$56,MOD('🌱 Configuração'!$B$56+199-'🌱 Configuração'!$D$56,7)=0,INT(('🌱 Configuração'!$B$56+199-'🌱 Configuração'!$D$56)/7)+1=1),"🍄 Beauveria bassiana — SOLO apenas",IF(AND('🌱 Configuração'!$B$56+199&gt;='🌱 Configuração'!$D$56,'🌱 Configuração'!$B$56+199&lt;'🌱 Configuração'!$E$56,MOD('🌱 Configuração'!$B$56+199-'🌱 Configuração'!$D$56,7)=0,INT(('🌱 Configuração'!$B$56+199-'🌱 Configuração'!$D$56)/7)+1=2),"🦠 Trichoderma (3 g/L) — solo",IF(AND('🌱 Configuração'!$B$56+199&gt;='🌱 Configuração'!$D$56,'🌱 Configuração'!$B$56+199&lt;'🌱 Configuração'!$E$56,MOD('🌱 Configuração'!$B$56+199-'🌱 Configuração'!$D$56,7)=0,INT(('🌱 Configuração'!$B$56+199-'🌱 Configuração'!$D$56)/7)+1=3),"🍄 Beauveria bassiana — solo | ⚠️ Umid &lt;45%",IF(AND('🌱 Configuração'!$B$56+199&gt;='🌱 Configuração'!$D$56,'🌱 Configuração'!$B$56+199&lt;'🌱 Configuração'!$E$56,MOD('🌱 Configuração'!$B$56+199-'🌱 Configuração'!$D$56,7)=0,INT(('🌱 Configuração'!$B$56+199-'🌱 Configuração'!$D$56)/7)+1=4),"🦠 Trichoderma — solo | Inspecionar buds",IF(AND('🌱 Configuração'!$B$56+199&gt;='🌱 Configuração'!$D$56,'🌱 Configuração'!$B$56+199&lt;'🌱 Configuração'!$E$56,MOD('🌱 Configuração'!$B$56+199-'🌱 Configuração'!$D$56,7)=0,INT(('🌱 Configuração'!$B$56+199-'🌱 Configuração'!$D$56)/7)+1=5),"🍄 Beauveria + inspeção visual buds",IF(AND('🌱 Configuração'!$B$56+199&gt;='🌱 Configuração'!$D$56,'🌱 Configuração'!$B$56+199&lt;'🌱 Configuração'!$E$56,MOD('🌱 Configuração'!$B$56+199-'🌱 Configuração'!$D$56,7)=0,INT(('🌱 Configuração'!$B$56+199-'🌱 Configuração'!$D$56)/7)+1=6),"🦠 Trichoderma + ⚠️ Verificar mofo","")))))),IF(AND('🌱 Configuração'!$B$56+199&gt;='🌱 Configuração'!$E$56,MOD('🌱 Configuração'!$B$56+199-'🌱 Configuração'!$E$56,7)=0),"🔬 Inspeção final — analisar tricomas","")))))</f>
        <v/>
      </c>
      <c r="I205" s="33"/>
    </row>
    <row r="206" spans="1:9" ht="15.75" customHeight="1">
      <c r="A206" s="1"/>
      <c r="B206" s="1"/>
      <c r="C206" s="1"/>
      <c r="D206" s="1"/>
      <c r="E206" s="1"/>
      <c r="F206" s="1"/>
      <c r="G206" s="33"/>
      <c r="H206" s="1"/>
      <c r="I206" s="33"/>
    </row>
    <row r="207" spans="1:9" ht="15.75" customHeight="1">
      <c r="A207" s="1"/>
      <c r="B207" s="1"/>
      <c r="C207" s="1"/>
      <c r="D207" s="1"/>
      <c r="E207" s="1"/>
      <c r="F207" s="1"/>
      <c r="G207" s="33"/>
      <c r="H207" s="1"/>
      <c r="I207" s="33"/>
    </row>
    <row r="208" spans="1:9" ht="15.75" customHeight="1">
      <c r="A208" s="1"/>
      <c r="B208" s="1"/>
      <c r="C208" s="1"/>
      <c r="D208" s="1"/>
      <c r="E208" s="1"/>
      <c r="F208" s="1"/>
      <c r="G208" s="33"/>
      <c r="H208" s="1"/>
      <c r="I208" s="33"/>
    </row>
    <row r="209" spans="1:9" ht="15.75" customHeight="1">
      <c r="A209" s="1"/>
      <c r="B209" s="1"/>
      <c r="C209" s="1"/>
      <c r="D209" s="1"/>
      <c r="E209" s="1"/>
      <c r="F209" s="1"/>
      <c r="G209" s="33"/>
      <c r="H209" s="1"/>
      <c r="I209" s="33"/>
    </row>
    <row r="210" spans="1:9" ht="15.75" customHeight="1">
      <c r="A210" s="1"/>
      <c r="B210" s="1"/>
      <c r="C210" s="1"/>
      <c r="D210" s="1"/>
      <c r="E210" s="1"/>
      <c r="F210" s="1"/>
      <c r="G210" s="33"/>
      <c r="H210" s="1"/>
      <c r="I210" s="33"/>
    </row>
    <row r="211" spans="1:9" ht="15.75" customHeight="1">
      <c r="A211" s="1"/>
      <c r="B211" s="1"/>
      <c r="C211" s="1"/>
      <c r="D211" s="1"/>
      <c r="E211" s="1"/>
      <c r="F211" s="1"/>
      <c r="G211" s="33"/>
      <c r="H211" s="1"/>
      <c r="I211" s="33"/>
    </row>
    <row r="212" spans="1:9" ht="15.75" customHeight="1">
      <c r="A212" s="1"/>
      <c r="B212" s="1"/>
      <c r="C212" s="1"/>
      <c r="D212" s="1"/>
      <c r="E212" s="1"/>
      <c r="F212" s="1"/>
      <c r="G212" s="33"/>
      <c r="H212" s="1"/>
      <c r="I212" s="33"/>
    </row>
    <row r="213" spans="1:9" ht="15.75" customHeight="1">
      <c r="A213" s="1"/>
      <c r="B213" s="1"/>
      <c r="C213" s="1"/>
      <c r="D213" s="1"/>
      <c r="E213" s="1"/>
      <c r="F213" s="1"/>
      <c r="G213" s="33"/>
      <c r="H213" s="1"/>
      <c r="I213" s="33"/>
    </row>
    <row r="214" spans="1:9" ht="15.75" customHeight="1">
      <c r="A214" s="1"/>
      <c r="B214" s="1"/>
      <c r="C214" s="1"/>
      <c r="D214" s="1"/>
      <c r="E214" s="1"/>
      <c r="F214" s="1"/>
      <c r="G214" s="33"/>
      <c r="H214" s="1"/>
      <c r="I214" s="33"/>
    </row>
    <row r="215" spans="1:9" ht="15.75" customHeight="1">
      <c r="A215" s="1"/>
      <c r="B215" s="1"/>
      <c r="C215" s="1"/>
      <c r="D215" s="1"/>
      <c r="E215" s="1"/>
      <c r="F215" s="1"/>
      <c r="G215" s="33"/>
      <c r="H215" s="1"/>
      <c r="I215" s="33"/>
    </row>
    <row r="216" spans="1:9" ht="15.75" customHeight="1">
      <c r="A216" s="1"/>
      <c r="B216" s="1"/>
      <c r="C216" s="1"/>
      <c r="D216" s="1"/>
      <c r="E216" s="1"/>
      <c r="F216" s="1"/>
      <c r="G216" s="33"/>
      <c r="H216" s="1"/>
      <c r="I216" s="33"/>
    </row>
    <row r="217" spans="1:9" ht="15.75" customHeight="1">
      <c r="A217" s="1"/>
      <c r="B217" s="1"/>
      <c r="C217" s="1"/>
      <c r="D217" s="1"/>
      <c r="E217" s="1"/>
      <c r="F217" s="1"/>
      <c r="G217" s="33"/>
      <c r="H217" s="1"/>
      <c r="I217" s="33"/>
    </row>
    <row r="218" spans="1:9" ht="15.75" customHeight="1">
      <c r="A218" s="1"/>
      <c r="B218" s="1"/>
      <c r="C218" s="1"/>
      <c r="D218" s="1"/>
      <c r="E218" s="1"/>
      <c r="F218" s="1"/>
      <c r="G218" s="33"/>
      <c r="H218" s="1"/>
      <c r="I218" s="33"/>
    </row>
    <row r="219" spans="1:9" ht="15.75" customHeight="1">
      <c r="A219" s="1"/>
      <c r="B219" s="1"/>
      <c r="C219" s="1"/>
      <c r="D219" s="1"/>
      <c r="E219" s="1"/>
      <c r="F219" s="1"/>
      <c r="G219" s="33"/>
      <c r="H219" s="1"/>
      <c r="I219" s="33"/>
    </row>
    <row r="220" spans="1:9" ht="15.75" customHeight="1">
      <c r="A220" s="1"/>
      <c r="B220" s="1"/>
      <c r="C220" s="1"/>
      <c r="D220" s="1"/>
      <c r="E220" s="1"/>
      <c r="F220" s="1"/>
      <c r="G220" s="33"/>
      <c r="H220" s="1"/>
      <c r="I220" s="33"/>
    </row>
    <row r="221" spans="1:9" ht="15.75" customHeight="1">
      <c r="A221" s="1"/>
      <c r="B221" s="1"/>
      <c r="C221" s="1"/>
      <c r="D221" s="1"/>
      <c r="E221" s="1"/>
      <c r="F221" s="1"/>
      <c r="G221" s="33"/>
      <c r="H221" s="1"/>
      <c r="I221" s="33"/>
    </row>
    <row r="222" spans="1:9" ht="15.75" customHeight="1">
      <c r="A222" s="1"/>
      <c r="B222" s="1"/>
      <c r="C222" s="1"/>
      <c r="D222" s="1"/>
      <c r="E222" s="1"/>
      <c r="F222" s="1"/>
      <c r="G222" s="33"/>
      <c r="H222" s="1"/>
      <c r="I222" s="33"/>
    </row>
    <row r="223" spans="1:9" ht="15.75" customHeight="1">
      <c r="A223" s="1"/>
      <c r="B223" s="1"/>
      <c r="C223" s="1"/>
      <c r="D223" s="1"/>
      <c r="E223" s="1"/>
      <c r="F223" s="1"/>
      <c r="G223" s="33"/>
      <c r="H223" s="1"/>
      <c r="I223" s="33"/>
    </row>
    <row r="224" spans="1:9" ht="15.75" customHeight="1">
      <c r="A224" s="1"/>
      <c r="B224" s="1"/>
      <c r="C224" s="1"/>
      <c r="D224" s="1"/>
      <c r="E224" s="1"/>
      <c r="F224" s="1"/>
      <c r="G224" s="33"/>
      <c r="H224" s="1"/>
      <c r="I224" s="33"/>
    </row>
    <row r="225" spans="1:9" ht="15.75" customHeight="1">
      <c r="A225" s="1"/>
      <c r="B225" s="1"/>
      <c r="C225" s="1"/>
      <c r="D225" s="1"/>
      <c r="E225" s="1"/>
      <c r="F225" s="1"/>
      <c r="G225" s="33"/>
      <c r="H225" s="1"/>
      <c r="I225" s="33"/>
    </row>
    <row r="226" spans="1:9" ht="15.75" customHeight="1">
      <c r="A226" s="1"/>
      <c r="B226" s="1"/>
      <c r="C226" s="1"/>
      <c r="D226" s="1"/>
      <c r="E226" s="1"/>
      <c r="F226" s="1"/>
      <c r="G226" s="33"/>
      <c r="H226" s="1"/>
      <c r="I226" s="33"/>
    </row>
    <row r="227" spans="1:9" ht="15.75" customHeight="1">
      <c r="A227" s="1"/>
      <c r="B227" s="1"/>
      <c r="C227" s="1"/>
      <c r="D227" s="1"/>
      <c r="E227" s="1"/>
      <c r="F227" s="1"/>
      <c r="G227" s="33"/>
      <c r="H227" s="1"/>
      <c r="I227" s="33"/>
    </row>
    <row r="228" spans="1:9" ht="15.75" customHeight="1">
      <c r="A228" s="1"/>
      <c r="B228" s="1"/>
      <c r="C228" s="1"/>
      <c r="D228" s="1"/>
      <c r="E228" s="1"/>
      <c r="F228" s="1"/>
      <c r="G228" s="33"/>
      <c r="H228" s="1"/>
      <c r="I228" s="33"/>
    </row>
    <row r="229" spans="1:9" ht="15.75" customHeight="1">
      <c r="A229" s="1"/>
      <c r="B229" s="1"/>
      <c r="C229" s="1"/>
      <c r="D229" s="1"/>
      <c r="E229" s="1"/>
      <c r="F229" s="1"/>
      <c r="G229" s="33"/>
      <c r="H229" s="1"/>
      <c r="I229" s="33"/>
    </row>
    <row r="230" spans="1:9" ht="15.75" customHeight="1">
      <c r="A230" s="1"/>
      <c r="B230" s="1"/>
      <c r="C230" s="1"/>
      <c r="D230" s="1"/>
      <c r="E230" s="1"/>
      <c r="F230" s="1"/>
      <c r="G230" s="33"/>
      <c r="H230" s="1"/>
      <c r="I230" s="33"/>
    </row>
    <row r="231" spans="1:9" ht="15.75" customHeight="1">
      <c r="A231" s="1"/>
      <c r="B231" s="1"/>
      <c r="C231" s="1"/>
      <c r="D231" s="1"/>
      <c r="E231" s="1"/>
      <c r="F231" s="1"/>
      <c r="G231" s="33"/>
      <c r="H231" s="1"/>
      <c r="I231" s="33"/>
    </row>
    <row r="232" spans="1:9" ht="15.75" customHeight="1">
      <c r="A232" s="1"/>
      <c r="B232" s="1"/>
      <c r="C232" s="1"/>
      <c r="D232" s="1"/>
      <c r="E232" s="1"/>
      <c r="F232" s="1"/>
      <c r="G232" s="33"/>
      <c r="H232" s="1"/>
      <c r="I232" s="33"/>
    </row>
    <row r="233" spans="1:9" ht="15.75" customHeight="1">
      <c r="A233" s="1"/>
      <c r="B233" s="1"/>
      <c r="C233" s="1"/>
      <c r="D233" s="1"/>
      <c r="E233" s="1"/>
      <c r="F233" s="1"/>
      <c r="G233" s="33"/>
      <c r="H233" s="1"/>
      <c r="I233" s="33"/>
    </row>
    <row r="234" spans="1:9" ht="15.75" customHeight="1">
      <c r="A234" s="1"/>
      <c r="B234" s="1"/>
      <c r="C234" s="1"/>
      <c r="D234" s="1"/>
      <c r="E234" s="1"/>
      <c r="F234" s="1"/>
      <c r="G234" s="33"/>
      <c r="H234" s="1"/>
      <c r="I234" s="33"/>
    </row>
    <row r="235" spans="1:9" ht="15.75" customHeight="1">
      <c r="A235" s="1"/>
      <c r="B235" s="1"/>
      <c r="C235" s="1"/>
      <c r="D235" s="1"/>
      <c r="E235" s="1"/>
      <c r="F235" s="1"/>
      <c r="G235" s="33"/>
      <c r="H235" s="1"/>
      <c r="I235" s="33"/>
    </row>
    <row r="236" spans="1:9" ht="15.75" customHeight="1">
      <c r="A236" s="1"/>
      <c r="B236" s="1"/>
      <c r="C236" s="1"/>
      <c r="D236" s="1"/>
      <c r="E236" s="1"/>
      <c r="F236" s="1"/>
      <c r="G236" s="33"/>
      <c r="H236" s="1"/>
      <c r="I236" s="33"/>
    </row>
    <row r="237" spans="1:9" ht="15.75" customHeight="1">
      <c r="A237" s="1"/>
      <c r="B237" s="1"/>
      <c r="C237" s="1"/>
      <c r="D237" s="1"/>
      <c r="E237" s="1"/>
      <c r="F237" s="1"/>
      <c r="G237" s="33"/>
      <c r="H237" s="1"/>
      <c r="I237" s="33"/>
    </row>
    <row r="238" spans="1:9" ht="15.75" customHeight="1">
      <c r="A238" s="1"/>
      <c r="B238" s="1"/>
      <c r="C238" s="1"/>
      <c r="D238" s="1"/>
      <c r="E238" s="1"/>
      <c r="F238" s="1"/>
      <c r="G238" s="33"/>
      <c r="H238" s="1"/>
      <c r="I238" s="33"/>
    </row>
    <row r="239" spans="1:9" ht="15.75" customHeight="1">
      <c r="A239" s="1"/>
      <c r="B239" s="1"/>
      <c r="C239" s="1"/>
      <c r="D239" s="1"/>
      <c r="E239" s="1"/>
      <c r="F239" s="1"/>
      <c r="G239" s="33"/>
      <c r="H239" s="1"/>
      <c r="I239" s="33"/>
    </row>
    <row r="240" spans="1:9" ht="15.75" customHeight="1">
      <c r="A240" s="1"/>
      <c r="B240" s="1"/>
      <c r="C240" s="1"/>
      <c r="D240" s="1"/>
      <c r="E240" s="1"/>
      <c r="F240" s="1"/>
      <c r="G240" s="33"/>
      <c r="H240" s="1"/>
      <c r="I240" s="33"/>
    </row>
    <row r="241" spans="1:9" ht="15.75" customHeight="1">
      <c r="A241" s="1"/>
      <c r="B241" s="1"/>
      <c r="C241" s="1"/>
      <c r="D241" s="1"/>
      <c r="E241" s="1"/>
      <c r="F241" s="1"/>
      <c r="G241" s="33"/>
      <c r="H241" s="1"/>
      <c r="I241" s="33"/>
    </row>
    <row r="242" spans="1:9" ht="15.75" customHeight="1">
      <c r="A242" s="1"/>
      <c r="B242" s="1"/>
      <c r="C242" s="1"/>
      <c r="D242" s="1"/>
      <c r="E242" s="1"/>
      <c r="F242" s="1"/>
      <c r="G242" s="33"/>
      <c r="H242" s="1"/>
      <c r="I242" s="33"/>
    </row>
    <row r="243" spans="1:9" ht="15.75" customHeight="1">
      <c r="A243" s="1"/>
      <c r="B243" s="1"/>
      <c r="C243" s="1"/>
      <c r="D243" s="1"/>
      <c r="E243" s="1"/>
      <c r="F243" s="1"/>
      <c r="G243" s="33"/>
      <c r="H243" s="1"/>
      <c r="I243" s="33"/>
    </row>
    <row r="244" spans="1:9" ht="15.75" customHeight="1">
      <c r="A244" s="1"/>
      <c r="B244" s="1"/>
      <c r="C244" s="1"/>
      <c r="D244" s="1"/>
      <c r="E244" s="1"/>
      <c r="F244" s="1"/>
      <c r="G244" s="33"/>
      <c r="H244" s="1"/>
      <c r="I244" s="33"/>
    </row>
    <row r="245" spans="1:9" ht="15.75" customHeight="1">
      <c r="A245" s="1"/>
      <c r="B245" s="1"/>
      <c r="C245" s="1"/>
      <c r="D245" s="1"/>
      <c r="E245" s="1"/>
      <c r="F245" s="1"/>
      <c r="G245" s="33"/>
      <c r="H245" s="1"/>
      <c r="I245" s="33"/>
    </row>
    <row r="246" spans="1:9" ht="15.75" customHeight="1">
      <c r="A246" s="1"/>
      <c r="B246" s="1"/>
      <c r="C246" s="1"/>
      <c r="D246" s="1"/>
      <c r="E246" s="1"/>
      <c r="F246" s="1"/>
      <c r="G246" s="33"/>
      <c r="H246" s="1"/>
      <c r="I246" s="33"/>
    </row>
    <row r="247" spans="1:9" ht="15.75" customHeight="1">
      <c r="A247" s="1"/>
      <c r="B247" s="1"/>
      <c r="C247" s="1"/>
      <c r="D247" s="1"/>
      <c r="E247" s="1"/>
      <c r="F247" s="1"/>
      <c r="G247" s="33"/>
      <c r="H247" s="1"/>
      <c r="I247" s="33"/>
    </row>
    <row r="248" spans="1:9" ht="15.75" customHeight="1">
      <c r="A248" s="1"/>
      <c r="B248" s="1"/>
      <c r="C248" s="1"/>
      <c r="D248" s="1"/>
      <c r="E248" s="1"/>
      <c r="F248" s="1"/>
      <c r="G248" s="33"/>
      <c r="H248" s="1"/>
      <c r="I248" s="33"/>
    </row>
    <row r="249" spans="1:9" ht="15.75" customHeight="1">
      <c r="A249" s="1"/>
      <c r="B249" s="1"/>
      <c r="C249" s="1"/>
      <c r="D249" s="1"/>
      <c r="E249" s="1"/>
      <c r="F249" s="1"/>
      <c r="G249" s="33"/>
      <c r="H249" s="1"/>
      <c r="I249" s="33"/>
    </row>
    <row r="250" spans="1:9" ht="15.75" customHeight="1">
      <c r="A250" s="1"/>
      <c r="B250" s="1"/>
      <c r="C250" s="1"/>
      <c r="D250" s="1"/>
      <c r="E250" s="1"/>
      <c r="F250" s="1"/>
      <c r="G250" s="33"/>
      <c r="H250" s="1"/>
      <c r="I250" s="33"/>
    </row>
    <row r="251" spans="1:9" ht="15.75" customHeight="1">
      <c r="A251" s="1"/>
      <c r="B251" s="1"/>
      <c r="C251" s="1"/>
      <c r="D251" s="1"/>
      <c r="E251" s="1"/>
      <c r="F251" s="1"/>
      <c r="G251" s="33"/>
      <c r="H251" s="1"/>
      <c r="I251" s="33"/>
    </row>
    <row r="252" spans="1:9" ht="15.75" customHeight="1">
      <c r="A252" s="1"/>
      <c r="B252" s="1"/>
      <c r="C252" s="1"/>
      <c r="D252" s="1"/>
      <c r="E252" s="1"/>
      <c r="F252" s="1"/>
      <c r="G252" s="33"/>
      <c r="H252" s="1"/>
      <c r="I252" s="33"/>
    </row>
    <row r="253" spans="1:9" ht="15.75" customHeight="1">
      <c r="A253" s="1"/>
      <c r="B253" s="1"/>
      <c r="C253" s="1"/>
      <c r="D253" s="1"/>
      <c r="E253" s="1"/>
      <c r="F253" s="1"/>
      <c r="G253" s="33"/>
      <c r="H253" s="1"/>
      <c r="I253" s="33"/>
    </row>
    <row r="254" spans="1:9" ht="15.75" customHeight="1">
      <c r="A254" s="1"/>
      <c r="B254" s="1"/>
      <c r="C254" s="1"/>
      <c r="D254" s="1"/>
      <c r="E254" s="1"/>
      <c r="F254" s="1"/>
      <c r="G254" s="33"/>
      <c r="H254" s="1"/>
      <c r="I254" s="33"/>
    </row>
    <row r="255" spans="1:9" ht="15.75" customHeight="1">
      <c r="A255" s="1"/>
      <c r="B255" s="1"/>
      <c r="C255" s="1"/>
      <c r="D255" s="1"/>
      <c r="E255" s="1"/>
      <c r="F255" s="1"/>
      <c r="G255" s="33"/>
      <c r="H255" s="1"/>
      <c r="I255" s="33"/>
    </row>
    <row r="256" spans="1:9" ht="15.75" customHeight="1">
      <c r="A256" s="1"/>
      <c r="B256" s="1"/>
      <c r="C256" s="1"/>
      <c r="D256" s="1"/>
      <c r="E256" s="1"/>
      <c r="F256" s="1"/>
      <c r="G256" s="33"/>
      <c r="H256" s="1"/>
      <c r="I256" s="33"/>
    </row>
    <row r="257" spans="1:9" ht="15.75" customHeight="1">
      <c r="A257" s="1"/>
      <c r="B257" s="1"/>
      <c r="C257" s="1"/>
      <c r="D257" s="1"/>
      <c r="E257" s="1"/>
      <c r="F257" s="1"/>
      <c r="G257" s="33"/>
      <c r="H257" s="1"/>
      <c r="I257" s="33"/>
    </row>
    <row r="258" spans="1:9" ht="15.75" customHeight="1">
      <c r="A258" s="1"/>
      <c r="B258" s="1"/>
      <c r="C258" s="1"/>
      <c r="D258" s="1"/>
      <c r="E258" s="1"/>
      <c r="F258" s="1"/>
      <c r="G258" s="33"/>
      <c r="H258" s="1"/>
      <c r="I258" s="33"/>
    </row>
    <row r="259" spans="1:9" ht="15.75" customHeight="1">
      <c r="A259" s="1"/>
      <c r="B259" s="1"/>
      <c r="C259" s="1"/>
      <c r="D259" s="1"/>
      <c r="E259" s="1"/>
      <c r="F259" s="1"/>
      <c r="G259" s="33"/>
      <c r="H259" s="1"/>
      <c r="I259" s="33"/>
    </row>
    <row r="260" spans="1:9" ht="15.75" customHeight="1">
      <c r="A260" s="1"/>
      <c r="B260" s="1"/>
      <c r="C260" s="1"/>
      <c r="D260" s="1"/>
      <c r="E260" s="1"/>
      <c r="F260" s="1"/>
      <c r="G260" s="33"/>
      <c r="H260" s="1"/>
      <c r="I260" s="33"/>
    </row>
    <row r="261" spans="1:9" ht="15.75" customHeight="1">
      <c r="A261" s="1"/>
      <c r="B261" s="1"/>
      <c r="C261" s="1"/>
      <c r="D261" s="1"/>
      <c r="E261" s="1"/>
      <c r="F261" s="1"/>
      <c r="G261" s="33"/>
      <c r="H261" s="1"/>
      <c r="I261" s="33"/>
    </row>
    <row r="262" spans="1:9" ht="15.75" customHeight="1">
      <c r="A262" s="1"/>
      <c r="B262" s="1"/>
      <c r="C262" s="1"/>
      <c r="D262" s="1"/>
      <c r="E262" s="1"/>
      <c r="F262" s="1"/>
      <c r="G262" s="33"/>
      <c r="H262" s="1"/>
      <c r="I262" s="33"/>
    </row>
    <row r="263" spans="1:9" ht="15.75" customHeight="1">
      <c r="A263" s="1"/>
      <c r="B263" s="1"/>
      <c r="C263" s="1"/>
      <c r="D263" s="1"/>
      <c r="E263" s="1"/>
      <c r="F263" s="1"/>
      <c r="G263" s="33"/>
      <c r="H263" s="1"/>
      <c r="I263" s="33"/>
    </row>
    <row r="264" spans="1:9" ht="15.75" customHeight="1">
      <c r="A264" s="1"/>
      <c r="B264" s="1"/>
      <c r="C264" s="1"/>
      <c r="D264" s="1"/>
      <c r="E264" s="1"/>
      <c r="F264" s="1"/>
      <c r="G264" s="33"/>
      <c r="H264" s="1"/>
      <c r="I264" s="33"/>
    </row>
    <row r="265" spans="1:9" ht="15.75" customHeight="1">
      <c r="A265" s="1"/>
      <c r="B265" s="1"/>
      <c r="C265" s="1"/>
      <c r="D265" s="1"/>
      <c r="E265" s="1"/>
      <c r="F265" s="1"/>
      <c r="G265" s="33"/>
      <c r="H265" s="1"/>
      <c r="I265" s="33"/>
    </row>
    <row r="266" spans="1:9" ht="15.75" customHeight="1">
      <c r="A266" s="1"/>
      <c r="B266" s="1"/>
      <c r="C266" s="1"/>
      <c r="D266" s="1"/>
      <c r="E266" s="1"/>
      <c r="F266" s="1"/>
      <c r="G266" s="33"/>
      <c r="H266" s="1"/>
      <c r="I266" s="33"/>
    </row>
    <row r="267" spans="1:9" ht="15.75" customHeight="1">
      <c r="A267" s="1"/>
      <c r="B267" s="1"/>
      <c r="C267" s="1"/>
      <c r="D267" s="1"/>
      <c r="E267" s="1"/>
      <c r="F267" s="1"/>
      <c r="G267" s="33"/>
      <c r="H267" s="1"/>
      <c r="I267" s="33"/>
    </row>
    <row r="268" spans="1:9" ht="15.75" customHeight="1">
      <c r="A268" s="1"/>
      <c r="B268" s="1"/>
      <c r="C268" s="1"/>
      <c r="D268" s="1"/>
      <c r="E268" s="1"/>
      <c r="F268" s="1"/>
      <c r="G268" s="33"/>
      <c r="H268" s="1"/>
      <c r="I268" s="33"/>
    </row>
    <row r="269" spans="1:9" ht="15.75" customHeight="1">
      <c r="A269" s="1"/>
      <c r="B269" s="1"/>
      <c r="C269" s="1"/>
      <c r="D269" s="1"/>
      <c r="E269" s="1"/>
      <c r="F269" s="1"/>
      <c r="G269" s="33"/>
      <c r="H269" s="1"/>
      <c r="I269" s="33"/>
    </row>
    <row r="270" spans="1:9" ht="15.75" customHeight="1">
      <c r="A270" s="1"/>
      <c r="B270" s="1"/>
      <c r="C270" s="1"/>
      <c r="D270" s="1"/>
      <c r="E270" s="1"/>
      <c r="F270" s="1"/>
      <c r="G270" s="33"/>
      <c r="H270" s="1"/>
      <c r="I270" s="33"/>
    </row>
    <row r="271" spans="1:9" ht="15.75" customHeight="1">
      <c r="A271" s="1"/>
      <c r="B271" s="1"/>
      <c r="C271" s="1"/>
      <c r="D271" s="1"/>
      <c r="E271" s="1"/>
      <c r="F271" s="1"/>
      <c r="G271" s="33"/>
      <c r="H271" s="1"/>
      <c r="I271" s="33"/>
    </row>
    <row r="272" spans="1:9" ht="15.75" customHeight="1">
      <c r="A272" s="1"/>
      <c r="B272" s="1"/>
      <c r="C272" s="1"/>
      <c r="D272" s="1"/>
      <c r="E272" s="1"/>
      <c r="F272" s="1"/>
      <c r="G272" s="33"/>
      <c r="H272" s="1"/>
      <c r="I272" s="33"/>
    </row>
    <row r="273" spans="1:9" ht="15.75" customHeight="1">
      <c r="A273" s="1"/>
      <c r="B273" s="1"/>
      <c r="C273" s="1"/>
      <c r="D273" s="1"/>
      <c r="E273" s="1"/>
      <c r="F273" s="1"/>
      <c r="G273" s="33"/>
      <c r="H273" s="1"/>
      <c r="I273" s="33"/>
    </row>
    <row r="274" spans="1:9" ht="15.75" customHeight="1">
      <c r="A274" s="1"/>
      <c r="B274" s="1"/>
      <c r="C274" s="1"/>
      <c r="D274" s="1"/>
      <c r="E274" s="1"/>
      <c r="F274" s="1"/>
      <c r="G274" s="33"/>
      <c r="H274" s="1"/>
      <c r="I274" s="33"/>
    </row>
    <row r="275" spans="1:9" ht="15.75" customHeight="1">
      <c r="A275" s="1"/>
      <c r="B275" s="1"/>
      <c r="C275" s="1"/>
      <c r="D275" s="1"/>
      <c r="E275" s="1"/>
      <c r="F275" s="1"/>
      <c r="G275" s="33"/>
      <c r="H275" s="1"/>
      <c r="I275" s="33"/>
    </row>
    <row r="276" spans="1:9" ht="15.75" customHeight="1">
      <c r="A276" s="1"/>
      <c r="B276" s="1"/>
      <c r="C276" s="1"/>
      <c r="D276" s="1"/>
      <c r="E276" s="1"/>
      <c r="F276" s="1"/>
      <c r="G276" s="33"/>
      <c r="H276" s="1"/>
      <c r="I276" s="33"/>
    </row>
    <row r="277" spans="1:9" ht="15.75" customHeight="1">
      <c r="A277" s="1"/>
      <c r="B277" s="1"/>
      <c r="C277" s="1"/>
      <c r="D277" s="1"/>
      <c r="E277" s="1"/>
      <c r="F277" s="1"/>
      <c r="G277" s="33"/>
      <c r="H277" s="1"/>
      <c r="I277" s="33"/>
    </row>
    <row r="278" spans="1:9" ht="15.75" customHeight="1">
      <c r="A278" s="1"/>
      <c r="B278" s="1"/>
      <c r="C278" s="1"/>
      <c r="D278" s="1"/>
      <c r="E278" s="1"/>
      <c r="F278" s="1"/>
      <c r="G278" s="33"/>
      <c r="H278" s="1"/>
      <c r="I278" s="33"/>
    </row>
    <row r="279" spans="1:9" ht="15.75" customHeight="1">
      <c r="A279" s="1"/>
      <c r="B279" s="1"/>
      <c r="C279" s="1"/>
      <c r="D279" s="1"/>
      <c r="E279" s="1"/>
      <c r="F279" s="1"/>
      <c r="G279" s="33"/>
      <c r="H279" s="1"/>
      <c r="I279" s="33"/>
    </row>
    <row r="280" spans="1:9" ht="15.75" customHeight="1">
      <c r="A280" s="1"/>
      <c r="B280" s="1"/>
      <c r="C280" s="1"/>
      <c r="D280" s="1"/>
      <c r="E280" s="1"/>
      <c r="F280" s="1"/>
      <c r="G280" s="33"/>
      <c r="H280" s="1"/>
      <c r="I280" s="33"/>
    </row>
    <row r="281" spans="1:9" ht="15.75" customHeight="1">
      <c r="A281" s="1"/>
      <c r="B281" s="1"/>
      <c r="C281" s="1"/>
      <c r="D281" s="1"/>
      <c r="E281" s="1"/>
      <c r="F281" s="1"/>
      <c r="G281" s="33"/>
      <c r="H281" s="1"/>
      <c r="I281" s="33"/>
    </row>
    <row r="282" spans="1:9" ht="15.75" customHeight="1">
      <c r="A282" s="1"/>
      <c r="B282" s="1"/>
      <c r="C282" s="1"/>
      <c r="D282" s="1"/>
      <c r="E282" s="1"/>
      <c r="F282" s="1"/>
      <c r="G282" s="33"/>
      <c r="H282" s="1"/>
      <c r="I282" s="33"/>
    </row>
    <row r="283" spans="1:9" ht="15.75" customHeight="1">
      <c r="A283" s="1"/>
      <c r="B283" s="1"/>
      <c r="C283" s="1"/>
      <c r="D283" s="1"/>
      <c r="E283" s="1"/>
      <c r="F283" s="1"/>
      <c r="G283" s="33"/>
      <c r="H283" s="1"/>
      <c r="I283" s="33"/>
    </row>
    <row r="284" spans="1:9" ht="15.75" customHeight="1">
      <c r="A284" s="1"/>
      <c r="B284" s="1"/>
      <c r="C284" s="1"/>
      <c r="D284" s="1"/>
      <c r="E284" s="1"/>
      <c r="F284" s="1"/>
      <c r="G284" s="33"/>
      <c r="H284" s="1"/>
      <c r="I284" s="33"/>
    </row>
    <row r="285" spans="1:9" ht="15.75" customHeight="1">
      <c r="A285" s="1"/>
      <c r="B285" s="1"/>
      <c r="C285" s="1"/>
      <c r="D285" s="1"/>
      <c r="E285" s="1"/>
      <c r="F285" s="1"/>
      <c r="G285" s="33"/>
      <c r="H285" s="1"/>
      <c r="I285" s="33"/>
    </row>
    <row r="286" spans="1:9" ht="15.75" customHeight="1">
      <c r="A286" s="1"/>
      <c r="B286" s="1"/>
      <c r="C286" s="1"/>
      <c r="D286" s="1"/>
      <c r="E286" s="1"/>
      <c r="F286" s="1"/>
      <c r="G286" s="33"/>
      <c r="H286" s="1"/>
      <c r="I286" s="33"/>
    </row>
    <row r="287" spans="1:9" ht="15.75" customHeight="1">
      <c r="A287" s="1"/>
      <c r="B287" s="1"/>
      <c r="C287" s="1"/>
      <c r="D287" s="1"/>
      <c r="E287" s="1"/>
      <c r="F287" s="1"/>
      <c r="G287" s="33"/>
      <c r="H287" s="1"/>
      <c r="I287" s="33"/>
    </row>
    <row r="288" spans="1:9" ht="15.75" customHeight="1">
      <c r="A288" s="1"/>
      <c r="B288" s="1"/>
      <c r="C288" s="1"/>
      <c r="D288" s="1"/>
      <c r="E288" s="1"/>
      <c r="F288" s="1"/>
      <c r="G288" s="33"/>
      <c r="H288" s="1"/>
      <c r="I288" s="33"/>
    </row>
    <row r="289" spans="1:9" ht="15.75" customHeight="1">
      <c r="A289" s="1"/>
      <c r="B289" s="1"/>
      <c r="C289" s="1"/>
      <c r="D289" s="1"/>
      <c r="E289" s="1"/>
      <c r="F289" s="1"/>
      <c r="G289" s="33"/>
      <c r="H289" s="1"/>
      <c r="I289" s="33"/>
    </row>
    <row r="290" spans="1:9" ht="15.75" customHeight="1">
      <c r="A290" s="1"/>
      <c r="B290" s="1"/>
      <c r="C290" s="1"/>
      <c r="D290" s="1"/>
      <c r="E290" s="1"/>
      <c r="F290" s="1"/>
      <c r="G290" s="33"/>
      <c r="H290" s="1"/>
      <c r="I290" s="33"/>
    </row>
    <row r="291" spans="1:9" ht="15.75" customHeight="1">
      <c r="A291" s="1"/>
      <c r="B291" s="1"/>
      <c r="C291" s="1"/>
      <c r="D291" s="1"/>
      <c r="E291" s="1"/>
      <c r="F291" s="1"/>
      <c r="G291" s="33"/>
      <c r="H291" s="1"/>
      <c r="I291" s="33"/>
    </row>
    <row r="292" spans="1:9" ht="15.75" customHeight="1">
      <c r="A292" s="1"/>
      <c r="B292" s="1"/>
      <c r="C292" s="1"/>
      <c r="D292" s="1"/>
      <c r="E292" s="1"/>
      <c r="F292" s="1"/>
      <c r="G292" s="33"/>
      <c r="H292" s="1"/>
      <c r="I292" s="33"/>
    </row>
    <row r="293" spans="1:9" ht="15.75" customHeight="1">
      <c r="A293" s="1"/>
      <c r="B293" s="1"/>
      <c r="C293" s="1"/>
      <c r="D293" s="1"/>
      <c r="E293" s="1"/>
      <c r="F293" s="1"/>
      <c r="G293" s="33"/>
      <c r="H293" s="1"/>
      <c r="I293" s="33"/>
    </row>
    <row r="294" spans="1:9" ht="15.75" customHeight="1">
      <c r="A294" s="1"/>
      <c r="B294" s="1"/>
      <c r="C294" s="1"/>
      <c r="D294" s="1"/>
      <c r="E294" s="1"/>
      <c r="F294" s="1"/>
      <c r="G294" s="33"/>
      <c r="H294" s="1"/>
      <c r="I294" s="33"/>
    </row>
    <row r="295" spans="1:9" ht="15.75" customHeight="1">
      <c r="A295" s="1"/>
      <c r="B295" s="1"/>
      <c r="C295" s="1"/>
      <c r="D295" s="1"/>
      <c r="E295" s="1"/>
      <c r="F295" s="1"/>
      <c r="G295" s="33"/>
      <c r="H295" s="1"/>
      <c r="I295" s="33"/>
    </row>
    <row r="296" spans="1:9" ht="15.75" customHeight="1">
      <c r="A296" s="1"/>
      <c r="B296" s="1"/>
      <c r="C296" s="1"/>
      <c r="D296" s="1"/>
      <c r="E296" s="1"/>
      <c r="F296" s="1"/>
      <c r="G296" s="33"/>
      <c r="H296" s="1"/>
      <c r="I296" s="33"/>
    </row>
    <row r="297" spans="1:9" ht="15.75" customHeight="1">
      <c r="A297" s="1"/>
      <c r="B297" s="1"/>
      <c r="C297" s="1"/>
      <c r="D297" s="1"/>
      <c r="E297" s="1"/>
      <c r="F297" s="1"/>
      <c r="G297" s="33"/>
      <c r="H297" s="1"/>
      <c r="I297" s="33"/>
    </row>
    <row r="298" spans="1:9" ht="15.75" customHeight="1">
      <c r="A298" s="1"/>
      <c r="B298" s="1"/>
      <c r="C298" s="1"/>
      <c r="D298" s="1"/>
      <c r="E298" s="1"/>
      <c r="F298" s="1"/>
      <c r="G298" s="33"/>
      <c r="H298" s="1"/>
      <c r="I298" s="33"/>
    </row>
    <row r="299" spans="1:9" ht="15.75" customHeight="1">
      <c r="A299" s="1"/>
      <c r="B299" s="1"/>
      <c r="C299" s="1"/>
      <c r="D299" s="1"/>
      <c r="E299" s="1"/>
      <c r="F299" s="1"/>
      <c r="G299" s="33"/>
      <c r="H299" s="1"/>
      <c r="I299" s="33"/>
    </row>
    <row r="300" spans="1:9" ht="15.75" customHeight="1">
      <c r="A300" s="1"/>
      <c r="B300" s="1"/>
      <c r="C300" s="1"/>
      <c r="D300" s="1"/>
      <c r="E300" s="1"/>
      <c r="F300" s="1"/>
      <c r="G300" s="33"/>
      <c r="H300" s="1"/>
      <c r="I300" s="33"/>
    </row>
    <row r="301" spans="1:9" ht="15.75" customHeight="1">
      <c r="A301" s="1"/>
      <c r="B301" s="1"/>
      <c r="C301" s="1"/>
      <c r="D301" s="1"/>
      <c r="E301" s="1"/>
      <c r="F301" s="1"/>
      <c r="G301" s="33"/>
      <c r="H301" s="1"/>
      <c r="I301" s="33"/>
    </row>
    <row r="302" spans="1:9" ht="15.75" customHeight="1">
      <c r="A302" s="1"/>
      <c r="B302" s="1"/>
      <c r="C302" s="1"/>
      <c r="D302" s="1"/>
      <c r="E302" s="1"/>
      <c r="F302" s="1"/>
      <c r="G302" s="33"/>
      <c r="H302" s="1"/>
      <c r="I302" s="33"/>
    </row>
    <row r="303" spans="1:9" ht="15.75" customHeight="1">
      <c r="A303" s="1"/>
      <c r="B303" s="1"/>
      <c r="C303" s="1"/>
      <c r="D303" s="1"/>
      <c r="E303" s="1"/>
      <c r="F303" s="1"/>
      <c r="G303" s="33"/>
      <c r="H303" s="1"/>
      <c r="I303" s="33"/>
    </row>
    <row r="304" spans="1:9" ht="15.75" customHeight="1">
      <c r="A304" s="1"/>
      <c r="B304" s="1"/>
      <c r="C304" s="1"/>
      <c r="D304" s="1"/>
      <c r="E304" s="1"/>
      <c r="F304" s="1"/>
      <c r="G304" s="33"/>
      <c r="H304" s="1"/>
      <c r="I304" s="33"/>
    </row>
    <row r="305" spans="1:9" ht="15.75" customHeight="1">
      <c r="A305" s="1"/>
      <c r="B305" s="1"/>
      <c r="C305" s="1"/>
      <c r="D305" s="1"/>
      <c r="E305" s="1"/>
      <c r="F305" s="1"/>
      <c r="G305" s="33"/>
      <c r="H305" s="1"/>
      <c r="I305" s="33"/>
    </row>
    <row r="306" spans="1:9" ht="15.75" customHeight="1">
      <c r="A306" s="1"/>
      <c r="B306" s="1"/>
      <c r="C306" s="1"/>
      <c r="D306" s="1"/>
      <c r="E306" s="1"/>
      <c r="F306" s="1"/>
      <c r="G306" s="33"/>
      <c r="H306" s="1"/>
      <c r="I306" s="33"/>
    </row>
    <row r="307" spans="1:9" ht="15.75" customHeight="1">
      <c r="A307" s="1"/>
      <c r="B307" s="1"/>
      <c r="C307" s="1"/>
      <c r="D307" s="1"/>
      <c r="E307" s="1"/>
      <c r="F307" s="1"/>
      <c r="G307" s="33"/>
      <c r="H307" s="1"/>
      <c r="I307" s="33"/>
    </row>
    <row r="308" spans="1:9" ht="15.75" customHeight="1">
      <c r="A308" s="1"/>
      <c r="B308" s="1"/>
      <c r="C308" s="1"/>
      <c r="D308" s="1"/>
      <c r="E308" s="1"/>
      <c r="F308" s="1"/>
      <c r="G308" s="33"/>
      <c r="H308" s="1"/>
      <c r="I308" s="33"/>
    </row>
    <row r="309" spans="1:9" ht="15.75" customHeight="1">
      <c r="A309" s="1"/>
      <c r="B309" s="1"/>
      <c r="C309" s="1"/>
      <c r="D309" s="1"/>
      <c r="E309" s="1"/>
      <c r="F309" s="1"/>
      <c r="G309" s="33"/>
      <c r="H309" s="1"/>
      <c r="I309" s="33"/>
    </row>
    <row r="310" spans="1:9" ht="15.75" customHeight="1">
      <c r="A310" s="1"/>
      <c r="B310" s="1"/>
      <c r="C310" s="1"/>
      <c r="D310" s="1"/>
      <c r="E310" s="1"/>
      <c r="F310" s="1"/>
      <c r="G310" s="33"/>
      <c r="H310" s="1"/>
      <c r="I310" s="33"/>
    </row>
    <row r="311" spans="1:9" ht="15.75" customHeight="1">
      <c r="A311" s="1"/>
      <c r="B311" s="1"/>
      <c r="C311" s="1"/>
      <c r="D311" s="1"/>
      <c r="E311" s="1"/>
      <c r="F311" s="1"/>
      <c r="G311" s="33"/>
      <c r="H311" s="1"/>
      <c r="I311" s="33"/>
    </row>
    <row r="312" spans="1:9" ht="15.75" customHeight="1">
      <c r="A312" s="1"/>
      <c r="B312" s="1"/>
      <c r="C312" s="1"/>
      <c r="D312" s="1"/>
      <c r="E312" s="1"/>
      <c r="F312" s="1"/>
      <c r="G312" s="33"/>
      <c r="H312" s="1"/>
      <c r="I312" s="33"/>
    </row>
    <row r="313" spans="1:9" ht="15.75" customHeight="1">
      <c r="A313" s="1"/>
      <c r="B313" s="1"/>
      <c r="C313" s="1"/>
      <c r="D313" s="1"/>
      <c r="E313" s="1"/>
      <c r="F313" s="1"/>
      <c r="G313" s="33"/>
      <c r="H313" s="1"/>
      <c r="I313" s="33"/>
    </row>
    <row r="314" spans="1:9" ht="15.75" customHeight="1">
      <c r="A314" s="1"/>
      <c r="B314" s="1"/>
      <c r="C314" s="1"/>
      <c r="D314" s="1"/>
      <c r="E314" s="1"/>
      <c r="F314" s="1"/>
      <c r="G314" s="33"/>
      <c r="H314" s="1"/>
      <c r="I314" s="33"/>
    </row>
    <row r="315" spans="1:9" ht="15.75" customHeight="1">
      <c r="A315" s="1"/>
      <c r="B315" s="1"/>
      <c r="C315" s="1"/>
      <c r="D315" s="1"/>
      <c r="E315" s="1"/>
      <c r="F315" s="1"/>
      <c r="G315" s="33"/>
      <c r="H315" s="1"/>
      <c r="I315" s="33"/>
    </row>
    <row r="316" spans="1:9" ht="15.75" customHeight="1">
      <c r="A316" s="1"/>
      <c r="B316" s="1"/>
      <c r="C316" s="1"/>
      <c r="D316" s="1"/>
      <c r="E316" s="1"/>
      <c r="F316" s="1"/>
      <c r="G316" s="33"/>
      <c r="H316" s="1"/>
      <c r="I316" s="33"/>
    </row>
    <row r="317" spans="1:9" ht="15.75" customHeight="1">
      <c r="A317" s="1"/>
      <c r="B317" s="1"/>
      <c r="C317" s="1"/>
      <c r="D317" s="1"/>
      <c r="E317" s="1"/>
      <c r="F317" s="1"/>
      <c r="G317" s="33"/>
      <c r="H317" s="1"/>
      <c r="I317" s="33"/>
    </row>
    <row r="318" spans="1:9" ht="15.75" customHeight="1">
      <c r="A318" s="1"/>
      <c r="B318" s="1"/>
      <c r="C318" s="1"/>
      <c r="D318" s="1"/>
      <c r="E318" s="1"/>
      <c r="F318" s="1"/>
      <c r="G318" s="33"/>
      <c r="H318" s="1"/>
      <c r="I318" s="33"/>
    </row>
    <row r="319" spans="1:9" ht="15.75" customHeight="1">
      <c r="A319" s="1"/>
      <c r="B319" s="1"/>
      <c r="C319" s="1"/>
      <c r="D319" s="1"/>
      <c r="E319" s="1"/>
      <c r="F319" s="1"/>
      <c r="G319" s="33"/>
      <c r="H319" s="1"/>
      <c r="I319" s="33"/>
    </row>
    <row r="320" spans="1:9" ht="15.75" customHeight="1">
      <c r="A320" s="1"/>
      <c r="B320" s="1"/>
      <c r="C320" s="1"/>
      <c r="D320" s="1"/>
      <c r="E320" s="1"/>
      <c r="F320" s="1"/>
      <c r="G320" s="33"/>
      <c r="H320" s="1"/>
      <c r="I320" s="33"/>
    </row>
    <row r="321" spans="1:9" ht="15.75" customHeight="1">
      <c r="A321" s="1"/>
      <c r="B321" s="1"/>
      <c r="C321" s="1"/>
      <c r="D321" s="1"/>
      <c r="E321" s="1"/>
      <c r="F321" s="1"/>
      <c r="G321" s="33"/>
      <c r="H321" s="1"/>
      <c r="I321" s="33"/>
    </row>
    <row r="322" spans="1:9" ht="15.75" customHeight="1">
      <c r="A322" s="1"/>
      <c r="B322" s="1"/>
      <c r="C322" s="1"/>
      <c r="D322" s="1"/>
      <c r="E322" s="1"/>
      <c r="F322" s="1"/>
      <c r="G322" s="33"/>
      <c r="H322" s="1"/>
      <c r="I322" s="33"/>
    </row>
    <row r="323" spans="1:9" ht="15.75" customHeight="1">
      <c r="A323" s="1"/>
      <c r="B323" s="1"/>
      <c r="C323" s="1"/>
      <c r="D323" s="1"/>
      <c r="E323" s="1"/>
      <c r="F323" s="1"/>
      <c r="G323" s="33"/>
      <c r="H323" s="1"/>
      <c r="I323" s="33"/>
    </row>
    <row r="324" spans="1:9" ht="15.75" customHeight="1">
      <c r="A324" s="1"/>
      <c r="B324" s="1"/>
      <c r="C324" s="1"/>
      <c r="D324" s="1"/>
      <c r="E324" s="1"/>
      <c r="F324" s="1"/>
      <c r="G324" s="33"/>
      <c r="H324" s="1"/>
      <c r="I324" s="33"/>
    </row>
    <row r="325" spans="1:9" ht="15.75" customHeight="1">
      <c r="A325" s="1"/>
      <c r="B325" s="1"/>
      <c r="C325" s="1"/>
      <c r="D325" s="1"/>
      <c r="E325" s="1"/>
      <c r="F325" s="1"/>
      <c r="G325" s="33"/>
      <c r="H325" s="1"/>
      <c r="I325" s="33"/>
    </row>
    <row r="326" spans="1:9" ht="15.75" customHeight="1">
      <c r="A326" s="1"/>
      <c r="B326" s="1"/>
      <c r="C326" s="1"/>
      <c r="D326" s="1"/>
      <c r="E326" s="1"/>
      <c r="F326" s="1"/>
      <c r="G326" s="33"/>
      <c r="H326" s="1"/>
      <c r="I326" s="33"/>
    </row>
    <row r="327" spans="1:9" ht="15.75" customHeight="1">
      <c r="A327" s="1"/>
      <c r="B327" s="1"/>
      <c r="C327" s="1"/>
      <c r="D327" s="1"/>
      <c r="E327" s="1"/>
      <c r="F327" s="1"/>
      <c r="G327" s="33"/>
      <c r="H327" s="1"/>
      <c r="I327" s="33"/>
    </row>
    <row r="328" spans="1:9" ht="15.75" customHeight="1">
      <c r="A328" s="1"/>
      <c r="B328" s="1"/>
      <c r="C328" s="1"/>
      <c r="D328" s="1"/>
      <c r="E328" s="1"/>
      <c r="F328" s="1"/>
      <c r="G328" s="33"/>
      <c r="H328" s="1"/>
      <c r="I328" s="33"/>
    </row>
    <row r="329" spans="1:9" ht="15.75" customHeight="1">
      <c r="A329" s="1"/>
      <c r="B329" s="1"/>
      <c r="C329" s="1"/>
      <c r="D329" s="1"/>
      <c r="E329" s="1"/>
      <c r="F329" s="1"/>
      <c r="G329" s="33"/>
      <c r="H329" s="1"/>
      <c r="I329" s="33"/>
    </row>
    <row r="330" spans="1:9" ht="15.75" customHeight="1">
      <c r="A330" s="1"/>
      <c r="B330" s="1"/>
      <c r="C330" s="1"/>
      <c r="D330" s="1"/>
      <c r="E330" s="1"/>
      <c r="F330" s="1"/>
      <c r="G330" s="33"/>
      <c r="H330" s="1"/>
      <c r="I330" s="33"/>
    </row>
    <row r="331" spans="1:9" ht="15.75" customHeight="1">
      <c r="A331" s="1"/>
      <c r="B331" s="1"/>
      <c r="C331" s="1"/>
      <c r="D331" s="1"/>
      <c r="E331" s="1"/>
      <c r="F331" s="1"/>
      <c r="G331" s="33"/>
      <c r="H331" s="1"/>
      <c r="I331" s="33"/>
    </row>
    <row r="332" spans="1:9" ht="15.75" customHeight="1">
      <c r="A332" s="1"/>
      <c r="B332" s="1"/>
      <c r="C332" s="1"/>
      <c r="D332" s="1"/>
      <c r="E332" s="1"/>
      <c r="F332" s="1"/>
      <c r="G332" s="33"/>
      <c r="H332" s="1"/>
      <c r="I332" s="33"/>
    </row>
    <row r="333" spans="1:9" ht="15.75" customHeight="1">
      <c r="A333" s="1"/>
      <c r="B333" s="1"/>
      <c r="C333" s="1"/>
      <c r="D333" s="1"/>
      <c r="E333" s="1"/>
      <c r="F333" s="1"/>
      <c r="G333" s="33"/>
      <c r="H333" s="1"/>
      <c r="I333" s="33"/>
    </row>
    <row r="334" spans="1:9" ht="15.75" customHeight="1">
      <c r="A334" s="1"/>
      <c r="B334" s="1"/>
      <c r="C334" s="1"/>
      <c r="D334" s="1"/>
      <c r="E334" s="1"/>
      <c r="F334" s="1"/>
      <c r="G334" s="33"/>
      <c r="H334" s="1"/>
      <c r="I334" s="33"/>
    </row>
    <row r="335" spans="1:9" ht="15.75" customHeight="1">
      <c r="A335" s="1"/>
      <c r="B335" s="1"/>
      <c r="C335" s="1"/>
      <c r="D335" s="1"/>
      <c r="E335" s="1"/>
      <c r="F335" s="1"/>
      <c r="G335" s="33"/>
      <c r="H335" s="1"/>
      <c r="I335" s="33"/>
    </row>
    <row r="336" spans="1:9" ht="15.75" customHeight="1">
      <c r="A336" s="1"/>
      <c r="B336" s="1"/>
      <c r="C336" s="1"/>
      <c r="D336" s="1"/>
      <c r="E336" s="1"/>
      <c r="F336" s="1"/>
      <c r="G336" s="33"/>
      <c r="H336" s="1"/>
      <c r="I336" s="33"/>
    </row>
    <row r="337" spans="1:9" ht="15.75" customHeight="1">
      <c r="A337" s="1"/>
      <c r="B337" s="1"/>
      <c r="C337" s="1"/>
      <c r="D337" s="1"/>
      <c r="E337" s="1"/>
      <c r="F337" s="1"/>
      <c r="G337" s="33"/>
      <c r="H337" s="1"/>
      <c r="I337" s="33"/>
    </row>
    <row r="338" spans="1:9" ht="15.75" customHeight="1">
      <c r="A338" s="1"/>
      <c r="B338" s="1"/>
      <c r="C338" s="1"/>
      <c r="D338" s="1"/>
      <c r="E338" s="1"/>
      <c r="F338" s="1"/>
      <c r="G338" s="33"/>
      <c r="H338" s="1"/>
      <c r="I338" s="33"/>
    </row>
    <row r="339" spans="1:9" ht="15.75" customHeight="1">
      <c r="A339" s="1"/>
      <c r="B339" s="1"/>
      <c r="C339" s="1"/>
      <c r="D339" s="1"/>
      <c r="E339" s="1"/>
      <c r="F339" s="1"/>
      <c r="G339" s="33"/>
      <c r="H339" s="1"/>
      <c r="I339" s="33"/>
    </row>
    <row r="340" spans="1:9" ht="15.75" customHeight="1">
      <c r="A340" s="1"/>
      <c r="B340" s="1"/>
      <c r="C340" s="1"/>
      <c r="D340" s="1"/>
      <c r="E340" s="1"/>
      <c r="F340" s="1"/>
      <c r="G340" s="33"/>
      <c r="H340" s="1"/>
      <c r="I340" s="33"/>
    </row>
    <row r="341" spans="1:9" ht="15.75" customHeight="1">
      <c r="A341" s="1"/>
      <c r="B341" s="1"/>
      <c r="C341" s="1"/>
      <c r="D341" s="1"/>
      <c r="E341" s="1"/>
      <c r="F341" s="1"/>
      <c r="G341" s="33"/>
      <c r="H341" s="1"/>
      <c r="I341" s="33"/>
    </row>
    <row r="342" spans="1:9" ht="15.75" customHeight="1">
      <c r="A342" s="1"/>
      <c r="B342" s="1"/>
      <c r="C342" s="1"/>
      <c r="D342" s="1"/>
      <c r="E342" s="1"/>
      <c r="F342" s="1"/>
      <c r="G342" s="33"/>
      <c r="H342" s="1"/>
      <c r="I342" s="33"/>
    </row>
    <row r="343" spans="1:9" ht="15.75" customHeight="1">
      <c r="A343" s="1"/>
      <c r="B343" s="1"/>
      <c r="C343" s="1"/>
      <c r="D343" s="1"/>
      <c r="E343" s="1"/>
      <c r="F343" s="1"/>
      <c r="G343" s="33"/>
      <c r="H343" s="1"/>
      <c r="I343" s="33"/>
    </row>
    <row r="344" spans="1:9" ht="15.75" customHeight="1">
      <c r="A344" s="1"/>
      <c r="B344" s="1"/>
      <c r="C344" s="1"/>
      <c r="D344" s="1"/>
      <c r="E344" s="1"/>
      <c r="F344" s="1"/>
      <c r="G344" s="33"/>
      <c r="H344" s="1"/>
      <c r="I344" s="33"/>
    </row>
    <row r="345" spans="1:9" ht="15.75" customHeight="1">
      <c r="A345" s="1"/>
      <c r="B345" s="1"/>
      <c r="C345" s="1"/>
      <c r="D345" s="1"/>
      <c r="E345" s="1"/>
      <c r="F345" s="1"/>
      <c r="G345" s="33"/>
      <c r="H345" s="1"/>
      <c r="I345" s="33"/>
    </row>
    <row r="346" spans="1:9" ht="15.75" customHeight="1">
      <c r="A346" s="1"/>
      <c r="B346" s="1"/>
      <c r="C346" s="1"/>
      <c r="D346" s="1"/>
      <c r="E346" s="1"/>
      <c r="F346" s="1"/>
      <c r="G346" s="33"/>
      <c r="H346" s="1"/>
      <c r="I346" s="33"/>
    </row>
    <row r="347" spans="1:9" ht="15.75" customHeight="1">
      <c r="A347" s="1"/>
      <c r="B347" s="1"/>
      <c r="C347" s="1"/>
      <c r="D347" s="1"/>
      <c r="E347" s="1"/>
      <c r="F347" s="1"/>
      <c r="G347" s="33"/>
      <c r="H347" s="1"/>
      <c r="I347" s="33"/>
    </row>
    <row r="348" spans="1:9" ht="15.75" customHeight="1">
      <c r="A348" s="1"/>
      <c r="B348" s="1"/>
      <c r="C348" s="1"/>
      <c r="D348" s="1"/>
      <c r="E348" s="1"/>
      <c r="F348" s="1"/>
      <c r="G348" s="33"/>
      <c r="H348" s="1"/>
      <c r="I348" s="33"/>
    </row>
    <row r="349" spans="1:9" ht="15.75" customHeight="1">
      <c r="A349" s="1"/>
      <c r="B349" s="1"/>
      <c r="C349" s="1"/>
      <c r="D349" s="1"/>
      <c r="E349" s="1"/>
      <c r="F349" s="1"/>
      <c r="G349" s="33"/>
      <c r="H349" s="1"/>
      <c r="I349" s="33"/>
    </row>
    <row r="350" spans="1:9" ht="15.75" customHeight="1">
      <c r="A350" s="1"/>
      <c r="B350" s="1"/>
      <c r="C350" s="1"/>
      <c r="D350" s="1"/>
      <c r="E350" s="1"/>
      <c r="F350" s="1"/>
      <c r="G350" s="33"/>
      <c r="H350" s="1"/>
      <c r="I350" s="33"/>
    </row>
    <row r="351" spans="1:9" ht="15.75" customHeight="1">
      <c r="A351" s="1"/>
      <c r="B351" s="1"/>
      <c r="C351" s="1"/>
      <c r="D351" s="1"/>
      <c r="E351" s="1"/>
      <c r="F351" s="1"/>
      <c r="G351" s="33"/>
      <c r="H351" s="1"/>
      <c r="I351" s="33"/>
    </row>
    <row r="352" spans="1:9" ht="15.75" customHeight="1">
      <c r="A352" s="1"/>
      <c r="B352" s="1"/>
      <c r="C352" s="1"/>
      <c r="D352" s="1"/>
      <c r="E352" s="1"/>
      <c r="F352" s="1"/>
      <c r="G352" s="33"/>
      <c r="H352" s="1"/>
      <c r="I352" s="33"/>
    </row>
    <row r="353" spans="1:9" ht="15.75" customHeight="1">
      <c r="A353" s="1"/>
      <c r="B353" s="1"/>
      <c r="C353" s="1"/>
      <c r="D353" s="1"/>
      <c r="E353" s="1"/>
      <c r="F353" s="1"/>
      <c r="G353" s="33"/>
      <c r="H353" s="1"/>
      <c r="I353" s="33"/>
    </row>
    <row r="354" spans="1:9" ht="15.75" customHeight="1">
      <c r="A354" s="1"/>
      <c r="B354" s="1"/>
      <c r="C354" s="1"/>
      <c r="D354" s="1"/>
      <c r="E354" s="1"/>
      <c r="F354" s="1"/>
      <c r="G354" s="33"/>
      <c r="H354" s="1"/>
      <c r="I354" s="33"/>
    </row>
    <row r="355" spans="1:9" ht="15.75" customHeight="1">
      <c r="A355" s="1"/>
      <c r="B355" s="1"/>
      <c r="C355" s="1"/>
      <c r="D355" s="1"/>
      <c r="E355" s="1"/>
      <c r="F355" s="1"/>
      <c r="G355" s="33"/>
      <c r="H355" s="1"/>
      <c r="I355" s="33"/>
    </row>
    <row r="356" spans="1:9" ht="15.75" customHeight="1">
      <c r="A356" s="1"/>
      <c r="B356" s="1"/>
      <c r="C356" s="1"/>
      <c r="D356" s="1"/>
      <c r="E356" s="1"/>
      <c r="F356" s="1"/>
      <c r="G356" s="33"/>
      <c r="H356" s="1"/>
      <c r="I356" s="33"/>
    </row>
    <row r="357" spans="1:9" ht="15.75" customHeight="1">
      <c r="A357" s="1"/>
      <c r="B357" s="1"/>
      <c r="C357" s="1"/>
      <c r="D357" s="1"/>
      <c r="E357" s="1"/>
      <c r="F357" s="1"/>
      <c r="G357" s="33"/>
      <c r="H357" s="1"/>
      <c r="I357" s="33"/>
    </row>
    <row r="358" spans="1:9" ht="15.75" customHeight="1">
      <c r="A358" s="1"/>
      <c r="B358" s="1"/>
      <c r="C358" s="1"/>
      <c r="D358" s="1"/>
      <c r="E358" s="1"/>
      <c r="F358" s="1"/>
      <c r="G358" s="33"/>
      <c r="H358" s="1"/>
      <c r="I358" s="33"/>
    </row>
    <row r="359" spans="1:9" ht="15.75" customHeight="1">
      <c r="A359" s="1"/>
      <c r="B359" s="1"/>
      <c r="C359" s="1"/>
      <c r="D359" s="1"/>
      <c r="E359" s="1"/>
      <c r="F359" s="1"/>
      <c r="G359" s="33"/>
      <c r="H359" s="1"/>
      <c r="I359" s="33"/>
    </row>
    <row r="360" spans="1:9" ht="15.75" customHeight="1">
      <c r="A360" s="1"/>
      <c r="B360" s="1"/>
      <c r="C360" s="1"/>
      <c r="D360" s="1"/>
      <c r="E360" s="1"/>
      <c r="F360" s="1"/>
      <c r="G360" s="33"/>
      <c r="H360" s="1"/>
      <c r="I360" s="33"/>
    </row>
    <row r="361" spans="1:9" ht="15.75" customHeight="1">
      <c r="A361" s="1"/>
      <c r="B361" s="1"/>
      <c r="C361" s="1"/>
      <c r="D361" s="1"/>
      <c r="E361" s="1"/>
      <c r="F361" s="1"/>
      <c r="G361" s="33"/>
      <c r="H361" s="1"/>
      <c r="I361" s="33"/>
    </row>
    <row r="362" spans="1:9" ht="15.75" customHeight="1">
      <c r="A362" s="1"/>
      <c r="B362" s="1"/>
      <c r="C362" s="1"/>
      <c r="D362" s="1"/>
      <c r="E362" s="1"/>
      <c r="F362" s="1"/>
      <c r="G362" s="33"/>
      <c r="H362" s="1"/>
      <c r="I362" s="33"/>
    </row>
    <row r="363" spans="1:9" ht="15.75" customHeight="1">
      <c r="A363" s="1"/>
      <c r="B363" s="1"/>
      <c r="C363" s="1"/>
      <c r="D363" s="1"/>
      <c r="E363" s="1"/>
      <c r="F363" s="1"/>
      <c r="G363" s="33"/>
      <c r="H363" s="1"/>
      <c r="I363" s="33"/>
    </row>
    <row r="364" spans="1:9" ht="15.75" customHeight="1">
      <c r="A364" s="1"/>
      <c r="B364" s="1"/>
      <c r="C364" s="1"/>
      <c r="D364" s="1"/>
      <c r="E364" s="1"/>
      <c r="F364" s="1"/>
      <c r="G364" s="33"/>
      <c r="H364" s="1"/>
      <c r="I364" s="33"/>
    </row>
    <row r="365" spans="1:9" ht="15.75" customHeight="1">
      <c r="A365" s="1"/>
      <c r="B365" s="1"/>
      <c r="C365" s="1"/>
      <c r="D365" s="1"/>
      <c r="E365" s="1"/>
      <c r="F365" s="1"/>
      <c r="G365" s="33"/>
      <c r="H365" s="1"/>
      <c r="I365" s="33"/>
    </row>
    <row r="366" spans="1:9" ht="15.75" customHeight="1">
      <c r="A366" s="1"/>
      <c r="B366" s="1"/>
      <c r="C366" s="1"/>
      <c r="D366" s="1"/>
      <c r="E366" s="1"/>
      <c r="F366" s="1"/>
      <c r="G366" s="33"/>
      <c r="H366" s="1"/>
      <c r="I366" s="33"/>
    </row>
    <row r="367" spans="1:9" ht="15.75" customHeight="1">
      <c r="A367" s="1"/>
      <c r="B367" s="1"/>
      <c r="C367" s="1"/>
      <c r="D367" s="1"/>
      <c r="E367" s="1"/>
      <c r="F367" s="1"/>
      <c r="G367" s="33"/>
      <c r="H367" s="1"/>
      <c r="I367" s="33"/>
    </row>
    <row r="368" spans="1:9" ht="15.75" customHeight="1">
      <c r="A368" s="1"/>
      <c r="B368" s="1"/>
      <c r="C368" s="1"/>
      <c r="D368" s="1"/>
      <c r="E368" s="1"/>
      <c r="F368" s="1"/>
      <c r="G368" s="33"/>
      <c r="H368" s="1"/>
      <c r="I368" s="33"/>
    </row>
    <row r="369" spans="1:9" ht="15.75" customHeight="1">
      <c r="A369" s="1"/>
      <c r="B369" s="1"/>
      <c r="C369" s="1"/>
      <c r="D369" s="1"/>
      <c r="E369" s="1"/>
      <c r="F369" s="1"/>
      <c r="G369" s="33"/>
      <c r="H369" s="1"/>
      <c r="I369" s="33"/>
    </row>
    <row r="370" spans="1:9" ht="15.75" customHeight="1">
      <c r="A370" s="1"/>
      <c r="B370" s="1"/>
      <c r="C370" s="1"/>
      <c r="D370" s="1"/>
      <c r="E370" s="1"/>
      <c r="F370" s="1"/>
      <c r="G370" s="33"/>
      <c r="H370" s="1"/>
      <c r="I370" s="33"/>
    </row>
    <row r="371" spans="1:9" ht="15.75" customHeight="1">
      <c r="A371" s="1"/>
      <c r="B371" s="1"/>
      <c r="C371" s="1"/>
      <c r="D371" s="1"/>
      <c r="E371" s="1"/>
      <c r="F371" s="1"/>
      <c r="G371" s="33"/>
      <c r="H371" s="1"/>
      <c r="I371" s="33"/>
    </row>
    <row r="372" spans="1:9" ht="15.75" customHeight="1">
      <c r="A372" s="1"/>
      <c r="B372" s="1"/>
      <c r="C372" s="1"/>
      <c r="D372" s="1"/>
      <c r="E372" s="1"/>
      <c r="F372" s="1"/>
      <c r="G372" s="33"/>
      <c r="H372" s="1"/>
      <c r="I372" s="33"/>
    </row>
    <row r="373" spans="1:9" ht="15.75" customHeight="1">
      <c r="A373" s="1"/>
      <c r="B373" s="1"/>
      <c r="C373" s="1"/>
      <c r="D373" s="1"/>
      <c r="E373" s="1"/>
      <c r="F373" s="1"/>
      <c r="G373" s="33"/>
      <c r="H373" s="1"/>
      <c r="I373" s="33"/>
    </row>
    <row r="374" spans="1:9" ht="15.75" customHeight="1">
      <c r="A374" s="1"/>
      <c r="B374" s="1"/>
      <c r="C374" s="1"/>
      <c r="D374" s="1"/>
      <c r="E374" s="1"/>
      <c r="F374" s="1"/>
      <c r="G374" s="33"/>
      <c r="H374" s="1"/>
      <c r="I374" s="33"/>
    </row>
    <row r="375" spans="1:9" ht="15.75" customHeight="1">
      <c r="A375" s="1"/>
      <c r="B375" s="1"/>
      <c r="C375" s="1"/>
      <c r="D375" s="1"/>
      <c r="E375" s="1"/>
      <c r="F375" s="1"/>
      <c r="G375" s="33"/>
      <c r="H375" s="1"/>
      <c r="I375" s="33"/>
    </row>
    <row r="376" spans="1:9" ht="15.75" customHeight="1">
      <c r="A376" s="1"/>
      <c r="B376" s="1"/>
      <c r="C376" s="1"/>
      <c r="D376" s="1"/>
      <c r="E376" s="1"/>
      <c r="F376" s="1"/>
      <c r="G376" s="33"/>
      <c r="H376" s="1"/>
      <c r="I376" s="33"/>
    </row>
    <row r="377" spans="1:9" ht="15.75" customHeight="1">
      <c r="A377" s="1"/>
      <c r="B377" s="1"/>
      <c r="C377" s="1"/>
      <c r="D377" s="1"/>
      <c r="E377" s="1"/>
      <c r="F377" s="1"/>
      <c r="G377" s="33"/>
      <c r="H377" s="1"/>
      <c r="I377" s="33"/>
    </row>
    <row r="378" spans="1:9" ht="15.75" customHeight="1">
      <c r="A378" s="1"/>
      <c r="B378" s="1"/>
      <c r="C378" s="1"/>
      <c r="D378" s="1"/>
      <c r="E378" s="1"/>
      <c r="F378" s="1"/>
      <c r="G378" s="33"/>
      <c r="H378" s="1"/>
      <c r="I378" s="33"/>
    </row>
    <row r="379" spans="1:9" ht="15.75" customHeight="1">
      <c r="A379" s="1"/>
      <c r="B379" s="1"/>
      <c r="C379" s="1"/>
      <c r="D379" s="1"/>
      <c r="E379" s="1"/>
      <c r="F379" s="1"/>
      <c r="G379" s="33"/>
      <c r="H379" s="1"/>
      <c r="I379" s="33"/>
    </row>
    <row r="380" spans="1:9" ht="15.75" customHeight="1">
      <c r="A380" s="1"/>
      <c r="B380" s="1"/>
      <c r="C380" s="1"/>
      <c r="D380" s="1"/>
      <c r="E380" s="1"/>
      <c r="F380" s="1"/>
      <c r="G380" s="33"/>
      <c r="H380" s="1"/>
      <c r="I380" s="33"/>
    </row>
    <row r="381" spans="1:9" ht="15.75" customHeight="1">
      <c r="A381" s="1"/>
      <c r="B381" s="1"/>
      <c r="C381" s="1"/>
      <c r="D381" s="1"/>
      <c r="E381" s="1"/>
      <c r="F381" s="1"/>
      <c r="G381" s="33"/>
      <c r="H381" s="1"/>
      <c r="I381" s="33"/>
    </row>
    <row r="382" spans="1:9" ht="15.75" customHeight="1">
      <c r="A382" s="1"/>
      <c r="B382" s="1"/>
      <c r="C382" s="1"/>
      <c r="D382" s="1"/>
      <c r="E382" s="1"/>
      <c r="F382" s="1"/>
      <c r="G382" s="33"/>
      <c r="H382" s="1"/>
      <c r="I382" s="33"/>
    </row>
    <row r="383" spans="1:9" ht="15.75" customHeight="1">
      <c r="A383" s="1"/>
      <c r="B383" s="1"/>
      <c r="C383" s="1"/>
      <c r="D383" s="1"/>
      <c r="E383" s="1"/>
      <c r="F383" s="1"/>
      <c r="G383" s="33"/>
      <c r="H383" s="1"/>
      <c r="I383" s="33"/>
    </row>
    <row r="384" spans="1:9" ht="15.75" customHeight="1">
      <c r="A384" s="1"/>
      <c r="B384" s="1"/>
      <c r="C384" s="1"/>
      <c r="D384" s="1"/>
      <c r="E384" s="1"/>
      <c r="F384" s="1"/>
      <c r="G384" s="33"/>
      <c r="H384" s="1"/>
      <c r="I384" s="33"/>
    </row>
    <row r="385" spans="1:9" ht="15.75" customHeight="1">
      <c r="A385" s="1"/>
      <c r="B385" s="1"/>
      <c r="C385" s="1"/>
      <c r="D385" s="1"/>
      <c r="E385" s="1"/>
      <c r="F385" s="1"/>
      <c r="G385" s="33"/>
      <c r="H385" s="1"/>
      <c r="I385" s="33"/>
    </row>
    <row r="386" spans="1:9" ht="15.75" customHeight="1">
      <c r="A386" s="1"/>
      <c r="B386" s="1"/>
      <c r="C386" s="1"/>
      <c r="D386" s="1"/>
      <c r="E386" s="1"/>
      <c r="F386" s="1"/>
      <c r="G386" s="33"/>
      <c r="H386" s="1"/>
      <c r="I386" s="33"/>
    </row>
    <row r="387" spans="1:9" ht="15.75" customHeight="1">
      <c r="A387" s="1"/>
      <c r="B387" s="1"/>
      <c r="C387" s="1"/>
      <c r="D387" s="1"/>
      <c r="E387" s="1"/>
      <c r="F387" s="1"/>
      <c r="G387" s="33"/>
      <c r="H387" s="1"/>
      <c r="I387" s="33"/>
    </row>
    <row r="388" spans="1:9" ht="15.75" customHeight="1">
      <c r="A388" s="1"/>
      <c r="B388" s="1"/>
      <c r="C388" s="1"/>
      <c r="D388" s="1"/>
      <c r="E388" s="1"/>
      <c r="F388" s="1"/>
      <c r="G388" s="33"/>
      <c r="H388" s="1"/>
      <c r="I388" s="33"/>
    </row>
    <row r="389" spans="1:9" ht="15.75" customHeight="1">
      <c r="A389" s="1"/>
      <c r="B389" s="1"/>
      <c r="C389" s="1"/>
      <c r="D389" s="1"/>
      <c r="E389" s="1"/>
      <c r="F389" s="1"/>
      <c r="G389" s="33"/>
      <c r="H389" s="1"/>
      <c r="I389" s="33"/>
    </row>
    <row r="390" spans="1:9" ht="15.75" customHeight="1">
      <c r="A390" s="1"/>
      <c r="B390" s="1"/>
      <c r="C390" s="1"/>
      <c r="D390" s="1"/>
      <c r="E390" s="1"/>
      <c r="F390" s="1"/>
      <c r="G390" s="33"/>
      <c r="H390" s="1"/>
      <c r="I390" s="33"/>
    </row>
    <row r="391" spans="1:9" ht="15.75" customHeight="1">
      <c r="A391" s="1"/>
      <c r="B391" s="1"/>
      <c r="C391" s="1"/>
      <c r="D391" s="1"/>
      <c r="E391" s="1"/>
      <c r="F391" s="1"/>
      <c r="G391" s="33"/>
      <c r="H391" s="1"/>
      <c r="I391" s="33"/>
    </row>
    <row r="392" spans="1:9" ht="15.75" customHeight="1">
      <c r="A392" s="1"/>
      <c r="B392" s="1"/>
      <c r="C392" s="1"/>
      <c r="D392" s="1"/>
      <c r="E392" s="1"/>
      <c r="F392" s="1"/>
      <c r="G392" s="33"/>
      <c r="H392" s="1"/>
      <c r="I392" s="33"/>
    </row>
    <row r="393" spans="1:9" ht="15.75" customHeight="1">
      <c r="A393" s="1"/>
      <c r="B393" s="1"/>
      <c r="C393" s="1"/>
      <c r="D393" s="1"/>
      <c r="E393" s="1"/>
      <c r="F393" s="1"/>
      <c r="G393" s="33"/>
      <c r="H393" s="1"/>
      <c r="I393" s="33"/>
    </row>
    <row r="394" spans="1:9" ht="15.75" customHeight="1">
      <c r="A394" s="1"/>
      <c r="B394" s="1"/>
      <c r="C394" s="1"/>
      <c r="D394" s="1"/>
      <c r="E394" s="1"/>
      <c r="F394" s="1"/>
      <c r="G394" s="33"/>
      <c r="H394" s="1"/>
      <c r="I394" s="33"/>
    </row>
    <row r="395" spans="1:9" ht="15.75" customHeight="1">
      <c r="A395" s="1"/>
      <c r="B395" s="1"/>
      <c r="C395" s="1"/>
      <c r="D395" s="1"/>
      <c r="E395" s="1"/>
      <c r="F395" s="1"/>
      <c r="G395" s="33"/>
      <c r="H395" s="1"/>
      <c r="I395" s="33"/>
    </row>
    <row r="396" spans="1:9" ht="15.75" customHeight="1">
      <c r="A396" s="1"/>
      <c r="B396" s="1"/>
      <c r="C396" s="1"/>
      <c r="D396" s="1"/>
      <c r="E396" s="1"/>
      <c r="F396" s="1"/>
      <c r="G396" s="33"/>
      <c r="H396" s="1"/>
      <c r="I396" s="33"/>
    </row>
    <row r="397" spans="1:9" ht="15.75" customHeight="1">
      <c r="A397" s="1"/>
      <c r="B397" s="1"/>
      <c r="C397" s="1"/>
      <c r="D397" s="1"/>
      <c r="E397" s="1"/>
      <c r="F397" s="1"/>
      <c r="G397" s="33"/>
      <c r="H397" s="1"/>
      <c r="I397" s="33"/>
    </row>
    <row r="398" spans="1:9" ht="15.75" customHeight="1">
      <c r="A398" s="1"/>
      <c r="B398" s="1"/>
      <c r="C398" s="1"/>
      <c r="D398" s="1"/>
      <c r="E398" s="1"/>
      <c r="F398" s="1"/>
      <c r="G398" s="33"/>
      <c r="H398" s="1"/>
      <c r="I398" s="33"/>
    </row>
    <row r="399" spans="1:9" ht="15.75" customHeight="1">
      <c r="A399" s="1"/>
      <c r="B399" s="1"/>
      <c r="C399" s="1"/>
      <c r="D399" s="1"/>
      <c r="E399" s="1"/>
      <c r="F399" s="1"/>
      <c r="G399" s="33"/>
      <c r="H399" s="1"/>
      <c r="I399" s="33"/>
    </row>
    <row r="400" spans="1:9" ht="15.75" customHeight="1">
      <c r="A400" s="1"/>
      <c r="B400" s="1"/>
      <c r="C400" s="1"/>
      <c r="D400" s="1"/>
      <c r="E400" s="1"/>
      <c r="F400" s="1"/>
      <c r="G400" s="33"/>
      <c r="H400" s="1"/>
      <c r="I400" s="33"/>
    </row>
    <row r="401" spans="1:9" ht="15.75" customHeight="1">
      <c r="A401" s="1"/>
      <c r="B401" s="1"/>
      <c r="C401" s="1"/>
      <c r="D401" s="1"/>
      <c r="E401" s="1"/>
      <c r="F401" s="1"/>
      <c r="G401" s="33"/>
      <c r="H401" s="1"/>
      <c r="I401" s="33"/>
    </row>
    <row r="402" spans="1:9" ht="15.75" customHeight="1">
      <c r="A402" s="1"/>
      <c r="B402" s="1"/>
      <c r="C402" s="1"/>
      <c r="D402" s="1"/>
      <c r="E402" s="1"/>
      <c r="F402" s="1"/>
      <c r="G402" s="33"/>
      <c r="H402" s="1"/>
      <c r="I402" s="33"/>
    </row>
    <row r="403" spans="1:9" ht="15.75" customHeight="1">
      <c r="A403" s="1"/>
      <c r="B403" s="1"/>
      <c r="C403" s="1"/>
      <c r="D403" s="1"/>
      <c r="E403" s="1"/>
      <c r="F403" s="1"/>
      <c r="G403" s="33"/>
      <c r="H403" s="1"/>
      <c r="I403" s="33"/>
    </row>
    <row r="404" spans="1:9" ht="15.75" customHeight="1">
      <c r="A404" s="1"/>
      <c r="B404" s="1"/>
      <c r="C404" s="1"/>
      <c r="D404" s="1"/>
      <c r="E404" s="1"/>
      <c r="F404" s="1"/>
      <c r="G404" s="33"/>
      <c r="H404" s="1"/>
      <c r="I404" s="33"/>
    </row>
    <row r="405" spans="1:9" ht="15.75" customHeight="1">
      <c r="A405" s="1"/>
      <c r="B405" s="1"/>
      <c r="C405" s="1"/>
      <c r="D405" s="1"/>
      <c r="E405" s="1"/>
      <c r="F405" s="1"/>
      <c r="G405" s="33"/>
      <c r="H405" s="1"/>
      <c r="I405" s="33"/>
    </row>
    <row r="406" spans="1:9" ht="15.75" customHeight="1">
      <c r="A406" s="1"/>
      <c r="B406" s="1"/>
      <c r="C406" s="1"/>
      <c r="D406" s="1"/>
      <c r="E406" s="1"/>
      <c r="F406" s="1"/>
      <c r="G406" s="33"/>
      <c r="H406" s="1"/>
      <c r="I406" s="33"/>
    </row>
    <row r="407" spans="1:9" ht="15.75" customHeight="1">
      <c r="A407" s="1"/>
      <c r="B407" s="1"/>
      <c r="C407" s="1"/>
      <c r="D407" s="1"/>
      <c r="E407" s="1"/>
      <c r="F407" s="1"/>
      <c r="G407" s="33"/>
      <c r="H407" s="1"/>
      <c r="I407" s="33"/>
    </row>
    <row r="408" spans="1:9" ht="15.75" customHeight="1">
      <c r="A408" s="1"/>
      <c r="B408" s="1"/>
      <c r="C408" s="1"/>
      <c r="D408" s="1"/>
      <c r="E408" s="1"/>
      <c r="F408" s="1"/>
      <c r="G408" s="33"/>
      <c r="H408" s="1"/>
      <c r="I408" s="33"/>
    </row>
    <row r="409" spans="1:9" ht="15.75" customHeight="1">
      <c r="A409" s="1"/>
      <c r="B409" s="1"/>
      <c r="C409" s="1"/>
      <c r="D409" s="1"/>
      <c r="E409" s="1"/>
      <c r="F409" s="1"/>
      <c r="G409" s="33"/>
      <c r="H409" s="1"/>
      <c r="I409" s="33"/>
    </row>
    <row r="410" spans="1:9" ht="15.75" customHeight="1">
      <c r="A410" s="1"/>
      <c r="B410" s="1"/>
      <c r="C410" s="1"/>
      <c r="D410" s="1"/>
      <c r="E410" s="1"/>
      <c r="F410" s="1"/>
      <c r="G410" s="33"/>
      <c r="H410" s="1"/>
      <c r="I410" s="33"/>
    </row>
    <row r="411" spans="1:9" ht="15.75" customHeight="1">
      <c r="A411" s="1"/>
      <c r="B411" s="1"/>
      <c r="C411" s="1"/>
      <c r="D411" s="1"/>
      <c r="E411" s="1"/>
      <c r="F411" s="1"/>
      <c r="G411" s="33"/>
      <c r="H411" s="1"/>
      <c r="I411" s="33"/>
    </row>
    <row r="412" spans="1:9" ht="15.75" customHeight="1">
      <c r="A412" s="1"/>
      <c r="B412" s="1"/>
      <c r="C412" s="1"/>
      <c r="D412" s="1"/>
      <c r="E412" s="1"/>
      <c r="F412" s="1"/>
      <c r="G412" s="33"/>
      <c r="H412" s="1"/>
      <c r="I412" s="33"/>
    </row>
    <row r="413" spans="1:9" ht="15.75" customHeight="1">
      <c r="A413" s="1"/>
      <c r="B413" s="1"/>
      <c r="C413" s="1"/>
      <c r="D413" s="1"/>
      <c r="E413" s="1"/>
      <c r="F413" s="1"/>
      <c r="G413" s="33"/>
      <c r="H413" s="1"/>
      <c r="I413" s="33"/>
    </row>
    <row r="414" spans="1:9" ht="15.75" customHeight="1">
      <c r="A414" s="1"/>
      <c r="B414" s="1"/>
      <c r="C414" s="1"/>
      <c r="D414" s="1"/>
      <c r="E414" s="1"/>
      <c r="F414" s="1"/>
      <c r="G414" s="33"/>
      <c r="H414" s="1"/>
      <c r="I414" s="33"/>
    </row>
    <row r="415" spans="1:9" ht="15.75" customHeight="1">
      <c r="A415" s="1"/>
      <c r="B415" s="1"/>
      <c r="C415" s="1"/>
      <c r="D415" s="1"/>
      <c r="E415" s="1"/>
      <c r="F415" s="1"/>
      <c r="G415" s="33"/>
      <c r="H415" s="1"/>
      <c r="I415" s="33"/>
    </row>
    <row r="416" spans="1:9" ht="15.75" customHeight="1">
      <c r="A416" s="1"/>
      <c r="B416" s="1"/>
      <c r="C416" s="1"/>
      <c r="D416" s="1"/>
      <c r="E416" s="1"/>
      <c r="F416" s="1"/>
      <c r="G416" s="33"/>
      <c r="H416" s="1"/>
      <c r="I416" s="33"/>
    </row>
    <row r="417" spans="1:9" ht="15.75" customHeight="1">
      <c r="A417" s="1"/>
      <c r="B417" s="1"/>
      <c r="C417" s="1"/>
      <c r="D417" s="1"/>
      <c r="E417" s="1"/>
      <c r="F417" s="1"/>
      <c r="G417" s="33"/>
      <c r="H417" s="1"/>
      <c r="I417" s="33"/>
    </row>
    <row r="418" spans="1:9" ht="15.75" customHeight="1">
      <c r="A418" s="1"/>
      <c r="B418" s="1"/>
      <c r="C418" s="1"/>
      <c r="D418" s="1"/>
      <c r="E418" s="1"/>
      <c r="F418" s="1"/>
      <c r="G418" s="33"/>
      <c r="H418" s="1"/>
      <c r="I418" s="33"/>
    </row>
    <row r="419" spans="1:9" ht="15.75" customHeight="1">
      <c r="A419" s="1"/>
      <c r="B419" s="1"/>
      <c r="C419" s="1"/>
      <c r="D419" s="1"/>
      <c r="E419" s="1"/>
      <c r="F419" s="1"/>
      <c r="G419" s="33"/>
      <c r="H419" s="1"/>
      <c r="I419" s="33"/>
    </row>
    <row r="420" spans="1:9" ht="15.75" customHeight="1">
      <c r="A420" s="1"/>
      <c r="B420" s="1"/>
      <c r="C420" s="1"/>
      <c r="D420" s="1"/>
      <c r="E420" s="1"/>
      <c r="F420" s="1"/>
      <c r="G420" s="33"/>
      <c r="H420" s="1"/>
      <c r="I420" s="33"/>
    </row>
    <row r="421" spans="1:9" ht="15.75" customHeight="1">
      <c r="A421" s="1"/>
      <c r="B421" s="1"/>
      <c r="C421" s="1"/>
      <c r="D421" s="1"/>
      <c r="E421" s="1"/>
      <c r="F421" s="1"/>
      <c r="G421" s="33"/>
      <c r="H421" s="1"/>
      <c r="I421" s="33"/>
    </row>
    <row r="422" spans="1:9" ht="15.75" customHeight="1">
      <c r="A422" s="1"/>
      <c r="B422" s="1"/>
      <c r="C422" s="1"/>
      <c r="D422" s="1"/>
      <c r="E422" s="1"/>
      <c r="F422" s="1"/>
      <c r="G422" s="33"/>
      <c r="H422" s="1"/>
      <c r="I422" s="33"/>
    </row>
    <row r="423" spans="1:9" ht="15.75" customHeight="1">
      <c r="A423" s="1"/>
      <c r="B423" s="1"/>
      <c r="C423" s="1"/>
      <c r="D423" s="1"/>
      <c r="E423" s="1"/>
      <c r="F423" s="1"/>
      <c r="G423" s="33"/>
      <c r="H423" s="1"/>
      <c r="I423" s="33"/>
    </row>
    <row r="424" spans="1:9" ht="15.75" customHeight="1">
      <c r="A424" s="1"/>
      <c r="B424" s="1"/>
      <c r="C424" s="1"/>
      <c r="D424" s="1"/>
      <c r="E424" s="1"/>
      <c r="F424" s="1"/>
      <c r="G424" s="33"/>
      <c r="H424" s="1"/>
      <c r="I424" s="33"/>
    </row>
    <row r="425" spans="1:9" ht="15.75" customHeight="1">
      <c r="A425" s="1"/>
      <c r="B425" s="1"/>
      <c r="C425" s="1"/>
      <c r="D425" s="1"/>
      <c r="E425" s="1"/>
      <c r="F425" s="1"/>
      <c r="G425" s="33"/>
      <c r="H425" s="1"/>
      <c r="I425" s="33"/>
    </row>
    <row r="426" spans="1:9" ht="15.75" customHeight="1">
      <c r="A426" s="1"/>
      <c r="B426" s="1"/>
      <c r="C426" s="1"/>
      <c r="D426" s="1"/>
      <c r="E426" s="1"/>
      <c r="F426" s="1"/>
      <c r="G426" s="33"/>
      <c r="H426" s="1"/>
      <c r="I426" s="33"/>
    </row>
    <row r="427" spans="1:9" ht="15.75" customHeight="1">
      <c r="A427" s="1"/>
      <c r="B427" s="1"/>
      <c r="C427" s="1"/>
      <c r="D427" s="1"/>
      <c r="E427" s="1"/>
      <c r="F427" s="1"/>
      <c r="G427" s="33"/>
      <c r="H427" s="1"/>
      <c r="I427" s="33"/>
    </row>
    <row r="428" spans="1:9" ht="15.75" customHeight="1">
      <c r="A428" s="1"/>
      <c r="B428" s="1"/>
      <c r="C428" s="1"/>
      <c r="D428" s="1"/>
      <c r="E428" s="1"/>
      <c r="F428" s="1"/>
      <c r="G428" s="33"/>
      <c r="H428" s="1"/>
      <c r="I428" s="33"/>
    </row>
    <row r="429" spans="1:9" ht="15.75" customHeight="1">
      <c r="A429" s="1"/>
      <c r="B429" s="1"/>
      <c r="C429" s="1"/>
      <c r="D429" s="1"/>
      <c r="E429" s="1"/>
      <c r="F429" s="1"/>
      <c r="G429" s="33"/>
      <c r="H429" s="1"/>
      <c r="I429" s="33"/>
    </row>
    <row r="430" spans="1:9" ht="15.75" customHeight="1">
      <c r="A430" s="1"/>
      <c r="B430" s="1"/>
      <c r="C430" s="1"/>
      <c r="D430" s="1"/>
      <c r="E430" s="1"/>
      <c r="F430" s="1"/>
      <c r="G430" s="33"/>
      <c r="H430" s="1"/>
      <c r="I430" s="33"/>
    </row>
    <row r="431" spans="1:9" ht="15.75" customHeight="1">
      <c r="A431" s="1"/>
      <c r="B431" s="1"/>
      <c r="C431" s="1"/>
      <c r="D431" s="1"/>
      <c r="E431" s="1"/>
      <c r="F431" s="1"/>
      <c r="G431" s="33"/>
      <c r="H431" s="1"/>
      <c r="I431" s="33"/>
    </row>
    <row r="432" spans="1:9" ht="15.75" customHeight="1">
      <c r="A432" s="1"/>
      <c r="B432" s="1"/>
      <c r="C432" s="1"/>
      <c r="D432" s="1"/>
      <c r="E432" s="1"/>
      <c r="F432" s="1"/>
      <c r="G432" s="33"/>
      <c r="H432" s="1"/>
      <c r="I432" s="33"/>
    </row>
    <row r="433" spans="1:9" ht="15.75" customHeight="1">
      <c r="A433" s="1"/>
      <c r="B433" s="1"/>
      <c r="C433" s="1"/>
      <c r="D433" s="1"/>
      <c r="E433" s="1"/>
      <c r="F433" s="1"/>
      <c r="G433" s="33"/>
      <c r="H433" s="1"/>
      <c r="I433" s="33"/>
    </row>
    <row r="434" spans="1:9" ht="15.75" customHeight="1">
      <c r="A434" s="1"/>
      <c r="B434" s="1"/>
      <c r="C434" s="1"/>
      <c r="D434" s="1"/>
      <c r="E434" s="1"/>
      <c r="F434" s="1"/>
      <c r="G434" s="33"/>
      <c r="H434" s="1"/>
      <c r="I434" s="33"/>
    </row>
    <row r="435" spans="1:9" ht="15.75" customHeight="1">
      <c r="A435" s="1"/>
      <c r="B435" s="1"/>
      <c r="C435" s="1"/>
      <c r="D435" s="1"/>
      <c r="E435" s="1"/>
      <c r="F435" s="1"/>
      <c r="G435" s="33"/>
      <c r="H435" s="1"/>
      <c r="I435" s="33"/>
    </row>
    <row r="436" spans="1:9" ht="15.75" customHeight="1">
      <c r="A436" s="1"/>
      <c r="B436" s="1"/>
      <c r="C436" s="1"/>
      <c r="D436" s="1"/>
      <c r="E436" s="1"/>
      <c r="F436" s="1"/>
      <c r="G436" s="33"/>
      <c r="H436" s="1"/>
      <c r="I436" s="33"/>
    </row>
    <row r="437" spans="1:9" ht="15.75" customHeight="1">
      <c r="A437" s="1"/>
      <c r="B437" s="1"/>
      <c r="C437" s="1"/>
      <c r="D437" s="1"/>
      <c r="E437" s="1"/>
      <c r="F437" s="1"/>
      <c r="G437" s="33"/>
      <c r="H437" s="1"/>
      <c r="I437" s="33"/>
    </row>
    <row r="438" spans="1:9" ht="15.75" customHeight="1">
      <c r="A438" s="1"/>
      <c r="B438" s="1"/>
      <c r="C438" s="1"/>
      <c r="D438" s="1"/>
      <c r="E438" s="1"/>
      <c r="F438" s="1"/>
      <c r="G438" s="33"/>
      <c r="H438" s="1"/>
      <c r="I438" s="33"/>
    </row>
    <row r="439" spans="1:9" ht="15.75" customHeight="1">
      <c r="A439" s="1"/>
      <c r="B439" s="1"/>
      <c r="C439" s="1"/>
      <c r="D439" s="1"/>
      <c r="E439" s="1"/>
      <c r="F439" s="1"/>
      <c r="G439" s="33"/>
      <c r="H439" s="1"/>
      <c r="I439" s="33"/>
    </row>
    <row r="440" spans="1:9" ht="15.75" customHeight="1">
      <c r="A440" s="1"/>
      <c r="B440" s="1"/>
      <c r="C440" s="1"/>
      <c r="D440" s="1"/>
      <c r="E440" s="1"/>
      <c r="F440" s="1"/>
      <c r="G440" s="33"/>
      <c r="H440" s="1"/>
      <c r="I440" s="33"/>
    </row>
    <row r="441" spans="1:9" ht="15.75" customHeight="1">
      <c r="A441" s="1"/>
      <c r="B441" s="1"/>
      <c r="C441" s="1"/>
      <c r="D441" s="1"/>
      <c r="E441" s="1"/>
      <c r="F441" s="1"/>
      <c r="G441" s="33"/>
      <c r="H441" s="1"/>
      <c r="I441" s="33"/>
    </row>
    <row r="442" spans="1:9" ht="15.75" customHeight="1">
      <c r="A442" s="1"/>
      <c r="B442" s="1"/>
      <c r="C442" s="1"/>
      <c r="D442" s="1"/>
      <c r="E442" s="1"/>
      <c r="F442" s="1"/>
      <c r="G442" s="33"/>
      <c r="H442" s="1"/>
      <c r="I442" s="33"/>
    </row>
    <row r="443" spans="1:9" ht="15.75" customHeight="1">
      <c r="A443" s="1"/>
      <c r="B443" s="1"/>
      <c r="C443" s="1"/>
      <c r="D443" s="1"/>
      <c r="E443" s="1"/>
      <c r="F443" s="1"/>
      <c r="G443" s="33"/>
      <c r="H443" s="1"/>
      <c r="I443" s="33"/>
    </row>
    <row r="444" spans="1:9" ht="15.75" customHeight="1">
      <c r="A444" s="1"/>
      <c r="B444" s="1"/>
      <c r="C444" s="1"/>
      <c r="D444" s="1"/>
      <c r="E444" s="1"/>
      <c r="F444" s="1"/>
      <c r="G444" s="33"/>
      <c r="H444" s="1"/>
      <c r="I444" s="33"/>
    </row>
    <row r="445" spans="1:9" ht="15.75" customHeight="1">
      <c r="A445" s="1"/>
      <c r="B445" s="1"/>
      <c r="C445" s="1"/>
      <c r="D445" s="1"/>
      <c r="E445" s="1"/>
      <c r="F445" s="1"/>
      <c r="G445" s="33"/>
      <c r="H445" s="1"/>
      <c r="I445" s="33"/>
    </row>
    <row r="446" spans="1:9" ht="15.75" customHeight="1">
      <c r="A446" s="1"/>
      <c r="B446" s="1"/>
      <c r="C446" s="1"/>
      <c r="D446" s="1"/>
      <c r="E446" s="1"/>
      <c r="F446" s="1"/>
      <c r="G446" s="33"/>
      <c r="H446" s="1"/>
      <c r="I446" s="33"/>
    </row>
    <row r="447" spans="1:9" ht="15.75" customHeight="1">
      <c r="A447" s="1"/>
      <c r="B447" s="1"/>
      <c r="C447" s="1"/>
      <c r="D447" s="1"/>
      <c r="E447" s="1"/>
      <c r="F447" s="1"/>
      <c r="G447" s="33"/>
      <c r="H447" s="1"/>
      <c r="I447" s="33"/>
    </row>
    <row r="448" spans="1:9" ht="15.75" customHeight="1">
      <c r="A448" s="1"/>
      <c r="B448" s="1"/>
      <c r="C448" s="1"/>
      <c r="D448" s="1"/>
      <c r="E448" s="1"/>
      <c r="F448" s="1"/>
      <c r="G448" s="33"/>
      <c r="H448" s="1"/>
      <c r="I448" s="33"/>
    </row>
    <row r="449" spans="1:9" ht="15.75" customHeight="1">
      <c r="A449" s="1"/>
      <c r="B449" s="1"/>
      <c r="C449" s="1"/>
      <c r="D449" s="1"/>
      <c r="E449" s="1"/>
      <c r="F449" s="1"/>
      <c r="G449" s="33"/>
      <c r="H449" s="1"/>
      <c r="I449" s="33"/>
    </row>
    <row r="450" spans="1:9" ht="15.75" customHeight="1">
      <c r="A450" s="1"/>
      <c r="B450" s="1"/>
      <c r="C450" s="1"/>
      <c r="D450" s="1"/>
      <c r="E450" s="1"/>
      <c r="F450" s="1"/>
      <c r="G450" s="33"/>
      <c r="H450" s="1"/>
      <c r="I450" s="33"/>
    </row>
    <row r="451" spans="1:9" ht="15.75" customHeight="1">
      <c r="A451" s="1"/>
      <c r="B451" s="1"/>
      <c r="C451" s="1"/>
      <c r="D451" s="1"/>
      <c r="E451" s="1"/>
      <c r="F451" s="1"/>
      <c r="G451" s="33"/>
      <c r="H451" s="1"/>
      <c r="I451" s="33"/>
    </row>
    <row r="452" spans="1:9" ht="15.75" customHeight="1">
      <c r="A452" s="1"/>
      <c r="B452" s="1"/>
      <c r="C452" s="1"/>
      <c r="D452" s="1"/>
      <c r="E452" s="1"/>
      <c r="F452" s="1"/>
      <c r="G452" s="33"/>
      <c r="H452" s="1"/>
      <c r="I452" s="33"/>
    </row>
    <row r="453" spans="1:9" ht="15.75" customHeight="1">
      <c r="A453" s="1"/>
      <c r="B453" s="1"/>
      <c r="C453" s="1"/>
      <c r="D453" s="1"/>
      <c r="E453" s="1"/>
      <c r="F453" s="1"/>
      <c r="G453" s="33"/>
      <c r="H453" s="1"/>
      <c r="I453" s="33"/>
    </row>
    <row r="454" spans="1:9" ht="15.75" customHeight="1">
      <c r="A454" s="1"/>
      <c r="B454" s="1"/>
      <c r="C454" s="1"/>
      <c r="D454" s="1"/>
      <c r="E454" s="1"/>
      <c r="F454" s="1"/>
      <c r="G454" s="33"/>
      <c r="H454" s="1"/>
      <c r="I454" s="33"/>
    </row>
    <row r="455" spans="1:9" ht="15.75" customHeight="1">
      <c r="A455" s="1"/>
      <c r="B455" s="1"/>
      <c r="C455" s="1"/>
      <c r="D455" s="1"/>
      <c r="E455" s="1"/>
      <c r="F455" s="1"/>
      <c r="G455" s="33"/>
      <c r="H455" s="1"/>
      <c r="I455" s="33"/>
    </row>
    <row r="456" spans="1:9" ht="15.75" customHeight="1">
      <c r="A456" s="1"/>
      <c r="B456" s="1"/>
      <c r="C456" s="1"/>
      <c r="D456" s="1"/>
      <c r="E456" s="1"/>
      <c r="F456" s="1"/>
      <c r="G456" s="33"/>
      <c r="H456" s="1"/>
      <c r="I456" s="33"/>
    </row>
    <row r="457" spans="1:9" ht="15.75" customHeight="1">
      <c r="A457" s="1"/>
      <c r="B457" s="1"/>
      <c r="C457" s="1"/>
      <c r="D457" s="1"/>
      <c r="E457" s="1"/>
      <c r="F457" s="1"/>
      <c r="G457" s="33"/>
      <c r="H457" s="1"/>
      <c r="I457" s="33"/>
    </row>
    <row r="458" spans="1:9" ht="15.75" customHeight="1">
      <c r="A458" s="1"/>
      <c r="B458" s="1"/>
      <c r="C458" s="1"/>
      <c r="D458" s="1"/>
      <c r="E458" s="1"/>
      <c r="F458" s="1"/>
      <c r="G458" s="33"/>
      <c r="H458" s="1"/>
      <c r="I458" s="33"/>
    </row>
    <row r="459" spans="1:9" ht="15.75" customHeight="1">
      <c r="A459" s="1"/>
      <c r="B459" s="1"/>
      <c r="C459" s="1"/>
      <c r="D459" s="1"/>
      <c r="E459" s="1"/>
      <c r="F459" s="1"/>
      <c r="G459" s="33"/>
      <c r="H459" s="1"/>
      <c r="I459" s="33"/>
    </row>
    <row r="460" spans="1:9" ht="15.75" customHeight="1">
      <c r="A460" s="1"/>
      <c r="B460" s="1"/>
      <c r="C460" s="1"/>
      <c r="D460" s="1"/>
      <c r="E460" s="1"/>
      <c r="F460" s="1"/>
      <c r="G460" s="33"/>
      <c r="H460" s="1"/>
      <c r="I460" s="33"/>
    </row>
    <row r="461" spans="1:9" ht="15.75" customHeight="1">
      <c r="A461" s="1"/>
      <c r="B461" s="1"/>
      <c r="C461" s="1"/>
      <c r="D461" s="1"/>
      <c r="E461" s="1"/>
      <c r="F461" s="1"/>
      <c r="G461" s="33"/>
      <c r="H461" s="1"/>
      <c r="I461" s="33"/>
    </row>
    <row r="462" spans="1:9" ht="15.75" customHeight="1">
      <c r="A462" s="1"/>
      <c r="B462" s="1"/>
      <c r="C462" s="1"/>
      <c r="D462" s="1"/>
      <c r="E462" s="1"/>
      <c r="F462" s="1"/>
      <c r="G462" s="33"/>
      <c r="H462" s="1"/>
      <c r="I462" s="33"/>
    </row>
    <row r="463" spans="1:9" ht="15.75" customHeight="1">
      <c r="A463" s="1"/>
      <c r="B463" s="1"/>
      <c r="C463" s="1"/>
      <c r="D463" s="1"/>
      <c r="E463" s="1"/>
      <c r="F463" s="1"/>
      <c r="G463" s="33"/>
      <c r="H463" s="1"/>
      <c r="I463" s="33"/>
    </row>
    <row r="464" spans="1:9" ht="15.75" customHeight="1">
      <c r="A464" s="1"/>
      <c r="B464" s="1"/>
      <c r="C464" s="1"/>
      <c r="D464" s="1"/>
      <c r="E464" s="1"/>
      <c r="F464" s="1"/>
      <c r="G464" s="33"/>
      <c r="H464" s="1"/>
      <c r="I464" s="33"/>
    </row>
    <row r="465" spans="1:9" ht="15.75" customHeight="1">
      <c r="A465" s="1"/>
      <c r="B465" s="1"/>
      <c r="C465" s="1"/>
      <c r="D465" s="1"/>
      <c r="E465" s="1"/>
      <c r="F465" s="1"/>
      <c r="G465" s="33"/>
      <c r="H465" s="1"/>
      <c r="I465" s="33"/>
    </row>
    <row r="466" spans="1:9" ht="15.75" customHeight="1">
      <c r="A466" s="1"/>
      <c r="B466" s="1"/>
      <c r="C466" s="1"/>
      <c r="D466" s="1"/>
      <c r="E466" s="1"/>
      <c r="F466" s="1"/>
      <c r="G466" s="33"/>
      <c r="H466" s="1"/>
      <c r="I466" s="33"/>
    </row>
    <row r="467" spans="1:9" ht="15.75" customHeight="1">
      <c r="A467" s="1"/>
      <c r="B467" s="1"/>
      <c r="C467" s="1"/>
      <c r="D467" s="1"/>
      <c r="E467" s="1"/>
      <c r="F467" s="1"/>
      <c r="G467" s="33"/>
      <c r="H467" s="1"/>
      <c r="I467" s="33"/>
    </row>
    <row r="468" spans="1:9" ht="15.75" customHeight="1">
      <c r="A468" s="1"/>
      <c r="B468" s="1"/>
      <c r="C468" s="1"/>
      <c r="D468" s="1"/>
      <c r="E468" s="1"/>
      <c r="F468" s="1"/>
      <c r="G468" s="33"/>
      <c r="H468" s="1"/>
      <c r="I468" s="33"/>
    </row>
    <row r="469" spans="1:9" ht="15.75" customHeight="1">
      <c r="A469" s="1"/>
      <c r="B469" s="1"/>
      <c r="C469" s="1"/>
      <c r="D469" s="1"/>
      <c r="E469" s="1"/>
      <c r="F469" s="1"/>
      <c r="G469" s="33"/>
      <c r="H469" s="1"/>
      <c r="I469" s="33"/>
    </row>
    <row r="470" spans="1:9" ht="15.75" customHeight="1">
      <c r="A470" s="1"/>
      <c r="B470" s="1"/>
      <c r="C470" s="1"/>
      <c r="D470" s="1"/>
      <c r="E470" s="1"/>
      <c r="F470" s="1"/>
      <c r="G470" s="33"/>
      <c r="H470" s="1"/>
      <c r="I470" s="33"/>
    </row>
    <row r="471" spans="1:9" ht="15.75" customHeight="1">
      <c r="A471" s="1"/>
      <c r="B471" s="1"/>
      <c r="C471" s="1"/>
      <c r="D471" s="1"/>
      <c r="E471" s="1"/>
      <c r="F471" s="1"/>
      <c r="G471" s="33"/>
      <c r="H471" s="1"/>
      <c r="I471" s="33"/>
    </row>
    <row r="472" spans="1:9" ht="15.75" customHeight="1">
      <c r="A472" s="1"/>
      <c r="B472" s="1"/>
      <c r="C472" s="1"/>
      <c r="D472" s="1"/>
      <c r="E472" s="1"/>
      <c r="F472" s="1"/>
      <c r="G472" s="33"/>
      <c r="H472" s="1"/>
      <c r="I472" s="33"/>
    </row>
    <row r="473" spans="1:9" ht="15.75" customHeight="1">
      <c r="A473" s="1"/>
      <c r="B473" s="1"/>
      <c r="C473" s="1"/>
      <c r="D473" s="1"/>
      <c r="E473" s="1"/>
      <c r="F473" s="1"/>
      <c r="G473" s="33"/>
      <c r="H473" s="1"/>
      <c r="I473" s="33"/>
    </row>
    <row r="474" spans="1:9" ht="15.75" customHeight="1">
      <c r="A474" s="1"/>
      <c r="B474" s="1"/>
      <c r="C474" s="1"/>
      <c r="D474" s="1"/>
      <c r="E474" s="1"/>
      <c r="F474" s="1"/>
      <c r="G474" s="33"/>
      <c r="H474" s="1"/>
      <c r="I474" s="33"/>
    </row>
    <row r="475" spans="1:9" ht="15.75" customHeight="1">
      <c r="A475" s="1"/>
      <c r="B475" s="1"/>
      <c r="C475" s="1"/>
      <c r="D475" s="1"/>
      <c r="E475" s="1"/>
      <c r="F475" s="1"/>
      <c r="G475" s="33"/>
      <c r="H475" s="1"/>
      <c r="I475" s="33"/>
    </row>
    <row r="476" spans="1:9" ht="15.75" customHeight="1">
      <c r="A476" s="1"/>
      <c r="B476" s="1"/>
      <c r="C476" s="1"/>
      <c r="D476" s="1"/>
      <c r="E476" s="1"/>
      <c r="F476" s="1"/>
      <c r="G476" s="33"/>
      <c r="H476" s="1"/>
      <c r="I476" s="33"/>
    </row>
    <row r="477" spans="1:9" ht="15.75" customHeight="1">
      <c r="A477" s="1"/>
      <c r="B477" s="1"/>
      <c r="C477" s="1"/>
      <c r="D477" s="1"/>
      <c r="E477" s="1"/>
      <c r="F477" s="1"/>
      <c r="G477" s="33"/>
      <c r="H477" s="1"/>
      <c r="I477" s="33"/>
    </row>
    <row r="478" spans="1:9" ht="15.75" customHeight="1">
      <c r="A478" s="1"/>
      <c r="B478" s="1"/>
      <c r="C478" s="1"/>
      <c r="D478" s="1"/>
      <c r="E478" s="1"/>
      <c r="F478" s="1"/>
      <c r="G478" s="33"/>
      <c r="H478" s="1"/>
      <c r="I478" s="33"/>
    </row>
    <row r="479" spans="1:9" ht="15.75" customHeight="1">
      <c r="A479" s="1"/>
      <c r="B479" s="1"/>
      <c r="C479" s="1"/>
      <c r="D479" s="1"/>
      <c r="E479" s="1"/>
      <c r="F479" s="1"/>
      <c r="G479" s="33"/>
      <c r="H479" s="1"/>
      <c r="I479" s="33"/>
    </row>
    <row r="480" spans="1:9" ht="15.75" customHeight="1">
      <c r="A480" s="1"/>
      <c r="B480" s="1"/>
      <c r="C480" s="1"/>
      <c r="D480" s="1"/>
      <c r="E480" s="1"/>
      <c r="F480" s="1"/>
      <c r="G480" s="33"/>
      <c r="H480" s="1"/>
      <c r="I480" s="33"/>
    </row>
    <row r="481" spans="1:9" ht="15.75" customHeight="1">
      <c r="A481" s="1"/>
      <c r="B481" s="1"/>
      <c r="C481" s="1"/>
      <c r="D481" s="1"/>
      <c r="E481" s="1"/>
      <c r="F481" s="1"/>
      <c r="G481" s="33"/>
      <c r="H481" s="1"/>
      <c r="I481" s="33"/>
    </row>
    <row r="482" spans="1:9" ht="15.75" customHeight="1">
      <c r="A482" s="1"/>
      <c r="B482" s="1"/>
      <c r="C482" s="1"/>
      <c r="D482" s="1"/>
      <c r="E482" s="1"/>
      <c r="F482" s="1"/>
      <c r="G482" s="33"/>
      <c r="H482" s="1"/>
      <c r="I482" s="33"/>
    </row>
    <row r="483" spans="1:9" ht="15.75" customHeight="1">
      <c r="A483" s="1"/>
      <c r="B483" s="1"/>
      <c r="C483" s="1"/>
      <c r="D483" s="1"/>
      <c r="E483" s="1"/>
      <c r="F483" s="1"/>
      <c r="G483" s="33"/>
      <c r="H483" s="1"/>
      <c r="I483" s="33"/>
    </row>
    <row r="484" spans="1:9" ht="15.75" customHeight="1">
      <c r="A484" s="1"/>
      <c r="B484" s="1"/>
      <c r="C484" s="1"/>
      <c r="D484" s="1"/>
      <c r="E484" s="1"/>
      <c r="F484" s="1"/>
      <c r="G484" s="33"/>
      <c r="H484" s="1"/>
      <c r="I484" s="33"/>
    </row>
    <row r="485" spans="1:9" ht="15.75" customHeight="1">
      <c r="A485" s="1"/>
      <c r="B485" s="1"/>
      <c r="C485" s="1"/>
      <c r="D485" s="1"/>
      <c r="E485" s="1"/>
      <c r="F485" s="1"/>
      <c r="G485" s="33"/>
      <c r="H485" s="1"/>
      <c r="I485" s="33"/>
    </row>
    <row r="486" spans="1:9" ht="15.75" customHeight="1">
      <c r="A486" s="1"/>
      <c r="B486" s="1"/>
      <c r="C486" s="1"/>
      <c r="D486" s="1"/>
      <c r="E486" s="1"/>
      <c r="F486" s="1"/>
      <c r="G486" s="33"/>
      <c r="H486" s="1"/>
      <c r="I486" s="33"/>
    </row>
    <row r="487" spans="1:9" ht="15.75" customHeight="1">
      <c r="A487" s="1"/>
      <c r="B487" s="1"/>
      <c r="C487" s="1"/>
      <c r="D487" s="1"/>
      <c r="E487" s="1"/>
      <c r="F487" s="1"/>
      <c r="G487" s="33"/>
      <c r="H487" s="1"/>
      <c r="I487" s="33"/>
    </row>
    <row r="488" spans="1:9" ht="15.75" customHeight="1">
      <c r="A488" s="1"/>
      <c r="B488" s="1"/>
      <c r="C488" s="1"/>
      <c r="D488" s="1"/>
      <c r="E488" s="1"/>
      <c r="F488" s="1"/>
      <c r="G488" s="33"/>
      <c r="H488" s="1"/>
      <c r="I488" s="33"/>
    </row>
    <row r="489" spans="1:9" ht="15.75" customHeight="1">
      <c r="A489" s="1"/>
      <c r="B489" s="1"/>
      <c r="C489" s="1"/>
      <c r="D489" s="1"/>
      <c r="E489" s="1"/>
      <c r="F489" s="1"/>
      <c r="G489" s="33"/>
      <c r="H489" s="1"/>
      <c r="I489" s="33"/>
    </row>
    <row r="490" spans="1:9" ht="15.75" customHeight="1">
      <c r="A490" s="1"/>
      <c r="B490" s="1"/>
      <c r="C490" s="1"/>
      <c r="D490" s="1"/>
      <c r="E490" s="1"/>
      <c r="F490" s="1"/>
      <c r="G490" s="33"/>
      <c r="H490" s="1"/>
      <c r="I490" s="33"/>
    </row>
    <row r="491" spans="1:9" ht="15.75" customHeight="1">
      <c r="A491" s="1"/>
      <c r="B491" s="1"/>
      <c r="C491" s="1"/>
      <c r="D491" s="1"/>
      <c r="E491" s="1"/>
      <c r="F491" s="1"/>
      <c r="G491" s="33"/>
      <c r="H491" s="1"/>
      <c r="I491" s="33"/>
    </row>
    <row r="492" spans="1:9" ht="15.75" customHeight="1">
      <c r="A492" s="1"/>
      <c r="B492" s="1"/>
      <c r="C492" s="1"/>
      <c r="D492" s="1"/>
      <c r="E492" s="1"/>
      <c r="F492" s="1"/>
      <c r="G492" s="33"/>
      <c r="H492" s="1"/>
      <c r="I492" s="33"/>
    </row>
    <row r="493" spans="1:9" ht="15.75" customHeight="1">
      <c r="A493" s="1"/>
      <c r="B493" s="1"/>
      <c r="C493" s="1"/>
      <c r="D493" s="1"/>
      <c r="E493" s="1"/>
      <c r="F493" s="1"/>
      <c r="G493" s="33"/>
      <c r="H493" s="1"/>
      <c r="I493" s="33"/>
    </row>
    <row r="494" spans="1:9" ht="15.75" customHeight="1">
      <c r="A494" s="1"/>
      <c r="B494" s="1"/>
      <c r="C494" s="1"/>
      <c r="D494" s="1"/>
      <c r="E494" s="1"/>
      <c r="F494" s="1"/>
      <c r="G494" s="33"/>
      <c r="H494" s="1"/>
      <c r="I494" s="33"/>
    </row>
    <row r="495" spans="1:9" ht="15.75" customHeight="1">
      <c r="A495" s="1"/>
      <c r="B495" s="1"/>
      <c r="C495" s="1"/>
      <c r="D495" s="1"/>
      <c r="E495" s="1"/>
      <c r="F495" s="1"/>
      <c r="G495" s="33"/>
      <c r="H495" s="1"/>
      <c r="I495" s="33"/>
    </row>
    <row r="496" spans="1:9" ht="15.75" customHeight="1">
      <c r="A496" s="1"/>
      <c r="B496" s="1"/>
      <c r="C496" s="1"/>
      <c r="D496" s="1"/>
      <c r="E496" s="1"/>
      <c r="F496" s="1"/>
      <c r="G496" s="33"/>
      <c r="H496" s="1"/>
      <c r="I496" s="33"/>
    </row>
    <row r="497" spans="1:9" ht="15.75" customHeight="1">
      <c r="A497" s="1"/>
      <c r="B497" s="1"/>
      <c r="C497" s="1"/>
      <c r="D497" s="1"/>
      <c r="E497" s="1"/>
      <c r="F497" s="1"/>
      <c r="G497" s="33"/>
      <c r="H497" s="1"/>
      <c r="I497" s="33"/>
    </row>
    <row r="498" spans="1:9" ht="15.75" customHeight="1">
      <c r="A498" s="1"/>
      <c r="B498" s="1"/>
      <c r="C498" s="1"/>
      <c r="D498" s="1"/>
      <c r="E498" s="1"/>
      <c r="F498" s="1"/>
      <c r="G498" s="33"/>
      <c r="H498" s="1"/>
      <c r="I498" s="33"/>
    </row>
    <row r="499" spans="1:9" ht="15.75" customHeight="1">
      <c r="A499" s="1"/>
      <c r="B499" s="1"/>
      <c r="C499" s="1"/>
      <c r="D499" s="1"/>
      <c r="E499" s="1"/>
      <c r="F499" s="1"/>
      <c r="G499" s="33"/>
      <c r="H499" s="1"/>
      <c r="I499" s="33"/>
    </row>
    <row r="500" spans="1:9" ht="15.75" customHeight="1">
      <c r="A500" s="1"/>
      <c r="B500" s="1"/>
      <c r="C500" s="1"/>
      <c r="D500" s="1"/>
      <c r="E500" s="1"/>
      <c r="F500" s="1"/>
      <c r="G500" s="33"/>
      <c r="H500" s="1"/>
      <c r="I500" s="33"/>
    </row>
    <row r="501" spans="1:9" ht="15.75" customHeight="1">
      <c r="A501" s="1"/>
      <c r="B501" s="1"/>
      <c r="C501" s="1"/>
      <c r="D501" s="1"/>
      <c r="E501" s="1"/>
      <c r="F501" s="1"/>
      <c r="G501" s="33"/>
      <c r="H501" s="1"/>
      <c r="I501" s="33"/>
    </row>
    <row r="502" spans="1:9" ht="15.75" customHeight="1">
      <c r="A502" s="1"/>
      <c r="B502" s="1"/>
      <c r="C502" s="1"/>
      <c r="D502" s="1"/>
      <c r="E502" s="1"/>
      <c r="F502" s="1"/>
      <c r="G502" s="33"/>
      <c r="H502" s="1"/>
      <c r="I502" s="33"/>
    </row>
    <row r="503" spans="1:9" ht="15.75" customHeight="1">
      <c r="A503" s="1"/>
      <c r="B503" s="1"/>
      <c r="C503" s="1"/>
      <c r="D503" s="1"/>
      <c r="E503" s="1"/>
      <c r="F503" s="1"/>
      <c r="G503" s="33"/>
      <c r="H503" s="1"/>
      <c r="I503" s="33"/>
    </row>
    <row r="504" spans="1:9" ht="15.75" customHeight="1">
      <c r="A504" s="1"/>
      <c r="B504" s="1"/>
      <c r="C504" s="1"/>
      <c r="D504" s="1"/>
      <c r="E504" s="1"/>
      <c r="F504" s="1"/>
      <c r="G504" s="33"/>
      <c r="H504" s="1"/>
      <c r="I504" s="33"/>
    </row>
    <row r="505" spans="1:9" ht="15.75" customHeight="1">
      <c r="A505" s="1"/>
      <c r="B505" s="1"/>
      <c r="C505" s="1"/>
      <c r="D505" s="1"/>
      <c r="E505" s="1"/>
      <c r="F505" s="1"/>
      <c r="G505" s="33"/>
      <c r="H505" s="1"/>
      <c r="I505" s="33"/>
    </row>
    <row r="506" spans="1:9" ht="15.75" customHeight="1">
      <c r="A506" s="1"/>
      <c r="B506" s="1"/>
      <c r="C506" s="1"/>
      <c r="D506" s="1"/>
      <c r="E506" s="1"/>
      <c r="F506" s="1"/>
      <c r="G506" s="33"/>
      <c r="H506" s="1"/>
      <c r="I506" s="33"/>
    </row>
    <row r="507" spans="1:9" ht="15.75" customHeight="1">
      <c r="A507" s="1"/>
      <c r="B507" s="1"/>
      <c r="C507" s="1"/>
      <c r="D507" s="1"/>
      <c r="E507" s="1"/>
      <c r="F507" s="1"/>
      <c r="G507" s="33"/>
      <c r="H507" s="1"/>
      <c r="I507" s="33"/>
    </row>
    <row r="508" spans="1:9" ht="15.75" customHeight="1">
      <c r="A508" s="1"/>
      <c r="B508" s="1"/>
      <c r="C508" s="1"/>
      <c r="D508" s="1"/>
      <c r="E508" s="1"/>
      <c r="F508" s="1"/>
      <c r="G508" s="33"/>
      <c r="H508" s="1"/>
      <c r="I508" s="33"/>
    </row>
    <row r="509" spans="1:9" ht="15.75" customHeight="1">
      <c r="A509" s="1"/>
      <c r="B509" s="1"/>
      <c r="C509" s="1"/>
      <c r="D509" s="1"/>
      <c r="E509" s="1"/>
      <c r="F509" s="1"/>
      <c r="G509" s="33"/>
      <c r="H509" s="1"/>
      <c r="I509" s="33"/>
    </row>
    <row r="510" spans="1:9" ht="15.75" customHeight="1">
      <c r="A510" s="1"/>
      <c r="B510" s="1"/>
      <c r="C510" s="1"/>
      <c r="D510" s="1"/>
      <c r="E510" s="1"/>
      <c r="F510" s="1"/>
      <c r="G510" s="33"/>
      <c r="H510" s="1"/>
      <c r="I510" s="33"/>
    </row>
    <row r="511" spans="1:9" ht="15.75" customHeight="1">
      <c r="A511" s="1"/>
      <c r="B511" s="1"/>
      <c r="C511" s="1"/>
      <c r="D511" s="1"/>
      <c r="E511" s="1"/>
      <c r="F511" s="1"/>
      <c r="G511" s="33"/>
      <c r="H511" s="1"/>
      <c r="I511" s="33"/>
    </row>
    <row r="512" spans="1:9" ht="15.75" customHeight="1">
      <c r="A512" s="1"/>
      <c r="B512" s="1"/>
      <c r="C512" s="1"/>
      <c r="D512" s="1"/>
      <c r="E512" s="1"/>
      <c r="F512" s="1"/>
      <c r="G512" s="33"/>
      <c r="H512" s="1"/>
      <c r="I512" s="33"/>
    </row>
    <row r="513" spans="1:9" ht="15.75" customHeight="1">
      <c r="A513" s="1"/>
      <c r="B513" s="1"/>
      <c r="C513" s="1"/>
      <c r="D513" s="1"/>
      <c r="E513" s="1"/>
      <c r="F513" s="1"/>
      <c r="G513" s="33"/>
      <c r="H513" s="1"/>
      <c r="I513" s="33"/>
    </row>
    <row r="514" spans="1:9" ht="15.75" customHeight="1">
      <c r="A514" s="1"/>
      <c r="B514" s="1"/>
      <c r="C514" s="1"/>
      <c r="D514" s="1"/>
      <c r="E514" s="1"/>
      <c r="F514" s="1"/>
      <c r="G514" s="33"/>
      <c r="H514" s="1"/>
      <c r="I514" s="33"/>
    </row>
    <row r="515" spans="1:9" ht="15.75" customHeight="1">
      <c r="A515" s="1"/>
      <c r="B515" s="1"/>
      <c r="C515" s="1"/>
      <c r="D515" s="1"/>
      <c r="E515" s="1"/>
      <c r="F515" s="1"/>
      <c r="G515" s="33"/>
      <c r="H515" s="1"/>
      <c r="I515" s="33"/>
    </row>
    <row r="516" spans="1:9" ht="15.75" customHeight="1">
      <c r="A516" s="1"/>
      <c r="B516" s="1"/>
      <c r="C516" s="1"/>
      <c r="D516" s="1"/>
      <c r="E516" s="1"/>
      <c r="F516" s="1"/>
      <c r="G516" s="33"/>
      <c r="H516" s="1"/>
      <c r="I516" s="33"/>
    </row>
    <row r="517" spans="1:9" ht="15.75" customHeight="1">
      <c r="A517" s="1"/>
      <c r="B517" s="1"/>
      <c r="C517" s="1"/>
      <c r="D517" s="1"/>
      <c r="E517" s="1"/>
      <c r="F517" s="1"/>
      <c r="G517" s="33"/>
      <c r="H517" s="1"/>
      <c r="I517" s="33"/>
    </row>
    <row r="518" spans="1:9" ht="15.75" customHeight="1">
      <c r="A518" s="1"/>
      <c r="B518" s="1"/>
      <c r="C518" s="1"/>
      <c r="D518" s="1"/>
      <c r="E518" s="1"/>
      <c r="F518" s="1"/>
      <c r="G518" s="33"/>
      <c r="H518" s="1"/>
      <c r="I518" s="33"/>
    </row>
    <row r="519" spans="1:9" ht="15.75" customHeight="1">
      <c r="A519" s="1"/>
      <c r="B519" s="1"/>
      <c r="C519" s="1"/>
      <c r="D519" s="1"/>
      <c r="E519" s="1"/>
      <c r="F519" s="1"/>
      <c r="G519" s="33"/>
      <c r="H519" s="1"/>
      <c r="I519" s="33"/>
    </row>
    <row r="520" spans="1:9" ht="15.75" customHeight="1">
      <c r="A520" s="1"/>
      <c r="B520" s="1"/>
      <c r="C520" s="1"/>
      <c r="D520" s="1"/>
      <c r="E520" s="1"/>
      <c r="F520" s="1"/>
      <c r="G520" s="33"/>
      <c r="H520" s="1"/>
      <c r="I520" s="33"/>
    </row>
    <row r="521" spans="1:9" ht="15.75" customHeight="1">
      <c r="A521" s="1"/>
      <c r="B521" s="1"/>
      <c r="C521" s="1"/>
      <c r="D521" s="1"/>
      <c r="E521" s="1"/>
      <c r="F521" s="1"/>
      <c r="G521" s="33"/>
      <c r="H521" s="1"/>
      <c r="I521" s="33"/>
    </row>
    <row r="522" spans="1:9" ht="15.75" customHeight="1">
      <c r="A522" s="1"/>
      <c r="B522" s="1"/>
      <c r="C522" s="1"/>
      <c r="D522" s="1"/>
      <c r="E522" s="1"/>
      <c r="F522" s="1"/>
      <c r="G522" s="33"/>
      <c r="H522" s="1"/>
      <c r="I522" s="33"/>
    </row>
    <row r="523" spans="1:9" ht="15.75" customHeight="1">
      <c r="A523" s="1"/>
      <c r="B523" s="1"/>
      <c r="C523" s="1"/>
      <c r="D523" s="1"/>
      <c r="E523" s="1"/>
      <c r="F523" s="1"/>
      <c r="G523" s="33"/>
      <c r="H523" s="1"/>
      <c r="I523" s="33"/>
    </row>
    <row r="524" spans="1:9" ht="15.75" customHeight="1">
      <c r="A524" s="1"/>
      <c r="B524" s="1"/>
      <c r="C524" s="1"/>
      <c r="D524" s="1"/>
      <c r="E524" s="1"/>
      <c r="F524" s="1"/>
      <c r="G524" s="33"/>
      <c r="H524" s="1"/>
      <c r="I524" s="33"/>
    </row>
    <row r="525" spans="1:9" ht="15.75" customHeight="1">
      <c r="A525" s="1"/>
      <c r="B525" s="1"/>
      <c r="C525" s="1"/>
      <c r="D525" s="1"/>
      <c r="E525" s="1"/>
      <c r="F525" s="1"/>
      <c r="G525" s="33"/>
      <c r="H525" s="1"/>
      <c r="I525" s="33"/>
    </row>
    <row r="526" spans="1:9" ht="15.75" customHeight="1">
      <c r="A526" s="1"/>
      <c r="B526" s="1"/>
      <c r="C526" s="1"/>
      <c r="D526" s="1"/>
      <c r="E526" s="1"/>
      <c r="F526" s="1"/>
      <c r="G526" s="33"/>
      <c r="H526" s="1"/>
      <c r="I526" s="33"/>
    </row>
    <row r="527" spans="1:9" ht="15.75" customHeight="1">
      <c r="A527" s="1"/>
      <c r="B527" s="1"/>
      <c r="C527" s="1"/>
      <c r="D527" s="1"/>
      <c r="E527" s="1"/>
      <c r="F527" s="1"/>
      <c r="G527" s="33"/>
      <c r="H527" s="1"/>
      <c r="I527" s="33"/>
    </row>
    <row r="528" spans="1:9" ht="15.75" customHeight="1">
      <c r="A528" s="1"/>
      <c r="B528" s="1"/>
      <c r="C528" s="1"/>
      <c r="D528" s="1"/>
      <c r="E528" s="1"/>
      <c r="F528" s="1"/>
      <c r="G528" s="33"/>
      <c r="H528" s="1"/>
      <c r="I528" s="33"/>
    </row>
    <row r="529" spans="1:9" ht="15.75" customHeight="1">
      <c r="A529" s="1"/>
      <c r="B529" s="1"/>
      <c r="C529" s="1"/>
      <c r="D529" s="1"/>
      <c r="E529" s="1"/>
      <c r="F529" s="1"/>
      <c r="G529" s="33"/>
      <c r="H529" s="1"/>
      <c r="I529" s="33"/>
    </row>
    <row r="530" spans="1:9" ht="15.75" customHeight="1">
      <c r="A530" s="1"/>
      <c r="B530" s="1"/>
      <c r="C530" s="1"/>
      <c r="D530" s="1"/>
      <c r="E530" s="1"/>
      <c r="F530" s="1"/>
      <c r="G530" s="33"/>
      <c r="H530" s="1"/>
      <c r="I530" s="33"/>
    </row>
    <row r="531" spans="1:9" ht="15.75" customHeight="1">
      <c r="A531" s="1"/>
      <c r="B531" s="1"/>
      <c r="C531" s="1"/>
      <c r="D531" s="1"/>
      <c r="E531" s="1"/>
      <c r="F531" s="1"/>
      <c r="G531" s="33"/>
      <c r="H531" s="1"/>
      <c r="I531" s="33"/>
    </row>
    <row r="532" spans="1:9" ht="15.75" customHeight="1">
      <c r="A532" s="1"/>
      <c r="B532" s="1"/>
      <c r="C532" s="1"/>
      <c r="D532" s="1"/>
      <c r="E532" s="1"/>
      <c r="F532" s="1"/>
      <c r="G532" s="33"/>
      <c r="H532" s="1"/>
      <c r="I532" s="33"/>
    </row>
    <row r="533" spans="1:9" ht="15.75" customHeight="1">
      <c r="A533" s="1"/>
      <c r="B533" s="1"/>
      <c r="C533" s="1"/>
      <c r="D533" s="1"/>
      <c r="E533" s="1"/>
      <c r="F533" s="1"/>
      <c r="G533" s="33"/>
      <c r="H533" s="1"/>
      <c r="I533" s="33"/>
    </row>
    <row r="534" spans="1:9" ht="15.75" customHeight="1">
      <c r="A534" s="1"/>
      <c r="B534" s="1"/>
      <c r="C534" s="1"/>
      <c r="D534" s="1"/>
      <c r="E534" s="1"/>
      <c r="F534" s="1"/>
      <c r="G534" s="33"/>
      <c r="H534" s="1"/>
      <c r="I534" s="33"/>
    </row>
    <row r="535" spans="1:9" ht="15.75" customHeight="1">
      <c r="A535" s="1"/>
      <c r="B535" s="1"/>
      <c r="C535" s="1"/>
      <c r="D535" s="1"/>
      <c r="E535" s="1"/>
      <c r="F535" s="1"/>
      <c r="G535" s="33"/>
      <c r="H535" s="1"/>
      <c r="I535" s="33"/>
    </row>
    <row r="536" spans="1:9" ht="15.75" customHeight="1">
      <c r="A536" s="1"/>
      <c r="B536" s="1"/>
      <c r="C536" s="1"/>
      <c r="D536" s="1"/>
      <c r="E536" s="1"/>
      <c r="F536" s="1"/>
      <c r="G536" s="33"/>
      <c r="H536" s="1"/>
      <c r="I536" s="33"/>
    </row>
    <row r="537" spans="1:9" ht="15.75" customHeight="1">
      <c r="A537" s="1"/>
      <c r="B537" s="1"/>
      <c r="C537" s="1"/>
      <c r="D537" s="1"/>
      <c r="E537" s="1"/>
      <c r="F537" s="1"/>
      <c r="G537" s="33"/>
      <c r="H537" s="1"/>
      <c r="I537" s="33"/>
    </row>
    <row r="538" spans="1:9" ht="15.75" customHeight="1">
      <c r="A538" s="1"/>
      <c r="B538" s="1"/>
      <c r="C538" s="1"/>
      <c r="D538" s="1"/>
      <c r="E538" s="1"/>
      <c r="F538" s="1"/>
      <c r="G538" s="33"/>
      <c r="H538" s="1"/>
      <c r="I538" s="33"/>
    </row>
    <row r="539" spans="1:9" ht="15.75" customHeight="1">
      <c r="A539" s="1"/>
      <c r="B539" s="1"/>
      <c r="C539" s="1"/>
      <c r="D539" s="1"/>
      <c r="E539" s="1"/>
      <c r="F539" s="1"/>
      <c r="G539" s="33"/>
      <c r="H539" s="1"/>
      <c r="I539" s="33"/>
    </row>
    <row r="540" spans="1:9" ht="15.75" customHeight="1">
      <c r="A540" s="1"/>
      <c r="B540" s="1"/>
      <c r="C540" s="1"/>
      <c r="D540" s="1"/>
      <c r="E540" s="1"/>
      <c r="F540" s="1"/>
      <c r="G540" s="33"/>
      <c r="H540" s="1"/>
      <c r="I540" s="33"/>
    </row>
    <row r="541" spans="1:9" ht="15.75" customHeight="1">
      <c r="A541" s="1"/>
      <c r="B541" s="1"/>
      <c r="C541" s="1"/>
      <c r="D541" s="1"/>
      <c r="E541" s="1"/>
      <c r="F541" s="1"/>
      <c r="G541" s="33"/>
      <c r="H541" s="1"/>
      <c r="I541" s="33"/>
    </row>
    <row r="542" spans="1:9" ht="15.75" customHeight="1">
      <c r="A542" s="1"/>
      <c r="B542" s="1"/>
      <c r="C542" s="1"/>
      <c r="D542" s="1"/>
      <c r="E542" s="1"/>
      <c r="F542" s="1"/>
      <c r="G542" s="33"/>
      <c r="H542" s="1"/>
      <c r="I542" s="33"/>
    </row>
    <row r="543" spans="1:9" ht="15.75" customHeight="1">
      <c r="A543" s="1"/>
      <c r="B543" s="1"/>
      <c r="C543" s="1"/>
      <c r="D543" s="1"/>
      <c r="E543" s="1"/>
      <c r="F543" s="1"/>
      <c r="G543" s="33"/>
      <c r="H543" s="1"/>
      <c r="I543" s="33"/>
    </row>
    <row r="544" spans="1:9" ht="15.75" customHeight="1">
      <c r="A544" s="1"/>
      <c r="B544" s="1"/>
      <c r="C544" s="1"/>
      <c r="D544" s="1"/>
      <c r="E544" s="1"/>
      <c r="F544" s="1"/>
      <c r="G544" s="33"/>
      <c r="H544" s="1"/>
      <c r="I544" s="33"/>
    </row>
    <row r="545" spans="1:9" ht="15.75" customHeight="1">
      <c r="A545" s="1"/>
      <c r="B545" s="1"/>
      <c r="C545" s="1"/>
      <c r="D545" s="1"/>
      <c r="E545" s="1"/>
      <c r="F545" s="1"/>
      <c r="G545" s="33"/>
      <c r="H545" s="1"/>
      <c r="I545" s="33"/>
    </row>
    <row r="546" spans="1:9" ht="15.75" customHeight="1">
      <c r="A546" s="1"/>
      <c r="B546" s="1"/>
      <c r="C546" s="1"/>
      <c r="D546" s="1"/>
      <c r="E546" s="1"/>
      <c r="F546" s="1"/>
      <c r="G546" s="33"/>
      <c r="H546" s="1"/>
      <c r="I546" s="33"/>
    </row>
    <row r="547" spans="1:9" ht="15.75" customHeight="1">
      <c r="A547" s="1"/>
      <c r="B547" s="1"/>
      <c r="C547" s="1"/>
      <c r="D547" s="1"/>
      <c r="E547" s="1"/>
      <c r="F547" s="1"/>
      <c r="G547" s="33"/>
      <c r="H547" s="1"/>
      <c r="I547" s="33"/>
    </row>
    <row r="548" spans="1:9" ht="15.75" customHeight="1">
      <c r="A548" s="1"/>
      <c r="B548" s="1"/>
      <c r="C548" s="1"/>
      <c r="D548" s="1"/>
      <c r="E548" s="1"/>
      <c r="F548" s="1"/>
      <c r="G548" s="33"/>
      <c r="H548" s="1"/>
      <c r="I548" s="33"/>
    </row>
    <row r="549" spans="1:9" ht="15.75" customHeight="1">
      <c r="A549" s="1"/>
      <c r="B549" s="1"/>
      <c r="C549" s="1"/>
      <c r="D549" s="1"/>
      <c r="E549" s="1"/>
      <c r="F549" s="1"/>
      <c r="G549" s="33"/>
      <c r="H549" s="1"/>
      <c r="I549" s="33"/>
    </row>
    <row r="550" spans="1:9" ht="15.75" customHeight="1">
      <c r="A550" s="1"/>
      <c r="B550" s="1"/>
      <c r="C550" s="1"/>
      <c r="D550" s="1"/>
      <c r="E550" s="1"/>
      <c r="F550" s="1"/>
      <c r="G550" s="33"/>
      <c r="H550" s="1"/>
      <c r="I550" s="33"/>
    </row>
    <row r="551" spans="1:9" ht="15.75" customHeight="1">
      <c r="A551" s="1"/>
      <c r="B551" s="1"/>
      <c r="C551" s="1"/>
      <c r="D551" s="1"/>
      <c r="E551" s="1"/>
      <c r="F551" s="1"/>
      <c r="G551" s="33"/>
      <c r="H551" s="1"/>
      <c r="I551" s="33"/>
    </row>
    <row r="552" spans="1:9" ht="15.75" customHeight="1">
      <c r="A552" s="1"/>
      <c r="B552" s="1"/>
      <c r="C552" s="1"/>
      <c r="D552" s="1"/>
      <c r="E552" s="1"/>
      <c r="F552" s="1"/>
      <c r="G552" s="33"/>
      <c r="H552" s="1"/>
      <c r="I552" s="33"/>
    </row>
    <row r="553" spans="1:9" ht="15.75" customHeight="1">
      <c r="A553" s="1"/>
      <c r="B553" s="1"/>
      <c r="C553" s="1"/>
      <c r="D553" s="1"/>
      <c r="E553" s="1"/>
      <c r="F553" s="1"/>
      <c r="G553" s="33"/>
      <c r="H553" s="1"/>
      <c r="I553" s="33"/>
    </row>
    <row r="554" spans="1:9" ht="15.75" customHeight="1">
      <c r="A554" s="1"/>
      <c r="B554" s="1"/>
      <c r="C554" s="1"/>
      <c r="D554" s="1"/>
      <c r="E554" s="1"/>
      <c r="F554" s="1"/>
      <c r="G554" s="33"/>
      <c r="H554" s="1"/>
      <c r="I554" s="33"/>
    </row>
    <row r="555" spans="1:9" ht="15.75" customHeight="1">
      <c r="A555" s="1"/>
      <c r="B555" s="1"/>
      <c r="C555" s="1"/>
      <c r="D555" s="1"/>
      <c r="E555" s="1"/>
      <c r="F555" s="1"/>
      <c r="G555" s="33"/>
      <c r="H555" s="1"/>
      <c r="I555" s="33"/>
    </row>
    <row r="556" spans="1:9" ht="15.75" customHeight="1">
      <c r="A556" s="1"/>
      <c r="B556" s="1"/>
      <c r="C556" s="1"/>
      <c r="D556" s="1"/>
      <c r="E556" s="1"/>
      <c r="F556" s="1"/>
      <c r="G556" s="33"/>
      <c r="H556" s="1"/>
      <c r="I556" s="33"/>
    </row>
    <row r="557" spans="1:9" ht="15.75" customHeight="1">
      <c r="A557" s="1"/>
      <c r="B557" s="1"/>
      <c r="C557" s="1"/>
      <c r="D557" s="1"/>
      <c r="E557" s="1"/>
      <c r="F557" s="1"/>
      <c r="G557" s="33"/>
      <c r="H557" s="1"/>
      <c r="I557" s="33"/>
    </row>
    <row r="558" spans="1:9" ht="15.75" customHeight="1">
      <c r="A558" s="1"/>
      <c r="B558" s="1"/>
      <c r="C558" s="1"/>
      <c r="D558" s="1"/>
      <c r="E558" s="1"/>
      <c r="F558" s="1"/>
      <c r="G558" s="33"/>
      <c r="H558" s="1"/>
      <c r="I558" s="33"/>
    </row>
    <row r="559" spans="1:9" ht="15.75" customHeight="1">
      <c r="A559" s="1"/>
      <c r="B559" s="1"/>
      <c r="C559" s="1"/>
      <c r="D559" s="1"/>
      <c r="E559" s="1"/>
      <c r="F559" s="1"/>
      <c r="G559" s="33"/>
      <c r="H559" s="1"/>
      <c r="I559" s="33"/>
    </row>
    <row r="560" spans="1:9" ht="15.75" customHeight="1">
      <c r="A560" s="1"/>
      <c r="B560" s="1"/>
      <c r="C560" s="1"/>
      <c r="D560" s="1"/>
      <c r="E560" s="1"/>
      <c r="F560" s="1"/>
      <c r="G560" s="33"/>
      <c r="H560" s="1"/>
      <c r="I560" s="33"/>
    </row>
    <row r="561" spans="1:9" ht="15.75" customHeight="1">
      <c r="A561" s="1"/>
      <c r="B561" s="1"/>
      <c r="C561" s="1"/>
      <c r="D561" s="1"/>
      <c r="E561" s="1"/>
      <c r="F561" s="1"/>
      <c r="G561" s="33"/>
      <c r="H561" s="1"/>
      <c r="I561" s="33"/>
    </row>
    <row r="562" spans="1:9" ht="15.75" customHeight="1">
      <c r="A562" s="1"/>
      <c r="B562" s="1"/>
      <c r="C562" s="1"/>
      <c r="D562" s="1"/>
      <c r="E562" s="1"/>
      <c r="F562" s="1"/>
      <c r="G562" s="33"/>
      <c r="H562" s="1"/>
      <c r="I562" s="33"/>
    </row>
    <row r="563" spans="1:9" ht="15.75" customHeight="1">
      <c r="A563" s="1"/>
      <c r="B563" s="1"/>
      <c r="C563" s="1"/>
      <c r="D563" s="1"/>
      <c r="E563" s="1"/>
      <c r="F563" s="1"/>
      <c r="G563" s="33"/>
      <c r="H563" s="1"/>
      <c r="I563" s="33"/>
    </row>
    <row r="564" spans="1:9" ht="15.75" customHeight="1">
      <c r="A564" s="1"/>
      <c r="B564" s="1"/>
      <c r="C564" s="1"/>
      <c r="D564" s="1"/>
      <c r="E564" s="1"/>
      <c r="F564" s="1"/>
      <c r="G564" s="33"/>
      <c r="H564" s="1"/>
      <c r="I564" s="33"/>
    </row>
    <row r="565" spans="1:9" ht="15.75" customHeight="1">
      <c r="A565" s="1"/>
      <c r="B565" s="1"/>
      <c r="C565" s="1"/>
      <c r="D565" s="1"/>
      <c r="E565" s="1"/>
      <c r="F565" s="1"/>
      <c r="G565" s="33"/>
      <c r="H565" s="1"/>
      <c r="I565" s="33"/>
    </row>
    <row r="566" spans="1:9" ht="15.75" customHeight="1">
      <c r="A566" s="1"/>
      <c r="B566" s="1"/>
      <c r="C566" s="1"/>
      <c r="D566" s="1"/>
      <c r="E566" s="1"/>
      <c r="F566" s="1"/>
      <c r="G566" s="33"/>
      <c r="H566" s="1"/>
      <c r="I566" s="33"/>
    </row>
    <row r="567" spans="1:9" ht="15.75" customHeight="1">
      <c r="A567" s="1"/>
      <c r="B567" s="1"/>
      <c r="C567" s="1"/>
      <c r="D567" s="1"/>
      <c r="E567" s="1"/>
      <c r="F567" s="1"/>
      <c r="G567" s="33"/>
      <c r="H567" s="1"/>
      <c r="I567" s="33"/>
    </row>
    <row r="568" spans="1:9" ht="15.75" customHeight="1">
      <c r="A568" s="1"/>
      <c r="B568" s="1"/>
      <c r="C568" s="1"/>
      <c r="D568" s="1"/>
      <c r="E568" s="1"/>
      <c r="F568" s="1"/>
      <c r="G568" s="33"/>
      <c r="H568" s="1"/>
      <c r="I568" s="33"/>
    </row>
    <row r="569" spans="1:9" ht="15.75" customHeight="1">
      <c r="A569" s="1"/>
      <c r="B569" s="1"/>
      <c r="C569" s="1"/>
      <c r="D569" s="1"/>
      <c r="E569" s="1"/>
      <c r="F569" s="1"/>
      <c r="G569" s="33"/>
      <c r="H569" s="1"/>
      <c r="I569" s="33"/>
    </row>
    <row r="570" spans="1:9" ht="15.75" customHeight="1">
      <c r="A570" s="1"/>
      <c r="B570" s="1"/>
      <c r="C570" s="1"/>
      <c r="D570" s="1"/>
      <c r="E570" s="1"/>
      <c r="F570" s="1"/>
      <c r="G570" s="33"/>
      <c r="H570" s="1"/>
      <c r="I570" s="33"/>
    </row>
    <row r="571" spans="1:9" ht="15.75" customHeight="1">
      <c r="A571" s="1"/>
      <c r="B571" s="1"/>
      <c r="C571" s="1"/>
      <c r="D571" s="1"/>
      <c r="E571" s="1"/>
      <c r="F571" s="1"/>
      <c r="G571" s="33"/>
      <c r="H571" s="1"/>
      <c r="I571" s="33"/>
    </row>
    <row r="572" spans="1:9" ht="15.75" customHeight="1">
      <c r="A572" s="1"/>
      <c r="B572" s="1"/>
      <c r="C572" s="1"/>
      <c r="D572" s="1"/>
      <c r="E572" s="1"/>
      <c r="F572" s="1"/>
      <c r="G572" s="33"/>
      <c r="H572" s="1"/>
      <c r="I572" s="33"/>
    </row>
    <row r="573" spans="1:9" ht="15.75" customHeight="1">
      <c r="A573" s="1"/>
      <c r="B573" s="1"/>
      <c r="C573" s="1"/>
      <c r="D573" s="1"/>
      <c r="E573" s="1"/>
      <c r="F573" s="1"/>
      <c r="G573" s="33"/>
      <c r="H573" s="1"/>
      <c r="I573" s="33"/>
    </row>
    <row r="574" spans="1:9" ht="15.75" customHeight="1">
      <c r="A574" s="1"/>
      <c r="B574" s="1"/>
      <c r="C574" s="1"/>
      <c r="D574" s="1"/>
      <c r="E574" s="1"/>
      <c r="F574" s="1"/>
      <c r="G574" s="33"/>
      <c r="H574" s="1"/>
      <c r="I574" s="33"/>
    </row>
    <row r="575" spans="1:9" ht="15.75" customHeight="1">
      <c r="A575" s="1"/>
      <c r="B575" s="1"/>
      <c r="C575" s="1"/>
      <c r="D575" s="1"/>
      <c r="E575" s="1"/>
      <c r="F575" s="1"/>
      <c r="G575" s="33"/>
      <c r="H575" s="1"/>
      <c r="I575" s="33"/>
    </row>
    <row r="576" spans="1:9" ht="15.75" customHeight="1">
      <c r="A576" s="1"/>
      <c r="B576" s="1"/>
      <c r="C576" s="1"/>
      <c r="D576" s="1"/>
      <c r="E576" s="1"/>
      <c r="F576" s="1"/>
      <c r="G576" s="33"/>
      <c r="H576" s="1"/>
      <c r="I576" s="33"/>
    </row>
    <row r="577" spans="1:9" ht="15.75" customHeight="1">
      <c r="A577" s="1"/>
      <c r="B577" s="1"/>
      <c r="C577" s="1"/>
      <c r="D577" s="1"/>
      <c r="E577" s="1"/>
      <c r="F577" s="1"/>
      <c r="G577" s="33"/>
      <c r="H577" s="1"/>
      <c r="I577" s="33"/>
    </row>
    <row r="578" spans="1:9" ht="15.75" customHeight="1">
      <c r="A578" s="1"/>
      <c r="B578" s="1"/>
      <c r="C578" s="1"/>
      <c r="D578" s="1"/>
      <c r="E578" s="1"/>
      <c r="F578" s="1"/>
      <c r="G578" s="33"/>
      <c r="H578" s="1"/>
      <c r="I578" s="33"/>
    </row>
    <row r="579" spans="1:9" ht="15.75" customHeight="1">
      <c r="A579" s="1"/>
      <c r="B579" s="1"/>
      <c r="C579" s="1"/>
      <c r="D579" s="1"/>
      <c r="E579" s="1"/>
      <c r="F579" s="1"/>
      <c r="G579" s="33"/>
      <c r="H579" s="1"/>
      <c r="I579" s="33"/>
    </row>
    <row r="580" spans="1:9" ht="15.75" customHeight="1">
      <c r="A580" s="1"/>
      <c r="B580" s="1"/>
      <c r="C580" s="1"/>
      <c r="D580" s="1"/>
      <c r="E580" s="1"/>
      <c r="F580" s="1"/>
      <c r="G580" s="33"/>
      <c r="H580" s="1"/>
      <c r="I580" s="33"/>
    </row>
    <row r="581" spans="1:9" ht="15.75" customHeight="1">
      <c r="A581" s="1"/>
      <c r="B581" s="1"/>
      <c r="C581" s="1"/>
      <c r="D581" s="1"/>
      <c r="E581" s="1"/>
      <c r="F581" s="1"/>
      <c r="G581" s="33"/>
      <c r="H581" s="1"/>
      <c r="I581" s="33"/>
    </row>
    <row r="582" spans="1:9" ht="15.75" customHeight="1">
      <c r="A582" s="1"/>
      <c r="B582" s="1"/>
      <c r="C582" s="1"/>
      <c r="D582" s="1"/>
      <c r="E582" s="1"/>
      <c r="F582" s="1"/>
      <c r="G582" s="33"/>
      <c r="H582" s="1"/>
      <c r="I582" s="33"/>
    </row>
    <row r="583" spans="1:9" ht="15.75" customHeight="1">
      <c r="A583" s="1"/>
      <c r="B583" s="1"/>
      <c r="C583" s="1"/>
      <c r="D583" s="1"/>
      <c r="E583" s="1"/>
      <c r="F583" s="1"/>
      <c r="G583" s="33"/>
      <c r="H583" s="1"/>
      <c r="I583" s="33"/>
    </row>
    <row r="584" spans="1:9" ht="15.75" customHeight="1">
      <c r="A584" s="1"/>
      <c r="B584" s="1"/>
      <c r="C584" s="1"/>
      <c r="D584" s="1"/>
      <c r="E584" s="1"/>
      <c r="F584" s="1"/>
      <c r="G584" s="33"/>
      <c r="H584" s="1"/>
      <c r="I584" s="33"/>
    </row>
    <row r="585" spans="1:9" ht="15.75" customHeight="1">
      <c r="A585" s="1"/>
      <c r="B585" s="1"/>
      <c r="C585" s="1"/>
      <c r="D585" s="1"/>
      <c r="E585" s="1"/>
      <c r="F585" s="1"/>
      <c r="G585" s="33"/>
      <c r="H585" s="1"/>
      <c r="I585" s="33"/>
    </row>
    <row r="586" spans="1:9" ht="15.75" customHeight="1">
      <c r="A586" s="1"/>
      <c r="B586" s="1"/>
      <c r="C586" s="1"/>
      <c r="D586" s="1"/>
      <c r="E586" s="1"/>
      <c r="F586" s="1"/>
      <c r="G586" s="33"/>
      <c r="H586" s="1"/>
      <c r="I586" s="33"/>
    </row>
    <row r="587" spans="1:9" ht="15.75" customHeight="1">
      <c r="A587" s="1"/>
      <c r="B587" s="1"/>
      <c r="C587" s="1"/>
      <c r="D587" s="1"/>
      <c r="E587" s="1"/>
      <c r="F587" s="1"/>
      <c r="G587" s="33"/>
      <c r="H587" s="1"/>
      <c r="I587" s="33"/>
    </row>
    <row r="588" spans="1:9" ht="15.75" customHeight="1">
      <c r="A588" s="1"/>
      <c r="B588" s="1"/>
      <c r="C588" s="1"/>
      <c r="D588" s="1"/>
      <c r="E588" s="1"/>
      <c r="F588" s="1"/>
      <c r="G588" s="33"/>
      <c r="H588" s="1"/>
      <c r="I588" s="33"/>
    </row>
    <row r="589" spans="1:9" ht="15.75" customHeight="1">
      <c r="A589" s="1"/>
      <c r="B589" s="1"/>
      <c r="C589" s="1"/>
      <c r="D589" s="1"/>
      <c r="E589" s="1"/>
      <c r="F589" s="1"/>
      <c r="G589" s="33"/>
      <c r="H589" s="1"/>
      <c r="I589" s="33"/>
    </row>
    <row r="590" spans="1:9" ht="15.75" customHeight="1">
      <c r="A590" s="1"/>
      <c r="B590" s="1"/>
      <c r="C590" s="1"/>
      <c r="D590" s="1"/>
      <c r="E590" s="1"/>
      <c r="F590" s="1"/>
      <c r="G590" s="33"/>
      <c r="H590" s="1"/>
      <c r="I590" s="33"/>
    </row>
    <row r="591" spans="1:9" ht="15.75" customHeight="1">
      <c r="A591" s="1"/>
      <c r="B591" s="1"/>
      <c r="C591" s="1"/>
      <c r="D591" s="1"/>
      <c r="E591" s="1"/>
      <c r="F591" s="1"/>
      <c r="G591" s="33"/>
      <c r="H591" s="1"/>
      <c r="I591" s="33"/>
    </row>
    <row r="592" spans="1:9" ht="15.75" customHeight="1">
      <c r="A592" s="1"/>
      <c r="B592" s="1"/>
      <c r="C592" s="1"/>
      <c r="D592" s="1"/>
      <c r="E592" s="1"/>
      <c r="F592" s="1"/>
      <c r="G592" s="33"/>
      <c r="H592" s="1"/>
      <c r="I592" s="33"/>
    </row>
    <row r="593" spans="1:9" ht="15.75" customHeight="1">
      <c r="A593" s="1"/>
      <c r="B593" s="1"/>
      <c r="C593" s="1"/>
      <c r="D593" s="1"/>
      <c r="E593" s="1"/>
      <c r="F593" s="1"/>
      <c r="G593" s="33"/>
      <c r="H593" s="1"/>
      <c r="I593" s="33"/>
    </row>
    <row r="594" spans="1:9" ht="15.75" customHeight="1">
      <c r="A594" s="1"/>
      <c r="B594" s="1"/>
      <c r="C594" s="1"/>
      <c r="D594" s="1"/>
      <c r="E594" s="1"/>
      <c r="F594" s="1"/>
      <c r="G594" s="33"/>
      <c r="H594" s="1"/>
      <c r="I594" s="33"/>
    </row>
    <row r="595" spans="1:9" ht="15.75" customHeight="1">
      <c r="A595" s="1"/>
      <c r="B595" s="1"/>
      <c r="C595" s="1"/>
      <c r="D595" s="1"/>
      <c r="E595" s="1"/>
      <c r="F595" s="1"/>
      <c r="G595" s="33"/>
      <c r="H595" s="1"/>
      <c r="I595" s="33"/>
    </row>
    <row r="596" spans="1:9" ht="15.75" customHeight="1">
      <c r="A596" s="1"/>
      <c r="B596" s="1"/>
      <c r="C596" s="1"/>
      <c r="D596" s="1"/>
      <c r="E596" s="1"/>
      <c r="F596" s="1"/>
      <c r="G596" s="33"/>
      <c r="H596" s="1"/>
      <c r="I596" s="33"/>
    </row>
    <row r="597" spans="1:9" ht="15.75" customHeight="1">
      <c r="A597" s="1"/>
      <c r="B597" s="1"/>
      <c r="C597" s="1"/>
      <c r="D597" s="1"/>
      <c r="E597" s="1"/>
      <c r="F597" s="1"/>
      <c r="G597" s="33"/>
      <c r="H597" s="1"/>
      <c r="I597" s="33"/>
    </row>
    <row r="598" spans="1:9" ht="15.75" customHeight="1">
      <c r="A598" s="1"/>
      <c r="B598" s="1"/>
      <c r="C598" s="1"/>
      <c r="D598" s="1"/>
      <c r="E598" s="1"/>
      <c r="F598" s="1"/>
      <c r="G598" s="33"/>
      <c r="H598" s="1"/>
      <c r="I598" s="33"/>
    </row>
    <row r="599" spans="1:9" ht="15.75" customHeight="1">
      <c r="A599" s="1"/>
      <c r="B599" s="1"/>
      <c r="C599" s="1"/>
      <c r="D599" s="1"/>
      <c r="E599" s="1"/>
      <c r="F599" s="1"/>
      <c r="G599" s="33"/>
      <c r="H599" s="1"/>
      <c r="I599" s="33"/>
    </row>
    <row r="600" spans="1:9" ht="15.75" customHeight="1">
      <c r="A600" s="1"/>
      <c r="B600" s="1"/>
      <c r="C600" s="1"/>
      <c r="D600" s="1"/>
      <c r="E600" s="1"/>
      <c r="F600" s="1"/>
      <c r="G600" s="33"/>
      <c r="H600" s="1"/>
      <c r="I600" s="33"/>
    </row>
    <row r="601" spans="1:9" ht="15.75" customHeight="1">
      <c r="A601" s="1"/>
      <c r="B601" s="1"/>
      <c r="C601" s="1"/>
      <c r="D601" s="1"/>
      <c r="E601" s="1"/>
      <c r="F601" s="1"/>
      <c r="G601" s="33"/>
      <c r="H601" s="1"/>
      <c r="I601" s="33"/>
    </row>
    <row r="602" spans="1:9" ht="15.75" customHeight="1">
      <c r="A602" s="1"/>
      <c r="B602" s="1"/>
      <c r="C602" s="1"/>
      <c r="D602" s="1"/>
      <c r="E602" s="1"/>
      <c r="F602" s="1"/>
      <c r="G602" s="33"/>
      <c r="H602" s="1"/>
      <c r="I602" s="33"/>
    </row>
    <row r="603" spans="1:9" ht="15.75" customHeight="1">
      <c r="A603" s="1"/>
      <c r="B603" s="1"/>
      <c r="C603" s="1"/>
      <c r="D603" s="1"/>
      <c r="E603" s="1"/>
      <c r="F603" s="1"/>
      <c r="G603" s="33"/>
      <c r="H603" s="1"/>
      <c r="I603" s="33"/>
    </row>
    <row r="604" spans="1:9" ht="15.75" customHeight="1">
      <c r="A604" s="1"/>
      <c r="B604" s="1"/>
      <c r="C604" s="1"/>
      <c r="D604" s="1"/>
      <c r="E604" s="1"/>
      <c r="F604" s="1"/>
      <c r="G604" s="33"/>
      <c r="H604" s="1"/>
      <c r="I604" s="33"/>
    </row>
    <row r="605" spans="1:9" ht="15.75" customHeight="1">
      <c r="A605" s="1"/>
      <c r="B605" s="1"/>
      <c r="C605" s="1"/>
      <c r="D605" s="1"/>
      <c r="E605" s="1"/>
      <c r="F605" s="1"/>
      <c r="G605" s="33"/>
      <c r="H605" s="1"/>
      <c r="I605" s="33"/>
    </row>
    <row r="606" spans="1:9" ht="15.75" customHeight="1">
      <c r="A606" s="1"/>
      <c r="B606" s="1"/>
      <c r="C606" s="1"/>
      <c r="D606" s="1"/>
      <c r="E606" s="1"/>
      <c r="F606" s="1"/>
      <c r="G606" s="33"/>
      <c r="H606" s="1"/>
      <c r="I606" s="33"/>
    </row>
    <row r="607" spans="1:9" ht="15.75" customHeight="1">
      <c r="A607" s="1"/>
      <c r="B607" s="1"/>
      <c r="C607" s="1"/>
      <c r="D607" s="1"/>
      <c r="E607" s="1"/>
      <c r="F607" s="1"/>
      <c r="G607" s="33"/>
      <c r="H607" s="1"/>
      <c r="I607" s="33"/>
    </row>
    <row r="608" spans="1:9" ht="15.75" customHeight="1">
      <c r="A608" s="1"/>
      <c r="B608" s="1"/>
      <c r="C608" s="1"/>
      <c r="D608" s="1"/>
      <c r="E608" s="1"/>
      <c r="F608" s="1"/>
      <c r="G608" s="33"/>
      <c r="H608" s="1"/>
      <c r="I608" s="33"/>
    </row>
    <row r="609" spans="1:9" ht="15.75" customHeight="1">
      <c r="A609" s="1"/>
      <c r="B609" s="1"/>
      <c r="C609" s="1"/>
      <c r="D609" s="1"/>
      <c r="E609" s="1"/>
      <c r="F609" s="1"/>
      <c r="G609" s="33"/>
      <c r="H609" s="1"/>
      <c r="I609" s="33"/>
    </row>
    <row r="610" spans="1:9" ht="15.75" customHeight="1">
      <c r="A610" s="1"/>
      <c r="B610" s="1"/>
      <c r="C610" s="1"/>
      <c r="D610" s="1"/>
      <c r="E610" s="1"/>
      <c r="F610" s="1"/>
      <c r="G610" s="33"/>
      <c r="H610" s="1"/>
      <c r="I610" s="33"/>
    </row>
    <row r="611" spans="1:9" ht="15.75" customHeight="1">
      <c r="A611" s="1"/>
      <c r="B611" s="1"/>
      <c r="C611" s="1"/>
      <c r="D611" s="1"/>
      <c r="E611" s="1"/>
      <c r="F611" s="1"/>
      <c r="G611" s="33"/>
      <c r="H611" s="1"/>
      <c r="I611" s="33"/>
    </row>
    <row r="612" spans="1:9" ht="15.75" customHeight="1">
      <c r="A612" s="1"/>
      <c r="B612" s="1"/>
      <c r="C612" s="1"/>
      <c r="D612" s="1"/>
      <c r="E612" s="1"/>
      <c r="F612" s="1"/>
      <c r="G612" s="33"/>
      <c r="H612" s="1"/>
      <c r="I612" s="33"/>
    </row>
    <row r="613" spans="1:9" ht="15.75" customHeight="1">
      <c r="A613" s="1"/>
      <c r="B613" s="1"/>
      <c r="C613" s="1"/>
      <c r="D613" s="1"/>
      <c r="E613" s="1"/>
      <c r="F613" s="1"/>
      <c r="G613" s="33"/>
      <c r="H613" s="1"/>
      <c r="I613" s="33"/>
    </row>
    <row r="614" spans="1:9" ht="15.75" customHeight="1">
      <c r="A614" s="1"/>
      <c r="B614" s="1"/>
      <c r="C614" s="1"/>
      <c r="D614" s="1"/>
      <c r="E614" s="1"/>
      <c r="F614" s="1"/>
      <c r="G614" s="33"/>
      <c r="H614" s="1"/>
      <c r="I614" s="33"/>
    </row>
    <row r="615" spans="1:9" ht="15.75" customHeight="1">
      <c r="A615" s="1"/>
      <c r="B615" s="1"/>
      <c r="C615" s="1"/>
      <c r="D615" s="1"/>
      <c r="E615" s="1"/>
      <c r="F615" s="1"/>
      <c r="G615" s="33"/>
      <c r="H615" s="1"/>
      <c r="I615" s="33"/>
    </row>
    <row r="616" spans="1:9" ht="15.75" customHeight="1">
      <c r="A616" s="1"/>
      <c r="B616" s="1"/>
      <c r="C616" s="1"/>
      <c r="D616" s="1"/>
      <c r="E616" s="1"/>
      <c r="F616" s="1"/>
      <c r="G616" s="33"/>
      <c r="H616" s="1"/>
      <c r="I616" s="33"/>
    </row>
    <row r="617" spans="1:9" ht="15.75" customHeight="1">
      <c r="A617" s="1"/>
      <c r="B617" s="1"/>
      <c r="C617" s="1"/>
      <c r="D617" s="1"/>
      <c r="E617" s="1"/>
      <c r="F617" s="1"/>
      <c r="G617" s="33"/>
      <c r="H617" s="1"/>
      <c r="I617" s="33"/>
    </row>
    <row r="618" spans="1:9" ht="15.75" customHeight="1">
      <c r="A618" s="1"/>
      <c r="B618" s="1"/>
      <c r="C618" s="1"/>
      <c r="D618" s="1"/>
      <c r="E618" s="1"/>
      <c r="F618" s="1"/>
      <c r="G618" s="33"/>
      <c r="H618" s="1"/>
      <c r="I618" s="33"/>
    </row>
    <row r="619" spans="1:9" ht="15.75" customHeight="1">
      <c r="A619" s="1"/>
      <c r="B619" s="1"/>
      <c r="C619" s="1"/>
      <c r="D619" s="1"/>
      <c r="E619" s="1"/>
      <c r="F619" s="1"/>
      <c r="G619" s="33"/>
      <c r="H619" s="1"/>
      <c r="I619" s="33"/>
    </row>
    <row r="620" spans="1:9" ht="15.75" customHeight="1">
      <c r="A620" s="1"/>
      <c r="B620" s="1"/>
      <c r="C620" s="1"/>
      <c r="D620" s="1"/>
      <c r="E620" s="1"/>
      <c r="F620" s="1"/>
      <c r="G620" s="33"/>
      <c r="H620" s="1"/>
      <c r="I620" s="33"/>
    </row>
    <row r="621" spans="1:9" ht="15.75" customHeight="1">
      <c r="A621" s="1"/>
      <c r="B621" s="1"/>
      <c r="C621" s="1"/>
      <c r="D621" s="1"/>
      <c r="E621" s="1"/>
      <c r="F621" s="1"/>
      <c r="G621" s="33"/>
      <c r="H621" s="1"/>
      <c r="I621" s="33"/>
    </row>
    <row r="622" spans="1:9" ht="15.75" customHeight="1">
      <c r="A622" s="1"/>
      <c r="B622" s="1"/>
      <c r="C622" s="1"/>
      <c r="D622" s="1"/>
      <c r="E622" s="1"/>
      <c r="F622" s="1"/>
      <c r="G622" s="33"/>
      <c r="H622" s="1"/>
      <c r="I622" s="33"/>
    </row>
    <row r="623" spans="1:9" ht="15.75" customHeight="1">
      <c r="A623" s="1"/>
      <c r="B623" s="1"/>
      <c r="C623" s="1"/>
      <c r="D623" s="1"/>
      <c r="E623" s="1"/>
      <c r="F623" s="1"/>
      <c r="G623" s="33"/>
      <c r="H623" s="1"/>
      <c r="I623" s="33"/>
    </row>
    <row r="624" spans="1:9" ht="15.75" customHeight="1">
      <c r="A624" s="1"/>
      <c r="B624" s="1"/>
      <c r="C624" s="1"/>
      <c r="D624" s="1"/>
      <c r="E624" s="1"/>
      <c r="F624" s="1"/>
      <c r="G624" s="33"/>
      <c r="H624" s="1"/>
      <c r="I624" s="33"/>
    </row>
    <row r="625" spans="1:9" ht="15.75" customHeight="1">
      <c r="A625" s="1"/>
      <c r="B625" s="1"/>
      <c r="C625" s="1"/>
      <c r="D625" s="1"/>
      <c r="E625" s="1"/>
      <c r="F625" s="1"/>
      <c r="G625" s="33"/>
      <c r="H625" s="1"/>
      <c r="I625" s="33"/>
    </row>
    <row r="626" spans="1:9" ht="15.75" customHeight="1">
      <c r="A626" s="1"/>
      <c r="B626" s="1"/>
      <c r="C626" s="1"/>
      <c r="D626" s="1"/>
      <c r="E626" s="1"/>
      <c r="F626" s="1"/>
      <c r="G626" s="33"/>
      <c r="H626" s="1"/>
      <c r="I626" s="33"/>
    </row>
    <row r="627" spans="1:9" ht="15.75" customHeight="1">
      <c r="A627" s="1"/>
      <c r="B627" s="1"/>
      <c r="C627" s="1"/>
      <c r="D627" s="1"/>
      <c r="E627" s="1"/>
      <c r="F627" s="1"/>
      <c r="G627" s="33"/>
      <c r="H627" s="1"/>
      <c r="I627" s="33"/>
    </row>
    <row r="628" spans="1:9" ht="15.75" customHeight="1">
      <c r="A628" s="1"/>
      <c r="B628" s="1"/>
      <c r="C628" s="1"/>
      <c r="D628" s="1"/>
      <c r="E628" s="1"/>
      <c r="F628" s="1"/>
      <c r="G628" s="33"/>
      <c r="H628" s="1"/>
      <c r="I628" s="33"/>
    </row>
    <row r="629" spans="1:9" ht="15.75" customHeight="1">
      <c r="A629" s="1"/>
      <c r="B629" s="1"/>
      <c r="C629" s="1"/>
      <c r="D629" s="1"/>
      <c r="E629" s="1"/>
      <c r="F629" s="1"/>
      <c r="G629" s="33"/>
      <c r="H629" s="1"/>
      <c r="I629" s="33"/>
    </row>
    <row r="630" spans="1:9" ht="15.75" customHeight="1">
      <c r="A630" s="1"/>
      <c r="B630" s="1"/>
      <c r="C630" s="1"/>
      <c r="D630" s="1"/>
      <c r="E630" s="1"/>
      <c r="F630" s="1"/>
      <c r="G630" s="33"/>
      <c r="H630" s="1"/>
      <c r="I630" s="33"/>
    </row>
    <row r="631" spans="1:9" ht="15.75" customHeight="1">
      <c r="A631" s="1"/>
      <c r="B631" s="1"/>
      <c r="C631" s="1"/>
      <c r="D631" s="1"/>
      <c r="E631" s="1"/>
      <c r="F631" s="1"/>
      <c r="G631" s="33"/>
      <c r="H631" s="1"/>
      <c r="I631" s="33"/>
    </row>
    <row r="632" spans="1:9" ht="15.75" customHeight="1">
      <c r="A632" s="1"/>
      <c r="B632" s="1"/>
      <c r="C632" s="1"/>
      <c r="D632" s="1"/>
      <c r="E632" s="1"/>
      <c r="F632" s="1"/>
      <c r="G632" s="33"/>
      <c r="H632" s="1"/>
      <c r="I632" s="33"/>
    </row>
    <row r="633" spans="1:9" ht="15.75" customHeight="1">
      <c r="A633" s="1"/>
      <c r="B633" s="1"/>
      <c r="C633" s="1"/>
      <c r="D633" s="1"/>
      <c r="E633" s="1"/>
      <c r="F633" s="1"/>
      <c r="G633" s="33"/>
      <c r="H633" s="1"/>
      <c r="I633" s="33"/>
    </row>
    <row r="634" spans="1:9" ht="15.75" customHeight="1">
      <c r="A634" s="1"/>
      <c r="B634" s="1"/>
      <c r="C634" s="1"/>
      <c r="D634" s="1"/>
      <c r="E634" s="1"/>
      <c r="F634" s="1"/>
      <c r="G634" s="33"/>
      <c r="H634" s="1"/>
      <c r="I634" s="33"/>
    </row>
    <row r="635" spans="1:9" ht="15.75" customHeight="1">
      <c r="A635" s="1"/>
      <c r="B635" s="1"/>
      <c r="C635" s="1"/>
      <c r="D635" s="1"/>
      <c r="E635" s="1"/>
      <c r="F635" s="1"/>
      <c r="G635" s="33"/>
      <c r="H635" s="1"/>
      <c r="I635" s="33"/>
    </row>
    <row r="636" spans="1:9" ht="15.75" customHeight="1">
      <c r="A636" s="1"/>
      <c r="B636" s="1"/>
      <c r="C636" s="1"/>
      <c r="D636" s="1"/>
      <c r="E636" s="1"/>
      <c r="F636" s="1"/>
      <c r="G636" s="33"/>
      <c r="H636" s="1"/>
      <c r="I636" s="33"/>
    </row>
    <row r="637" spans="1:9" ht="15.75" customHeight="1">
      <c r="A637" s="1"/>
      <c r="B637" s="1"/>
      <c r="C637" s="1"/>
      <c r="D637" s="1"/>
      <c r="E637" s="1"/>
      <c r="F637" s="1"/>
      <c r="G637" s="33"/>
      <c r="H637" s="1"/>
      <c r="I637" s="33"/>
    </row>
    <row r="638" spans="1:9" ht="15.75" customHeight="1">
      <c r="A638" s="1"/>
      <c r="B638" s="1"/>
      <c r="C638" s="1"/>
      <c r="D638" s="1"/>
      <c r="E638" s="1"/>
      <c r="F638" s="1"/>
      <c r="G638" s="33"/>
      <c r="H638" s="1"/>
      <c r="I638" s="33"/>
    </row>
    <row r="639" spans="1:9" ht="15.75" customHeight="1">
      <c r="A639" s="1"/>
      <c r="B639" s="1"/>
      <c r="C639" s="1"/>
      <c r="D639" s="1"/>
      <c r="E639" s="1"/>
      <c r="F639" s="1"/>
      <c r="G639" s="33"/>
      <c r="H639" s="1"/>
      <c r="I639" s="33"/>
    </row>
    <row r="640" spans="1:9" ht="15.75" customHeight="1">
      <c r="A640" s="1"/>
      <c r="B640" s="1"/>
      <c r="C640" s="1"/>
      <c r="D640" s="1"/>
      <c r="E640" s="1"/>
      <c r="F640" s="1"/>
      <c r="G640" s="33"/>
      <c r="H640" s="1"/>
      <c r="I640" s="33"/>
    </row>
    <row r="641" spans="1:9" ht="15.75" customHeight="1">
      <c r="A641" s="1"/>
      <c r="B641" s="1"/>
      <c r="C641" s="1"/>
      <c r="D641" s="1"/>
      <c r="E641" s="1"/>
      <c r="F641" s="1"/>
      <c r="G641" s="33"/>
      <c r="H641" s="1"/>
      <c r="I641" s="33"/>
    </row>
    <row r="642" spans="1:9" ht="15.75" customHeight="1">
      <c r="A642" s="1"/>
      <c r="B642" s="1"/>
      <c r="C642" s="1"/>
      <c r="D642" s="1"/>
      <c r="E642" s="1"/>
      <c r="F642" s="1"/>
      <c r="G642" s="33"/>
      <c r="H642" s="1"/>
      <c r="I642" s="33"/>
    </row>
    <row r="643" spans="1:9" ht="15.75" customHeight="1">
      <c r="A643" s="1"/>
      <c r="B643" s="1"/>
      <c r="C643" s="1"/>
      <c r="D643" s="1"/>
      <c r="E643" s="1"/>
      <c r="F643" s="1"/>
      <c r="G643" s="33"/>
      <c r="H643" s="1"/>
      <c r="I643" s="33"/>
    </row>
    <row r="644" spans="1:9" ht="15.75" customHeight="1">
      <c r="A644" s="1"/>
      <c r="B644" s="1"/>
      <c r="C644" s="1"/>
      <c r="D644" s="1"/>
      <c r="E644" s="1"/>
      <c r="F644" s="1"/>
      <c r="G644" s="33"/>
      <c r="H644" s="1"/>
      <c r="I644" s="33"/>
    </row>
    <row r="645" spans="1:9" ht="15.75" customHeight="1">
      <c r="A645" s="1"/>
      <c r="B645" s="1"/>
      <c r="C645" s="1"/>
      <c r="D645" s="1"/>
      <c r="E645" s="1"/>
      <c r="F645" s="1"/>
      <c r="G645" s="33"/>
      <c r="H645" s="1"/>
      <c r="I645" s="33"/>
    </row>
    <row r="646" spans="1:9" ht="15.75" customHeight="1">
      <c r="A646" s="1"/>
      <c r="B646" s="1"/>
      <c r="C646" s="1"/>
      <c r="D646" s="1"/>
      <c r="E646" s="1"/>
      <c r="F646" s="1"/>
      <c r="G646" s="33"/>
      <c r="H646" s="1"/>
      <c r="I646" s="33"/>
    </row>
    <row r="647" spans="1:9" ht="15.75" customHeight="1">
      <c r="A647" s="1"/>
      <c r="B647" s="1"/>
      <c r="C647" s="1"/>
      <c r="D647" s="1"/>
      <c r="E647" s="1"/>
      <c r="F647" s="1"/>
      <c r="G647" s="33"/>
      <c r="H647" s="1"/>
      <c r="I647" s="33"/>
    </row>
    <row r="648" spans="1:9" ht="15.75" customHeight="1">
      <c r="A648" s="1"/>
      <c r="B648" s="1"/>
      <c r="C648" s="1"/>
      <c r="D648" s="1"/>
      <c r="E648" s="1"/>
      <c r="F648" s="1"/>
      <c r="G648" s="33"/>
      <c r="H648" s="1"/>
      <c r="I648" s="33"/>
    </row>
    <row r="649" spans="1:9" ht="15.75" customHeight="1">
      <c r="A649" s="1"/>
      <c r="B649" s="1"/>
      <c r="C649" s="1"/>
      <c r="D649" s="1"/>
      <c r="E649" s="1"/>
      <c r="F649" s="1"/>
      <c r="G649" s="33"/>
      <c r="H649" s="1"/>
      <c r="I649" s="33"/>
    </row>
    <row r="650" spans="1:9" ht="15.75" customHeight="1">
      <c r="A650" s="1"/>
      <c r="B650" s="1"/>
      <c r="C650" s="1"/>
      <c r="D650" s="1"/>
      <c r="E650" s="1"/>
      <c r="F650" s="1"/>
      <c r="G650" s="33"/>
      <c r="H650" s="1"/>
      <c r="I650" s="33"/>
    </row>
    <row r="651" spans="1:9" ht="15.75" customHeight="1">
      <c r="A651" s="1"/>
      <c r="B651" s="1"/>
      <c r="C651" s="1"/>
      <c r="D651" s="1"/>
      <c r="E651" s="1"/>
      <c r="F651" s="1"/>
      <c r="G651" s="33"/>
      <c r="H651" s="1"/>
      <c r="I651" s="33"/>
    </row>
    <row r="652" spans="1:9" ht="15.75" customHeight="1">
      <c r="A652" s="1"/>
      <c r="B652" s="1"/>
      <c r="C652" s="1"/>
      <c r="D652" s="1"/>
      <c r="E652" s="1"/>
      <c r="F652" s="1"/>
      <c r="G652" s="33"/>
      <c r="H652" s="1"/>
      <c r="I652" s="33"/>
    </row>
    <row r="653" spans="1:9" ht="15.75" customHeight="1">
      <c r="A653" s="1"/>
      <c r="B653" s="1"/>
      <c r="C653" s="1"/>
      <c r="D653" s="1"/>
      <c r="E653" s="1"/>
      <c r="F653" s="1"/>
      <c r="G653" s="33"/>
      <c r="H653" s="1"/>
      <c r="I653" s="33"/>
    </row>
    <row r="654" spans="1:9" ht="15.75" customHeight="1">
      <c r="A654" s="1"/>
      <c r="B654" s="1"/>
      <c r="C654" s="1"/>
      <c r="D654" s="1"/>
      <c r="E654" s="1"/>
      <c r="F654" s="1"/>
      <c r="G654" s="33"/>
      <c r="H654" s="1"/>
      <c r="I654" s="33"/>
    </row>
    <row r="655" spans="1:9" ht="15.75" customHeight="1">
      <c r="A655" s="1"/>
      <c r="B655" s="1"/>
      <c r="C655" s="1"/>
      <c r="D655" s="1"/>
      <c r="E655" s="1"/>
      <c r="F655" s="1"/>
      <c r="G655" s="33"/>
      <c r="H655" s="1"/>
      <c r="I655" s="33"/>
    </row>
    <row r="656" spans="1:9" ht="15.75" customHeight="1">
      <c r="A656" s="1"/>
      <c r="B656" s="1"/>
      <c r="C656" s="1"/>
      <c r="D656" s="1"/>
      <c r="E656" s="1"/>
      <c r="F656" s="1"/>
      <c r="G656" s="33"/>
      <c r="H656" s="1"/>
      <c r="I656" s="33"/>
    </row>
    <row r="657" spans="1:9" ht="15.75" customHeight="1">
      <c r="A657" s="1"/>
      <c r="B657" s="1"/>
      <c r="C657" s="1"/>
      <c r="D657" s="1"/>
      <c r="E657" s="1"/>
      <c r="F657" s="1"/>
      <c r="G657" s="33"/>
      <c r="H657" s="1"/>
      <c r="I657" s="33"/>
    </row>
    <row r="658" spans="1:9" ht="15.75" customHeight="1">
      <c r="A658" s="1"/>
      <c r="B658" s="1"/>
      <c r="C658" s="1"/>
      <c r="D658" s="1"/>
      <c r="E658" s="1"/>
      <c r="F658" s="1"/>
      <c r="G658" s="33"/>
      <c r="H658" s="1"/>
      <c r="I658" s="33"/>
    </row>
    <row r="659" spans="1:9" ht="15.75" customHeight="1">
      <c r="A659" s="1"/>
      <c r="B659" s="1"/>
      <c r="C659" s="1"/>
      <c r="D659" s="1"/>
      <c r="E659" s="1"/>
      <c r="F659" s="1"/>
      <c r="G659" s="33"/>
      <c r="H659" s="1"/>
      <c r="I659" s="33"/>
    </row>
    <row r="660" spans="1:9" ht="15.75" customHeight="1">
      <c r="A660" s="1"/>
      <c r="B660" s="1"/>
      <c r="C660" s="1"/>
      <c r="D660" s="1"/>
      <c r="E660" s="1"/>
      <c r="F660" s="1"/>
      <c r="G660" s="33"/>
      <c r="H660" s="1"/>
      <c r="I660" s="33"/>
    </row>
    <row r="661" spans="1:9" ht="15.75" customHeight="1">
      <c r="A661" s="1"/>
      <c r="B661" s="1"/>
      <c r="C661" s="1"/>
      <c r="D661" s="1"/>
      <c r="E661" s="1"/>
      <c r="F661" s="1"/>
      <c r="G661" s="33"/>
      <c r="H661" s="1"/>
      <c r="I661" s="33"/>
    </row>
    <row r="662" spans="1:9" ht="15.75" customHeight="1">
      <c r="A662" s="1"/>
      <c r="B662" s="1"/>
      <c r="C662" s="1"/>
      <c r="D662" s="1"/>
      <c r="E662" s="1"/>
      <c r="F662" s="1"/>
      <c r="G662" s="33"/>
      <c r="H662" s="1"/>
      <c r="I662" s="33"/>
    </row>
    <row r="663" spans="1:9" ht="15.75" customHeight="1">
      <c r="A663" s="1"/>
      <c r="B663" s="1"/>
      <c r="C663" s="1"/>
      <c r="D663" s="1"/>
      <c r="E663" s="1"/>
      <c r="F663" s="1"/>
      <c r="G663" s="33"/>
      <c r="H663" s="1"/>
      <c r="I663" s="33"/>
    </row>
    <row r="664" spans="1:9" ht="15.75" customHeight="1">
      <c r="A664" s="1"/>
      <c r="B664" s="1"/>
      <c r="C664" s="1"/>
      <c r="D664" s="1"/>
      <c r="E664" s="1"/>
      <c r="F664" s="1"/>
      <c r="G664" s="33"/>
      <c r="H664" s="1"/>
      <c r="I664" s="33"/>
    </row>
    <row r="665" spans="1:9" ht="15.75" customHeight="1">
      <c r="A665" s="1"/>
      <c r="B665" s="1"/>
      <c r="C665" s="1"/>
      <c r="D665" s="1"/>
      <c r="E665" s="1"/>
      <c r="F665" s="1"/>
      <c r="G665" s="33"/>
      <c r="H665" s="1"/>
      <c r="I665" s="33"/>
    </row>
    <row r="666" spans="1:9" ht="15.75" customHeight="1">
      <c r="A666" s="1"/>
      <c r="B666" s="1"/>
      <c r="C666" s="1"/>
      <c r="D666" s="1"/>
      <c r="E666" s="1"/>
      <c r="F666" s="1"/>
      <c r="G666" s="33"/>
      <c r="H666" s="1"/>
      <c r="I666" s="33"/>
    </row>
    <row r="667" spans="1:9" ht="15.75" customHeight="1">
      <c r="A667" s="1"/>
      <c r="B667" s="1"/>
      <c r="C667" s="1"/>
      <c r="D667" s="1"/>
      <c r="E667" s="1"/>
      <c r="F667" s="1"/>
      <c r="G667" s="33"/>
      <c r="H667" s="1"/>
      <c r="I667" s="33"/>
    </row>
    <row r="668" spans="1:9" ht="15.75" customHeight="1">
      <c r="A668" s="1"/>
      <c r="B668" s="1"/>
      <c r="C668" s="1"/>
      <c r="D668" s="1"/>
      <c r="E668" s="1"/>
      <c r="F668" s="1"/>
      <c r="G668" s="33"/>
      <c r="H668" s="1"/>
      <c r="I668" s="33"/>
    </row>
    <row r="669" spans="1:9" ht="15.75" customHeight="1">
      <c r="A669" s="1"/>
      <c r="B669" s="1"/>
      <c r="C669" s="1"/>
      <c r="D669" s="1"/>
      <c r="E669" s="1"/>
      <c r="F669" s="1"/>
      <c r="G669" s="33"/>
      <c r="H669" s="1"/>
      <c r="I669" s="33"/>
    </row>
    <row r="670" spans="1:9" ht="15.75" customHeight="1">
      <c r="A670" s="1"/>
      <c r="B670" s="1"/>
      <c r="C670" s="1"/>
      <c r="D670" s="1"/>
      <c r="E670" s="1"/>
      <c r="F670" s="1"/>
      <c r="G670" s="33"/>
      <c r="H670" s="1"/>
      <c r="I670" s="33"/>
    </row>
    <row r="671" spans="1:9" ht="15.75" customHeight="1">
      <c r="A671" s="1"/>
      <c r="B671" s="1"/>
      <c r="C671" s="1"/>
      <c r="D671" s="1"/>
      <c r="E671" s="1"/>
      <c r="F671" s="1"/>
      <c r="G671" s="33"/>
      <c r="H671" s="1"/>
      <c r="I671" s="33"/>
    </row>
    <row r="672" spans="1:9" ht="15.75" customHeight="1">
      <c r="A672" s="1"/>
      <c r="B672" s="1"/>
      <c r="C672" s="1"/>
      <c r="D672" s="1"/>
      <c r="E672" s="1"/>
      <c r="F672" s="1"/>
      <c r="G672" s="33"/>
      <c r="H672" s="1"/>
      <c r="I672" s="33"/>
    </row>
    <row r="673" spans="1:9" ht="15.75" customHeight="1">
      <c r="A673" s="1"/>
      <c r="B673" s="1"/>
      <c r="C673" s="1"/>
      <c r="D673" s="1"/>
      <c r="E673" s="1"/>
      <c r="F673" s="1"/>
      <c r="G673" s="33"/>
      <c r="H673" s="1"/>
      <c r="I673" s="33"/>
    </row>
    <row r="674" spans="1:9" ht="15.75" customHeight="1">
      <c r="A674" s="1"/>
      <c r="B674" s="1"/>
      <c r="C674" s="1"/>
      <c r="D674" s="1"/>
      <c r="E674" s="1"/>
      <c r="F674" s="1"/>
      <c r="G674" s="33"/>
      <c r="H674" s="1"/>
      <c r="I674" s="33"/>
    </row>
    <row r="675" spans="1:9" ht="15.75" customHeight="1">
      <c r="A675" s="1"/>
      <c r="B675" s="1"/>
      <c r="C675" s="1"/>
      <c r="D675" s="1"/>
      <c r="E675" s="1"/>
      <c r="F675" s="1"/>
      <c r="G675" s="33"/>
      <c r="H675" s="1"/>
      <c r="I675" s="33"/>
    </row>
    <row r="676" spans="1:9" ht="15.75" customHeight="1">
      <c r="A676" s="1"/>
      <c r="B676" s="1"/>
      <c r="C676" s="1"/>
      <c r="D676" s="1"/>
      <c r="E676" s="1"/>
      <c r="F676" s="1"/>
      <c r="G676" s="33"/>
      <c r="H676" s="1"/>
      <c r="I676" s="33"/>
    </row>
    <row r="677" spans="1:9" ht="15.75" customHeight="1">
      <c r="A677" s="1"/>
      <c r="B677" s="1"/>
      <c r="C677" s="1"/>
      <c r="D677" s="1"/>
      <c r="E677" s="1"/>
      <c r="F677" s="1"/>
      <c r="G677" s="33"/>
      <c r="H677" s="1"/>
      <c r="I677" s="33"/>
    </row>
    <row r="678" spans="1:9" ht="15.75" customHeight="1">
      <c r="A678" s="1"/>
      <c r="B678" s="1"/>
      <c r="C678" s="1"/>
      <c r="D678" s="1"/>
      <c r="E678" s="1"/>
      <c r="F678" s="1"/>
      <c r="G678" s="33"/>
      <c r="H678" s="1"/>
      <c r="I678" s="33"/>
    </row>
    <row r="679" spans="1:9" ht="15.75" customHeight="1">
      <c r="A679" s="1"/>
      <c r="B679" s="1"/>
      <c r="C679" s="1"/>
      <c r="D679" s="1"/>
      <c r="E679" s="1"/>
      <c r="F679" s="1"/>
      <c r="G679" s="33"/>
      <c r="H679" s="1"/>
      <c r="I679" s="33"/>
    </row>
    <row r="680" spans="1:9" ht="15.75" customHeight="1">
      <c r="A680" s="1"/>
      <c r="B680" s="1"/>
      <c r="C680" s="1"/>
      <c r="D680" s="1"/>
      <c r="E680" s="1"/>
      <c r="F680" s="1"/>
      <c r="G680" s="33"/>
      <c r="H680" s="1"/>
      <c r="I680" s="33"/>
    </row>
    <row r="681" spans="1:9" ht="15.75" customHeight="1">
      <c r="A681" s="1"/>
      <c r="B681" s="1"/>
      <c r="C681" s="1"/>
      <c r="D681" s="1"/>
      <c r="E681" s="1"/>
      <c r="F681" s="1"/>
      <c r="G681" s="33"/>
      <c r="H681" s="1"/>
      <c r="I681" s="33"/>
    </row>
    <row r="682" spans="1:9" ht="15.75" customHeight="1">
      <c r="A682" s="1"/>
      <c r="B682" s="1"/>
      <c r="C682" s="1"/>
      <c r="D682" s="1"/>
      <c r="E682" s="1"/>
      <c r="F682" s="1"/>
      <c r="G682" s="33"/>
      <c r="H682" s="1"/>
      <c r="I682" s="33"/>
    </row>
    <row r="683" spans="1:9" ht="15.75" customHeight="1">
      <c r="A683" s="1"/>
      <c r="B683" s="1"/>
      <c r="C683" s="1"/>
      <c r="D683" s="1"/>
      <c r="E683" s="1"/>
      <c r="F683" s="1"/>
      <c r="G683" s="33"/>
      <c r="H683" s="1"/>
      <c r="I683" s="33"/>
    </row>
    <row r="684" spans="1:9" ht="15.75" customHeight="1">
      <c r="A684" s="1"/>
      <c r="B684" s="1"/>
      <c r="C684" s="1"/>
      <c r="D684" s="1"/>
      <c r="E684" s="1"/>
      <c r="F684" s="1"/>
      <c r="G684" s="33"/>
      <c r="H684" s="1"/>
      <c r="I684" s="33"/>
    </row>
    <row r="685" spans="1:9" ht="15.75" customHeight="1">
      <c r="A685" s="1"/>
      <c r="B685" s="1"/>
      <c r="C685" s="1"/>
      <c r="D685" s="1"/>
      <c r="E685" s="1"/>
      <c r="F685" s="1"/>
      <c r="G685" s="33"/>
      <c r="H685" s="1"/>
      <c r="I685" s="33"/>
    </row>
    <row r="686" spans="1:9" ht="15.75" customHeight="1">
      <c r="A686" s="1"/>
      <c r="B686" s="1"/>
      <c r="C686" s="1"/>
      <c r="D686" s="1"/>
      <c r="E686" s="1"/>
      <c r="F686" s="1"/>
      <c r="G686" s="33"/>
      <c r="H686" s="1"/>
      <c r="I686" s="33"/>
    </row>
    <row r="687" spans="1:9" ht="15.75" customHeight="1">
      <c r="A687" s="1"/>
      <c r="B687" s="1"/>
      <c r="C687" s="1"/>
      <c r="D687" s="1"/>
      <c r="E687" s="1"/>
      <c r="F687" s="1"/>
      <c r="G687" s="33"/>
      <c r="H687" s="1"/>
      <c r="I687" s="33"/>
    </row>
    <row r="688" spans="1:9" ht="15.75" customHeight="1">
      <c r="A688" s="1"/>
      <c r="B688" s="1"/>
      <c r="C688" s="1"/>
      <c r="D688" s="1"/>
      <c r="E688" s="1"/>
      <c r="F688" s="1"/>
      <c r="G688" s="33"/>
      <c r="H688" s="1"/>
      <c r="I688" s="33"/>
    </row>
    <row r="689" spans="1:9" ht="15.75" customHeight="1">
      <c r="A689" s="1"/>
      <c r="B689" s="1"/>
      <c r="C689" s="1"/>
      <c r="D689" s="1"/>
      <c r="E689" s="1"/>
      <c r="F689" s="1"/>
      <c r="G689" s="33"/>
      <c r="H689" s="1"/>
      <c r="I689" s="33"/>
    </row>
    <row r="690" spans="1:9" ht="15.75" customHeight="1">
      <c r="A690" s="1"/>
      <c r="B690" s="1"/>
      <c r="C690" s="1"/>
      <c r="D690" s="1"/>
      <c r="E690" s="1"/>
      <c r="F690" s="1"/>
      <c r="G690" s="33"/>
      <c r="H690" s="1"/>
      <c r="I690" s="33"/>
    </row>
    <row r="691" spans="1:9" ht="15.75" customHeight="1">
      <c r="A691" s="1"/>
      <c r="B691" s="1"/>
      <c r="C691" s="1"/>
      <c r="D691" s="1"/>
      <c r="E691" s="1"/>
      <c r="F691" s="1"/>
      <c r="G691" s="33"/>
      <c r="H691" s="1"/>
      <c r="I691" s="33"/>
    </row>
    <row r="692" spans="1:9" ht="15.75" customHeight="1">
      <c r="A692" s="1"/>
      <c r="B692" s="1"/>
      <c r="C692" s="1"/>
      <c r="D692" s="1"/>
      <c r="E692" s="1"/>
      <c r="F692" s="1"/>
      <c r="G692" s="33"/>
      <c r="H692" s="1"/>
      <c r="I692" s="33"/>
    </row>
    <row r="693" spans="1:9" ht="15.75" customHeight="1">
      <c r="A693" s="1"/>
      <c r="B693" s="1"/>
      <c r="C693" s="1"/>
      <c r="D693" s="1"/>
      <c r="E693" s="1"/>
      <c r="F693" s="1"/>
      <c r="G693" s="33"/>
      <c r="H693" s="1"/>
      <c r="I693" s="33"/>
    </row>
    <row r="694" spans="1:9" ht="15.75" customHeight="1">
      <c r="A694" s="1"/>
      <c r="B694" s="1"/>
      <c r="C694" s="1"/>
      <c r="D694" s="1"/>
      <c r="E694" s="1"/>
      <c r="F694" s="1"/>
      <c r="G694" s="33"/>
      <c r="H694" s="1"/>
      <c r="I694" s="33"/>
    </row>
    <row r="695" spans="1:9" ht="15.75" customHeight="1">
      <c r="A695" s="1"/>
      <c r="B695" s="1"/>
      <c r="C695" s="1"/>
      <c r="D695" s="1"/>
      <c r="E695" s="1"/>
      <c r="F695" s="1"/>
      <c r="G695" s="33"/>
      <c r="H695" s="1"/>
      <c r="I695" s="33"/>
    </row>
    <row r="696" spans="1:9" ht="15.75" customHeight="1">
      <c r="A696" s="1"/>
      <c r="B696" s="1"/>
      <c r="C696" s="1"/>
      <c r="D696" s="1"/>
      <c r="E696" s="1"/>
      <c r="F696" s="1"/>
      <c r="G696" s="33"/>
      <c r="H696" s="1"/>
      <c r="I696" s="33"/>
    </row>
    <row r="697" spans="1:9" ht="15.75" customHeight="1">
      <c r="A697" s="1"/>
      <c r="B697" s="1"/>
      <c r="C697" s="1"/>
      <c r="D697" s="1"/>
      <c r="E697" s="1"/>
      <c r="F697" s="1"/>
      <c r="G697" s="33"/>
      <c r="H697" s="1"/>
      <c r="I697" s="33"/>
    </row>
    <row r="698" spans="1:9" ht="15.75" customHeight="1">
      <c r="A698" s="1"/>
      <c r="B698" s="1"/>
      <c r="C698" s="1"/>
      <c r="D698" s="1"/>
      <c r="E698" s="1"/>
      <c r="F698" s="1"/>
      <c r="G698" s="33"/>
      <c r="H698" s="1"/>
      <c r="I698" s="33"/>
    </row>
    <row r="699" spans="1:9" ht="15.75" customHeight="1">
      <c r="A699" s="1"/>
      <c r="B699" s="1"/>
      <c r="C699" s="1"/>
      <c r="D699" s="1"/>
      <c r="E699" s="1"/>
      <c r="F699" s="1"/>
      <c r="G699" s="33"/>
      <c r="H699" s="1"/>
      <c r="I699" s="33"/>
    </row>
    <row r="700" spans="1:9" ht="15.75" customHeight="1">
      <c r="A700" s="1"/>
      <c r="B700" s="1"/>
      <c r="C700" s="1"/>
      <c r="D700" s="1"/>
      <c r="E700" s="1"/>
      <c r="F700" s="1"/>
      <c r="G700" s="33"/>
      <c r="H700" s="1"/>
      <c r="I700" s="33"/>
    </row>
    <row r="701" spans="1:9" ht="15.75" customHeight="1">
      <c r="A701" s="1"/>
      <c r="B701" s="1"/>
      <c r="C701" s="1"/>
      <c r="D701" s="1"/>
      <c r="E701" s="1"/>
      <c r="F701" s="1"/>
      <c r="G701" s="33"/>
      <c r="H701" s="1"/>
      <c r="I701" s="33"/>
    </row>
    <row r="702" spans="1:9" ht="15.75" customHeight="1">
      <c r="A702" s="1"/>
      <c r="B702" s="1"/>
      <c r="C702" s="1"/>
      <c r="D702" s="1"/>
      <c r="E702" s="1"/>
      <c r="F702" s="1"/>
      <c r="G702" s="33"/>
      <c r="H702" s="1"/>
      <c r="I702" s="33"/>
    </row>
    <row r="703" spans="1:9" ht="15.75" customHeight="1">
      <c r="A703" s="1"/>
      <c r="B703" s="1"/>
      <c r="C703" s="1"/>
      <c r="D703" s="1"/>
      <c r="E703" s="1"/>
      <c r="F703" s="1"/>
      <c r="G703" s="33"/>
      <c r="H703" s="1"/>
      <c r="I703" s="33"/>
    </row>
    <row r="704" spans="1:9" ht="15.75" customHeight="1">
      <c r="A704" s="1"/>
      <c r="B704" s="1"/>
      <c r="C704" s="1"/>
      <c r="D704" s="1"/>
      <c r="E704" s="1"/>
      <c r="F704" s="1"/>
      <c r="G704" s="33"/>
      <c r="H704" s="1"/>
      <c r="I704" s="33"/>
    </row>
    <row r="705" spans="1:9" ht="15.75" customHeight="1">
      <c r="A705" s="1"/>
      <c r="B705" s="1"/>
      <c r="C705" s="1"/>
      <c r="D705" s="1"/>
      <c r="E705" s="1"/>
      <c r="F705" s="1"/>
      <c r="G705" s="33"/>
      <c r="H705" s="1"/>
      <c r="I705" s="33"/>
    </row>
    <row r="706" spans="1:9" ht="15.75" customHeight="1">
      <c r="A706" s="1"/>
      <c r="B706" s="1"/>
      <c r="C706" s="1"/>
      <c r="D706" s="1"/>
      <c r="E706" s="1"/>
      <c r="F706" s="1"/>
      <c r="G706" s="33"/>
      <c r="H706" s="1"/>
      <c r="I706" s="33"/>
    </row>
    <row r="707" spans="1:9" ht="15.75" customHeight="1">
      <c r="A707" s="1"/>
      <c r="B707" s="1"/>
      <c r="C707" s="1"/>
      <c r="D707" s="1"/>
      <c r="E707" s="1"/>
      <c r="F707" s="1"/>
      <c r="G707" s="33"/>
      <c r="H707" s="1"/>
      <c r="I707" s="33"/>
    </row>
    <row r="708" spans="1:9" ht="15.75" customHeight="1">
      <c r="A708" s="1"/>
      <c r="B708" s="1"/>
      <c r="C708" s="1"/>
      <c r="D708" s="1"/>
      <c r="E708" s="1"/>
      <c r="F708" s="1"/>
      <c r="G708" s="33"/>
      <c r="H708" s="1"/>
      <c r="I708" s="33"/>
    </row>
    <row r="709" spans="1:9" ht="15.75" customHeight="1">
      <c r="A709" s="1"/>
      <c r="B709" s="1"/>
      <c r="C709" s="1"/>
      <c r="D709" s="1"/>
      <c r="E709" s="1"/>
      <c r="F709" s="1"/>
      <c r="G709" s="33"/>
      <c r="H709" s="1"/>
      <c r="I709" s="33"/>
    </row>
    <row r="710" spans="1:9" ht="15.75" customHeight="1">
      <c r="A710" s="1"/>
      <c r="B710" s="1"/>
      <c r="C710" s="1"/>
      <c r="D710" s="1"/>
      <c r="E710" s="1"/>
      <c r="F710" s="1"/>
      <c r="G710" s="33"/>
      <c r="H710" s="1"/>
      <c r="I710" s="33"/>
    </row>
    <row r="711" spans="1:9" ht="15.75" customHeight="1">
      <c r="A711" s="1"/>
      <c r="B711" s="1"/>
      <c r="C711" s="1"/>
      <c r="D711" s="1"/>
      <c r="E711" s="1"/>
      <c r="F711" s="1"/>
      <c r="G711" s="33"/>
      <c r="H711" s="1"/>
      <c r="I711" s="33"/>
    </row>
    <row r="712" spans="1:9" ht="15.75" customHeight="1">
      <c r="A712" s="1"/>
      <c r="B712" s="1"/>
      <c r="C712" s="1"/>
      <c r="D712" s="1"/>
      <c r="E712" s="1"/>
      <c r="F712" s="1"/>
      <c r="G712" s="33"/>
      <c r="H712" s="1"/>
      <c r="I712" s="33"/>
    </row>
    <row r="713" spans="1:9" ht="15.75" customHeight="1">
      <c r="A713" s="1"/>
      <c r="B713" s="1"/>
      <c r="C713" s="1"/>
      <c r="D713" s="1"/>
      <c r="E713" s="1"/>
      <c r="F713" s="1"/>
      <c r="G713" s="33"/>
      <c r="H713" s="1"/>
      <c r="I713" s="33"/>
    </row>
    <row r="714" spans="1:9" ht="15.75" customHeight="1">
      <c r="A714" s="1"/>
      <c r="B714" s="1"/>
      <c r="C714" s="1"/>
      <c r="D714" s="1"/>
      <c r="E714" s="1"/>
      <c r="F714" s="1"/>
      <c r="G714" s="33"/>
      <c r="H714" s="1"/>
      <c r="I714" s="33"/>
    </row>
    <row r="715" spans="1:9" ht="15.75" customHeight="1">
      <c r="A715" s="1"/>
      <c r="B715" s="1"/>
      <c r="C715" s="1"/>
      <c r="D715" s="1"/>
      <c r="E715" s="1"/>
      <c r="F715" s="1"/>
      <c r="G715" s="33"/>
      <c r="H715" s="1"/>
      <c r="I715" s="33"/>
    </row>
    <row r="716" spans="1:9" ht="15.75" customHeight="1">
      <c r="A716" s="1"/>
      <c r="B716" s="1"/>
      <c r="C716" s="1"/>
      <c r="D716" s="1"/>
      <c r="E716" s="1"/>
      <c r="F716" s="1"/>
      <c r="G716" s="33"/>
      <c r="H716" s="1"/>
      <c r="I716" s="33"/>
    </row>
    <row r="717" spans="1:9" ht="15.75" customHeight="1">
      <c r="A717" s="1"/>
      <c r="B717" s="1"/>
      <c r="C717" s="1"/>
      <c r="D717" s="1"/>
      <c r="E717" s="1"/>
      <c r="F717" s="1"/>
      <c r="G717" s="33"/>
      <c r="H717" s="1"/>
      <c r="I717" s="33"/>
    </row>
    <row r="718" spans="1:9" ht="15.75" customHeight="1">
      <c r="A718" s="1"/>
      <c r="B718" s="1"/>
      <c r="C718" s="1"/>
      <c r="D718" s="1"/>
      <c r="E718" s="1"/>
      <c r="F718" s="1"/>
      <c r="G718" s="33"/>
      <c r="H718" s="1"/>
      <c r="I718" s="33"/>
    </row>
    <row r="719" spans="1:9" ht="15.75" customHeight="1">
      <c r="A719" s="1"/>
      <c r="B719" s="1"/>
      <c r="C719" s="1"/>
      <c r="D719" s="1"/>
      <c r="E719" s="1"/>
      <c r="F719" s="1"/>
      <c r="G719" s="33"/>
      <c r="H719" s="1"/>
      <c r="I719" s="33"/>
    </row>
    <row r="720" spans="1:9" ht="15.75" customHeight="1">
      <c r="A720" s="1"/>
      <c r="B720" s="1"/>
      <c r="C720" s="1"/>
      <c r="D720" s="1"/>
      <c r="E720" s="1"/>
      <c r="F720" s="1"/>
      <c r="G720" s="33"/>
      <c r="H720" s="1"/>
      <c r="I720" s="33"/>
    </row>
    <row r="721" spans="1:9" ht="15.75" customHeight="1">
      <c r="A721" s="1"/>
      <c r="B721" s="1"/>
      <c r="C721" s="1"/>
      <c r="D721" s="1"/>
      <c r="E721" s="1"/>
      <c r="F721" s="1"/>
      <c r="G721" s="33"/>
      <c r="H721" s="1"/>
      <c r="I721" s="33"/>
    </row>
    <row r="722" spans="1:9" ht="15.75" customHeight="1">
      <c r="A722" s="1"/>
      <c r="B722" s="1"/>
      <c r="C722" s="1"/>
      <c r="D722" s="1"/>
      <c r="E722" s="1"/>
      <c r="F722" s="1"/>
      <c r="G722" s="33"/>
      <c r="H722" s="1"/>
      <c r="I722" s="33"/>
    </row>
    <row r="723" spans="1:9" ht="15.75" customHeight="1">
      <c r="A723" s="1"/>
      <c r="B723" s="1"/>
      <c r="C723" s="1"/>
      <c r="D723" s="1"/>
      <c r="E723" s="1"/>
      <c r="F723" s="1"/>
      <c r="G723" s="33"/>
      <c r="H723" s="1"/>
      <c r="I723" s="33"/>
    </row>
    <row r="724" spans="1:9" ht="15.75" customHeight="1">
      <c r="A724" s="1"/>
      <c r="B724" s="1"/>
      <c r="C724" s="1"/>
      <c r="D724" s="1"/>
      <c r="E724" s="1"/>
      <c r="F724" s="1"/>
      <c r="G724" s="33"/>
      <c r="H724" s="1"/>
      <c r="I724" s="33"/>
    </row>
    <row r="725" spans="1:9" ht="15.75" customHeight="1">
      <c r="A725" s="1"/>
      <c r="B725" s="1"/>
      <c r="C725" s="1"/>
      <c r="D725" s="1"/>
      <c r="E725" s="1"/>
      <c r="F725" s="1"/>
      <c r="G725" s="33"/>
      <c r="H725" s="1"/>
      <c r="I725" s="33"/>
    </row>
    <row r="726" spans="1:9" ht="15.75" customHeight="1">
      <c r="A726" s="1"/>
      <c r="B726" s="1"/>
      <c r="C726" s="1"/>
      <c r="D726" s="1"/>
      <c r="E726" s="1"/>
      <c r="F726" s="1"/>
      <c r="G726" s="33"/>
      <c r="H726" s="1"/>
      <c r="I726" s="33"/>
    </row>
    <row r="727" spans="1:9" ht="15.75" customHeight="1">
      <c r="A727" s="1"/>
      <c r="B727" s="1"/>
      <c r="C727" s="1"/>
      <c r="D727" s="1"/>
      <c r="E727" s="1"/>
      <c r="F727" s="1"/>
      <c r="G727" s="33"/>
      <c r="H727" s="1"/>
      <c r="I727" s="33"/>
    </row>
    <row r="728" spans="1:9" ht="15.75" customHeight="1">
      <c r="A728" s="1"/>
      <c r="B728" s="1"/>
      <c r="C728" s="1"/>
      <c r="D728" s="1"/>
      <c r="E728" s="1"/>
      <c r="F728" s="1"/>
      <c r="G728" s="33"/>
      <c r="H728" s="1"/>
      <c r="I728" s="33"/>
    </row>
    <row r="729" spans="1:9" ht="15.75" customHeight="1">
      <c r="A729" s="1"/>
      <c r="B729" s="1"/>
      <c r="C729" s="1"/>
      <c r="D729" s="1"/>
      <c r="E729" s="1"/>
      <c r="F729" s="1"/>
      <c r="G729" s="33"/>
      <c r="H729" s="1"/>
      <c r="I729" s="33"/>
    </row>
    <row r="730" spans="1:9" ht="15.75" customHeight="1">
      <c r="A730" s="1"/>
      <c r="B730" s="1"/>
      <c r="C730" s="1"/>
      <c r="D730" s="1"/>
      <c r="E730" s="1"/>
      <c r="F730" s="1"/>
      <c r="G730" s="33"/>
      <c r="H730" s="1"/>
      <c r="I730" s="33"/>
    </row>
    <row r="731" spans="1:9" ht="15.75" customHeight="1">
      <c r="A731" s="1"/>
      <c r="B731" s="1"/>
      <c r="C731" s="1"/>
      <c r="D731" s="1"/>
      <c r="E731" s="1"/>
      <c r="F731" s="1"/>
      <c r="G731" s="33"/>
      <c r="H731" s="1"/>
      <c r="I731" s="33"/>
    </row>
    <row r="732" spans="1:9" ht="15.75" customHeight="1">
      <c r="A732" s="1"/>
      <c r="B732" s="1"/>
      <c r="C732" s="1"/>
      <c r="D732" s="1"/>
      <c r="E732" s="1"/>
      <c r="F732" s="1"/>
      <c r="G732" s="33"/>
      <c r="H732" s="1"/>
      <c r="I732" s="33"/>
    </row>
    <row r="733" spans="1:9" ht="15.75" customHeight="1">
      <c r="A733" s="1"/>
      <c r="B733" s="1"/>
      <c r="C733" s="1"/>
      <c r="D733" s="1"/>
      <c r="E733" s="1"/>
      <c r="F733" s="1"/>
      <c r="G733" s="33"/>
      <c r="H733" s="1"/>
      <c r="I733" s="33"/>
    </row>
    <row r="734" spans="1:9" ht="15.75" customHeight="1">
      <c r="A734" s="1"/>
      <c r="B734" s="1"/>
      <c r="C734" s="1"/>
      <c r="D734" s="1"/>
      <c r="E734" s="1"/>
      <c r="F734" s="1"/>
      <c r="G734" s="33"/>
      <c r="H734" s="1"/>
      <c r="I734" s="33"/>
    </row>
    <row r="735" spans="1:9" ht="15.75" customHeight="1">
      <c r="A735" s="1"/>
      <c r="B735" s="1"/>
      <c r="C735" s="1"/>
      <c r="D735" s="1"/>
      <c r="E735" s="1"/>
      <c r="F735" s="1"/>
      <c r="G735" s="33"/>
      <c r="H735" s="1"/>
      <c r="I735" s="33"/>
    </row>
    <row r="736" spans="1:9" ht="15.75" customHeight="1">
      <c r="A736" s="1"/>
      <c r="B736" s="1"/>
      <c r="C736" s="1"/>
      <c r="D736" s="1"/>
      <c r="E736" s="1"/>
      <c r="F736" s="1"/>
      <c r="G736" s="33"/>
      <c r="H736" s="1"/>
      <c r="I736" s="33"/>
    </row>
    <row r="737" spans="1:9" ht="15.75" customHeight="1">
      <c r="A737" s="1"/>
      <c r="B737" s="1"/>
      <c r="C737" s="1"/>
      <c r="D737" s="1"/>
      <c r="E737" s="1"/>
      <c r="F737" s="1"/>
      <c r="G737" s="33"/>
      <c r="H737" s="1"/>
      <c r="I737" s="33"/>
    </row>
    <row r="738" spans="1:9" ht="15.75" customHeight="1">
      <c r="A738" s="1"/>
      <c r="B738" s="1"/>
      <c r="C738" s="1"/>
      <c r="D738" s="1"/>
      <c r="E738" s="1"/>
      <c r="F738" s="1"/>
      <c r="G738" s="33"/>
      <c r="H738" s="1"/>
      <c r="I738" s="33"/>
    </row>
    <row r="739" spans="1:9" ht="15.75" customHeight="1">
      <c r="A739" s="1"/>
      <c r="B739" s="1"/>
      <c r="C739" s="1"/>
      <c r="D739" s="1"/>
      <c r="E739" s="1"/>
      <c r="F739" s="1"/>
      <c r="G739" s="33"/>
      <c r="H739" s="1"/>
      <c r="I739" s="33"/>
    </row>
    <row r="740" spans="1:9" ht="15.75" customHeight="1">
      <c r="A740" s="1"/>
      <c r="B740" s="1"/>
      <c r="C740" s="1"/>
      <c r="D740" s="1"/>
      <c r="E740" s="1"/>
      <c r="F740" s="1"/>
      <c r="G740" s="33"/>
      <c r="H740" s="1"/>
      <c r="I740" s="33"/>
    </row>
    <row r="741" spans="1:9" ht="15.75" customHeight="1">
      <c r="A741" s="1"/>
      <c r="B741" s="1"/>
      <c r="C741" s="1"/>
      <c r="D741" s="1"/>
      <c r="E741" s="1"/>
      <c r="F741" s="1"/>
      <c r="G741" s="33"/>
      <c r="H741" s="1"/>
      <c r="I741" s="33"/>
    </row>
    <row r="742" spans="1:9" ht="15.75" customHeight="1">
      <c r="A742" s="1"/>
      <c r="B742" s="1"/>
      <c r="C742" s="1"/>
      <c r="D742" s="1"/>
      <c r="E742" s="1"/>
      <c r="F742" s="1"/>
      <c r="G742" s="33"/>
      <c r="H742" s="1"/>
      <c r="I742" s="33"/>
    </row>
    <row r="743" spans="1:9" ht="15.75" customHeight="1">
      <c r="A743" s="1"/>
      <c r="B743" s="1"/>
      <c r="C743" s="1"/>
      <c r="D743" s="1"/>
      <c r="E743" s="1"/>
      <c r="F743" s="1"/>
      <c r="G743" s="33"/>
      <c r="H743" s="1"/>
      <c r="I743" s="33"/>
    </row>
    <row r="744" spans="1:9" ht="15.75" customHeight="1">
      <c r="A744" s="1"/>
      <c r="B744" s="1"/>
      <c r="C744" s="1"/>
      <c r="D744" s="1"/>
      <c r="E744" s="1"/>
      <c r="F744" s="1"/>
      <c r="G744" s="33"/>
      <c r="H744" s="1"/>
      <c r="I744" s="33"/>
    </row>
    <row r="745" spans="1:9" ht="15.75" customHeight="1">
      <c r="A745" s="1"/>
      <c r="B745" s="1"/>
      <c r="C745" s="1"/>
      <c r="D745" s="1"/>
      <c r="E745" s="1"/>
      <c r="F745" s="1"/>
      <c r="G745" s="33"/>
      <c r="H745" s="1"/>
      <c r="I745" s="33"/>
    </row>
    <row r="746" spans="1:9" ht="15.75" customHeight="1">
      <c r="A746" s="1"/>
      <c r="B746" s="1"/>
      <c r="C746" s="1"/>
      <c r="D746" s="1"/>
      <c r="E746" s="1"/>
      <c r="F746" s="1"/>
      <c r="G746" s="33"/>
      <c r="H746" s="1"/>
      <c r="I746" s="33"/>
    </row>
    <row r="747" spans="1:9" ht="15.75" customHeight="1">
      <c r="A747" s="1"/>
      <c r="B747" s="1"/>
      <c r="C747" s="1"/>
      <c r="D747" s="1"/>
      <c r="E747" s="1"/>
      <c r="F747" s="1"/>
      <c r="G747" s="33"/>
      <c r="H747" s="1"/>
      <c r="I747" s="33"/>
    </row>
    <row r="748" spans="1:9" ht="15.75" customHeight="1">
      <c r="A748" s="1"/>
      <c r="B748" s="1"/>
      <c r="C748" s="1"/>
      <c r="D748" s="1"/>
      <c r="E748" s="1"/>
      <c r="F748" s="1"/>
      <c r="G748" s="33"/>
      <c r="H748" s="1"/>
      <c r="I748" s="33"/>
    </row>
    <row r="749" spans="1:9" ht="15.75" customHeight="1">
      <c r="A749" s="1"/>
      <c r="B749" s="1"/>
      <c r="C749" s="1"/>
      <c r="D749" s="1"/>
      <c r="E749" s="1"/>
      <c r="F749" s="1"/>
      <c r="G749" s="33"/>
      <c r="H749" s="1"/>
      <c r="I749" s="33"/>
    </row>
    <row r="750" spans="1:9" ht="15.75" customHeight="1">
      <c r="A750" s="1"/>
      <c r="B750" s="1"/>
      <c r="C750" s="1"/>
      <c r="D750" s="1"/>
      <c r="E750" s="1"/>
      <c r="F750" s="1"/>
      <c r="G750" s="33"/>
      <c r="H750" s="1"/>
      <c r="I750" s="33"/>
    </row>
    <row r="751" spans="1:9" ht="15.75" customHeight="1">
      <c r="A751" s="1"/>
      <c r="B751" s="1"/>
      <c r="C751" s="1"/>
      <c r="D751" s="1"/>
      <c r="E751" s="1"/>
      <c r="F751" s="1"/>
      <c r="G751" s="33"/>
      <c r="H751" s="1"/>
      <c r="I751" s="33"/>
    </row>
    <row r="752" spans="1:9" ht="15.75" customHeight="1">
      <c r="A752" s="1"/>
      <c r="B752" s="1"/>
      <c r="C752" s="1"/>
      <c r="D752" s="1"/>
      <c r="E752" s="1"/>
      <c r="F752" s="1"/>
      <c r="G752" s="33"/>
      <c r="H752" s="1"/>
      <c r="I752" s="33"/>
    </row>
    <row r="753" spans="1:9" ht="15.75" customHeight="1">
      <c r="A753" s="1"/>
      <c r="B753" s="1"/>
      <c r="C753" s="1"/>
      <c r="D753" s="1"/>
      <c r="E753" s="1"/>
      <c r="F753" s="1"/>
      <c r="G753" s="33"/>
      <c r="H753" s="1"/>
      <c r="I753" s="33"/>
    </row>
    <row r="754" spans="1:9" ht="15.75" customHeight="1">
      <c r="A754" s="1"/>
      <c r="B754" s="1"/>
      <c r="C754" s="1"/>
      <c r="D754" s="1"/>
      <c r="E754" s="1"/>
      <c r="F754" s="1"/>
      <c r="G754" s="33"/>
      <c r="H754" s="1"/>
      <c r="I754" s="33"/>
    </row>
    <row r="755" spans="1:9" ht="15.75" customHeight="1">
      <c r="A755" s="1"/>
      <c r="B755" s="1"/>
      <c r="C755" s="1"/>
      <c r="D755" s="1"/>
      <c r="E755" s="1"/>
      <c r="F755" s="1"/>
      <c r="G755" s="33"/>
      <c r="H755" s="1"/>
      <c r="I755" s="33"/>
    </row>
    <row r="756" spans="1:9" ht="15.75" customHeight="1">
      <c r="A756" s="1"/>
      <c r="B756" s="1"/>
      <c r="C756" s="1"/>
      <c r="D756" s="1"/>
      <c r="E756" s="1"/>
      <c r="F756" s="1"/>
      <c r="G756" s="33"/>
      <c r="H756" s="1"/>
      <c r="I756" s="33"/>
    </row>
    <row r="757" spans="1:9" ht="15.75" customHeight="1">
      <c r="A757" s="1"/>
      <c r="B757" s="1"/>
      <c r="C757" s="1"/>
      <c r="D757" s="1"/>
      <c r="E757" s="1"/>
      <c r="F757" s="1"/>
      <c r="G757" s="33"/>
      <c r="H757" s="1"/>
      <c r="I757" s="33"/>
    </row>
    <row r="758" spans="1:9" ht="15.75" customHeight="1">
      <c r="A758" s="1"/>
      <c r="B758" s="1"/>
      <c r="C758" s="1"/>
      <c r="D758" s="1"/>
      <c r="E758" s="1"/>
      <c r="F758" s="1"/>
      <c r="G758" s="33"/>
      <c r="H758" s="1"/>
      <c r="I758" s="33"/>
    </row>
    <row r="759" spans="1:9" ht="15.75" customHeight="1">
      <c r="A759" s="1"/>
      <c r="B759" s="1"/>
      <c r="C759" s="1"/>
      <c r="D759" s="1"/>
      <c r="E759" s="1"/>
      <c r="F759" s="1"/>
      <c r="G759" s="33"/>
      <c r="H759" s="1"/>
      <c r="I759" s="33"/>
    </row>
    <row r="760" spans="1:9" ht="15.75" customHeight="1">
      <c r="A760" s="1"/>
      <c r="B760" s="1"/>
      <c r="C760" s="1"/>
      <c r="D760" s="1"/>
      <c r="E760" s="1"/>
      <c r="F760" s="1"/>
      <c r="G760" s="33"/>
      <c r="H760" s="1"/>
      <c r="I760" s="33"/>
    </row>
    <row r="761" spans="1:9" ht="15.75" customHeight="1">
      <c r="A761" s="1"/>
      <c r="B761" s="1"/>
      <c r="C761" s="1"/>
      <c r="D761" s="1"/>
      <c r="E761" s="1"/>
      <c r="F761" s="1"/>
      <c r="G761" s="33"/>
      <c r="H761" s="1"/>
      <c r="I761" s="33"/>
    </row>
    <row r="762" spans="1:9" ht="15.75" customHeight="1">
      <c r="A762" s="1"/>
      <c r="B762" s="1"/>
      <c r="C762" s="1"/>
      <c r="D762" s="1"/>
      <c r="E762" s="1"/>
      <c r="F762" s="1"/>
      <c r="G762" s="33"/>
      <c r="H762" s="1"/>
      <c r="I762" s="33"/>
    </row>
    <row r="763" spans="1:9" ht="15.75" customHeight="1">
      <c r="A763" s="1"/>
      <c r="B763" s="1"/>
      <c r="C763" s="1"/>
      <c r="D763" s="1"/>
      <c r="E763" s="1"/>
      <c r="F763" s="1"/>
      <c r="G763" s="33"/>
      <c r="H763" s="1"/>
      <c r="I763" s="33"/>
    </row>
    <row r="764" spans="1:9" ht="15.75" customHeight="1">
      <c r="A764" s="1"/>
      <c r="B764" s="1"/>
      <c r="C764" s="1"/>
      <c r="D764" s="1"/>
      <c r="E764" s="1"/>
      <c r="F764" s="1"/>
      <c r="G764" s="33"/>
      <c r="H764" s="1"/>
      <c r="I764" s="33"/>
    </row>
    <row r="765" spans="1:9" ht="15.75" customHeight="1">
      <c r="A765" s="1"/>
      <c r="B765" s="1"/>
      <c r="C765" s="1"/>
      <c r="D765" s="1"/>
      <c r="E765" s="1"/>
      <c r="F765" s="1"/>
      <c r="G765" s="33"/>
      <c r="H765" s="1"/>
      <c r="I765" s="33"/>
    </row>
    <row r="766" spans="1:9" ht="15.75" customHeight="1">
      <c r="A766" s="1"/>
      <c r="B766" s="1"/>
      <c r="C766" s="1"/>
      <c r="D766" s="1"/>
      <c r="E766" s="1"/>
      <c r="F766" s="1"/>
      <c r="G766" s="33"/>
      <c r="H766" s="1"/>
      <c r="I766" s="33"/>
    </row>
    <row r="767" spans="1:9" ht="15.75" customHeight="1">
      <c r="A767" s="1"/>
      <c r="B767" s="1"/>
      <c r="C767" s="1"/>
      <c r="D767" s="1"/>
      <c r="E767" s="1"/>
      <c r="F767" s="1"/>
      <c r="G767" s="33"/>
      <c r="H767" s="1"/>
      <c r="I767" s="33"/>
    </row>
    <row r="768" spans="1:9" ht="15.75" customHeight="1">
      <c r="A768" s="1"/>
      <c r="B768" s="1"/>
      <c r="C768" s="1"/>
      <c r="D768" s="1"/>
      <c r="E768" s="1"/>
      <c r="F768" s="1"/>
      <c r="G768" s="33"/>
      <c r="H768" s="1"/>
      <c r="I768" s="33"/>
    </row>
    <row r="769" spans="1:9" ht="15.75" customHeight="1">
      <c r="A769" s="1"/>
      <c r="B769" s="1"/>
      <c r="C769" s="1"/>
      <c r="D769" s="1"/>
      <c r="E769" s="1"/>
      <c r="F769" s="1"/>
      <c r="G769" s="33"/>
      <c r="H769" s="1"/>
      <c r="I769" s="33"/>
    </row>
    <row r="770" spans="1:9" ht="15.75" customHeight="1">
      <c r="A770" s="1"/>
      <c r="B770" s="1"/>
      <c r="C770" s="1"/>
      <c r="D770" s="1"/>
      <c r="E770" s="1"/>
      <c r="F770" s="1"/>
      <c r="G770" s="33"/>
      <c r="H770" s="1"/>
      <c r="I770" s="33"/>
    </row>
    <row r="771" spans="1:9" ht="15.75" customHeight="1">
      <c r="A771" s="1"/>
      <c r="B771" s="1"/>
      <c r="C771" s="1"/>
      <c r="D771" s="1"/>
      <c r="E771" s="1"/>
      <c r="F771" s="1"/>
      <c r="G771" s="33"/>
      <c r="H771" s="1"/>
      <c r="I771" s="33"/>
    </row>
    <row r="772" spans="1:9" ht="15.75" customHeight="1">
      <c r="A772" s="1"/>
      <c r="B772" s="1"/>
      <c r="C772" s="1"/>
      <c r="D772" s="1"/>
      <c r="E772" s="1"/>
      <c r="F772" s="1"/>
      <c r="G772" s="33"/>
      <c r="H772" s="1"/>
      <c r="I772" s="33"/>
    </row>
    <row r="773" spans="1:9" ht="15.75" customHeight="1">
      <c r="A773" s="1"/>
      <c r="B773" s="1"/>
      <c r="C773" s="1"/>
      <c r="D773" s="1"/>
      <c r="E773" s="1"/>
      <c r="F773" s="1"/>
      <c r="G773" s="33"/>
      <c r="H773" s="1"/>
      <c r="I773" s="33"/>
    </row>
    <row r="774" spans="1:9" ht="15.75" customHeight="1">
      <c r="A774" s="1"/>
      <c r="B774" s="1"/>
      <c r="C774" s="1"/>
      <c r="D774" s="1"/>
      <c r="E774" s="1"/>
      <c r="F774" s="1"/>
      <c r="G774" s="33"/>
      <c r="H774" s="1"/>
      <c r="I774" s="33"/>
    </row>
    <row r="775" spans="1:9" ht="15.75" customHeight="1">
      <c r="A775" s="1"/>
      <c r="B775" s="1"/>
      <c r="C775" s="1"/>
      <c r="D775" s="1"/>
      <c r="E775" s="1"/>
      <c r="F775" s="1"/>
      <c r="G775" s="33"/>
      <c r="H775" s="1"/>
      <c r="I775" s="33"/>
    </row>
    <row r="776" spans="1:9" ht="15.75" customHeight="1">
      <c r="A776" s="1"/>
      <c r="B776" s="1"/>
      <c r="C776" s="1"/>
      <c r="D776" s="1"/>
      <c r="E776" s="1"/>
      <c r="F776" s="1"/>
      <c r="G776" s="33"/>
      <c r="H776" s="1"/>
      <c r="I776" s="33"/>
    </row>
    <row r="777" spans="1:9" ht="15.75" customHeight="1">
      <c r="A777" s="1"/>
      <c r="B777" s="1"/>
      <c r="C777" s="1"/>
      <c r="D777" s="1"/>
      <c r="E777" s="1"/>
      <c r="F777" s="1"/>
      <c r="G777" s="33"/>
      <c r="H777" s="1"/>
      <c r="I777" s="33"/>
    </row>
    <row r="778" spans="1:9" ht="15.75" customHeight="1">
      <c r="A778" s="1"/>
      <c r="B778" s="1"/>
      <c r="C778" s="1"/>
      <c r="D778" s="1"/>
      <c r="E778" s="1"/>
      <c r="F778" s="1"/>
      <c r="G778" s="33"/>
      <c r="H778" s="1"/>
      <c r="I778" s="33"/>
    </row>
    <row r="779" spans="1:9" ht="15.75" customHeight="1">
      <c r="A779" s="1"/>
      <c r="B779" s="1"/>
      <c r="C779" s="1"/>
      <c r="D779" s="1"/>
      <c r="E779" s="1"/>
      <c r="F779" s="1"/>
      <c r="G779" s="33"/>
      <c r="H779" s="1"/>
      <c r="I779" s="33"/>
    </row>
    <row r="780" spans="1:9" ht="15.75" customHeight="1">
      <c r="A780" s="1"/>
      <c r="B780" s="1"/>
      <c r="C780" s="1"/>
      <c r="D780" s="1"/>
      <c r="E780" s="1"/>
      <c r="F780" s="1"/>
      <c r="G780" s="33"/>
      <c r="H780" s="1"/>
      <c r="I780" s="33"/>
    </row>
    <row r="781" spans="1:9" ht="15.75" customHeight="1">
      <c r="A781" s="1"/>
      <c r="B781" s="1"/>
      <c r="C781" s="1"/>
      <c r="D781" s="1"/>
      <c r="E781" s="1"/>
      <c r="F781" s="1"/>
      <c r="G781" s="33"/>
      <c r="H781" s="1"/>
      <c r="I781" s="33"/>
    </row>
    <row r="782" spans="1:9" ht="15.75" customHeight="1">
      <c r="A782" s="1"/>
      <c r="B782" s="1"/>
      <c r="C782" s="1"/>
      <c r="D782" s="1"/>
      <c r="E782" s="1"/>
      <c r="F782" s="1"/>
      <c r="G782" s="33"/>
      <c r="H782" s="1"/>
      <c r="I782" s="33"/>
    </row>
    <row r="783" spans="1:9" ht="15.75" customHeight="1">
      <c r="A783" s="1"/>
      <c r="B783" s="1"/>
      <c r="C783" s="1"/>
      <c r="D783" s="1"/>
      <c r="E783" s="1"/>
      <c r="F783" s="1"/>
      <c r="G783" s="33"/>
      <c r="H783" s="1"/>
      <c r="I783" s="33"/>
    </row>
    <row r="784" spans="1:9" ht="15.75" customHeight="1">
      <c r="A784" s="1"/>
      <c r="B784" s="1"/>
      <c r="C784" s="1"/>
      <c r="D784" s="1"/>
      <c r="E784" s="1"/>
      <c r="F784" s="1"/>
      <c r="G784" s="33"/>
      <c r="H784" s="1"/>
      <c r="I784" s="33"/>
    </row>
    <row r="785" spans="1:9" ht="15.75" customHeight="1">
      <c r="A785" s="1"/>
      <c r="B785" s="1"/>
      <c r="C785" s="1"/>
      <c r="D785" s="1"/>
      <c r="E785" s="1"/>
      <c r="F785" s="1"/>
      <c r="G785" s="33"/>
      <c r="H785" s="1"/>
      <c r="I785" s="33"/>
    </row>
    <row r="786" spans="1:9" ht="15.75" customHeight="1">
      <c r="A786" s="1"/>
      <c r="B786" s="1"/>
      <c r="C786" s="1"/>
      <c r="D786" s="1"/>
      <c r="E786" s="1"/>
      <c r="F786" s="1"/>
      <c r="G786" s="33"/>
      <c r="H786" s="1"/>
      <c r="I786" s="33"/>
    </row>
    <row r="787" spans="1:9" ht="15.75" customHeight="1">
      <c r="A787" s="1"/>
      <c r="B787" s="1"/>
      <c r="C787" s="1"/>
      <c r="D787" s="1"/>
      <c r="E787" s="1"/>
      <c r="F787" s="1"/>
      <c r="G787" s="33"/>
      <c r="H787" s="1"/>
      <c r="I787" s="33"/>
    </row>
    <row r="788" spans="1:9" ht="15.75" customHeight="1">
      <c r="A788" s="1"/>
      <c r="B788" s="1"/>
      <c r="C788" s="1"/>
      <c r="D788" s="1"/>
      <c r="E788" s="1"/>
      <c r="F788" s="1"/>
      <c r="G788" s="33"/>
      <c r="H788" s="1"/>
      <c r="I788" s="33"/>
    </row>
    <row r="789" spans="1:9" ht="15.75" customHeight="1">
      <c r="A789" s="1"/>
      <c r="B789" s="1"/>
      <c r="C789" s="1"/>
      <c r="D789" s="1"/>
      <c r="E789" s="1"/>
      <c r="F789" s="1"/>
      <c r="G789" s="33"/>
      <c r="H789" s="1"/>
      <c r="I789" s="33"/>
    </row>
    <row r="790" spans="1:9" ht="15.75" customHeight="1">
      <c r="A790" s="1"/>
      <c r="B790" s="1"/>
      <c r="C790" s="1"/>
      <c r="D790" s="1"/>
      <c r="E790" s="1"/>
      <c r="F790" s="1"/>
      <c r="G790" s="33"/>
      <c r="H790" s="1"/>
      <c r="I790" s="33"/>
    </row>
    <row r="791" spans="1:9" ht="15.75" customHeight="1">
      <c r="A791" s="1"/>
      <c r="B791" s="1"/>
      <c r="C791" s="1"/>
      <c r="D791" s="1"/>
      <c r="E791" s="1"/>
      <c r="F791" s="1"/>
      <c r="G791" s="33"/>
      <c r="H791" s="1"/>
      <c r="I791" s="33"/>
    </row>
    <row r="792" spans="1:9" ht="15.75" customHeight="1">
      <c r="A792" s="1"/>
      <c r="B792" s="1"/>
      <c r="C792" s="1"/>
      <c r="D792" s="1"/>
      <c r="E792" s="1"/>
      <c r="F792" s="1"/>
      <c r="G792" s="33"/>
      <c r="H792" s="1"/>
      <c r="I792" s="33"/>
    </row>
    <row r="793" spans="1:9" ht="15.75" customHeight="1">
      <c r="A793" s="1"/>
      <c r="B793" s="1"/>
      <c r="C793" s="1"/>
      <c r="D793" s="1"/>
      <c r="E793" s="1"/>
      <c r="F793" s="1"/>
      <c r="G793" s="33"/>
      <c r="H793" s="1"/>
      <c r="I793" s="33"/>
    </row>
    <row r="794" spans="1:9" ht="15.75" customHeight="1">
      <c r="A794" s="1"/>
      <c r="B794" s="1"/>
      <c r="C794" s="1"/>
      <c r="D794" s="1"/>
      <c r="E794" s="1"/>
      <c r="F794" s="1"/>
      <c r="G794" s="33"/>
      <c r="H794" s="1"/>
      <c r="I794" s="33"/>
    </row>
    <row r="795" spans="1:9" ht="15.75" customHeight="1">
      <c r="A795" s="1"/>
      <c r="B795" s="1"/>
      <c r="C795" s="1"/>
      <c r="D795" s="1"/>
      <c r="E795" s="1"/>
      <c r="F795" s="1"/>
      <c r="G795" s="33"/>
      <c r="H795" s="1"/>
      <c r="I795" s="33"/>
    </row>
    <row r="796" spans="1:9" ht="15.75" customHeight="1">
      <c r="A796" s="1"/>
      <c r="B796" s="1"/>
      <c r="C796" s="1"/>
      <c r="D796" s="1"/>
      <c r="E796" s="1"/>
      <c r="F796" s="1"/>
      <c r="G796" s="33"/>
      <c r="H796" s="1"/>
      <c r="I796" s="33"/>
    </row>
    <row r="797" spans="1:9" ht="15.75" customHeight="1">
      <c r="A797" s="1"/>
      <c r="B797" s="1"/>
      <c r="C797" s="1"/>
      <c r="D797" s="1"/>
      <c r="E797" s="1"/>
      <c r="F797" s="1"/>
      <c r="G797" s="33"/>
      <c r="H797" s="1"/>
      <c r="I797" s="33"/>
    </row>
    <row r="798" spans="1:9" ht="15.75" customHeight="1">
      <c r="A798" s="1"/>
      <c r="B798" s="1"/>
      <c r="C798" s="1"/>
      <c r="D798" s="1"/>
      <c r="E798" s="1"/>
      <c r="F798" s="1"/>
      <c r="G798" s="33"/>
      <c r="H798" s="1"/>
      <c r="I798" s="33"/>
    </row>
    <row r="799" spans="1:9" ht="15.75" customHeight="1">
      <c r="A799" s="1"/>
      <c r="B799" s="1"/>
      <c r="C799" s="1"/>
      <c r="D799" s="1"/>
      <c r="E799" s="1"/>
      <c r="F799" s="1"/>
      <c r="G799" s="33"/>
      <c r="H799" s="1"/>
      <c r="I799" s="33"/>
    </row>
    <row r="800" spans="1:9" ht="15.75" customHeight="1">
      <c r="A800" s="1"/>
      <c r="B800" s="1"/>
      <c r="C800" s="1"/>
      <c r="D800" s="1"/>
      <c r="E800" s="1"/>
      <c r="F800" s="1"/>
      <c r="G800" s="33"/>
      <c r="H800" s="1"/>
      <c r="I800" s="33"/>
    </row>
    <row r="801" spans="1:9" ht="15.75" customHeight="1">
      <c r="A801" s="1"/>
      <c r="B801" s="1"/>
      <c r="C801" s="1"/>
      <c r="D801" s="1"/>
      <c r="E801" s="1"/>
      <c r="F801" s="1"/>
      <c r="G801" s="33"/>
      <c r="H801" s="1"/>
      <c r="I801" s="33"/>
    </row>
    <row r="802" spans="1:9" ht="15.75" customHeight="1">
      <c r="A802" s="1"/>
      <c r="B802" s="1"/>
      <c r="C802" s="1"/>
      <c r="D802" s="1"/>
      <c r="E802" s="1"/>
      <c r="F802" s="1"/>
      <c r="G802" s="33"/>
      <c r="H802" s="1"/>
      <c r="I802" s="33"/>
    </row>
    <row r="803" spans="1:9" ht="15.75" customHeight="1">
      <c r="A803" s="1"/>
      <c r="B803" s="1"/>
      <c r="C803" s="1"/>
      <c r="D803" s="1"/>
      <c r="E803" s="1"/>
      <c r="F803" s="1"/>
      <c r="G803" s="33"/>
      <c r="H803" s="1"/>
      <c r="I803" s="33"/>
    </row>
    <row r="804" spans="1:9" ht="15.75" customHeight="1">
      <c r="A804" s="1"/>
      <c r="B804" s="1"/>
      <c r="C804" s="1"/>
      <c r="D804" s="1"/>
      <c r="E804" s="1"/>
      <c r="F804" s="1"/>
      <c r="G804" s="33"/>
      <c r="H804" s="1"/>
      <c r="I804" s="33"/>
    </row>
    <row r="805" spans="1:9" ht="15.75" customHeight="1">
      <c r="A805" s="1"/>
      <c r="B805" s="1"/>
      <c r="C805" s="1"/>
      <c r="D805" s="1"/>
      <c r="E805" s="1"/>
      <c r="F805" s="1"/>
      <c r="G805" s="33"/>
      <c r="H805" s="1"/>
      <c r="I805" s="33"/>
    </row>
    <row r="806" spans="1:9" ht="15.75" customHeight="1">
      <c r="A806" s="1"/>
      <c r="B806" s="1"/>
      <c r="C806" s="1"/>
      <c r="D806" s="1"/>
      <c r="E806" s="1"/>
      <c r="F806" s="1"/>
      <c r="G806" s="33"/>
      <c r="H806" s="1"/>
      <c r="I806" s="33"/>
    </row>
    <row r="807" spans="1:9" ht="15.75" customHeight="1">
      <c r="A807" s="1"/>
      <c r="B807" s="1"/>
      <c r="C807" s="1"/>
      <c r="D807" s="1"/>
      <c r="E807" s="1"/>
      <c r="F807" s="1"/>
      <c r="G807" s="33"/>
      <c r="H807" s="1"/>
      <c r="I807" s="33"/>
    </row>
    <row r="808" spans="1:9" ht="15.75" customHeight="1">
      <c r="A808" s="1"/>
      <c r="B808" s="1"/>
      <c r="C808" s="1"/>
      <c r="D808" s="1"/>
      <c r="E808" s="1"/>
      <c r="F808" s="1"/>
      <c r="G808" s="33"/>
      <c r="H808" s="1"/>
      <c r="I808" s="33"/>
    </row>
    <row r="809" spans="1:9" ht="15.75" customHeight="1">
      <c r="A809" s="1"/>
      <c r="B809" s="1"/>
      <c r="C809" s="1"/>
      <c r="D809" s="1"/>
      <c r="E809" s="1"/>
      <c r="F809" s="1"/>
      <c r="G809" s="33"/>
      <c r="H809" s="1"/>
      <c r="I809" s="33"/>
    </row>
    <row r="810" spans="1:9" ht="15.75" customHeight="1">
      <c r="A810" s="1"/>
      <c r="B810" s="1"/>
      <c r="C810" s="1"/>
      <c r="D810" s="1"/>
      <c r="E810" s="1"/>
      <c r="F810" s="1"/>
      <c r="G810" s="33"/>
      <c r="H810" s="1"/>
      <c r="I810" s="33"/>
    </row>
    <row r="811" spans="1:9" ht="15.75" customHeight="1">
      <c r="A811" s="1"/>
      <c r="B811" s="1"/>
      <c r="C811" s="1"/>
      <c r="D811" s="1"/>
      <c r="E811" s="1"/>
      <c r="F811" s="1"/>
      <c r="G811" s="33"/>
      <c r="H811" s="1"/>
      <c r="I811" s="33"/>
    </row>
    <row r="812" spans="1:9" ht="15.75" customHeight="1">
      <c r="A812" s="1"/>
      <c r="B812" s="1"/>
      <c r="C812" s="1"/>
      <c r="D812" s="1"/>
      <c r="E812" s="1"/>
      <c r="F812" s="1"/>
      <c r="G812" s="33"/>
      <c r="H812" s="1"/>
      <c r="I812" s="33"/>
    </row>
    <row r="813" spans="1:9" ht="15.75" customHeight="1">
      <c r="A813" s="1"/>
      <c r="B813" s="1"/>
      <c r="C813" s="1"/>
      <c r="D813" s="1"/>
      <c r="E813" s="1"/>
      <c r="F813" s="1"/>
      <c r="G813" s="33"/>
      <c r="H813" s="1"/>
      <c r="I813" s="33"/>
    </row>
    <row r="814" spans="1:9" ht="15.75" customHeight="1">
      <c r="A814" s="1"/>
      <c r="B814" s="1"/>
      <c r="C814" s="1"/>
      <c r="D814" s="1"/>
      <c r="E814" s="1"/>
      <c r="F814" s="1"/>
      <c r="G814" s="33"/>
      <c r="H814" s="1"/>
      <c r="I814" s="33"/>
    </row>
    <row r="815" spans="1:9" ht="15.75" customHeight="1">
      <c r="A815" s="1"/>
      <c r="B815" s="1"/>
      <c r="C815" s="1"/>
      <c r="D815" s="1"/>
      <c r="E815" s="1"/>
      <c r="F815" s="1"/>
      <c r="G815" s="33"/>
      <c r="H815" s="1"/>
      <c r="I815" s="33"/>
    </row>
    <row r="816" spans="1:9" ht="15.75" customHeight="1">
      <c r="A816" s="1"/>
      <c r="B816" s="1"/>
      <c r="C816" s="1"/>
      <c r="D816" s="1"/>
      <c r="E816" s="1"/>
      <c r="F816" s="1"/>
      <c r="G816" s="33"/>
      <c r="H816" s="1"/>
      <c r="I816" s="33"/>
    </row>
    <row r="817" spans="1:9" ht="15.75" customHeight="1">
      <c r="A817" s="1"/>
      <c r="B817" s="1"/>
      <c r="C817" s="1"/>
      <c r="D817" s="1"/>
      <c r="E817" s="1"/>
      <c r="F817" s="1"/>
      <c r="G817" s="33"/>
      <c r="H817" s="1"/>
      <c r="I817" s="33"/>
    </row>
    <row r="818" spans="1:9" ht="15.75" customHeight="1">
      <c r="A818" s="1"/>
      <c r="B818" s="1"/>
      <c r="C818" s="1"/>
      <c r="D818" s="1"/>
      <c r="E818" s="1"/>
      <c r="F818" s="1"/>
      <c r="G818" s="33"/>
      <c r="H818" s="1"/>
      <c r="I818" s="33"/>
    </row>
    <row r="819" spans="1:9" ht="15.75" customHeight="1">
      <c r="A819" s="1"/>
      <c r="B819" s="1"/>
      <c r="C819" s="1"/>
      <c r="D819" s="1"/>
      <c r="E819" s="1"/>
      <c r="F819" s="1"/>
      <c r="G819" s="33"/>
      <c r="H819" s="1"/>
      <c r="I819" s="33"/>
    </row>
    <row r="820" spans="1:9" ht="15.75" customHeight="1">
      <c r="A820" s="1"/>
      <c r="B820" s="1"/>
      <c r="C820" s="1"/>
      <c r="D820" s="1"/>
      <c r="E820" s="1"/>
      <c r="F820" s="1"/>
      <c r="G820" s="33"/>
      <c r="H820" s="1"/>
      <c r="I820" s="33"/>
    </row>
    <row r="821" spans="1:9" ht="15.75" customHeight="1">
      <c r="A821" s="1"/>
      <c r="B821" s="1"/>
      <c r="C821" s="1"/>
      <c r="D821" s="1"/>
      <c r="E821" s="1"/>
      <c r="F821" s="1"/>
      <c r="G821" s="33"/>
      <c r="H821" s="1"/>
      <c r="I821" s="33"/>
    </row>
    <row r="822" spans="1:9" ht="15.75" customHeight="1">
      <c r="A822" s="1"/>
      <c r="B822" s="1"/>
      <c r="C822" s="1"/>
      <c r="D822" s="1"/>
      <c r="E822" s="1"/>
      <c r="F822" s="1"/>
      <c r="G822" s="33"/>
      <c r="H822" s="1"/>
      <c r="I822" s="33"/>
    </row>
    <row r="823" spans="1:9" ht="15.75" customHeight="1">
      <c r="A823" s="1"/>
      <c r="B823" s="1"/>
      <c r="C823" s="1"/>
      <c r="D823" s="1"/>
      <c r="E823" s="1"/>
      <c r="F823" s="1"/>
      <c r="G823" s="33"/>
      <c r="H823" s="1"/>
      <c r="I823" s="33"/>
    </row>
    <row r="824" spans="1:9" ht="15.75" customHeight="1">
      <c r="A824" s="1"/>
      <c r="B824" s="1"/>
      <c r="C824" s="1"/>
      <c r="D824" s="1"/>
      <c r="E824" s="1"/>
      <c r="F824" s="1"/>
      <c r="G824" s="33"/>
      <c r="H824" s="1"/>
      <c r="I824" s="33"/>
    </row>
    <row r="825" spans="1:9" ht="15.75" customHeight="1">
      <c r="A825" s="1"/>
      <c r="B825" s="1"/>
      <c r="C825" s="1"/>
      <c r="D825" s="1"/>
      <c r="E825" s="1"/>
      <c r="F825" s="1"/>
      <c r="G825" s="33"/>
      <c r="H825" s="1"/>
      <c r="I825" s="33"/>
    </row>
    <row r="826" spans="1:9" ht="15.75" customHeight="1">
      <c r="A826" s="1"/>
      <c r="B826" s="1"/>
      <c r="C826" s="1"/>
      <c r="D826" s="1"/>
      <c r="E826" s="1"/>
      <c r="F826" s="1"/>
      <c r="G826" s="33"/>
      <c r="H826" s="1"/>
      <c r="I826" s="33"/>
    </row>
    <row r="827" spans="1:9" ht="15.75" customHeight="1">
      <c r="A827" s="1"/>
      <c r="B827" s="1"/>
      <c r="C827" s="1"/>
      <c r="D827" s="1"/>
      <c r="E827" s="1"/>
      <c r="F827" s="1"/>
      <c r="G827" s="33"/>
      <c r="H827" s="1"/>
      <c r="I827" s="33"/>
    </row>
    <row r="828" spans="1:9" ht="15.75" customHeight="1">
      <c r="A828" s="1"/>
      <c r="B828" s="1"/>
      <c r="C828" s="1"/>
      <c r="D828" s="1"/>
      <c r="E828" s="1"/>
      <c r="F828" s="1"/>
      <c r="G828" s="33"/>
      <c r="H828" s="1"/>
      <c r="I828" s="33"/>
    </row>
    <row r="829" spans="1:9" ht="15.75" customHeight="1">
      <c r="A829" s="1"/>
      <c r="B829" s="1"/>
      <c r="C829" s="1"/>
      <c r="D829" s="1"/>
      <c r="E829" s="1"/>
      <c r="F829" s="1"/>
      <c r="G829" s="33"/>
      <c r="H829" s="1"/>
      <c r="I829" s="33"/>
    </row>
    <row r="830" spans="1:9" ht="15.75" customHeight="1">
      <c r="A830" s="1"/>
      <c r="B830" s="1"/>
      <c r="C830" s="1"/>
      <c r="D830" s="1"/>
      <c r="E830" s="1"/>
      <c r="F830" s="1"/>
      <c r="G830" s="33"/>
      <c r="H830" s="1"/>
      <c r="I830" s="33"/>
    </row>
    <row r="831" spans="1:9" ht="15.75" customHeight="1">
      <c r="A831" s="1"/>
      <c r="B831" s="1"/>
      <c r="C831" s="1"/>
      <c r="D831" s="1"/>
      <c r="E831" s="1"/>
      <c r="F831" s="1"/>
      <c r="G831" s="33"/>
      <c r="H831" s="1"/>
      <c r="I831" s="33"/>
    </row>
    <row r="832" spans="1:9" ht="15.75" customHeight="1">
      <c r="A832" s="1"/>
      <c r="B832" s="1"/>
      <c r="C832" s="1"/>
      <c r="D832" s="1"/>
      <c r="E832" s="1"/>
      <c r="F832" s="1"/>
      <c r="G832" s="33"/>
      <c r="H832" s="1"/>
      <c r="I832" s="33"/>
    </row>
    <row r="833" spans="1:9" ht="15.75" customHeight="1">
      <c r="A833" s="1"/>
      <c r="B833" s="1"/>
      <c r="C833" s="1"/>
      <c r="D833" s="1"/>
      <c r="E833" s="1"/>
      <c r="F833" s="1"/>
      <c r="G833" s="33"/>
      <c r="H833" s="1"/>
      <c r="I833" s="33"/>
    </row>
    <row r="834" spans="1:9" ht="15.75" customHeight="1">
      <c r="A834" s="1"/>
      <c r="B834" s="1"/>
      <c r="C834" s="1"/>
      <c r="D834" s="1"/>
      <c r="E834" s="1"/>
      <c r="F834" s="1"/>
      <c r="G834" s="33"/>
      <c r="H834" s="1"/>
      <c r="I834" s="33"/>
    </row>
    <row r="835" spans="1:9" ht="15.75" customHeight="1">
      <c r="A835" s="1"/>
      <c r="B835" s="1"/>
      <c r="C835" s="1"/>
      <c r="D835" s="1"/>
      <c r="E835" s="1"/>
      <c r="F835" s="1"/>
      <c r="G835" s="33"/>
      <c r="H835" s="1"/>
      <c r="I835" s="33"/>
    </row>
    <row r="836" spans="1:9" ht="15.75" customHeight="1">
      <c r="A836" s="1"/>
      <c r="B836" s="1"/>
      <c r="C836" s="1"/>
      <c r="D836" s="1"/>
      <c r="E836" s="1"/>
      <c r="F836" s="1"/>
      <c r="G836" s="33"/>
      <c r="H836" s="1"/>
      <c r="I836" s="33"/>
    </row>
    <row r="837" spans="1:9" ht="15.75" customHeight="1">
      <c r="A837" s="1"/>
      <c r="B837" s="1"/>
      <c r="C837" s="1"/>
      <c r="D837" s="1"/>
      <c r="E837" s="1"/>
      <c r="F837" s="1"/>
      <c r="G837" s="33"/>
      <c r="H837" s="1"/>
      <c r="I837" s="33"/>
    </row>
    <row r="838" spans="1:9" ht="15.75" customHeight="1">
      <c r="A838" s="1"/>
      <c r="B838" s="1"/>
      <c r="C838" s="1"/>
      <c r="D838" s="1"/>
      <c r="E838" s="1"/>
      <c r="F838" s="1"/>
      <c r="G838" s="33"/>
      <c r="H838" s="1"/>
      <c r="I838" s="33"/>
    </row>
    <row r="839" spans="1:9" ht="15.75" customHeight="1">
      <c r="A839" s="1"/>
      <c r="B839" s="1"/>
      <c r="C839" s="1"/>
      <c r="D839" s="1"/>
      <c r="E839" s="1"/>
      <c r="F839" s="1"/>
      <c r="G839" s="33"/>
      <c r="H839" s="1"/>
      <c r="I839" s="33"/>
    </row>
    <row r="840" spans="1:9" ht="15.75" customHeight="1">
      <c r="A840" s="1"/>
      <c r="B840" s="1"/>
      <c r="C840" s="1"/>
      <c r="D840" s="1"/>
      <c r="E840" s="1"/>
      <c r="F840" s="1"/>
      <c r="G840" s="33"/>
      <c r="H840" s="1"/>
      <c r="I840" s="33"/>
    </row>
    <row r="841" spans="1:9" ht="15.75" customHeight="1">
      <c r="A841" s="1"/>
      <c r="B841" s="1"/>
      <c r="C841" s="1"/>
      <c r="D841" s="1"/>
      <c r="E841" s="1"/>
      <c r="F841" s="1"/>
      <c r="G841" s="33"/>
      <c r="H841" s="1"/>
      <c r="I841" s="33"/>
    </row>
    <row r="842" spans="1:9" ht="15.75" customHeight="1">
      <c r="A842" s="1"/>
      <c r="B842" s="1"/>
      <c r="C842" s="1"/>
      <c r="D842" s="1"/>
      <c r="E842" s="1"/>
      <c r="F842" s="1"/>
      <c r="G842" s="33"/>
      <c r="H842" s="1"/>
      <c r="I842" s="33"/>
    </row>
    <row r="843" spans="1:9" ht="15.75" customHeight="1">
      <c r="A843" s="1"/>
      <c r="B843" s="1"/>
      <c r="C843" s="1"/>
      <c r="D843" s="1"/>
      <c r="E843" s="1"/>
      <c r="F843" s="1"/>
      <c r="G843" s="33"/>
      <c r="H843" s="1"/>
      <c r="I843" s="33"/>
    </row>
    <row r="844" spans="1:9" ht="15.75" customHeight="1">
      <c r="A844" s="1"/>
      <c r="B844" s="1"/>
      <c r="C844" s="1"/>
      <c r="D844" s="1"/>
      <c r="E844" s="1"/>
      <c r="F844" s="1"/>
      <c r="G844" s="33"/>
      <c r="H844" s="1"/>
      <c r="I844" s="33"/>
    </row>
    <row r="845" spans="1:9" ht="15.75" customHeight="1">
      <c r="A845" s="1"/>
      <c r="B845" s="1"/>
      <c r="C845" s="1"/>
      <c r="D845" s="1"/>
      <c r="E845" s="1"/>
      <c r="F845" s="1"/>
      <c r="G845" s="33"/>
      <c r="H845" s="1"/>
      <c r="I845" s="33"/>
    </row>
    <row r="846" spans="1:9" ht="15.75" customHeight="1">
      <c r="A846" s="1"/>
      <c r="B846" s="1"/>
      <c r="C846" s="1"/>
      <c r="D846" s="1"/>
      <c r="E846" s="1"/>
      <c r="F846" s="1"/>
      <c r="G846" s="33"/>
      <c r="H846" s="1"/>
      <c r="I846" s="33"/>
    </row>
    <row r="847" spans="1:9" ht="15.75" customHeight="1">
      <c r="A847" s="1"/>
      <c r="B847" s="1"/>
      <c r="C847" s="1"/>
      <c r="D847" s="1"/>
      <c r="E847" s="1"/>
      <c r="F847" s="1"/>
      <c r="G847" s="33"/>
      <c r="H847" s="1"/>
      <c r="I847" s="33"/>
    </row>
    <row r="848" spans="1:9" ht="15.75" customHeight="1">
      <c r="A848" s="1"/>
      <c r="B848" s="1"/>
      <c r="C848" s="1"/>
      <c r="D848" s="1"/>
      <c r="E848" s="1"/>
      <c r="F848" s="1"/>
      <c r="G848" s="33"/>
      <c r="H848" s="1"/>
      <c r="I848" s="33"/>
    </row>
    <row r="849" spans="1:9" ht="15.75" customHeight="1">
      <c r="A849" s="1"/>
      <c r="B849" s="1"/>
      <c r="C849" s="1"/>
      <c r="D849" s="1"/>
      <c r="E849" s="1"/>
      <c r="F849" s="1"/>
      <c r="G849" s="33"/>
      <c r="H849" s="1"/>
      <c r="I849" s="33"/>
    </row>
    <row r="850" spans="1:9" ht="15.75" customHeight="1">
      <c r="A850" s="1"/>
      <c r="B850" s="1"/>
      <c r="C850" s="1"/>
      <c r="D850" s="1"/>
      <c r="E850" s="1"/>
      <c r="F850" s="1"/>
      <c r="G850" s="33"/>
      <c r="H850" s="1"/>
      <c r="I850" s="33"/>
    </row>
    <row r="851" spans="1:9" ht="15.75" customHeight="1">
      <c r="A851" s="1"/>
      <c r="B851" s="1"/>
      <c r="C851" s="1"/>
      <c r="D851" s="1"/>
      <c r="E851" s="1"/>
      <c r="F851" s="1"/>
      <c r="G851" s="33"/>
      <c r="H851" s="1"/>
      <c r="I851" s="33"/>
    </row>
    <row r="852" spans="1:9" ht="15.75" customHeight="1">
      <c r="A852" s="1"/>
      <c r="B852" s="1"/>
      <c r="C852" s="1"/>
      <c r="D852" s="1"/>
      <c r="E852" s="1"/>
      <c r="F852" s="1"/>
      <c r="G852" s="33"/>
      <c r="H852" s="1"/>
      <c r="I852" s="33"/>
    </row>
    <row r="853" spans="1:9" ht="15.75" customHeight="1">
      <c r="A853" s="1"/>
      <c r="B853" s="1"/>
      <c r="C853" s="1"/>
      <c r="D853" s="1"/>
      <c r="E853" s="1"/>
      <c r="F853" s="1"/>
      <c r="G853" s="33"/>
      <c r="H853" s="1"/>
      <c r="I853" s="33"/>
    </row>
    <row r="854" spans="1:9" ht="15.75" customHeight="1">
      <c r="A854" s="1"/>
      <c r="B854" s="1"/>
      <c r="C854" s="1"/>
      <c r="D854" s="1"/>
      <c r="E854" s="1"/>
      <c r="F854" s="1"/>
      <c r="G854" s="33"/>
      <c r="H854" s="1"/>
      <c r="I854" s="33"/>
    </row>
    <row r="855" spans="1:9" ht="15.75" customHeight="1">
      <c r="A855" s="1"/>
      <c r="B855" s="1"/>
      <c r="C855" s="1"/>
      <c r="D855" s="1"/>
      <c r="E855" s="1"/>
      <c r="F855" s="1"/>
      <c r="G855" s="33"/>
      <c r="H855" s="1"/>
      <c r="I855" s="33"/>
    </row>
    <row r="856" spans="1:9" ht="15.75" customHeight="1">
      <c r="A856" s="1"/>
      <c r="B856" s="1"/>
      <c r="C856" s="1"/>
      <c r="D856" s="1"/>
      <c r="E856" s="1"/>
      <c r="F856" s="1"/>
      <c r="G856" s="33"/>
      <c r="H856" s="1"/>
      <c r="I856" s="33"/>
    </row>
    <row r="857" spans="1:9" ht="15.75" customHeight="1">
      <c r="A857" s="1"/>
      <c r="B857" s="1"/>
      <c r="C857" s="1"/>
      <c r="D857" s="1"/>
      <c r="E857" s="1"/>
      <c r="F857" s="1"/>
      <c r="G857" s="33"/>
      <c r="H857" s="1"/>
      <c r="I857" s="33"/>
    </row>
    <row r="858" spans="1:9" ht="15.75" customHeight="1">
      <c r="A858" s="1"/>
      <c r="B858" s="1"/>
      <c r="C858" s="1"/>
      <c r="D858" s="1"/>
      <c r="E858" s="1"/>
      <c r="F858" s="1"/>
      <c r="G858" s="33"/>
      <c r="H858" s="1"/>
      <c r="I858" s="33"/>
    </row>
    <row r="859" spans="1:9" ht="15.75" customHeight="1">
      <c r="A859" s="1"/>
      <c r="B859" s="1"/>
      <c r="C859" s="1"/>
      <c r="D859" s="1"/>
      <c r="E859" s="1"/>
      <c r="F859" s="1"/>
      <c r="G859" s="33"/>
      <c r="H859" s="1"/>
      <c r="I859" s="33"/>
    </row>
    <row r="860" spans="1:9" ht="15.75" customHeight="1">
      <c r="A860" s="1"/>
      <c r="B860" s="1"/>
      <c r="C860" s="1"/>
      <c r="D860" s="1"/>
      <c r="E860" s="1"/>
      <c r="F860" s="1"/>
      <c r="G860" s="33"/>
      <c r="H860" s="1"/>
      <c r="I860" s="33"/>
    </row>
    <row r="861" spans="1:9" ht="15.75" customHeight="1">
      <c r="A861" s="1"/>
      <c r="B861" s="1"/>
      <c r="C861" s="1"/>
      <c r="D861" s="1"/>
      <c r="E861" s="1"/>
      <c r="F861" s="1"/>
      <c r="G861" s="33"/>
      <c r="H861" s="1"/>
      <c r="I861" s="33"/>
    </row>
    <row r="862" spans="1:9" ht="15.75" customHeight="1">
      <c r="A862" s="1"/>
      <c r="B862" s="1"/>
      <c r="C862" s="1"/>
      <c r="D862" s="1"/>
      <c r="E862" s="1"/>
      <c r="F862" s="1"/>
      <c r="G862" s="33"/>
      <c r="H862" s="1"/>
      <c r="I862" s="33"/>
    </row>
    <row r="863" spans="1:9" ht="15.75" customHeight="1">
      <c r="A863" s="1"/>
      <c r="B863" s="1"/>
      <c r="C863" s="1"/>
      <c r="D863" s="1"/>
      <c r="E863" s="1"/>
      <c r="F863" s="1"/>
      <c r="G863" s="33"/>
      <c r="H863" s="1"/>
      <c r="I863" s="33"/>
    </row>
    <row r="864" spans="1:9" ht="15.75" customHeight="1">
      <c r="A864" s="1"/>
      <c r="B864" s="1"/>
      <c r="C864" s="1"/>
      <c r="D864" s="1"/>
      <c r="E864" s="1"/>
      <c r="F864" s="1"/>
      <c r="G864" s="33"/>
      <c r="H864" s="1"/>
      <c r="I864" s="33"/>
    </row>
    <row r="865" spans="1:9" ht="15.75" customHeight="1">
      <c r="A865" s="1"/>
      <c r="B865" s="1"/>
      <c r="C865" s="1"/>
      <c r="D865" s="1"/>
      <c r="E865" s="1"/>
      <c r="F865" s="1"/>
      <c r="G865" s="33"/>
      <c r="H865" s="1"/>
      <c r="I865" s="33"/>
    </row>
    <row r="866" spans="1:9" ht="15.75" customHeight="1">
      <c r="A866" s="1"/>
      <c r="B866" s="1"/>
      <c r="C866" s="1"/>
      <c r="D866" s="1"/>
      <c r="E866" s="1"/>
      <c r="F866" s="1"/>
      <c r="G866" s="33"/>
      <c r="H866" s="1"/>
      <c r="I866" s="33"/>
    </row>
    <row r="867" spans="1:9" ht="15.75" customHeight="1">
      <c r="A867" s="1"/>
      <c r="B867" s="1"/>
      <c r="C867" s="1"/>
      <c r="D867" s="1"/>
      <c r="E867" s="1"/>
      <c r="F867" s="1"/>
      <c r="G867" s="33"/>
      <c r="H867" s="1"/>
      <c r="I867" s="33"/>
    </row>
    <row r="868" spans="1:9" ht="15.75" customHeight="1">
      <c r="A868" s="1"/>
      <c r="B868" s="1"/>
      <c r="C868" s="1"/>
      <c r="D868" s="1"/>
      <c r="E868" s="1"/>
      <c r="F868" s="1"/>
      <c r="G868" s="33"/>
      <c r="H868" s="1"/>
      <c r="I868" s="33"/>
    </row>
    <row r="869" spans="1:9" ht="15.75" customHeight="1">
      <c r="A869" s="1"/>
      <c r="B869" s="1"/>
      <c r="C869" s="1"/>
      <c r="D869" s="1"/>
      <c r="E869" s="1"/>
      <c r="F869" s="1"/>
      <c r="G869" s="33"/>
      <c r="H869" s="1"/>
      <c r="I869" s="33"/>
    </row>
    <row r="870" spans="1:9" ht="15.75" customHeight="1">
      <c r="A870" s="1"/>
      <c r="B870" s="1"/>
      <c r="C870" s="1"/>
      <c r="D870" s="1"/>
      <c r="E870" s="1"/>
      <c r="F870" s="1"/>
      <c r="G870" s="33"/>
      <c r="H870" s="1"/>
      <c r="I870" s="33"/>
    </row>
    <row r="871" spans="1:9" ht="15.75" customHeight="1">
      <c r="A871" s="1"/>
      <c r="B871" s="1"/>
      <c r="C871" s="1"/>
      <c r="D871" s="1"/>
      <c r="E871" s="1"/>
      <c r="F871" s="1"/>
      <c r="G871" s="33"/>
      <c r="H871" s="1"/>
      <c r="I871" s="33"/>
    </row>
    <row r="872" spans="1:9" ht="15.75" customHeight="1">
      <c r="A872" s="1"/>
      <c r="B872" s="1"/>
      <c r="C872" s="1"/>
      <c r="D872" s="1"/>
      <c r="E872" s="1"/>
      <c r="F872" s="1"/>
      <c r="G872" s="33"/>
      <c r="H872" s="1"/>
      <c r="I872" s="33"/>
    </row>
    <row r="873" spans="1:9" ht="15.75" customHeight="1">
      <c r="A873" s="1"/>
      <c r="B873" s="1"/>
      <c r="C873" s="1"/>
      <c r="D873" s="1"/>
      <c r="E873" s="1"/>
      <c r="F873" s="1"/>
      <c r="G873" s="33"/>
      <c r="H873" s="1"/>
      <c r="I873" s="33"/>
    </row>
    <row r="874" spans="1:9" ht="15.75" customHeight="1">
      <c r="A874" s="1"/>
      <c r="B874" s="1"/>
      <c r="C874" s="1"/>
      <c r="D874" s="1"/>
      <c r="E874" s="1"/>
      <c r="F874" s="1"/>
      <c r="G874" s="33"/>
      <c r="H874" s="1"/>
      <c r="I874" s="33"/>
    </row>
    <row r="875" spans="1:9" ht="15.75" customHeight="1">
      <c r="A875" s="1"/>
      <c r="B875" s="1"/>
      <c r="C875" s="1"/>
      <c r="D875" s="1"/>
      <c r="E875" s="1"/>
      <c r="F875" s="1"/>
      <c r="G875" s="33"/>
      <c r="H875" s="1"/>
      <c r="I875" s="33"/>
    </row>
    <row r="876" spans="1:9" ht="15.75" customHeight="1">
      <c r="A876" s="1"/>
      <c r="B876" s="1"/>
      <c r="C876" s="1"/>
      <c r="D876" s="1"/>
      <c r="E876" s="1"/>
      <c r="F876" s="1"/>
      <c r="G876" s="33"/>
      <c r="H876" s="1"/>
      <c r="I876" s="33"/>
    </row>
    <row r="877" spans="1:9" ht="15.75" customHeight="1">
      <c r="A877" s="1"/>
      <c r="B877" s="1"/>
      <c r="C877" s="1"/>
      <c r="D877" s="1"/>
      <c r="E877" s="1"/>
      <c r="F877" s="1"/>
      <c r="G877" s="33"/>
      <c r="H877" s="1"/>
      <c r="I877" s="33"/>
    </row>
    <row r="878" spans="1:9" ht="15.75" customHeight="1">
      <c r="A878" s="1"/>
      <c r="B878" s="1"/>
      <c r="C878" s="1"/>
      <c r="D878" s="1"/>
      <c r="E878" s="1"/>
      <c r="F878" s="1"/>
      <c r="G878" s="33"/>
      <c r="H878" s="1"/>
      <c r="I878" s="33"/>
    </row>
    <row r="879" spans="1:9" ht="15.75" customHeight="1">
      <c r="A879" s="1"/>
      <c r="B879" s="1"/>
      <c r="C879" s="1"/>
      <c r="D879" s="1"/>
      <c r="E879" s="1"/>
      <c r="F879" s="1"/>
      <c r="G879" s="33"/>
      <c r="H879" s="1"/>
      <c r="I879" s="33"/>
    </row>
    <row r="880" spans="1:9" ht="15.75" customHeight="1">
      <c r="A880" s="1"/>
      <c r="B880" s="1"/>
      <c r="C880" s="1"/>
      <c r="D880" s="1"/>
      <c r="E880" s="1"/>
      <c r="F880" s="1"/>
      <c r="G880" s="33"/>
      <c r="H880" s="1"/>
      <c r="I880" s="33"/>
    </row>
    <row r="881" spans="1:9" ht="15.75" customHeight="1">
      <c r="A881" s="1"/>
      <c r="B881" s="1"/>
      <c r="C881" s="1"/>
      <c r="D881" s="1"/>
      <c r="E881" s="1"/>
      <c r="F881" s="1"/>
      <c r="G881" s="33"/>
      <c r="H881" s="1"/>
      <c r="I881" s="33"/>
    </row>
    <row r="882" spans="1:9" ht="15.75" customHeight="1">
      <c r="A882" s="1"/>
      <c r="B882" s="1"/>
      <c r="C882" s="1"/>
      <c r="D882" s="1"/>
      <c r="E882" s="1"/>
      <c r="F882" s="1"/>
      <c r="G882" s="33"/>
      <c r="H882" s="1"/>
      <c r="I882" s="33"/>
    </row>
    <row r="883" spans="1:9" ht="15.75" customHeight="1">
      <c r="A883" s="1"/>
      <c r="B883" s="1"/>
      <c r="C883" s="1"/>
      <c r="D883" s="1"/>
      <c r="E883" s="1"/>
      <c r="F883" s="1"/>
      <c r="G883" s="33"/>
      <c r="H883" s="1"/>
      <c r="I883" s="33"/>
    </row>
    <row r="884" spans="1:9" ht="15.75" customHeight="1">
      <c r="A884" s="1"/>
      <c r="B884" s="1"/>
      <c r="C884" s="1"/>
      <c r="D884" s="1"/>
      <c r="E884" s="1"/>
      <c r="F884" s="1"/>
      <c r="G884" s="33"/>
      <c r="H884" s="1"/>
      <c r="I884" s="33"/>
    </row>
    <row r="885" spans="1:9" ht="15.75" customHeight="1">
      <c r="A885" s="1"/>
      <c r="B885" s="1"/>
      <c r="C885" s="1"/>
      <c r="D885" s="1"/>
      <c r="E885" s="1"/>
      <c r="F885" s="1"/>
      <c r="G885" s="33"/>
      <c r="H885" s="1"/>
      <c r="I885" s="33"/>
    </row>
    <row r="886" spans="1:9" ht="15.75" customHeight="1">
      <c r="A886" s="1"/>
      <c r="B886" s="1"/>
      <c r="C886" s="1"/>
      <c r="D886" s="1"/>
      <c r="E886" s="1"/>
      <c r="F886" s="1"/>
      <c r="G886" s="33"/>
      <c r="H886" s="1"/>
      <c r="I886" s="33"/>
    </row>
    <row r="887" spans="1:9" ht="15.75" customHeight="1">
      <c r="A887" s="1"/>
      <c r="B887" s="1"/>
      <c r="C887" s="1"/>
      <c r="D887" s="1"/>
      <c r="E887" s="1"/>
      <c r="F887" s="1"/>
      <c r="G887" s="33"/>
      <c r="H887" s="1"/>
      <c r="I887" s="33"/>
    </row>
    <row r="888" spans="1:9" ht="15.75" customHeight="1">
      <c r="A888" s="1"/>
      <c r="B888" s="1"/>
      <c r="C888" s="1"/>
      <c r="D888" s="1"/>
      <c r="E888" s="1"/>
      <c r="F888" s="1"/>
      <c r="G888" s="33"/>
      <c r="H888" s="1"/>
      <c r="I888" s="33"/>
    </row>
    <row r="889" spans="1:9" ht="15.75" customHeight="1">
      <c r="A889" s="1"/>
      <c r="B889" s="1"/>
      <c r="C889" s="1"/>
      <c r="D889" s="1"/>
      <c r="E889" s="1"/>
      <c r="F889" s="1"/>
      <c r="G889" s="33"/>
      <c r="H889" s="1"/>
      <c r="I889" s="33"/>
    </row>
    <row r="890" spans="1:9" ht="15.75" customHeight="1">
      <c r="A890" s="1"/>
      <c r="B890" s="1"/>
      <c r="C890" s="1"/>
      <c r="D890" s="1"/>
      <c r="E890" s="1"/>
      <c r="F890" s="1"/>
      <c r="G890" s="33"/>
      <c r="H890" s="1"/>
      <c r="I890" s="33"/>
    </row>
    <row r="891" spans="1:9" ht="15.75" customHeight="1">
      <c r="A891" s="1"/>
      <c r="B891" s="1"/>
      <c r="C891" s="1"/>
      <c r="D891" s="1"/>
      <c r="E891" s="1"/>
      <c r="F891" s="1"/>
      <c r="G891" s="33"/>
      <c r="H891" s="1"/>
      <c r="I891" s="33"/>
    </row>
    <row r="892" spans="1:9" ht="15.75" customHeight="1">
      <c r="A892" s="1"/>
      <c r="B892" s="1"/>
      <c r="C892" s="1"/>
      <c r="D892" s="1"/>
      <c r="E892" s="1"/>
      <c r="F892" s="1"/>
      <c r="G892" s="33"/>
      <c r="H892" s="1"/>
      <c r="I892" s="33"/>
    </row>
    <row r="893" spans="1:9" ht="15.75" customHeight="1">
      <c r="A893" s="1"/>
      <c r="B893" s="1"/>
      <c r="C893" s="1"/>
      <c r="D893" s="1"/>
      <c r="E893" s="1"/>
      <c r="F893" s="1"/>
      <c r="G893" s="33"/>
      <c r="H893" s="1"/>
      <c r="I893" s="33"/>
    </row>
    <row r="894" spans="1:9" ht="15.75" customHeight="1">
      <c r="A894" s="1"/>
      <c r="B894" s="1"/>
      <c r="C894" s="1"/>
      <c r="D894" s="1"/>
      <c r="E894" s="1"/>
      <c r="F894" s="1"/>
      <c r="G894" s="33"/>
      <c r="H894" s="1"/>
      <c r="I894" s="33"/>
    </row>
    <row r="895" spans="1:9" ht="15.75" customHeight="1">
      <c r="A895" s="1"/>
      <c r="B895" s="1"/>
      <c r="C895" s="1"/>
      <c r="D895" s="1"/>
      <c r="E895" s="1"/>
      <c r="F895" s="1"/>
      <c r="G895" s="33"/>
      <c r="H895" s="1"/>
      <c r="I895" s="33"/>
    </row>
    <row r="896" spans="1:9" ht="15.75" customHeight="1">
      <c r="A896" s="1"/>
      <c r="B896" s="1"/>
      <c r="C896" s="1"/>
      <c r="D896" s="1"/>
      <c r="E896" s="1"/>
      <c r="F896" s="1"/>
      <c r="G896" s="33"/>
      <c r="H896" s="1"/>
      <c r="I896" s="33"/>
    </row>
    <row r="897" spans="1:9" ht="15.75" customHeight="1">
      <c r="A897" s="1"/>
      <c r="B897" s="1"/>
      <c r="C897" s="1"/>
      <c r="D897" s="1"/>
      <c r="E897" s="1"/>
      <c r="F897" s="1"/>
      <c r="G897" s="33"/>
      <c r="H897" s="1"/>
      <c r="I897" s="33"/>
    </row>
    <row r="898" spans="1:9" ht="15.75" customHeight="1">
      <c r="A898" s="1"/>
      <c r="B898" s="1"/>
      <c r="C898" s="1"/>
      <c r="D898" s="1"/>
      <c r="E898" s="1"/>
      <c r="F898" s="1"/>
      <c r="G898" s="33"/>
      <c r="H898" s="1"/>
      <c r="I898" s="33"/>
    </row>
    <row r="899" spans="1:9" ht="15.75" customHeight="1">
      <c r="A899" s="1"/>
      <c r="B899" s="1"/>
      <c r="C899" s="1"/>
      <c r="D899" s="1"/>
      <c r="E899" s="1"/>
      <c r="F899" s="1"/>
      <c r="G899" s="33"/>
      <c r="H899" s="1"/>
      <c r="I899" s="33"/>
    </row>
    <row r="900" spans="1:9" ht="15.75" customHeight="1">
      <c r="A900" s="1"/>
      <c r="B900" s="1"/>
      <c r="C900" s="1"/>
      <c r="D900" s="1"/>
      <c r="E900" s="1"/>
      <c r="F900" s="1"/>
      <c r="G900" s="33"/>
      <c r="H900" s="1"/>
      <c r="I900" s="33"/>
    </row>
    <row r="901" spans="1:9" ht="15.75" customHeight="1">
      <c r="A901" s="1"/>
      <c r="B901" s="1"/>
      <c r="C901" s="1"/>
      <c r="D901" s="1"/>
      <c r="E901" s="1"/>
      <c r="F901" s="1"/>
      <c r="G901" s="33"/>
      <c r="H901" s="1"/>
      <c r="I901" s="33"/>
    </row>
    <row r="902" spans="1:9" ht="15.75" customHeight="1">
      <c r="A902" s="1"/>
      <c r="B902" s="1"/>
      <c r="C902" s="1"/>
      <c r="D902" s="1"/>
      <c r="E902" s="1"/>
      <c r="F902" s="1"/>
      <c r="G902" s="33"/>
      <c r="H902" s="1"/>
      <c r="I902" s="33"/>
    </row>
    <row r="903" spans="1:9" ht="15.75" customHeight="1">
      <c r="A903" s="1"/>
      <c r="B903" s="1"/>
      <c r="C903" s="1"/>
      <c r="D903" s="1"/>
      <c r="E903" s="1"/>
      <c r="F903" s="1"/>
      <c r="G903" s="33"/>
      <c r="H903" s="1"/>
      <c r="I903" s="33"/>
    </row>
    <row r="904" spans="1:9" ht="15.75" customHeight="1">
      <c r="A904" s="1"/>
      <c r="B904" s="1"/>
      <c r="C904" s="1"/>
      <c r="D904" s="1"/>
      <c r="E904" s="1"/>
      <c r="F904" s="1"/>
      <c r="G904" s="33"/>
      <c r="H904" s="1"/>
      <c r="I904" s="33"/>
    </row>
    <row r="905" spans="1:9" ht="15.75" customHeight="1">
      <c r="A905" s="1"/>
      <c r="B905" s="1"/>
      <c r="C905" s="1"/>
      <c r="D905" s="1"/>
      <c r="E905" s="1"/>
      <c r="F905" s="1"/>
      <c r="G905" s="33"/>
      <c r="H905" s="1"/>
      <c r="I905" s="33"/>
    </row>
    <row r="906" spans="1:9" ht="15.75" customHeight="1">
      <c r="A906" s="1"/>
      <c r="B906" s="1"/>
      <c r="C906" s="1"/>
      <c r="D906" s="1"/>
      <c r="E906" s="1"/>
      <c r="F906" s="1"/>
      <c r="G906" s="33"/>
      <c r="H906" s="1"/>
      <c r="I906" s="33"/>
    </row>
    <row r="907" spans="1:9" ht="15.75" customHeight="1">
      <c r="A907" s="1"/>
      <c r="B907" s="1"/>
      <c r="C907" s="1"/>
      <c r="D907" s="1"/>
      <c r="E907" s="1"/>
      <c r="F907" s="1"/>
      <c r="G907" s="33"/>
      <c r="H907" s="1"/>
      <c r="I907" s="33"/>
    </row>
    <row r="908" spans="1:9" ht="15.75" customHeight="1">
      <c r="A908" s="1"/>
      <c r="B908" s="1"/>
      <c r="C908" s="1"/>
      <c r="D908" s="1"/>
      <c r="E908" s="1"/>
      <c r="F908" s="1"/>
      <c r="G908" s="33"/>
      <c r="H908" s="1"/>
      <c r="I908" s="33"/>
    </row>
    <row r="909" spans="1:9" ht="15.75" customHeight="1">
      <c r="A909" s="1"/>
      <c r="B909" s="1"/>
      <c r="C909" s="1"/>
      <c r="D909" s="1"/>
      <c r="E909" s="1"/>
      <c r="F909" s="1"/>
      <c r="G909" s="33"/>
      <c r="H909" s="1"/>
      <c r="I909" s="33"/>
    </row>
    <row r="910" spans="1:9" ht="15.75" customHeight="1">
      <c r="A910" s="1"/>
      <c r="B910" s="1"/>
      <c r="C910" s="1"/>
      <c r="D910" s="1"/>
      <c r="E910" s="1"/>
      <c r="F910" s="1"/>
      <c r="G910" s="33"/>
      <c r="H910" s="1"/>
      <c r="I910" s="33"/>
    </row>
    <row r="911" spans="1:9" ht="15.75" customHeight="1">
      <c r="A911" s="1"/>
      <c r="B911" s="1"/>
      <c r="C911" s="1"/>
      <c r="D911" s="1"/>
      <c r="E911" s="1"/>
      <c r="F911" s="1"/>
      <c r="G911" s="33"/>
      <c r="H911" s="1"/>
      <c r="I911" s="33"/>
    </row>
    <row r="912" spans="1:9" ht="15.75" customHeight="1">
      <c r="A912" s="1"/>
      <c r="B912" s="1"/>
      <c r="C912" s="1"/>
      <c r="D912" s="1"/>
      <c r="E912" s="1"/>
      <c r="F912" s="1"/>
      <c r="G912" s="33"/>
      <c r="H912" s="1"/>
      <c r="I912" s="33"/>
    </row>
    <row r="913" spans="1:9" ht="15.75" customHeight="1">
      <c r="A913" s="1"/>
      <c r="B913" s="1"/>
      <c r="C913" s="1"/>
      <c r="D913" s="1"/>
      <c r="E913" s="1"/>
      <c r="F913" s="1"/>
      <c r="G913" s="33"/>
      <c r="H913" s="1"/>
      <c r="I913" s="33"/>
    </row>
    <row r="914" spans="1:9" ht="15.75" customHeight="1">
      <c r="A914" s="1"/>
      <c r="B914" s="1"/>
      <c r="C914" s="1"/>
      <c r="D914" s="1"/>
      <c r="E914" s="1"/>
      <c r="F914" s="1"/>
      <c r="G914" s="33"/>
      <c r="H914" s="1"/>
      <c r="I914" s="33"/>
    </row>
    <row r="915" spans="1:9" ht="15.75" customHeight="1">
      <c r="A915" s="1"/>
      <c r="B915" s="1"/>
      <c r="C915" s="1"/>
      <c r="D915" s="1"/>
      <c r="E915" s="1"/>
      <c r="F915" s="1"/>
      <c r="G915" s="33"/>
      <c r="H915" s="1"/>
      <c r="I915" s="33"/>
    </row>
    <row r="916" spans="1:9" ht="15.75" customHeight="1">
      <c r="A916" s="1"/>
      <c r="B916" s="1"/>
      <c r="C916" s="1"/>
      <c r="D916" s="1"/>
      <c r="E916" s="1"/>
      <c r="F916" s="1"/>
      <c r="G916" s="33"/>
      <c r="H916" s="1"/>
      <c r="I916" s="33"/>
    </row>
    <row r="917" spans="1:9" ht="15.75" customHeight="1">
      <c r="A917" s="1"/>
      <c r="B917" s="1"/>
      <c r="C917" s="1"/>
      <c r="D917" s="1"/>
      <c r="E917" s="1"/>
      <c r="F917" s="1"/>
      <c r="G917" s="33"/>
      <c r="H917" s="1"/>
      <c r="I917" s="33"/>
    </row>
    <row r="918" spans="1:9" ht="15.75" customHeight="1">
      <c r="A918" s="1"/>
      <c r="B918" s="1"/>
      <c r="C918" s="1"/>
      <c r="D918" s="1"/>
      <c r="E918" s="1"/>
      <c r="F918" s="1"/>
      <c r="G918" s="33"/>
      <c r="H918" s="1"/>
      <c r="I918" s="33"/>
    </row>
    <row r="919" spans="1:9" ht="15.75" customHeight="1">
      <c r="A919" s="1"/>
      <c r="B919" s="1"/>
      <c r="C919" s="1"/>
      <c r="D919" s="1"/>
      <c r="E919" s="1"/>
      <c r="F919" s="1"/>
      <c r="G919" s="33"/>
      <c r="H919" s="1"/>
      <c r="I919" s="33"/>
    </row>
    <row r="920" spans="1:9" ht="15.75" customHeight="1">
      <c r="A920" s="1"/>
      <c r="B920" s="1"/>
      <c r="C920" s="1"/>
      <c r="D920" s="1"/>
      <c r="E920" s="1"/>
      <c r="F920" s="1"/>
      <c r="G920" s="33"/>
      <c r="H920" s="1"/>
      <c r="I920" s="33"/>
    </row>
    <row r="921" spans="1:9" ht="15.75" customHeight="1">
      <c r="A921" s="1"/>
      <c r="B921" s="1"/>
      <c r="C921" s="1"/>
      <c r="D921" s="1"/>
      <c r="E921" s="1"/>
      <c r="F921" s="1"/>
      <c r="G921" s="33"/>
      <c r="H921" s="1"/>
      <c r="I921" s="33"/>
    </row>
    <row r="922" spans="1:9" ht="15.75" customHeight="1">
      <c r="A922" s="1"/>
      <c r="B922" s="1"/>
      <c r="C922" s="1"/>
      <c r="D922" s="1"/>
      <c r="E922" s="1"/>
      <c r="F922" s="1"/>
      <c r="G922" s="33"/>
      <c r="H922" s="1"/>
      <c r="I922" s="33"/>
    </row>
    <row r="923" spans="1:9" ht="15.75" customHeight="1">
      <c r="A923" s="1"/>
      <c r="B923" s="1"/>
      <c r="C923" s="1"/>
      <c r="D923" s="1"/>
      <c r="E923" s="1"/>
      <c r="F923" s="1"/>
      <c r="G923" s="33"/>
      <c r="H923" s="1"/>
      <c r="I923" s="33"/>
    </row>
    <row r="924" spans="1:9" ht="15.75" customHeight="1">
      <c r="A924" s="1"/>
      <c r="B924" s="1"/>
      <c r="C924" s="1"/>
      <c r="D924" s="1"/>
      <c r="E924" s="1"/>
      <c r="F924" s="1"/>
      <c r="G924" s="33"/>
      <c r="H924" s="1"/>
      <c r="I924" s="33"/>
    </row>
    <row r="925" spans="1:9" ht="15.75" customHeight="1">
      <c r="A925" s="1"/>
      <c r="B925" s="1"/>
      <c r="C925" s="1"/>
      <c r="D925" s="1"/>
      <c r="E925" s="1"/>
      <c r="F925" s="1"/>
      <c r="G925" s="33"/>
      <c r="H925" s="1"/>
      <c r="I925" s="33"/>
    </row>
    <row r="926" spans="1:9" ht="15.75" customHeight="1">
      <c r="A926" s="1"/>
      <c r="B926" s="1"/>
      <c r="C926" s="1"/>
      <c r="D926" s="1"/>
      <c r="E926" s="1"/>
      <c r="F926" s="1"/>
      <c r="G926" s="33"/>
      <c r="H926" s="1"/>
      <c r="I926" s="33"/>
    </row>
    <row r="927" spans="1:9" ht="15.75" customHeight="1">
      <c r="A927" s="1"/>
      <c r="B927" s="1"/>
      <c r="C927" s="1"/>
      <c r="D927" s="1"/>
      <c r="E927" s="1"/>
      <c r="F927" s="1"/>
      <c r="G927" s="33"/>
      <c r="H927" s="1"/>
      <c r="I927" s="33"/>
    </row>
    <row r="928" spans="1:9" ht="15.75" customHeight="1">
      <c r="A928" s="1"/>
      <c r="B928" s="1"/>
      <c r="C928" s="1"/>
      <c r="D928" s="1"/>
      <c r="E928" s="1"/>
      <c r="F928" s="1"/>
      <c r="G928" s="33"/>
      <c r="H928" s="1"/>
      <c r="I928" s="33"/>
    </row>
    <row r="929" spans="1:9" ht="15.75" customHeight="1">
      <c r="A929" s="1"/>
      <c r="B929" s="1"/>
      <c r="C929" s="1"/>
      <c r="D929" s="1"/>
      <c r="E929" s="1"/>
      <c r="F929" s="1"/>
      <c r="G929" s="33"/>
      <c r="H929" s="1"/>
      <c r="I929" s="33"/>
    </row>
    <row r="930" spans="1:9" ht="15.75" customHeight="1">
      <c r="A930" s="1"/>
      <c r="B930" s="1"/>
      <c r="C930" s="1"/>
      <c r="D930" s="1"/>
      <c r="E930" s="1"/>
      <c r="F930" s="1"/>
      <c r="G930" s="33"/>
      <c r="H930" s="1"/>
      <c r="I930" s="33"/>
    </row>
    <row r="931" spans="1:9" ht="15.75" customHeight="1">
      <c r="A931" s="1"/>
      <c r="B931" s="1"/>
      <c r="C931" s="1"/>
      <c r="D931" s="1"/>
      <c r="E931" s="1"/>
      <c r="F931" s="1"/>
      <c r="G931" s="33"/>
      <c r="H931" s="1"/>
      <c r="I931" s="33"/>
    </row>
    <row r="932" spans="1:9" ht="15.75" customHeight="1">
      <c r="A932" s="1"/>
      <c r="B932" s="1"/>
      <c r="C932" s="1"/>
      <c r="D932" s="1"/>
      <c r="E932" s="1"/>
      <c r="F932" s="1"/>
      <c r="G932" s="33"/>
      <c r="H932" s="1"/>
      <c r="I932" s="33"/>
    </row>
    <row r="933" spans="1:9" ht="15.75" customHeight="1">
      <c r="A933" s="1"/>
      <c r="B933" s="1"/>
      <c r="C933" s="1"/>
      <c r="D933" s="1"/>
      <c r="E933" s="1"/>
      <c r="F933" s="1"/>
      <c r="G933" s="33"/>
      <c r="H933" s="1"/>
      <c r="I933" s="33"/>
    </row>
    <row r="934" spans="1:9" ht="15.75" customHeight="1">
      <c r="A934" s="1"/>
      <c r="B934" s="1"/>
      <c r="C934" s="1"/>
      <c r="D934" s="1"/>
      <c r="E934" s="1"/>
      <c r="F934" s="1"/>
      <c r="G934" s="33"/>
      <c r="H934" s="1"/>
      <c r="I934" s="33"/>
    </row>
    <row r="935" spans="1:9" ht="15.75" customHeight="1">
      <c r="A935" s="1"/>
      <c r="B935" s="1"/>
      <c r="C935" s="1"/>
      <c r="D935" s="1"/>
      <c r="E935" s="1"/>
      <c r="F935" s="1"/>
      <c r="G935" s="33"/>
      <c r="H935" s="1"/>
      <c r="I935" s="33"/>
    </row>
    <row r="936" spans="1:9" ht="15.75" customHeight="1">
      <c r="A936" s="1"/>
      <c r="B936" s="1"/>
      <c r="C936" s="1"/>
      <c r="D936" s="1"/>
      <c r="E936" s="1"/>
      <c r="F936" s="1"/>
      <c r="G936" s="33"/>
      <c r="H936" s="1"/>
      <c r="I936" s="33"/>
    </row>
    <row r="937" spans="1:9" ht="15.75" customHeight="1">
      <c r="A937" s="1"/>
      <c r="B937" s="1"/>
      <c r="C937" s="1"/>
      <c r="D937" s="1"/>
      <c r="E937" s="1"/>
      <c r="F937" s="1"/>
      <c r="G937" s="33"/>
      <c r="H937" s="1"/>
      <c r="I937" s="33"/>
    </row>
    <row r="938" spans="1:9" ht="15.75" customHeight="1">
      <c r="A938" s="1"/>
      <c r="B938" s="1"/>
      <c r="C938" s="1"/>
      <c r="D938" s="1"/>
      <c r="E938" s="1"/>
      <c r="F938" s="1"/>
      <c r="G938" s="33"/>
      <c r="H938" s="1"/>
      <c r="I938" s="33"/>
    </row>
    <row r="939" spans="1:9" ht="15.75" customHeight="1">
      <c r="A939" s="1"/>
      <c r="B939" s="1"/>
      <c r="C939" s="1"/>
      <c r="D939" s="1"/>
      <c r="E939" s="1"/>
      <c r="F939" s="1"/>
      <c r="G939" s="33"/>
      <c r="H939" s="1"/>
      <c r="I939" s="33"/>
    </row>
    <row r="940" spans="1:9" ht="15.75" customHeight="1">
      <c r="A940" s="1"/>
      <c r="B940" s="1"/>
      <c r="C940" s="1"/>
      <c r="D940" s="1"/>
      <c r="E940" s="1"/>
      <c r="F940" s="1"/>
      <c r="G940" s="33"/>
      <c r="H940" s="1"/>
      <c r="I940" s="33"/>
    </row>
    <row r="941" spans="1:9" ht="15.75" customHeight="1">
      <c r="A941" s="1"/>
      <c r="B941" s="1"/>
      <c r="C941" s="1"/>
      <c r="D941" s="1"/>
      <c r="E941" s="1"/>
      <c r="F941" s="1"/>
      <c r="G941" s="33"/>
      <c r="H941" s="1"/>
      <c r="I941" s="33"/>
    </row>
    <row r="942" spans="1:9" ht="15.75" customHeight="1">
      <c r="A942" s="1"/>
      <c r="B942" s="1"/>
      <c r="C942" s="1"/>
      <c r="D942" s="1"/>
      <c r="E942" s="1"/>
      <c r="F942" s="1"/>
      <c r="G942" s="33"/>
      <c r="H942" s="1"/>
      <c r="I942" s="33"/>
    </row>
    <row r="943" spans="1:9" ht="15.75" customHeight="1">
      <c r="A943" s="1"/>
      <c r="B943" s="1"/>
      <c r="C943" s="1"/>
      <c r="D943" s="1"/>
      <c r="E943" s="1"/>
      <c r="F943" s="1"/>
      <c r="G943" s="33"/>
      <c r="H943" s="1"/>
      <c r="I943" s="33"/>
    </row>
    <row r="944" spans="1:9" ht="15.75" customHeight="1">
      <c r="A944" s="1"/>
      <c r="B944" s="1"/>
      <c r="C944" s="1"/>
      <c r="D944" s="1"/>
      <c r="E944" s="1"/>
      <c r="F944" s="1"/>
      <c r="G944" s="33"/>
      <c r="H944" s="1"/>
      <c r="I944" s="33"/>
    </row>
    <row r="945" spans="1:9" ht="15.75" customHeight="1">
      <c r="A945" s="1"/>
      <c r="B945" s="1"/>
      <c r="C945" s="1"/>
      <c r="D945" s="1"/>
      <c r="E945" s="1"/>
      <c r="F945" s="1"/>
      <c r="G945" s="33"/>
      <c r="H945" s="1"/>
      <c r="I945" s="33"/>
    </row>
    <row r="946" spans="1:9" ht="15.75" customHeight="1">
      <c r="A946" s="1"/>
      <c r="B946" s="1"/>
      <c r="C946" s="1"/>
      <c r="D946" s="1"/>
      <c r="E946" s="1"/>
      <c r="F946" s="1"/>
      <c r="G946" s="33"/>
      <c r="H946" s="1"/>
      <c r="I946" s="33"/>
    </row>
    <row r="947" spans="1:9" ht="15.75" customHeight="1">
      <c r="A947" s="1"/>
      <c r="B947" s="1"/>
      <c r="C947" s="1"/>
      <c r="D947" s="1"/>
      <c r="E947" s="1"/>
      <c r="F947" s="1"/>
      <c r="G947" s="33"/>
      <c r="H947" s="1"/>
      <c r="I947" s="33"/>
    </row>
    <row r="948" spans="1:9" ht="15.75" customHeight="1">
      <c r="A948" s="1"/>
      <c r="B948" s="1"/>
      <c r="C948" s="1"/>
      <c r="D948" s="1"/>
      <c r="E948" s="1"/>
      <c r="F948" s="1"/>
      <c r="G948" s="33"/>
      <c r="H948" s="1"/>
      <c r="I948" s="33"/>
    </row>
    <row r="949" spans="1:9" ht="15.75" customHeight="1">
      <c r="A949" s="1"/>
      <c r="B949" s="1"/>
      <c r="C949" s="1"/>
      <c r="D949" s="1"/>
      <c r="E949" s="1"/>
      <c r="F949" s="1"/>
      <c r="G949" s="33"/>
      <c r="H949" s="1"/>
      <c r="I949" s="33"/>
    </row>
    <row r="950" spans="1:9" ht="15.75" customHeight="1">
      <c r="A950" s="1"/>
      <c r="B950" s="1"/>
      <c r="C950" s="1"/>
      <c r="D950" s="1"/>
      <c r="E950" s="1"/>
      <c r="F950" s="1"/>
      <c r="G950" s="33"/>
      <c r="H950" s="1"/>
      <c r="I950" s="33"/>
    </row>
    <row r="951" spans="1:9" ht="15.75" customHeight="1">
      <c r="A951" s="1"/>
      <c r="B951" s="1"/>
      <c r="C951" s="1"/>
      <c r="D951" s="1"/>
      <c r="E951" s="1"/>
      <c r="F951" s="1"/>
      <c r="G951" s="33"/>
      <c r="H951" s="1"/>
      <c r="I951" s="33"/>
    </row>
    <row r="952" spans="1:9" ht="15.75" customHeight="1">
      <c r="A952" s="1"/>
      <c r="B952" s="1"/>
      <c r="C952" s="1"/>
      <c r="D952" s="1"/>
      <c r="E952" s="1"/>
      <c r="F952" s="1"/>
      <c r="G952" s="33"/>
      <c r="H952" s="1"/>
      <c r="I952" s="33"/>
    </row>
    <row r="953" spans="1:9" ht="15.75" customHeight="1">
      <c r="A953" s="1"/>
      <c r="B953" s="1"/>
      <c r="C953" s="1"/>
      <c r="D953" s="1"/>
      <c r="E953" s="1"/>
      <c r="F953" s="1"/>
      <c r="G953" s="33"/>
      <c r="H953" s="1"/>
      <c r="I953" s="33"/>
    </row>
    <row r="954" spans="1:9" ht="15.75" customHeight="1">
      <c r="A954" s="1"/>
      <c r="B954" s="1"/>
      <c r="C954" s="1"/>
      <c r="D954" s="1"/>
      <c r="E954" s="1"/>
      <c r="F954" s="1"/>
      <c r="G954" s="33"/>
      <c r="H954" s="1"/>
      <c r="I954" s="33"/>
    </row>
    <row r="955" spans="1:9" ht="15.75" customHeight="1">
      <c r="A955" s="1"/>
      <c r="B955" s="1"/>
      <c r="C955" s="1"/>
      <c r="D955" s="1"/>
      <c r="E955" s="1"/>
      <c r="F955" s="1"/>
      <c r="G955" s="33"/>
      <c r="H955" s="1"/>
      <c r="I955" s="33"/>
    </row>
    <row r="956" spans="1:9" ht="15.75" customHeight="1">
      <c r="A956" s="1"/>
      <c r="B956" s="1"/>
      <c r="C956" s="1"/>
      <c r="D956" s="1"/>
      <c r="E956" s="1"/>
      <c r="F956" s="1"/>
      <c r="G956" s="33"/>
      <c r="H956" s="1"/>
      <c r="I956" s="33"/>
    </row>
    <row r="957" spans="1:9" ht="15.75" customHeight="1">
      <c r="A957" s="1"/>
      <c r="B957" s="1"/>
      <c r="C957" s="1"/>
      <c r="D957" s="1"/>
      <c r="E957" s="1"/>
      <c r="F957" s="1"/>
      <c r="G957" s="33"/>
      <c r="H957" s="1"/>
      <c r="I957" s="33"/>
    </row>
    <row r="958" spans="1:9" ht="15.75" customHeight="1">
      <c r="A958" s="1"/>
      <c r="B958" s="1"/>
      <c r="C958" s="1"/>
      <c r="D958" s="1"/>
      <c r="E958" s="1"/>
      <c r="F958" s="1"/>
      <c r="G958" s="33"/>
      <c r="H958" s="1"/>
      <c r="I958" s="33"/>
    </row>
    <row r="959" spans="1:9" ht="15.75" customHeight="1">
      <c r="A959" s="1"/>
      <c r="B959" s="1"/>
      <c r="C959" s="1"/>
      <c r="D959" s="1"/>
      <c r="E959" s="1"/>
      <c r="F959" s="1"/>
      <c r="G959" s="33"/>
      <c r="H959" s="1"/>
      <c r="I959" s="33"/>
    </row>
    <row r="960" spans="1:9" ht="15.75" customHeight="1">
      <c r="A960" s="1"/>
      <c r="B960" s="1"/>
      <c r="C960" s="1"/>
      <c r="D960" s="1"/>
      <c r="E960" s="1"/>
      <c r="F960" s="1"/>
      <c r="G960" s="33"/>
      <c r="H960" s="1"/>
      <c r="I960" s="33"/>
    </row>
    <row r="961" spans="1:9" ht="15.75" customHeight="1">
      <c r="A961" s="1"/>
      <c r="B961" s="1"/>
      <c r="C961" s="1"/>
      <c r="D961" s="1"/>
      <c r="E961" s="1"/>
      <c r="F961" s="1"/>
      <c r="G961" s="33"/>
      <c r="H961" s="1"/>
      <c r="I961" s="33"/>
    </row>
    <row r="962" spans="1:9" ht="15.75" customHeight="1">
      <c r="A962" s="1"/>
      <c r="B962" s="1"/>
      <c r="C962" s="1"/>
      <c r="D962" s="1"/>
      <c r="E962" s="1"/>
      <c r="F962" s="1"/>
      <c r="G962" s="33"/>
      <c r="H962" s="1"/>
      <c r="I962" s="33"/>
    </row>
    <row r="963" spans="1:9" ht="15.75" customHeight="1">
      <c r="A963" s="1"/>
      <c r="B963" s="1"/>
      <c r="C963" s="1"/>
      <c r="D963" s="1"/>
      <c r="E963" s="1"/>
      <c r="F963" s="1"/>
      <c r="G963" s="33"/>
      <c r="H963" s="1"/>
      <c r="I963" s="33"/>
    </row>
    <row r="964" spans="1:9" ht="15.75" customHeight="1">
      <c r="A964" s="1"/>
      <c r="B964" s="1"/>
      <c r="C964" s="1"/>
      <c r="D964" s="1"/>
      <c r="E964" s="1"/>
      <c r="F964" s="1"/>
      <c r="G964" s="33"/>
      <c r="H964" s="1"/>
      <c r="I964" s="33"/>
    </row>
    <row r="965" spans="1:9" ht="15.75" customHeight="1">
      <c r="A965" s="1"/>
      <c r="B965" s="1"/>
      <c r="C965" s="1"/>
      <c r="D965" s="1"/>
      <c r="E965" s="1"/>
      <c r="F965" s="1"/>
      <c r="G965" s="33"/>
      <c r="H965" s="1"/>
      <c r="I965" s="33"/>
    </row>
    <row r="966" spans="1:9" ht="15.75" customHeight="1">
      <c r="A966" s="1"/>
      <c r="B966" s="1"/>
      <c r="C966" s="1"/>
      <c r="D966" s="1"/>
      <c r="E966" s="1"/>
      <c r="F966" s="1"/>
      <c r="G966" s="33"/>
      <c r="H966" s="1"/>
      <c r="I966" s="33"/>
    </row>
    <row r="967" spans="1:9" ht="15.75" customHeight="1">
      <c r="A967" s="1"/>
      <c r="B967" s="1"/>
      <c r="C967" s="1"/>
      <c r="D967" s="1"/>
      <c r="E967" s="1"/>
      <c r="F967" s="1"/>
      <c r="G967" s="33"/>
      <c r="H967" s="1"/>
      <c r="I967" s="33"/>
    </row>
    <row r="968" spans="1:9" ht="15.75" customHeight="1">
      <c r="A968" s="1"/>
      <c r="B968" s="1"/>
      <c r="C968" s="1"/>
      <c r="D968" s="1"/>
      <c r="E968" s="1"/>
      <c r="F968" s="1"/>
      <c r="G968" s="33"/>
      <c r="H968" s="1"/>
      <c r="I968" s="33"/>
    </row>
    <row r="969" spans="1:9" ht="15.75" customHeight="1">
      <c r="A969" s="1"/>
      <c r="B969" s="1"/>
      <c r="C969" s="1"/>
      <c r="D969" s="1"/>
      <c r="E969" s="1"/>
      <c r="F969" s="1"/>
      <c r="G969" s="33"/>
      <c r="H969" s="1"/>
      <c r="I969" s="33"/>
    </row>
    <row r="970" spans="1:9" ht="15.75" customHeight="1">
      <c r="A970" s="1"/>
      <c r="B970" s="1"/>
      <c r="C970" s="1"/>
      <c r="D970" s="1"/>
      <c r="E970" s="1"/>
      <c r="F970" s="1"/>
      <c r="G970" s="33"/>
      <c r="H970" s="1"/>
      <c r="I970" s="33"/>
    </row>
    <row r="971" spans="1:9" ht="15.75" customHeight="1">
      <c r="A971" s="1"/>
      <c r="B971" s="1"/>
      <c r="C971" s="1"/>
      <c r="D971" s="1"/>
      <c r="E971" s="1"/>
      <c r="F971" s="1"/>
      <c r="G971" s="33"/>
      <c r="H971" s="1"/>
      <c r="I971" s="33"/>
    </row>
    <row r="972" spans="1:9" ht="15.75" customHeight="1">
      <c r="A972" s="1"/>
      <c r="B972" s="1"/>
      <c r="C972" s="1"/>
      <c r="D972" s="1"/>
      <c r="E972" s="1"/>
      <c r="F972" s="1"/>
      <c r="G972" s="33"/>
      <c r="H972" s="1"/>
      <c r="I972" s="33"/>
    </row>
    <row r="973" spans="1:9" ht="15.75" customHeight="1">
      <c r="A973" s="1"/>
      <c r="B973" s="1"/>
      <c r="C973" s="1"/>
      <c r="D973" s="1"/>
      <c r="E973" s="1"/>
      <c r="F973" s="1"/>
      <c r="G973" s="33"/>
      <c r="H973" s="1"/>
      <c r="I973" s="33"/>
    </row>
    <row r="974" spans="1:9" ht="15.75" customHeight="1">
      <c r="A974" s="1"/>
      <c r="B974" s="1"/>
      <c r="C974" s="1"/>
      <c r="D974" s="1"/>
      <c r="E974" s="1"/>
      <c r="F974" s="1"/>
      <c r="G974" s="33"/>
      <c r="H974" s="1"/>
      <c r="I974" s="33"/>
    </row>
    <row r="975" spans="1:9" ht="15.75" customHeight="1">
      <c r="A975" s="1"/>
      <c r="B975" s="1"/>
      <c r="C975" s="1"/>
      <c r="D975" s="1"/>
      <c r="E975" s="1"/>
      <c r="F975" s="1"/>
      <c r="G975" s="33"/>
      <c r="H975" s="1"/>
      <c r="I975" s="33"/>
    </row>
    <row r="976" spans="1:9" ht="15.75" customHeight="1">
      <c r="A976" s="1"/>
      <c r="B976" s="1"/>
      <c r="C976" s="1"/>
      <c r="D976" s="1"/>
      <c r="E976" s="1"/>
      <c r="F976" s="1"/>
      <c r="G976" s="33"/>
      <c r="H976" s="1"/>
      <c r="I976" s="33"/>
    </row>
    <row r="977" spans="1:9" ht="15.75" customHeight="1">
      <c r="A977" s="1"/>
      <c r="B977" s="1"/>
      <c r="C977" s="1"/>
      <c r="D977" s="1"/>
      <c r="E977" s="1"/>
      <c r="F977" s="1"/>
      <c r="G977" s="33"/>
      <c r="H977" s="1"/>
      <c r="I977" s="33"/>
    </row>
    <row r="978" spans="1:9" ht="15.75" customHeight="1">
      <c r="A978" s="1"/>
      <c r="B978" s="1"/>
      <c r="C978" s="1"/>
      <c r="D978" s="1"/>
      <c r="E978" s="1"/>
      <c r="F978" s="1"/>
      <c r="G978" s="33"/>
      <c r="H978" s="1"/>
      <c r="I978" s="33"/>
    </row>
    <row r="979" spans="1:9" ht="15.75" customHeight="1">
      <c r="A979" s="1"/>
      <c r="B979" s="1"/>
      <c r="C979" s="1"/>
      <c r="D979" s="1"/>
      <c r="E979" s="1"/>
      <c r="F979" s="1"/>
      <c r="G979" s="33"/>
      <c r="H979" s="1"/>
      <c r="I979" s="33"/>
    </row>
    <row r="980" spans="1:9" ht="15.75" customHeight="1">
      <c r="A980" s="1"/>
      <c r="B980" s="1"/>
      <c r="C980" s="1"/>
      <c r="D980" s="1"/>
      <c r="E980" s="1"/>
      <c r="F980" s="1"/>
      <c r="G980" s="33"/>
      <c r="H980" s="1"/>
      <c r="I980" s="33"/>
    </row>
    <row r="981" spans="1:9" ht="15.75" customHeight="1">
      <c r="A981" s="1"/>
      <c r="B981" s="1"/>
      <c r="C981" s="1"/>
      <c r="D981" s="1"/>
      <c r="E981" s="1"/>
      <c r="F981" s="1"/>
      <c r="G981" s="33"/>
      <c r="H981" s="1"/>
      <c r="I981" s="33"/>
    </row>
    <row r="982" spans="1:9" ht="15.75" customHeight="1">
      <c r="A982" s="1"/>
      <c r="B982" s="1"/>
      <c r="C982" s="1"/>
      <c r="D982" s="1"/>
      <c r="E982" s="1"/>
      <c r="F982" s="1"/>
      <c r="G982" s="33"/>
      <c r="H982" s="1"/>
      <c r="I982" s="33"/>
    </row>
    <row r="983" spans="1:9" ht="15.75" customHeight="1">
      <c r="A983" s="1"/>
      <c r="B983" s="1"/>
      <c r="C983" s="1"/>
      <c r="D983" s="1"/>
      <c r="E983" s="1"/>
      <c r="F983" s="1"/>
      <c r="G983" s="33"/>
      <c r="H983" s="1"/>
      <c r="I983" s="33"/>
    </row>
    <row r="984" spans="1:9" ht="15.75" customHeight="1">
      <c r="A984" s="1"/>
      <c r="B984" s="1"/>
      <c r="C984" s="1"/>
      <c r="D984" s="1"/>
      <c r="E984" s="1"/>
      <c r="F984" s="1"/>
      <c r="G984" s="33"/>
      <c r="H984" s="1"/>
      <c r="I984" s="33"/>
    </row>
    <row r="985" spans="1:9" ht="15.75" customHeight="1">
      <c r="A985" s="1"/>
      <c r="B985" s="1"/>
      <c r="C985" s="1"/>
      <c r="D985" s="1"/>
      <c r="E985" s="1"/>
      <c r="F985" s="1"/>
      <c r="G985" s="33"/>
      <c r="H985" s="1"/>
      <c r="I985" s="33"/>
    </row>
    <row r="986" spans="1:9" ht="15.75" customHeight="1">
      <c r="A986" s="1"/>
      <c r="B986" s="1"/>
      <c r="C986" s="1"/>
      <c r="D986" s="1"/>
      <c r="E986" s="1"/>
      <c r="F986" s="1"/>
      <c r="G986" s="33"/>
      <c r="H986" s="1"/>
      <c r="I986" s="33"/>
    </row>
    <row r="987" spans="1:9" ht="15.75" customHeight="1">
      <c r="A987" s="1"/>
      <c r="B987" s="1"/>
      <c r="C987" s="1"/>
      <c r="D987" s="1"/>
      <c r="E987" s="1"/>
      <c r="F987" s="1"/>
      <c r="G987" s="33"/>
      <c r="H987" s="1"/>
      <c r="I987" s="33"/>
    </row>
    <row r="988" spans="1:9" ht="15.75" customHeight="1">
      <c r="A988" s="1"/>
      <c r="B988" s="1"/>
      <c r="C988" s="1"/>
      <c r="D988" s="1"/>
      <c r="E988" s="1"/>
      <c r="F988" s="1"/>
      <c r="G988" s="33"/>
      <c r="H988" s="1"/>
      <c r="I988" s="33"/>
    </row>
    <row r="989" spans="1:9" ht="15.75" customHeight="1">
      <c r="A989" s="1"/>
      <c r="B989" s="1"/>
      <c r="C989" s="1"/>
      <c r="D989" s="1"/>
      <c r="E989" s="1"/>
      <c r="F989" s="1"/>
      <c r="G989" s="33"/>
      <c r="H989" s="1"/>
      <c r="I989" s="33"/>
    </row>
    <row r="990" spans="1:9" ht="15.75" customHeight="1">
      <c r="A990" s="1"/>
      <c r="B990" s="1"/>
      <c r="C990" s="1"/>
      <c r="D990" s="1"/>
      <c r="E990" s="1"/>
      <c r="F990" s="1"/>
      <c r="G990" s="33"/>
      <c r="H990" s="1"/>
      <c r="I990" s="33"/>
    </row>
    <row r="991" spans="1:9" ht="15.75" customHeight="1">
      <c r="A991" s="1"/>
      <c r="B991" s="1"/>
      <c r="C991" s="1"/>
      <c r="D991" s="1"/>
      <c r="E991" s="1"/>
      <c r="F991" s="1"/>
      <c r="G991" s="33"/>
      <c r="H991" s="1"/>
      <c r="I991" s="33"/>
    </row>
    <row r="992" spans="1:9" ht="15.75" customHeight="1">
      <c r="A992" s="1"/>
      <c r="B992" s="1"/>
      <c r="C992" s="1"/>
      <c r="D992" s="1"/>
      <c r="E992" s="1"/>
      <c r="F992" s="1"/>
      <c r="G992" s="33"/>
      <c r="H992" s="1"/>
      <c r="I992" s="33"/>
    </row>
    <row r="993" spans="1:9" ht="15.75" customHeight="1">
      <c r="A993" s="1"/>
      <c r="B993" s="1"/>
      <c r="C993" s="1"/>
      <c r="D993" s="1"/>
      <c r="E993" s="1"/>
      <c r="F993" s="1"/>
      <c r="G993" s="33"/>
      <c r="H993" s="1"/>
      <c r="I993" s="33"/>
    </row>
    <row r="994" spans="1:9" ht="15.75" customHeight="1">
      <c r="A994" s="1"/>
      <c r="B994" s="1"/>
      <c r="C994" s="1"/>
      <c r="D994" s="1"/>
      <c r="E994" s="1"/>
      <c r="F994" s="1"/>
      <c r="G994" s="33"/>
      <c r="H994" s="1"/>
      <c r="I994" s="33"/>
    </row>
    <row r="995" spans="1:9" ht="15.75" customHeight="1">
      <c r="A995" s="1"/>
      <c r="B995" s="1"/>
      <c r="C995" s="1"/>
      <c r="D995" s="1"/>
      <c r="E995" s="1"/>
      <c r="F995" s="1"/>
      <c r="G995" s="33"/>
      <c r="H995" s="1"/>
      <c r="I995" s="33"/>
    </row>
    <row r="996" spans="1:9" ht="15.75" customHeight="1">
      <c r="A996" s="1"/>
      <c r="B996" s="1"/>
      <c r="C996" s="1"/>
      <c r="D996" s="1"/>
      <c r="E996" s="1"/>
      <c r="F996" s="1"/>
      <c r="G996" s="33"/>
      <c r="H996" s="1"/>
      <c r="I996" s="33"/>
    </row>
    <row r="997" spans="1:9" ht="15.75" customHeight="1">
      <c r="A997" s="1"/>
      <c r="B997" s="1"/>
      <c r="C997" s="1"/>
      <c r="D997" s="1"/>
      <c r="E997" s="1"/>
      <c r="F997" s="1"/>
      <c r="G997" s="33"/>
      <c r="H997" s="1"/>
      <c r="I997" s="33"/>
    </row>
    <row r="998" spans="1:9" ht="15.75" customHeight="1">
      <c r="A998" s="1"/>
      <c r="B998" s="1"/>
      <c r="C998" s="1"/>
      <c r="D998" s="1"/>
      <c r="E998" s="1"/>
      <c r="F998" s="1"/>
      <c r="G998" s="33"/>
      <c r="H998" s="1"/>
      <c r="I998" s="33"/>
    </row>
    <row r="999" spans="1:9" ht="15.75" customHeight="1">
      <c r="A999" s="1"/>
      <c r="B999" s="1"/>
      <c r="C999" s="1"/>
      <c r="D999" s="1"/>
      <c r="E999" s="1"/>
      <c r="F999" s="1"/>
      <c r="G999" s="33"/>
      <c r="H999" s="1"/>
      <c r="I999" s="33"/>
    </row>
    <row r="1000" spans="1:9" ht="15.75" customHeight="1">
      <c r="A1000" s="1"/>
      <c r="B1000" s="1"/>
      <c r="C1000" s="1"/>
      <c r="D1000" s="1"/>
      <c r="E1000" s="1"/>
      <c r="F1000" s="1"/>
      <c r="G1000" s="33"/>
      <c r="H1000" s="1"/>
      <c r="I1000" s="33"/>
    </row>
  </sheetData>
  <mergeCells count="2">
    <mergeCell ref="B2:H2"/>
    <mergeCell ref="B3:H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A1:O1000"/>
  <sheetViews>
    <sheetView showGridLines="0" topLeftCell="A10" workbookViewId="0"/>
  </sheetViews>
  <sheetFormatPr defaultColWidth="14.44140625" defaultRowHeight="15" customHeight="1"/>
  <cols>
    <col min="1" max="1" width="3" customWidth="1"/>
    <col min="2" max="2" width="6" customWidth="1"/>
    <col min="3" max="3" width="18" customWidth="1"/>
    <col min="4" max="4" width="22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6" customWidth="1"/>
    <col min="11" max="12" width="14" customWidth="1"/>
    <col min="13" max="13" width="20" customWidth="1"/>
    <col min="14" max="14" width="3" customWidth="1"/>
    <col min="15" max="26" width="8.6640625" customWidth="1"/>
  </cols>
  <sheetData>
    <row r="1" spans="1:14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5" customHeight="1">
      <c r="A2" s="1"/>
      <c r="B2" s="99" t="s">
        <v>43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8"/>
      <c r="N2" s="1"/>
    </row>
    <row r="3" spans="1:14" ht="27.75" customHeight="1">
      <c r="A3" s="1"/>
      <c r="B3" s="100" t="s">
        <v>44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8"/>
      <c r="N3" s="1"/>
    </row>
    <row r="4" spans="1:14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7.75" customHeight="1">
      <c r="A5" s="1"/>
      <c r="B5" s="101" t="s">
        <v>36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8"/>
      <c r="N5" s="1"/>
    </row>
    <row r="6" spans="1:14" ht="24" customHeight="1">
      <c r="A6" s="1"/>
      <c r="B6" s="11" t="s">
        <v>45</v>
      </c>
      <c r="C6" s="11" t="s">
        <v>46</v>
      </c>
      <c r="D6" s="11" t="s">
        <v>47</v>
      </c>
      <c r="E6" s="11" t="s">
        <v>48</v>
      </c>
      <c r="F6" s="11" t="s">
        <v>49</v>
      </c>
      <c r="G6" s="11" t="s">
        <v>50</v>
      </c>
      <c r="H6" s="11" t="s">
        <v>51</v>
      </c>
      <c r="I6" s="11" t="s">
        <v>52</v>
      </c>
      <c r="J6" s="11" t="s">
        <v>53</v>
      </c>
      <c r="K6" s="11" t="s">
        <v>54</v>
      </c>
      <c r="L6" s="11" t="s">
        <v>55</v>
      </c>
      <c r="M6" s="11" t="s">
        <v>56</v>
      </c>
      <c r="N6" s="1"/>
    </row>
    <row r="7" spans="1:14" ht="21.75" customHeight="1">
      <c r="A7" s="1"/>
      <c r="B7" s="12" t="str">
        <f>IF(1&lt;='🌱 Configuração'!$H$6,"S1","—")</f>
        <v>S1</v>
      </c>
      <c r="C7" s="13">
        <f>IF(1&lt;='🌱 Configuração'!$H$6,'🌱 Configuração'!$B$56+0,"")</f>
        <v>0</v>
      </c>
      <c r="D7" s="14" t="str">
        <f t="array" ref="D7">IF('🌱 Configuração'!$B$56="","",IF(1&lt;1,"",IF(1&gt;'🌱 Configuração'!$H$6,"",IF(IFERROR(MATCH('🌱 Configuração'!$H$12,{"BioBizz","Remo Nutrients","General Organics","SuperSoil","Genérico"},0),1)=1,IF(1=1,"Root Juice",IF(1=2,"Root Juice",IF(1=3,"Root Juice",IF(1=4,"Root Juice","")))),IF(IFERROR(MATCH('🌱 Configuração'!$H$12,{"BioBizz","Remo Nutrients","General Organics","SuperSoil","Genérico"},0),1)=2,IF(1=1,"Remo Roots",IF(1=2,"Remo Roots",IF(1=3,"Remo Roots",IF(1=4,"Remo Roots","")))),IF(IFERROR(MATCH('🌱 Configuração'!$H$12,{"BioBizz","Remo Nutrients","General Organics","SuperSoil","Genérico"},0),1)=3,IF(1=1,"BioRoot",IF(1=2,"BioRoot",IF(1=3,"BioRoot",IF(1=4,"BioRoot","")))),IF(IFERROR(MATCH('🌱 Configuração'!$H$12,{"BioBizz","Remo Nutrients","General Organics","SuperSoil","Genérico"},0),1)=4,IF(1=1,"Chá de compostagem",IF(1=2,"Chá de compostagem",IF(1=3,"Cobertura: farinha de alga",IF(1=4,"Molasses 2 mL/L","")))),IF(1=1,"← Preencha",IF(1=2,"← Preencha",IF(1=3,"← Preencha",IF(1=4,"← Preencha","")))))))))))</f>
        <v>Root Juice</v>
      </c>
      <c r="E7" s="15" t="str">
        <f t="array" ref="E7">IF('🌱 Configuração'!$B$56="","",IF(1&lt;1,"",IF(1&gt;'🌱 Configuração'!$H$6,"",IF(IFERROR(MATCH('🌱 Configuração'!$H$12,{"BioBizz","Remo Nutrients","General Organics","SuperSoil","Genérico"},0),1)=1,IF(1=1,"0.3 mL/L",IF(1=2,"0.3 mL/L",IF(1=3,"0.5 mL/L",IF(1=4,"0.5 mL/L","")))),IF(IFERROR(MATCH('🌱 Configuração'!$H$12,{"BioBizz","Remo Nutrients","General Organics","SuperSoil","Genérico"},0),1)=2,IF(1=1,"0.5 mL/L",IF(1=2,"1 mL/L",IF(1=3,"1 mL/L",IF(1=4,"1 mL/L","")))),IF(IFERROR(MATCH('🌱 Configuração'!$H$12,{"BioBizz","Remo Nutrients","General Organics","SuperSoil","Genérico"},0),1)=3,IF(1=1,"1.3 mL/L",IF(1=2,"1.3 mL/L",IF(1=3,"2.6 mL/L",IF(1=4,"2.6 mL/L","")))),IF(IFERROR(MATCH('🌱 Configuração'!$H$12,{"BioBizz","Remo Nutrients","General Organics","SuperSoil","Genérico"},0),1)=4,IF(1=1,"1–2L/planta",IF(1=2,"1–2L/planta",IF(1=3,"5g/L solo",IF(1=4,"—","")))),IF(1=1,"—",IF(1=2,"—",IF(1=3,"—",IF(1=4,"—","")))))))))))</f>
        <v>0.3 mL/L</v>
      </c>
      <c r="F7" s="14" t="str">
        <f t="array" ref="F7">IF('🌱 Configuração'!$B$56="","",IF(1&lt;1,"",IF(1&gt;'🌱 Configuração'!$H$6,"",IF(IFERROR(MATCH('🌱 Configuração'!$H$12,{"BioBizz","Remo Nutrients","General Organics","SuperSoil","Genérico"},0),1)=1,IF(1=1,"—",IF(1=2,"Alg·A·Mic",IF(1=3,"Bio·Grow",IF(1=4,"Bio·Grow","")))),IF(IFERROR(MATCH('🌱 Configuração'!$H$12,{"BioBizz","Remo Nutrients","General Organics","SuperSoil","Genérico"},0),1)=2,IF(1=1,"Magnifical",IF(1=2,"Magnifical",IF(1=3,"Micro",IF(1=4,"Micro","")))),IF(IFERROR(MATCH('🌱 Configuração'!$H$12,{"BioBizz","Remo Nutrients","General Organics","SuperSoil","Genérico"},0),1)=3,IF(1=1,"CaMg+",IF(1=2,"CaMg+",IF(1=3,"CaMg+",IF(1=4,"CaMg+","")))),IF(IFERROR(MATCH('🌱 Configuração'!$H$12,{"BioBizz","Remo Nutrients","General Organics","SuperSoil","Genérico"},0),1)=4,IF(1=1,"—",IF(1=2,"—",IF(1=3,"—",IF(1=4,"—","")))),IF(1=1,"—",IF(1=2,"—",IF(1=3,"—",IF(1=4,"—","")))))))))))</f>
        <v>—</v>
      </c>
      <c r="G7" s="15" t="str">
        <f t="array" ref="G7">IF('🌱 Configuração'!$B$56="","",IF(1&lt;1,"",IF(1&gt;'🌱 Configuração'!$H$6,"",IF(IFERROR(MATCH('🌱 Configuração'!$H$12,{"BioBizz","Remo Nutrients","General Organics","SuperSoil","Genérico"},0),1)=1,IF(1=1,"—",IF(1=2,"0.5 mL/L",IF(1=3,"0.5 mL/L",IF(1=4,"1 mL/L","")))),IF(IFERROR(MATCH('🌱 Configuração'!$H$12,{"BioBizz","Remo Nutrients","General Organics","SuperSoil","Genérico"},0),1)=2,IF(1=1,"0.5 mL/L",IF(1=2,"0.5 mL/L",IF(1=3,"0.5 mL/L",IF(1=4,"1 mL/L","")))),IF(IFERROR(MATCH('🌱 Configuração'!$H$12,{"BioBizz","Remo Nutrients","General Organics","SuperSoil","Genérico"},0),1)=3,IF(1=1,"1.3 mL/L",IF(1=2,"1.3 mL/L",IF(1=3,"1.3 mL/L",IF(1=4,"1.3 mL/L","")))),IF(IFERROR(MATCH('🌱 Configuração'!$H$12,{"BioBizz","Remo Nutrients","General Organics","SuperSoil","Genérico"},0),1)=4,IF(1=1,"—",IF(1=2,"—",IF(1=3,"—",IF(1=4,"—","")))),IF(1=1,"—",IF(1=2,"—",IF(1=3,"—",IF(1=4,"—","")))))))))))</f>
        <v>—</v>
      </c>
      <c r="H7" s="14" t="str">
        <f t="array" ref="H7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Organics","SuperSoil","Genérico"},0),1)=2,IF(1=1,"—",IF(1=2,"—",IF(1=3,"Grow",IF(1=4,"Grow","")))),IF(IFERROR(MATCH('🌱 Configuração'!$H$12,{"BioBizz","Remo Nutrients","General Organics","SuperSoil","Genérico"},0),1)=3,IF(1=1,"—",IF(1=2,"BioWeed",IF(1=3,"BioThrive G",IF(1=4,"BioThrive G","")))),IF(IFERROR(MATCH('🌱 Configuração'!$H$12,{"BioBizz","Remo Nutrients","General Organics","SuperSoil","Genérico"},0),1)=4,IF(1=1,"—",IF(1=2,"—",IF(1=3,"—",IF(1=4,"—","")))),IF(1=1,"—",IF(1=2,"—",IF(1=3,"—",IF(1=4,"—","")))))))))))</f>
        <v>—</v>
      </c>
      <c r="I7" s="15" t="str">
        <f t="array" ref="I7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Organics","SuperSoil","Genérico"},0),1)=2,IF(1=1,"—",IF(1=2,"—",IF(1=3,"0.5 mL/L",IF(1=4,"1 mL/L","")))),IF(IFERROR(MATCH('🌱 Configuração'!$H$12,{"BioBizz","Remo Nutrients","General Organics","SuperSoil","Genérico"},0),1)=3,IF(1=1,"—",IF(1=2,"0.7 mL/L",IF(1=3,"1.3 mL/L",IF(1=4,"2.6 mL/L","")))),IF(IFERROR(MATCH('🌱 Configuração'!$H$12,{"BioBizz","Remo Nutrients","General Organics","SuperSoil","Genérico"},0),1)=4,IF(1=1,"—",IF(1=2,"—",IF(1=3,"—",IF(1=4,"—","")))),IF(1=1,"—",IF(1=2,"—",IF(1=3,"—",IF(1=4,"—","")))))))))))</f>
        <v>—</v>
      </c>
      <c r="J7" s="14" t="str">
        <f t="array" ref="J7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Organics","SuperSoil","Genérico"},0),1)=2,IF(1=1,"—",IF(1=2,"—",IF(1=3,"—",IF(1=4,"—","")))),IF(IFERROR(MATCH('🌱 Configuração'!$H$12,{"BioBizz","Remo Nutrients","General Organics","SuperSoil","Genérico"},0),1)=3,IF(1=1,"—",IF(1=2,"—",IF(1=3,"—",IF(1=4,"—","")))),IF(IFERROR(MATCH('🌱 Configuração'!$H$12,{"BioBizz","Remo Nutrients","General Organics","SuperSoil","Genérico"},0),1)=4,IF(1=1,"Biorrizas",IF(1=2,"—",IF(1=3,"—",IF(1=4,"Biorrizas","")))),IF(1=1,"—",IF(1=2,"—",IF(1=3,"—",IF(1=4,"—","")))))))))))</f>
        <v>—</v>
      </c>
      <c r="K7" s="16" t="str">
        <f t="array" ref="K7">IF('🌱 Configuração'!$B$56="","",IF(1&lt;1,"",IF(1&gt;'🌱 Configuração'!$H$6,"",IF(IFERROR(MATCH('🌱 Configuração'!$H$12,{"BioBizz","Remo Nutrients","General Organics","SuperSoil","Genérico"},0),1)=1,IF(1=1,"6.2–6.5",IF(1=2,"6.2–6.5",IF(1=3,"6.2–6.5",IF(1=4,"6.2–6.5","")))),IF(IFERROR(MATCH('🌱 Configuração'!$H$12,{"BioBizz","Remo Nutrients","General Organics","SuperSoil","Genérico"},0),1)=2,IF(1=1,"5.8–6.0",IF(1=2,"5.8–6.0",IF(1=3,"5.8–6.2",IF(1=4,"5.8–6.2","")))),IF(IFERROR(MATCH('🌱 Configuração'!$H$12,{"BioBizz","Remo Nutrients","General Organics","SuperSoil","Genérico"},0),1)=3,IF(1=1,"6.2–7.0",IF(1=2,"6.2–7.0",IF(1=3,"6.2–7.0",IF(1=4,"6.2–7.0","")))),IF(IFERROR(MATCH('🌱 Configuração'!$H$12,{"BioBizz","Remo Nutrients","General Organics","SuperSoil","Genérico"},0),1)=4,IF(1=1,"auto",IF(1=2,"auto",IF(1=3,"auto",IF(1=4,"auto","")))),IF(1=1,"—",IF(1=2,"—",IF(1=3,"—",IF(1=4,"—","")))))))))))</f>
        <v>6.2–6.5</v>
      </c>
      <c r="L7" s="17" t="str">
        <f t="array" ref="L7">IF('🌱 Configuração'!$B$56="","",IF(1&lt;1,"",IF(1&gt;'🌱 Configuração'!$H$6,"",IF(IFERROR(MATCH('🌱 Configuração'!$H$12,{"BioBizz","Remo Nutrients","General Organics","SuperSoil","Genérico"},0),1)=1,IF(1=1,"baixo",IF(1=2,"baixo",IF(1=3,"baixo",IF(1=4,"baixo","")))),IF(IFERROR(MATCH('🌱 Configuração'!$H$12,{"BioBizz","Remo Nutrients","General Organics","SuperSoil","Genérico"},0),1)=2,IF(1=1,"baixo",IF(1=2,"baixo",IF(1=3,"0.4",IF(1=4,"0.6","")))),IF(IFERROR(MATCH('🌱 Configuração'!$H$12,{"BioBizz","Remo Nutrients","General Organics","SuperSoil","Genérico"},0),1)=3,IF(1=1,"baixo",IF(1=2,"baixo",IF(1=3,"baixo",IF(1=4,"baixo","")))),IF(IFERROR(MATCH('🌱 Configuração'!$H$12,{"BioBizz","Remo Nutrients","General Organics","SuperSoil","Genérico"},0),1)=4,IF(1=1,"auto",IF(1=2,"auto",IF(1=3,"auto",IF(1=4,"auto","")))),IF(1=1,"—",IF(1=2,"—",IF(1=3,"—",IF(1=4,"—","")))))))))))</f>
        <v>baixo</v>
      </c>
      <c r="M7" s="14" t="str">
        <f t="array" ref="M7">IF('🌱 Configuração'!$B$56="","",IF(1&lt;1,"",IF(1&gt;'🌱 Configuração'!$H$6,"",IF(IFERROR(MATCH('🌱 Configuração'!$H$12,{"BioBizz","Remo Nutrients","General Organics","SuperSoil","Genérico"},0),1)=1,IF(1=1,"Solo úmido — estimular raízes",IF(1=2,"Alg·A·Mic recupera e fortalece",IF(1=3,"Início suave de N antes da vega",IF(1=4,"Pronto para vegetativo","")))),IF(IFERROR(MATCH('🌱 Configuração'!$H$12,{"BioBizz","Remo Nutrients","General Organics","SuperSoil","Genérico"},0),1)=2,IF(1=1,"Roots = estimulador de raízes Remo",IF(1=2,"Magnifical = CalMag Remo",IF(1=3,"Introduzir base suave antes da vega",IF(1=4,"Pronto para vega — confirmar raízes","")))),IF(IFERROR(MATCH('🌱 Configuração'!$H$12,{"BioBizz","Remo Nutrients","General Organics","SuperSoil","Genérico"},0),1)=3,IF(1=1,"GO não precisa ajustar pH em solo",IF(1=2,"BioWeed = extrato de algas GO",IF(1=3,"Introduzir BioThrive Grow suave",IF(1=4,"Pronto para vega","")))),IF(IFERROR(MATCH('🌱 Configuração'!$H$12,{"BioBizz","Remo Nutrients","General Organics","SuperSoil","Genérico"},0),1)=4,IF(1=1,"Solo vivo — sem adubação química",IF(1=2,"Manter solo úmido e vivo",IF(1=3,"Farinha de alga = fósforo e K suave",IF(1=4,"Mel de cana alimenta microbioma","")))),IF(1=1,"Personalize suas doses",IF(1=2,"Personalize suas doses",IF(1=3,"Personalize suas doses",IF(1=4,"Personalize suas doses","")))))))))))</f>
        <v>Solo úmido — estimular raízes</v>
      </c>
      <c r="N7" s="1"/>
    </row>
    <row r="8" spans="1:14" ht="21.75" customHeight="1">
      <c r="A8" s="1"/>
      <c r="B8" s="12" t="str">
        <f>IF(2&lt;='🌱 Configuração'!$H$6,"S2","—")</f>
        <v>S2</v>
      </c>
      <c r="C8" s="18">
        <f>IF(2&lt;='🌱 Configuração'!$H$6,'🌱 Configuração'!$B$56+7,"")</f>
        <v>7</v>
      </c>
      <c r="D8" s="19" t="str">
        <f t="array" ref="D8">IF('🌱 Configuração'!$B$56="","",IF(2&lt;1,"",IF(2&gt;'🌱 Configuração'!$H$6,"",IF(IFERROR(MATCH('🌱 Configuração'!$H$12,{"BioBizz","Remo Nutrients","General Organics","SuperSoil","Genérico"},0),1)=1,IF(2=1,"Root Juice",IF(2=2,"Root Juice",IF(2=3,"Root Juice",IF(2=4,"Root Juice","")))),IF(IFERROR(MATCH('🌱 Configuração'!$H$12,{"BioBizz","Remo Nutrients","General Organics","SuperSoil","Genérico"},0),1)=2,IF(2=1,"Remo Roots",IF(2=2,"Remo Roots",IF(2=3,"Remo Roots",IF(2=4,"Remo Roots","")))),IF(IFERROR(MATCH('🌱 Configuração'!$H$12,{"BioBizz","Remo Nutrients","General Organics","SuperSoil","Genérico"},0),1)=3,IF(2=1,"BioRoot",IF(2=2,"BioRoot",IF(2=3,"BioRoot",IF(2=4,"BioRoot","")))),IF(IFERROR(MATCH('🌱 Configuração'!$H$12,{"BioBizz","Remo Nutrients","General Organics","SuperSoil","Genérico"},0),1)=4,IF(2=1,"Chá de compostagem",IF(2=2,"Chá de compostagem",IF(2=3,"Cobertura: farinha de alga",IF(2=4,"Molasses 2 mL/L","")))),IF(2=1,"← Preencha",IF(2=2,"← Preencha",IF(2=3,"← Preencha",IF(2=4,"← Preencha","")))))))))))</f>
        <v>Root Juice</v>
      </c>
      <c r="E8" s="20" t="str">
        <f t="array" ref="E8">IF('🌱 Configuração'!$B$56="","",IF(2&lt;1,"",IF(2&gt;'🌱 Configuração'!$H$6,"",IF(IFERROR(MATCH('🌱 Configuração'!$H$12,{"BioBizz","Remo Nutrients","General Organics","SuperSoil","Genérico"},0),1)=1,IF(2=1,"0.3 mL/L",IF(2=2,"0.3 mL/L",IF(2=3,"0.5 mL/L",IF(2=4,"0.5 mL/L","")))),IF(IFERROR(MATCH('🌱 Configuração'!$H$12,{"BioBizz","Remo Nutrients","General Organics","SuperSoil","Genérico"},0),1)=2,IF(2=1,"0.5 mL/L",IF(2=2,"1 mL/L",IF(2=3,"1 mL/L",IF(2=4,"1 mL/L","")))),IF(IFERROR(MATCH('🌱 Configuração'!$H$12,{"BioBizz","Remo Nutrients","General Organics","SuperSoil","Genérico"},0),1)=3,IF(2=1,"1.3 mL/L",IF(2=2,"1.3 mL/L",IF(2=3,"2.6 mL/L",IF(2=4,"2.6 mL/L","")))),IF(IFERROR(MATCH('🌱 Configuração'!$H$12,{"BioBizz","Remo Nutrients","General Organics","SuperSoil","Genérico"},0),1)=4,IF(2=1,"1–2L/planta",IF(2=2,"1–2L/planta",IF(2=3,"5g/L solo",IF(2=4,"—","")))),IF(2=1,"—",IF(2=2,"—",IF(2=3,"—",IF(2=4,"—","")))))))))))</f>
        <v>0.3 mL/L</v>
      </c>
      <c r="F8" s="19" t="str">
        <f t="array" ref="F8">IF('🌱 Configuração'!$B$56="","",IF(2&lt;1,"",IF(2&gt;'🌱 Configuração'!$H$6,"",IF(IFERROR(MATCH('🌱 Configuração'!$H$12,{"BioBizz","Remo Nutrients","General Organics","SuperSoil","Genérico"},0),1)=1,IF(2=1,"—",IF(2=2,"Alg·A·Mic",IF(2=3,"Bio·Grow",IF(2=4,"Bio·Grow","")))),IF(IFERROR(MATCH('🌱 Configuração'!$H$12,{"BioBizz","Remo Nutrients","General Organics","SuperSoil","Genérico"},0),1)=2,IF(2=1,"Magnifical",IF(2=2,"Magnifical",IF(2=3,"Micro",IF(2=4,"Micro","")))),IF(IFERROR(MATCH('🌱 Configuração'!$H$12,{"BioBizz","Remo Nutrients","General Organics","SuperSoil","Genérico"},0),1)=3,IF(2=1,"CaMg+",IF(2=2,"CaMg+",IF(2=3,"CaMg+",IF(2=4,"CaMg+","")))),IF(IFERROR(MATCH('🌱 Configuração'!$H$12,{"BioBizz","Remo Nutrients","General Organics","SuperSoil","Genérico"},0),1)=4,IF(2=1,"—",IF(2=2,"—",IF(2=3,"—",IF(2=4,"—","")))),IF(2=1,"—",IF(2=2,"—",IF(2=3,"—",IF(2=4,"—","")))))))))))</f>
        <v>Alg·A·Mic</v>
      </c>
      <c r="G8" s="20" t="str">
        <f t="array" ref="G8">IF('🌱 Configuração'!$B$56="","",IF(2&lt;1,"",IF(2&gt;'🌱 Configuração'!$H$6,"",IF(IFERROR(MATCH('🌱 Configuração'!$H$12,{"BioBizz","Remo Nutrients","General Organics","SuperSoil","Genérico"},0),1)=1,IF(2=1,"—",IF(2=2,"0.5 mL/L",IF(2=3,"0.5 mL/L",IF(2=4,"1 mL/L","")))),IF(IFERROR(MATCH('🌱 Configuração'!$H$12,{"BioBizz","Remo Nutrients","General Organics","SuperSoil","Genérico"},0),1)=2,IF(2=1,"0.5 mL/L",IF(2=2,"0.5 mL/L",IF(2=3,"0.5 mL/L",IF(2=4,"1 mL/L","")))),IF(IFERROR(MATCH('🌱 Configuração'!$H$12,{"BioBizz","Remo Nutrients","General Organics","SuperSoil","Genérico"},0),1)=3,IF(2=1,"1.3 mL/L",IF(2=2,"1.3 mL/L",IF(2=3,"1.3 mL/L",IF(2=4,"1.3 mL/L","")))),IF(IFERROR(MATCH('🌱 Configuração'!$H$12,{"BioBizz","Remo Nutrients","General Organics","SuperSoil","Genérico"},0),1)=4,IF(2=1,"—",IF(2=2,"—",IF(2=3,"—",IF(2=4,"—","")))),IF(2=1,"—",IF(2=2,"—",IF(2=3,"—",IF(2=4,"—","")))))))))))</f>
        <v>0.5 mL/L</v>
      </c>
      <c r="H8" s="19" t="str">
        <f t="array" ref="H8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Organics","SuperSoil","Genérico"},0),1)=2,IF(2=1,"—",IF(2=2,"—",IF(2=3,"Grow",IF(2=4,"Grow","")))),IF(IFERROR(MATCH('🌱 Configuração'!$H$12,{"BioBizz","Remo Nutrients","General Organics","SuperSoil","Genérico"},0),1)=3,IF(2=1,"—",IF(2=2,"BioWeed",IF(2=3,"BioThrive G",IF(2=4,"BioThrive G","")))),IF(IFERROR(MATCH('🌱 Configuração'!$H$12,{"BioBizz","Remo Nutrients","General Organics","SuperSoil","Genérico"},0),1)=4,IF(2=1,"—",IF(2=2,"—",IF(2=3,"—",IF(2=4,"—","")))),IF(2=1,"—",IF(2=2,"—",IF(2=3,"—",IF(2=4,"—","")))))))))))</f>
        <v>—</v>
      </c>
      <c r="I8" s="20" t="str">
        <f t="array" ref="I8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Organics","SuperSoil","Genérico"},0),1)=2,IF(2=1,"—",IF(2=2,"—",IF(2=3,"0.5 mL/L",IF(2=4,"1 mL/L","")))),IF(IFERROR(MATCH('🌱 Configuração'!$H$12,{"BioBizz","Remo Nutrients","General Organics","SuperSoil","Genérico"},0),1)=3,IF(2=1,"—",IF(2=2,"0.7 mL/L",IF(2=3,"1.3 mL/L",IF(2=4,"2.6 mL/L","")))),IF(IFERROR(MATCH('🌱 Configuração'!$H$12,{"BioBizz","Remo Nutrients","General Organics","SuperSoil","Genérico"},0),1)=4,IF(2=1,"—",IF(2=2,"—",IF(2=3,"—",IF(2=4,"—","")))),IF(2=1,"—",IF(2=2,"—",IF(2=3,"—",IF(2=4,"—","")))))))))))</f>
        <v>—</v>
      </c>
      <c r="J8" s="19" t="str">
        <f t="array" ref="J8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Organics","SuperSoil","Genérico"},0),1)=2,IF(2=1,"—",IF(2=2,"—",IF(2=3,"—",IF(2=4,"—","")))),IF(IFERROR(MATCH('🌱 Configuração'!$H$12,{"BioBizz","Remo Nutrients","General Organics","SuperSoil","Genérico"},0),1)=3,IF(2=1,"—",IF(2=2,"—",IF(2=3,"—",IF(2=4,"—","")))),IF(IFERROR(MATCH('🌱 Configuração'!$H$12,{"BioBizz","Remo Nutrients","General Organics","SuperSoil","Genérico"},0),1)=4,IF(2=1,"Biorrizas",IF(2=2,"—",IF(2=3,"—",IF(2=4,"Biorrizas","")))),IF(2=1,"—",IF(2=2,"—",IF(2=3,"—",IF(2=4,"—","")))))))))))</f>
        <v>—</v>
      </c>
      <c r="K8" s="16" t="str">
        <f t="array" ref="K8">IF('🌱 Configuração'!$B$56="","",IF(2&lt;1,"",IF(2&gt;'🌱 Configuração'!$H$6,"",IF(IFERROR(MATCH('🌱 Configuração'!$H$12,{"BioBizz","Remo Nutrients","General Organics","SuperSoil","Genérico"},0),1)=1,IF(2=1,"6.2–6.5",IF(2=2,"6.2–6.5",IF(2=3,"6.2–6.5",IF(2=4,"6.2–6.5","")))),IF(IFERROR(MATCH('🌱 Configuração'!$H$12,{"BioBizz","Remo Nutrients","General Organics","SuperSoil","Genérico"},0),1)=2,IF(2=1,"5.8–6.0",IF(2=2,"5.8–6.0",IF(2=3,"5.8–6.2",IF(2=4,"5.8–6.2","")))),IF(IFERROR(MATCH('🌱 Configuração'!$H$12,{"BioBizz","Remo Nutrients","General Organics","SuperSoil","Genérico"},0),1)=3,IF(2=1,"6.2–7.0",IF(2=2,"6.2–7.0",IF(2=3,"6.2–7.0",IF(2=4,"6.2–7.0","")))),IF(IFERROR(MATCH('🌱 Configuração'!$H$12,{"BioBizz","Remo Nutrients","General Organics","SuperSoil","Genérico"},0),1)=4,IF(2=1,"auto",IF(2=2,"auto",IF(2=3,"auto",IF(2=4,"auto","")))),IF(2=1,"—",IF(2=2,"—",IF(2=3,"—",IF(2=4,"—","")))))))))))</f>
        <v>6.2–6.5</v>
      </c>
      <c r="L8" s="17" t="str">
        <f t="array" ref="L8">IF('🌱 Configuração'!$B$56="","",IF(2&lt;1,"",IF(2&gt;'🌱 Configuração'!$H$6,"",IF(IFERROR(MATCH('🌱 Configuração'!$H$12,{"BioBizz","Remo Nutrients","General Organics","SuperSoil","Genérico"},0),1)=1,IF(2=1,"baixo",IF(2=2,"baixo",IF(2=3,"baixo",IF(2=4,"baixo","")))),IF(IFERROR(MATCH('🌱 Configuração'!$H$12,{"BioBizz","Remo Nutrients","General Organics","SuperSoil","Genérico"},0),1)=2,IF(2=1,"baixo",IF(2=2,"baixo",IF(2=3,"0.4",IF(2=4,"0.6","")))),IF(IFERROR(MATCH('🌱 Configuração'!$H$12,{"BioBizz","Remo Nutrients","General Organics","SuperSoil","Genérico"},0),1)=3,IF(2=1,"baixo",IF(2=2,"baixo",IF(2=3,"baixo",IF(2=4,"baixo","")))),IF(IFERROR(MATCH('🌱 Configuração'!$H$12,{"BioBizz","Remo Nutrients","General Organics","SuperSoil","Genérico"},0),1)=4,IF(2=1,"auto",IF(2=2,"auto",IF(2=3,"auto",IF(2=4,"auto","")))),IF(2=1,"—",IF(2=2,"—",IF(2=3,"—",IF(2=4,"—","")))))))))))</f>
        <v>baixo</v>
      </c>
      <c r="M8" s="19" t="str">
        <f t="array" ref="M8">IF('🌱 Configuração'!$B$56="","",IF(2&lt;1,"",IF(2&gt;'🌱 Configuração'!$H$6,"",IF(IFERROR(MATCH('🌱 Configuração'!$H$12,{"BioBizz","Remo Nutrients","General Organics","SuperSoil","Genérico"},0),1)=1,IF(2=1,"Solo úmido — estimular raízes",IF(2=2,"Alg·A·Mic recupera e fortalece",IF(2=3,"Início suave de N antes da vega",IF(2=4,"Pronto para vegetativo","")))),IF(IFERROR(MATCH('🌱 Configuração'!$H$12,{"BioBizz","Remo Nutrients","General Organics","SuperSoil","Genérico"},0),1)=2,IF(2=1,"Roots = estimulador de raízes Remo",IF(2=2,"Magnifical = CalMag Remo",IF(2=3,"Introduzir base suave antes da vega",IF(2=4,"Pronto para vega — confirmar raízes","")))),IF(IFERROR(MATCH('🌱 Configuração'!$H$12,{"BioBizz","Remo Nutrients","General Organics","SuperSoil","Genérico"},0),1)=3,IF(2=1,"GO não precisa ajustar pH em solo",IF(2=2,"BioWeed = extrato de algas GO",IF(2=3,"Introduzir BioThrive Grow suave",IF(2=4,"Pronto para vega","")))),IF(IFERROR(MATCH('🌱 Configuração'!$H$12,{"BioBizz","Remo Nutrients","General Organics","SuperSoil","Genérico"},0),1)=4,IF(2=1,"Solo vivo — sem adubação química",IF(2=2,"Manter solo úmido e vivo",IF(2=3,"Farinha de alga = fósforo e K suave",IF(2=4,"Mel de cana alimenta microbioma","")))),IF(2=1,"Personalize suas doses",IF(2=2,"Personalize suas doses",IF(2=3,"Personalize suas doses",IF(2=4,"Personalize suas doses","")))))))))))</f>
        <v>Alg·A·Mic recupera e fortalece</v>
      </c>
      <c r="N8" s="1"/>
    </row>
    <row r="9" spans="1:14" ht="21.75" customHeight="1">
      <c r="A9" s="1"/>
      <c r="B9" s="12" t="str">
        <f>IF(3&lt;='🌱 Configuração'!$H$6,"S3","—")</f>
        <v>—</v>
      </c>
      <c r="C9" s="13" t="str">
        <f>IF(3&lt;='🌱 Configuração'!$H$6,'🌱 Configuração'!$B$56+14,"")</f>
        <v/>
      </c>
      <c r="D9" s="14" t="str">
        <f t="array" ref="D9">IF('🌱 Configuração'!$B$56="","",IF(3&lt;1,"",IF(3&gt;'🌱 Configuração'!$H$6,"",IF(IFERROR(MATCH('🌱 Configuração'!$H$12,{"BioBizz","Remo Nutrients","General Organics","SuperSoil","Genérico"},0),1)=1,IF(3=1,"Root Juice",IF(3=2,"Root Juice",IF(3=3,"Root Juice",IF(3=4,"Root Juice","")))),IF(IFERROR(MATCH('🌱 Configuração'!$H$12,{"BioBizz","Remo Nutrients","General Organics","SuperSoil","Genérico"},0),1)=2,IF(3=1,"Remo Roots",IF(3=2,"Remo Roots",IF(3=3,"Remo Roots",IF(3=4,"Remo Roots","")))),IF(IFERROR(MATCH('🌱 Configuração'!$H$12,{"BioBizz","Remo Nutrients","General Organics","SuperSoil","Genérico"},0),1)=3,IF(3=1,"BioRoot",IF(3=2,"BioRoot",IF(3=3,"BioRoot",IF(3=4,"BioRoot","")))),IF(IFERROR(MATCH('🌱 Configuração'!$H$12,{"BioBizz","Remo Nutrients","General Organics","SuperSoil","Genérico"},0),1)=4,IF(3=1,"Chá de compostagem",IF(3=2,"Chá de compostagem",IF(3=3,"Cobertura: farinha de alga",IF(3=4,"Molasses 2 mL/L","")))),IF(3=1,"← Preencha",IF(3=2,"← Preencha",IF(3=3,"← Preencha",IF(3=4,"← Preencha","")))))))))))</f>
        <v/>
      </c>
      <c r="E9" s="15" t="str">
        <f t="array" ref="E9">IF('🌱 Configuração'!$B$56="","",IF(3&lt;1,"",IF(3&gt;'🌱 Configuração'!$H$6,"",IF(IFERROR(MATCH('🌱 Configuração'!$H$12,{"BioBizz","Remo Nutrients","General Organics","SuperSoil","Genérico"},0),1)=1,IF(3=1,"0.3 mL/L",IF(3=2,"0.3 mL/L",IF(3=3,"0.5 mL/L",IF(3=4,"0.5 mL/L","")))),IF(IFERROR(MATCH('🌱 Configuração'!$H$12,{"BioBizz","Remo Nutrients","General Organics","SuperSoil","Genérico"},0),1)=2,IF(3=1,"0.5 mL/L",IF(3=2,"1 mL/L",IF(3=3,"1 mL/L",IF(3=4,"1 mL/L","")))),IF(IFERROR(MATCH('🌱 Configuração'!$H$12,{"BioBizz","Remo Nutrients","General Organics","SuperSoil","Genérico"},0),1)=3,IF(3=1,"1.3 mL/L",IF(3=2,"1.3 mL/L",IF(3=3,"2.6 mL/L",IF(3=4,"2.6 mL/L","")))),IF(IFERROR(MATCH('🌱 Configuração'!$H$12,{"BioBizz","Remo Nutrients","General Organics","SuperSoil","Genérico"},0),1)=4,IF(3=1,"1–2L/planta",IF(3=2,"1–2L/planta",IF(3=3,"5g/L solo",IF(3=4,"—","")))),IF(3=1,"—",IF(3=2,"—",IF(3=3,"—",IF(3=4,"—","")))))))))))</f>
        <v/>
      </c>
      <c r="F9" s="14" t="str">
        <f t="array" ref="F9">IF('🌱 Configuração'!$B$56="","",IF(3&lt;1,"",IF(3&gt;'🌱 Configuração'!$H$6,"",IF(IFERROR(MATCH('🌱 Configuração'!$H$12,{"BioBizz","Remo Nutrients","General Organics","SuperSoil","Genérico"},0),1)=1,IF(3=1,"—",IF(3=2,"Alg·A·Mic",IF(3=3,"Bio·Grow",IF(3=4,"Bio·Grow","")))),IF(IFERROR(MATCH('🌱 Configuração'!$H$12,{"BioBizz","Remo Nutrients","General Organics","SuperSoil","Genérico"},0),1)=2,IF(3=1,"Magnifical",IF(3=2,"Magnifical",IF(3=3,"Micro",IF(3=4,"Micro","")))),IF(IFERROR(MATCH('🌱 Configuração'!$H$12,{"BioBizz","Remo Nutrients","General Organics","SuperSoil","Genérico"},0),1)=3,IF(3=1,"CaMg+",IF(3=2,"CaMg+",IF(3=3,"CaMg+",IF(3=4,"CaMg+","")))),IF(IFERROR(MATCH('🌱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G9" s="15" t="str">
        <f t="array" ref="G9">IF('🌱 Configuração'!$B$56="","",IF(3&lt;1,"",IF(3&gt;'🌱 Configuração'!$H$6,"",IF(IFERROR(MATCH('🌱 Configuração'!$H$12,{"BioBizz","Remo Nutrients","General Organics","SuperSoil","Genérico"},0),1)=1,IF(3=1,"—",IF(3=2,"0.5 mL/L",IF(3=3,"0.5 mL/L",IF(3=4,"1 mL/L","")))),IF(IFERROR(MATCH('🌱 Configuração'!$H$12,{"BioBizz","Remo Nutrients","General Organics","SuperSoil","Genérico"},0),1)=2,IF(3=1,"0.5 mL/L",IF(3=2,"0.5 mL/L",IF(3=3,"0.5 mL/L",IF(3=4,"1 mL/L","")))),IF(IFERROR(MATCH('🌱 Configuração'!$H$12,{"BioBizz","Remo Nutrients","General Organics","SuperSoil","Genérico"},0),1)=3,IF(3=1,"1.3 mL/L",IF(3=2,"1.3 mL/L",IF(3=3,"1.3 mL/L",IF(3=4,"1.3 mL/L","")))),IF(IFERROR(MATCH('🌱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H9" s="14" t="str">
        <f t="array" ref="H9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Organics","SuperSoil","Genérico"},0),1)=2,IF(3=1,"—",IF(3=2,"—",IF(3=3,"Grow",IF(3=4,"Grow","")))),IF(IFERROR(MATCH('🌱 Configuração'!$H$12,{"BioBizz","Remo Nutrients","General Organics","SuperSoil","Genérico"},0),1)=3,IF(3=1,"—",IF(3=2,"BioWeed",IF(3=3,"BioThrive G",IF(3=4,"BioThrive G","")))),IF(IFERROR(MATCH('🌱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I9" s="15" t="str">
        <f t="array" ref="I9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Organics","SuperSoil","Genérico"},0),1)=2,IF(3=1,"—",IF(3=2,"—",IF(3=3,"0.5 mL/L",IF(3=4,"1 mL/L","")))),IF(IFERROR(MATCH('🌱 Configuração'!$H$12,{"BioBizz","Remo Nutrients","General Organics","SuperSoil","Genérico"},0),1)=3,IF(3=1,"—",IF(3=2,"0.7 mL/L",IF(3=3,"1.3 mL/L",IF(3=4,"2.6 mL/L","")))),IF(IFERROR(MATCH('🌱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J9" s="14" t="str">
        <f t="array" ref="J9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Organics","SuperSoil","Genérico"},0),1)=2,IF(3=1,"—",IF(3=2,"—",IF(3=3,"—",IF(3=4,"—","")))),IF(IFERROR(MATCH('🌱 Configuração'!$H$12,{"BioBizz","Remo Nutrients","General Organics","SuperSoil","Genérico"},0),1)=3,IF(3=1,"—",IF(3=2,"—",IF(3=3,"—",IF(3=4,"—","")))),IF(IFERROR(MATCH('🌱 Configuração'!$H$12,{"BioBizz","Remo Nutrients","General Organics","SuperSoil","Genérico"},0),1)=4,IF(3=1,"Biorrizas",IF(3=2,"—",IF(3=3,"—",IF(3=4,"Biorrizas","")))),IF(3=1,"—",IF(3=2,"—",IF(3=3,"—",IF(3=4,"—","")))))))))))</f>
        <v/>
      </c>
      <c r="K9" s="16" t="str">
        <f t="array" ref="K9">IF('🌱 Configuração'!$B$56="","",IF(3&lt;1,"",IF(3&gt;'🌱 Configuração'!$H$6,"",IF(IFERROR(MATCH('🌱 Configuração'!$H$12,{"BioBizz","Remo Nutrients","General Organics","SuperSoil","Genérico"},0),1)=1,IF(3=1,"6.2–6.5",IF(3=2,"6.2–6.5",IF(3=3,"6.2–6.5",IF(3=4,"6.2–6.5","")))),IF(IFERROR(MATCH('🌱 Configuração'!$H$12,{"BioBizz","Remo Nutrients","General Organics","SuperSoil","Genérico"},0),1)=2,IF(3=1,"5.8–6.0",IF(3=2,"5.8–6.0",IF(3=3,"5.8–6.2",IF(3=4,"5.8–6.2","")))),IF(IFERROR(MATCH('🌱 Configuração'!$H$12,{"BioBizz","Remo Nutrients","General Organics","SuperSoil","Genérico"},0),1)=3,IF(3=1,"6.2–7.0",IF(3=2,"6.2–7.0",IF(3=3,"6.2–7.0",IF(3=4,"6.2–7.0","")))),IF(IFERROR(MATCH('🌱 Configuração'!$H$12,{"BioBizz","Remo Nutrients","General Organics","SuperSoil","Genérico"},0),1)=4,IF(3=1,"auto",IF(3=2,"auto",IF(3=3,"auto",IF(3=4,"auto","")))),IF(3=1,"—",IF(3=2,"—",IF(3=3,"—",IF(3=4,"—","")))))))))))</f>
        <v/>
      </c>
      <c r="L9" s="17" t="str">
        <f t="array" ref="L9">IF('🌱 Configuração'!$B$56="","",IF(3&lt;1,"",IF(3&gt;'🌱 Configuração'!$H$6,"",IF(IFERROR(MATCH('🌱 Configuração'!$H$12,{"BioBizz","Remo Nutrients","General Organics","SuperSoil","Genérico"},0),1)=1,IF(3=1,"baixo",IF(3=2,"baixo",IF(3=3,"baixo",IF(3=4,"baixo","")))),IF(IFERROR(MATCH('🌱 Configuração'!$H$12,{"BioBizz","Remo Nutrients","General Organics","SuperSoil","Genérico"},0),1)=2,IF(3=1,"baixo",IF(3=2,"baixo",IF(3=3,"0.4",IF(3=4,"0.6","")))),IF(IFERROR(MATCH('🌱 Configuração'!$H$12,{"BioBizz","Remo Nutrients","General Organics","SuperSoil","Genérico"},0),1)=3,IF(3=1,"baixo",IF(3=2,"baixo",IF(3=3,"baixo",IF(3=4,"baixo","")))),IF(IFERROR(MATCH('🌱 Configuração'!$H$12,{"BioBizz","Remo Nutrients","General Organics","SuperSoil","Genérico"},0),1)=4,IF(3=1,"auto",IF(3=2,"auto",IF(3=3,"auto",IF(3=4,"auto","")))),IF(3=1,"—",IF(3=2,"—",IF(3=3,"—",IF(3=4,"—","")))))))))))</f>
        <v/>
      </c>
      <c r="M9" s="14" t="str">
        <f t="array" ref="M9">IF('🌱 Configuração'!$B$56="","",IF(3&lt;1,"",IF(3&gt;'🌱 Configuração'!$H$6,"",IF(IFERROR(MATCH('🌱 Configuração'!$H$12,{"BioBizz","Remo Nutrients","General Organics","SuperSoil","Genérico"},0),1)=1,IF(3=1,"Solo úmido — estimular raízes",IF(3=2,"Alg·A·Mic recupera e fortalece",IF(3=3,"Início suave de N antes da vega",IF(3=4,"Pronto para vegetativo","")))),IF(IFERROR(MATCH('🌱 Configuração'!$H$12,{"BioBizz","Remo Nutrients","General Organics","SuperSoil","Genérico"},0),1)=2,IF(3=1,"Roots = estimulador de raízes Remo",IF(3=2,"Magnifical = CalMag Remo",IF(3=3,"Introduzir base suave antes da vega",IF(3=4,"Pronto para vega — confirmar raízes","")))),IF(IFERROR(MATCH('🌱 Configuração'!$H$12,{"BioBizz","Remo Nutrients","General Organics","SuperSoil","Genérico"},0),1)=3,IF(3=1,"GO não precisa ajustar pH em solo",IF(3=2,"BioWeed = extrato de algas GO",IF(3=3,"Introduzir BioThrive Grow suave",IF(3=4,"Pronto para vega","")))),IF(IFERROR(MATCH('🌱 Configuração'!$H$12,{"BioBizz","Remo Nutrients","General Organics","SuperSoil","Genérico"},0),1)=4,IF(3=1,"Solo vivo — sem adubação química",IF(3=2,"Manter solo úmido e vivo",IF(3=3,"Farinha de alga = fósforo e K suave",IF(3=4,"Mel de cana alimenta microbioma","")))),IF(3=1,"Personalize suas doses",IF(3=2,"Personalize suas doses",IF(3=3,"Personalize suas doses",IF(3=4,"Personalize suas doses","")))))))))))</f>
        <v/>
      </c>
      <c r="N9" s="1"/>
    </row>
    <row r="10" spans="1:14" ht="21.75" customHeight="1">
      <c r="A10" s="1"/>
      <c r="B10" s="12" t="str">
        <f>IF(4&lt;='🌱 Configuração'!$H$6,"S4","—")</f>
        <v>—</v>
      </c>
      <c r="C10" s="18" t="str">
        <f>IF(4&lt;='🌱 Configuração'!$H$6,'🌱 Configuração'!$B$56+21,"")</f>
        <v/>
      </c>
      <c r="D10" s="19" t="str">
        <f t="array" ref="D10">IF('🌱 Configuração'!$B$56="","",IF(4&lt;1,"",IF(4&gt;'🌱 Configuração'!$H$6,"",IF(IFERROR(MATCH('🌱 Configuração'!$H$12,{"BioBizz","Remo Nutrients","General Organics","SuperSoil","Genérico"},0),1)=1,IF(4=1,"Root Juice",IF(4=2,"Root Juice",IF(4=3,"Root Juice",IF(4=4,"Root Juice","")))),IF(IFERROR(MATCH('🌱 Configuração'!$H$12,{"BioBizz","Remo Nutrients","General Organics","SuperSoil","Genérico"},0),1)=2,IF(4=1,"Remo Roots",IF(4=2,"Remo Roots",IF(4=3,"Remo Roots",IF(4=4,"Remo Roots","")))),IF(IFERROR(MATCH('🌱 Configuração'!$H$12,{"BioBizz","Remo Nutrients","General Organics","SuperSoil","Genérico"},0),1)=3,IF(4=1,"BioRoot",IF(4=2,"BioRoot",IF(4=3,"BioRoot",IF(4=4,"BioRoot","")))),IF(IFERROR(MATCH('🌱 Configuração'!$H$12,{"BioBizz","Remo Nutrients","General Organics","SuperSoil","Genérico"},0),1)=4,IF(4=1,"Chá de compostagem",IF(4=2,"Chá de compostagem",IF(4=3,"Cobertura: farinha de alga",IF(4=4,"Molasses 2 mL/L","")))),IF(4=1,"← Preencha",IF(4=2,"← Preencha",IF(4=3,"← Preencha",IF(4=4,"← Preencha","")))))))))))</f>
        <v/>
      </c>
      <c r="E10" s="20" t="str">
        <f t="array" ref="E10">IF('🌱 Configuração'!$B$56="","",IF(4&lt;1,"",IF(4&gt;'🌱 Configuração'!$H$6,"",IF(IFERROR(MATCH('🌱 Configuração'!$H$12,{"BioBizz","Remo Nutrients","General Organics","SuperSoil","Genérico"},0),1)=1,IF(4=1,"0.3 mL/L",IF(4=2,"0.3 mL/L",IF(4=3,"0.5 mL/L",IF(4=4,"0.5 mL/L","")))),IF(IFERROR(MATCH('🌱 Configuração'!$H$12,{"BioBizz","Remo Nutrients","General Organics","SuperSoil","Genérico"},0),1)=2,IF(4=1,"0.5 mL/L",IF(4=2,"1 mL/L",IF(4=3,"1 mL/L",IF(4=4,"1 mL/L","")))),IF(IFERROR(MATCH('🌱 Configuração'!$H$12,{"BioBizz","Remo Nutrients","General Organics","SuperSoil","Genérico"},0),1)=3,IF(4=1,"1.3 mL/L",IF(4=2,"1.3 mL/L",IF(4=3,"2.6 mL/L",IF(4=4,"2.6 mL/L","")))),IF(IFERROR(MATCH('🌱 Configuração'!$H$12,{"BioBizz","Remo Nutrients","General Organics","SuperSoil","Genérico"},0),1)=4,IF(4=1,"1–2L/planta",IF(4=2,"1–2L/planta",IF(4=3,"5g/L solo",IF(4=4,"—","")))),IF(4=1,"—",IF(4=2,"—",IF(4=3,"—",IF(4=4,"—","")))))))))))</f>
        <v/>
      </c>
      <c r="F10" s="19" t="str">
        <f t="array" ref="F10">IF('🌱 Configuração'!$B$56="","",IF(4&lt;1,"",IF(4&gt;'🌱 Configuração'!$H$6,"",IF(IFERROR(MATCH('🌱 Configuração'!$H$12,{"BioBizz","Remo Nutrients","General Organics","SuperSoil","Genérico"},0),1)=1,IF(4=1,"—",IF(4=2,"Alg·A·Mic",IF(4=3,"Bio·Grow",IF(4=4,"Bio·Grow","")))),IF(IFERROR(MATCH('🌱 Configuração'!$H$12,{"BioBizz","Remo Nutrients","General Organics","SuperSoil","Genérico"},0),1)=2,IF(4=1,"Magnifical",IF(4=2,"Magnifical",IF(4=3,"Micro",IF(4=4,"Micro","")))),IF(IFERROR(MATCH('🌱 Configuração'!$H$12,{"BioBizz","Remo Nutrients","General Organics","SuperSoil","Genérico"},0),1)=3,IF(4=1,"CaMg+",IF(4=2,"CaMg+",IF(4=3,"CaMg+",IF(4=4,"CaMg+","")))),IF(IFERROR(MATCH('🌱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G10" s="20" t="str">
        <f t="array" ref="G10">IF('🌱 Configuração'!$B$56="","",IF(4&lt;1,"",IF(4&gt;'🌱 Configuração'!$H$6,"",IF(IFERROR(MATCH('🌱 Configuração'!$H$12,{"BioBizz","Remo Nutrients","General Organics","SuperSoil","Genérico"},0),1)=1,IF(4=1,"—",IF(4=2,"0.5 mL/L",IF(4=3,"0.5 mL/L",IF(4=4,"1 mL/L","")))),IF(IFERROR(MATCH('🌱 Configuração'!$H$12,{"BioBizz","Remo Nutrients","General Organics","SuperSoil","Genérico"},0),1)=2,IF(4=1,"0.5 mL/L",IF(4=2,"0.5 mL/L",IF(4=3,"0.5 mL/L",IF(4=4,"1 mL/L","")))),IF(IFERROR(MATCH('🌱 Configuração'!$H$12,{"BioBizz","Remo Nutrients","General Organics","SuperSoil","Genérico"},0),1)=3,IF(4=1,"1.3 mL/L",IF(4=2,"1.3 mL/L",IF(4=3,"1.3 mL/L",IF(4=4,"1.3 mL/L","")))),IF(IFERROR(MATCH('🌱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H10" s="19" t="str">
        <f t="array" ref="H10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Organics","SuperSoil","Genérico"},0),1)=2,IF(4=1,"—",IF(4=2,"—",IF(4=3,"Grow",IF(4=4,"Grow","")))),IF(IFERROR(MATCH('🌱 Configuração'!$H$12,{"BioBizz","Remo Nutrients","General Organics","SuperSoil","Genérico"},0),1)=3,IF(4=1,"—",IF(4=2,"BioWeed",IF(4=3,"BioThrive G",IF(4=4,"BioThrive G","")))),IF(IFERROR(MATCH('🌱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I10" s="20" t="str">
        <f t="array" ref="I10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Organics","SuperSoil","Genérico"},0),1)=2,IF(4=1,"—",IF(4=2,"—",IF(4=3,"0.5 mL/L",IF(4=4,"1 mL/L","")))),IF(IFERROR(MATCH('🌱 Configuração'!$H$12,{"BioBizz","Remo Nutrients","General Organics","SuperSoil","Genérico"},0),1)=3,IF(4=1,"—",IF(4=2,"0.7 mL/L",IF(4=3,"1.3 mL/L",IF(4=4,"2.6 mL/L","")))),IF(IFERROR(MATCH('🌱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J10" s="19" t="str">
        <f t="array" ref="J10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Organics","SuperSoil","Genérico"},0),1)=2,IF(4=1,"—",IF(4=2,"—",IF(4=3,"—",IF(4=4,"—","")))),IF(IFERROR(MATCH('🌱 Configuração'!$H$12,{"BioBizz","Remo Nutrients","General Organics","SuperSoil","Genérico"},0),1)=3,IF(4=1,"—",IF(4=2,"—",IF(4=3,"—",IF(4=4,"—","")))),IF(IFERROR(MATCH('🌱 Configuração'!$H$12,{"BioBizz","Remo Nutrients","General Organics","SuperSoil","Genérico"},0),1)=4,IF(4=1,"Biorrizas",IF(4=2,"—",IF(4=3,"—",IF(4=4,"Biorrizas","")))),IF(4=1,"—",IF(4=2,"—",IF(4=3,"—",IF(4=4,"—","")))))))))))</f>
        <v/>
      </c>
      <c r="K10" s="16" t="str">
        <f t="array" ref="K10">IF('🌱 Configuração'!$B$56="","",IF(4&lt;1,"",IF(4&gt;'🌱 Configuração'!$H$6,"",IF(IFERROR(MATCH('🌱 Configuração'!$H$12,{"BioBizz","Remo Nutrients","General Organics","SuperSoil","Genérico"},0),1)=1,IF(4=1,"6.2–6.5",IF(4=2,"6.2–6.5",IF(4=3,"6.2–6.5",IF(4=4,"6.2–6.5","")))),IF(IFERROR(MATCH('🌱 Configuração'!$H$12,{"BioBizz","Remo Nutrients","General Organics","SuperSoil","Genérico"},0),1)=2,IF(4=1,"5.8–6.0",IF(4=2,"5.8–6.0",IF(4=3,"5.8–6.2",IF(4=4,"5.8–6.2","")))),IF(IFERROR(MATCH('🌱 Configuração'!$H$12,{"BioBizz","Remo Nutrients","General Organics","SuperSoil","Genérico"},0),1)=3,IF(4=1,"6.2–7.0",IF(4=2,"6.2–7.0",IF(4=3,"6.2–7.0",IF(4=4,"6.2–7.0","")))),IF(IFERROR(MATCH('🌱 Configuração'!$H$12,{"BioBizz","Remo Nutrients","General Organics","SuperSoil","Genérico"},0),1)=4,IF(4=1,"auto",IF(4=2,"auto",IF(4=3,"auto",IF(4=4,"auto","")))),IF(4=1,"—",IF(4=2,"—",IF(4=3,"—",IF(4=4,"—","")))))))))))</f>
        <v/>
      </c>
      <c r="L10" s="17" t="str">
        <f t="array" ref="L10">IF('🌱 Configuração'!$B$56="","",IF(4&lt;1,"",IF(4&gt;'🌱 Configuração'!$H$6,"",IF(IFERROR(MATCH('🌱 Configuração'!$H$12,{"BioBizz","Remo Nutrients","General Organics","SuperSoil","Genérico"},0),1)=1,IF(4=1,"baixo",IF(4=2,"baixo",IF(4=3,"baixo",IF(4=4,"baixo","")))),IF(IFERROR(MATCH('🌱 Configuração'!$H$12,{"BioBizz","Remo Nutrients","General Organics","SuperSoil","Genérico"},0),1)=2,IF(4=1,"baixo",IF(4=2,"baixo",IF(4=3,"0.4",IF(4=4,"0.6","")))),IF(IFERROR(MATCH('🌱 Configuração'!$H$12,{"BioBizz","Remo Nutrients","General Organics","SuperSoil","Genérico"},0),1)=3,IF(4=1,"baixo",IF(4=2,"baixo",IF(4=3,"baixo",IF(4=4,"baixo","")))),IF(IFERROR(MATCH('🌱 Configuração'!$H$12,{"BioBizz","Remo Nutrients","General Organics","SuperSoil","Genérico"},0),1)=4,IF(4=1,"auto",IF(4=2,"auto",IF(4=3,"auto",IF(4=4,"auto","")))),IF(4=1,"—",IF(4=2,"—",IF(4=3,"—",IF(4=4,"—","")))))))))))</f>
        <v/>
      </c>
      <c r="M10" s="19" t="str">
        <f t="array" ref="M10">IF('🌱 Configuração'!$B$56="","",IF(4&lt;1,"",IF(4&gt;'🌱 Configuração'!$H$6,"",IF(IFERROR(MATCH('🌱 Configuração'!$H$12,{"BioBizz","Remo Nutrients","General Organics","SuperSoil","Genérico"},0),1)=1,IF(4=1,"Solo úmido — estimular raízes",IF(4=2,"Alg·A·Mic recupera e fortalece",IF(4=3,"Início suave de N antes da vega",IF(4=4,"Pronto para vegetativo","")))),IF(IFERROR(MATCH('🌱 Configuração'!$H$12,{"BioBizz","Remo Nutrients","General Organics","SuperSoil","Genérico"},0),1)=2,IF(4=1,"Roots = estimulador de raízes Remo",IF(4=2,"Magnifical = CalMag Remo",IF(4=3,"Introduzir base suave antes da vega",IF(4=4,"Pronto para vega — confirmar raízes","")))),IF(IFERROR(MATCH('🌱 Configuração'!$H$12,{"BioBizz","Remo Nutrients","General Organics","SuperSoil","Genérico"},0),1)=3,IF(4=1,"GO não precisa ajustar pH em solo",IF(4=2,"BioWeed = extrato de algas GO",IF(4=3,"Introduzir BioThrive Grow suave",IF(4=4,"Pronto para vega","")))),IF(IFERROR(MATCH('🌱 Configuração'!$H$12,{"BioBizz","Remo Nutrients","General Organics","SuperSoil","Genérico"},0),1)=4,IF(4=1,"Solo vivo — sem adubação química",IF(4=2,"Manter solo úmido e vivo",IF(4=3,"Farinha de alga = fósforo e K suave",IF(4=4,"Mel de cana alimenta microbioma","")))),IF(4=1,"Personalize suas doses",IF(4=2,"Personalize suas doses",IF(4=3,"Personalize suas doses",IF(4=4,"Personalize suas doses","")))))))))))</f>
        <v/>
      </c>
      <c r="N10" s="1"/>
    </row>
    <row r="11" spans="1:14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7.75" customHeight="1">
      <c r="A12" s="1"/>
      <c r="B12" s="102" t="s">
        <v>37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8"/>
      <c r="N12" s="1"/>
    </row>
    <row r="13" spans="1:14" ht="24" customHeight="1">
      <c r="A13" s="1"/>
      <c r="B13" s="11" t="s">
        <v>45</v>
      </c>
      <c r="C13" s="11" t="s">
        <v>46</v>
      </c>
      <c r="D13" s="11" t="s">
        <v>47</v>
      </c>
      <c r="E13" s="11" t="s">
        <v>48</v>
      </c>
      <c r="F13" s="11" t="s">
        <v>49</v>
      </c>
      <c r="G13" s="11" t="s">
        <v>50</v>
      </c>
      <c r="H13" s="11" t="s">
        <v>51</v>
      </c>
      <c r="I13" s="11" t="s">
        <v>52</v>
      </c>
      <c r="J13" s="11" t="s">
        <v>53</v>
      </c>
      <c r="K13" s="11" t="s">
        <v>54</v>
      </c>
      <c r="L13" s="11" t="s">
        <v>55</v>
      </c>
      <c r="M13" s="11" t="s">
        <v>56</v>
      </c>
      <c r="N13" s="1"/>
    </row>
    <row r="14" spans="1:14" ht="21.75" customHeight="1">
      <c r="A14" s="1"/>
      <c r="B14" s="21" t="str">
        <f>IF(1&lt;='🌱 Configuração'!$H$7,"S1","—")</f>
        <v>S1</v>
      </c>
      <c r="C14" s="13">
        <f>IF(1&lt;='🌱 Configuração'!$H$7,'🌱 Configuração'!$C$56+0,"")</f>
        <v>14</v>
      </c>
      <c r="D14" s="14" t="str">
        <f t="array" ref="D14">IF('🌱 Configuração'!$C$56="","",IF(1&lt;1,"",IF(1&gt;'🌱 Configuração'!$H$7,"",IF(IFERROR(MATCH('🌱 Configuração'!$H$12,{"BioBizz","Remo Nutrients","General Organics","SuperSoil","Genérico"},0),1)=1,IF(1=1,"Bio·Grow",IF(1=2,"Bio·Grow",IF(1=3,"Bio·Grow",IF(1=4,"Bio·Grow",IF(1=5,"Bio·Grow",IF(1=6,"Bio·Grow",IF(1=7,"Bio·Grow",IF(1=8,"Bio·Grow","")))))))),IF(IFERROR(MATCH('🌱 Configuração'!$H$12,{"BioBizz","Remo Nutrients","General Organics","SuperSoil","Genérico"},0),1)=2,IF(1=1,"Micro",IF(1=2,"Micro",IF(1=3,"Micro",IF(1=4,"Micro",IF(1=5,"Micro",IF(1=6,"Micro",IF(1=7,"Micro",IF(1=8,"Micro","")))))))),IF(IFERROR(MATCH('🌱 Configuração'!$H$12,{"BioBizz","Remo Nutrients","General Organics","SuperSoil","Genérico"},0),1)=3,IF(1=1,"BioThrive G",IF(1=2,"BioThrive G",IF(1=3,"BioThrive G",IF(1=4,"BioThrive G",IF(1=5,"BioThrive G",IF(1=6,"BioThrive G",IF(1=7,"BioThrive G",IF(1=8,"BioThrive G","")))))))),IF(IFERROR(MATCH('🌱 Configuração'!$H$12,{"BioBizz","Remo Nutrients","General Organics","SuperSoil","Genérico"},0),1)=4,IF(1=1,"Chá de compostagem",IF(1=2,"Cobertura: torta de mamona",IF(1=3,"Molasses 2 mL/L",IF(1=4,"Chá de compostagem",IF(1=5,"Cobertura: farinha de alga",IF(1=6,"Molasses 2 mL/L",IF(1=7,"Cobertura: farinha de osso",IF(1=8,"Chá de compostagem","")))))))),IF(1=1,"← Preencha",IF(1=2,"← Preencha",IF(1=3,"← Preencha",IF(1=4,"← Preencha",IF(1=5,"← Preencha",IF(1=6,"← Preencha",IF(1=7,"← Preencha",IF(1=8,"← Preencha","")))))))))))))))</f>
        <v>Bio·Grow</v>
      </c>
      <c r="E14" s="15" t="str">
        <f t="array" ref="E14">IF('🌱 Configuração'!$C$56="","",IF(1&lt;1,"",IF(1&gt;'🌱 Configuração'!$H$7,"",IF(IFERROR(MATCH('🌱 Configuração'!$H$12,{"BioBizz","Remo Nutrients","General Organics","SuperSoil","Genérico"},0),1)=1,IF(1=1,"1 mL/L",IF(1=2,"2 mL/L",IF(1=3,"2 mL/L",IF(1=4,"3 mL/L",IF(1=5,"4 mL/L",IF(1=6,"4 mL/L",IF(1=7,"4 mL/L",IF(1=8,"4 mL/L","")))))))),IF(IFERROR(MATCH('🌱 Configuração'!$H$12,{"BioBizz","Remo Nutrients","General Organics","SuperSoil","Genérico"},0),1)=2,IF(1=1,"1.3 mL/L",IF(1=2,"1.5 mL/L",IF(1=3,"1.8 mL/L",IF(1=4,"2.1 mL/L",IF(1=5,"2.1 mL/L",IF(1=6,"2.1 mL/L",IF(1=7,"2.1 mL/L",IF(1=8,"2.1 mL/L","")))))))),IF(IFERROR(MATCH('🌱 Configuração'!$H$12,{"BioBizz","Remo Nutrients","General Organics","SuperSoil","Genérico"},0),1)=3,IF(1=1,"1.3 mL/L",IF(1=2,"2.6 mL/L",IF(1=3,"2.6 mL/L",IF(1=4,"2.6 mL/L",IF(1=5,"2.6 mL/L",IF(1=6,"2.6 mL/L",IF(1=7,"1.3 mL/L",IF(1=8,"1.3 mL/L","")))))))),IF(IFERROR(MATCH('🌱 Configuração'!$H$12,{"BioBizz","Remo Nutrients","General Organics","SuperSoil","Genérico"},0),1)=4,IF(1=1,"2L/planta",IF(1=2,"10g/vaso",IF(1=3,"—",IF(1=4,"2L/planta",IF(1=5,"5g/L solo",IF(1=6,"—",IF(1=7,"10g/vaso",IF(1=8,"2L/planta","")))))))),IF(1=1,"—",IF(1=2,"—",IF(1=3,"—",IF(1=4,"—",IF(1=5,"—",IF(1=6,"—",IF(1=7,"—",IF(1=8,"—","")))))))))))))))</f>
        <v>1 mL/L</v>
      </c>
      <c r="F14" s="14" t="str">
        <f t="array" ref="F14">IF('🌱 Configuração'!$C$56="","",IF(1&lt;1,"",IF(1&gt;'🌱 Configuração'!$H$7,"",IF(IFERROR(MATCH('🌱 Configuração'!$H$12,{"BioBizz","Remo Nutrients","General Organics","SuperSoil","Genérico"},0),1)=1,IF(1=1,"Fish·Mix",IF(1=2,"Fish·Mix",IF(1=3,"Fish·Mix",IF(1=4,"Fish·Mix",IF(1=5,"Fish·Mix",IF(1=6,"—",IF(1=7,"Bio·Bloom",IF(1=8,"Bio·Bloom","")))))))),IF(IFERROR(MATCH('🌱 Configuração'!$H$12,{"BioBizz","Remo Nutrients","General Organics","SuperSoil","Genérico"},0),1)=2,IF(1=1,"Grow",IF(1=2,"Grow",IF(1=3,"Grow",IF(1=4,"Grow",IF(1=5,"Grow",IF(1=6,"Grow",IF(1=7,"Grow",IF(1=8,"Grow","")))))))),IF(IFERROR(MATCH('🌱 Configuração'!$H$12,{"BioBizz","Remo Nutrients","General Organics","SuperSoil","Genérico"},0),1)=3,IF(1=1,"BioRoot",IF(1=2,"BioRoot",IF(1=3,"BioRoot",IF(1=4,"BioRoot",IF(1=5,"CaMg+",IF(1=6,"BioThrive B",IF(1=7,"BioThrive B",IF(1=8,"BioThrive B","")))))))),IF(IFERROR(MATCH('🌱 Configuração'!$H$12,{"BioBizz","Remo Nutrients","General Organics","SuperSoil","Genérico"},0),1)=4,IF(1=1,"—",IF(1=2,"Cobertura: farinha de osso",IF(1=3,"—",IF(1=4,"—",IF(1=5,"Cobertura: cinzas de madeira",IF(1=6,"—",IF(1=7,"Cobertura: guano de morcego",IF(1=8,"—","")))))))),IF(1=1,"—",IF(1=2,"—",IF(1=3,"—",IF(1=4,"—",IF(1=5,"—",IF(1=6,"—",IF(1=7,"—",IF(1=8,"—","")))))))))))))))</f>
        <v>Fish·Mix</v>
      </c>
      <c r="G14" s="15" t="str">
        <f t="array" ref="G14">IF('🌱 Configuração'!$C$56="","",IF(1&lt;1,"",IF(1&gt;'🌱 Configuração'!$H$7,"",IF(IFERROR(MATCH('🌱 Configuração'!$H$12,{"BioBizz","Remo Nutrients","General Organics","SuperSoil","Genérico"},0),1)=1,IF(1=1,"1 mL/L",IF(1=2,"2 mL/L",IF(1=3,"2 mL/L",IF(1=4,"3 mL/L",IF(1=5,"3 mL/L",IF(1=6,"—",IF(1=7,"1 mL/L",IF(1=8,"2 mL/L","")))))))),IF(IFERROR(MATCH('🌱 Configuração'!$H$12,{"BioBizz","Remo Nutrients","General Organics","SuperSoil","Genérico"},0),1)=2,IF(1=1,"1.3 mL/L",IF(1=2,"1.5 mL/L",IF(1=3,"1.8 mL/L",IF(1=4,"2.1 mL/L",IF(1=5,"2.1 mL/L",IF(1=6,"2.1 mL/L",IF(1=7,"1.0 mL/L",IF(1=8,"0.5 mL/L","")))))))),IF(IFERROR(MATCH('🌱 Configuração'!$H$12,{"BioBizz","Remo Nutrients","General Organics","SuperSoil","Genérico"},0),1)=3,IF(1=1,"2.6 mL/L",IF(1=2,"2.6 mL/L",IF(1=3,"2.6 mL/L",IF(1=4,"1.3 mL/L",IF(1=5,"1.3 mL/L",IF(1=6,"1.3 mL/L",IF(1=7,"2.6 mL/L",IF(1=8,"2.6 mL/L","")))))))),IF(IFERROR(MATCH('🌱 Configuração'!$H$12,{"BioBizz","Remo Nutrients","General Organics","SuperSoil","Genérico"},0),1)=4,IF(1=1,"—",IF(1=2,"10g/vaso",IF(1=3,"—",IF(1=4,"—",IF(1=5,"3g/L",IF(1=6,"—",IF(1=7,"5g/L",IF(1=8,"—","")))))))),IF(1=1,"—",IF(1=2,"—",IF(1=3,"—",IF(1=4,"—",IF(1=5,"—",IF(1=6,"—",IF(1=7,"—",IF(1=8,"—","")))))))))))))))</f>
        <v>1 mL/L</v>
      </c>
      <c r="H14" s="14" t="str">
        <f t="array" ref="H14">IF('🌱 Configuração'!$C$56="","",IF(1&lt;1,"",IF(1&gt;'🌱 Configuração'!$H$7,"",IF(IFERROR(MATCH('🌱 Configuração'!$H$12,{"BioBizz","Remo Nutrients","General Organics","SuperSoil","Genérico"},0),1)=1,IF(1=1,"—",IF(1=2,"—",IF(1=3,"—",IF(1=4,"—",IF(1=5,"—",IF(1=6,"—",IF(1=7,"—",IF(1=8,"—","")))))))),IF(IFERROR(MATCH('🌱 Configuração'!$H$12,{"BioBizz","Remo Nutrients","General Organics","SuperSoil","Genérico"},0),1)=2,IF(1=1,"—",IF(1=2,"—",IF(1=3,"—",IF(1=4,"—",IF(1=5,"—",IF(1=6,"Bloom",IF(1=7,"Bloom",IF(1=8,"Bloom","")))))))),IF(IFERROR(MATCH('🌱 Configuração'!$H$12,{"BioBizz","Remo Nutrients","General Organics","SuperSoil","Genérico"},0),1)=3,IF(1=1,"CaMg+",IF(1=2,"CaMg+",IF(1=3,"CaMg+",IF(1=4,"CaMg+",IF(1=5,"—",IF(1=6,"CaMg+",IF(1=7,"CaMg+",IF(1=8,"CaMg+","")))))))),IF(IFERROR(MATCH('🌱 Configuração'!$H$12,{"BioBizz","Remo Nutrients","General Organics","SuperSoil","Genérico"},0),1)=4,IF(1=1,"—",IF(1=2,"—",IF(1=3,"—",IF(1=4,"—",IF(1=5,"—",IF(1=6,"—",IF(1=7,"—",IF(1=8,"—","")))))))),IF(1=1,"—",IF(1=2,"—",IF(1=3,"—",IF(1=4,"—",IF(1=5,"—",IF(1=6,"—",IF(1=7,"—",IF(1=8,"—","")))))))))))))))</f>
        <v>—</v>
      </c>
      <c r="I14" s="15" t="str">
        <f t="array" ref="I14">IF('🌱 Configuração'!$C$56="","",IF(1&lt;1,"",IF(1&gt;'🌱 Configuração'!$H$7,"",IF(IFERROR(MATCH('🌱 Configuração'!$H$12,{"BioBizz","Remo Nutrients","General Organics","SuperSoil","Genérico"},0),1)=1,IF(1=1,"—",IF(1=2,"—",IF(1=3,"—",IF(1=4,"—",IF(1=5,"—",IF(1=6,"—",IF(1=7,"—",IF(1=8,"—","")))))))),IF(IFERROR(MATCH('🌱 Configuração'!$H$12,{"BioBizz","Remo Nutrients","General Organics","SuperSoil","Genérico"},0),1)=2,IF(1=1,"—",IF(1=2,"—",IF(1=3,"—",IF(1=4,"—",IF(1=5,"—",IF(1=6,"1.0 mL/L",IF(1=7,"2.1 mL/L",IF(1=8,"2.1 mL/L","")))))))),IF(IFERROR(MATCH('🌱 Configuração'!$H$12,{"BioBizz","Remo Nutrients","General Organics","SuperSoil","Genérico"},0),1)=3,IF(1=1,"1.3 mL/L",IF(1=2,"1.3 mL/L",IF(1=3,"1.3 mL/L",IF(1=4,"1.3 mL/L",IF(1=5,"—",IF(1=6,"1.3 mL/L",IF(1=7,"1.3 mL/L",IF(1=8,"1.3 mL/L","")))))))),IF(IFERROR(MATCH('🌱 Configuração'!$H$12,{"BioBizz","Remo Nutrients","General Organics","SuperSoil","Genérico"},0),1)=4,IF(1=1,"—",IF(1=2,"—",IF(1=3,"—",IF(1=4,"—",IF(1=5,"—",IF(1=6,"—",IF(1=7,"—",IF(1=8,"—","")))))))),IF(1=1,"—",IF(1=2,"—",IF(1=3,"—",IF(1=4,"—",IF(1=5,"—",IF(1=6,"—",IF(1=7,"—",IF(1=8,"—","")))))))))))))))</f>
        <v>—</v>
      </c>
      <c r="J14" s="14" t="str">
        <f t="array" ref="J14">IF('🌱 Configuração'!$C$56="","",IF(1&lt;1,"",IF(1&gt;'🌱 Configuração'!$H$7,"",IF(IFERROR(MATCH('🌱 Configuração'!$H$12,{"BioBizz","Remo Nutrients","General Organics","SuperSoil","Genérico"},0),1)=1,IF(1=1,"Alg·A·Mic 1mL",IF(1=2,"—",IF(1=3,"Alg·A·Mic 1mL",IF(1=4,"—",IF(1=5,"Alg·A·Mic 1mL",IF(1=6,"—",IF(1=7,"—",IF(1=8,"—","")))))))),IF(IFERROR(MATCH('🌱 Configuração'!$H$12,{"BioBizz","Remo Nutrients","General Organics","SuperSoil","Genérico"},0),1)=2,IF(1=1,"Magnifical 0.5",IF(1=2,"Magnifical 0.5",IF(1=3,"Magnifical 1.0",IF(1=4,"Magnifical 1.0",IF(1=5,"Magnifical 1.0",IF(1=6,"Magnifical 1.0",IF(1=7,"—",IF(1=8,"—","")))))))),IF(IFERROR(MATCH('🌱 Configuração'!$H$12,{"BioBizz","Remo Nutrients","General Organics","SuperSoil","Genérico"},0),1)=3,IF(1=1,"BioWeed 0.7",IF(1=2,"BioWeed 0.7",IF(1=3,"—",IF(1=4,"—",IF(1=5,"—",IF(1=6,"—",IF(1=7,"—",IF(1=8,"—","")))))))),IF(IFERROR(MATCH('🌱 Configuração'!$H$12,{"BioBizz","Remo Nutrients","General Organics","SuperSoil","Genérico"},0),1)=4,IF(1=1,"Vermicomposto",IF(1=2,"—",IF(1=3,"—",IF(1=4,"—",IF(1=5,"—",IF(1=6,"Microrganismos",IF(1=7,"—",IF(1=8,"—","")))))))),IF(1=1,"—",IF(1=2,"—",IF(1=3,"—",IF(1=4,"—",IF(1=5,"—",IF(1=6,"—",IF(1=7,"—",IF(1=8,"—","")))))))))))))))</f>
        <v>Alg·A·Mic 1mL</v>
      </c>
      <c r="K14" s="16" t="str">
        <f t="array" ref="K14">IF('🌱 Configuração'!$C$56="","",IF(1&lt;1,"",IF(1&gt;'🌱 Configuração'!$H$7,"",IF(IFERROR(MATCH('🌱 Configuração'!$H$12,{"BioBizz","Remo Nutrients","General Organics","SuperSoil","Genérico"},0),1)=1,IF(1=1,"6.2–6.5",IF(1=2,"6.2–6.5",IF(1=3,"6.2–6.5",IF(1=4,"6.2–6.5",IF(1=5,"6.2–6.5",IF(1=6,"6.2–6.5",IF(1=7,"6.2–6.5",IF(1=8,"6.2–6.5","")))))))),IF(IFERROR(MATCH('🌱 Configuração'!$H$12,{"BioBizz","Remo Nutrients","General Organics","SuperSoil","Genérico"},0),1)=2,IF(1=1,"6.0–6.3",IF(1=2,"6.0–6.3",IF(1=3,"6.0–6.3",IF(1=4,"6.0–6.3",IF(1=5,"6.0–6.3",IF(1=6,"6.0–6.3",IF(1=7,"6.0–6.3",IF(1=8,"6.0–6.3","")))))))),IF(IFERROR(MATCH('🌱 Configuração'!$H$12,{"BioBizz","Remo Nutrients","General Organics","SuperSoil","Genérico"},0),1)=3,IF(1=1,"6.2–7.0",IF(1=2,"6.2–7.0",IF(1=3,"6.2–7.0",IF(1=4,"6.2–7.0",IF(1=5,"6.2–7.0",IF(1=6,"6.2–7.0",IF(1=7,"6.2–7.0",IF(1=8,"6.2–7.0","")))))))),IF(IFERROR(MATCH('🌱 Configuração'!$H$12,{"BioBizz","Remo Nutrients","General Organics","SuperSoil","Genérico"},0),1)=4,IF(1=1,"auto",IF(1=2,"auto",IF(1=3,"auto",IF(1=4,"auto",IF(1=5,"auto",IF(1=6,"auto",IF(1=7,"auto",IF(1=8,"auto","")))))))),IF(1=1,"—",IF(1=2,"—",IF(1=3,"—",IF(1=4,"—",IF(1=5,"—",IF(1=6,"—",IF(1=7,"—",IF(1=8,"—","")))))))))))))))</f>
        <v>6.2–6.5</v>
      </c>
      <c r="L14" s="17" t="str">
        <f t="array" ref="L14">IF('🌱 Configuração'!$C$56="","",IF(1&lt;1,"",IF(1&gt;'🌱 Configuração'!$H$7,"",IF(IFERROR(MATCH('🌱 Configuração'!$H$12,{"BioBizz","Remo Nutrients","General Organics","SuperSoil","Genérico"},0),1)=1,IF(1=1,"0.8",IF(1=2,"1.0",IF(1=3,"1.2",IF(1=4,"1.4",IF(1=5,"1.5",IF(1=6,"1.4",IF(1=7,"1.4",IF(1=8,"1.4","")))))))),IF(IFERROR(MATCH('🌱 Configuração'!$H$12,{"BioBizz","Remo Nutrients","General Organics","SuperSoil","Genérico"},0),1)=2,IF(1=1,"0.8",IF(1=2,"1.0",IF(1=3,"1.2",IF(1=4,"1.4",IF(1=5,"1.5",IF(1=6,"1.5",IF(1=7,"1.4",IF(1=8,"1.4","")))))))),IF(IFERROR(MATCH('🌱 Configuração'!$H$12,{"BioBizz","Remo Nutrients","General Organics","SuperSoil","Genérico"},0),1)=3,IF(1=1,"N/A",IF(1=2,"N/A",IF(1=3,"N/A",IF(1=4,"N/A",IF(1=5,"N/A",IF(1=6,"N/A",IF(1=7,"N/A",IF(1=8,"N/A","")))))))),IF(IFERROR(MATCH('🌱 Configuração'!$H$12,{"BioBizz","Remo Nutrients","General Organics","SuperSoil","Genérico"},0),1)=4,IF(1=1,"auto",IF(1=2,"auto",IF(1=3,"auto",IF(1=4,"auto",IF(1=5,"auto",IF(1=6,"auto",IF(1=7,"auto",IF(1=8,"auto","")))))))),IF(1=1,"—",IF(1=2,"—",IF(1=3,"—",IF(1=4,"—",IF(1=5,"—",IF(1=6,"—",IF(1=7,"—",IF(1=8,"—","")))))))))))))))</f>
        <v>0.8</v>
      </c>
      <c r="M14" s="14" t="str">
        <f t="array" ref="M14">IF('🌱 Configuração'!$C$56="","",IF(1&lt;1,"",IF(1&gt;'🌱 Configuração'!$H$7,"",IF(IFERROR(MATCH('🌱 Configuração'!$H$12,{"BioBizz","Remo Nutrients","General Organics","SuperSoil","Genérico"},0),1)=1,IF(1=1,"Fish·Mix em veg = mais N orgânico",IF(1=2,"Aumentar progressivamente",IF(1=3,"Foliar: Fish·Mix + Alg·A·Mic 1mL/L",IF(1=4,"LST / estrutura vegetativa",IF(1=5,"Pré-floração — reduzir Fish·Mix",IF(1=6,"Substituir Fish·Mix por Bio·Grow antes da flora",IF(1=7,"Semana de transição — introduzir Bloom",IF(1=8,"Semana extra de vega","")))))))),IF(IFERROR(MATCH('🌱 Configuração'!$H$12,{"BioBizz","Remo Nutrients","General Organics","SuperSoil","Genérico"},0),1)=2,IF(1=1,"Micro+Grow = base Remo para vega",IF(1=2,"Aumentar conforme tabela oficial",IF(1=3,"Semana 3 da tabela Remo",IF(1=4,"Semana 4 da tabela Remo — pico vega",IF(1=5,"Manter se continuar vega",IF(1=6,"Introduzir Bloom — transição",IF(1=7,"Reduzir Grow, aumentar Bloom",IF(1=8,"Semana extra de vega","")))))))),IF(IFERROR(MATCH('🌱 Configuração'!$H$12,{"BioBizz","Remo Nutrients","General Organics","SuperSoil","Genérico"},0),1)=3,IF(1=1,"GO não requer EC — pH auto-regula",IF(1=2,"Sem necessidade de ajuste pH em solo",IF(1=3,"Semana 3 veg GO",IF(1=4,"Reduzir BioRoot gradualmente",IF(1=5,"Manter Grow puro na vega",IF(1=6,"Semana transição — introduzir Bloom",IF(1=7,"Transição flora — reduzir Grow",IF(1=8,"Semana extra de vega GO","")))))))),IF(IFERROR(MATCH('🌱 Configuração'!$H$12,{"BioBizz","Remo Nutrients","General Organics","SuperSoil","Genérico"},0),1)=4,IF(1=1,"SuperSoil já contém todos os nutrientes",IF(1=2,"Torta de mamona = N lento | Osso = P",IF(1=3,"Mel de cana alimenta fungos e bactérias",IF(1=4,"Observar vigor — solo vivo trabalha",IF(1=5,"Alga = micro. | Cinzas = K e Ca",IF(1=6,"Pré-flora — ativar P e K no solo",IF(1=7,"Guano P alto = preparo para flora",IF(1=8,"Semana extra de vega SuperSoil","")))))))),IF(1=1,"Personalize suas doses",IF(1=2,"Personalize suas doses",IF(1=3,"Personalize suas doses",IF(1=4,"Personalize suas doses",IF(1=5,"Personalize suas doses",IF(1=6,"Personalize suas doses",IF(1=7,"Personalize suas doses",IF(1=8,"Personalize suas doses","")))))))))))))))</f>
        <v>Fish·Mix em veg = mais N orgânico</v>
      </c>
      <c r="N14" s="1"/>
    </row>
    <row r="15" spans="1:14" ht="21.75" customHeight="1">
      <c r="A15" s="1"/>
      <c r="B15" s="21" t="str">
        <f>IF(2&lt;='🌱 Configuração'!$H$7,"S2","—")</f>
        <v>S2</v>
      </c>
      <c r="C15" s="22">
        <f>IF(2&lt;='🌱 Configuração'!$H$7,'🌱 Configuração'!$C$56+7,"")</f>
        <v>21</v>
      </c>
      <c r="D15" s="23" t="str">
        <f t="array" ref="D15">IF('🌱 Configuração'!$C$56="","",IF(2&lt;1,"",IF(2&gt;'🌱 Configuração'!$H$7,"",IF(IFERROR(MATCH('🌱 Configuração'!$H$12,{"BioBizz","Remo Nutrients","General Organics","SuperSoil","Genérico"},0),1)=1,IF(2=1,"Bio·Grow",IF(2=2,"Bio·Grow",IF(2=3,"Bio·Grow",IF(2=4,"Bio·Grow",IF(2=5,"Bio·Grow",IF(2=6,"Bio·Grow",IF(2=7,"Bio·Grow",IF(2=8,"Bio·Grow","")))))))),IF(IFERROR(MATCH('🌱 Configuração'!$H$12,{"BioBizz","Remo Nutrients","General Organics","SuperSoil","Genérico"},0),1)=2,IF(2=1,"Micro",IF(2=2,"Micro",IF(2=3,"Micro",IF(2=4,"Micro",IF(2=5,"Micro",IF(2=6,"Micro",IF(2=7,"Micro",IF(2=8,"Micro","")))))))),IF(IFERROR(MATCH('🌱 Configuração'!$H$12,{"BioBizz","Remo Nutrients","General Organics","SuperSoil","Genérico"},0),1)=3,IF(2=1,"BioThrive G",IF(2=2,"BioThrive G",IF(2=3,"BioThrive G",IF(2=4,"BioThrive G",IF(2=5,"BioThrive G",IF(2=6,"BioThrive G",IF(2=7,"BioThrive G",IF(2=8,"BioThrive G","")))))))),IF(IFERROR(MATCH('🌱 Configuração'!$H$12,{"BioBizz","Remo Nutrients","General Organics","SuperSoil","Genérico"},0),1)=4,IF(2=1,"Chá de compostagem",IF(2=2,"Cobertura: torta de mamona",IF(2=3,"Molasses 2 mL/L",IF(2=4,"Chá de compostagem",IF(2=5,"Cobertura: farinha de alga",IF(2=6,"Molasses 2 mL/L",IF(2=7,"Cobertura: farinha de osso",IF(2=8,"Chá de compostagem","")))))))),IF(2=1,"← Preencha",IF(2=2,"← Preencha",IF(2=3,"← Preencha",IF(2=4,"← Preencha",IF(2=5,"← Preencha",IF(2=6,"← Preencha",IF(2=7,"← Preencha",IF(2=8,"← Preencha","")))))))))))))))</f>
        <v>Bio·Grow</v>
      </c>
      <c r="E15" s="24" t="str">
        <f t="array" ref="E15">IF('🌱 Configuração'!$C$56="","",IF(2&lt;1,"",IF(2&gt;'🌱 Configuração'!$H$7,"",IF(IFERROR(MATCH('🌱 Configuração'!$H$12,{"BioBizz","Remo Nutrients","General Organics","SuperSoil","Genérico"},0),1)=1,IF(2=1,"1 mL/L",IF(2=2,"2 mL/L",IF(2=3,"2 mL/L",IF(2=4,"3 mL/L",IF(2=5,"4 mL/L",IF(2=6,"4 mL/L",IF(2=7,"4 mL/L",IF(2=8,"4 mL/L","")))))))),IF(IFERROR(MATCH('🌱 Configuração'!$H$12,{"BioBizz","Remo Nutrients","General Organics","SuperSoil","Genérico"},0),1)=2,IF(2=1,"1.3 mL/L",IF(2=2,"1.5 mL/L",IF(2=3,"1.8 mL/L",IF(2=4,"2.1 mL/L",IF(2=5,"2.1 mL/L",IF(2=6,"2.1 mL/L",IF(2=7,"2.1 mL/L",IF(2=8,"2.1 mL/L","")))))))),IF(IFERROR(MATCH('🌱 Configuração'!$H$12,{"BioBizz","Remo Nutrients","General Organics","SuperSoil","Genérico"},0),1)=3,IF(2=1,"1.3 mL/L",IF(2=2,"2.6 mL/L",IF(2=3,"2.6 mL/L",IF(2=4,"2.6 mL/L",IF(2=5,"2.6 mL/L",IF(2=6,"2.6 mL/L",IF(2=7,"1.3 mL/L",IF(2=8,"1.3 mL/L","")))))))),IF(IFERROR(MATCH('🌱 Configuração'!$H$12,{"BioBizz","Remo Nutrients","General Organics","SuperSoil","Genérico"},0),1)=4,IF(2=1,"2L/planta",IF(2=2,"10g/vaso",IF(2=3,"—",IF(2=4,"2L/planta",IF(2=5,"5g/L solo",IF(2=6,"—",IF(2=7,"10g/vaso",IF(2=8,"2L/planta","")))))))),IF(2=1,"—",IF(2=2,"—",IF(2=3,"—",IF(2=4,"—",IF(2=5,"—",IF(2=6,"—",IF(2=7,"—",IF(2=8,"—","")))))))))))))))</f>
        <v>2 mL/L</v>
      </c>
      <c r="F15" s="23" t="str">
        <f t="array" ref="F15">IF('🌱 Configuração'!$C$56="","",IF(2&lt;1,"",IF(2&gt;'🌱 Configuração'!$H$7,"",IF(IFERROR(MATCH('🌱 Configuração'!$H$12,{"BioBizz","Remo Nutrients","General Organics","SuperSoil","Genérico"},0),1)=1,IF(2=1,"Fish·Mix",IF(2=2,"Fish·Mix",IF(2=3,"Fish·Mix",IF(2=4,"Fish·Mix",IF(2=5,"Fish·Mix",IF(2=6,"—",IF(2=7,"Bio·Bloom",IF(2=8,"Bio·Bloom","")))))))),IF(IFERROR(MATCH('🌱 Configuração'!$H$12,{"BioBizz","Remo Nutrients","General Organics","SuperSoil","Genérico"},0),1)=2,IF(2=1,"Grow",IF(2=2,"Grow",IF(2=3,"Grow",IF(2=4,"Grow",IF(2=5,"Grow",IF(2=6,"Grow",IF(2=7,"Grow",IF(2=8,"Grow","")))))))),IF(IFERROR(MATCH('🌱 Configuração'!$H$12,{"BioBizz","Remo Nutrients","General Organics","SuperSoil","Genérico"},0),1)=3,IF(2=1,"BioRoot",IF(2=2,"BioRoot",IF(2=3,"BioRoot",IF(2=4,"BioRoot",IF(2=5,"CaMg+",IF(2=6,"BioThrive B",IF(2=7,"BioThrive B",IF(2=8,"BioThrive B","")))))))),IF(IFERROR(MATCH('🌱 Configuração'!$H$12,{"BioBizz","Remo Nutrients","General Organics","SuperSoil","Genérico"},0),1)=4,IF(2=1,"—",IF(2=2,"Cobertura: farinha de osso",IF(2=3,"—",IF(2=4,"—",IF(2=5,"Cobertura: cinzas de madeira",IF(2=6,"—",IF(2=7,"Cobertura: guano de morcego",IF(2=8,"—","")))))))),IF(2=1,"—",IF(2=2,"—",IF(2=3,"—",IF(2=4,"—",IF(2=5,"—",IF(2=6,"—",IF(2=7,"—",IF(2=8,"—","")))))))))))))))</f>
        <v>Fish·Mix</v>
      </c>
      <c r="G15" s="24" t="str">
        <f t="array" ref="G15">IF('🌱 Configuração'!$C$56="","",IF(2&lt;1,"",IF(2&gt;'🌱 Configuração'!$H$7,"",IF(IFERROR(MATCH('🌱 Configuração'!$H$12,{"BioBizz","Remo Nutrients","General Organics","SuperSoil","Genérico"},0),1)=1,IF(2=1,"1 mL/L",IF(2=2,"2 mL/L",IF(2=3,"2 mL/L",IF(2=4,"3 mL/L",IF(2=5,"3 mL/L",IF(2=6,"—",IF(2=7,"1 mL/L",IF(2=8,"2 mL/L","")))))))),IF(IFERROR(MATCH('🌱 Configuração'!$H$12,{"BioBizz","Remo Nutrients","General Organics","SuperSoil","Genérico"},0),1)=2,IF(2=1,"1.3 mL/L",IF(2=2,"1.5 mL/L",IF(2=3,"1.8 mL/L",IF(2=4,"2.1 mL/L",IF(2=5,"2.1 mL/L",IF(2=6,"2.1 mL/L",IF(2=7,"1.0 mL/L",IF(2=8,"0.5 mL/L","")))))))),IF(IFERROR(MATCH('🌱 Configuração'!$H$12,{"BioBizz","Remo Nutrients","General Organics","SuperSoil","Genérico"},0),1)=3,IF(2=1,"2.6 mL/L",IF(2=2,"2.6 mL/L",IF(2=3,"2.6 mL/L",IF(2=4,"1.3 mL/L",IF(2=5,"1.3 mL/L",IF(2=6,"1.3 mL/L",IF(2=7,"2.6 mL/L",IF(2=8,"2.6 mL/L","")))))))),IF(IFERROR(MATCH('🌱 Configuração'!$H$12,{"BioBizz","Remo Nutrients","General Organics","SuperSoil","Genérico"},0),1)=4,IF(2=1,"—",IF(2=2,"10g/vaso",IF(2=3,"—",IF(2=4,"—",IF(2=5,"3g/L",IF(2=6,"—",IF(2=7,"5g/L",IF(2=8,"—","")))))))),IF(2=1,"—",IF(2=2,"—",IF(2=3,"—",IF(2=4,"—",IF(2=5,"—",IF(2=6,"—",IF(2=7,"—",IF(2=8,"—","")))))))))))))))</f>
        <v>2 mL/L</v>
      </c>
      <c r="H15" s="23" t="str">
        <f t="array" ref="H15">IF('🌱 Configuração'!$C$56="","",IF(2&lt;1,"",IF(2&gt;'🌱 Configuração'!$H$7,"",IF(IFERROR(MATCH('🌱 Configuração'!$H$12,{"BioBizz","Remo Nutrients","General Organics","SuperSoil","Genérico"},0),1)=1,IF(2=1,"—",IF(2=2,"—",IF(2=3,"—",IF(2=4,"—",IF(2=5,"—",IF(2=6,"—",IF(2=7,"—",IF(2=8,"—","")))))))),IF(IFERROR(MATCH('🌱 Configuração'!$H$12,{"BioBizz","Remo Nutrients","General Organics","SuperSoil","Genérico"},0),1)=2,IF(2=1,"—",IF(2=2,"—",IF(2=3,"—",IF(2=4,"—",IF(2=5,"—",IF(2=6,"Bloom",IF(2=7,"Bloom",IF(2=8,"Bloom","")))))))),IF(IFERROR(MATCH('🌱 Configuração'!$H$12,{"BioBizz","Remo Nutrients","General Organics","SuperSoil","Genérico"},0),1)=3,IF(2=1,"CaMg+",IF(2=2,"CaMg+",IF(2=3,"CaMg+",IF(2=4,"CaMg+",IF(2=5,"—",IF(2=6,"CaMg+",IF(2=7,"CaMg+",IF(2=8,"CaMg+","")))))))),IF(IFERROR(MATCH('🌱 Configuração'!$H$12,{"BioBizz","Remo Nutrients","General Organics","SuperSoil","Genérico"},0),1)=4,IF(2=1,"—",IF(2=2,"—",IF(2=3,"—",IF(2=4,"—",IF(2=5,"—",IF(2=6,"—",IF(2=7,"—",IF(2=8,"—","")))))))),IF(2=1,"—",IF(2=2,"—",IF(2=3,"—",IF(2=4,"—",IF(2=5,"—",IF(2=6,"—",IF(2=7,"—",IF(2=8,"—","")))))))))))))))</f>
        <v>—</v>
      </c>
      <c r="I15" s="24" t="str">
        <f t="array" ref="I15">IF('🌱 Configuração'!$C$56="","",IF(2&lt;1,"",IF(2&gt;'🌱 Configuração'!$H$7,"",IF(IFERROR(MATCH('🌱 Configuração'!$H$12,{"BioBizz","Remo Nutrients","General Organics","SuperSoil","Genérico"},0),1)=1,IF(2=1,"—",IF(2=2,"—",IF(2=3,"—",IF(2=4,"—",IF(2=5,"—",IF(2=6,"—",IF(2=7,"—",IF(2=8,"—","")))))))),IF(IFERROR(MATCH('🌱 Configuração'!$H$12,{"BioBizz","Remo Nutrients","General Organics","SuperSoil","Genérico"},0),1)=2,IF(2=1,"—",IF(2=2,"—",IF(2=3,"—",IF(2=4,"—",IF(2=5,"—",IF(2=6,"1.0 mL/L",IF(2=7,"2.1 mL/L",IF(2=8,"2.1 mL/L","")))))))),IF(IFERROR(MATCH('🌱 Configuração'!$H$12,{"BioBizz","Remo Nutrients","General Organics","SuperSoil","Genérico"},0),1)=3,IF(2=1,"1.3 mL/L",IF(2=2,"1.3 mL/L",IF(2=3,"1.3 mL/L",IF(2=4,"1.3 mL/L",IF(2=5,"—",IF(2=6,"1.3 mL/L",IF(2=7,"1.3 mL/L",IF(2=8,"1.3 mL/L","")))))))),IF(IFERROR(MATCH('🌱 Configuração'!$H$12,{"BioBizz","Remo Nutrients","General Organics","SuperSoil","Genérico"},0),1)=4,IF(2=1,"—",IF(2=2,"—",IF(2=3,"—",IF(2=4,"—",IF(2=5,"—",IF(2=6,"—",IF(2=7,"—",IF(2=8,"—","")))))))),IF(2=1,"—",IF(2=2,"—",IF(2=3,"—",IF(2=4,"—",IF(2=5,"—",IF(2=6,"—",IF(2=7,"—",IF(2=8,"—","")))))))))))))))</f>
        <v>—</v>
      </c>
      <c r="J15" s="23" t="str">
        <f t="array" ref="J15">IF('🌱 Configuração'!$C$56="","",IF(2&lt;1,"",IF(2&gt;'🌱 Configuração'!$H$7,"",IF(IFERROR(MATCH('🌱 Configuração'!$H$12,{"BioBizz","Remo Nutrients","General Organics","SuperSoil","Genérico"},0),1)=1,IF(2=1,"Alg·A·Mic 1mL",IF(2=2,"—",IF(2=3,"Alg·A·Mic 1mL",IF(2=4,"—",IF(2=5,"Alg·A·Mic 1mL",IF(2=6,"—",IF(2=7,"—",IF(2=8,"—","")))))))),IF(IFERROR(MATCH('🌱 Configuração'!$H$12,{"BioBizz","Remo Nutrients","General Organics","SuperSoil","Genérico"},0),1)=2,IF(2=1,"Magnifical 0.5",IF(2=2,"Magnifical 0.5",IF(2=3,"Magnifical 1.0",IF(2=4,"Magnifical 1.0",IF(2=5,"Magnifical 1.0",IF(2=6,"Magnifical 1.0",IF(2=7,"—",IF(2=8,"—","")))))))),IF(IFERROR(MATCH('🌱 Configuração'!$H$12,{"BioBizz","Remo Nutrients","General Organics","SuperSoil","Genérico"},0),1)=3,IF(2=1,"BioWeed 0.7",IF(2=2,"BioWeed 0.7",IF(2=3,"—",IF(2=4,"—",IF(2=5,"—",IF(2=6,"—",IF(2=7,"—",IF(2=8,"—","")))))))),IF(IFERROR(MATCH('🌱 Configuração'!$H$12,{"BioBizz","Remo Nutrients","General Organics","SuperSoil","Genérico"},0),1)=4,IF(2=1,"Vermicomposto",IF(2=2,"—",IF(2=3,"—",IF(2=4,"—",IF(2=5,"—",IF(2=6,"Microrganismos",IF(2=7,"—",IF(2=8,"—","")))))))),IF(2=1,"—",IF(2=2,"—",IF(2=3,"—",IF(2=4,"—",IF(2=5,"—",IF(2=6,"—",IF(2=7,"—",IF(2=8,"—","")))))))))))))))</f>
        <v>—</v>
      </c>
      <c r="K15" s="16" t="str">
        <f t="array" ref="K15">IF('🌱 Configuração'!$C$56="","",IF(2&lt;1,"",IF(2&gt;'🌱 Configuração'!$H$7,"",IF(IFERROR(MATCH('🌱 Configuração'!$H$12,{"BioBizz","Remo Nutrients","General Organics","SuperSoil","Genérico"},0),1)=1,IF(2=1,"6.2–6.5",IF(2=2,"6.2–6.5",IF(2=3,"6.2–6.5",IF(2=4,"6.2–6.5",IF(2=5,"6.2–6.5",IF(2=6,"6.2–6.5",IF(2=7,"6.2–6.5",IF(2=8,"6.2–6.5","")))))))),IF(IFERROR(MATCH('🌱 Configuração'!$H$12,{"BioBizz","Remo Nutrients","General Organics","SuperSoil","Genérico"},0),1)=2,IF(2=1,"6.0–6.3",IF(2=2,"6.0–6.3",IF(2=3,"6.0–6.3",IF(2=4,"6.0–6.3",IF(2=5,"6.0–6.3",IF(2=6,"6.0–6.3",IF(2=7,"6.0–6.3",IF(2=8,"6.0–6.3","")))))))),IF(IFERROR(MATCH('🌱 Configuração'!$H$12,{"BioBizz","Remo Nutrients","General Organics","SuperSoil","Genérico"},0),1)=3,IF(2=1,"6.2–7.0",IF(2=2,"6.2–7.0",IF(2=3,"6.2–7.0",IF(2=4,"6.2–7.0",IF(2=5,"6.2–7.0",IF(2=6,"6.2–7.0",IF(2=7,"6.2–7.0",IF(2=8,"6.2–7.0","")))))))),IF(IFERROR(MATCH('🌱 Configuração'!$H$12,{"BioBizz","Remo Nutrients","General Organics","SuperSoil","Genérico"},0),1)=4,IF(2=1,"auto",IF(2=2,"auto",IF(2=3,"auto",IF(2=4,"auto",IF(2=5,"auto",IF(2=6,"auto",IF(2=7,"auto",IF(2=8,"auto","")))))))),IF(2=1,"—",IF(2=2,"—",IF(2=3,"—",IF(2=4,"—",IF(2=5,"—",IF(2=6,"—",IF(2=7,"—",IF(2=8,"—","")))))))))))))))</f>
        <v>6.2–6.5</v>
      </c>
      <c r="L15" s="17" t="str">
        <f t="array" ref="L15">IF('🌱 Configuração'!$C$56="","",IF(2&lt;1,"",IF(2&gt;'🌱 Configuração'!$H$7,"",IF(IFERROR(MATCH('🌱 Configuração'!$H$12,{"BioBizz","Remo Nutrients","General Organics","SuperSoil","Genérico"},0),1)=1,IF(2=1,"0.8",IF(2=2,"1.0",IF(2=3,"1.2",IF(2=4,"1.4",IF(2=5,"1.5",IF(2=6,"1.4",IF(2=7,"1.4",IF(2=8,"1.4","")))))))),IF(IFERROR(MATCH('🌱 Configuração'!$H$12,{"BioBizz","Remo Nutrients","General Organics","SuperSoil","Genérico"},0),1)=2,IF(2=1,"0.8",IF(2=2,"1.0",IF(2=3,"1.2",IF(2=4,"1.4",IF(2=5,"1.5",IF(2=6,"1.5",IF(2=7,"1.4",IF(2=8,"1.4","")))))))),IF(IFERROR(MATCH('🌱 Configuração'!$H$12,{"BioBizz","Remo Nutrients","General Organics","SuperSoil","Genérico"},0),1)=3,IF(2=1,"N/A",IF(2=2,"N/A",IF(2=3,"N/A",IF(2=4,"N/A",IF(2=5,"N/A",IF(2=6,"N/A",IF(2=7,"N/A",IF(2=8,"N/A","")))))))),IF(IFERROR(MATCH('🌱 Configuração'!$H$12,{"BioBizz","Remo Nutrients","General Organics","SuperSoil","Genérico"},0),1)=4,IF(2=1,"auto",IF(2=2,"auto",IF(2=3,"auto",IF(2=4,"auto",IF(2=5,"auto",IF(2=6,"auto",IF(2=7,"auto",IF(2=8,"auto","")))))))),IF(2=1,"—",IF(2=2,"—",IF(2=3,"—",IF(2=4,"—",IF(2=5,"—",IF(2=6,"—",IF(2=7,"—",IF(2=8,"—","")))))))))))))))</f>
        <v>1.0</v>
      </c>
      <c r="M15" s="23" t="str">
        <f t="array" ref="M15">IF('🌱 Configuração'!$C$56="","",IF(2&lt;1,"",IF(2&gt;'🌱 Configuração'!$H$7,"",IF(IFERROR(MATCH('🌱 Configuração'!$H$12,{"BioBizz","Remo Nutrients","General Organics","SuperSoil","Genérico"},0),1)=1,IF(2=1,"Fish·Mix em veg = mais N orgânico",IF(2=2,"Aumentar progressivamente",IF(2=3,"Foliar: Fish·Mix + Alg·A·Mic 1mL/L",IF(2=4,"LST / estrutura vegetativa",IF(2=5,"Pré-floração — reduzir Fish·Mix",IF(2=6,"Substituir Fish·Mix por Bio·Grow antes da flora",IF(2=7,"Semana de transição — introduzir Bloom",IF(2=8,"Semana extra de vega","")))))))),IF(IFERROR(MATCH('🌱 Configuração'!$H$12,{"BioBizz","Remo Nutrients","General Organics","SuperSoil","Genérico"},0),1)=2,IF(2=1,"Micro+Grow = base Remo para vega",IF(2=2,"Aumentar conforme tabela oficial",IF(2=3,"Semana 3 da tabela Remo",IF(2=4,"Semana 4 da tabela Remo — pico vega",IF(2=5,"Manter se continuar vega",IF(2=6,"Introduzir Bloom — transição",IF(2=7,"Reduzir Grow, aumentar Bloom",IF(2=8,"Semana extra de vega","")))))))),IF(IFERROR(MATCH('🌱 Configuração'!$H$12,{"BioBizz","Remo Nutrients","General Organics","SuperSoil","Genérico"},0),1)=3,IF(2=1,"GO não requer EC — pH auto-regula",IF(2=2,"Sem necessidade de ajuste pH em solo",IF(2=3,"Semana 3 veg GO",IF(2=4,"Reduzir BioRoot gradualmente",IF(2=5,"Manter Grow puro na vega",IF(2=6,"Semana transição — introduzir Bloom",IF(2=7,"Transição flora — reduzir Grow",IF(2=8,"Semana extra de vega GO","")))))))),IF(IFERROR(MATCH('🌱 Configuração'!$H$12,{"BioBizz","Remo Nutrients","General Organics","SuperSoil","Genérico"},0),1)=4,IF(2=1,"SuperSoil já contém todos os nutrientes",IF(2=2,"Torta de mamona = N lento | Osso = P",IF(2=3,"Mel de cana alimenta fungos e bactérias",IF(2=4,"Observar vigor — solo vivo trabalha",IF(2=5,"Alga = micro. | Cinzas = K e Ca",IF(2=6,"Pré-flora — ativar P e K no solo",IF(2=7,"Guano P alto = preparo para flora",IF(2=8,"Semana extra de vega SuperSoil","")))))))),IF(2=1,"Personalize suas doses",IF(2=2,"Personalize suas doses",IF(2=3,"Personalize suas doses",IF(2=4,"Personalize suas doses",IF(2=5,"Personalize suas doses",IF(2=6,"Personalize suas doses",IF(2=7,"Personalize suas doses",IF(2=8,"Personalize suas doses","")))))))))))))))</f>
        <v>Aumentar progressivamente</v>
      </c>
      <c r="N15" s="1"/>
    </row>
    <row r="16" spans="1:14" ht="21.75" customHeight="1">
      <c r="A16" s="1"/>
      <c r="B16" s="21" t="str">
        <f>IF(3&lt;='🌱 Configuração'!$H$7,"S3","—")</f>
        <v>S3</v>
      </c>
      <c r="C16" s="13">
        <f>IF(3&lt;='🌱 Configuração'!$H$7,'🌱 Configuração'!$C$56+14,"")</f>
        <v>28</v>
      </c>
      <c r="D16" s="14" t="str">
        <f t="array" ref="D16">IF('🌱 Configuração'!$C$56="","",IF(3&lt;1,"",IF(3&gt;'🌱 Configuração'!$H$7,"",IF(IFERROR(MATCH('🌱 Configuração'!$H$12,{"BioBizz","Remo Nutrients","General Organics","SuperSoil","Genérico"},0),1)=1,IF(3=1,"Bio·Grow",IF(3=2,"Bio·Grow",IF(3=3,"Bio·Grow",IF(3=4,"Bio·Grow",IF(3=5,"Bio·Grow",IF(3=6,"Bio·Grow",IF(3=7,"Bio·Grow",IF(3=8,"Bio·Grow","")))))))),IF(IFERROR(MATCH('🌱 Configuração'!$H$12,{"BioBizz","Remo Nutrients","General Organics","SuperSoil","Genérico"},0),1)=2,IF(3=1,"Micro",IF(3=2,"Micro",IF(3=3,"Micro",IF(3=4,"Micro",IF(3=5,"Micro",IF(3=6,"Micro",IF(3=7,"Micro",IF(3=8,"Micro","")))))))),IF(IFERROR(MATCH('🌱 Configuração'!$H$12,{"BioBizz","Remo Nutrients","General Organics","SuperSoil","Genérico"},0),1)=3,IF(3=1,"BioThrive G",IF(3=2,"BioThrive G",IF(3=3,"BioThrive G",IF(3=4,"BioThrive G",IF(3=5,"BioThrive G",IF(3=6,"BioThrive G",IF(3=7,"BioThrive G",IF(3=8,"BioThrive G","")))))))),IF(IFERROR(MATCH('🌱 Configuração'!$H$12,{"BioBizz","Remo Nutrients","General Organics","SuperSoil","Genérico"},0),1)=4,IF(3=1,"Chá de compostagem",IF(3=2,"Cobertura: torta de mamona",IF(3=3,"Molasses 2 mL/L",IF(3=4,"Chá de compostagem",IF(3=5,"Cobertura: farinha de alga",IF(3=6,"Molasses 2 mL/L",IF(3=7,"Cobertura: farinha de osso",IF(3=8,"Chá de compostagem","")))))))),IF(3=1,"← Preencha",IF(3=2,"← Preencha",IF(3=3,"← Preencha",IF(3=4,"← Preencha",IF(3=5,"← Preencha",IF(3=6,"← Preencha",IF(3=7,"← Preencha",IF(3=8,"← Preencha","")))))))))))))))</f>
        <v>Bio·Grow</v>
      </c>
      <c r="E16" s="15" t="str">
        <f t="array" ref="E16">IF('🌱 Configuração'!$C$56="","",IF(3&lt;1,"",IF(3&gt;'🌱 Configuração'!$H$7,"",IF(IFERROR(MATCH('🌱 Configuração'!$H$12,{"BioBizz","Remo Nutrients","General Organics","SuperSoil","Genérico"},0),1)=1,IF(3=1,"1 mL/L",IF(3=2,"2 mL/L",IF(3=3,"2 mL/L",IF(3=4,"3 mL/L",IF(3=5,"4 mL/L",IF(3=6,"4 mL/L",IF(3=7,"4 mL/L",IF(3=8,"4 mL/L","")))))))),IF(IFERROR(MATCH('🌱 Configuração'!$H$12,{"BioBizz","Remo Nutrients","General Organics","SuperSoil","Genérico"},0),1)=2,IF(3=1,"1.3 mL/L",IF(3=2,"1.5 mL/L",IF(3=3,"1.8 mL/L",IF(3=4,"2.1 mL/L",IF(3=5,"2.1 mL/L",IF(3=6,"2.1 mL/L",IF(3=7,"2.1 mL/L",IF(3=8,"2.1 mL/L","")))))))),IF(IFERROR(MATCH('🌱 Configuração'!$H$12,{"BioBizz","Remo Nutrients","General Organics","SuperSoil","Genérico"},0),1)=3,IF(3=1,"1.3 mL/L",IF(3=2,"2.6 mL/L",IF(3=3,"2.6 mL/L",IF(3=4,"2.6 mL/L",IF(3=5,"2.6 mL/L",IF(3=6,"2.6 mL/L",IF(3=7,"1.3 mL/L",IF(3=8,"1.3 mL/L","")))))))),IF(IFERROR(MATCH('🌱 Configuração'!$H$12,{"BioBizz","Remo Nutrients","General Organics","SuperSoil","Genérico"},0),1)=4,IF(3=1,"2L/planta",IF(3=2,"10g/vaso",IF(3=3,"—",IF(3=4,"2L/planta",IF(3=5,"5g/L solo",IF(3=6,"—",IF(3=7,"10g/vaso",IF(3=8,"2L/planta","")))))))),IF(3=1,"—",IF(3=2,"—",IF(3=3,"—",IF(3=4,"—",IF(3=5,"—",IF(3=6,"—",IF(3=7,"—",IF(3=8,"—","")))))))))))))))</f>
        <v>2 mL/L</v>
      </c>
      <c r="F16" s="14" t="str">
        <f t="array" ref="F16">IF('🌱 Configuração'!$C$56="","",IF(3&lt;1,"",IF(3&gt;'🌱 Configuração'!$H$7,"",IF(IFERROR(MATCH('🌱 Configuração'!$H$12,{"BioBizz","Remo Nutrients","General Organics","SuperSoil","Genérico"},0),1)=1,IF(3=1,"Fish·Mix",IF(3=2,"Fish·Mix",IF(3=3,"Fish·Mix",IF(3=4,"Fish·Mix",IF(3=5,"Fish·Mix",IF(3=6,"—",IF(3=7,"Bio·Bloom",IF(3=8,"Bio·Bloom","")))))))),IF(IFERROR(MATCH('🌱 Configuração'!$H$12,{"BioBizz","Remo Nutrients","General Organics","SuperSoil","Genérico"},0),1)=2,IF(3=1,"Grow",IF(3=2,"Grow",IF(3=3,"Grow",IF(3=4,"Grow",IF(3=5,"Grow",IF(3=6,"Grow",IF(3=7,"Grow",IF(3=8,"Grow","")))))))),IF(IFERROR(MATCH('🌱 Configuração'!$H$12,{"BioBizz","Remo Nutrients","General Organics","SuperSoil","Genérico"},0),1)=3,IF(3=1,"BioRoot",IF(3=2,"BioRoot",IF(3=3,"BioRoot",IF(3=4,"BioRoot",IF(3=5,"CaMg+",IF(3=6,"BioThrive B",IF(3=7,"BioThrive B",IF(3=8,"BioThrive B","")))))))),IF(IFERROR(MATCH('🌱 Configuração'!$H$12,{"BioBizz","Remo Nutrients","General Organics","SuperSoil","Genérico"},0),1)=4,IF(3=1,"—",IF(3=2,"Cobertura: farinha de osso",IF(3=3,"—",IF(3=4,"—",IF(3=5,"Cobertura: cinzas de madeira",IF(3=6,"—",IF(3=7,"Cobertura: guano de morcego",IF(3=8,"—","")))))))),IF(3=1,"—",IF(3=2,"—",IF(3=3,"—",IF(3=4,"—",IF(3=5,"—",IF(3=6,"—",IF(3=7,"—",IF(3=8,"—","")))))))))))))))</f>
        <v>Fish·Mix</v>
      </c>
      <c r="G16" s="15" t="str">
        <f t="array" ref="G16">IF('🌱 Configuração'!$C$56="","",IF(3&lt;1,"",IF(3&gt;'🌱 Configuração'!$H$7,"",IF(IFERROR(MATCH('🌱 Configuração'!$H$12,{"BioBizz","Remo Nutrients","General Organics","SuperSoil","Genérico"},0),1)=1,IF(3=1,"1 mL/L",IF(3=2,"2 mL/L",IF(3=3,"2 mL/L",IF(3=4,"3 mL/L",IF(3=5,"3 mL/L",IF(3=6,"—",IF(3=7,"1 mL/L",IF(3=8,"2 mL/L","")))))))),IF(IFERROR(MATCH('🌱 Configuração'!$H$12,{"BioBizz","Remo Nutrients","General Organics","SuperSoil","Genérico"},0),1)=2,IF(3=1,"1.3 mL/L",IF(3=2,"1.5 mL/L",IF(3=3,"1.8 mL/L",IF(3=4,"2.1 mL/L",IF(3=5,"2.1 mL/L",IF(3=6,"2.1 mL/L",IF(3=7,"1.0 mL/L",IF(3=8,"0.5 mL/L","")))))))),IF(IFERROR(MATCH('🌱 Configuração'!$H$12,{"BioBizz","Remo Nutrients","General Organics","SuperSoil","Genérico"},0),1)=3,IF(3=1,"2.6 mL/L",IF(3=2,"2.6 mL/L",IF(3=3,"2.6 mL/L",IF(3=4,"1.3 mL/L",IF(3=5,"1.3 mL/L",IF(3=6,"1.3 mL/L",IF(3=7,"2.6 mL/L",IF(3=8,"2.6 mL/L","")))))))),IF(IFERROR(MATCH('🌱 Configuração'!$H$12,{"BioBizz","Remo Nutrients","General Organics","SuperSoil","Genérico"},0),1)=4,IF(3=1,"—",IF(3=2,"10g/vaso",IF(3=3,"—",IF(3=4,"—",IF(3=5,"3g/L",IF(3=6,"—",IF(3=7,"5g/L",IF(3=8,"—","")))))))),IF(3=1,"—",IF(3=2,"—",IF(3=3,"—",IF(3=4,"—",IF(3=5,"—",IF(3=6,"—",IF(3=7,"—",IF(3=8,"—","")))))))))))))))</f>
        <v>2 mL/L</v>
      </c>
      <c r="H16" s="14" t="str">
        <f t="array" ref="H16">IF('🌱 Configuração'!$C$56="","",IF(3&lt;1,"",IF(3&gt;'🌱 Configuração'!$H$7,"",IF(IFERROR(MATCH('🌱 Configuração'!$H$12,{"BioBizz","Remo Nutrients","General Organics","SuperSoil","Genérico"},0),1)=1,IF(3=1,"—",IF(3=2,"—",IF(3=3,"—",IF(3=4,"—",IF(3=5,"—",IF(3=6,"—",IF(3=7,"—",IF(3=8,"—","")))))))),IF(IFERROR(MATCH('🌱 Configuração'!$H$12,{"BioBizz","Remo Nutrients","General Organics","SuperSoil","Genérico"},0),1)=2,IF(3=1,"—",IF(3=2,"—",IF(3=3,"—",IF(3=4,"—",IF(3=5,"—",IF(3=6,"Bloom",IF(3=7,"Bloom",IF(3=8,"Bloom","")))))))),IF(IFERROR(MATCH('🌱 Configuração'!$H$12,{"BioBizz","Remo Nutrients","General Organics","SuperSoil","Genérico"},0),1)=3,IF(3=1,"CaMg+",IF(3=2,"CaMg+",IF(3=3,"CaMg+",IF(3=4,"CaMg+",IF(3=5,"—",IF(3=6,"CaMg+",IF(3=7,"CaMg+",IF(3=8,"CaMg+","")))))))),IF(IFERROR(MATCH('🌱 Configuração'!$H$12,{"BioBizz","Remo Nutrients","General Organics","SuperSoil","Genérico"},0),1)=4,IF(3=1,"—",IF(3=2,"—",IF(3=3,"—",IF(3=4,"—",IF(3=5,"—",IF(3=6,"—",IF(3=7,"—",IF(3=8,"—","")))))))),IF(3=1,"—",IF(3=2,"—",IF(3=3,"—",IF(3=4,"—",IF(3=5,"—",IF(3=6,"—",IF(3=7,"—",IF(3=8,"—","")))))))))))))))</f>
        <v>—</v>
      </c>
      <c r="I16" s="15" t="str">
        <f t="array" ref="I16">IF('🌱 Configuração'!$C$56="","",IF(3&lt;1,"",IF(3&gt;'🌱 Configuração'!$H$7,"",IF(IFERROR(MATCH('🌱 Configuração'!$H$12,{"BioBizz","Remo Nutrients","General Organics","SuperSoil","Genérico"},0),1)=1,IF(3=1,"—",IF(3=2,"—",IF(3=3,"—",IF(3=4,"—",IF(3=5,"—",IF(3=6,"—",IF(3=7,"—",IF(3=8,"—","")))))))),IF(IFERROR(MATCH('🌱 Configuração'!$H$12,{"BioBizz","Remo Nutrients","General Organics","SuperSoil","Genérico"},0),1)=2,IF(3=1,"—",IF(3=2,"—",IF(3=3,"—",IF(3=4,"—",IF(3=5,"—",IF(3=6,"1.0 mL/L",IF(3=7,"2.1 mL/L",IF(3=8,"2.1 mL/L","")))))))),IF(IFERROR(MATCH('🌱 Configuração'!$H$12,{"BioBizz","Remo Nutrients","General Organics","SuperSoil","Genérico"},0),1)=3,IF(3=1,"1.3 mL/L",IF(3=2,"1.3 mL/L",IF(3=3,"1.3 mL/L",IF(3=4,"1.3 mL/L",IF(3=5,"—",IF(3=6,"1.3 mL/L",IF(3=7,"1.3 mL/L",IF(3=8,"1.3 mL/L","")))))))),IF(IFERROR(MATCH('🌱 Configuração'!$H$12,{"BioBizz","Remo Nutrients","General Organics","SuperSoil","Genérico"},0),1)=4,IF(3=1,"—",IF(3=2,"—",IF(3=3,"—",IF(3=4,"—",IF(3=5,"—",IF(3=6,"—",IF(3=7,"—",IF(3=8,"—","")))))))),IF(3=1,"—",IF(3=2,"—",IF(3=3,"—",IF(3=4,"—",IF(3=5,"—",IF(3=6,"—",IF(3=7,"—",IF(3=8,"—","")))))))))))))))</f>
        <v>—</v>
      </c>
      <c r="J16" s="14" t="str">
        <f t="array" ref="J16">IF('🌱 Configuração'!$C$56="","",IF(3&lt;1,"",IF(3&gt;'🌱 Configuração'!$H$7,"",IF(IFERROR(MATCH('🌱 Configuração'!$H$12,{"BioBizz","Remo Nutrients","General Organics","SuperSoil","Genérico"},0),1)=1,IF(3=1,"Alg·A·Mic 1mL",IF(3=2,"—",IF(3=3,"Alg·A·Mic 1mL",IF(3=4,"—",IF(3=5,"Alg·A·Mic 1mL",IF(3=6,"—",IF(3=7,"—",IF(3=8,"—","")))))))),IF(IFERROR(MATCH('🌱 Configuração'!$H$12,{"BioBizz","Remo Nutrients","General Organics","SuperSoil","Genérico"},0),1)=2,IF(3=1,"Magnifical 0.5",IF(3=2,"Magnifical 0.5",IF(3=3,"Magnifical 1.0",IF(3=4,"Magnifical 1.0",IF(3=5,"Magnifical 1.0",IF(3=6,"Magnifical 1.0",IF(3=7,"—",IF(3=8,"—","")))))))),IF(IFERROR(MATCH('🌱 Configuração'!$H$12,{"BioBizz","Remo Nutrients","General Organics","SuperSoil","Genérico"},0),1)=3,IF(3=1,"BioWeed 0.7",IF(3=2,"BioWeed 0.7",IF(3=3,"—",IF(3=4,"—",IF(3=5,"—",IF(3=6,"—",IF(3=7,"—",IF(3=8,"—","")))))))),IF(IFERROR(MATCH('🌱 Configuração'!$H$12,{"BioBizz","Remo Nutrients","General Organics","SuperSoil","Genérico"},0),1)=4,IF(3=1,"Vermicomposto",IF(3=2,"—",IF(3=3,"—",IF(3=4,"—",IF(3=5,"—",IF(3=6,"Microrganismos",IF(3=7,"—",IF(3=8,"—","")))))))),IF(3=1,"—",IF(3=2,"—",IF(3=3,"—",IF(3=4,"—",IF(3=5,"—",IF(3=6,"—",IF(3=7,"—",IF(3=8,"—","")))))))))))))))</f>
        <v>Alg·A·Mic 1mL</v>
      </c>
      <c r="K16" s="16" t="str">
        <f t="array" ref="K16">IF('🌱 Configuração'!$C$56="","",IF(3&lt;1,"",IF(3&gt;'🌱 Configuração'!$H$7,"",IF(IFERROR(MATCH('🌱 Configuração'!$H$12,{"BioBizz","Remo Nutrients","General Organics","SuperSoil","Genérico"},0),1)=1,IF(3=1,"6.2–6.5",IF(3=2,"6.2–6.5",IF(3=3,"6.2–6.5",IF(3=4,"6.2–6.5",IF(3=5,"6.2–6.5",IF(3=6,"6.2–6.5",IF(3=7,"6.2–6.5",IF(3=8,"6.2–6.5","")))))))),IF(IFERROR(MATCH('🌱 Configuração'!$H$12,{"BioBizz","Remo Nutrients","General Organics","SuperSoil","Genérico"},0),1)=2,IF(3=1,"6.0–6.3",IF(3=2,"6.0–6.3",IF(3=3,"6.0–6.3",IF(3=4,"6.0–6.3",IF(3=5,"6.0–6.3",IF(3=6,"6.0–6.3",IF(3=7,"6.0–6.3",IF(3=8,"6.0–6.3","")))))))),IF(IFERROR(MATCH('🌱 Configuração'!$H$12,{"BioBizz","Remo Nutrients","General Organics","SuperSoil","Genérico"},0),1)=3,IF(3=1,"6.2–7.0",IF(3=2,"6.2–7.0",IF(3=3,"6.2–7.0",IF(3=4,"6.2–7.0",IF(3=5,"6.2–7.0",IF(3=6,"6.2–7.0",IF(3=7,"6.2–7.0",IF(3=8,"6.2–7.0","")))))))),IF(IFERROR(MATCH('🌱 Configuração'!$H$12,{"BioBizz","Remo Nutrients","General Organics","SuperSoil","Genérico"},0),1)=4,IF(3=1,"auto",IF(3=2,"auto",IF(3=3,"auto",IF(3=4,"auto",IF(3=5,"auto",IF(3=6,"auto",IF(3=7,"auto",IF(3=8,"auto","")))))))),IF(3=1,"—",IF(3=2,"—",IF(3=3,"—",IF(3=4,"—",IF(3=5,"—",IF(3=6,"—",IF(3=7,"—",IF(3=8,"—","")))))))))))))))</f>
        <v>6.2–6.5</v>
      </c>
      <c r="L16" s="17" t="str">
        <f t="array" ref="L16">IF('🌱 Configuração'!$C$56="","",IF(3&lt;1,"",IF(3&gt;'🌱 Configuração'!$H$7,"",IF(IFERROR(MATCH('🌱 Configuração'!$H$12,{"BioBizz","Remo Nutrients","General Organics","SuperSoil","Genérico"},0),1)=1,IF(3=1,"0.8",IF(3=2,"1.0",IF(3=3,"1.2",IF(3=4,"1.4",IF(3=5,"1.5",IF(3=6,"1.4",IF(3=7,"1.4",IF(3=8,"1.4","")))))))),IF(IFERROR(MATCH('🌱 Configuração'!$H$12,{"BioBizz","Remo Nutrients","General Organics","SuperSoil","Genérico"},0),1)=2,IF(3=1,"0.8",IF(3=2,"1.0",IF(3=3,"1.2",IF(3=4,"1.4",IF(3=5,"1.5",IF(3=6,"1.5",IF(3=7,"1.4",IF(3=8,"1.4","")))))))),IF(IFERROR(MATCH('🌱 Configuração'!$H$12,{"BioBizz","Remo Nutrients","General Organics","SuperSoil","Genérico"},0),1)=3,IF(3=1,"N/A",IF(3=2,"N/A",IF(3=3,"N/A",IF(3=4,"N/A",IF(3=5,"N/A",IF(3=6,"N/A",IF(3=7,"N/A",IF(3=8,"N/A","")))))))),IF(IFERROR(MATCH('🌱 Configuração'!$H$12,{"BioBizz","Remo Nutrients","General Organics","SuperSoil","Genérico"},0),1)=4,IF(3=1,"auto",IF(3=2,"auto",IF(3=3,"auto",IF(3=4,"auto",IF(3=5,"auto",IF(3=6,"auto",IF(3=7,"auto",IF(3=8,"auto","")))))))),IF(3=1,"—",IF(3=2,"—",IF(3=3,"—",IF(3=4,"—",IF(3=5,"—",IF(3=6,"—",IF(3=7,"—",IF(3=8,"—","")))))))))))))))</f>
        <v>1.2</v>
      </c>
      <c r="M16" s="14" t="str">
        <f t="array" ref="M16">IF('🌱 Configuração'!$C$56="","",IF(3&lt;1,"",IF(3&gt;'🌱 Configuração'!$H$7,"",IF(IFERROR(MATCH('🌱 Configuração'!$H$12,{"BioBizz","Remo Nutrients","General Organics","SuperSoil","Genérico"},0),1)=1,IF(3=1,"Fish·Mix em veg = mais N orgânico",IF(3=2,"Aumentar progressivamente",IF(3=3,"Foliar: Fish·Mix + Alg·A·Mic 1mL/L",IF(3=4,"LST / estrutura vegetativa",IF(3=5,"Pré-floração — reduzir Fish·Mix",IF(3=6,"Substituir Fish·Mix por Bio·Grow antes da flora",IF(3=7,"Semana de transição — introduzir Bloom",IF(3=8,"Semana extra de vega","")))))))),IF(IFERROR(MATCH('🌱 Configuração'!$H$12,{"BioBizz","Remo Nutrients","General Organics","SuperSoil","Genérico"},0),1)=2,IF(3=1,"Micro+Grow = base Remo para vega",IF(3=2,"Aumentar conforme tabela oficial",IF(3=3,"Semana 3 da tabela Remo",IF(3=4,"Semana 4 da tabela Remo — pico vega",IF(3=5,"Manter se continuar vega",IF(3=6,"Introduzir Bloom — transição",IF(3=7,"Reduzir Grow, aumentar Bloom",IF(3=8,"Semana extra de vega","")))))))),IF(IFERROR(MATCH('🌱 Configuração'!$H$12,{"BioBizz","Remo Nutrients","General Organics","SuperSoil","Genérico"},0),1)=3,IF(3=1,"GO não requer EC — pH auto-regula",IF(3=2,"Sem necessidade de ajuste pH em solo",IF(3=3,"Semana 3 veg GO",IF(3=4,"Reduzir BioRoot gradualmente",IF(3=5,"Manter Grow puro na vega",IF(3=6,"Semana transição — introduzir Bloom",IF(3=7,"Transição flora — reduzir Grow",IF(3=8,"Semana extra de vega GO","")))))))),IF(IFERROR(MATCH('🌱 Configuração'!$H$12,{"BioBizz","Remo Nutrients","General Organics","SuperSoil","Genérico"},0),1)=4,IF(3=1,"SuperSoil já contém todos os nutrientes",IF(3=2,"Torta de mamona = N lento | Osso = P",IF(3=3,"Mel de cana alimenta fungos e bactérias",IF(3=4,"Observar vigor — solo vivo trabalha",IF(3=5,"Alga = micro. | Cinzas = K e Ca",IF(3=6,"Pré-flora — ativar P e K no solo",IF(3=7,"Guano P alto = preparo para flora",IF(3=8,"Semana extra de vega SuperSoil","")))))))),IF(3=1,"Personalize suas doses",IF(3=2,"Personalize suas doses",IF(3=3,"Personalize suas doses",IF(3=4,"Personalize suas doses",IF(3=5,"Personalize suas doses",IF(3=6,"Personalize suas doses",IF(3=7,"Personalize suas doses",IF(3=8,"Personalize suas doses","")))))))))))))))</f>
        <v>Foliar: Fish·Mix + Alg·A·Mic 1mL/L</v>
      </c>
      <c r="N16" s="1"/>
    </row>
    <row r="17" spans="1:14" ht="21.75" customHeight="1">
      <c r="A17" s="1"/>
      <c r="B17" s="21" t="str">
        <f>IF(4&lt;='🌱 Configuração'!$H$7,"S4","—")</f>
        <v>S4</v>
      </c>
      <c r="C17" s="22">
        <f>IF(4&lt;='🌱 Configuração'!$H$7,'🌱 Configuração'!$C$56+21,"")</f>
        <v>35</v>
      </c>
      <c r="D17" s="23" t="str">
        <f t="array" ref="D17">IF('🌱 Configuração'!$C$56="","",IF(4&lt;1,"",IF(4&gt;'🌱 Configuração'!$H$7,"",IF(IFERROR(MATCH('🌱 Configuração'!$H$12,{"BioBizz","Remo Nutrients","General Organics","SuperSoil","Genérico"},0),1)=1,IF(4=1,"Bio·Grow",IF(4=2,"Bio·Grow",IF(4=3,"Bio·Grow",IF(4=4,"Bio·Grow",IF(4=5,"Bio·Grow",IF(4=6,"Bio·Grow",IF(4=7,"Bio·Grow",IF(4=8,"Bio·Grow","")))))))),IF(IFERROR(MATCH('🌱 Configuração'!$H$12,{"BioBizz","Remo Nutrients","General Organics","SuperSoil","Genérico"},0),1)=2,IF(4=1,"Micro",IF(4=2,"Micro",IF(4=3,"Micro",IF(4=4,"Micro",IF(4=5,"Micro",IF(4=6,"Micro",IF(4=7,"Micro",IF(4=8,"Micro","")))))))),IF(IFERROR(MATCH('🌱 Configuração'!$H$12,{"BioBizz","Remo Nutrients","General Organics","SuperSoil","Genérico"},0),1)=3,IF(4=1,"BioThrive G",IF(4=2,"BioThrive G",IF(4=3,"BioThrive G",IF(4=4,"BioThrive G",IF(4=5,"BioThrive G",IF(4=6,"BioThrive G",IF(4=7,"BioThrive G",IF(4=8,"BioThrive G","")))))))),IF(IFERROR(MATCH('🌱 Configuração'!$H$12,{"BioBizz","Remo Nutrients","General Organics","SuperSoil","Genérico"},0),1)=4,IF(4=1,"Chá de compostagem",IF(4=2,"Cobertura: torta de mamona",IF(4=3,"Molasses 2 mL/L",IF(4=4,"Chá de compostagem",IF(4=5,"Cobertura: farinha de alga",IF(4=6,"Molasses 2 mL/L",IF(4=7,"Cobertura: farinha de osso",IF(4=8,"Chá de compostagem","")))))))),IF(4=1,"← Preencha",IF(4=2,"← Preencha",IF(4=3,"← Preencha",IF(4=4,"← Preencha",IF(4=5,"← Preencha",IF(4=6,"← Preencha",IF(4=7,"← Preencha",IF(4=8,"← Preencha","")))))))))))))))</f>
        <v>Bio·Grow</v>
      </c>
      <c r="E17" s="24" t="str">
        <f t="array" ref="E17">IF('🌱 Configuração'!$C$56="","",IF(4&lt;1,"",IF(4&gt;'🌱 Configuração'!$H$7,"",IF(IFERROR(MATCH('🌱 Configuração'!$H$12,{"BioBizz","Remo Nutrients","General Organics","SuperSoil","Genérico"},0),1)=1,IF(4=1,"1 mL/L",IF(4=2,"2 mL/L",IF(4=3,"2 mL/L",IF(4=4,"3 mL/L",IF(4=5,"4 mL/L",IF(4=6,"4 mL/L",IF(4=7,"4 mL/L",IF(4=8,"4 mL/L","")))))))),IF(IFERROR(MATCH('🌱 Configuração'!$H$12,{"BioBizz","Remo Nutrients","General Organics","SuperSoil","Genérico"},0),1)=2,IF(4=1,"1.3 mL/L",IF(4=2,"1.5 mL/L",IF(4=3,"1.8 mL/L",IF(4=4,"2.1 mL/L",IF(4=5,"2.1 mL/L",IF(4=6,"2.1 mL/L",IF(4=7,"2.1 mL/L",IF(4=8,"2.1 mL/L","")))))))),IF(IFERROR(MATCH('🌱 Configuração'!$H$12,{"BioBizz","Remo Nutrients","General Organics","SuperSoil","Genérico"},0),1)=3,IF(4=1,"1.3 mL/L",IF(4=2,"2.6 mL/L",IF(4=3,"2.6 mL/L",IF(4=4,"2.6 mL/L",IF(4=5,"2.6 mL/L",IF(4=6,"2.6 mL/L",IF(4=7,"1.3 mL/L",IF(4=8,"1.3 mL/L","")))))))),IF(IFERROR(MATCH('🌱 Configuração'!$H$12,{"BioBizz","Remo Nutrients","General Organics","SuperSoil","Genérico"},0),1)=4,IF(4=1,"2L/planta",IF(4=2,"10g/vaso",IF(4=3,"—",IF(4=4,"2L/planta",IF(4=5,"5g/L solo",IF(4=6,"—",IF(4=7,"10g/vaso",IF(4=8,"2L/planta","")))))))),IF(4=1,"—",IF(4=2,"—",IF(4=3,"—",IF(4=4,"—",IF(4=5,"—",IF(4=6,"—",IF(4=7,"—",IF(4=8,"—","")))))))))))))))</f>
        <v>3 mL/L</v>
      </c>
      <c r="F17" s="23" t="str">
        <f t="array" ref="F17">IF('🌱 Configuração'!$C$56="","",IF(4&lt;1,"",IF(4&gt;'🌱 Configuração'!$H$7,"",IF(IFERROR(MATCH('🌱 Configuração'!$H$12,{"BioBizz","Remo Nutrients","General Organics","SuperSoil","Genérico"},0),1)=1,IF(4=1,"Fish·Mix",IF(4=2,"Fish·Mix",IF(4=3,"Fish·Mix",IF(4=4,"Fish·Mix",IF(4=5,"Fish·Mix",IF(4=6,"—",IF(4=7,"Bio·Bloom",IF(4=8,"Bio·Bloom","")))))))),IF(IFERROR(MATCH('🌱 Configuração'!$H$12,{"BioBizz","Remo Nutrients","General Organics","SuperSoil","Genérico"},0),1)=2,IF(4=1,"Grow",IF(4=2,"Grow",IF(4=3,"Grow",IF(4=4,"Grow",IF(4=5,"Grow",IF(4=6,"Grow",IF(4=7,"Grow",IF(4=8,"Grow","")))))))),IF(IFERROR(MATCH('🌱 Configuração'!$H$12,{"BioBizz","Remo Nutrients","General Organics","SuperSoil","Genérico"},0),1)=3,IF(4=1,"BioRoot",IF(4=2,"BioRoot",IF(4=3,"BioRoot",IF(4=4,"BioRoot",IF(4=5,"CaMg+",IF(4=6,"BioThrive B",IF(4=7,"BioThrive B",IF(4=8,"BioThrive B","")))))))),IF(IFERROR(MATCH('🌱 Configuração'!$H$12,{"BioBizz","Remo Nutrients","General Organics","SuperSoil","Genérico"},0),1)=4,IF(4=1,"—",IF(4=2,"Cobertura: farinha de osso",IF(4=3,"—",IF(4=4,"—",IF(4=5,"Cobertura: cinzas de madeira",IF(4=6,"—",IF(4=7,"Cobertura: guano de morcego",IF(4=8,"—","")))))))),IF(4=1,"—",IF(4=2,"—",IF(4=3,"—",IF(4=4,"—",IF(4=5,"—",IF(4=6,"—",IF(4=7,"—",IF(4=8,"—","")))))))))))))))</f>
        <v>Fish·Mix</v>
      </c>
      <c r="G17" s="24" t="str">
        <f t="array" ref="G17">IF('🌱 Configuração'!$C$56="","",IF(4&lt;1,"",IF(4&gt;'🌱 Configuração'!$H$7,"",IF(IFERROR(MATCH('🌱 Configuração'!$H$12,{"BioBizz","Remo Nutrients","General Organics","SuperSoil","Genérico"},0),1)=1,IF(4=1,"1 mL/L",IF(4=2,"2 mL/L",IF(4=3,"2 mL/L",IF(4=4,"3 mL/L",IF(4=5,"3 mL/L",IF(4=6,"—",IF(4=7,"1 mL/L",IF(4=8,"2 mL/L","")))))))),IF(IFERROR(MATCH('🌱 Configuração'!$H$12,{"BioBizz","Remo Nutrients","General Organics","SuperSoil","Genérico"},0),1)=2,IF(4=1,"1.3 mL/L",IF(4=2,"1.5 mL/L",IF(4=3,"1.8 mL/L",IF(4=4,"2.1 mL/L",IF(4=5,"2.1 mL/L",IF(4=6,"2.1 mL/L",IF(4=7,"1.0 mL/L",IF(4=8,"0.5 mL/L","")))))))),IF(IFERROR(MATCH('🌱 Configuração'!$H$12,{"BioBizz","Remo Nutrients","General Organics","SuperSoil","Genérico"},0),1)=3,IF(4=1,"2.6 mL/L",IF(4=2,"2.6 mL/L",IF(4=3,"2.6 mL/L",IF(4=4,"1.3 mL/L",IF(4=5,"1.3 mL/L",IF(4=6,"1.3 mL/L",IF(4=7,"2.6 mL/L",IF(4=8,"2.6 mL/L","")))))))),IF(IFERROR(MATCH('🌱 Configuração'!$H$12,{"BioBizz","Remo Nutrients","General Organics","SuperSoil","Genérico"},0),1)=4,IF(4=1,"—",IF(4=2,"10g/vaso",IF(4=3,"—",IF(4=4,"—",IF(4=5,"3g/L",IF(4=6,"—",IF(4=7,"5g/L",IF(4=8,"—","")))))))),IF(4=1,"—",IF(4=2,"—",IF(4=3,"—",IF(4=4,"—",IF(4=5,"—",IF(4=6,"—",IF(4=7,"—",IF(4=8,"—","")))))))))))))))</f>
        <v>3 mL/L</v>
      </c>
      <c r="H17" s="23" t="str">
        <f t="array" ref="H17">IF('🌱 Configuração'!$C$56="","",IF(4&lt;1,"",IF(4&gt;'🌱 Configuração'!$H$7,"",IF(IFERROR(MATCH('🌱 Configuração'!$H$12,{"BioBizz","Remo Nutrients","General Organics","SuperSoil","Genérico"},0),1)=1,IF(4=1,"—",IF(4=2,"—",IF(4=3,"—",IF(4=4,"—",IF(4=5,"—",IF(4=6,"—",IF(4=7,"—",IF(4=8,"—","")))))))),IF(IFERROR(MATCH('🌱 Configuração'!$H$12,{"BioBizz","Remo Nutrients","General Organics","SuperSoil","Genérico"},0),1)=2,IF(4=1,"—",IF(4=2,"—",IF(4=3,"—",IF(4=4,"—",IF(4=5,"—",IF(4=6,"Bloom",IF(4=7,"Bloom",IF(4=8,"Bloom","")))))))),IF(IFERROR(MATCH('🌱 Configuração'!$H$12,{"BioBizz","Remo Nutrients","General Organics","SuperSoil","Genérico"},0),1)=3,IF(4=1,"CaMg+",IF(4=2,"CaMg+",IF(4=3,"CaMg+",IF(4=4,"CaMg+",IF(4=5,"—",IF(4=6,"CaMg+",IF(4=7,"CaMg+",IF(4=8,"CaMg+","")))))))),IF(IFERROR(MATCH('🌱 Configuração'!$H$12,{"BioBizz","Remo Nutrients","General Organics","SuperSoil","Genérico"},0),1)=4,IF(4=1,"—",IF(4=2,"—",IF(4=3,"—",IF(4=4,"—",IF(4=5,"—",IF(4=6,"—",IF(4=7,"—",IF(4=8,"—","")))))))),IF(4=1,"—",IF(4=2,"—",IF(4=3,"—",IF(4=4,"—",IF(4=5,"—",IF(4=6,"—",IF(4=7,"—",IF(4=8,"—","")))))))))))))))</f>
        <v>—</v>
      </c>
      <c r="I17" s="24" t="str">
        <f t="array" ref="I17">IF('🌱 Configuração'!$C$56="","",IF(4&lt;1,"",IF(4&gt;'🌱 Configuração'!$H$7,"",IF(IFERROR(MATCH('🌱 Configuração'!$H$12,{"BioBizz","Remo Nutrients","General Organics","SuperSoil","Genérico"},0),1)=1,IF(4=1,"—",IF(4=2,"—",IF(4=3,"—",IF(4=4,"—",IF(4=5,"—",IF(4=6,"—",IF(4=7,"—",IF(4=8,"—","")))))))),IF(IFERROR(MATCH('🌱 Configuração'!$H$12,{"BioBizz","Remo Nutrients","General Organics","SuperSoil","Genérico"},0),1)=2,IF(4=1,"—",IF(4=2,"—",IF(4=3,"—",IF(4=4,"—",IF(4=5,"—",IF(4=6,"1.0 mL/L",IF(4=7,"2.1 mL/L",IF(4=8,"2.1 mL/L","")))))))),IF(IFERROR(MATCH('🌱 Configuração'!$H$12,{"BioBizz","Remo Nutrients","General Organics","SuperSoil","Genérico"},0),1)=3,IF(4=1,"1.3 mL/L",IF(4=2,"1.3 mL/L",IF(4=3,"1.3 mL/L",IF(4=4,"1.3 mL/L",IF(4=5,"—",IF(4=6,"1.3 mL/L",IF(4=7,"1.3 mL/L",IF(4=8,"1.3 mL/L","")))))))),IF(IFERROR(MATCH('🌱 Configuração'!$H$12,{"BioBizz","Remo Nutrients","General Organics","SuperSoil","Genérico"},0),1)=4,IF(4=1,"—",IF(4=2,"—",IF(4=3,"—",IF(4=4,"—",IF(4=5,"—",IF(4=6,"—",IF(4=7,"—",IF(4=8,"—","")))))))),IF(4=1,"—",IF(4=2,"—",IF(4=3,"—",IF(4=4,"—",IF(4=5,"—",IF(4=6,"—",IF(4=7,"—",IF(4=8,"—","")))))))))))))))</f>
        <v>—</v>
      </c>
      <c r="J17" s="23" t="str">
        <f t="array" ref="J17">IF('🌱 Configuração'!$C$56="","",IF(4&lt;1,"",IF(4&gt;'🌱 Configuração'!$H$7,"",IF(IFERROR(MATCH('🌱 Configuração'!$H$12,{"BioBizz","Remo Nutrients","General Organics","SuperSoil","Genérico"},0),1)=1,IF(4=1,"Alg·A·Mic 1mL",IF(4=2,"—",IF(4=3,"Alg·A·Mic 1mL",IF(4=4,"—",IF(4=5,"Alg·A·Mic 1mL",IF(4=6,"—",IF(4=7,"—",IF(4=8,"—","")))))))),IF(IFERROR(MATCH('🌱 Configuração'!$H$12,{"BioBizz","Remo Nutrients","General Organics","SuperSoil","Genérico"},0),1)=2,IF(4=1,"Magnifical 0.5",IF(4=2,"Magnifical 0.5",IF(4=3,"Magnifical 1.0",IF(4=4,"Magnifical 1.0",IF(4=5,"Magnifical 1.0",IF(4=6,"Magnifical 1.0",IF(4=7,"—",IF(4=8,"—","")))))))),IF(IFERROR(MATCH('🌱 Configuração'!$H$12,{"BioBizz","Remo Nutrients","General Organics","SuperSoil","Genérico"},0),1)=3,IF(4=1,"BioWeed 0.7",IF(4=2,"BioWeed 0.7",IF(4=3,"—",IF(4=4,"—",IF(4=5,"—",IF(4=6,"—",IF(4=7,"—",IF(4=8,"—","")))))))),IF(IFERROR(MATCH('🌱 Configuração'!$H$12,{"BioBizz","Remo Nutrients","General Organics","SuperSoil","Genérico"},0),1)=4,IF(4=1,"Vermicomposto",IF(4=2,"—",IF(4=3,"—",IF(4=4,"—",IF(4=5,"—",IF(4=6,"Microrganismos",IF(4=7,"—",IF(4=8,"—","")))))))),IF(4=1,"—",IF(4=2,"—",IF(4=3,"—",IF(4=4,"—",IF(4=5,"—",IF(4=6,"—",IF(4=7,"—",IF(4=8,"—","")))))))))))))))</f>
        <v>—</v>
      </c>
      <c r="K17" s="16" t="str">
        <f t="array" ref="K17">IF('🌱 Configuração'!$C$56="","",IF(4&lt;1,"",IF(4&gt;'🌱 Configuração'!$H$7,"",IF(IFERROR(MATCH('🌱 Configuração'!$H$12,{"BioBizz","Remo Nutrients","General Organics","SuperSoil","Genérico"},0),1)=1,IF(4=1,"6.2–6.5",IF(4=2,"6.2–6.5",IF(4=3,"6.2–6.5",IF(4=4,"6.2–6.5",IF(4=5,"6.2–6.5",IF(4=6,"6.2–6.5",IF(4=7,"6.2–6.5",IF(4=8,"6.2–6.5","")))))))),IF(IFERROR(MATCH('🌱 Configuração'!$H$12,{"BioBizz","Remo Nutrients","General Organics","SuperSoil","Genérico"},0),1)=2,IF(4=1,"6.0–6.3",IF(4=2,"6.0–6.3",IF(4=3,"6.0–6.3",IF(4=4,"6.0–6.3",IF(4=5,"6.0–6.3",IF(4=6,"6.0–6.3",IF(4=7,"6.0–6.3",IF(4=8,"6.0–6.3","")))))))),IF(IFERROR(MATCH('🌱 Configuração'!$H$12,{"BioBizz","Remo Nutrients","General Organics","SuperSoil","Genérico"},0),1)=3,IF(4=1,"6.2–7.0",IF(4=2,"6.2–7.0",IF(4=3,"6.2–7.0",IF(4=4,"6.2–7.0",IF(4=5,"6.2–7.0",IF(4=6,"6.2–7.0",IF(4=7,"6.2–7.0",IF(4=8,"6.2–7.0","")))))))),IF(IFERROR(MATCH('🌱 Configuração'!$H$12,{"BioBizz","Remo Nutrients","General Organics","SuperSoil","Genérico"},0),1)=4,IF(4=1,"auto",IF(4=2,"auto",IF(4=3,"auto",IF(4=4,"auto",IF(4=5,"auto",IF(4=6,"auto",IF(4=7,"auto",IF(4=8,"auto","")))))))),IF(4=1,"—",IF(4=2,"—",IF(4=3,"—",IF(4=4,"—",IF(4=5,"—",IF(4=6,"—",IF(4=7,"—",IF(4=8,"—","")))))))))))))))</f>
        <v>6.2–6.5</v>
      </c>
      <c r="L17" s="17" t="str">
        <f t="array" ref="L17">IF('🌱 Configuração'!$C$56="","",IF(4&lt;1,"",IF(4&gt;'🌱 Configuração'!$H$7,"",IF(IFERROR(MATCH('🌱 Configuração'!$H$12,{"BioBizz","Remo Nutrients","General Organics","SuperSoil","Genérico"},0),1)=1,IF(4=1,"0.8",IF(4=2,"1.0",IF(4=3,"1.2",IF(4=4,"1.4",IF(4=5,"1.5",IF(4=6,"1.4",IF(4=7,"1.4",IF(4=8,"1.4","")))))))),IF(IFERROR(MATCH('🌱 Configuração'!$H$12,{"BioBizz","Remo Nutrients","General Organics","SuperSoil","Genérico"},0),1)=2,IF(4=1,"0.8",IF(4=2,"1.0",IF(4=3,"1.2",IF(4=4,"1.4",IF(4=5,"1.5",IF(4=6,"1.5",IF(4=7,"1.4",IF(4=8,"1.4","")))))))),IF(IFERROR(MATCH('🌱 Configuração'!$H$12,{"BioBizz","Remo Nutrients","General Organics","SuperSoil","Genérico"},0),1)=3,IF(4=1,"N/A",IF(4=2,"N/A",IF(4=3,"N/A",IF(4=4,"N/A",IF(4=5,"N/A",IF(4=6,"N/A",IF(4=7,"N/A",IF(4=8,"N/A","")))))))),IF(IFERROR(MATCH('🌱 Configuração'!$H$12,{"BioBizz","Remo Nutrients","General Organics","SuperSoil","Genérico"},0),1)=4,IF(4=1,"auto",IF(4=2,"auto",IF(4=3,"auto",IF(4=4,"auto",IF(4=5,"auto",IF(4=6,"auto",IF(4=7,"auto",IF(4=8,"auto","")))))))),IF(4=1,"—",IF(4=2,"—",IF(4=3,"—",IF(4=4,"—",IF(4=5,"—",IF(4=6,"—",IF(4=7,"—",IF(4=8,"—","")))))))))))))))</f>
        <v>1.4</v>
      </c>
      <c r="M17" s="23" t="str">
        <f t="array" ref="M17">IF('🌱 Configuração'!$C$56="","",IF(4&lt;1,"",IF(4&gt;'🌱 Configuração'!$H$7,"",IF(IFERROR(MATCH('🌱 Configuração'!$H$12,{"BioBizz","Remo Nutrients","General Organics","SuperSoil","Genérico"},0),1)=1,IF(4=1,"Fish·Mix em veg = mais N orgânico",IF(4=2,"Aumentar progressivamente",IF(4=3,"Foliar: Fish·Mix + Alg·A·Mic 1mL/L",IF(4=4,"LST / estrutura vegetativa",IF(4=5,"Pré-floração — reduzir Fish·Mix",IF(4=6,"Substituir Fish·Mix por Bio·Grow antes da flora",IF(4=7,"Semana de transição — introduzir Bloom",IF(4=8,"Semana extra de vega","")))))))),IF(IFERROR(MATCH('🌱 Configuração'!$H$12,{"BioBizz","Remo Nutrients","General Organics","SuperSoil","Genérico"},0),1)=2,IF(4=1,"Micro+Grow = base Remo para vega",IF(4=2,"Aumentar conforme tabela oficial",IF(4=3,"Semana 3 da tabela Remo",IF(4=4,"Semana 4 da tabela Remo — pico vega",IF(4=5,"Manter se continuar vega",IF(4=6,"Introduzir Bloom — transição",IF(4=7,"Reduzir Grow, aumentar Bloom",IF(4=8,"Semana extra de vega","")))))))),IF(IFERROR(MATCH('🌱 Configuração'!$H$12,{"BioBizz","Remo Nutrients","General Organics","SuperSoil","Genérico"},0),1)=3,IF(4=1,"GO não requer EC — pH auto-regula",IF(4=2,"Sem necessidade de ajuste pH em solo",IF(4=3,"Semana 3 veg GO",IF(4=4,"Reduzir BioRoot gradualmente",IF(4=5,"Manter Grow puro na vega",IF(4=6,"Semana transição — introduzir Bloom",IF(4=7,"Transição flora — reduzir Grow",IF(4=8,"Semana extra de vega GO","")))))))),IF(IFERROR(MATCH('🌱 Configuração'!$H$12,{"BioBizz","Remo Nutrients","General Organics","SuperSoil","Genérico"},0),1)=4,IF(4=1,"SuperSoil já contém todos os nutrientes",IF(4=2,"Torta de mamona = N lento | Osso = P",IF(4=3,"Mel de cana alimenta fungos e bactérias",IF(4=4,"Observar vigor — solo vivo trabalha",IF(4=5,"Alga = micro. | Cinzas = K e Ca",IF(4=6,"Pré-flora — ativar P e K no solo",IF(4=7,"Guano P alto = preparo para flora",IF(4=8,"Semana extra de vega SuperSoil","")))))))),IF(4=1,"Personalize suas doses",IF(4=2,"Personalize suas doses",IF(4=3,"Personalize suas doses",IF(4=4,"Personalize suas doses",IF(4=5,"Personalize suas doses",IF(4=6,"Personalize suas doses",IF(4=7,"Personalize suas doses",IF(4=8,"Personalize suas doses","")))))))))))))))</f>
        <v>LST / estrutura vegetativa</v>
      </c>
      <c r="N17" s="1"/>
    </row>
    <row r="18" spans="1:14" ht="21.75" customHeight="1">
      <c r="A18" s="1"/>
      <c r="B18" s="21" t="str">
        <f>IF(5&lt;='🌱 Configuração'!$H$7,"S5","—")</f>
        <v>S5</v>
      </c>
      <c r="C18" s="13">
        <f>IF(5&lt;='🌱 Configuração'!$H$7,'🌱 Configuração'!$C$56+28,"")</f>
        <v>42</v>
      </c>
      <c r="D18" s="14" t="str">
        <f t="array" ref="D18">IF('🌱 Configuração'!$C$56="","",IF(5&lt;1,"",IF(5&gt;'🌱 Configuração'!$H$7,"",IF(IFERROR(MATCH('🌱 Configuração'!$H$12,{"BioBizz","Remo Nutrients","General Organics","SuperSoil","Genérico"},0),1)=1,IF(5=1,"Bio·Grow",IF(5=2,"Bio·Grow",IF(5=3,"Bio·Grow",IF(5=4,"Bio·Grow",IF(5=5,"Bio·Grow",IF(5=6,"Bio·Grow",IF(5=7,"Bio·Grow",IF(5=8,"Bio·Grow","")))))))),IF(IFERROR(MATCH('🌱 Configuração'!$H$12,{"BioBizz","Remo Nutrients","General Organics","SuperSoil","Genérico"},0),1)=2,IF(5=1,"Micro",IF(5=2,"Micro",IF(5=3,"Micro",IF(5=4,"Micro",IF(5=5,"Micro",IF(5=6,"Micro",IF(5=7,"Micro",IF(5=8,"Micro","")))))))),IF(IFERROR(MATCH('🌱 Configuração'!$H$12,{"BioBizz","Remo Nutrients","General Organics","SuperSoil","Genérico"},0),1)=3,IF(5=1,"BioThrive G",IF(5=2,"BioThrive G",IF(5=3,"BioThrive G",IF(5=4,"BioThrive G",IF(5=5,"BioThrive G",IF(5=6,"BioThrive G",IF(5=7,"BioThrive G",IF(5=8,"BioThrive G","")))))))),IF(IFERROR(MATCH('🌱 Configuração'!$H$12,{"BioBizz","Remo Nutrients","General Organics","SuperSoil","Genérico"},0),1)=4,IF(5=1,"Chá de compostagem",IF(5=2,"Cobertura: torta de mamona",IF(5=3,"Molasses 2 mL/L",IF(5=4,"Chá de compostagem",IF(5=5,"Cobertura: farinha de alga",IF(5=6,"Molasses 2 mL/L",IF(5=7,"Cobertura: farinha de osso",IF(5=8,"Chá de compostagem","")))))))),IF(5=1,"← Preencha",IF(5=2,"← Preencha",IF(5=3,"← Preencha",IF(5=4,"← Preencha",IF(5=5,"← Preencha",IF(5=6,"← Preencha",IF(5=7,"← Preencha",IF(5=8,"← Preencha","")))))))))))))))</f>
        <v>Bio·Grow</v>
      </c>
      <c r="E18" s="15" t="str">
        <f t="array" ref="E18">IF('🌱 Configuração'!$C$56="","",IF(5&lt;1,"",IF(5&gt;'🌱 Configuração'!$H$7,"",IF(IFERROR(MATCH('🌱 Configuração'!$H$12,{"BioBizz","Remo Nutrients","General Organics","SuperSoil","Genérico"},0),1)=1,IF(5=1,"1 mL/L",IF(5=2,"2 mL/L",IF(5=3,"2 mL/L",IF(5=4,"3 mL/L",IF(5=5,"4 mL/L",IF(5=6,"4 mL/L",IF(5=7,"4 mL/L",IF(5=8,"4 mL/L","")))))))),IF(IFERROR(MATCH('🌱 Configuração'!$H$12,{"BioBizz","Remo Nutrients","General Organics","SuperSoil","Genérico"},0),1)=2,IF(5=1,"1.3 mL/L",IF(5=2,"1.5 mL/L",IF(5=3,"1.8 mL/L",IF(5=4,"2.1 mL/L",IF(5=5,"2.1 mL/L",IF(5=6,"2.1 mL/L",IF(5=7,"2.1 mL/L",IF(5=8,"2.1 mL/L","")))))))),IF(IFERROR(MATCH('🌱 Configuração'!$H$12,{"BioBizz","Remo Nutrients","General Organics","SuperSoil","Genérico"},0),1)=3,IF(5=1,"1.3 mL/L",IF(5=2,"2.6 mL/L",IF(5=3,"2.6 mL/L",IF(5=4,"2.6 mL/L",IF(5=5,"2.6 mL/L",IF(5=6,"2.6 mL/L",IF(5=7,"1.3 mL/L",IF(5=8,"1.3 mL/L","")))))))),IF(IFERROR(MATCH('🌱 Configuração'!$H$12,{"BioBizz","Remo Nutrients","General Organics","SuperSoil","Genérico"},0),1)=4,IF(5=1,"2L/planta",IF(5=2,"10g/vaso",IF(5=3,"—",IF(5=4,"2L/planta",IF(5=5,"5g/L solo",IF(5=6,"—",IF(5=7,"10g/vaso",IF(5=8,"2L/planta","")))))))),IF(5=1,"—",IF(5=2,"—",IF(5=3,"—",IF(5=4,"—",IF(5=5,"—",IF(5=6,"—",IF(5=7,"—",IF(5=8,"—","")))))))))))))))</f>
        <v>4 mL/L</v>
      </c>
      <c r="F18" s="14" t="str">
        <f t="array" ref="F18">IF('🌱 Configuração'!$C$56="","",IF(5&lt;1,"",IF(5&gt;'🌱 Configuração'!$H$7,"",IF(IFERROR(MATCH('🌱 Configuração'!$H$12,{"BioBizz","Remo Nutrients","General Organics","SuperSoil","Genérico"},0),1)=1,IF(5=1,"Fish·Mix",IF(5=2,"Fish·Mix",IF(5=3,"Fish·Mix",IF(5=4,"Fish·Mix",IF(5=5,"Fish·Mix",IF(5=6,"—",IF(5=7,"Bio·Bloom",IF(5=8,"Bio·Bloom","")))))))),IF(IFERROR(MATCH('🌱 Configuração'!$H$12,{"BioBizz","Remo Nutrients","General Organics","SuperSoil","Genérico"},0),1)=2,IF(5=1,"Grow",IF(5=2,"Grow",IF(5=3,"Grow",IF(5=4,"Grow",IF(5=5,"Grow",IF(5=6,"Grow",IF(5=7,"Grow",IF(5=8,"Grow","")))))))),IF(IFERROR(MATCH('🌱 Configuração'!$H$12,{"BioBizz","Remo Nutrients","General Organics","SuperSoil","Genérico"},0),1)=3,IF(5=1,"BioRoot",IF(5=2,"BioRoot",IF(5=3,"BioRoot",IF(5=4,"BioRoot",IF(5=5,"CaMg+",IF(5=6,"BioThrive B",IF(5=7,"BioThrive B",IF(5=8,"BioThrive B","")))))))),IF(IFERROR(MATCH('🌱 Configuração'!$H$12,{"BioBizz","Remo Nutrients","General Organics","SuperSoil","Genérico"},0),1)=4,IF(5=1,"—",IF(5=2,"Cobertura: farinha de osso",IF(5=3,"—",IF(5=4,"—",IF(5=5,"Cobertura: cinzas de madeira",IF(5=6,"—",IF(5=7,"Cobertura: guano de morcego",IF(5=8,"—","")))))))),IF(5=1,"—",IF(5=2,"—",IF(5=3,"—",IF(5=4,"—",IF(5=5,"—",IF(5=6,"—",IF(5=7,"—",IF(5=8,"—","")))))))))))))))</f>
        <v>Fish·Mix</v>
      </c>
      <c r="G18" s="15" t="str">
        <f t="array" ref="G18">IF('🌱 Configuração'!$C$56="","",IF(5&lt;1,"",IF(5&gt;'🌱 Configuração'!$H$7,"",IF(IFERROR(MATCH('🌱 Configuração'!$H$12,{"BioBizz","Remo Nutrients","General Organics","SuperSoil","Genérico"},0),1)=1,IF(5=1,"1 mL/L",IF(5=2,"2 mL/L",IF(5=3,"2 mL/L",IF(5=4,"3 mL/L",IF(5=5,"3 mL/L",IF(5=6,"—",IF(5=7,"1 mL/L",IF(5=8,"2 mL/L","")))))))),IF(IFERROR(MATCH('🌱 Configuração'!$H$12,{"BioBizz","Remo Nutrients","General Organics","SuperSoil","Genérico"},0),1)=2,IF(5=1,"1.3 mL/L",IF(5=2,"1.5 mL/L",IF(5=3,"1.8 mL/L",IF(5=4,"2.1 mL/L",IF(5=5,"2.1 mL/L",IF(5=6,"2.1 mL/L",IF(5=7,"1.0 mL/L",IF(5=8,"0.5 mL/L","")))))))),IF(IFERROR(MATCH('🌱 Configuração'!$H$12,{"BioBizz","Remo Nutrients","General Organics","SuperSoil","Genérico"},0),1)=3,IF(5=1,"2.6 mL/L",IF(5=2,"2.6 mL/L",IF(5=3,"2.6 mL/L",IF(5=4,"1.3 mL/L",IF(5=5,"1.3 mL/L",IF(5=6,"1.3 mL/L",IF(5=7,"2.6 mL/L",IF(5=8,"2.6 mL/L","")))))))),IF(IFERROR(MATCH('🌱 Configuração'!$H$12,{"BioBizz","Remo Nutrients","General Organics","SuperSoil","Genérico"},0),1)=4,IF(5=1,"—",IF(5=2,"10g/vaso",IF(5=3,"—",IF(5=4,"—",IF(5=5,"3g/L",IF(5=6,"—",IF(5=7,"5g/L",IF(5=8,"—","")))))))),IF(5=1,"—",IF(5=2,"—",IF(5=3,"—",IF(5=4,"—",IF(5=5,"—",IF(5=6,"—",IF(5=7,"—",IF(5=8,"—","")))))))))))))))</f>
        <v>3 mL/L</v>
      </c>
      <c r="H18" s="14" t="str">
        <f t="array" ref="H18">IF('🌱 Configuração'!$C$56="","",IF(5&lt;1,"",IF(5&gt;'🌱 Configuração'!$H$7,"",IF(IFERROR(MATCH('🌱 Configuração'!$H$12,{"BioBizz","Remo Nutrients","General Organics","SuperSoil","Genérico"},0),1)=1,IF(5=1,"—",IF(5=2,"—",IF(5=3,"—",IF(5=4,"—",IF(5=5,"—",IF(5=6,"—",IF(5=7,"—",IF(5=8,"—","")))))))),IF(IFERROR(MATCH('🌱 Configuração'!$H$12,{"BioBizz","Remo Nutrients","General Organics","SuperSoil","Genérico"},0),1)=2,IF(5=1,"—",IF(5=2,"—",IF(5=3,"—",IF(5=4,"—",IF(5=5,"—",IF(5=6,"Bloom",IF(5=7,"Bloom",IF(5=8,"Bloom","")))))))),IF(IFERROR(MATCH('🌱 Configuração'!$H$12,{"BioBizz","Remo Nutrients","General Organics","SuperSoil","Genérico"},0),1)=3,IF(5=1,"CaMg+",IF(5=2,"CaMg+",IF(5=3,"CaMg+",IF(5=4,"CaMg+",IF(5=5,"—",IF(5=6,"CaMg+",IF(5=7,"CaMg+",IF(5=8,"CaMg+","")))))))),IF(IFERROR(MATCH('🌱 Configuração'!$H$12,{"BioBizz","Remo Nutrients","General Organics","SuperSoil","Genérico"},0),1)=4,IF(5=1,"—",IF(5=2,"—",IF(5=3,"—",IF(5=4,"—",IF(5=5,"—",IF(5=6,"—",IF(5=7,"—",IF(5=8,"—","")))))))),IF(5=1,"—",IF(5=2,"—",IF(5=3,"—",IF(5=4,"—",IF(5=5,"—",IF(5=6,"—",IF(5=7,"—",IF(5=8,"—","")))))))))))))))</f>
        <v>—</v>
      </c>
      <c r="I18" s="15" t="str">
        <f t="array" ref="I18">IF('🌱 Configuração'!$C$56="","",IF(5&lt;1,"",IF(5&gt;'🌱 Configuração'!$H$7,"",IF(IFERROR(MATCH('🌱 Configuração'!$H$12,{"BioBizz","Remo Nutrients","General Organics","SuperSoil","Genérico"},0),1)=1,IF(5=1,"—",IF(5=2,"—",IF(5=3,"—",IF(5=4,"—",IF(5=5,"—",IF(5=6,"—",IF(5=7,"—",IF(5=8,"—","")))))))),IF(IFERROR(MATCH('🌱 Configuração'!$H$12,{"BioBizz","Remo Nutrients","General Organics","SuperSoil","Genérico"},0),1)=2,IF(5=1,"—",IF(5=2,"—",IF(5=3,"—",IF(5=4,"—",IF(5=5,"—",IF(5=6,"1.0 mL/L",IF(5=7,"2.1 mL/L",IF(5=8,"2.1 mL/L","")))))))),IF(IFERROR(MATCH('🌱 Configuração'!$H$12,{"BioBizz","Remo Nutrients","General Organics","SuperSoil","Genérico"},0),1)=3,IF(5=1,"1.3 mL/L",IF(5=2,"1.3 mL/L",IF(5=3,"1.3 mL/L",IF(5=4,"1.3 mL/L",IF(5=5,"—",IF(5=6,"1.3 mL/L",IF(5=7,"1.3 mL/L",IF(5=8,"1.3 mL/L","")))))))),IF(IFERROR(MATCH('🌱 Configuração'!$H$12,{"BioBizz","Remo Nutrients","General Organics","SuperSoil","Genérico"},0),1)=4,IF(5=1,"—",IF(5=2,"—",IF(5=3,"—",IF(5=4,"—",IF(5=5,"—",IF(5=6,"—",IF(5=7,"—",IF(5=8,"—","")))))))),IF(5=1,"—",IF(5=2,"—",IF(5=3,"—",IF(5=4,"—",IF(5=5,"—",IF(5=6,"—",IF(5=7,"—",IF(5=8,"—","")))))))))))))))</f>
        <v>—</v>
      </c>
      <c r="J18" s="14" t="str">
        <f t="array" ref="J18">IF('🌱 Configuração'!$C$56="","",IF(5&lt;1,"",IF(5&gt;'🌱 Configuração'!$H$7,"",IF(IFERROR(MATCH('🌱 Configuração'!$H$12,{"BioBizz","Remo Nutrients","General Organics","SuperSoil","Genérico"},0),1)=1,IF(5=1,"Alg·A·Mic 1mL",IF(5=2,"—",IF(5=3,"Alg·A·Mic 1mL",IF(5=4,"—",IF(5=5,"Alg·A·Mic 1mL",IF(5=6,"—",IF(5=7,"—",IF(5=8,"—","")))))))),IF(IFERROR(MATCH('🌱 Configuração'!$H$12,{"BioBizz","Remo Nutrients","General Organics","SuperSoil","Genérico"},0),1)=2,IF(5=1,"Magnifical 0.5",IF(5=2,"Magnifical 0.5",IF(5=3,"Magnifical 1.0",IF(5=4,"Magnifical 1.0",IF(5=5,"Magnifical 1.0",IF(5=6,"Magnifical 1.0",IF(5=7,"—",IF(5=8,"—","")))))))),IF(IFERROR(MATCH('🌱 Configuração'!$H$12,{"BioBizz","Remo Nutrients","General Organics","SuperSoil","Genérico"},0),1)=3,IF(5=1,"BioWeed 0.7",IF(5=2,"BioWeed 0.7",IF(5=3,"—",IF(5=4,"—",IF(5=5,"—",IF(5=6,"—",IF(5=7,"—",IF(5=8,"—","")))))))),IF(IFERROR(MATCH('🌱 Configuração'!$H$12,{"BioBizz","Remo Nutrients","General Organics","SuperSoil","Genérico"},0),1)=4,IF(5=1,"Vermicomposto",IF(5=2,"—",IF(5=3,"—",IF(5=4,"—",IF(5=5,"—",IF(5=6,"Microrganismos",IF(5=7,"—",IF(5=8,"—","")))))))),IF(5=1,"—",IF(5=2,"—",IF(5=3,"—",IF(5=4,"—",IF(5=5,"—",IF(5=6,"—",IF(5=7,"—",IF(5=8,"—","")))))))))))))))</f>
        <v>Alg·A·Mic 1mL</v>
      </c>
      <c r="K18" s="16" t="str">
        <f t="array" ref="K18">IF('🌱 Configuração'!$C$56="","",IF(5&lt;1,"",IF(5&gt;'🌱 Configuração'!$H$7,"",IF(IFERROR(MATCH('🌱 Configuração'!$H$12,{"BioBizz","Remo Nutrients","General Organics","SuperSoil","Genérico"},0),1)=1,IF(5=1,"6.2–6.5",IF(5=2,"6.2–6.5",IF(5=3,"6.2–6.5",IF(5=4,"6.2–6.5",IF(5=5,"6.2–6.5",IF(5=6,"6.2–6.5",IF(5=7,"6.2–6.5",IF(5=8,"6.2–6.5","")))))))),IF(IFERROR(MATCH('🌱 Configuração'!$H$12,{"BioBizz","Remo Nutrients","General Organics","SuperSoil","Genérico"},0),1)=2,IF(5=1,"6.0–6.3",IF(5=2,"6.0–6.3",IF(5=3,"6.0–6.3",IF(5=4,"6.0–6.3",IF(5=5,"6.0–6.3",IF(5=6,"6.0–6.3",IF(5=7,"6.0–6.3",IF(5=8,"6.0–6.3","")))))))),IF(IFERROR(MATCH('🌱 Configuração'!$H$12,{"BioBizz","Remo Nutrients","General Organics","SuperSoil","Genérico"},0),1)=3,IF(5=1,"6.2–7.0",IF(5=2,"6.2–7.0",IF(5=3,"6.2–7.0",IF(5=4,"6.2–7.0",IF(5=5,"6.2–7.0",IF(5=6,"6.2–7.0",IF(5=7,"6.2–7.0",IF(5=8,"6.2–7.0","")))))))),IF(IFERROR(MATCH('🌱 Configuração'!$H$12,{"BioBizz","Remo Nutrients","General Organics","SuperSoil","Genérico"},0),1)=4,IF(5=1,"auto",IF(5=2,"auto",IF(5=3,"auto",IF(5=4,"auto",IF(5=5,"auto",IF(5=6,"auto",IF(5=7,"auto",IF(5=8,"auto","")))))))),IF(5=1,"—",IF(5=2,"—",IF(5=3,"—",IF(5=4,"—",IF(5=5,"—",IF(5=6,"—",IF(5=7,"—",IF(5=8,"—","")))))))))))))))</f>
        <v>6.2–6.5</v>
      </c>
      <c r="L18" s="17" t="str">
        <f t="array" ref="L18">IF('🌱 Configuração'!$C$56="","",IF(5&lt;1,"",IF(5&gt;'🌱 Configuração'!$H$7,"",IF(IFERROR(MATCH('🌱 Configuração'!$H$12,{"BioBizz","Remo Nutrients","General Organics","SuperSoil","Genérico"},0),1)=1,IF(5=1,"0.8",IF(5=2,"1.0",IF(5=3,"1.2",IF(5=4,"1.4",IF(5=5,"1.5",IF(5=6,"1.4",IF(5=7,"1.4",IF(5=8,"1.4","")))))))),IF(IFERROR(MATCH('🌱 Configuração'!$H$12,{"BioBizz","Remo Nutrients","General Organics","SuperSoil","Genérico"},0),1)=2,IF(5=1,"0.8",IF(5=2,"1.0",IF(5=3,"1.2",IF(5=4,"1.4",IF(5=5,"1.5",IF(5=6,"1.5",IF(5=7,"1.4",IF(5=8,"1.4","")))))))),IF(IFERROR(MATCH('🌱 Configuração'!$H$12,{"BioBizz","Remo Nutrients","General Organics","SuperSoil","Genérico"},0),1)=3,IF(5=1,"N/A",IF(5=2,"N/A",IF(5=3,"N/A",IF(5=4,"N/A",IF(5=5,"N/A",IF(5=6,"N/A",IF(5=7,"N/A",IF(5=8,"N/A","")))))))),IF(IFERROR(MATCH('🌱 Configuração'!$H$12,{"BioBizz","Remo Nutrients","General Organics","SuperSoil","Genérico"},0),1)=4,IF(5=1,"auto",IF(5=2,"auto",IF(5=3,"auto",IF(5=4,"auto",IF(5=5,"auto",IF(5=6,"auto",IF(5=7,"auto",IF(5=8,"auto","")))))))),IF(5=1,"—",IF(5=2,"—",IF(5=3,"—",IF(5=4,"—",IF(5=5,"—",IF(5=6,"—",IF(5=7,"—",IF(5=8,"—","")))))))))))))))</f>
        <v>1.5</v>
      </c>
      <c r="M18" s="14" t="str">
        <f t="array" ref="M18">IF('🌱 Configuração'!$C$56="","",IF(5&lt;1,"",IF(5&gt;'🌱 Configuração'!$H$7,"",IF(IFERROR(MATCH('🌱 Configuração'!$H$12,{"BioBizz","Remo Nutrients","General Organics","SuperSoil","Genérico"},0),1)=1,IF(5=1,"Fish·Mix em veg = mais N orgânico",IF(5=2,"Aumentar progressivamente",IF(5=3,"Foliar: Fish·Mix + Alg·A·Mic 1mL/L",IF(5=4,"LST / estrutura vegetativa",IF(5=5,"Pré-floração — reduzir Fish·Mix",IF(5=6,"Substituir Fish·Mix por Bio·Grow antes da flora",IF(5=7,"Semana de transição — introduzir Bloom",IF(5=8,"Semana extra de vega","")))))))),IF(IFERROR(MATCH('🌱 Configuração'!$H$12,{"BioBizz","Remo Nutrients","General Organics","SuperSoil","Genérico"},0),1)=2,IF(5=1,"Micro+Grow = base Remo para vega",IF(5=2,"Aumentar conforme tabela oficial",IF(5=3,"Semana 3 da tabela Remo",IF(5=4,"Semana 4 da tabela Remo — pico vega",IF(5=5,"Manter se continuar vega",IF(5=6,"Introduzir Bloom — transição",IF(5=7,"Reduzir Grow, aumentar Bloom",IF(5=8,"Semana extra de vega","")))))))),IF(IFERROR(MATCH('🌱 Configuração'!$H$12,{"BioBizz","Remo Nutrients","General Organics","SuperSoil","Genérico"},0),1)=3,IF(5=1,"GO não requer EC — pH auto-regula",IF(5=2,"Sem necessidade de ajuste pH em solo",IF(5=3,"Semana 3 veg GO",IF(5=4,"Reduzir BioRoot gradualmente",IF(5=5,"Manter Grow puro na vega",IF(5=6,"Semana transição — introduzir Bloom",IF(5=7,"Transição flora — reduzir Grow",IF(5=8,"Semana extra de vega GO","")))))))),IF(IFERROR(MATCH('🌱 Configuração'!$H$12,{"BioBizz","Remo Nutrients","General Organics","SuperSoil","Genérico"},0),1)=4,IF(5=1,"SuperSoil já contém todos os nutrientes",IF(5=2,"Torta de mamona = N lento | Osso = P",IF(5=3,"Mel de cana alimenta fungos e bactérias",IF(5=4,"Observar vigor — solo vivo trabalha",IF(5=5,"Alga = micro. | Cinzas = K e Ca",IF(5=6,"Pré-flora — ativar P e K no solo",IF(5=7,"Guano P alto = preparo para flora",IF(5=8,"Semana extra de vega SuperSoil","")))))))),IF(5=1,"Personalize suas doses",IF(5=2,"Personalize suas doses",IF(5=3,"Personalize suas doses",IF(5=4,"Personalize suas doses",IF(5=5,"Personalize suas doses",IF(5=6,"Personalize suas doses",IF(5=7,"Personalize suas doses",IF(5=8,"Personalize suas doses","")))))))))))))))</f>
        <v>Pré-floração — reduzir Fish·Mix</v>
      </c>
      <c r="N18" s="1"/>
    </row>
    <row r="19" spans="1:14" ht="21.75" customHeight="1">
      <c r="A19" s="1"/>
      <c r="B19" s="21" t="str">
        <f>IF(6&lt;='🌱 Configuração'!$H$7,"S6","—")</f>
        <v>S6</v>
      </c>
      <c r="C19" s="22">
        <f>IF(6&lt;='🌱 Configuração'!$H$7,'🌱 Configuração'!$C$56+35,"")</f>
        <v>49</v>
      </c>
      <c r="D19" s="23" t="str">
        <f t="array" ref="D19">IF('🌱 Configuração'!$C$56="","",IF(6&lt;1,"",IF(6&gt;'🌱 Configuração'!$H$7,"",IF(IFERROR(MATCH('🌱 Configuração'!$H$12,{"BioBizz","Remo Nutrients","General Organics","SuperSoil","Genérico"},0),1)=1,IF(6=1,"Bio·Grow",IF(6=2,"Bio·Grow",IF(6=3,"Bio·Grow",IF(6=4,"Bio·Grow",IF(6=5,"Bio·Grow",IF(6=6,"Bio·Grow",IF(6=7,"Bio·Grow",IF(6=8,"Bio·Grow","")))))))),IF(IFERROR(MATCH('🌱 Configuração'!$H$12,{"BioBizz","Remo Nutrients","General Organics","SuperSoil","Genérico"},0),1)=2,IF(6=1,"Micro",IF(6=2,"Micro",IF(6=3,"Micro",IF(6=4,"Micro",IF(6=5,"Micro",IF(6=6,"Micro",IF(6=7,"Micro",IF(6=8,"Micro","")))))))),IF(IFERROR(MATCH('🌱 Configuração'!$H$12,{"BioBizz","Remo Nutrients","General Organics","SuperSoil","Genérico"},0),1)=3,IF(6=1,"BioThrive G",IF(6=2,"BioThrive G",IF(6=3,"BioThrive G",IF(6=4,"BioThrive G",IF(6=5,"BioThrive G",IF(6=6,"BioThrive G",IF(6=7,"BioThrive G",IF(6=8,"BioThrive G","")))))))),IF(IFERROR(MATCH('🌱 Configuração'!$H$12,{"BioBizz","Remo Nutrients","General Organics","SuperSoil","Genérico"},0),1)=4,IF(6=1,"Chá de compostagem",IF(6=2,"Cobertura: torta de mamona",IF(6=3,"Molasses 2 mL/L",IF(6=4,"Chá de compostagem",IF(6=5,"Cobertura: farinha de alga",IF(6=6,"Molasses 2 mL/L",IF(6=7,"Cobertura: farinha de osso",IF(6=8,"Chá de compostagem","")))))))),IF(6=1,"← Preencha",IF(6=2,"← Preencha",IF(6=3,"← Preencha",IF(6=4,"← Preencha",IF(6=5,"← Preencha",IF(6=6,"← Preencha",IF(6=7,"← Preencha",IF(6=8,"← Preencha","")))))))))))))))</f>
        <v>Bio·Grow</v>
      </c>
      <c r="E19" s="24" t="str">
        <f t="array" ref="E19">IF('🌱 Configuração'!$C$56="","",IF(6&lt;1,"",IF(6&gt;'🌱 Configuração'!$H$7,"",IF(IFERROR(MATCH('🌱 Configuração'!$H$12,{"BioBizz","Remo Nutrients","General Organics","SuperSoil","Genérico"},0),1)=1,IF(6=1,"1 mL/L",IF(6=2,"2 mL/L",IF(6=3,"2 mL/L",IF(6=4,"3 mL/L",IF(6=5,"4 mL/L",IF(6=6,"4 mL/L",IF(6=7,"4 mL/L",IF(6=8,"4 mL/L","")))))))),IF(IFERROR(MATCH('🌱 Configuração'!$H$12,{"BioBizz","Remo Nutrients","General Organics","SuperSoil","Genérico"},0),1)=2,IF(6=1,"1.3 mL/L",IF(6=2,"1.5 mL/L",IF(6=3,"1.8 mL/L",IF(6=4,"2.1 mL/L",IF(6=5,"2.1 mL/L",IF(6=6,"2.1 mL/L",IF(6=7,"2.1 mL/L",IF(6=8,"2.1 mL/L","")))))))),IF(IFERROR(MATCH('🌱 Configuração'!$H$12,{"BioBizz","Remo Nutrients","General Organics","SuperSoil","Genérico"},0),1)=3,IF(6=1,"1.3 mL/L",IF(6=2,"2.6 mL/L",IF(6=3,"2.6 mL/L",IF(6=4,"2.6 mL/L",IF(6=5,"2.6 mL/L",IF(6=6,"2.6 mL/L",IF(6=7,"1.3 mL/L",IF(6=8,"1.3 mL/L","")))))))),IF(IFERROR(MATCH('🌱 Configuração'!$H$12,{"BioBizz","Remo Nutrients","General Organics","SuperSoil","Genérico"},0),1)=4,IF(6=1,"2L/planta",IF(6=2,"10g/vaso",IF(6=3,"—",IF(6=4,"2L/planta",IF(6=5,"5g/L solo",IF(6=6,"—",IF(6=7,"10g/vaso",IF(6=8,"2L/planta","")))))))),IF(6=1,"—",IF(6=2,"—",IF(6=3,"—",IF(6=4,"—",IF(6=5,"—",IF(6=6,"—",IF(6=7,"—",IF(6=8,"—","")))))))))))))))</f>
        <v>4 mL/L</v>
      </c>
      <c r="F19" s="23" t="str">
        <f t="array" ref="F19">IF('🌱 Configuração'!$C$56="","",IF(6&lt;1,"",IF(6&gt;'🌱 Configuração'!$H$7,"",IF(IFERROR(MATCH('🌱 Configuração'!$H$12,{"BioBizz","Remo Nutrients","General Organics","SuperSoil","Genérico"},0),1)=1,IF(6=1,"Fish·Mix",IF(6=2,"Fish·Mix",IF(6=3,"Fish·Mix",IF(6=4,"Fish·Mix",IF(6=5,"Fish·Mix",IF(6=6,"—",IF(6=7,"Bio·Bloom",IF(6=8,"Bio·Bloom","")))))))),IF(IFERROR(MATCH('🌱 Configuração'!$H$12,{"BioBizz","Remo Nutrients","General Organics","SuperSoil","Genérico"},0),1)=2,IF(6=1,"Grow",IF(6=2,"Grow",IF(6=3,"Grow",IF(6=4,"Grow",IF(6=5,"Grow",IF(6=6,"Grow",IF(6=7,"Grow",IF(6=8,"Grow","")))))))),IF(IFERROR(MATCH('🌱 Configuração'!$H$12,{"BioBizz","Remo Nutrients","General Organics","SuperSoil","Genérico"},0),1)=3,IF(6=1,"BioRoot",IF(6=2,"BioRoot",IF(6=3,"BioRoot",IF(6=4,"BioRoot",IF(6=5,"CaMg+",IF(6=6,"BioThrive B",IF(6=7,"BioThrive B",IF(6=8,"BioThrive B","")))))))),IF(IFERROR(MATCH('🌱 Configuração'!$H$12,{"BioBizz","Remo Nutrients","General Organics","SuperSoil","Genérico"},0),1)=4,IF(6=1,"—",IF(6=2,"Cobertura: farinha de osso",IF(6=3,"—",IF(6=4,"—",IF(6=5,"Cobertura: cinzas de madeira",IF(6=6,"—",IF(6=7,"Cobertura: guano de morcego",IF(6=8,"—","")))))))),IF(6=1,"—",IF(6=2,"—",IF(6=3,"—",IF(6=4,"—",IF(6=5,"—",IF(6=6,"—",IF(6=7,"—",IF(6=8,"—","")))))))))))))))</f>
        <v>—</v>
      </c>
      <c r="G19" s="24" t="str">
        <f t="array" ref="G19">IF('🌱 Configuração'!$C$56="","",IF(6&lt;1,"",IF(6&gt;'🌱 Configuração'!$H$7,"",IF(IFERROR(MATCH('🌱 Configuração'!$H$12,{"BioBizz","Remo Nutrients","General Organics","SuperSoil","Genérico"},0),1)=1,IF(6=1,"1 mL/L",IF(6=2,"2 mL/L",IF(6=3,"2 mL/L",IF(6=4,"3 mL/L",IF(6=5,"3 mL/L",IF(6=6,"—",IF(6=7,"1 mL/L",IF(6=8,"2 mL/L","")))))))),IF(IFERROR(MATCH('🌱 Configuração'!$H$12,{"BioBizz","Remo Nutrients","General Organics","SuperSoil","Genérico"},0),1)=2,IF(6=1,"1.3 mL/L",IF(6=2,"1.5 mL/L",IF(6=3,"1.8 mL/L",IF(6=4,"2.1 mL/L",IF(6=5,"2.1 mL/L",IF(6=6,"2.1 mL/L",IF(6=7,"1.0 mL/L",IF(6=8,"0.5 mL/L","")))))))),IF(IFERROR(MATCH('🌱 Configuração'!$H$12,{"BioBizz","Remo Nutrients","General Organics","SuperSoil","Genérico"},0),1)=3,IF(6=1,"2.6 mL/L",IF(6=2,"2.6 mL/L",IF(6=3,"2.6 mL/L",IF(6=4,"1.3 mL/L",IF(6=5,"1.3 mL/L",IF(6=6,"1.3 mL/L",IF(6=7,"2.6 mL/L",IF(6=8,"2.6 mL/L","")))))))),IF(IFERROR(MATCH('🌱 Configuração'!$H$12,{"BioBizz","Remo Nutrients","General Organics","SuperSoil","Genérico"},0),1)=4,IF(6=1,"—",IF(6=2,"10g/vaso",IF(6=3,"—",IF(6=4,"—",IF(6=5,"3g/L",IF(6=6,"—",IF(6=7,"5g/L",IF(6=8,"—","")))))))),IF(6=1,"—",IF(6=2,"—",IF(6=3,"—",IF(6=4,"—",IF(6=5,"—",IF(6=6,"—",IF(6=7,"—",IF(6=8,"—","")))))))))))))))</f>
        <v>—</v>
      </c>
      <c r="H19" s="23" t="str">
        <f t="array" ref="H19">IF('🌱 Configuração'!$C$56="","",IF(6&lt;1,"",IF(6&gt;'🌱 Configuração'!$H$7,"",IF(IFERROR(MATCH('🌱 Configuração'!$H$12,{"BioBizz","Remo Nutrients","General Organics","SuperSoil","Genérico"},0),1)=1,IF(6=1,"—",IF(6=2,"—",IF(6=3,"—",IF(6=4,"—",IF(6=5,"—",IF(6=6,"—",IF(6=7,"—",IF(6=8,"—","")))))))),IF(IFERROR(MATCH('🌱 Configuração'!$H$12,{"BioBizz","Remo Nutrients","General Organics","SuperSoil","Genérico"},0),1)=2,IF(6=1,"—",IF(6=2,"—",IF(6=3,"—",IF(6=4,"—",IF(6=5,"—",IF(6=6,"Bloom",IF(6=7,"Bloom",IF(6=8,"Bloom","")))))))),IF(IFERROR(MATCH('🌱 Configuração'!$H$12,{"BioBizz","Remo Nutrients","General Organics","SuperSoil","Genérico"},0),1)=3,IF(6=1,"CaMg+",IF(6=2,"CaMg+",IF(6=3,"CaMg+",IF(6=4,"CaMg+",IF(6=5,"—",IF(6=6,"CaMg+",IF(6=7,"CaMg+",IF(6=8,"CaMg+","")))))))),IF(IFERROR(MATCH('🌱 Configuração'!$H$12,{"BioBizz","Remo Nutrients","General Organics","SuperSoil","Genérico"},0),1)=4,IF(6=1,"—",IF(6=2,"—",IF(6=3,"—",IF(6=4,"—",IF(6=5,"—",IF(6=6,"—",IF(6=7,"—",IF(6=8,"—","")))))))),IF(6=1,"—",IF(6=2,"—",IF(6=3,"—",IF(6=4,"—",IF(6=5,"—",IF(6=6,"—",IF(6=7,"—",IF(6=8,"—","")))))))))))))))</f>
        <v>—</v>
      </c>
      <c r="I19" s="24" t="str">
        <f t="array" ref="I19">IF('🌱 Configuração'!$C$56="","",IF(6&lt;1,"",IF(6&gt;'🌱 Configuração'!$H$7,"",IF(IFERROR(MATCH('🌱 Configuração'!$H$12,{"BioBizz","Remo Nutrients","General Organics","SuperSoil","Genérico"},0),1)=1,IF(6=1,"—",IF(6=2,"—",IF(6=3,"—",IF(6=4,"—",IF(6=5,"—",IF(6=6,"—",IF(6=7,"—",IF(6=8,"—","")))))))),IF(IFERROR(MATCH('🌱 Configuração'!$H$12,{"BioBizz","Remo Nutrients","General Organics","SuperSoil","Genérico"},0),1)=2,IF(6=1,"—",IF(6=2,"—",IF(6=3,"—",IF(6=4,"—",IF(6=5,"—",IF(6=6,"1.0 mL/L",IF(6=7,"2.1 mL/L",IF(6=8,"2.1 mL/L","")))))))),IF(IFERROR(MATCH('🌱 Configuração'!$H$12,{"BioBizz","Remo Nutrients","General Organics","SuperSoil","Genérico"},0),1)=3,IF(6=1,"1.3 mL/L",IF(6=2,"1.3 mL/L",IF(6=3,"1.3 mL/L",IF(6=4,"1.3 mL/L",IF(6=5,"—",IF(6=6,"1.3 mL/L",IF(6=7,"1.3 mL/L",IF(6=8,"1.3 mL/L","")))))))),IF(IFERROR(MATCH('🌱 Configuração'!$H$12,{"BioBizz","Remo Nutrients","General Organics","SuperSoil","Genérico"},0),1)=4,IF(6=1,"—",IF(6=2,"—",IF(6=3,"—",IF(6=4,"—",IF(6=5,"—",IF(6=6,"—",IF(6=7,"—",IF(6=8,"—","")))))))),IF(6=1,"—",IF(6=2,"—",IF(6=3,"—",IF(6=4,"—",IF(6=5,"—",IF(6=6,"—",IF(6=7,"—",IF(6=8,"—","")))))))))))))))</f>
        <v>—</v>
      </c>
      <c r="J19" s="23" t="str">
        <f t="array" ref="J19">IF('🌱 Configuração'!$C$56="","",IF(6&lt;1,"",IF(6&gt;'🌱 Configuração'!$H$7,"",IF(IFERROR(MATCH('🌱 Configuração'!$H$12,{"BioBizz","Remo Nutrients","General Organics","SuperSoil","Genérico"},0),1)=1,IF(6=1,"Alg·A·Mic 1mL",IF(6=2,"—",IF(6=3,"Alg·A·Mic 1mL",IF(6=4,"—",IF(6=5,"Alg·A·Mic 1mL",IF(6=6,"—",IF(6=7,"—",IF(6=8,"—","")))))))),IF(IFERROR(MATCH('🌱 Configuração'!$H$12,{"BioBizz","Remo Nutrients","General Organics","SuperSoil","Genérico"},0),1)=2,IF(6=1,"Magnifical 0.5",IF(6=2,"Magnifical 0.5",IF(6=3,"Magnifical 1.0",IF(6=4,"Magnifical 1.0",IF(6=5,"Magnifical 1.0",IF(6=6,"Magnifical 1.0",IF(6=7,"—",IF(6=8,"—","")))))))),IF(IFERROR(MATCH('🌱 Configuração'!$H$12,{"BioBizz","Remo Nutrients","General Organics","SuperSoil","Genérico"},0),1)=3,IF(6=1,"BioWeed 0.7",IF(6=2,"BioWeed 0.7",IF(6=3,"—",IF(6=4,"—",IF(6=5,"—",IF(6=6,"—",IF(6=7,"—",IF(6=8,"—","")))))))),IF(IFERROR(MATCH('🌱 Configuração'!$H$12,{"BioBizz","Remo Nutrients","General Organics","SuperSoil","Genérico"},0),1)=4,IF(6=1,"Vermicomposto",IF(6=2,"—",IF(6=3,"—",IF(6=4,"—",IF(6=5,"—",IF(6=6,"Microrganismos",IF(6=7,"—",IF(6=8,"—","")))))))),IF(6=1,"—",IF(6=2,"—",IF(6=3,"—",IF(6=4,"—",IF(6=5,"—",IF(6=6,"—",IF(6=7,"—",IF(6=8,"—","")))))))))))))))</f>
        <v>—</v>
      </c>
      <c r="K19" s="16" t="str">
        <f t="array" ref="K19">IF('🌱 Configuração'!$C$56="","",IF(6&lt;1,"",IF(6&gt;'🌱 Configuração'!$H$7,"",IF(IFERROR(MATCH('🌱 Configuração'!$H$12,{"BioBizz","Remo Nutrients","General Organics","SuperSoil","Genérico"},0),1)=1,IF(6=1,"6.2–6.5",IF(6=2,"6.2–6.5",IF(6=3,"6.2–6.5",IF(6=4,"6.2–6.5",IF(6=5,"6.2–6.5",IF(6=6,"6.2–6.5",IF(6=7,"6.2–6.5",IF(6=8,"6.2–6.5","")))))))),IF(IFERROR(MATCH('🌱 Configuração'!$H$12,{"BioBizz","Remo Nutrients","General Organics","SuperSoil","Genérico"},0),1)=2,IF(6=1,"6.0–6.3",IF(6=2,"6.0–6.3",IF(6=3,"6.0–6.3",IF(6=4,"6.0–6.3",IF(6=5,"6.0–6.3",IF(6=6,"6.0–6.3",IF(6=7,"6.0–6.3",IF(6=8,"6.0–6.3","")))))))),IF(IFERROR(MATCH('🌱 Configuração'!$H$12,{"BioBizz","Remo Nutrients","General Organics","SuperSoil","Genérico"},0),1)=3,IF(6=1,"6.2–7.0",IF(6=2,"6.2–7.0",IF(6=3,"6.2–7.0",IF(6=4,"6.2–7.0",IF(6=5,"6.2–7.0",IF(6=6,"6.2–7.0",IF(6=7,"6.2–7.0",IF(6=8,"6.2–7.0","")))))))),IF(IFERROR(MATCH('🌱 Configuração'!$H$12,{"BioBizz","Remo Nutrients","General Organics","SuperSoil","Genérico"},0),1)=4,IF(6=1,"auto",IF(6=2,"auto",IF(6=3,"auto",IF(6=4,"auto",IF(6=5,"auto",IF(6=6,"auto",IF(6=7,"auto",IF(6=8,"auto","")))))))),IF(6=1,"—",IF(6=2,"—",IF(6=3,"—",IF(6=4,"—",IF(6=5,"—",IF(6=6,"—",IF(6=7,"—",IF(6=8,"—","")))))))))))))))</f>
        <v>6.2–6.5</v>
      </c>
      <c r="L19" s="17" t="str">
        <f t="array" ref="L19">IF('🌱 Configuração'!$C$56="","",IF(6&lt;1,"",IF(6&gt;'🌱 Configuração'!$H$7,"",IF(IFERROR(MATCH('🌱 Configuração'!$H$12,{"BioBizz","Remo Nutrients","General Organics","SuperSoil","Genérico"},0),1)=1,IF(6=1,"0.8",IF(6=2,"1.0",IF(6=3,"1.2",IF(6=4,"1.4",IF(6=5,"1.5",IF(6=6,"1.4",IF(6=7,"1.4",IF(6=8,"1.4","")))))))),IF(IFERROR(MATCH('🌱 Configuração'!$H$12,{"BioBizz","Remo Nutrients","General Organics","SuperSoil","Genérico"},0),1)=2,IF(6=1,"0.8",IF(6=2,"1.0",IF(6=3,"1.2",IF(6=4,"1.4",IF(6=5,"1.5",IF(6=6,"1.5",IF(6=7,"1.4",IF(6=8,"1.4","")))))))),IF(IFERROR(MATCH('🌱 Configuração'!$H$12,{"BioBizz","Remo Nutrients","General Organics","SuperSoil","Genérico"},0),1)=3,IF(6=1,"N/A",IF(6=2,"N/A",IF(6=3,"N/A",IF(6=4,"N/A",IF(6=5,"N/A",IF(6=6,"N/A",IF(6=7,"N/A",IF(6=8,"N/A","")))))))),IF(IFERROR(MATCH('🌱 Configuração'!$H$12,{"BioBizz","Remo Nutrients","General Organics","SuperSoil","Genérico"},0),1)=4,IF(6=1,"auto",IF(6=2,"auto",IF(6=3,"auto",IF(6=4,"auto",IF(6=5,"auto",IF(6=6,"auto",IF(6=7,"auto",IF(6=8,"auto","")))))))),IF(6=1,"—",IF(6=2,"—",IF(6=3,"—",IF(6=4,"—",IF(6=5,"—",IF(6=6,"—",IF(6=7,"—",IF(6=8,"—","")))))))))))))))</f>
        <v>1.4</v>
      </c>
      <c r="M19" s="23" t="str">
        <f t="array" ref="M19">IF('🌱 Configuração'!$C$56="","",IF(6&lt;1,"",IF(6&gt;'🌱 Configuração'!$H$7,"",IF(IFERROR(MATCH('🌱 Configuração'!$H$12,{"BioBizz","Remo Nutrients","General Organics","SuperSoil","Genérico"},0),1)=1,IF(6=1,"Fish·Mix em veg = mais N orgânico",IF(6=2,"Aumentar progressivamente",IF(6=3,"Foliar: Fish·Mix + Alg·A·Mic 1mL/L",IF(6=4,"LST / estrutura vegetativa",IF(6=5,"Pré-floração — reduzir Fish·Mix",IF(6=6,"Substituir Fish·Mix por Bio·Grow antes da flora",IF(6=7,"Semana de transição — introduzir Bloom",IF(6=8,"Semana extra de vega","")))))))),IF(IFERROR(MATCH('🌱 Configuração'!$H$12,{"BioBizz","Remo Nutrients","General Organics","SuperSoil","Genérico"},0),1)=2,IF(6=1,"Micro+Grow = base Remo para vega",IF(6=2,"Aumentar conforme tabela oficial",IF(6=3,"Semana 3 da tabela Remo",IF(6=4,"Semana 4 da tabela Remo — pico vega",IF(6=5,"Manter se continuar vega",IF(6=6,"Introduzir Bloom — transição",IF(6=7,"Reduzir Grow, aumentar Bloom",IF(6=8,"Semana extra de vega","")))))))),IF(IFERROR(MATCH('🌱 Configuração'!$H$12,{"BioBizz","Remo Nutrients","General Organics","SuperSoil","Genérico"},0),1)=3,IF(6=1,"GO não requer EC — pH auto-regula",IF(6=2,"Sem necessidade de ajuste pH em solo",IF(6=3,"Semana 3 veg GO",IF(6=4,"Reduzir BioRoot gradualmente",IF(6=5,"Manter Grow puro na vega",IF(6=6,"Semana transição — introduzir Bloom",IF(6=7,"Transição flora — reduzir Grow",IF(6=8,"Semana extra de vega GO","")))))))),IF(IFERROR(MATCH('🌱 Configuração'!$H$12,{"BioBizz","Remo Nutrients","General Organics","SuperSoil","Genérico"},0),1)=4,IF(6=1,"SuperSoil já contém todos os nutrientes",IF(6=2,"Torta de mamona = N lento | Osso = P",IF(6=3,"Mel de cana alimenta fungos e bactérias",IF(6=4,"Observar vigor — solo vivo trabalha",IF(6=5,"Alga = micro. | Cinzas = K e Ca",IF(6=6,"Pré-flora — ativar P e K no solo",IF(6=7,"Guano P alto = preparo para flora",IF(6=8,"Semana extra de vega SuperSoil","")))))))),IF(6=1,"Personalize suas doses",IF(6=2,"Personalize suas doses",IF(6=3,"Personalize suas doses",IF(6=4,"Personalize suas doses",IF(6=5,"Personalize suas doses",IF(6=6,"Personalize suas doses",IF(6=7,"Personalize suas doses",IF(6=8,"Personalize suas doses","")))))))))))))))</f>
        <v>Substituir Fish·Mix por Bio·Grow antes da flora</v>
      </c>
      <c r="N19" s="1"/>
    </row>
    <row r="20" spans="1:14" ht="21.75" customHeight="1">
      <c r="A20" s="1"/>
      <c r="B20" s="21" t="str">
        <f>IF(7&lt;='🌱 Configuração'!$H$7,"S7","—")</f>
        <v>—</v>
      </c>
      <c r="C20" s="13" t="str">
        <f>IF(7&lt;='🌱 Configuração'!$H$7,'🌱 Configuração'!$C$56+42,"")</f>
        <v/>
      </c>
      <c r="D20" s="14" t="str">
        <f t="array" ref="D20">IF('🌱 Configuração'!$C$56="","",IF(7&lt;1,"",IF(7&gt;'🌱 Configuração'!$H$7,"",IF(IFERROR(MATCH('🌱 Configuração'!$H$12,{"BioBizz","Remo Nutrients","General Organics","SuperSoil","Genérico"},0),1)=1,IF(7=1,"Bio·Grow",IF(7=2,"Bio·Grow",IF(7=3,"Bio·Grow",IF(7=4,"Bio·Grow",IF(7=5,"Bio·Grow",IF(7=6,"Bio·Grow",IF(7=7,"Bio·Grow",IF(7=8,"Bio·Grow","")))))))),IF(IFERROR(MATCH('🌱 Configuração'!$H$12,{"BioBizz","Remo Nutrients","General Organics","SuperSoil","Genérico"},0),1)=2,IF(7=1,"Micro",IF(7=2,"Micro",IF(7=3,"Micro",IF(7=4,"Micro",IF(7=5,"Micro",IF(7=6,"Micro",IF(7=7,"Micro",IF(7=8,"Micro","")))))))),IF(IFERROR(MATCH('🌱 Configuração'!$H$12,{"BioBizz","Remo Nutrients","General Organics","SuperSoil","Genérico"},0),1)=3,IF(7=1,"BioThrive G",IF(7=2,"BioThrive G",IF(7=3,"BioThrive G",IF(7=4,"BioThrive G",IF(7=5,"BioThrive G",IF(7=6,"BioThrive G",IF(7=7,"BioThrive G",IF(7=8,"BioThrive G","")))))))),IF(IFERROR(MATCH('🌱 Configuração'!$H$12,{"BioBizz","Remo Nutrients","General Organics","SuperSoil","Genérico"},0),1)=4,IF(7=1,"Chá de compostagem",IF(7=2,"Cobertura: torta de mamona",IF(7=3,"Molasses 2 mL/L",IF(7=4,"Chá de compostagem",IF(7=5,"Cobertura: farinha de alga",IF(7=6,"Molasses 2 mL/L",IF(7=7,"Cobertura: farinha de osso",IF(7=8,"Chá de compostagem","")))))))),IF(7=1,"← Preencha",IF(7=2,"← Preencha",IF(7=3,"← Preencha",IF(7=4,"← Preencha",IF(7=5,"← Preencha",IF(7=6,"← Preencha",IF(7=7,"← Preencha",IF(7=8,"← Preencha","")))))))))))))))</f>
        <v/>
      </c>
      <c r="E20" s="15" t="str">
        <f t="array" ref="E20">IF('🌱 Configuração'!$C$56="","",IF(7&lt;1,"",IF(7&gt;'🌱 Configuração'!$H$7,"",IF(IFERROR(MATCH('🌱 Configuração'!$H$12,{"BioBizz","Remo Nutrients","General Organics","SuperSoil","Genérico"},0),1)=1,IF(7=1,"1 mL/L",IF(7=2,"2 mL/L",IF(7=3,"2 mL/L",IF(7=4,"3 mL/L",IF(7=5,"4 mL/L",IF(7=6,"4 mL/L",IF(7=7,"4 mL/L",IF(7=8,"4 mL/L","")))))))),IF(IFERROR(MATCH('🌱 Configuração'!$H$12,{"BioBizz","Remo Nutrients","General Organics","SuperSoil","Genérico"},0),1)=2,IF(7=1,"1.3 mL/L",IF(7=2,"1.5 mL/L",IF(7=3,"1.8 mL/L",IF(7=4,"2.1 mL/L",IF(7=5,"2.1 mL/L",IF(7=6,"2.1 mL/L",IF(7=7,"2.1 mL/L",IF(7=8,"2.1 mL/L","")))))))),IF(IFERROR(MATCH('🌱 Configuração'!$H$12,{"BioBizz","Remo Nutrients","General Organics","SuperSoil","Genérico"},0),1)=3,IF(7=1,"1.3 mL/L",IF(7=2,"2.6 mL/L",IF(7=3,"2.6 mL/L",IF(7=4,"2.6 mL/L",IF(7=5,"2.6 mL/L",IF(7=6,"2.6 mL/L",IF(7=7,"1.3 mL/L",IF(7=8,"1.3 mL/L","")))))))),IF(IFERROR(MATCH('🌱 Configuração'!$H$12,{"BioBizz","Remo Nutrients","General Organics","SuperSoil","Genérico"},0),1)=4,IF(7=1,"2L/planta",IF(7=2,"10g/vaso",IF(7=3,"—",IF(7=4,"2L/planta",IF(7=5,"5g/L solo",IF(7=6,"—",IF(7=7,"10g/vaso",IF(7=8,"2L/planta","")))))))),IF(7=1,"—",IF(7=2,"—",IF(7=3,"—",IF(7=4,"—",IF(7=5,"—",IF(7=6,"—",IF(7=7,"—",IF(7=8,"—","")))))))))))))))</f>
        <v/>
      </c>
      <c r="F20" s="14" t="str">
        <f t="array" ref="F20">IF('🌱 Configuração'!$C$56="","",IF(7&lt;1,"",IF(7&gt;'🌱 Configuração'!$H$7,"",IF(IFERROR(MATCH('🌱 Configuração'!$H$12,{"BioBizz","Remo Nutrients","General Organics","SuperSoil","Genérico"},0),1)=1,IF(7=1,"Fish·Mix",IF(7=2,"Fish·Mix",IF(7=3,"Fish·Mix",IF(7=4,"Fish·Mix",IF(7=5,"Fish·Mix",IF(7=6,"—",IF(7=7,"Bio·Bloom",IF(7=8,"Bio·Bloom","")))))))),IF(IFERROR(MATCH('🌱 Configuração'!$H$12,{"BioBizz","Remo Nutrients","General Organics","SuperSoil","Genérico"},0),1)=2,IF(7=1,"Grow",IF(7=2,"Grow",IF(7=3,"Grow",IF(7=4,"Grow",IF(7=5,"Grow",IF(7=6,"Grow",IF(7=7,"Grow",IF(7=8,"Grow","")))))))),IF(IFERROR(MATCH('🌱 Configuração'!$H$12,{"BioBizz","Remo Nutrients","General Organics","SuperSoil","Genérico"},0),1)=3,IF(7=1,"BioRoot",IF(7=2,"BioRoot",IF(7=3,"BioRoot",IF(7=4,"BioRoot",IF(7=5,"CaMg+",IF(7=6,"BioThrive B",IF(7=7,"BioThrive B",IF(7=8,"BioThrive B","")))))))),IF(IFERROR(MATCH('🌱 Configuração'!$H$12,{"BioBizz","Remo Nutrients","General Organics","SuperSoil","Genérico"},0),1)=4,IF(7=1,"—",IF(7=2,"Cobertura: farinha de osso",IF(7=3,"—",IF(7=4,"—",IF(7=5,"Cobertura: cinzas de madeira",IF(7=6,"—",IF(7=7,"Cobertura: guano de morcego",IF(7=8,"—","")))))))),IF(7=1,"—",IF(7=2,"—",IF(7=3,"—",IF(7=4,"—",IF(7=5,"—",IF(7=6,"—",IF(7=7,"—",IF(7=8,"—","")))))))))))))))</f>
        <v/>
      </c>
      <c r="G20" s="15" t="str">
        <f t="array" ref="G20">IF('🌱 Configuração'!$C$56="","",IF(7&lt;1,"",IF(7&gt;'🌱 Configuração'!$H$7,"",IF(IFERROR(MATCH('🌱 Configuração'!$H$12,{"BioBizz","Remo Nutrients","General Organics","SuperSoil","Genérico"},0),1)=1,IF(7=1,"1 mL/L",IF(7=2,"2 mL/L",IF(7=3,"2 mL/L",IF(7=4,"3 mL/L",IF(7=5,"3 mL/L",IF(7=6,"—",IF(7=7,"1 mL/L",IF(7=8,"2 mL/L","")))))))),IF(IFERROR(MATCH('🌱 Configuração'!$H$12,{"BioBizz","Remo Nutrients","General Organics","SuperSoil","Genérico"},0),1)=2,IF(7=1,"1.3 mL/L",IF(7=2,"1.5 mL/L",IF(7=3,"1.8 mL/L",IF(7=4,"2.1 mL/L",IF(7=5,"2.1 mL/L",IF(7=6,"2.1 mL/L",IF(7=7,"1.0 mL/L",IF(7=8,"0.5 mL/L","")))))))),IF(IFERROR(MATCH('🌱 Configuração'!$H$12,{"BioBizz","Remo Nutrients","General Organics","SuperSoil","Genérico"},0),1)=3,IF(7=1,"2.6 mL/L",IF(7=2,"2.6 mL/L",IF(7=3,"2.6 mL/L",IF(7=4,"1.3 mL/L",IF(7=5,"1.3 mL/L",IF(7=6,"1.3 mL/L",IF(7=7,"2.6 mL/L",IF(7=8,"2.6 mL/L","")))))))),IF(IFERROR(MATCH('🌱 Configuração'!$H$12,{"BioBizz","Remo Nutrients","General Organics","SuperSoil","Genérico"},0),1)=4,IF(7=1,"—",IF(7=2,"10g/vaso",IF(7=3,"—",IF(7=4,"—",IF(7=5,"3g/L",IF(7=6,"—",IF(7=7,"5g/L",IF(7=8,"—","")))))))),IF(7=1,"—",IF(7=2,"—",IF(7=3,"—",IF(7=4,"—",IF(7=5,"—",IF(7=6,"—",IF(7=7,"—",IF(7=8,"—","")))))))))))))))</f>
        <v/>
      </c>
      <c r="H20" s="14" t="str">
        <f t="array" ref="H20">IF('🌱 Configuração'!$C$56="","",IF(7&lt;1,"",IF(7&gt;'🌱 Configuração'!$H$7,"",IF(IFERROR(MATCH('🌱 Configuração'!$H$12,{"BioBizz","Remo Nutrients","General Organics","SuperSoil","Genérico"},0),1)=1,IF(7=1,"—",IF(7=2,"—",IF(7=3,"—",IF(7=4,"—",IF(7=5,"—",IF(7=6,"—",IF(7=7,"—",IF(7=8,"—","")))))))),IF(IFERROR(MATCH('🌱 Configuração'!$H$12,{"BioBizz","Remo Nutrients","General Organics","SuperSoil","Genérico"},0),1)=2,IF(7=1,"—",IF(7=2,"—",IF(7=3,"—",IF(7=4,"—",IF(7=5,"—",IF(7=6,"Bloom",IF(7=7,"Bloom",IF(7=8,"Bloom","")))))))),IF(IFERROR(MATCH('🌱 Configuração'!$H$12,{"BioBizz","Remo Nutrients","General Organics","SuperSoil","Genérico"},0),1)=3,IF(7=1,"CaMg+",IF(7=2,"CaMg+",IF(7=3,"CaMg+",IF(7=4,"CaMg+",IF(7=5,"—",IF(7=6,"CaMg+",IF(7=7,"CaMg+",IF(7=8,"CaMg+","")))))))),IF(IFERROR(MATCH('🌱 Configuração'!$H$12,{"BioBizz","Remo Nutrients","General Organics","SuperSoil","Genérico"},0),1)=4,IF(7=1,"—",IF(7=2,"—",IF(7=3,"—",IF(7=4,"—",IF(7=5,"—",IF(7=6,"—",IF(7=7,"—",IF(7=8,"—","")))))))),IF(7=1,"—",IF(7=2,"—",IF(7=3,"—",IF(7=4,"—",IF(7=5,"—",IF(7=6,"—",IF(7=7,"—",IF(7=8,"—","")))))))))))))))</f>
        <v/>
      </c>
      <c r="I20" s="15" t="str">
        <f t="array" ref="I20">IF('🌱 Configuração'!$C$56="","",IF(7&lt;1,"",IF(7&gt;'🌱 Configuração'!$H$7,"",IF(IFERROR(MATCH('🌱 Configuração'!$H$12,{"BioBizz","Remo Nutrients","General Organics","SuperSoil","Genérico"},0),1)=1,IF(7=1,"—",IF(7=2,"—",IF(7=3,"—",IF(7=4,"—",IF(7=5,"—",IF(7=6,"—",IF(7=7,"—",IF(7=8,"—","")))))))),IF(IFERROR(MATCH('🌱 Configuração'!$H$12,{"BioBizz","Remo Nutrients","General Organics","SuperSoil","Genérico"},0),1)=2,IF(7=1,"—",IF(7=2,"—",IF(7=3,"—",IF(7=4,"—",IF(7=5,"—",IF(7=6,"1.0 mL/L",IF(7=7,"2.1 mL/L",IF(7=8,"2.1 mL/L","")))))))),IF(IFERROR(MATCH('🌱 Configuração'!$H$12,{"BioBizz","Remo Nutrients","General Organics","SuperSoil","Genérico"},0),1)=3,IF(7=1,"1.3 mL/L",IF(7=2,"1.3 mL/L",IF(7=3,"1.3 mL/L",IF(7=4,"1.3 mL/L",IF(7=5,"—",IF(7=6,"1.3 mL/L",IF(7=7,"1.3 mL/L",IF(7=8,"1.3 mL/L","")))))))),IF(IFERROR(MATCH('🌱 Configuração'!$H$12,{"BioBizz","Remo Nutrients","General Organics","SuperSoil","Genérico"},0),1)=4,IF(7=1,"—",IF(7=2,"—",IF(7=3,"—",IF(7=4,"—",IF(7=5,"—",IF(7=6,"—",IF(7=7,"—",IF(7=8,"—","")))))))),IF(7=1,"—",IF(7=2,"—",IF(7=3,"—",IF(7=4,"—",IF(7=5,"—",IF(7=6,"—",IF(7=7,"—",IF(7=8,"—","")))))))))))))))</f>
        <v/>
      </c>
      <c r="J20" s="14" t="str">
        <f t="array" ref="J20">IF('🌱 Configuração'!$C$56="","",IF(7&lt;1,"",IF(7&gt;'🌱 Configuração'!$H$7,"",IF(IFERROR(MATCH('🌱 Configuração'!$H$12,{"BioBizz","Remo Nutrients","General Organics","SuperSoil","Genérico"},0),1)=1,IF(7=1,"Alg·A·Mic 1mL",IF(7=2,"—",IF(7=3,"Alg·A·Mic 1mL",IF(7=4,"—",IF(7=5,"Alg·A·Mic 1mL",IF(7=6,"—",IF(7=7,"—",IF(7=8,"—","")))))))),IF(IFERROR(MATCH('🌱 Configuração'!$H$12,{"BioBizz","Remo Nutrients","General Organics","SuperSoil","Genérico"},0),1)=2,IF(7=1,"Magnifical 0.5",IF(7=2,"Magnifical 0.5",IF(7=3,"Magnifical 1.0",IF(7=4,"Magnifical 1.0",IF(7=5,"Magnifical 1.0",IF(7=6,"Magnifical 1.0",IF(7=7,"—",IF(7=8,"—","")))))))),IF(IFERROR(MATCH('🌱 Configuração'!$H$12,{"BioBizz","Remo Nutrients","General Organics","SuperSoil","Genérico"},0),1)=3,IF(7=1,"BioWeed 0.7",IF(7=2,"BioWeed 0.7",IF(7=3,"—",IF(7=4,"—",IF(7=5,"—",IF(7=6,"—",IF(7=7,"—",IF(7=8,"—","")))))))),IF(IFERROR(MATCH('🌱 Configuração'!$H$12,{"BioBizz","Remo Nutrients","General Organics","SuperSoil","Genérico"},0),1)=4,IF(7=1,"Vermicomposto",IF(7=2,"—",IF(7=3,"—",IF(7=4,"—",IF(7=5,"—",IF(7=6,"Microrganismos",IF(7=7,"—",IF(7=8,"—","")))))))),IF(7=1,"—",IF(7=2,"—",IF(7=3,"—",IF(7=4,"—",IF(7=5,"—",IF(7=6,"—",IF(7=7,"—",IF(7=8,"—","")))))))))))))))</f>
        <v/>
      </c>
      <c r="K20" s="16" t="str">
        <f t="array" ref="K20">IF('🌱 Configuração'!$C$56="","",IF(7&lt;1,"",IF(7&gt;'🌱 Configuração'!$H$7,"",IF(IFERROR(MATCH('🌱 Configuração'!$H$12,{"BioBizz","Remo Nutrients","General Organics","SuperSoil","Genérico"},0),1)=1,IF(7=1,"6.2–6.5",IF(7=2,"6.2–6.5",IF(7=3,"6.2–6.5",IF(7=4,"6.2–6.5",IF(7=5,"6.2–6.5",IF(7=6,"6.2–6.5",IF(7=7,"6.2–6.5",IF(7=8,"6.2–6.5","")))))))),IF(IFERROR(MATCH('🌱 Configuração'!$H$12,{"BioBizz","Remo Nutrients","General Organics","SuperSoil","Genérico"},0),1)=2,IF(7=1,"6.0–6.3",IF(7=2,"6.0–6.3",IF(7=3,"6.0–6.3",IF(7=4,"6.0–6.3",IF(7=5,"6.0–6.3",IF(7=6,"6.0–6.3",IF(7=7,"6.0–6.3",IF(7=8,"6.0–6.3","")))))))),IF(IFERROR(MATCH('🌱 Configuração'!$H$12,{"BioBizz","Remo Nutrients","General Organics","SuperSoil","Genérico"},0),1)=3,IF(7=1,"6.2–7.0",IF(7=2,"6.2–7.0",IF(7=3,"6.2–7.0",IF(7=4,"6.2–7.0",IF(7=5,"6.2–7.0",IF(7=6,"6.2–7.0",IF(7=7,"6.2–7.0",IF(7=8,"6.2–7.0","")))))))),IF(IFERROR(MATCH('🌱 Configuração'!$H$12,{"BioBizz","Remo Nutrients","General Organics","SuperSoil","Genérico"},0),1)=4,IF(7=1,"auto",IF(7=2,"auto",IF(7=3,"auto",IF(7=4,"auto",IF(7=5,"auto",IF(7=6,"auto",IF(7=7,"auto",IF(7=8,"auto","")))))))),IF(7=1,"—",IF(7=2,"—",IF(7=3,"—",IF(7=4,"—",IF(7=5,"—",IF(7=6,"—",IF(7=7,"—",IF(7=8,"—","")))))))))))))))</f>
        <v/>
      </c>
      <c r="L20" s="17" t="str">
        <f t="array" ref="L20">IF('🌱 Configuração'!$C$56="","",IF(7&lt;1,"",IF(7&gt;'🌱 Configuração'!$H$7,"",IF(IFERROR(MATCH('🌱 Configuração'!$H$12,{"BioBizz","Remo Nutrients","General Organics","SuperSoil","Genérico"},0),1)=1,IF(7=1,"0.8",IF(7=2,"1.0",IF(7=3,"1.2",IF(7=4,"1.4",IF(7=5,"1.5",IF(7=6,"1.4",IF(7=7,"1.4",IF(7=8,"1.4","")))))))),IF(IFERROR(MATCH('🌱 Configuração'!$H$12,{"BioBizz","Remo Nutrients","General Organics","SuperSoil","Genérico"},0),1)=2,IF(7=1,"0.8",IF(7=2,"1.0",IF(7=3,"1.2",IF(7=4,"1.4",IF(7=5,"1.5",IF(7=6,"1.5",IF(7=7,"1.4",IF(7=8,"1.4","")))))))),IF(IFERROR(MATCH('🌱 Configuração'!$H$12,{"BioBizz","Remo Nutrients","General Organics","SuperSoil","Genérico"},0),1)=3,IF(7=1,"N/A",IF(7=2,"N/A",IF(7=3,"N/A",IF(7=4,"N/A",IF(7=5,"N/A",IF(7=6,"N/A",IF(7=7,"N/A",IF(7=8,"N/A","")))))))),IF(IFERROR(MATCH('🌱 Configuração'!$H$12,{"BioBizz","Remo Nutrients","General Organics","SuperSoil","Genérico"},0),1)=4,IF(7=1,"auto",IF(7=2,"auto",IF(7=3,"auto",IF(7=4,"auto",IF(7=5,"auto",IF(7=6,"auto",IF(7=7,"auto",IF(7=8,"auto","")))))))),IF(7=1,"—",IF(7=2,"—",IF(7=3,"—",IF(7=4,"—",IF(7=5,"—",IF(7=6,"—",IF(7=7,"—",IF(7=8,"—","")))))))))))))))</f>
        <v/>
      </c>
      <c r="M20" s="14" t="str">
        <f t="array" ref="M20">IF('🌱 Configuração'!$C$56="","",IF(7&lt;1,"",IF(7&gt;'🌱 Configuração'!$H$7,"",IF(IFERROR(MATCH('🌱 Configuração'!$H$12,{"BioBizz","Remo Nutrients","General Organics","SuperSoil","Genérico"},0),1)=1,IF(7=1,"Fish·Mix em veg = mais N orgânico",IF(7=2,"Aumentar progressivamente",IF(7=3,"Foliar: Fish·Mix + Alg·A·Mic 1mL/L",IF(7=4,"LST / estrutura vegetativa",IF(7=5,"Pré-floração — reduzir Fish·Mix",IF(7=6,"Substituir Fish·Mix por Bio·Grow antes da flora",IF(7=7,"Semana de transição — introduzir Bloom",IF(7=8,"Semana extra de vega","")))))))),IF(IFERROR(MATCH('🌱 Configuração'!$H$12,{"BioBizz","Remo Nutrients","General Organics","SuperSoil","Genérico"},0),1)=2,IF(7=1,"Micro+Grow = base Remo para vega",IF(7=2,"Aumentar conforme tabela oficial",IF(7=3,"Semana 3 da tabela Remo",IF(7=4,"Semana 4 da tabela Remo — pico vega",IF(7=5,"Manter se continuar vega",IF(7=6,"Introduzir Bloom — transição",IF(7=7,"Reduzir Grow, aumentar Bloom",IF(7=8,"Semana extra de vega","")))))))),IF(IFERROR(MATCH('🌱 Configuração'!$H$12,{"BioBizz","Remo Nutrients","General Organics","SuperSoil","Genérico"},0),1)=3,IF(7=1,"GO não requer EC — pH auto-regula",IF(7=2,"Sem necessidade de ajuste pH em solo",IF(7=3,"Semana 3 veg GO",IF(7=4,"Reduzir BioRoot gradualmente",IF(7=5,"Manter Grow puro na vega",IF(7=6,"Semana transição — introduzir Bloom",IF(7=7,"Transição flora — reduzir Grow",IF(7=8,"Semana extra de vega GO","")))))))),IF(IFERROR(MATCH('🌱 Configuração'!$H$12,{"BioBizz","Remo Nutrients","General Organics","SuperSoil","Genérico"},0),1)=4,IF(7=1,"SuperSoil já contém todos os nutrientes",IF(7=2,"Torta de mamona = N lento | Osso = P",IF(7=3,"Mel de cana alimenta fungos e bactérias",IF(7=4,"Observar vigor — solo vivo trabalha",IF(7=5,"Alga = micro. | Cinzas = K e Ca",IF(7=6,"Pré-flora — ativar P e K no solo",IF(7=7,"Guano P alto = preparo para flora",IF(7=8,"Semana extra de vega SuperSoil","")))))))),IF(7=1,"Personalize suas doses",IF(7=2,"Personalize suas doses",IF(7=3,"Personalize suas doses",IF(7=4,"Personalize suas doses",IF(7=5,"Personalize suas doses",IF(7=6,"Personalize suas doses",IF(7=7,"Personalize suas doses",IF(7=8,"Personalize suas doses","")))))))))))))))</f>
        <v/>
      </c>
      <c r="N20" s="1"/>
    </row>
    <row r="21" spans="1:14" ht="21.75" customHeight="1">
      <c r="A21" s="1"/>
      <c r="B21" s="21" t="str">
        <f>IF(8&lt;='🌱 Configuração'!$H$7,"S8","—")</f>
        <v>—</v>
      </c>
      <c r="C21" s="22" t="str">
        <f>IF(8&lt;='🌱 Configuração'!$H$7,'🌱 Configuração'!$C$56+49,"")</f>
        <v/>
      </c>
      <c r="D21" s="23" t="str">
        <f t="array" ref="D21">IF('🌱 Configuração'!$C$56="","",IF(8&lt;1,"",IF(8&gt;'🌱 Configuração'!$H$7,"",IF(IFERROR(MATCH('🌱 Configuração'!$H$12,{"BioBizz","Remo Nutrients","General Organics","SuperSoil","Genérico"},0),1)=1,IF(8=1,"Bio·Grow",IF(8=2,"Bio·Grow",IF(8=3,"Bio·Grow",IF(8=4,"Bio·Grow",IF(8=5,"Bio·Grow",IF(8=6,"Bio·Grow",IF(8=7,"Bio·Grow",IF(8=8,"Bio·Grow","")))))))),IF(IFERROR(MATCH('🌱 Configuração'!$H$12,{"BioBizz","Remo Nutrients","General Organics","SuperSoil","Genérico"},0),1)=2,IF(8=1,"Micro",IF(8=2,"Micro",IF(8=3,"Micro",IF(8=4,"Micro",IF(8=5,"Micro",IF(8=6,"Micro",IF(8=7,"Micro",IF(8=8,"Micro","")))))))),IF(IFERROR(MATCH('🌱 Configuração'!$H$12,{"BioBizz","Remo Nutrients","General Organics","SuperSoil","Genérico"},0),1)=3,IF(8=1,"BioThrive G",IF(8=2,"BioThrive G",IF(8=3,"BioThrive G",IF(8=4,"BioThrive G",IF(8=5,"BioThrive G",IF(8=6,"BioThrive G",IF(8=7,"BioThrive G",IF(8=8,"BioThrive G","")))))))),IF(IFERROR(MATCH('🌱 Configuração'!$H$12,{"BioBizz","Remo Nutrients","General Organics","SuperSoil","Genérico"},0),1)=4,IF(8=1,"Chá de compostagem",IF(8=2,"Cobertura: torta de mamona",IF(8=3,"Molasses 2 mL/L",IF(8=4,"Chá de compostagem",IF(8=5,"Cobertura: farinha de alga",IF(8=6,"Molasses 2 mL/L",IF(8=7,"Cobertura: farinha de osso",IF(8=8,"Chá de compostagem","")))))))),IF(8=1,"← Preencha",IF(8=2,"← Preencha",IF(8=3,"← Preencha",IF(8=4,"← Preencha",IF(8=5,"← Preencha",IF(8=6,"← Preencha",IF(8=7,"← Preencha",IF(8=8,"← Preencha","")))))))))))))))</f>
        <v/>
      </c>
      <c r="E21" s="24" t="str">
        <f t="array" ref="E21">IF('🌱 Configuração'!$C$56="","",IF(8&lt;1,"",IF(8&gt;'🌱 Configuração'!$H$7,"",IF(IFERROR(MATCH('🌱 Configuração'!$H$12,{"BioBizz","Remo Nutrients","General Organics","SuperSoil","Genérico"},0),1)=1,IF(8=1,"1 mL/L",IF(8=2,"2 mL/L",IF(8=3,"2 mL/L",IF(8=4,"3 mL/L",IF(8=5,"4 mL/L",IF(8=6,"4 mL/L",IF(8=7,"4 mL/L",IF(8=8,"4 mL/L","")))))))),IF(IFERROR(MATCH('🌱 Configuração'!$H$12,{"BioBizz","Remo Nutrients","General Organics","SuperSoil","Genérico"},0),1)=2,IF(8=1,"1.3 mL/L",IF(8=2,"1.5 mL/L",IF(8=3,"1.8 mL/L",IF(8=4,"2.1 mL/L",IF(8=5,"2.1 mL/L",IF(8=6,"2.1 mL/L",IF(8=7,"2.1 mL/L",IF(8=8,"2.1 mL/L","")))))))),IF(IFERROR(MATCH('🌱 Configuração'!$H$12,{"BioBizz","Remo Nutrients","General Organics","SuperSoil","Genérico"},0),1)=3,IF(8=1,"1.3 mL/L",IF(8=2,"2.6 mL/L",IF(8=3,"2.6 mL/L",IF(8=4,"2.6 mL/L",IF(8=5,"2.6 mL/L",IF(8=6,"2.6 mL/L",IF(8=7,"1.3 mL/L",IF(8=8,"1.3 mL/L","")))))))),IF(IFERROR(MATCH('🌱 Configuração'!$H$12,{"BioBizz","Remo Nutrients","General Organics","SuperSoil","Genérico"},0),1)=4,IF(8=1,"2L/planta",IF(8=2,"10g/vaso",IF(8=3,"—",IF(8=4,"2L/planta",IF(8=5,"5g/L solo",IF(8=6,"—",IF(8=7,"10g/vaso",IF(8=8,"2L/planta","")))))))),IF(8=1,"—",IF(8=2,"—",IF(8=3,"—",IF(8=4,"—",IF(8=5,"—",IF(8=6,"—",IF(8=7,"—",IF(8=8,"—","")))))))))))))))</f>
        <v/>
      </c>
      <c r="F21" s="23" t="str">
        <f t="array" ref="F21">IF('🌱 Configuração'!$C$56="","",IF(8&lt;1,"",IF(8&gt;'🌱 Configuração'!$H$7,"",IF(IFERROR(MATCH('🌱 Configuração'!$H$12,{"BioBizz","Remo Nutrients","General Organics","SuperSoil","Genérico"},0),1)=1,IF(8=1,"Fish·Mix",IF(8=2,"Fish·Mix",IF(8=3,"Fish·Mix",IF(8=4,"Fish·Mix",IF(8=5,"Fish·Mix",IF(8=6,"—",IF(8=7,"Bio·Bloom",IF(8=8,"Bio·Bloom","")))))))),IF(IFERROR(MATCH('🌱 Configuração'!$H$12,{"BioBizz","Remo Nutrients","General Organics","SuperSoil","Genérico"},0),1)=2,IF(8=1,"Grow",IF(8=2,"Grow",IF(8=3,"Grow",IF(8=4,"Grow",IF(8=5,"Grow",IF(8=6,"Grow",IF(8=7,"Grow",IF(8=8,"Grow","")))))))),IF(IFERROR(MATCH('🌱 Configuração'!$H$12,{"BioBizz","Remo Nutrients","General Organics","SuperSoil","Genérico"},0),1)=3,IF(8=1,"BioRoot",IF(8=2,"BioRoot",IF(8=3,"BioRoot",IF(8=4,"BioRoot",IF(8=5,"CaMg+",IF(8=6,"BioThrive B",IF(8=7,"BioThrive B",IF(8=8,"BioThrive B","")))))))),IF(IFERROR(MATCH('🌱 Configuração'!$H$12,{"BioBizz","Remo Nutrients","General Organics","SuperSoil","Genérico"},0),1)=4,IF(8=1,"—",IF(8=2,"Cobertura: farinha de osso",IF(8=3,"—",IF(8=4,"—",IF(8=5,"Cobertura: cinzas de madeira",IF(8=6,"—",IF(8=7,"Cobertura: guano de morcego",IF(8=8,"—","")))))))),IF(8=1,"—",IF(8=2,"—",IF(8=3,"—",IF(8=4,"—",IF(8=5,"—",IF(8=6,"—",IF(8=7,"—",IF(8=8,"—","")))))))))))))))</f>
        <v/>
      </c>
      <c r="G21" s="24" t="str">
        <f t="array" ref="G21">IF('🌱 Configuração'!$C$56="","",IF(8&lt;1,"",IF(8&gt;'🌱 Configuração'!$H$7,"",IF(IFERROR(MATCH('🌱 Configuração'!$H$12,{"BioBizz","Remo Nutrients","General Organics","SuperSoil","Genérico"},0),1)=1,IF(8=1,"1 mL/L",IF(8=2,"2 mL/L",IF(8=3,"2 mL/L",IF(8=4,"3 mL/L",IF(8=5,"3 mL/L",IF(8=6,"—",IF(8=7,"1 mL/L",IF(8=8,"2 mL/L","")))))))),IF(IFERROR(MATCH('🌱 Configuração'!$H$12,{"BioBizz","Remo Nutrients","General Organics","SuperSoil","Genérico"},0),1)=2,IF(8=1,"1.3 mL/L",IF(8=2,"1.5 mL/L",IF(8=3,"1.8 mL/L",IF(8=4,"2.1 mL/L",IF(8=5,"2.1 mL/L",IF(8=6,"2.1 mL/L",IF(8=7,"1.0 mL/L",IF(8=8,"0.5 mL/L","")))))))),IF(IFERROR(MATCH('🌱 Configuração'!$H$12,{"BioBizz","Remo Nutrients","General Organics","SuperSoil","Genérico"},0),1)=3,IF(8=1,"2.6 mL/L",IF(8=2,"2.6 mL/L",IF(8=3,"2.6 mL/L",IF(8=4,"1.3 mL/L",IF(8=5,"1.3 mL/L",IF(8=6,"1.3 mL/L",IF(8=7,"2.6 mL/L",IF(8=8,"2.6 mL/L","")))))))),IF(IFERROR(MATCH('🌱 Configuração'!$H$12,{"BioBizz","Remo Nutrients","General Organics","SuperSoil","Genérico"},0),1)=4,IF(8=1,"—",IF(8=2,"10g/vaso",IF(8=3,"—",IF(8=4,"—",IF(8=5,"3g/L",IF(8=6,"—",IF(8=7,"5g/L",IF(8=8,"—","")))))))),IF(8=1,"—",IF(8=2,"—",IF(8=3,"—",IF(8=4,"—",IF(8=5,"—",IF(8=6,"—",IF(8=7,"—",IF(8=8,"—","")))))))))))))))</f>
        <v/>
      </c>
      <c r="H21" s="23" t="str">
        <f t="array" ref="H21">IF('🌱 Configuração'!$C$56="","",IF(8&lt;1,"",IF(8&gt;'🌱 Configuração'!$H$7,"",IF(IFERROR(MATCH('🌱 Configuração'!$H$12,{"BioBizz","Remo Nutrients","General Organics","SuperSoil","Genérico"},0),1)=1,IF(8=1,"—",IF(8=2,"—",IF(8=3,"—",IF(8=4,"—",IF(8=5,"—",IF(8=6,"—",IF(8=7,"—",IF(8=8,"—","")))))))),IF(IFERROR(MATCH('🌱 Configuração'!$H$12,{"BioBizz","Remo Nutrients","General Organics","SuperSoil","Genérico"},0),1)=2,IF(8=1,"—",IF(8=2,"—",IF(8=3,"—",IF(8=4,"—",IF(8=5,"—",IF(8=6,"Bloom",IF(8=7,"Bloom",IF(8=8,"Bloom","")))))))),IF(IFERROR(MATCH('🌱 Configuração'!$H$12,{"BioBizz","Remo Nutrients","General Organics","SuperSoil","Genérico"},0),1)=3,IF(8=1,"CaMg+",IF(8=2,"CaMg+",IF(8=3,"CaMg+",IF(8=4,"CaMg+",IF(8=5,"—",IF(8=6,"CaMg+",IF(8=7,"CaMg+",IF(8=8,"CaMg+","")))))))),IF(IFERROR(MATCH('🌱 Configuração'!$H$12,{"BioBizz","Remo Nutrients","General Organics","SuperSoil","Genérico"},0),1)=4,IF(8=1,"—",IF(8=2,"—",IF(8=3,"—",IF(8=4,"—",IF(8=5,"—",IF(8=6,"—",IF(8=7,"—",IF(8=8,"—","")))))))),IF(8=1,"—",IF(8=2,"—",IF(8=3,"—",IF(8=4,"—",IF(8=5,"—",IF(8=6,"—",IF(8=7,"—",IF(8=8,"—","")))))))))))))))</f>
        <v/>
      </c>
      <c r="I21" s="24" t="str">
        <f t="array" ref="I21">IF('🌱 Configuração'!$C$56="","",IF(8&lt;1,"",IF(8&gt;'🌱 Configuração'!$H$7,"",IF(IFERROR(MATCH('🌱 Configuração'!$H$12,{"BioBizz","Remo Nutrients","General Organics","SuperSoil","Genérico"},0),1)=1,IF(8=1,"—",IF(8=2,"—",IF(8=3,"—",IF(8=4,"—",IF(8=5,"—",IF(8=6,"—",IF(8=7,"—",IF(8=8,"—","")))))))),IF(IFERROR(MATCH('🌱 Configuração'!$H$12,{"BioBizz","Remo Nutrients","General Organics","SuperSoil","Genérico"},0),1)=2,IF(8=1,"—",IF(8=2,"—",IF(8=3,"—",IF(8=4,"—",IF(8=5,"—",IF(8=6,"1.0 mL/L",IF(8=7,"2.1 mL/L",IF(8=8,"2.1 mL/L","")))))))),IF(IFERROR(MATCH('🌱 Configuração'!$H$12,{"BioBizz","Remo Nutrients","General Organics","SuperSoil","Genérico"},0),1)=3,IF(8=1,"1.3 mL/L",IF(8=2,"1.3 mL/L",IF(8=3,"1.3 mL/L",IF(8=4,"1.3 mL/L",IF(8=5,"—",IF(8=6,"1.3 mL/L",IF(8=7,"1.3 mL/L",IF(8=8,"1.3 mL/L","")))))))),IF(IFERROR(MATCH('🌱 Configuração'!$H$12,{"BioBizz","Remo Nutrients","General Organics","SuperSoil","Genérico"},0),1)=4,IF(8=1,"—",IF(8=2,"—",IF(8=3,"—",IF(8=4,"—",IF(8=5,"—",IF(8=6,"—",IF(8=7,"—",IF(8=8,"—","")))))))),IF(8=1,"—",IF(8=2,"—",IF(8=3,"—",IF(8=4,"—",IF(8=5,"—",IF(8=6,"—",IF(8=7,"—",IF(8=8,"—","")))))))))))))))</f>
        <v/>
      </c>
      <c r="J21" s="23" t="str">
        <f t="array" ref="J21">IF('🌱 Configuração'!$C$56="","",IF(8&lt;1,"",IF(8&gt;'🌱 Configuração'!$H$7,"",IF(IFERROR(MATCH('🌱 Configuração'!$H$12,{"BioBizz","Remo Nutrients","General Organics","SuperSoil","Genérico"},0),1)=1,IF(8=1,"Alg·A·Mic 1mL",IF(8=2,"—",IF(8=3,"Alg·A·Mic 1mL",IF(8=4,"—",IF(8=5,"Alg·A·Mic 1mL",IF(8=6,"—",IF(8=7,"—",IF(8=8,"—","")))))))),IF(IFERROR(MATCH('🌱 Configuração'!$H$12,{"BioBizz","Remo Nutrients","General Organics","SuperSoil","Genérico"},0),1)=2,IF(8=1,"Magnifical 0.5",IF(8=2,"Magnifical 0.5",IF(8=3,"Magnifical 1.0",IF(8=4,"Magnifical 1.0",IF(8=5,"Magnifical 1.0",IF(8=6,"Magnifical 1.0",IF(8=7,"—",IF(8=8,"—","")))))))),IF(IFERROR(MATCH('🌱 Configuração'!$H$12,{"BioBizz","Remo Nutrients","General Organics","SuperSoil","Genérico"},0),1)=3,IF(8=1,"BioWeed 0.7",IF(8=2,"BioWeed 0.7",IF(8=3,"—",IF(8=4,"—",IF(8=5,"—",IF(8=6,"—",IF(8=7,"—",IF(8=8,"—","")))))))),IF(IFERROR(MATCH('🌱 Configuração'!$H$12,{"BioBizz","Remo Nutrients","General Organics","SuperSoil","Genérico"},0),1)=4,IF(8=1,"Vermicomposto",IF(8=2,"—",IF(8=3,"—",IF(8=4,"—",IF(8=5,"—",IF(8=6,"Microrganismos",IF(8=7,"—",IF(8=8,"—","")))))))),IF(8=1,"—",IF(8=2,"—",IF(8=3,"—",IF(8=4,"—",IF(8=5,"—",IF(8=6,"—",IF(8=7,"—",IF(8=8,"—","")))))))))))))))</f>
        <v/>
      </c>
      <c r="K21" s="16" t="str">
        <f t="array" ref="K21">IF('🌱 Configuração'!$C$56="","",IF(8&lt;1,"",IF(8&gt;'🌱 Configuração'!$H$7,"",IF(IFERROR(MATCH('🌱 Configuração'!$H$12,{"BioBizz","Remo Nutrients","General Organics","SuperSoil","Genérico"},0),1)=1,IF(8=1,"6.2–6.5",IF(8=2,"6.2–6.5",IF(8=3,"6.2–6.5",IF(8=4,"6.2–6.5",IF(8=5,"6.2–6.5",IF(8=6,"6.2–6.5",IF(8=7,"6.2–6.5",IF(8=8,"6.2–6.5","")))))))),IF(IFERROR(MATCH('🌱 Configuração'!$H$12,{"BioBizz","Remo Nutrients","General Organics","SuperSoil","Genérico"},0),1)=2,IF(8=1,"6.0–6.3",IF(8=2,"6.0–6.3",IF(8=3,"6.0–6.3",IF(8=4,"6.0–6.3",IF(8=5,"6.0–6.3",IF(8=6,"6.0–6.3",IF(8=7,"6.0–6.3",IF(8=8,"6.0–6.3","")))))))),IF(IFERROR(MATCH('🌱 Configuração'!$H$12,{"BioBizz","Remo Nutrients","General Organics","SuperSoil","Genérico"},0),1)=3,IF(8=1,"6.2–7.0",IF(8=2,"6.2–7.0",IF(8=3,"6.2–7.0",IF(8=4,"6.2–7.0",IF(8=5,"6.2–7.0",IF(8=6,"6.2–7.0",IF(8=7,"6.2–7.0",IF(8=8,"6.2–7.0","")))))))),IF(IFERROR(MATCH('🌱 Configuração'!$H$12,{"BioBizz","Remo Nutrients","General Organics","SuperSoil","Genérico"},0),1)=4,IF(8=1,"auto",IF(8=2,"auto",IF(8=3,"auto",IF(8=4,"auto",IF(8=5,"auto",IF(8=6,"auto",IF(8=7,"auto",IF(8=8,"auto","")))))))),IF(8=1,"—",IF(8=2,"—",IF(8=3,"—",IF(8=4,"—",IF(8=5,"—",IF(8=6,"—",IF(8=7,"—",IF(8=8,"—","")))))))))))))))</f>
        <v/>
      </c>
      <c r="L21" s="17" t="str">
        <f t="array" ref="L21">IF('🌱 Configuração'!$C$56="","",IF(8&lt;1,"",IF(8&gt;'🌱 Configuração'!$H$7,"",IF(IFERROR(MATCH('🌱 Configuração'!$H$12,{"BioBizz","Remo Nutrients","General Organics","SuperSoil","Genérico"},0),1)=1,IF(8=1,"0.8",IF(8=2,"1.0",IF(8=3,"1.2",IF(8=4,"1.4",IF(8=5,"1.5",IF(8=6,"1.4",IF(8=7,"1.4",IF(8=8,"1.4","")))))))),IF(IFERROR(MATCH('🌱 Configuração'!$H$12,{"BioBizz","Remo Nutrients","General Organics","SuperSoil","Genérico"},0),1)=2,IF(8=1,"0.8",IF(8=2,"1.0",IF(8=3,"1.2",IF(8=4,"1.4",IF(8=5,"1.5",IF(8=6,"1.5",IF(8=7,"1.4",IF(8=8,"1.4","")))))))),IF(IFERROR(MATCH('🌱 Configuração'!$H$12,{"BioBizz","Remo Nutrients","General Organics","SuperSoil","Genérico"},0),1)=3,IF(8=1,"N/A",IF(8=2,"N/A",IF(8=3,"N/A",IF(8=4,"N/A",IF(8=5,"N/A",IF(8=6,"N/A",IF(8=7,"N/A",IF(8=8,"N/A","")))))))),IF(IFERROR(MATCH('🌱 Configuração'!$H$12,{"BioBizz","Remo Nutrients","General Organics","SuperSoil","Genérico"},0),1)=4,IF(8=1,"auto",IF(8=2,"auto",IF(8=3,"auto",IF(8=4,"auto",IF(8=5,"auto",IF(8=6,"auto",IF(8=7,"auto",IF(8=8,"auto","")))))))),IF(8=1,"—",IF(8=2,"—",IF(8=3,"—",IF(8=4,"—",IF(8=5,"—",IF(8=6,"—",IF(8=7,"—",IF(8=8,"—","")))))))))))))))</f>
        <v/>
      </c>
      <c r="M21" s="23" t="str">
        <f t="array" ref="M21">IF('🌱 Configuração'!$C$56="","",IF(8&lt;1,"",IF(8&gt;'🌱 Configuração'!$H$7,"",IF(IFERROR(MATCH('🌱 Configuração'!$H$12,{"BioBizz","Remo Nutrients","General Organics","SuperSoil","Genérico"},0),1)=1,IF(8=1,"Fish·Mix em veg = mais N orgânico",IF(8=2,"Aumentar progressivamente",IF(8=3,"Foliar: Fish·Mix + Alg·A·Mic 1mL/L",IF(8=4,"LST / estrutura vegetativa",IF(8=5,"Pré-floração — reduzir Fish·Mix",IF(8=6,"Substituir Fish·Mix por Bio·Grow antes da flora",IF(8=7,"Semana de transição — introduzir Bloom",IF(8=8,"Semana extra de vega","")))))))),IF(IFERROR(MATCH('🌱 Configuração'!$H$12,{"BioBizz","Remo Nutrients","General Organics","SuperSoil","Genérico"},0),1)=2,IF(8=1,"Micro+Grow = base Remo para vega",IF(8=2,"Aumentar conforme tabela oficial",IF(8=3,"Semana 3 da tabela Remo",IF(8=4,"Semana 4 da tabela Remo — pico vega",IF(8=5,"Manter se continuar vega",IF(8=6,"Introduzir Bloom — transição",IF(8=7,"Reduzir Grow, aumentar Bloom",IF(8=8,"Semana extra de vega","")))))))),IF(IFERROR(MATCH('🌱 Configuração'!$H$12,{"BioBizz","Remo Nutrients","General Organics","SuperSoil","Genérico"},0),1)=3,IF(8=1,"GO não requer EC — pH auto-regula",IF(8=2,"Sem necessidade de ajuste pH em solo",IF(8=3,"Semana 3 veg GO",IF(8=4,"Reduzir BioRoot gradualmente",IF(8=5,"Manter Grow puro na vega",IF(8=6,"Semana transição — introduzir Bloom",IF(8=7,"Transição flora — reduzir Grow",IF(8=8,"Semana extra de vega GO","")))))))),IF(IFERROR(MATCH('🌱 Configuração'!$H$12,{"BioBizz","Remo Nutrients","General Organics","SuperSoil","Genérico"},0),1)=4,IF(8=1,"SuperSoil já contém todos os nutrientes",IF(8=2,"Torta de mamona = N lento | Osso = P",IF(8=3,"Mel de cana alimenta fungos e bactérias",IF(8=4,"Observar vigor — solo vivo trabalha",IF(8=5,"Alga = micro. | Cinzas = K e Ca",IF(8=6,"Pré-flora — ativar P e K no solo",IF(8=7,"Guano P alto = preparo para flora",IF(8=8,"Semana extra de vega SuperSoil","")))))))),IF(8=1,"Personalize suas doses",IF(8=2,"Personalize suas doses",IF(8=3,"Personalize suas doses",IF(8=4,"Personalize suas doses",IF(8=5,"Personalize suas doses",IF(8=6,"Personalize suas doses",IF(8=7,"Personalize suas doses",IF(8=8,"Personalize suas doses","")))))))))))))))</f>
        <v/>
      </c>
      <c r="N21" s="1"/>
    </row>
    <row r="22" spans="1:14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7.75" customHeight="1">
      <c r="A23" s="1"/>
      <c r="B23" s="103" t="s">
        <v>38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8"/>
      <c r="N23" s="1"/>
    </row>
    <row r="24" spans="1:14" ht="24" customHeight="1">
      <c r="A24" s="1"/>
      <c r="B24" s="11" t="s">
        <v>45</v>
      </c>
      <c r="C24" s="11" t="s">
        <v>46</v>
      </c>
      <c r="D24" s="11" t="s">
        <v>47</v>
      </c>
      <c r="E24" s="11" t="s">
        <v>48</v>
      </c>
      <c r="F24" s="11" t="s">
        <v>49</v>
      </c>
      <c r="G24" s="11" t="s">
        <v>50</v>
      </c>
      <c r="H24" s="11" t="s">
        <v>51</v>
      </c>
      <c r="I24" s="11" t="s">
        <v>52</v>
      </c>
      <c r="J24" s="11" t="s">
        <v>53</v>
      </c>
      <c r="K24" s="11" t="s">
        <v>54</v>
      </c>
      <c r="L24" s="11" t="s">
        <v>55</v>
      </c>
      <c r="M24" s="11" t="s">
        <v>56</v>
      </c>
      <c r="N24" s="1"/>
    </row>
    <row r="25" spans="1:14" ht="21.75" customHeight="1">
      <c r="A25" s="1"/>
      <c r="B25" s="25" t="str">
        <f>IF(1&lt;='🌱 Configuração'!$H$8,"S1","—")</f>
        <v>S1</v>
      </c>
      <c r="C25" s="13">
        <f>IF(1&lt;='🌱 Configuração'!$H$8,'🌱 Configuração'!$D$56+0,"")</f>
        <v>56</v>
      </c>
      <c r="D25" s="14" t="str">
        <f t="array" ref="D25">IF('🌱 Configuração'!$D$56="","",IF(1&lt;1,"",IF(1&gt;'🌱 Configuração'!$H$8,"",IF(IFERROR(MATCH('🌱 Configuração'!$H$12,{"BioBizz","Remo Nutrients","General Organics","SuperSoil","Genérico"},0),1)=1,IF(1=1,"Bio·Grow",IF(1=2,"Bio·Grow",IF(1=3,"Bio·Grow",IF(1=4,"—",IF(1=5,"—",IF(1=6,"—",IF(1=7,"—",IF(1=8,"—",IF(1=9,"—",IF(1=10,"—",IF(1=11,"—",IF(1=12,"—","")))))))))))),IF(IFERROR(MATCH('🌱 Configuração'!$H$12,{"BioBizz","Remo Nutrients","General Organics","SuperSoil","Genérico"},0),1)=2,IF(1=1,"Micro",IF(1=2,"Micro",IF(1=3,"Micro",IF(1=4,"Micro",IF(1=5,"Micro",IF(1=6,"Micro",IF(1=7,"Micro",IF(1=8,"Micro",IF(1=9,"Micro",IF(1=10,"Micro",IF(1=11,"Micro",IF(1=12,"Micro","")))))))))))),IF(IFERROR(MATCH('🌱 Configuração'!$H$12,{"BioBizz","Remo Nutrients","General Organics","SuperSoil","Genérico"},0),1)=3,IF(1=1,"BioThrive B",IF(1=2,"BioThrive B",IF(1=3,"BioThrive B",IF(1=4,"BioThrive B",IF(1=5,"BioThrive B",IF(1=6,"BioThrive B",IF(1=7,"BioThrive B",IF(1=8,"BioThrive B",IF(1=9,"BioThrive B",IF(1=10,"BioThrive B",IF(1=11,"BioThrive B",IF(1=12,"BioThrive B","")))))))))))),IF(IFERROR(MATCH('🌱 Configuração'!$H$12,{"BioBizz","Remo Nutrients","General Organics","SuperSoil","Genérico"},0),1)=4,IF(1=1,"Cobertura: guano de morcego",IF(1=2,"Chá de compostagem",IF(1=3,"Cobertura: farinha de alga",IF(1=4,"Cobertura: guano de morcego",IF(1=5,"Molasses 2 mL/L",IF(1=6,"Cobertura: farinha de alga",IF(1=7,"Chá de compostagem",IF(1=8,"Molasses 2 mL/L",IF(1=9,"Água pura",IF(1=10,"Água pura",IF(1=11,"Água pura",IF(1=12,"Água pura","")))))))))))),IF(1=1,"← Preencha",IF(1=2,"← Preencha",IF(1=3,"← Preencha",IF(1=4,"← Preencha",IF(1=5,"← Preencha",IF(1=6,"← Preencha",IF(1=7,"← Preencha",IF(1=8,"← Preencha",IF(1=9,"← Preencha",IF(1=10,"← Preencha",IF(1=11,"← Preencha",IF(1=12,"← Preencha","")))))))))))))))))))</f>
        <v>Bio·Grow</v>
      </c>
      <c r="E25" s="15" t="str">
        <f t="array" ref="E25">IF('🌱 Configuração'!$D$56="","",IF(1&lt;1,"",IF(1&gt;'🌱 Configuração'!$H$8,"",IF(IFERROR(MATCH('🌱 Configuração'!$H$12,{"BioBizz","Remo Nutrients","General Organics","SuperSoil","Genérico"},0),1)=1,IF(1=1,"1 mL/L",IF(1=2,"1 mL/L",IF(1=3,"1 mL/L",IF(1=4,"—",IF(1=5,"—",IF(1=6,"—",IF(1=7,"—",IF(1=8,"—",IF(1=9,"—",IF(1=10,"—",IF(1=11,"—",IF(1=12,"—","")))))))))))),IF(IFERROR(MATCH('🌱 Configuração'!$H$12,{"BioBizz","Remo Nutrients","General Organics","SuperSoil","Genérico"},0),1)=2,IF(1=1,"2.1 mL/L",IF(1=2,"2.1 mL/L",IF(1=3,"2.1 mL/L",IF(1=4,"2.1 mL/L",IF(1=5,"2.6 mL/L",IF(1=6,"2.6 mL/L",IF(1=7,"2.6 mL/L",IF(1=8,"2.1 mL/L",IF(1=9,"2.1 mL/L",IF(1=10,"2.1 mL/L",IF(1=11,"1.5 mL/L",IF(1=12,"1.0 mL/L","")))))))))))),IF(IFERROR(MATCH('🌱 Configuração'!$H$12,{"BioBizz","Remo Nutrients","General Organics","SuperSoil","Genérico"},0),1)=3,IF(1=1,"2.6 mL/L",IF(1=2,"2.6 mL/L",IF(1=3,"2.6 mL/L",IF(1=4,"2.6 mL/L",IF(1=5,"2.6 mL/L",IF(1=6,"2.6 mL/L",IF(1=7,"2.6 mL/L",IF(1=8,"2.6 mL/L",IF(1=9,"1.3 mL/L",IF(1=10,"1.3 mL/L",IF(1=11,"1.3 mL/L",IF(1=12,"1.3 mL/L","")))))))))))),IF(IFERROR(MATCH('🌱 Configuração'!$H$12,{"BioBizz","Remo Nutrients","General Organics","SuperSoil","Genérico"},0),1)=4,IF(1=1,"5g/L solo",IF(1=2,"2L/planta",IF(1=3,"5g/L solo",IF(1=4,"5g/L solo",IF(1=5,"—",IF(1=6,"5g/L solo",IF(1=7,"2L/planta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F25" s="14" t="str">
        <f t="array" ref="F25">IF('🌱 Configuração'!$D$56="","",IF(1&lt;1,"",IF(1&gt;'🌱 Configuração'!$H$8,"",IF(IFERROR(MATCH('🌱 Configuração'!$H$12,{"BioBizz","Remo Nutrients","General Organics","SuperSoil","Genérico"},0),1)=1,IF(1=1,"Bio·Bloom",IF(1=2,"Bio·Bloom",IF(1=3,"Bio·Bloom",IF(1=4,"Bio·Bloom",IF(1=5,"Bio·Bloom",IF(1=6,"Bio·Bloom",IF(1=7,"Bio·Bloom",IF(1=8,"Bio·Bloom",IF(1=9,"Bio·Bloom",IF(1=10,"Bio·Bloom",IF(1=11,"Bio·Bloom",IF(1=12,"Bio·Bloom","")))))))))))),IF(IFERROR(MATCH('🌱 Configuração'!$H$12,{"BioBizz","Remo Nutrients","General Organics","SuperSoil","Genérico"},0),1)=2,IF(1=1,"Bloom",IF(1=2,"Bloom",IF(1=3,"Bloom",IF(1=4,"Bloom",IF(1=5,"Bloom",IF(1=6,"Bloom",IF(1=7,"Bloom",IF(1=8,"Bloom",IF(1=9,"Bloom",IF(1=10,"Bloom",IF(1=11,"Bloom",IF(1=12,"Bloom","")))))))))))),IF(IFERROR(MATCH('🌱 Configuração'!$H$12,{"BioBizz","Remo Nutrients","General Organics","SuperSoil","Genérico"},0),1)=3,IF(1=1,"BioBud",IF(1=2,"BioBud",IF(1=3,"BioBud",IF(1=4,"BioBud",IF(1=5,"BioBud",IF(1=6,"BioBud",IF(1=7,"BioBud",IF(1=8,"—",IF(1=9,"—",IF(1=10,"—",IF(1=11,"—",IF(1=12,"—","")))))))))))),IF(IFERROR(MATCH('🌱 Configuração'!$H$12,{"BioBizz","Remo Nutrients","General Organics","SuperSoil","Genérico"},0),1)=4,IF(1=1,"Molasses 2 mL/L",IF(1=2,"—",IF(1=3,"—",IF(1=4,"Cobertura: fosfato natural",IF(1=5,"—",IF(1=6,"Molasses 2 mL/L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Bio·Bloom</v>
      </c>
      <c r="G25" s="15" t="str">
        <f t="array" ref="G25">IF('🌱 Configuração'!$D$56="","",IF(1&lt;1,"",IF(1&gt;'🌱 Configuração'!$H$8,"",IF(IFERROR(MATCH('🌱 Configuração'!$H$12,{"BioBizz","Remo Nutrients","General Organics","SuperSoil","Genérico"},0),1)=1,IF(1=1,"1 mL/L",IF(1=2,"2 mL/L",IF(1=3,"3 mL/L",IF(1=4,"3 mL/L",IF(1=5,"4 mL/L",IF(1=6,"4 mL/L",IF(1=7,"4 mL/L",IF(1=8,"4 mL/L",IF(1=9,"4 mL/L",IF(1=10,"4 mL/L",IF(1=11,"4 mL/L",IF(1=12,"2 mL/L","")))))))))))),IF(IFERROR(MATCH('🌱 Configuração'!$H$12,{"BioBizz","Remo Nutrients","General Organics","SuperSoil","Genérico"},0),1)=2,IF(1=1,"2.1 mL/L",IF(1=2,"2.1 mL/L",IF(1=3,"2.1 mL/L",IF(1=4,"2.1 mL/L",IF(1=5,"2.6 mL/L",IF(1=6,"2.6 mL/L",IF(1=7,"2.6 mL/L",IF(1=8,"2.1 mL/L",IF(1=9,"2.1 mL/L",IF(1=10,"2.1 mL/L",IF(1=11,"1.5 mL/L",IF(1=12,"1.0 mL/L","")))))))))))),IF(IFERROR(MATCH('🌱 Configuração'!$H$12,{"BioBizz","Remo Nutrients","General Organics","SuperSoil","Genérico"},0),1)=3,IF(1=1,"0.7 mL/L",IF(1=2,"0.7 mL/L",IF(1=3,"0.7 mL/L",IF(1=4,"0.7 mL/L",IF(1=5,"0.7 mL/L",IF(1=6,"0.7 mL/L",IF(1=7,"0.7 mL/L",IF(1=8,"—",IF(1=9,"—",IF(1=10,"—",IF(1=11,"—",IF(1=12,"—","")))))))))))),IF(IFERROR(MATCH('🌱 Configuração'!$H$12,{"BioBizz","Remo Nutrients","General Organics","SuperSoil","Genérico"},0),1)=4,IF(1=1,"—",IF(1=2,"—",IF(1=3,"—",IF(1=4,"5g/L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H25" s="14" t="str">
        <f t="array" ref="H25">IF('🌱 Configuração'!$D$56="","",IF(1&lt;1,"",IF(1&gt;'🌱 Configuração'!$H$8,"",IF(IFERROR(MATCH('🌱 Configuração'!$H$12,{"BioBizz","Remo Nutrients","General Organics","SuperSoil","Genérico"},0),1)=1,IF(1=1,"Top·Max",IF(1=2,"Top·Max",IF(1=3,"Top·Max",IF(1=4,"Top·Max",IF(1=5,"Top·Max",IF(1=6,"Top·Max",IF(1=7,"Top·Max",IF(1=8,"Top·Max",IF(1=9,"Top·Max",IF(1=10,"Top·Max",IF(1=11,"Top·Max",IF(1=12,"Top·Max","")))))))))))),IF(IFERROR(MATCH('🌱 Configuração'!$H$12,{"BioBizz","Remo Nutrients","General Organics","SuperSoil","Genérico"},0),1)=2,IF(1=1,"—",IF(1=2,"—",IF(1=3,"—",IF(1=4,"Astroflower",IF(1=5,"Astroflower",IF(1=6,"Astroflower",IF(1=7,"Astroflower",IF(1=8,"—",IF(1=9,"—",IF(1=10,"—",IF(1=11,"—",IF(1=12,"—","")))))))))))),IF(IFERROR(MATCH('🌱 Configuração'!$H$12,{"BioBizz","Remo Nutrients","General Organics","SuperSoil","Genérico"},0),1)=3,IF(1=1,"CaMg+",IF(1=2,"CaMg+",IF(1=3,"CaMg+",IF(1=4,"CaMg+",IF(1=5,"CaMg+",IF(1=6,"CaMg+",IF(1=7,"—",IF(1=8,"—",IF(1=9,"—",IF(1=10,"—",IF(1=11,"—",IF(1=12,"—","")))))))))))),IF(IFERROR(MATCH('🌱 Configuração'!$H$12,{"BioBizz","Remo Nutrients","General Organics","SuperSoil","Genérico"},0),1)=4,IF(1=1,"—",IF(1=2,"—",IF(1=3,"—",IF(1=4,"—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Top·Max</v>
      </c>
      <c r="I25" s="15" t="str">
        <f t="array" ref="I25">IF('🌱 Configuração'!$D$56="","",IF(1&lt;1,"",IF(1&gt;'🌱 Configuração'!$H$8,"",IF(IFERROR(MATCH('🌱 Configuração'!$H$12,{"BioBizz","Remo Nutrients","General Organics","SuperSoil","Genérico"},0),1)=1,IF(1=1,"1 mL/L",IF(1=2,"1 mL/L",IF(1=3,"2 mL/L",IF(1=4,"2 mL/L",IF(1=5,"3 mL/L",IF(1=6,"3 mL/L",IF(1=7,"4 mL/L",IF(1=8,"4 mL/L",IF(1=9,"4 mL/L",IF(1=10,"4 mL/L",IF(1=11,"4 mL/L",IF(1=12,"2 mL/L","")))))))))))),IF(IFERROR(MATCH('🌱 Configuração'!$H$12,{"BioBizz","Remo Nutrients","General Organics","SuperSoil","Genérico"},0),1)=2,IF(1=1,"—",IF(1=2,"—",IF(1=3,"—",IF(1=4,"1.0 mL/L",IF(1=5,"2.0 mL/L",IF(1=6,"2.0 mL/L",IF(1=7,"1.0 mL/L",IF(1=8,"—",IF(1=9,"—",IF(1=10,"—",IF(1=11,"—",IF(1=12,"—","")))))))))))),IF(IFERROR(MATCH('🌱 Configuração'!$H$12,{"BioBizz","Remo Nutrients","General Organics","SuperSoil","Genérico"},0),1)=3,IF(1=1,"1.3 mL/L",IF(1=2,"1.3 mL/L",IF(1=3,"1.3 mL/L",IF(1=4,"1.3 mL/L",IF(1=5,"1.3 mL/L",IF(1=6,"0.7 mL/L",IF(1=7,"—",IF(1=8,"—",IF(1=9,"—",IF(1=10,"—",IF(1=11,"—",IF(1=12,"—","")))))))))))),IF(IFERROR(MATCH('🌱 Configuração'!$H$12,{"BioBizz","Remo Nutrients","General Organics","SuperSoil","Genérico"},0),1)=4,IF(1=1,"—",IF(1=2,"—",IF(1=3,"—",IF(1=4,"—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J25" s="14" t="str">
        <f t="array" ref="J25">IF('🌱 Configuração'!$D$56="","",IF(1&lt;1,"",IF(1&gt;'🌱 Configuração'!$H$8,"",IF(IFERROR(MATCH('🌱 Configuração'!$H$12,{"BioBizz","Remo Nutrients","General Organics","SuperSoil","Genérico"},0),1)=1,IF(1=1,"Alg·A·Mic 1mL",IF(1=2,"—",IF(1=3,"—",IF(1=4,"—",IF(1=5,"—",IF(1=6,"Alg·A·Mic 1mL",IF(1=7,"—",IF(1=8,"—",IF(1=9,"—",IF(1=10,"—",IF(1=11,"—",IF(1=12,"—","")))))))))))),IF(IFERROR(MATCH('🌱 Configuração'!$H$12,{"BioBizz","Remo Nutrients","General Organics","SuperSoil","Genérico"},0),1)=2,IF(1=1,"Magnifical 1.0",IF(1=2,"Magnifical 1.0",IF(1=3,"Magnifical 1.0",IF(1=4,"Magnifical 1.0",IF(1=5,"Kelp 1.0 mL",IF(1=6,"Kelp 1.0 mL",IF(1=7,"—",IF(1=8,"—",IF(1=9,"—",IF(1=10,"—",IF(1=11,"—",IF(1=12,"—","")))))))))))),IF(IFERROR(MATCH('🌱 Configuração'!$H$12,{"BioBizz","Remo Nutrients","General Organics","SuperSoil","Genérico"},0),1)=3,IF(1=1,"BioWeed 0.7",IF(1=2,"—",IF(1=3,"—",IF(1=4,"BioMarine 0.7",IF(1=5,"BioMarine 0.7",IF(1=6,"—",IF(1=7,"—",IF(1=8,"—",IF(1=9,"—",IF(1=10,"—",IF(1=11,"—",IF(1=12,"—","")))))))))))),IF(IFERROR(MATCH('🌱 Configuração'!$H$12,{"BioBizz","Remo Nutrients","General Organics","SuperSoil","Genérico"},0),1)=4,IF(1=1,"Chá",IF(1=2,"—",IF(1=3,"Molasses 2mL",IF(1=4,"—",IF(1=5,"Chá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Alg·A·Mic 1mL</v>
      </c>
      <c r="K25" s="16" t="str">
        <f t="array" ref="K25">IF('🌱 Configuração'!$D$56="","",IF(1&lt;1,"",IF(1&gt;'🌱 Configuração'!$H$8,"",IF(IFERROR(MATCH('🌱 Configuração'!$H$12,{"BioBizz","Remo Nutrients","General Organics","SuperSoil","Genérico"},0),1)=1,IF(1=1,"6.2–6.5",IF(1=2,"6.2–6.5",IF(1=3,"6.2–6.5",IF(1=4,"6.2–6.5",IF(1=5,"6.2–6.5",IF(1=6,"6.2–6.5",IF(1=7,"6.2–6.5",IF(1=8,"6.2–6.5",IF(1=9,"6.2–6.5",IF(1=10,"6.2–6.5",IF(1=11,"6.2–6.5",IF(1=12,"6.2–6.5","")))))))))))),IF(IFERROR(MATCH('🌱 Configuração'!$H$12,{"BioBizz","Remo Nutrients","General Organics","SuperSoil","Genérico"},0),1)=2,IF(1=1,"6.0–6.3",IF(1=2,"6.0–6.3",IF(1=3,"6.0–6.3",IF(1=4,"6.0–6.3",IF(1=5,"6.0–6.3",IF(1=6,"6.0–6.3",IF(1=7,"6.0–6.3",IF(1=8,"6.0–6.3",IF(1=9,"6.0–6.3",IF(1=10,"6.0–6.3",IF(1=11,"6.0–6.3",IF(1=12,"6.0–6.3","")))))))))))),IF(IFERROR(MATCH('🌱 Configuração'!$H$12,{"BioBizz","Remo Nutrients","General Organics","SuperSoil","Genérico"},0),1)=3,IF(1=1,"6.2–7.0",IF(1=2,"6.2–7.0",IF(1=3,"6.2–7.0",IF(1=4,"6.2–7.0",IF(1=5,"6.2–7.0",IF(1=6,"6.2–7.0",IF(1=7,"6.2–7.0",IF(1=8,"6.2–7.0",IF(1=9,"6.2–7.0",IF(1=10,"6.2–7.0",IF(1=11,"6.2–7.0",IF(1=12,"6.2–7.0","")))))))))))),IF(IFERROR(MATCH('🌱 Configuração'!$H$12,{"BioBizz","Remo Nutrients","General Organics","SuperSoil","Genérico"},0),1)=4,IF(1=1,"auto",IF(1=2,"auto",IF(1=3,"auto",IF(1=4,"auto",IF(1=5,"auto",IF(1=6,"auto",IF(1=7,"auto",IF(1=8,"auto",IF(1=9,"auto",IF(1=10,"auto",IF(1=11,"auto",IF(1=12,"auto","")))))))))))),IF(1=1,"—",IF(1=2,"—",IF(1=3,"—",IF(1=4,"—",IF(1=5,"—",IF(1=6,"—",IF(1=7,"—",IF(1=8,"—",IF(1=9,"—",IF(1=10,"—",IF(1=11,"—",IF(1=12,"—","")))))))))))))))))))</f>
        <v>6.2–6.5</v>
      </c>
      <c r="L25" s="17" t="str">
        <f t="array" ref="L25">IF('🌱 Configuração'!$D$56="","",IF(1&lt;1,"",IF(1&gt;'🌱 Configuração'!$H$8,"",IF(IFERROR(MATCH('🌱 Configuração'!$H$12,{"BioBizz","Remo Nutrients","General Organics","SuperSoil","Genérico"},0),1)=1,IF(1=1,"1.6",IF(1=2,"1.7",IF(1=3,"1.8",IF(1=4,"1.9",IF(1=5,"2.0",IF(1=6,"2.0",IF(1=7,"1.9",IF(1=8,"1.8",IF(1=9,"1.6",IF(1=10,"1.6",IF(1=11,"1.4",IF(1=12,"1.0","")))))))))))),IF(IFERROR(MATCH('🌱 Configuração'!$H$12,{"BioBizz","Remo Nutrients","General Organics","SuperSoil","Genérico"},0),1)=2,IF(1=1,"1.6",IF(1=2,"1.7",IF(1=3,"1.8",IF(1=4,"1.9",IF(1=5,"2.0",IF(1=6,"2.0",IF(1=7,"1.8",IF(1=8,"1.6",IF(1=9,"1.4",IF(1=10,"1.4",IF(1=11,"1.0",IF(1=12,"0.8","")))))))))))),IF(IFERROR(MATCH('🌱 Configuração'!$H$12,{"BioBizz","Remo Nutrients","General Organics","SuperSoil","Genérico"},0),1)=3,IF(1=1,"N/A",IF(1=2,"N/A",IF(1=3,"N/A",IF(1=4,"N/A",IF(1=5,"N/A",IF(1=6,"N/A",IF(1=7,"N/A",IF(1=8,"N/A",IF(1=9,"N/A",IF(1=10,"N/A",IF(1=11,"N/A",IF(1=12,"N/A","")))))))))))),IF(IFERROR(MATCH('🌱 Configuração'!$H$12,{"BioBizz","Remo Nutrients","General Organics","SuperSoil","Genérico"},0),1)=4,IF(1=1,"auto",IF(1=2,"auto",IF(1=3,"auto",IF(1=4,"auto",IF(1=5,"auto",IF(1=6,"auto",IF(1=7,"auto",IF(1=8,"auto",IF(1=9,"auto",IF(1=10,"auto",IF(1=11,"auto",IF(1=12,"auto","")))))))))))),IF(1=1,"—",IF(1=2,"—",IF(1=3,"—",IF(1=4,"—",IF(1=5,"—",IF(1=6,"—",IF(1=7,"—",IF(1=8,"—",IF(1=9,"—",IF(1=10,"—",IF(1=11,"—",IF(1=12,"—","")))))))))))))))))))</f>
        <v>1.6</v>
      </c>
      <c r="M25" s="14" t="str">
        <f t="array" ref="M25">IF('🌱 Configuração'!$D$56="","",IF(1&lt;1,"",IF(1&gt;'🌱 Configuração'!$H$8,"",IF(IFERROR(MATCH('🌱 Configuração'!$H$12,{"BioBizz","Remo Nutrients","General Organics","SuperSoil","Genérico"},0),1)=1,IF(1=1,"Manter Bio·Grow em S1–S3 flora",IF(1=2,"Formação de pistils",IF(1=3,"Início do enchimento",IF(1=4,"Parar Bio·Grow — fase de flora plena",IF(1=5,"Pico de floração",IF(1=6,"Enchimento máximo",IF(1=7,"Amadurecimento — manter bloom alto",IF(1=8,"Pré-flush — analisar tricomas",IF(1=9,"Semana extra (sativa)",IF(1=10,"Semana extra (sativa)",IF(1=11,"Reduzir — semana final",IF(1=12,"Último adubo antes flush","")))))))))))),IF(IFERROR(MATCH('🌱 Configuração'!$H$12,{"BioBizz","Remo Nutrients","General Organics","SuperSoil","Genérico"},0),1)=2,IF(1=1,"Apenas Micro+Bloom em floração Remo",IF(1=2,"Sem Grow a partir daqui",IF(1=3,"Tabela oficial: 2.1 mL/L S1–S4",IF(1=4,"Astroflower = estimulante floração",IF(1=5,"Tabela oficial: 2.6 mL/L S5–S7",IF(1=6,"Pico de floração Remo",IF(1=7,"Tabela oficial S7",IF(1=8,"Reduzir — semana final",IF(1=9,"Semana extra — sativa",IF(1=10,"Semana extra",IF(1=11,"Reduzir para flush",IF(1=12,"Último adubo","")))))))))))),IF(IFERROR(MATCH('🌱 Configuração'!$H$12,{"BioBizz","Remo Nutrients","General Organics","SuperSoil","Genérico"},0),1)=3,IF(1=1,"BioBud = estimulante flores GO",IF(1=2,"Early Flower GO",IF(1=3,"Mid Flower GO",IF(1=4,"BioMarine = peixe fermentado GO",IF(1=5,"Pico floração GO",IF(1=6,"Late Flower GO",IF(1=7,"Reduzir CaMg+ final",IF(1=8,"Late Flower GO — pré-flush",IF(1=9,"Semana extra — reduzir dose",IF(1=10,"Semana extra GO (sativa)",IF(1=11,"Semana extra GO",IF(1=12,"Último adubo GO","")))))))))))),IF(IFERROR(MATCH('🌱 Configuração'!$H$12,{"BioBizz","Remo Nutrients","General Organics","SuperSoil","Genérico"},0),1)=4,IF(1=1,"Guano P alto = floração forte",IF(1=2,"Solo vivo em pico — não interferir",IF(1=3,"Alga = K e micronutrientes florais",IF(1=4,"Fósforo natural = buds densos",IF(1=5,"Alimentar microbioma — enchimento",IF(1=6,"Semana de pico — micro + K",IF(1=7,"Reduzir intervenções — amadurecimento",IF(1=8,"Pré-flush SuperSoil",IF(1=9,"Parar coberturas — lavar suave",IF(1=10,"Semana extra (sativa)",IF(1=11,"Semana extra",IF(1=12,"Última semana — observar tricomas","")))))))))))),IF(1=1,"Personalize suas doses",IF(1=2,"Personalize suas doses",IF(1=3,"Personalize suas doses",IF(1=4,"Personalize suas doses",IF(1=5,"Personalize suas doses",IF(1=6,"Personalize suas doses",IF(1=7,"Personalize suas doses",IF(1=8,"Personalize suas doses",IF(1=9,"Personalize suas doses",IF(1=10,"Personalize suas doses",IF(1=11,"Personalize suas doses",IF(1=12,"Personalize suas doses","")))))))))))))))))))</f>
        <v>Manter Bio·Grow em S1–S3 flora</v>
      </c>
      <c r="N25" s="1"/>
    </row>
    <row r="26" spans="1:14" ht="21.75" customHeight="1">
      <c r="A26" s="1"/>
      <c r="B26" s="25" t="str">
        <f>IF(2&lt;='🌱 Configuração'!$H$8,"S2","—")</f>
        <v>S2</v>
      </c>
      <c r="C26" s="26">
        <f>IF(2&lt;='🌱 Configuração'!$H$8,'🌱 Configuração'!$D$56+7,"")</f>
        <v>63</v>
      </c>
      <c r="D26" s="27" t="str">
        <f t="array" ref="D26">IF('🌱 Configuração'!$D$56="","",IF(2&lt;1,"",IF(2&gt;'🌱 Configuração'!$H$8,"",IF(IFERROR(MATCH('🌱 Configuração'!$H$12,{"BioBizz","Remo Nutrients","General Organics","SuperSoil","Genérico"},0),1)=1,IF(2=1,"Bio·Grow",IF(2=2,"Bio·Grow",IF(2=3,"Bio·Grow",IF(2=4,"—",IF(2=5,"—",IF(2=6,"—",IF(2=7,"—",IF(2=8,"—",IF(2=9,"—",IF(2=10,"—",IF(2=11,"—",IF(2=12,"—","")))))))))))),IF(IFERROR(MATCH('🌱 Configuração'!$H$12,{"BioBizz","Remo Nutrients","General Organics","SuperSoil","Genérico"},0),1)=2,IF(2=1,"Micro",IF(2=2,"Micro",IF(2=3,"Micro",IF(2=4,"Micro",IF(2=5,"Micro",IF(2=6,"Micro",IF(2=7,"Micro",IF(2=8,"Micro",IF(2=9,"Micro",IF(2=10,"Micro",IF(2=11,"Micro",IF(2=12,"Micro","")))))))))))),IF(IFERROR(MATCH('🌱 Configuração'!$H$12,{"BioBizz","Remo Nutrients","General Organics","SuperSoil","Genérico"},0),1)=3,IF(2=1,"BioThrive B",IF(2=2,"BioThrive B",IF(2=3,"BioThrive B",IF(2=4,"BioThrive B",IF(2=5,"BioThrive B",IF(2=6,"BioThrive B",IF(2=7,"BioThrive B",IF(2=8,"BioThrive B",IF(2=9,"BioThrive B",IF(2=10,"BioThrive B",IF(2=11,"BioThrive B",IF(2=12,"BioThrive B","")))))))))))),IF(IFERROR(MATCH('🌱 Configuração'!$H$12,{"BioBizz","Remo Nutrients","General Organics","SuperSoil","Genérico"},0),1)=4,IF(2=1,"Cobertura: guano de morcego",IF(2=2,"Chá de compostagem",IF(2=3,"Cobertura: farinha de alga",IF(2=4,"Cobertura: guano de morcego",IF(2=5,"Molasses 2 mL/L",IF(2=6,"Cobertura: farinha de alga",IF(2=7,"Chá de compostagem",IF(2=8,"Molasses 2 mL/L",IF(2=9,"Água pura",IF(2=10,"Água pura",IF(2=11,"Água pura",IF(2=12,"Água pura","")))))))))))),IF(2=1,"← Preencha",IF(2=2,"← Preencha",IF(2=3,"← Preencha",IF(2=4,"← Preencha",IF(2=5,"← Preencha",IF(2=6,"← Preencha",IF(2=7,"← Preencha",IF(2=8,"← Preencha",IF(2=9,"← Preencha",IF(2=10,"← Preencha",IF(2=11,"← Preencha",IF(2=12,"← Preencha","")))))))))))))))))))</f>
        <v>Bio·Grow</v>
      </c>
      <c r="E26" s="28" t="str">
        <f t="array" ref="E26">IF('🌱 Configuração'!$D$56="","",IF(2&lt;1,"",IF(2&gt;'🌱 Configuração'!$H$8,"",IF(IFERROR(MATCH('🌱 Configuração'!$H$12,{"BioBizz","Remo Nutrients","General Organics","SuperSoil","Genérico"},0),1)=1,IF(2=1,"1 mL/L",IF(2=2,"1 mL/L",IF(2=3,"1 mL/L",IF(2=4,"—",IF(2=5,"—",IF(2=6,"—",IF(2=7,"—",IF(2=8,"—",IF(2=9,"—",IF(2=10,"—",IF(2=11,"—",IF(2=12,"—","")))))))))))),IF(IFERROR(MATCH('🌱 Configuração'!$H$12,{"BioBizz","Remo Nutrients","General Organics","SuperSoil","Genérico"},0),1)=2,IF(2=1,"2.1 mL/L",IF(2=2,"2.1 mL/L",IF(2=3,"2.1 mL/L",IF(2=4,"2.1 mL/L",IF(2=5,"2.6 mL/L",IF(2=6,"2.6 mL/L",IF(2=7,"2.6 mL/L",IF(2=8,"2.1 mL/L",IF(2=9,"2.1 mL/L",IF(2=10,"2.1 mL/L",IF(2=11,"1.5 mL/L",IF(2=12,"1.0 mL/L","")))))))))))),IF(IFERROR(MATCH('🌱 Configuração'!$H$12,{"BioBizz","Remo Nutrients","General Organics","SuperSoil","Genérico"},0),1)=3,IF(2=1,"2.6 mL/L",IF(2=2,"2.6 mL/L",IF(2=3,"2.6 mL/L",IF(2=4,"2.6 mL/L",IF(2=5,"2.6 mL/L",IF(2=6,"2.6 mL/L",IF(2=7,"2.6 mL/L",IF(2=8,"2.6 mL/L",IF(2=9,"1.3 mL/L",IF(2=10,"1.3 mL/L",IF(2=11,"1.3 mL/L",IF(2=12,"1.3 mL/L","")))))))))))),IF(IFERROR(MATCH('🌱 Configuração'!$H$12,{"BioBizz","Remo Nutrients","General Organics","SuperSoil","Genérico"},0),1)=4,IF(2=1,"5g/L solo",IF(2=2,"2L/planta",IF(2=3,"5g/L solo",IF(2=4,"5g/L solo",IF(2=5,"—",IF(2=6,"5g/L solo",IF(2=7,"2L/planta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1 mL/L</v>
      </c>
      <c r="F26" s="27" t="str">
        <f t="array" ref="F26">IF('🌱 Configuração'!$D$56="","",IF(2&lt;1,"",IF(2&gt;'🌱 Configuração'!$H$8,"",IF(IFERROR(MATCH('🌱 Configuração'!$H$12,{"BioBizz","Remo Nutrients","General Organics","SuperSoil","Genérico"},0),1)=1,IF(2=1,"Bio·Bloom",IF(2=2,"Bio·Bloom",IF(2=3,"Bio·Bloom",IF(2=4,"Bio·Bloom",IF(2=5,"Bio·Bloom",IF(2=6,"Bio·Bloom",IF(2=7,"Bio·Bloom",IF(2=8,"Bio·Bloom",IF(2=9,"Bio·Bloom",IF(2=10,"Bio·Bloom",IF(2=11,"Bio·Bloom",IF(2=12,"Bio·Bloom","")))))))))))),IF(IFERROR(MATCH('🌱 Configuração'!$H$12,{"BioBizz","Remo Nutrients","General Organics","SuperSoil","Genérico"},0),1)=2,IF(2=1,"Bloom",IF(2=2,"Bloom",IF(2=3,"Bloom",IF(2=4,"Bloom",IF(2=5,"Bloom",IF(2=6,"Bloom",IF(2=7,"Bloom",IF(2=8,"Bloom",IF(2=9,"Bloom",IF(2=10,"Bloom",IF(2=11,"Bloom",IF(2=12,"Bloom","")))))))))))),IF(IFERROR(MATCH('🌱 Configuração'!$H$12,{"BioBizz","Remo Nutrients","General Organics","SuperSoil","Genérico"},0),1)=3,IF(2=1,"BioBud",IF(2=2,"BioBud",IF(2=3,"BioBud",IF(2=4,"BioBud",IF(2=5,"BioBud",IF(2=6,"BioBud",IF(2=7,"BioBud",IF(2=8,"—",IF(2=9,"—",IF(2=10,"—",IF(2=11,"—",IF(2=12,"—","")))))))))))),IF(IFERROR(MATCH('🌱 Configuração'!$H$12,{"BioBizz","Remo Nutrients","General Organics","SuperSoil","Genérico"},0),1)=4,IF(2=1,"Molasses 2 mL/L",IF(2=2,"—",IF(2=3,"—",IF(2=4,"Cobertura: fosfato natural",IF(2=5,"—",IF(2=6,"Molasses 2 mL/L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Bio·Bloom</v>
      </c>
      <c r="G26" s="28" t="str">
        <f t="array" ref="G26">IF('🌱 Configuração'!$D$56="","",IF(2&lt;1,"",IF(2&gt;'🌱 Configuração'!$H$8,"",IF(IFERROR(MATCH('🌱 Configuração'!$H$12,{"BioBizz","Remo Nutrients","General Organics","SuperSoil","Genérico"},0),1)=1,IF(2=1,"1 mL/L",IF(2=2,"2 mL/L",IF(2=3,"3 mL/L",IF(2=4,"3 mL/L",IF(2=5,"4 mL/L",IF(2=6,"4 mL/L",IF(2=7,"4 mL/L",IF(2=8,"4 mL/L",IF(2=9,"4 mL/L",IF(2=10,"4 mL/L",IF(2=11,"4 mL/L",IF(2=12,"2 mL/L","")))))))))))),IF(IFERROR(MATCH('🌱 Configuração'!$H$12,{"BioBizz","Remo Nutrients","General Organics","SuperSoil","Genérico"},0),1)=2,IF(2=1,"2.1 mL/L",IF(2=2,"2.1 mL/L",IF(2=3,"2.1 mL/L",IF(2=4,"2.1 mL/L",IF(2=5,"2.6 mL/L",IF(2=6,"2.6 mL/L",IF(2=7,"2.6 mL/L",IF(2=8,"2.1 mL/L",IF(2=9,"2.1 mL/L",IF(2=10,"2.1 mL/L",IF(2=11,"1.5 mL/L",IF(2=12,"1.0 mL/L","")))))))))))),IF(IFERROR(MATCH('🌱 Configuração'!$H$12,{"BioBizz","Remo Nutrients","General Organics","SuperSoil","Genérico"},0),1)=3,IF(2=1,"0.7 mL/L",IF(2=2,"0.7 mL/L",IF(2=3,"0.7 mL/L",IF(2=4,"0.7 mL/L",IF(2=5,"0.7 mL/L",IF(2=6,"0.7 mL/L",IF(2=7,"0.7 mL/L",IF(2=8,"—",IF(2=9,"—",IF(2=10,"—",IF(2=11,"—",IF(2=12,"—","")))))))))))),IF(IFERROR(MATCH('🌱 Configuração'!$H$12,{"BioBizz","Remo Nutrients","General Organics","SuperSoil","Genérico"},0),1)=4,IF(2=1,"—",IF(2=2,"—",IF(2=3,"—",IF(2=4,"5g/L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2 mL/L</v>
      </c>
      <c r="H26" s="27" t="str">
        <f t="array" ref="H26">IF('🌱 Configuração'!$D$56="","",IF(2&lt;1,"",IF(2&gt;'🌱 Configuração'!$H$8,"",IF(IFERROR(MATCH('🌱 Configuração'!$H$12,{"BioBizz","Remo Nutrients","General Organics","SuperSoil","Genérico"},0),1)=1,IF(2=1,"Top·Max",IF(2=2,"Top·Max",IF(2=3,"Top·Max",IF(2=4,"Top·Max",IF(2=5,"Top·Max",IF(2=6,"Top·Max",IF(2=7,"Top·Max",IF(2=8,"Top·Max",IF(2=9,"Top·Max",IF(2=10,"Top·Max",IF(2=11,"Top·Max",IF(2=12,"Top·Max","")))))))))))),IF(IFERROR(MATCH('🌱 Configuração'!$H$12,{"BioBizz","Remo Nutrients","General Organics","SuperSoil","Genérico"},0),1)=2,IF(2=1,"—",IF(2=2,"—",IF(2=3,"—",IF(2=4,"Astroflower",IF(2=5,"Astroflower",IF(2=6,"Astroflower",IF(2=7,"Astroflower",IF(2=8,"—",IF(2=9,"—",IF(2=10,"—",IF(2=11,"—",IF(2=12,"—","")))))))))))),IF(IFERROR(MATCH('🌱 Configuração'!$H$12,{"BioBizz","Remo Nutrients","General Organics","SuperSoil","Genérico"},0),1)=3,IF(2=1,"CaMg+",IF(2=2,"CaMg+",IF(2=3,"CaMg+",IF(2=4,"CaMg+",IF(2=5,"CaMg+",IF(2=6,"CaMg+",IF(2=7,"—",IF(2=8,"—",IF(2=9,"—",IF(2=10,"—",IF(2=11,"—",IF(2=12,"—","")))))))))))),IF(IFERROR(MATCH('🌱 Configuração'!$H$12,{"BioBizz","Remo Nutrients","General Organics","SuperSoil","Genérico"},0),1)=4,IF(2=1,"—",IF(2=2,"—",IF(2=3,"—",IF(2=4,"—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Top·Max</v>
      </c>
      <c r="I26" s="28" t="str">
        <f t="array" ref="I26">IF('🌱 Configuração'!$D$56="","",IF(2&lt;1,"",IF(2&gt;'🌱 Configuração'!$H$8,"",IF(IFERROR(MATCH('🌱 Configuração'!$H$12,{"BioBizz","Remo Nutrients","General Organics","SuperSoil","Genérico"},0),1)=1,IF(2=1,"1 mL/L",IF(2=2,"1 mL/L",IF(2=3,"2 mL/L",IF(2=4,"2 mL/L",IF(2=5,"3 mL/L",IF(2=6,"3 mL/L",IF(2=7,"4 mL/L",IF(2=8,"4 mL/L",IF(2=9,"4 mL/L",IF(2=10,"4 mL/L",IF(2=11,"4 mL/L",IF(2=12,"2 mL/L","")))))))))))),IF(IFERROR(MATCH('🌱 Configuração'!$H$12,{"BioBizz","Remo Nutrients","General Organics","SuperSoil","Genérico"},0),1)=2,IF(2=1,"—",IF(2=2,"—",IF(2=3,"—",IF(2=4,"1.0 mL/L",IF(2=5,"2.0 mL/L",IF(2=6,"2.0 mL/L",IF(2=7,"1.0 mL/L",IF(2=8,"—",IF(2=9,"—",IF(2=10,"—",IF(2=11,"—",IF(2=12,"—","")))))))))))),IF(IFERROR(MATCH('🌱 Configuração'!$H$12,{"BioBizz","Remo Nutrients","General Organics","SuperSoil","Genérico"},0),1)=3,IF(2=1,"1.3 mL/L",IF(2=2,"1.3 mL/L",IF(2=3,"1.3 mL/L",IF(2=4,"1.3 mL/L",IF(2=5,"1.3 mL/L",IF(2=6,"0.7 mL/L",IF(2=7,"—",IF(2=8,"—",IF(2=9,"—",IF(2=10,"—",IF(2=11,"—",IF(2=12,"—","")))))))))))),IF(IFERROR(MATCH('🌱 Configuração'!$H$12,{"BioBizz","Remo Nutrients","General Organics","SuperSoil","Genérico"},0),1)=4,IF(2=1,"—",IF(2=2,"—",IF(2=3,"—",IF(2=4,"—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1 mL/L</v>
      </c>
      <c r="J26" s="27" t="str">
        <f t="array" ref="J26">IF('🌱 Configuração'!$D$56="","",IF(2&lt;1,"",IF(2&gt;'🌱 Configuração'!$H$8,"",IF(IFERROR(MATCH('🌱 Configuração'!$H$12,{"BioBizz","Remo Nutrients","General Organics","SuperSoil","Genérico"},0),1)=1,IF(2=1,"Alg·A·Mic 1mL",IF(2=2,"—",IF(2=3,"—",IF(2=4,"—",IF(2=5,"—",IF(2=6,"Alg·A·Mic 1mL",IF(2=7,"—",IF(2=8,"—",IF(2=9,"—",IF(2=10,"—",IF(2=11,"—",IF(2=12,"—","")))))))))))),IF(IFERROR(MATCH('🌱 Configuração'!$H$12,{"BioBizz","Remo Nutrients","General Organics","SuperSoil","Genérico"},0),1)=2,IF(2=1,"Magnifical 1.0",IF(2=2,"Magnifical 1.0",IF(2=3,"Magnifical 1.0",IF(2=4,"Magnifical 1.0",IF(2=5,"Kelp 1.0 mL",IF(2=6,"Kelp 1.0 mL",IF(2=7,"—",IF(2=8,"—",IF(2=9,"—",IF(2=10,"—",IF(2=11,"—",IF(2=12,"—","")))))))))))),IF(IFERROR(MATCH('🌱 Configuração'!$H$12,{"BioBizz","Remo Nutrients","General Organics","SuperSoil","Genérico"},0),1)=3,IF(2=1,"BioWeed 0.7",IF(2=2,"—",IF(2=3,"—",IF(2=4,"BioMarine 0.7",IF(2=5,"BioMarine 0.7",IF(2=6,"—",IF(2=7,"—",IF(2=8,"—",IF(2=9,"—",IF(2=10,"—",IF(2=11,"—",IF(2=12,"—","")))))))))))),IF(IFERROR(MATCH('🌱 Configuração'!$H$12,{"BioBizz","Remo Nutrients","General Organics","SuperSoil","Genérico"},0),1)=4,IF(2=1,"Chá",IF(2=2,"—",IF(2=3,"Molasses 2mL",IF(2=4,"—",IF(2=5,"Chá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—</v>
      </c>
      <c r="K26" s="16" t="str">
        <f t="array" ref="K26">IF('🌱 Configuração'!$D$56="","",IF(2&lt;1,"",IF(2&gt;'🌱 Configuração'!$H$8,"",IF(IFERROR(MATCH('🌱 Configuração'!$H$12,{"BioBizz","Remo Nutrients","General Organics","SuperSoil","Genérico"},0),1)=1,IF(2=1,"6.2–6.5",IF(2=2,"6.2–6.5",IF(2=3,"6.2–6.5",IF(2=4,"6.2–6.5",IF(2=5,"6.2–6.5",IF(2=6,"6.2–6.5",IF(2=7,"6.2–6.5",IF(2=8,"6.2–6.5",IF(2=9,"6.2–6.5",IF(2=10,"6.2–6.5",IF(2=11,"6.2–6.5",IF(2=12,"6.2–6.5","")))))))))))),IF(IFERROR(MATCH('🌱 Configuração'!$H$12,{"BioBizz","Remo Nutrients","General Organics","SuperSoil","Genérico"},0),1)=2,IF(2=1,"6.0–6.3",IF(2=2,"6.0–6.3",IF(2=3,"6.0–6.3",IF(2=4,"6.0–6.3",IF(2=5,"6.0–6.3",IF(2=6,"6.0–6.3",IF(2=7,"6.0–6.3",IF(2=8,"6.0–6.3",IF(2=9,"6.0–6.3",IF(2=10,"6.0–6.3",IF(2=11,"6.0–6.3",IF(2=12,"6.0–6.3","")))))))))))),IF(IFERROR(MATCH('🌱 Configuração'!$H$12,{"BioBizz","Remo Nutrients","General Organics","SuperSoil","Genérico"},0),1)=3,IF(2=1,"6.2–7.0",IF(2=2,"6.2–7.0",IF(2=3,"6.2–7.0",IF(2=4,"6.2–7.0",IF(2=5,"6.2–7.0",IF(2=6,"6.2–7.0",IF(2=7,"6.2–7.0",IF(2=8,"6.2–7.0",IF(2=9,"6.2–7.0",IF(2=10,"6.2–7.0",IF(2=11,"6.2–7.0",IF(2=12,"6.2–7.0","")))))))))))),IF(IFERROR(MATCH('🌱 Configuração'!$H$12,{"BioBizz","Remo Nutrients","General Organics","SuperSoil","Genérico"},0),1)=4,IF(2=1,"auto",IF(2=2,"auto",IF(2=3,"auto",IF(2=4,"auto",IF(2=5,"auto",IF(2=6,"auto",IF(2=7,"auto",IF(2=8,"auto",IF(2=9,"auto",IF(2=10,"auto",IF(2=11,"auto",IF(2=12,"auto","")))))))))))),IF(2=1,"—",IF(2=2,"—",IF(2=3,"—",IF(2=4,"—",IF(2=5,"—",IF(2=6,"—",IF(2=7,"—",IF(2=8,"—",IF(2=9,"—",IF(2=10,"—",IF(2=11,"—",IF(2=12,"—","")))))))))))))))))))</f>
        <v>6.2–6.5</v>
      </c>
      <c r="L26" s="17" t="str">
        <f t="array" ref="L26">IF('🌱 Configuração'!$D$56="","",IF(2&lt;1,"",IF(2&gt;'🌱 Configuração'!$H$8,"",IF(IFERROR(MATCH('🌱 Configuração'!$H$12,{"BioBizz","Remo Nutrients","General Organics","SuperSoil","Genérico"},0),1)=1,IF(2=1,"1.6",IF(2=2,"1.7",IF(2=3,"1.8",IF(2=4,"1.9",IF(2=5,"2.0",IF(2=6,"2.0",IF(2=7,"1.9",IF(2=8,"1.8",IF(2=9,"1.6",IF(2=10,"1.6",IF(2=11,"1.4",IF(2=12,"1.0","")))))))))))),IF(IFERROR(MATCH('🌱 Configuração'!$H$12,{"BioBizz","Remo Nutrients","General Organics","SuperSoil","Genérico"},0),1)=2,IF(2=1,"1.6",IF(2=2,"1.7",IF(2=3,"1.8",IF(2=4,"1.9",IF(2=5,"2.0",IF(2=6,"2.0",IF(2=7,"1.8",IF(2=8,"1.6",IF(2=9,"1.4",IF(2=10,"1.4",IF(2=11,"1.0",IF(2=12,"0.8","")))))))))))),IF(IFERROR(MATCH('🌱 Configuração'!$H$12,{"BioBizz","Remo Nutrients","General Organics","SuperSoil","Genérico"},0),1)=3,IF(2=1,"N/A",IF(2=2,"N/A",IF(2=3,"N/A",IF(2=4,"N/A",IF(2=5,"N/A",IF(2=6,"N/A",IF(2=7,"N/A",IF(2=8,"N/A",IF(2=9,"N/A",IF(2=10,"N/A",IF(2=11,"N/A",IF(2=12,"N/A","")))))))))))),IF(IFERROR(MATCH('🌱 Configuração'!$H$12,{"BioBizz","Remo Nutrients","General Organics","SuperSoil","Genérico"},0),1)=4,IF(2=1,"auto",IF(2=2,"auto",IF(2=3,"auto",IF(2=4,"auto",IF(2=5,"auto",IF(2=6,"auto",IF(2=7,"auto",IF(2=8,"auto",IF(2=9,"auto",IF(2=10,"auto",IF(2=11,"auto",IF(2=12,"auto","")))))))))))),IF(2=1,"—",IF(2=2,"—",IF(2=3,"—",IF(2=4,"—",IF(2=5,"—",IF(2=6,"—",IF(2=7,"—",IF(2=8,"—",IF(2=9,"—",IF(2=10,"—",IF(2=11,"—",IF(2=12,"—","")))))))))))))))))))</f>
        <v>1.7</v>
      </c>
      <c r="M26" s="27" t="str">
        <f t="array" ref="M26">IF('🌱 Configuração'!$D$56="","",IF(2&lt;1,"",IF(2&gt;'🌱 Configuração'!$H$8,"",IF(IFERROR(MATCH('🌱 Configuração'!$H$12,{"BioBizz","Remo Nutrients","General Organics","SuperSoil","Genérico"},0),1)=1,IF(2=1,"Manter Bio·Grow em S1–S3 flora",IF(2=2,"Formação de pistils",IF(2=3,"Início do enchimento",IF(2=4,"Parar Bio·Grow — fase de flora plena",IF(2=5,"Pico de floração",IF(2=6,"Enchimento máximo",IF(2=7,"Amadurecimento — manter bloom alto",IF(2=8,"Pré-flush — analisar tricomas",IF(2=9,"Semana extra (sativa)",IF(2=10,"Semana extra (sativa)",IF(2=11,"Reduzir — semana final",IF(2=12,"Último adubo antes flush","")))))))))))),IF(IFERROR(MATCH('🌱 Configuração'!$H$12,{"BioBizz","Remo Nutrients","General Organics","SuperSoil","Genérico"},0),1)=2,IF(2=1,"Apenas Micro+Bloom em floração Remo",IF(2=2,"Sem Grow a partir daqui",IF(2=3,"Tabela oficial: 2.1 mL/L S1–S4",IF(2=4,"Astroflower = estimulante floração",IF(2=5,"Tabela oficial: 2.6 mL/L S5–S7",IF(2=6,"Pico de floração Remo",IF(2=7,"Tabela oficial S7",IF(2=8,"Reduzir — semana final",IF(2=9,"Semana extra — sativa",IF(2=10,"Semana extra",IF(2=11,"Reduzir para flush",IF(2=12,"Último adubo","")))))))))))),IF(IFERROR(MATCH('🌱 Configuração'!$H$12,{"BioBizz","Remo Nutrients","General Organics","SuperSoil","Genérico"},0),1)=3,IF(2=1,"BioBud = estimulante flores GO",IF(2=2,"Early Flower GO",IF(2=3,"Mid Flower GO",IF(2=4,"BioMarine = peixe fermentado GO",IF(2=5,"Pico floração GO",IF(2=6,"Late Flower GO",IF(2=7,"Reduzir CaMg+ final",IF(2=8,"Late Flower GO — pré-flush",IF(2=9,"Semana extra — reduzir dose",IF(2=10,"Semana extra GO (sativa)",IF(2=11,"Semana extra GO",IF(2=12,"Último adubo GO","")))))))))))),IF(IFERROR(MATCH('🌱 Configuração'!$H$12,{"BioBizz","Remo Nutrients","General Organics","SuperSoil","Genérico"},0),1)=4,IF(2=1,"Guano P alto = floração forte",IF(2=2,"Solo vivo em pico — não interferir",IF(2=3,"Alga = K e micronutrientes florais",IF(2=4,"Fósforo natural = buds densos",IF(2=5,"Alimentar microbioma — enchimento",IF(2=6,"Semana de pico — micro + K",IF(2=7,"Reduzir intervenções — amadurecimento",IF(2=8,"Pré-flush SuperSoil",IF(2=9,"Parar coberturas — lavar suave",IF(2=10,"Semana extra (sativa)",IF(2=11,"Semana extra",IF(2=12,"Última semana — observar tricomas","")))))))))))),IF(2=1,"Personalize suas doses",IF(2=2,"Personalize suas doses",IF(2=3,"Personalize suas doses",IF(2=4,"Personalize suas doses",IF(2=5,"Personalize suas doses",IF(2=6,"Personalize suas doses",IF(2=7,"Personalize suas doses",IF(2=8,"Personalize suas doses",IF(2=9,"Personalize suas doses",IF(2=10,"Personalize suas doses",IF(2=11,"Personalize suas doses",IF(2=12,"Personalize suas doses","")))))))))))))))))))</f>
        <v>Formação de pistils</v>
      </c>
      <c r="N26" s="1"/>
    </row>
    <row r="27" spans="1:14" ht="21.75" customHeight="1">
      <c r="A27" s="1"/>
      <c r="B27" s="25" t="str">
        <f>IF(3&lt;='🌱 Configuração'!$H$8,"S3","—")</f>
        <v>S3</v>
      </c>
      <c r="C27" s="13">
        <f>IF(3&lt;='🌱 Configuração'!$H$8,'🌱 Configuração'!$D$56+14,"")</f>
        <v>70</v>
      </c>
      <c r="D27" s="14" t="str">
        <f t="array" ref="D27">IF('🌱 Configuração'!$D$56="","",IF(3&lt;1,"",IF(3&gt;'🌱 Configuração'!$H$8,"",IF(IFERROR(MATCH('🌱 Configuração'!$H$12,{"BioBizz","Remo Nutrients","General Organics","SuperSoil","Genérico"},0),1)=1,IF(3=1,"Bio·Grow",IF(3=2,"Bio·Grow",IF(3=3,"Bio·Grow",IF(3=4,"—",IF(3=5,"—",IF(3=6,"—",IF(3=7,"—",IF(3=8,"—",IF(3=9,"—",IF(3=10,"—",IF(3=11,"—",IF(3=12,"—","")))))))))))),IF(IFERROR(MATCH('🌱 Configuração'!$H$12,{"BioBizz","Remo Nutrients","General Organics","SuperSoil","Genérico"},0),1)=2,IF(3=1,"Micro",IF(3=2,"Micro",IF(3=3,"Micro",IF(3=4,"Micro",IF(3=5,"Micro",IF(3=6,"Micro",IF(3=7,"Micro",IF(3=8,"Micro",IF(3=9,"Micro",IF(3=10,"Micro",IF(3=11,"Micro",IF(3=12,"Micro","")))))))))))),IF(IFERROR(MATCH('🌱 Configuração'!$H$12,{"BioBizz","Remo Nutrients","General Organics","SuperSoil","Genérico"},0),1)=3,IF(3=1,"BioThrive B",IF(3=2,"BioThrive B",IF(3=3,"BioThrive B",IF(3=4,"BioThrive B",IF(3=5,"BioThrive B",IF(3=6,"BioThrive B",IF(3=7,"BioThrive B",IF(3=8,"BioThrive B",IF(3=9,"BioThrive B",IF(3=10,"BioThrive B",IF(3=11,"BioThrive B",IF(3=12,"BioThrive B","")))))))))))),IF(IFERROR(MATCH('🌱 Configuração'!$H$12,{"BioBizz","Remo Nutrients","General Organics","SuperSoil","Genérico"},0),1)=4,IF(3=1,"Cobertura: guano de morcego",IF(3=2,"Chá de compostagem",IF(3=3,"Cobertura: farinha de alga",IF(3=4,"Cobertura: guano de morcego",IF(3=5,"Molasses 2 mL/L",IF(3=6,"Cobertura: farinha de alga",IF(3=7,"Chá de compostagem",IF(3=8,"Molasses 2 mL/L",IF(3=9,"Água pura",IF(3=10,"Água pura",IF(3=11,"Água pura",IF(3=12,"Água pura","")))))))))))),IF(3=1,"← Preencha",IF(3=2,"← Preencha",IF(3=3,"← Preencha",IF(3=4,"← Preencha",IF(3=5,"← Preencha",IF(3=6,"← Preencha",IF(3=7,"← Preencha",IF(3=8,"← Preencha",IF(3=9,"← Preencha",IF(3=10,"← Preencha",IF(3=11,"← Preencha",IF(3=12,"← Preencha","")))))))))))))))))))</f>
        <v>Bio·Grow</v>
      </c>
      <c r="E27" s="15" t="str">
        <f t="array" ref="E27">IF('🌱 Configuração'!$D$56="","",IF(3&lt;1,"",IF(3&gt;'🌱 Configuração'!$H$8,"",IF(IFERROR(MATCH('🌱 Configuração'!$H$12,{"BioBizz","Remo Nutrients","General Organics","SuperSoil","Genérico"},0),1)=1,IF(3=1,"1 mL/L",IF(3=2,"1 mL/L",IF(3=3,"1 mL/L",IF(3=4,"—",IF(3=5,"—",IF(3=6,"—",IF(3=7,"—",IF(3=8,"—",IF(3=9,"—",IF(3=10,"—",IF(3=11,"—",IF(3=12,"—","")))))))))))),IF(IFERROR(MATCH('🌱 Configuração'!$H$12,{"BioBizz","Remo Nutrients","General Organics","SuperSoil","Genérico"},0),1)=2,IF(3=1,"2.1 mL/L",IF(3=2,"2.1 mL/L",IF(3=3,"2.1 mL/L",IF(3=4,"2.1 mL/L",IF(3=5,"2.6 mL/L",IF(3=6,"2.6 mL/L",IF(3=7,"2.6 mL/L",IF(3=8,"2.1 mL/L",IF(3=9,"2.1 mL/L",IF(3=10,"2.1 mL/L",IF(3=11,"1.5 mL/L",IF(3=12,"1.0 mL/L","")))))))))))),IF(IFERROR(MATCH('🌱 Configuração'!$H$12,{"BioBizz","Remo Nutrients","General Organics","SuperSoil","Genérico"},0),1)=3,IF(3=1,"2.6 mL/L",IF(3=2,"2.6 mL/L",IF(3=3,"2.6 mL/L",IF(3=4,"2.6 mL/L",IF(3=5,"2.6 mL/L",IF(3=6,"2.6 mL/L",IF(3=7,"2.6 mL/L",IF(3=8,"2.6 mL/L",IF(3=9,"1.3 mL/L",IF(3=10,"1.3 mL/L",IF(3=11,"1.3 mL/L",IF(3=12,"1.3 mL/L","")))))))))))),IF(IFERROR(MATCH('🌱 Configuração'!$H$12,{"BioBizz","Remo Nutrients","General Organics","SuperSoil","Genérico"},0),1)=4,IF(3=1,"5g/L solo",IF(3=2,"2L/planta",IF(3=3,"5g/L solo",IF(3=4,"5g/L solo",IF(3=5,"—",IF(3=6,"5g/L solo",IF(3=7,"2L/planta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1 mL/L</v>
      </c>
      <c r="F27" s="14" t="str">
        <f t="array" ref="F27">IF('🌱 Configuração'!$D$56="","",IF(3&lt;1,"",IF(3&gt;'🌱 Configuração'!$H$8,"",IF(IFERROR(MATCH('🌱 Configuração'!$H$12,{"BioBizz","Remo Nutrients","General Organics","SuperSoil","Genérico"},0),1)=1,IF(3=1,"Bio·Bloom",IF(3=2,"Bio·Bloom",IF(3=3,"Bio·Bloom",IF(3=4,"Bio·Bloom",IF(3=5,"Bio·Bloom",IF(3=6,"Bio·Bloom",IF(3=7,"Bio·Bloom",IF(3=8,"Bio·Bloom",IF(3=9,"Bio·Bloom",IF(3=10,"Bio·Bloom",IF(3=11,"Bio·Bloom",IF(3=12,"Bio·Bloom","")))))))))))),IF(IFERROR(MATCH('🌱 Configuração'!$H$12,{"BioBizz","Remo Nutrients","General Organics","SuperSoil","Genérico"},0),1)=2,IF(3=1,"Bloom",IF(3=2,"Bloom",IF(3=3,"Bloom",IF(3=4,"Bloom",IF(3=5,"Bloom",IF(3=6,"Bloom",IF(3=7,"Bloom",IF(3=8,"Bloom",IF(3=9,"Bloom",IF(3=10,"Bloom",IF(3=11,"Bloom",IF(3=12,"Bloom","")))))))))))),IF(IFERROR(MATCH('🌱 Configuração'!$H$12,{"BioBizz","Remo Nutrients","General Organics","SuperSoil","Genérico"},0),1)=3,IF(3=1,"BioBud",IF(3=2,"BioBud",IF(3=3,"BioBud",IF(3=4,"BioBud",IF(3=5,"BioBud",IF(3=6,"BioBud",IF(3=7,"BioBud",IF(3=8,"—",IF(3=9,"—",IF(3=10,"—",IF(3=11,"—",IF(3=12,"—","")))))))))))),IF(IFERROR(MATCH('🌱 Configuração'!$H$12,{"BioBizz","Remo Nutrients","General Organics","SuperSoil","Genérico"},0),1)=4,IF(3=1,"Molasses 2 mL/L",IF(3=2,"—",IF(3=3,"—",IF(3=4,"Cobertura: fosfato natural",IF(3=5,"—",IF(3=6,"Molasses 2 mL/L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Bio·Bloom</v>
      </c>
      <c r="G27" s="15" t="str">
        <f t="array" ref="G27">IF('🌱 Configuração'!$D$56="","",IF(3&lt;1,"",IF(3&gt;'🌱 Configuração'!$H$8,"",IF(IFERROR(MATCH('🌱 Configuração'!$H$12,{"BioBizz","Remo Nutrients","General Organics","SuperSoil","Genérico"},0),1)=1,IF(3=1,"1 mL/L",IF(3=2,"2 mL/L",IF(3=3,"3 mL/L",IF(3=4,"3 mL/L",IF(3=5,"4 mL/L",IF(3=6,"4 mL/L",IF(3=7,"4 mL/L",IF(3=8,"4 mL/L",IF(3=9,"4 mL/L",IF(3=10,"4 mL/L",IF(3=11,"4 mL/L",IF(3=12,"2 mL/L","")))))))))))),IF(IFERROR(MATCH('🌱 Configuração'!$H$12,{"BioBizz","Remo Nutrients","General Organics","SuperSoil","Genérico"},0),1)=2,IF(3=1,"2.1 mL/L",IF(3=2,"2.1 mL/L",IF(3=3,"2.1 mL/L",IF(3=4,"2.1 mL/L",IF(3=5,"2.6 mL/L",IF(3=6,"2.6 mL/L",IF(3=7,"2.6 mL/L",IF(3=8,"2.1 mL/L",IF(3=9,"2.1 mL/L",IF(3=10,"2.1 mL/L",IF(3=11,"1.5 mL/L",IF(3=12,"1.0 mL/L","")))))))))))),IF(IFERROR(MATCH('🌱 Configuração'!$H$12,{"BioBizz","Remo Nutrients","General Organics","SuperSoil","Genérico"},0),1)=3,IF(3=1,"0.7 mL/L",IF(3=2,"0.7 mL/L",IF(3=3,"0.7 mL/L",IF(3=4,"0.7 mL/L",IF(3=5,"0.7 mL/L",IF(3=6,"0.7 mL/L",IF(3=7,"0.7 mL/L",IF(3=8,"—",IF(3=9,"—",IF(3=10,"—",IF(3=11,"—",IF(3=12,"—","")))))))))))),IF(IFERROR(MATCH('🌱 Configuração'!$H$12,{"BioBizz","Remo Nutrients","General Organics","SuperSoil","Genérico"},0),1)=4,IF(3=1,"—",IF(3=2,"—",IF(3=3,"—",IF(3=4,"5g/L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3 mL/L</v>
      </c>
      <c r="H27" s="14" t="str">
        <f t="array" ref="H27">IF('🌱 Configuração'!$D$56="","",IF(3&lt;1,"",IF(3&gt;'🌱 Configuração'!$H$8,"",IF(IFERROR(MATCH('🌱 Configuração'!$H$12,{"BioBizz","Remo Nutrients","General Organics","SuperSoil","Genérico"},0),1)=1,IF(3=1,"Top·Max",IF(3=2,"Top·Max",IF(3=3,"Top·Max",IF(3=4,"Top·Max",IF(3=5,"Top·Max",IF(3=6,"Top·Max",IF(3=7,"Top·Max",IF(3=8,"Top·Max",IF(3=9,"Top·Max",IF(3=10,"Top·Max",IF(3=11,"Top·Max",IF(3=12,"Top·Max","")))))))))))),IF(IFERROR(MATCH('🌱 Configuração'!$H$12,{"BioBizz","Remo Nutrients","General Organics","SuperSoil","Genérico"},0),1)=2,IF(3=1,"—",IF(3=2,"—",IF(3=3,"—",IF(3=4,"Astroflower",IF(3=5,"Astroflower",IF(3=6,"Astroflower",IF(3=7,"Astroflower",IF(3=8,"—",IF(3=9,"—",IF(3=10,"—",IF(3=11,"—",IF(3=12,"—","")))))))))))),IF(IFERROR(MATCH('🌱 Configuração'!$H$12,{"BioBizz","Remo Nutrients","General Organics","SuperSoil","Genérico"},0),1)=3,IF(3=1,"CaMg+",IF(3=2,"CaMg+",IF(3=3,"CaMg+",IF(3=4,"CaMg+",IF(3=5,"CaMg+",IF(3=6,"CaMg+",IF(3=7,"—",IF(3=8,"—",IF(3=9,"—",IF(3=10,"—",IF(3=11,"—",IF(3=12,"—","")))))))))))),IF(IFERROR(MATCH('🌱 Configuração'!$H$12,{"BioBizz","Remo Nutrients","General Organics","SuperSoil","Genérico"},0),1)=4,IF(3=1,"—",IF(3=2,"—",IF(3=3,"—",IF(3=4,"—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Top·Max</v>
      </c>
      <c r="I27" s="15" t="str">
        <f t="array" ref="I27">IF('🌱 Configuração'!$D$56="","",IF(3&lt;1,"",IF(3&gt;'🌱 Configuração'!$H$8,"",IF(IFERROR(MATCH('🌱 Configuração'!$H$12,{"BioBizz","Remo Nutrients","General Organics","SuperSoil","Genérico"},0),1)=1,IF(3=1,"1 mL/L",IF(3=2,"1 mL/L",IF(3=3,"2 mL/L",IF(3=4,"2 mL/L",IF(3=5,"3 mL/L",IF(3=6,"3 mL/L",IF(3=7,"4 mL/L",IF(3=8,"4 mL/L",IF(3=9,"4 mL/L",IF(3=10,"4 mL/L",IF(3=11,"4 mL/L",IF(3=12,"2 mL/L","")))))))))))),IF(IFERROR(MATCH('🌱 Configuração'!$H$12,{"BioBizz","Remo Nutrients","General Organics","SuperSoil","Genérico"},0),1)=2,IF(3=1,"—",IF(3=2,"—",IF(3=3,"—",IF(3=4,"1.0 mL/L",IF(3=5,"2.0 mL/L",IF(3=6,"2.0 mL/L",IF(3=7,"1.0 mL/L",IF(3=8,"—",IF(3=9,"—",IF(3=10,"—",IF(3=11,"—",IF(3=12,"—","")))))))))))),IF(IFERROR(MATCH('🌱 Configuração'!$H$12,{"BioBizz","Remo Nutrients","General Organics","SuperSoil","Genérico"},0),1)=3,IF(3=1,"1.3 mL/L",IF(3=2,"1.3 mL/L",IF(3=3,"1.3 mL/L",IF(3=4,"1.3 mL/L",IF(3=5,"1.3 mL/L",IF(3=6,"0.7 mL/L",IF(3=7,"—",IF(3=8,"—",IF(3=9,"—",IF(3=10,"—",IF(3=11,"—",IF(3=12,"—","")))))))))))),IF(IFERROR(MATCH('🌱 Configuração'!$H$12,{"BioBizz","Remo Nutrients","General Organics","SuperSoil","Genérico"},0),1)=4,IF(3=1,"—",IF(3=2,"—",IF(3=3,"—",IF(3=4,"—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2 mL/L</v>
      </c>
      <c r="J27" s="14" t="str">
        <f t="array" ref="J27">IF('🌱 Configuração'!$D$56="","",IF(3&lt;1,"",IF(3&gt;'🌱 Configuração'!$H$8,"",IF(IFERROR(MATCH('🌱 Configuração'!$H$12,{"BioBizz","Remo Nutrients","General Organics","SuperSoil","Genérico"},0),1)=1,IF(3=1,"Alg·A·Mic 1mL",IF(3=2,"—",IF(3=3,"—",IF(3=4,"—",IF(3=5,"—",IF(3=6,"Alg·A·Mic 1mL",IF(3=7,"—",IF(3=8,"—",IF(3=9,"—",IF(3=10,"—",IF(3=11,"—",IF(3=12,"—","")))))))))))),IF(IFERROR(MATCH('🌱 Configuração'!$H$12,{"BioBizz","Remo Nutrients","General Organics","SuperSoil","Genérico"},0),1)=2,IF(3=1,"Magnifical 1.0",IF(3=2,"Magnifical 1.0",IF(3=3,"Magnifical 1.0",IF(3=4,"Magnifical 1.0",IF(3=5,"Kelp 1.0 mL",IF(3=6,"Kelp 1.0 mL",IF(3=7,"—",IF(3=8,"—",IF(3=9,"—",IF(3=10,"—",IF(3=11,"—",IF(3=12,"—","")))))))))))),IF(IFERROR(MATCH('🌱 Configuração'!$H$12,{"BioBizz","Remo Nutrients","General Organics","SuperSoil","Genérico"},0),1)=3,IF(3=1,"BioWeed 0.7",IF(3=2,"—",IF(3=3,"—",IF(3=4,"BioMarine 0.7",IF(3=5,"BioMarine 0.7",IF(3=6,"—",IF(3=7,"—",IF(3=8,"—",IF(3=9,"—",IF(3=10,"—",IF(3=11,"—",IF(3=12,"—","")))))))))))),IF(IFERROR(MATCH('🌱 Configuração'!$H$12,{"BioBizz","Remo Nutrients","General Organics","SuperSoil","Genérico"},0),1)=4,IF(3=1,"Chá",IF(3=2,"—",IF(3=3,"Molasses 2mL",IF(3=4,"—",IF(3=5,"Chá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—</v>
      </c>
      <c r="K27" s="16" t="str">
        <f t="array" ref="K27">IF('🌱 Configuração'!$D$56="","",IF(3&lt;1,"",IF(3&gt;'🌱 Configuração'!$H$8,"",IF(IFERROR(MATCH('🌱 Configuração'!$H$12,{"BioBizz","Remo Nutrients","General Organics","SuperSoil","Genérico"},0),1)=1,IF(3=1,"6.2–6.5",IF(3=2,"6.2–6.5",IF(3=3,"6.2–6.5",IF(3=4,"6.2–6.5",IF(3=5,"6.2–6.5",IF(3=6,"6.2–6.5",IF(3=7,"6.2–6.5",IF(3=8,"6.2–6.5",IF(3=9,"6.2–6.5",IF(3=10,"6.2–6.5",IF(3=11,"6.2–6.5",IF(3=12,"6.2–6.5","")))))))))))),IF(IFERROR(MATCH('🌱 Configuração'!$H$12,{"BioBizz","Remo Nutrients","General Organics","SuperSoil","Genérico"},0),1)=2,IF(3=1,"6.0–6.3",IF(3=2,"6.0–6.3",IF(3=3,"6.0–6.3",IF(3=4,"6.0–6.3",IF(3=5,"6.0–6.3",IF(3=6,"6.0–6.3",IF(3=7,"6.0–6.3",IF(3=8,"6.0–6.3",IF(3=9,"6.0–6.3",IF(3=10,"6.0–6.3",IF(3=11,"6.0–6.3",IF(3=12,"6.0–6.3","")))))))))))),IF(IFERROR(MATCH('🌱 Configuração'!$H$12,{"BioBizz","Remo Nutrients","General Organics","SuperSoil","Genérico"},0),1)=3,IF(3=1,"6.2–7.0",IF(3=2,"6.2–7.0",IF(3=3,"6.2–7.0",IF(3=4,"6.2–7.0",IF(3=5,"6.2–7.0",IF(3=6,"6.2–7.0",IF(3=7,"6.2–7.0",IF(3=8,"6.2–7.0",IF(3=9,"6.2–7.0",IF(3=10,"6.2–7.0",IF(3=11,"6.2–7.0",IF(3=12,"6.2–7.0","")))))))))))),IF(IFERROR(MATCH('🌱 Configuração'!$H$12,{"BioBizz","Remo Nutrients","General Organics","SuperSoil","Genérico"},0),1)=4,IF(3=1,"auto",IF(3=2,"auto",IF(3=3,"auto",IF(3=4,"auto",IF(3=5,"auto",IF(3=6,"auto",IF(3=7,"auto",IF(3=8,"auto",IF(3=9,"auto",IF(3=10,"auto",IF(3=11,"auto",IF(3=12,"auto","")))))))))))),IF(3=1,"—",IF(3=2,"—",IF(3=3,"—",IF(3=4,"—",IF(3=5,"—",IF(3=6,"—",IF(3=7,"—",IF(3=8,"—",IF(3=9,"—",IF(3=10,"—",IF(3=11,"—",IF(3=12,"—","")))))))))))))))))))</f>
        <v>6.2–6.5</v>
      </c>
      <c r="L27" s="17" t="str">
        <f t="array" ref="L27">IF('🌱 Configuração'!$D$56="","",IF(3&lt;1,"",IF(3&gt;'🌱 Configuração'!$H$8,"",IF(IFERROR(MATCH('🌱 Configuração'!$H$12,{"BioBizz","Remo Nutrients","General Organics","SuperSoil","Genérico"},0),1)=1,IF(3=1,"1.6",IF(3=2,"1.7",IF(3=3,"1.8",IF(3=4,"1.9",IF(3=5,"2.0",IF(3=6,"2.0",IF(3=7,"1.9",IF(3=8,"1.8",IF(3=9,"1.6",IF(3=10,"1.6",IF(3=11,"1.4",IF(3=12,"1.0","")))))))))))),IF(IFERROR(MATCH('🌱 Configuração'!$H$12,{"BioBizz","Remo Nutrients","General Organics","SuperSoil","Genérico"},0),1)=2,IF(3=1,"1.6",IF(3=2,"1.7",IF(3=3,"1.8",IF(3=4,"1.9",IF(3=5,"2.0",IF(3=6,"2.0",IF(3=7,"1.8",IF(3=8,"1.6",IF(3=9,"1.4",IF(3=10,"1.4",IF(3=11,"1.0",IF(3=12,"0.8","")))))))))))),IF(IFERROR(MATCH('🌱 Configuração'!$H$12,{"BioBizz","Remo Nutrients","General Organics","SuperSoil","Genérico"},0),1)=3,IF(3=1,"N/A",IF(3=2,"N/A",IF(3=3,"N/A",IF(3=4,"N/A",IF(3=5,"N/A",IF(3=6,"N/A",IF(3=7,"N/A",IF(3=8,"N/A",IF(3=9,"N/A",IF(3=10,"N/A",IF(3=11,"N/A",IF(3=12,"N/A","")))))))))))),IF(IFERROR(MATCH('🌱 Configuração'!$H$12,{"BioBizz","Remo Nutrients","General Organics","SuperSoil","Genérico"},0),1)=4,IF(3=1,"auto",IF(3=2,"auto",IF(3=3,"auto",IF(3=4,"auto",IF(3=5,"auto",IF(3=6,"auto",IF(3=7,"auto",IF(3=8,"auto",IF(3=9,"auto",IF(3=10,"auto",IF(3=11,"auto",IF(3=12,"auto","")))))))))))),IF(3=1,"—",IF(3=2,"—",IF(3=3,"—",IF(3=4,"—",IF(3=5,"—",IF(3=6,"—",IF(3=7,"—",IF(3=8,"—",IF(3=9,"—",IF(3=10,"—",IF(3=11,"—",IF(3=12,"—","")))))))))))))))))))</f>
        <v>1.8</v>
      </c>
      <c r="M27" s="14" t="str">
        <f t="array" ref="M27">IF('🌱 Configuração'!$D$56="","",IF(3&lt;1,"",IF(3&gt;'🌱 Configuração'!$H$8,"",IF(IFERROR(MATCH('🌱 Configuração'!$H$12,{"BioBizz","Remo Nutrients","General Organics","SuperSoil","Genérico"},0),1)=1,IF(3=1,"Manter Bio·Grow em S1–S3 flora",IF(3=2,"Formação de pistils",IF(3=3,"Início do enchimento",IF(3=4,"Parar Bio·Grow — fase de flora plena",IF(3=5,"Pico de floração",IF(3=6,"Enchimento máximo",IF(3=7,"Amadurecimento — manter bloom alto",IF(3=8,"Pré-flush — analisar tricomas",IF(3=9,"Semana extra (sativa)",IF(3=10,"Semana extra (sativa)",IF(3=11,"Reduzir — semana final",IF(3=12,"Último adubo antes flush","")))))))))))),IF(IFERROR(MATCH('🌱 Configuração'!$H$12,{"BioBizz","Remo Nutrients","General Organics","SuperSoil","Genérico"},0),1)=2,IF(3=1,"Apenas Micro+Bloom em floração Remo",IF(3=2,"Sem Grow a partir daqui",IF(3=3,"Tabela oficial: 2.1 mL/L S1–S4",IF(3=4,"Astroflower = estimulante floração",IF(3=5,"Tabela oficial: 2.6 mL/L S5–S7",IF(3=6,"Pico de floração Remo",IF(3=7,"Tabela oficial S7",IF(3=8,"Reduzir — semana final",IF(3=9,"Semana extra — sativa",IF(3=10,"Semana extra",IF(3=11,"Reduzir para flush",IF(3=12,"Último adubo","")))))))))))),IF(IFERROR(MATCH('🌱 Configuração'!$H$12,{"BioBizz","Remo Nutrients","General Organics","SuperSoil","Genérico"},0),1)=3,IF(3=1,"BioBud = estimulante flores GO",IF(3=2,"Early Flower GO",IF(3=3,"Mid Flower GO",IF(3=4,"BioMarine = peixe fermentado GO",IF(3=5,"Pico floração GO",IF(3=6,"Late Flower GO",IF(3=7,"Reduzir CaMg+ final",IF(3=8,"Late Flower GO — pré-flush",IF(3=9,"Semana extra — reduzir dose",IF(3=10,"Semana extra GO (sativa)",IF(3=11,"Semana extra GO",IF(3=12,"Último adubo GO","")))))))))))),IF(IFERROR(MATCH('🌱 Configuração'!$H$12,{"BioBizz","Remo Nutrients","General Organics","SuperSoil","Genérico"},0),1)=4,IF(3=1,"Guano P alto = floração forte",IF(3=2,"Solo vivo em pico — não interferir",IF(3=3,"Alga = K e micronutrientes florais",IF(3=4,"Fósforo natural = buds densos",IF(3=5,"Alimentar microbioma — enchimento",IF(3=6,"Semana de pico — micro + K",IF(3=7,"Reduzir intervenções — amadurecimento",IF(3=8,"Pré-flush SuperSoil",IF(3=9,"Parar coberturas — lavar suave",IF(3=10,"Semana extra (sativa)",IF(3=11,"Semana extra",IF(3=12,"Última semana — observar tricomas","")))))))))))),IF(3=1,"Personalize suas doses",IF(3=2,"Personalize suas doses",IF(3=3,"Personalize suas doses",IF(3=4,"Personalize suas doses",IF(3=5,"Personalize suas doses",IF(3=6,"Personalize suas doses",IF(3=7,"Personalize suas doses",IF(3=8,"Personalize suas doses",IF(3=9,"Personalize suas doses",IF(3=10,"Personalize suas doses",IF(3=11,"Personalize suas doses",IF(3=12,"Personalize suas doses","")))))))))))))))))))</f>
        <v>Início do enchimento</v>
      </c>
      <c r="N27" s="1"/>
    </row>
    <row r="28" spans="1:14" ht="21.75" customHeight="1">
      <c r="A28" s="1"/>
      <c r="B28" s="25" t="str">
        <f>IF(4&lt;='🌱 Configuração'!$H$8,"S4","—")</f>
        <v>S4</v>
      </c>
      <c r="C28" s="26">
        <f>IF(4&lt;='🌱 Configuração'!$H$8,'🌱 Configuração'!$D$56+21,"")</f>
        <v>77</v>
      </c>
      <c r="D28" s="27" t="str">
        <f t="array" ref="D28">IF('🌱 Configuração'!$D$56="","",IF(4&lt;1,"",IF(4&gt;'🌱 Configuração'!$H$8,"",IF(IFERROR(MATCH('🌱 Configuração'!$H$12,{"BioBizz","Remo Nutrients","General Organics","SuperSoil","Genérico"},0),1)=1,IF(4=1,"Bio·Grow",IF(4=2,"Bio·Grow",IF(4=3,"Bio·Grow",IF(4=4,"—",IF(4=5,"—",IF(4=6,"—",IF(4=7,"—",IF(4=8,"—",IF(4=9,"—",IF(4=10,"—",IF(4=11,"—",IF(4=12,"—","")))))))))))),IF(IFERROR(MATCH('🌱 Configuração'!$H$12,{"BioBizz","Remo Nutrients","General Organics","SuperSoil","Genérico"},0),1)=2,IF(4=1,"Micro",IF(4=2,"Micro",IF(4=3,"Micro",IF(4=4,"Micro",IF(4=5,"Micro",IF(4=6,"Micro",IF(4=7,"Micro",IF(4=8,"Micro",IF(4=9,"Micro",IF(4=10,"Micro",IF(4=11,"Micro",IF(4=12,"Micro","")))))))))))),IF(IFERROR(MATCH('🌱 Configuração'!$H$12,{"BioBizz","Remo Nutrients","General Organics","SuperSoil","Genérico"},0),1)=3,IF(4=1,"BioThrive B",IF(4=2,"BioThrive B",IF(4=3,"BioThrive B",IF(4=4,"BioThrive B",IF(4=5,"BioThrive B",IF(4=6,"BioThrive B",IF(4=7,"BioThrive B",IF(4=8,"BioThrive B",IF(4=9,"BioThrive B",IF(4=10,"BioThrive B",IF(4=11,"BioThrive B",IF(4=12,"BioThrive B","")))))))))))),IF(IFERROR(MATCH('🌱 Configuração'!$H$12,{"BioBizz","Remo Nutrients","General Organics","SuperSoil","Genérico"},0),1)=4,IF(4=1,"Cobertura: guano de morcego",IF(4=2,"Chá de compostagem",IF(4=3,"Cobertura: farinha de alga",IF(4=4,"Cobertura: guano de morcego",IF(4=5,"Molasses 2 mL/L",IF(4=6,"Cobertura: farinha de alga",IF(4=7,"Chá de compostagem",IF(4=8,"Molasses 2 mL/L",IF(4=9,"Água pura",IF(4=10,"Água pura",IF(4=11,"Água pura",IF(4=12,"Água pura","")))))))))))),IF(4=1,"← Preencha",IF(4=2,"← Preencha",IF(4=3,"← Preencha",IF(4=4,"← Preencha",IF(4=5,"← Preencha",IF(4=6,"← Preencha",IF(4=7,"← Preencha",IF(4=8,"← Preencha",IF(4=9,"← Preencha",IF(4=10,"← Preencha",IF(4=11,"← Preencha",IF(4=12,"← Preencha","")))))))))))))))))))</f>
        <v>—</v>
      </c>
      <c r="E28" s="28" t="str">
        <f t="array" ref="E28">IF('🌱 Configuração'!$D$56="","",IF(4&lt;1,"",IF(4&gt;'🌱 Configuração'!$H$8,"",IF(IFERROR(MATCH('🌱 Configuração'!$H$12,{"BioBizz","Remo Nutrients","General Organics","SuperSoil","Genérico"},0),1)=1,IF(4=1,"1 mL/L",IF(4=2,"1 mL/L",IF(4=3,"1 mL/L",IF(4=4,"—",IF(4=5,"—",IF(4=6,"—",IF(4=7,"—",IF(4=8,"—",IF(4=9,"—",IF(4=10,"—",IF(4=11,"—",IF(4=12,"—","")))))))))))),IF(IFERROR(MATCH('🌱 Configuração'!$H$12,{"BioBizz","Remo Nutrients","General Organics","SuperSoil","Genérico"},0),1)=2,IF(4=1,"2.1 mL/L",IF(4=2,"2.1 mL/L",IF(4=3,"2.1 mL/L",IF(4=4,"2.1 mL/L",IF(4=5,"2.6 mL/L",IF(4=6,"2.6 mL/L",IF(4=7,"2.6 mL/L",IF(4=8,"2.1 mL/L",IF(4=9,"2.1 mL/L",IF(4=10,"2.1 mL/L",IF(4=11,"1.5 mL/L",IF(4=12,"1.0 mL/L","")))))))))))),IF(IFERROR(MATCH('🌱 Configuração'!$H$12,{"BioBizz","Remo Nutrients","General Organics","SuperSoil","Genérico"},0),1)=3,IF(4=1,"2.6 mL/L",IF(4=2,"2.6 mL/L",IF(4=3,"2.6 mL/L",IF(4=4,"2.6 mL/L",IF(4=5,"2.6 mL/L",IF(4=6,"2.6 mL/L",IF(4=7,"2.6 mL/L",IF(4=8,"2.6 mL/L",IF(4=9,"1.3 mL/L",IF(4=10,"1.3 mL/L",IF(4=11,"1.3 mL/L",IF(4=12,"1.3 mL/L","")))))))))))),IF(IFERROR(MATCH('🌱 Configuração'!$H$12,{"BioBizz","Remo Nutrients","General Organics","SuperSoil","Genérico"},0),1)=4,IF(4=1,"5g/L solo",IF(4=2,"2L/planta",IF(4=3,"5g/L solo",IF(4=4,"5g/L solo",IF(4=5,"—",IF(4=6,"5g/L solo",IF(4=7,"2L/planta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—</v>
      </c>
      <c r="F28" s="27" t="str">
        <f t="array" ref="F28">IF('🌱 Configuração'!$D$56="","",IF(4&lt;1,"",IF(4&gt;'🌱 Configuração'!$H$8,"",IF(IFERROR(MATCH('🌱 Configuração'!$H$12,{"BioBizz","Remo Nutrients","General Organics","SuperSoil","Genérico"},0),1)=1,IF(4=1,"Bio·Bloom",IF(4=2,"Bio·Bloom",IF(4=3,"Bio·Bloom",IF(4=4,"Bio·Bloom",IF(4=5,"Bio·Bloom",IF(4=6,"Bio·Bloom",IF(4=7,"Bio·Bloom",IF(4=8,"Bio·Bloom",IF(4=9,"Bio·Bloom",IF(4=10,"Bio·Bloom",IF(4=11,"Bio·Bloom",IF(4=12,"Bio·Bloom","")))))))))))),IF(IFERROR(MATCH('🌱 Configuração'!$H$12,{"BioBizz","Remo Nutrients","General Organics","SuperSoil","Genérico"},0),1)=2,IF(4=1,"Bloom",IF(4=2,"Bloom",IF(4=3,"Bloom",IF(4=4,"Bloom",IF(4=5,"Bloom",IF(4=6,"Bloom",IF(4=7,"Bloom",IF(4=8,"Bloom",IF(4=9,"Bloom",IF(4=10,"Bloom",IF(4=11,"Bloom",IF(4=12,"Bloom","")))))))))))),IF(IFERROR(MATCH('🌱 Configuração'!$H$12,{"BioBizz","Remo Nutrients","General Organics","SuperSoil","Genérico"},0),1)=3,IF(4=1,"BioBud",IF(4=2,"BioBud",IF(4=3,"BioBud",IF(4=4,"BioBud",IF(4=5,"BioBud",IF(4=6,"BioBud",IF(4=7,"BioBud",IF(4=8,"—",IF(4=9,"—",IF(4=10,"—",IF(4=11,"—",IF(4=12,"—","")))))))))))),IF(IFERROR(MATCH('🌱 Configuração'!$H$12,{"BioBizz","Remo Nutrients","General Organics","SuperSoil","Genérico"},0),1)=4,IF(4=1,"Molasses 2 mL/L",IF(4=2,"—",IF(4=3,"—",IF(4=4,"Cobertura: fosfato natural",IF(4=5,"—",IF(4=6,"Molasses 2 mL/L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Bio·Bloom</v>
      </c>
      <c r="G28" s="28" t="str">
        <f t="array" ref="G28">IF('🌱 Configuração'!$D$56="","",IF(4&lt;1,"",IF(4&gt;'🌱 Configuração'!$H$8,"",IF(IFERROR(MATCH('🌱 Configuração'!$H$12,{"BioBizz","Remo Nutrients","General Organics","SuperSoil","Genérico"},0),1)=1,IF(4=1,"1 mL/L",IF(4=2,"2 mL/L",IF(4=3,"3 mL/L",IF(4=4,"3 mL/L",IF(4=5,"4 mL/L",IF(4=6,"4 mL/L",IF(4=7,"4 mL/L",IF(4=8,"4 mL/L",IF(4=9,"4 mL/L",IF(4=10,"4 mL/L",IF(4=11,"4 mL/L",IF(4=12,"2 mL/L","")))))))))))),IF(IFERROR(MATCH('🌱 Configuração'!$H$12,{"BioBizz","Remo Nutrients","General Organics","SuperSoil","Genérico"},0),1)=2,IF(4=1,"2.1 mL/L",IF(4=2,"2.1 mL/L",IF(4=3,"2.1 mL/L",IF(4=4,"2.1 mL/L",IF(4=5,"2.6 mL/L",IF(4=6,"2.6 mL/L",IF(4=7,"2.6 mL/L",IF(4=8,"2.1 mL/L",IF(4=9,"2.1 mL/L",IF(4=10,"2.1 mL/L",IF(4=11,"1.5 mL/L",IF(4=12,"1.0 mL/L","")))))))))))),IF(IFERROR(MATCH('🌱 Configuração'!$H$12,{"BioBizz","Remo Nutrients","General Organics","SuperSoil","Genérico"},0),1)=3,IF(4=1,"0.7 mL/L",IF(4=2,"0.7 mL/L",IF(4=3,"0.7 mL/L",IF(4=4,"0.7 mL/L",IF(4=5,"0.7 mL/L",IF(4=6,"0.7 mL/L",IF(4=7,"0.7 mL/L",IF(4=8,"—",IF(4=9,"—",IF(4=10,"—",IF(4=11,"—",IF(4=12,"—","")))))))))))),IF(IFERROR(MATCH('🌱 Configuração'!$H$12,{"BioBizz","Remo Nutrients","General Organics","SuperSoil","Genérico"},0),1)=4,IF(4=1,"—",IF(4=2,"—",IF(4=3,"—",IF(4=4,"5g/L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3 mL/L</v>
      </c>
      <c r="H28" s="27" t="str">
        <f t="array" ref="H28">IF('🌱 Configuração'!$D$56="","",IF(4&lt;1,"",IF(4&gt;'🌱 Configuração'!$H$8,"",IF(IFERROR(MATCH('🌱 Configuração'!$H$12,{"BioBizz","Remo Nutrients","General Organics","SuperSoil","Genérico"},0),1)=1,IF(4=1,"Top·Max",IF(4=2,"Top·Max",IF(4=3,"Top·Max",IF(4=4,"Top·Max",IF(4=5,"Top·Max",IF(4=6,"Top·Max",IF(4=7,"Top·Max",IF(4=8,"Top·Max",IF(4=9,"Top·Max",IF(4=10,"Top·Max",IF(4=11,"Top·Max",IF(4=12,"Top·Max","")))))))))))),IF(IFERROR(MATCH('🌱 Configuração'!$H$12,{"BioBizz","Remo Nutrients","General Organics","SuperSoil","Genérico"},0),1)=2,IF(4=1,"—",IF(4=2,"—",IF(4=3,"—",IF(4=4,"Astroflower",IF(4=5,"Astroflower",IF(4=6,"Astroflower",IF(4=7,"Astroflower",IF(4=8,"—",IF(4=9,"—",IF(4=10,"—",IF(4=11,"—",IF(4=12,"—","")))))))))))),IF(IFERROR(MATCH('🌱 Configuração'!$H$12,{"BioBizz","Remo Nutrients","General Organics","SuperSoil","Genérico"},0),1)=3,IF(4=1,"CaMg+",IF(4=2,"CaMg+",IF(4=3,"CaMg+",IF(4=4,"CaMg+",IF(4=5,"CaMg+",IF(4=6,"CaMg+",IF(4=7,"—",IF(4=8,"—",IF(4=9,"—",IF(4=10,"—",IF(4=11,"—",IF(4=12,"—","")))))))))))),IF(IFERROR(MATCH('🌱 Configuração'!$H$12,{"BioBizz","Remo Nutrients","General Organics","SuperSoil","Genérico"},0),1)=4,IF(4=1,"—",IF(4=2,"—",IF(4=3,"—",IF(4=4,"—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Top·Max</v>
      </c>
      <c r="I28" s="28" t="str">
        <f t="array" ref="I28">IF('🌱 Configuração'!$D$56="","",IF(4&lt;1,"",IF(4&gt;'🌱 Configuração'!$H$8,"",IF(IFERROR(MATCH('🌱 Configuração'!$H$12,{"BioBizz","Remo Nutrients","General Organics","SuperSoil","Genérico"},0),1)=1,IF(4=1,"1 mL/L",IF(4=2,"1 mL/L",IF(4=3,"2 mL/L",IF(4=4,"2 mL/L",IF(4=5,"3 mL/L",IF(4=6,"3 mL/L",IF(4=7,"4 mL/L",IF(4=8,"4 mL/L",IF(4=9,"4 mL/L",IF(4=10,"4 mL/L",IF(4=11,"4 mL/L",IF(4=12,"2 mL/L","")))))))))))),IF(IFERROR(MATCH('🌱 Configuração'!$H$12,{"BioBizz","Remo Nutrients","General Organics","SuperSoil","Genérico"},0),1)=2,IF(4=1,"—",IF(4=2,"—",IF(4=3,"—",IF(4=4,"1.0 mL/L",IF(4=5,"2.0 mL/L",IF(4=6,"2.0 mL/L",IF(4=7,"1.0 mL/L",IF(4=8,"—",IF(4=9,"—",IF(4=10,"—",IF(4=11,"—",IF(4=12,"—","")))))))))))),IF(IFERROR(MATCH('🌱 Configuração'!$H$12,{"BioBizz","Remo Nutrients","General Organics","SuperSoil","Genérico"},0),1)=3,IF(4=1,"1.3 mL/L",IF(4=2,"1.3 mL/L",IF(4=3,"1.3 mL/L",IF(4=4,"1.3 mL/L",IF(4=5,"1.3 mL/L",IF(4=6,"0.7 mL/L",IF(4=7,"—",IF(4=8,"—",IF(4=9,"—",IF(4=10,"—",IF(4=11,"—",IF(4=12,"—","")))))))))))),IF(IFERROR(MATCH('🌱 Configuração'!$H$12,{"BioBizz","Remo Nutrients","General Organics","SuperSoil","Genérico"},0),1)=4,IF(4=1,"—",IF(4=2,"—",IF(4=3,"—",IF(4=4,"—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2 mL/L</v>
      </c>
      <c r="J28" s="27" t="str">
        <f t="array" ref="J28">IF('🌱 Configuração'!$D$56="","",IF(4&lt;1,"",IF(4&gt;'🌱 Configuração'!$H$8,"",IF(IFERROR(MATCH('🌱 Configuração'!$H$12,{"BioBizz","Remo Nutrients","General Organics","SuperSoil","Genérico"},0),1)=1,IF(4=1,"Alg·A·Mic 1mL",IF(4=2,"—",IF(4=3,"—",IF(4=4,"—",IF(4=5,"—",IF(4=6,"Alg·A·Mic 1mL",IF(4=7,"—",IF(4=8,"—",IF(4=9,"—",IF(4=10,"—",IF(4=11,"—",IF(4=12,"—","")))))))))))),IF(IFERROR(MATCH('🌱 Configuração'!$H$12,{"BioBizz","Remo Nutrients","General Organics","SuperSoil","Genérico"},0),1)=2,IF(4=1,"Magnifical 1.0",IF(4=2,"Magnifical 1.0",IF(4=3,"Magnifical 1.0",IF(4=4,"Magnifical 1.0",IF(4=5,"Kelp 1.0 mL",IF(4=6,"Kelp 1.0 mL",IF(4=7,"—",IF(4=8,"—",IF(4=9,"—",IF(4=10,"—",IF(4=11,"—",IF(4=12,"—","")))))))))))),IF(IFERROR(MATCH('🌱 Configuração'!$H$12,{"BioBizz","Remo Nutrients","General Organics","SuperSoil","Genérico"},0),1)=3,IF(4=1,"BioWeed 0.7",IF(4=2,"—",IF(4=3,"—",IF(4=4,"BioMarine 0.7",IF(4=5,"BioMarine 0.7",IF(4=6,"—",IF(4=7,"—",IF(4=8,"—",IF(4=9,"—",IF(4=10,"—",IF(4=11,"—",IF(4=12,"—","")))))))))))),IF(IFERROR(MATCH('🌱 Configuração'!$H$12,{"BioBizz","Remo Nutrients","General Organics","SuperSoil","Genérico"},0),1)=4,IF(4=1,"Chá",IF(4=2,"—",IF(4=3,"Molasses 2mL",IF(4=4,"—",IF(4=5,"Chá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—</v>
      </c>
      <c r="K28" s="16" t="str">
        <f t="array" ref="K28">IF('🌱 Configuração'!$D$56="","",IF(4&lt;1,"",IF(4&gt;'🌱 Configuração'!$H$8,"",IF(IFERROR(MATCH('🌱 Configuração'!$H$12,{"BioBizz","Remo Nutrients","General Organics","SuperSoil","Genérico"},0),1)=1,IF(4=1,"6.2–6.5",IF(4=2,"6.2–6.5",IF(4=3,"6.2–6.5",IF(4=4,"6.2–6.5",IF(4=5,"6.2–6.5",IF(4=6,"6.2–6.5",IF(4=7,"6.2–6.5",IF(4=8,"6.2–6.5",IF(4=9,"6.2–6.5",IF(4=10,"6.2–6.5",IF(4=11,"6.2–6.5",IF(4=12,"6.2–6.5","")))))))))))),IF(IFERROR(MATCH('🌱 Configuração'!$H$12,{"BioBizz","Remo Nutrients","General Organics","SuperSoil","Genérico"},0),1)=2,IF(4=1,"6.0–6.3",IF(4=2,"6.0–6.3",IF(4=3,"6.0–6.3",IF(4=4,"6.0–6.3",IF(4=5,"6.0–6.3",IF(4=6,"6.0–6.3",IF(4=7,"6.0–6.3",IF(4=8,"6.0–6.3",IF(4=9,"6.0–6.3",IF(4=10,"6.0–6.3",IF(4=11,"6.0–6.3",IF(4=12,"6.0–6.3","")))))))))))),IF(IFERROR(MATCH('🌱 Configuração'!$H$12,{"BioBizz","Remo Nutrients","General Organics","SuperSoil","Genérico"},0),1)=3,IF(4=1,"6.2–7.0",IF(4=2,"6.2–7.0",IF(4=3,"6.2–7.0",IF(4=4,"6.2–7.0",IF(4=5,"6.2–7.0",IF(4=6,"6.2–7.0",IF(4=7,"6.2–7.0",IF(4=8,"6.2–7.0",IF(4=9,"6.2–7.0",IF(4=10,"6.2–7.0",IF(4=11,"6.2–7.0",IF(4=12,"6.2–7.0","")))))))))))),IF(IFERROR(MATCH('🌱 Configuração'!$H$12,{"BioBizz","Remo Nutrients","General Organics","SuperSoil","Genérico"},0),1)=4,IF(4=1,"auto",IF(4=2,"auto",IF(4=3,"auto",IF(4=4,"auto",IF(4=5,"auto",IF(4=6,"auto",IF(4=7,"auto",IF(4=8,"auto",IF(4=9,"auto",IF(4=10,"auto",IF(4=11,"auto",IF(4=12,"auto","")))))))))))),IF(4=1,"—",IF(4=2,"—",IF(4=3,"—",IF(4=4,"—",IF(4=5,"—",IF(4=6,"—",IF(4=7,"—",IF(4=8,"—",IF(4=9,"—",IF(4=10,"—",IF(4=11,"—",IF(4=12,"—","")))))))))))))))))))</f>
        <v>6.2–6.5</v>
      </c>
      <c r="L28" s="17" t="str">
        <f t="array" ref="L28">IF('🌱 Configuração'!$D$56="","",IF(4&lt;1,"",IF(4&gt;'🌱 Configuração'!$H$8,"",IF(IFERROR(MATCH('🌱 Configuração'!$H$12,{"BioBizz","Remo Nutrients","General Organics","SuperSoil","Genérico"},0),1)=1,IF(4=1,"1.6",IF(4=2,"1.7",IF(4=3,"1.8",IF(4=4,"1.9",IF(4=5,"2.0",IF(4=6,"2.0",IF(4=7,"1.9",IF(4=8,"1.8",IF(4=9,"1.6",IF(4=10,"1.6",IF(4=11,"1.4",IF(4=12,"1.0","")))))))))))),IF(IFERROR(MATCH('🌱 Configuração'!$H$12,{"BioBizz","Remo Nutrients","General Organics","SuperSoil","Genérico"},0),1)=2,IF(4=1,"1.6",IF(4=2,"1.7",IF(4=3,"1.8",IF(4=4,"1.9",IF(4=5,"2.0",IF(4=6,"2.0",IF(4=7,"1.8",IF(4=8,"1.6",IF(4=9,"1.4",IF(4=10,"1.4",IF(4=11,"1.0",IF(4=12,"0.8","")))))))))))),IF(IFERROR(MATCH('🌱 Configuração'!$H$12,{"BioBizz","Remo Nutrients","General Organics","SuperSoil","Genérico"},0),1)=3,IF(4=1,"N/A",IF(4=2,"N/A",IF(4=3,"N/A",IF(4=4,"N/A",IF(4=5,"N/A",IF(4=6,"N/A",IF(4=7,"N/A",IF(4=8,"N/A",IF(4=9,"N/A",IF(4=10,"N/A",IF(4=11,"N/A",IF(4=12,"N/A","")))))))))))),IF(IFERROR(MATCH('🌱 Configuração'!$H$12,{"BioBizz","Remo Nutrients","General Organics","SuperSoil","Genérico"},0),1)=4,IF(4=1,"auto",IF(4=2,"auto",IF(4=3,"auto",IF(4=4,"auto",IF(4=5,"auto",IF(4=6,"auto",IF(4=7,"auto",IF(4=8,"auto",IF(4=9,"auto",IF(4=10,"auto",IF(4=11,"auto",IF(4=12,"auto","")))))))))))),IF(4=1,"—",IF(4=2,"—",IF(4=3,"—",IF(4=4,"—",IF(4=5,"—",IF(4=6,"—",IF(4=7,"—",IF(4=8,"—",IF(4=9,"—",IF(4=10,"—",IF(4=11,"—",IF(4=12,"—","")))))))))))))))))))</f>
        <v>1.9</v>
      </c>
      <c r="M28" s="27" t="str">
        <f t="array" ref="M28">IF('🌱 Configuração'!$D$56="","",IF(4&lt;1,"",IF(4&gt;'🌱 Configuração'!$H$8,"",IF(IFERROR(MATCH('🌱 Configuração'!$H$12,{"BioBizz","Remo Nutrients","General Organics","SuperSoil","Genérico"},0),1)=1,IF(4=1,"Manter Bio·Grow em S1–S3 flora",IF(4=2,"Formação de pistils",IF(4=3,"Início do enchimento",IF(4=4,"Parar Bio·Grow — fase de flora plena",IF(4=5,"Pico de floração",IF(4=6,"Enchimento máximo",IF(4=7,"Amadurecimento — manter bloom alto",IF(4=8,"Pré-flush — analisar tricomas",IF(4=9,"Semana extra (sativa)",IF(4=10,"Semana extra (sativa)",IF(4=11,"Reduzir — semana final",IF(4=12,"Último adubo antes flush","")))))))))))),IF(IFERROR(MATCH('🌱 Configuração'!$H$12,{"BioBizz","Remo Nutrients","General Organics","SuperSoil","Genérico"},0),1)=2,IF(4=1,"Apenas Micro+Bloom em floração Remo",IF(4=2,"Sem Grow a partir daqui",IF(4=3,"Tabela oficial: 2.1 mL/L S1–S4",IF(4=4,"Astroflower = estimulante floração",IF(4=5,"Tabela oficial: 2.6 mL/L S5–S7",IF(4=6,"Pico de floração Remo",IF(4=7,"Tabela oficial S7",IF(4=8,"Reduzir — semana final",IF(4=9,"Semana extra — sativa",IF(4=10,"Semana extra",IF(4=11,"Reduzir para flush",IF(4=12,"Último adubo","")))))))))))),IF(IFERROR(MATCH('🌱 Configuração'!$H$12,{"BioBizz","Remo Nutrients","General Organics","SuperSoil","Genérico"},0),1)=3,IF(4=1,"BioBud = estimulante flores GO",IF(4=2,"Early Flower GO",IF(4=3,"Mid Flower GO",IF(4=4,"BioMarine = peixe fermentado GO",IF(4=5,"Pico floração GO",IF(4=6,"Late Flower GO",IF(4=7,"Reduzir CaMg+ final",IF(4=8,"Late Flower GO — pré-flush",IF(4=9,"Semana extra — reduzir dose",IF(4=10,"Semana extra GO (sativa)",IF(4=11,"Semana extra GO",IF(4=12,"Último adubo GO","")))))))))))),IF(IFERROR(MATCH('🌱 Configuração'!$H$12,{"BioBizz","Remo Nutrients","General Organics","SuperSoil","Genérico"},0),1)=4,IF(4=1,"Guano P alto = floração forte",IF(4=2,"Solo vivo em pico — não interferir",IF(4=3,"Alga = K e micronutrientes florais",IF(4=4,"Fósforo natural = buds densos",IF(4=5,"Alimentar microbioma — enchimento",IF(4=6,"Semana de pico — micro + K",IF(4=7,"Reduzir intervenções — amadurecimento",IF(4=8,"Pré-flush SuperSoil",IF(4=9,"Parar coberturas — lavar suave",IF(4=10,"Semana extra (sativa)",IF(4=11,"Semana extra",IF(4=12,"Última semana — observar tricomas","")))))))))))),IF(4=1,"Personalize suas doses",IF(4=2,"Personalize suas doses",IF(4=3,"Personalize suas doses",IF(4=4,"Personalize suas doses",IF(4=5,"Personalize suas doses",IF(4=6,"Personalize suas doses",IF(4=7,"Personalize suas doses",IF(4=8,"Personalize suas doses",IF(4=9,"Personalize suas doses",IF(4=10,"Personalize suas doses",IF(4=11,"Personalize suas doses",IF(4=12,"Personalize suas doses","")))))))))))))))))))</f>
        <v>Parar Bio·Grow — fase de flora plena</v>
      </c>
      <c r="N28" s="1"/>
    </row>
    <row r="29" spans="1:14" ht="21.75" customHeight="1">
      <c r="A29" s="1"/>
      <c r="B29" s="25" t="str">
        <f>IF(5&lt;='🌱 Configuração'!$H$8,"S5","—")</f>
        <v>S5</v>
      </c>
      <c r="C29" s="13">
        <f>IF(5&lt;='🌱 Configuração'!$H$8,'🌱 Configuração'!$D$56+28,"")</f>
        <v>84</v>
      </c>
      <c r="D29" s="14" t="str">
        <f t="array" ref="D29">IF('🌱 Configuração'!$D$56="","",IF(5&lt;1,"",IF(5&gt;'🌱 Configuração'!$H$8,"",IF(IFERROR(MATCH('🌱 Configuração'!$H$12,{"BioBizz","Remo Nutrients","General Organics","SuperSoil","Genérico"},0),1)=1,IF(5=1,"Bio·Grow",IF(5=2,"Bio·Grow",IF(5=3,"Bio·Grow",IF(5=4,"—",IF(5=5,"—",IF(5=6,"—",IF(5=7,"—",IF(5=8,"—",IF(5=9,"—",IF(5=10,"—",IF(5=11,"—",IF(5=12,"—","")))))))))))),IF(IFERROR(MATCH('🌱 Configuração'!$H$12,{"BioBizz","Remo Nutrients","General Organics","SuperSoil","Genérico"},0),1)=2,IF(5=1,"Micro",IF(5=2,"Micro",IF(5=3,"Micro",IF(5=4,"Micro",IF(5=5,"Micro",IF(5=6,"Micro",IF(5=7,"Micro",IF(5=8,"Micro",IF(5=9,"Micro",IF(5=10,"Micro",IF(5=11,"Micro",IF(5=12,"Micro","")))))))))))),IF(IFERROR(MATCH('🌱 Configuração'!$H$12,{"BioBizz","Remo Nutrients","General Organics","SuperSoil","Genérico"},0),1)=3,IF(5=1,"BioThrive B",IF(5=2,"BioThrive B",IF(5=3,"BioThrive B",IF(5=4,"BioThrive B",IF(5=5,"BioThrive B",IF(5=6,"BioThrive B",IF(5=7,"BioThrive B",IF(5=8,"BioThrive B",IF(5=9,"BioThrive B",IF(5=10,"BioThrive B",IF(5=11,"BioThrive B",IF(5=12,"BioThrive B","")))))))))))),IF(IFERROR(MATCH('🌱 Configuração'!$H$12,{"BioBizz","Remo Nutrients","General Organics","SuperSoil","Genérico"},0),1)=4,IF(5=1,"Cobertura: guano de morcego",IF(5=2,"Chá de compostagem",IF(5=3,"Cobertura: farinha de alga",IF(5=4,"Cobertura: guano de morcego",IF(5=5,"Molasses 2 mL/L",IF(5=6,"Cobertura: farinha de alga",IF(5=7,"Chá de compostagem",IF(5=8,"Molasses 2 mL/L",IF(5=9,"Água pura",IF(5=10,"Água pura",IF(5=11,"Água pura",IF(5=12,"Água pura","")))))))))))),IF(5=1,"← Preencha",IF(5=2,"← Preencha",IF(5=3,"← Preencha",IF(5=4,"← Preencha",IF(5=5,"← Preencha",IF(5=6,"← Preencha",IF(5=7,"← Preencha",IF(5=8,"← Preencha",IF(5=9,"← Preencha",IF(5=10,"← Preencha",IF(5=11,"← Preencha",IF(5=12,"← Preencha","")))))))))))))))))))</f>
        <v>—</v>
      </c>
      <c r="E29" s="15" t="str">
        <f t="array" ref="E29">IF('🌱 Configuração'!$D$56="","",IF(5&lt;1,"",IF(5&gt;'🌱 Configuração'!$H$8,"",IF(IFERROR(MATCH('🌱 Configuração'!$H$12,{"BioBizz","Remo Nutrients","General Organics","SuperSoil","Genérico"},0),1)=1,IF(5=1,"1 mL/L",IF(5=2,"1 mL/L",IF(5=3,"1 mL/L",IF(5=4,"—",IF(5=5,"—",IF(5=6,"—",IF(5=7,"—",IF(5=8,"—",IF(5=9,"—",IF(5=10,"—",IF(5=11,"—",IF(5=12,"—","")))))))))))),IF(IFERROR(MATCH('🌱 Configuração'!$H$12,{"BioBizz","Remo Nutrients","General Organics","SuperSoil","Genérico"},0),1)=2,IF(5=1,"2.1 mL/L",IF(5=2,"2.1 mL/L",IF(5=3,"2.1 mL/L",IF(5=4,"2.1 mL/L",IF(5=5,"2.6 mL/L",IF(5=6,"2.6 mL/L",IF(5=7,"2.6 mL/L",IF(5=8,"2.1 mL/L",IF(5=9,"2.1 mL/L",IF(5=10,"2.1 mL/L",IF(5=11,"1.5 mL/L",IF(5=12,"1.0 mL/L","")))))))))))),IF(IFERROR(MATCH('🌱 Configuração'!$H$12,{"BioBizz","Remo Nutrients","General Organics","SuperSoil","Genérico"},0),1)=3,IF(5=1,"2.6 mL/L",IF(5=2,"2.6 mL/L",IF(5=3,"2.6 mL/L",IF(5=4,"2.6 mL/L",IF(5=5,"2.6 mL/L",IF(5=6,"2.6 mL/L",IF(5=7,"2.6 mL/L",IF(5=8,"2.6 mL/L",IF(5=9,"1.3 mL/L",IF(5=10,"1.3 mL/L",IF(5=11,"1.3 mL/L",IF(5=12,"1.3 mL/L","")))))))))))),IF(IFERROR(MATCH('🌱 Configuração'!$H$12,{"BioBizz","Remo Nutrients","General Organics","SuperSoil","Genérico"},0),1)=4,IF(5=1,"5g/L solo",IF(5=2,"2L/planta",IF(5=3,"5g/L solo",IF(5=4,"5g/L solo",IF(5=5,"—",IF(5=6,"5g/L solo",IF(5=7,"2L/planta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—</v>
      </c>
      <c r="F29" s="14" t="str">
        <f t="array" ref="F29">IF('🌱 Configuração'!$D$56="","",IF(5&lt;1,"",IF(5&gt;'🌱 Configuração'!$H$8,"",IF(IFERROR(MATCH('🌱 Configuração'!$H$12,{"BioBizz","Remo Nutrients","General Organics","SuperSoil","Genérico"},0),1)=1,IF(5=1,"Bio·Bloom",IF(5=2,"Bio·Bloom",IF(5=3,"Bio·Bloom",IF(5=4,"Bio·Bloom",IF(5=5,"Bio·Bloom",IF(5=6,"Bio·Bloom",IF(5=7,"Bio·Bloom",IF(5=8,"Bio·Bloom",IF(5=9,"Bio·Bloom",IF(5=10,"Bio·Bloom",IF(5=11,"Bio·Bloom",IF(5=12,"Bio·Bloom","")))))))))))),IF(IFERROR(MATCH('🌱 Configuração'!$H$12,{"BioBizz","Remo Nutrients","General Organics","SuperSoil","Genérico"},0),1)=2,IF(5=1,"Bloom",IF(5=2,"Bloom",IF(5=3,"Bloom",IF(5=4,"Bloom",IF(5=5,"Bloom",IF(5=6,"Bloom",IF(5=7,"Bloom",IF(5=8,"Bloom",IF(5=9,"Bloom",IF(5=10,"Bloom",IF(5=11,"Bloom",IF(5=12,"Bloom","")))))))))))),IF(IFERROR(MATCH('🌱 Configuração'!$H$12,{"BioBizz","Remo Nutrients","General Organics","SuperSoil","Genérico"},0),1)=3,IF(5=1,"BioBud",IF(5=2,"BioBud",IF(5=3,"BioBud",IF(5=4,"BioBud",IF(5=5,"BioBud",IF(5=6,"BioBud",IF(5=7,"BioBud",IF(5=8,"—",IF(5=9,"—",IF(5=10,"—",IF(5=11,"—",IF(5=12,"—","")))))))))))),IF(IFERROR(MATCH('🌱 Configuração'!$H$12,{"BioBizz","Remo Nutrients","General Organics","SuperSoil","Genérico"},0),1)=4,IF(5=1,"Molasses 2 mL/L",IF(5=2,"—",IF(5=3,"—",IF(5=4,"Cobertura: fosfato natural",IF(5=5,"—",IF(5=6,"Molasses 2 mL/L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Bio·Bloom</v>
      </c>
      <c r="G29" s="15" t="str">
        <f t="array" ref="G29">IF('🌱 Configuração'!$D$56="","",IF(5&lt;1,"",IF(5&gt;'🌱 Configuração'!$H$8,"",IF(IFERROR(MATCH('🌱 Configuração'!$H$12,{"BioBizz","Remo Nutrients","General Organics","SuperSoil","Genérico"},0),1)=1,IF(5=1,"1 mL/L",IF(5=2,"2 mL/L",IF(5=3,"3 mL/L",IF(5=4,"3 mL/L",IF(5=5,"4 mL/L",IF(5=6,"4 mL/L",IF(5=7,"4 mL/L",IF(5=8,"4 mL/L",IF(5=9,"4 mL/L",IF(5=10,"4 mL/L",IF(5=11,"4 mL/L",IF(5=12,"2 mL/L","")))))))))))),IF(IFERROR(MATCH('🌱 Configuração'!$H$12,{"BioBizz","Remo Nutrients","General Organics","SuperSoil","Genérico"},0),1)=2,IF(5=1,"2.1 mL/L",IF(5=2,"2.1 mL/L",IF(5=3,"2.1 mL/L",IF(5=4,"2.1 mL/L",IF(5=5,"2.6 mL/L",IF(5=6,"2.6 mL/L",IF(5=7,"2.6 mL/L",IF(5=8,"2.1 mL/L",IF(5=9,"2.1 mL/L",IF(5=10,"2.1 mL/L",IF(5=11,"1.5 mL/L",IF(5=12,"1.0 mL/L","")))))))))))),IF(IFERROR(MATCH('🌱 Configuração'!$H$12,{"BioBizz","Remo Nutrients","General Organics","SuperSoil","Genérico"},0),1)=3,IF(5=1,"0.7 mL/L",IF(5=2,"0.7 mL/L",IF(5=3,"0.7 mL/L",IF(5=4,"0.7 mL/L",IF(5=5,"0.7 mL/L",IF(5=6,"0.7 mL/L",IF(5=7,"0.7 mL/L",IF(5=8,"—",IF(5=9,"—",IF(5=10,"—",IF(5=11,"—",IF(5=12,"—","")))))))))))),IF(IFERROR(MATCH('🌱 Configuração'!$H$12,{"BioBizz","Remo Nutrients","General Organics","SuperSoil","Genérico"},0),1)=4,IF(5=1,"—",IF(5=2,"—",IF(5=3,"—",IF(5=4,"5g/L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4 mL/L</v>
      </c>
      <c r="H29" s="14" t="str">
        <f t="array" ref="H29">IF('🌱 Configuração'!$D$56="","",IF(5&lt;1,"",IF(5&gt;'🌱 Configuração'!$H$8,"",IF(IFERROR(MATCH('🌱 Configuração'!$H$12,{"BioBizz","Remo Nutrients","General Organics","SuperSoil","Genérico"},0),1)=1,IF(5=1,"Top·Max",IF(5=2,"Top·Max",IF(5=3,"Top·Max",IF(5=4,"Top·Max",IF(5=5,"Top·Max",IF(5=6,"Top·Max",IF(5=7,"Top·Max",IF(5=8,"Top·Max",IF(5=9,"Top·Max",IF(5=10,"Top·Max",IF(5=11,"Top·Max",IF(5=12,"Top·Max","")))))))))))),IF(IFERROR(MATCH('🌱 Configuração'!$H$12,{"BioBizz","Remo Nutrients","General Organics","SuperSoil","Genérico"},0),1)=2,IF(5=1,"—",IF(5=2,"—",IF(5=3,"—",IF(5=4,"Astroflower",IF(5=5,"Astroflower",IF(5=6,"Astroflower",IF(5=7,"Astroflower",IF(5=8,"—",IF(5=9,"—",IF(5=10,"—",IF(5=11,"—",IF(5=12,"—","")))))))))))),IF(IFERROR(MATCH('🌱 Configuração'!$H$12,{"BioBizz","Remo Nutrients","General Organics","SuperSoil","Genérico"},0),1)=3,IF(5=1,"CaMg+",IF(5=2,"CaMg+",IF(5=3,"CaMg+",IF(5=4,"CaMg+",IF(5=5,"CaMg+",IF(5=6,"CaMg+",IF(5=7,"—",IF(5=8,"—",IF(5=9,"—",IF(5=10,"—",IF(5=11,"—",IF(5=12,"—","")))))))))))),IF(IFERROR(MATCH('🌱 Configuração'!$H$12,{"BioBizz","Remo Nutrients","General Organics","SuperSoil","Genérico"},0),1)=4,IF(5=1,"—",IF(5=2,"—",IF(5=3,"—",IF(5=4,"—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Top·Max</v>
      </c>
      <c r="I29" s="15" t="str">
        <f t="array" ref="I29">IF('🌱 Configuração'!$D$56="","",IF(5&lt;1,"",IF(5&gt;'🌱 Configuração'!$H$8,"",IF(IFERROR(MATCH('🌱 Configuração'!$H$12,{"BioBizz","Remo Nutrients","General Organics","SuperSoil","Genérico"},0),1)=1,IF(5=1,"1 mL/L",IF(5=2,"1 mL/L",IF(5=3,"2 mL/L",IF(5=4,"2 mL/L",IF(5=5,"3 mL/L",IF(5=6,"3 mL/L",IF(5=7,"4 mL/L",IF(5=8,"4 mL/L",IF(5=9,"4 mL/L",IF(5=10,"4 mL/L",IF(5=11,"4 mL/L",IF(5=12,"2 mL/L","")))))))))))),IF(IFERROR(MATCH('🌱 Configuração'!$H$12,{"BioBizz","Remo Nutrients","General Organics","SuperSoil","Genérico"},0),1)=2,IF(5=1,"—",IF(5=2,"—",IF(5=3,"—",IF(5=4,"1.0 mL/L",IF(5=5,"2.0 mL/L",IF(5=6,"2.0 mL/L",IF(5=7,"1.0 mL/L",IF(5=8,"—",IF(5=9,"—",IF(5=10,"—",IF(5=11,"—",IF(5=12,"—","")))))))))))),IF(IFERROR(MATCH('🌱 Configuração'!$H$12,{"BioBizz","Remo Nutrients","General Organics","SuperSoil","Genérico"},0),1)=3,IF(5=1,"1.3 mL/L",IF(5=2,"1.3 mL/L",IF(5=3,"1.3 mL/L",IF(5=4,"1.3 mL/L",IF(5=5,"1.3 mL/L",IF(5=6,"0.7 mL/L",IF(5=7,"—",IF(5=8,"—",IF(5=9,"—",IF(5=10,"—",IF(5=11,"—",IF(5=12,"—","")))))))))))),IF(IFERROR(MATCH('🌱 Configuração'!$H$12,{"BioBizz","Remo Nutrients","General Organics","SuperSoil","Genérico"},0),1)=4,IF(5=1,"—",IF(5=2,"—",IF(5=3,"—",IF(5=4,"—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3 mL/L</v>
      </c>
      <c r="J29" s="14" t="str">
        <f t="array" ref="J29">IF('🌱 Configuração'!$D$56="","",IF(5&lt;1,"",IF(5&gt;'🌱 Configuração'!$H$8,"",IF(IFERROR(MATCH('🌱 Configuração'!$H$12,{"BioBizz","Remo Nutrients","General Organics","SuperSoil","Genérico"},0),1)=1,IF(5=1,"Alg·A·Mic 1mL",IF(5=2,"—",IF(5=3,"—",IF(5=4,"—",IF(5=5,"—",IF(5=6,"Alg·A·Mic 1mL",IF(5=7,"—",IF(5=8,"—",IF(5=9,"—",IF(5=10,"—",IF(5=11,"—",IF(5=12,"—","")))))))))))),IF(IFERROR(MATCH('🌱 Configuração'!$H$12,{"BioBizz","Remo Nutrients","General Organics","SuperSoil","Genérico"},0),1)=2,IF(5=1,"Magnifical 1.0",IF(5=2,"Magnifical 1.0",IF(5=3,"Magnifical 1.0",IF(5=4,"Magnifical 1.0",IF(5=5,"Kelp 1.0 mL",IF(5=6,"Kelp 1.0 mL",IF(5=7,"—",IF(5=8,"—",IF(5=9,"—",IF(5=10,"—",IF(5=11,"—",IF(5=12,"—","")))))))))))),IF(IFERROR(MATCH('🌱 Configuração'!$H$12,{"BioBizz","Remo Nutrients","General Organics","SuperSoil","Genérico"},0),1)=3,IF(5=1,"BioWeed 0.7",IF(5=2,"—",IF(5=3,"—",IF(5=4,"BioMarine 0.7",IF(5=5,"BioMarine 0.7",IF(5=6,"—",IF(5=7,"—",IF(5=8,"—",IF(5=9,"—",IF(5=10,"—",IF(5=11,"—",IF(5=12,"—","")))))))))))),IF(IFERROR(MATCH('🌱 Configuração'!$H$12,{"BioBizz","Remo Nutrients","General Organics","SuperSoil","Genérico"},0),1)=4,IF(5=1,"Chá",IF(5=2,"—",IF(5=3,"Molasses 2mL",IF(5=4,"—",IF(5=5,"Chá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—</v>
      </c>
      <c r="K29" s="16" t="str">
        <f t="array" ref="K29">IF('🌱 Configuração'!$D$56="","",IF(5&lt;1,"",IF(5&gt;'🌱 Configuração'!$H$8,"",IF(IFERROR(MATCH('🌱 Configuração'!$H$12,{"BioBizz","Remo Nutrients","General Organics","SuperSoil","Genérico"},0),1)=1,IF(5=1,"6.2–6.5",IF(5=2,"6.2–6.5",IF(5=3,"6.2–6.5",IF(5=4,"6.2–6.5",IF(5=5,"6.2–6.5",IF(5=6,"6.2–6.5",IF(5=7,"6.2–6.5",IF(5=8,"6.2–6.5",IF(5=9,"6.2–6.5",IF(5=10,"6.2–6.5",IF(5=11,"6.2–6.5",IF(5=12,"6.2–6.5","")))))))))))),IF(IFERROR(MATCH('🌱 Configuração'!$H$12,{"BioBizz","Remo Nutrients","General Organics","SuperSoil","Genérico"},0),1)=2,IF(5=1,"6.0–6.3",IF(5=2,"6.0–6.3",IF(5=3,"6.0–6.3",IF(5=4,"6.0–6.3",IF(5=5,"6.0–6.3",IF(5=6,"6.0–6.3",IF(5=7,"6.0–6.3",IF(5=8,"6.0–6.3",IF(5=9,"6.0–6.3",IF(5=10,"6.0–6.3",IF(5=11,"6.0–6.3",IF(5=12,"6.0–6.3","")))))))))))),IF(IFERROR(MATCH('🌱 Configuração'!$H$12,{"BioBizz","Remo Nutrients","General Organics","SuperSoil","Genérico"},0),1)=3,IF(5=1,"6.2–7.0",IF(5=2,"6.2–7.0",IF(5=3,"6.2–7.0",IF(5=4,"6.2–7.0",IF(5=5,"6.2–7.0",IF(5=6,"6.2–7.0",IF(5=7,"6.2–7.0",IF(5=8,"6.2–7.0",IF(5=9,"6.2–7.0",IF(5=10,"6.2–7.0",IF(5=11,"6.2–7.0",IF(5=12,"6.2–7.0","")))))))))))),IF(IFERROR(MATCH('🌱 Configuração'!$H$12,{"BioBizz","Remo Nutrients","General Organics","SuperSoil","Genérico"},0),1)=4,IF(5=1,"auto",IF(5=2,"auto",IF(5=3,"auto",IF(5=4,"auto",IF(5=5,"auto",IF(5=6,"auto",IF(5=7,"auto",IF(5=8,"auto",IF(5=9,"auto",IF(5=10,"auto",IF(5=11,"auto",IF(5=12,"auto","")))))))))))),IF(5=1,"—",IF(5=2,"—",IF(5=3,"—",IF(5=4,"—",IF(5=5,"—",IF(5=6,"—",IF(5=7,"—",IF(5=8,"—",IF(5=9,"—",IF(5=10,"—",IF(5=11,"—",IF(5=12,"—","")))))))))))))))))))</f>
        <v>6.2–6.5</v>
      </c>
      <c r="L29" s="17" t="str">
        <f t="array" ref="L29">IF('🌱 Configuração'!$D$56="","",IF(5&lt;1,"",IF(5&gt;'🌱 Configuração'!$H$8,"",IF(IFERROR(MATCH('🌱 Configuração'!$H$12,{"BioBizz","Remo Nutrients","General Organics","SuperSoil","Genérico"},0),1)=1,IF(5=1,"1.6",IF(5=2,"1.7",IF(5=3,"1.8",IF(5=4,"1.9",IF(5=5,"2.0",IF(5=6,"2.0",IF(5=7,"1.9",IF(5=8,"1.8",IF(5=9,"1.6",IF(5=10,"1.6",IF(5=11,"1.4",IF(5=12,"1.0","")))))))))))),IF(IFERROR(MATCH('🌱 Configuração'!$H$12,{"BioBizz","Remo Nutrients","General Organics","SuperSoil","Genérico"},0),1)=2,IF(5=1,"1.6",IF(5=2,"1.7",IF(5=3,"1.8",IF(5=4,"1.9",IF(5=5,"2.0",IF(5=6,"2.0",IF(5=7,"1.8",IF(5=8,"1.6",IF(5=9,"1.4",IF(5=10,"1.4",IF(5=11,"1.0",IF(5=12,"0.8","")))))))))))),IF(IFERROR(MATCH('🌱 Configuração'!$H$12,{"BioBizz","Remo Nutrients","General Organics","SuperSoil","Genérico"},0),1)=3,IF(5=1,"N/A",IF(5=2,"N/A",IF(5=3,"N/A",IF(5=4,"N/A",IF(5=5,"N/A",IF(5=6,"N/A",IF(5=7,"N/A",IF(5=8,"N/A",IF(5=9,"N/A",IF(5=10,"N/A",IF(5=11,"N/A",IF(5=12,"N/A","")))))))))))),IF(IFERROR(MATCH('🌱 Configuração'!$H$12,{"BioBizz","Remo Nutrients","General Organics","SuperSoil","Genérico"},0),1)=4,IF(5=1,"auto",IF(5=2,"auto",IF(5=3,"auto",IF(5=4,"auto",IF(5=5,"auto",IF(5=6,"auto",IF(5=7,"auto",IF(5=8,"auto",IF(5=9,"auto",IF(5=10,"auto",IF(5=11,"auto",IF(5=12,"auto","")))))))))))),IF(5=1,"—",IF(5=2,"—",IF(5=3,"—",IF(5=4,"—",IF(5=5,"—",IF(5=6,"—",IF(5=7,"—",IF(5=8,"—",IF(5=9,"—",IF(5=10,"—",IF(5=11,"—",IF(5=12,"—","")))))))))))))))))))</f>
        <v>2.0</v>
      </c>
      <c r="M29" s="14" t="str">
        <f t="array" ref="M29">IF('🌱 Configuração'!$D$56="","",IF(5&lt;1,"",IF(5&gt;'🌱 Configuração'!$H$8,"",IF(IFERROR(MATCH('🌱 Configuração'!$H$12,{"BioBizz","Remo Nutrients","General Organics","SuperSoil","Genérico"},0),1)=1,IF(5=1,"Manter Bio·Grow em S1–S3 flora",IF(5=2,"Formação de pistils",IF(5=3,"Início do enchimento",IF(5=4,"Parar Bio·Grow — fase de flora plena",IF(5=5,"Pico de floração",IF(5=6,"Enchimento máximo",IF(5=7,"Amadurecimento — manter bloom alto",IF(5=8,"Pré-flush — analisar tricomas",IF(5=9,"Semana extra (sativa)",IF(5=10,"Semana extra (sativa)",IF(5=11,"Reduzir — semana final",IF(5=12,"Último adubo antes flush","")))))))))))),IF(IFERROR(MATCH('🌱 Configuração'!$H$12,{"BioBizz","Remo Nutrients","General Organics","SuperSoil","Genérico"},0),1)=2,IF(5=1,"Apenas Micro+Bloom em floração Remo",IF(5=2,"Sem Grow a partir daqui",IF(5=3,"Tabela oficial: 2.1 mL/L S1–S4",IF(5=4,"Astroflower = estimulante floração",IF(5=5,"Tabela oficial: 2.6 mL/L S5–S7",IF(5=6,"Pico de floração Remo",IF(5=7,"Tabela oficial S7",IF(5=8,"Reduzir — semana final",IF(5=9,"Semana extra — sativa",IF(5=10,"Semana extra",IF(5=11,"Reduzir para flush",IF(5=12,"Último adubo","")))))))))))),IF(IFERROR(MATCH('🌱 Configuração'!$H$12,{"BioBizz","Remo Nutrients","General Organics","SuperSoil","Genérico"},0),1)=3,IF(5=1,"BioBud = estimulante flores GO",IF(5=2,"Early Flower GO",IF(5=3,"Mid Flower GO",IF(5=4,"BioMarine = peixe fermentado GO",IF(5=5,"Pico floração GO",IF(5=6,"Late Flower GO",IF(5=7,"Reduzir CaMg+ final",IF(5=8,"Late Flower GO — pré-flush",IF(5=9,"Semana extra — reduzir dose",IF(5=10,"Semana extra GO (sativa)",IF(5=11,"Semana extra GO",IF(5=12,"Último adubo GO","")))))))))))),IF(IFERROR(MATCH('🌱 Configuração'!$H$12,{"BioBizz","Remo Nutrients","General Organics","SuperSoil","Genérico"},0),1)=4,IF(5=1,"Guano P alto = floração forte",IF(5=2,"Solo vivo em pico — não interferir",IF(5=3,"Alga = K e micronutrientes florais",IF(5=4,"Fósforo natural = buds densos",IF(5=5,"Alimentar microbioma — enchimento",IF(5=6,"Semana de pico — micro + K",IF(5=7,"Reduzir intervenções — amadurecimento",IF(5=8,"Pré-flush SuperSoil",IF(5=9,"Parar coberturas — lavar suave",IF(5=10,"Semana extra (sativa)",IF(5=11,"Semana extra",IF(5=12,"Última semana — observar tricomas","")))))))))))),IF(5=1,"Personalize suas doses",IF(5=2,"Personalize suas doses",IF(5=3,"Personalize suas doses",IF(5=4,"Personalize suas doses",IF(5=5,"Personalize suas doses",IF(5=6,"Personalize suas doses",IF(5=7,"Personalize suas doses",IF(5=8,"Personalize suas doses",IF(5=9,"Personalize suas doses",IF(5=10,"Personalize suas doses",IF(5=11,"Personalize suas doses",IF(5=12,"Personalize suas doses","")))))))))))))))))))</f>
        <v>Pico de floração</v>
      </c>
      <c r="N29" s="1"/>
    </row>
    <row r="30" spans="1:14" ht="21.75" customHeight="1">
      <c r="A30" s="1"/>
      <c r="B30" s="25" t="str">
        <f>IF(6&lt;='🌱 Configuração'!$H$8,"S6","—")</f>
        <v>S6</v>
      </c>
      <c r="C30" s="26">
        <f>IF(6&lt;='🌱 Configuração'!$H$8,'🌱 Configuração'!$D$56+35,"")</f>
        <v>91</v>
      </c>
      <c r="D30" s="27" t="str">
        <f t="array" ref="D30">IF('🌱 Configuração'!$D$56="","",IF(6&lt;1,"",IF(6&gt;'🌱 Configuração'!$H$8,"",IF(IFERROR(MATCH('🌱 Configuração'!$H$12,{"BioBizz","Remo Nutrients","General Organics","SuperSoil","Genérico"},0),1)=1,IF(6=1,"Bio·Grow",IF(6=2,"Bio·Grow",IF(6=3,"Bio·Grow",IF(6=4,"—",IF(6=5,"—",IF(6=6,"—",IF(6=7,"—",IF(6=8,"—",IF(6=9,"—",IF(6=10,"—",IF(6=11,"—",IF(6=12,"—","")))))))))))),IF(IFERROR(MATCH('🌱 Configuração'!$H$12,{"BioBizz","Remo Nutrients","General Organics","SuperSoil","Genérico"},0),1)=2,IF(6=1,"Micro",IF(6=2,"Micro",IF(6=3,"Micro",IF(6=4,"Micro",IF(6=5,"Micro",IF(6=6,"Micro",IF(6=7,"Micro",IF(6=8,"Micro",IF(6=9,"Micro",IF(6=10,"Micro",IF(6=11,"Micro",IF(6=12,"Micro","")))))))))))),IF(IFERROR(MATCH('🌱 Configuração'!$H$12,{"BioBizz","Remo Nutrients","General Organics","SuperSoil","Genérico"},0),1)=3,IF(6=1,"BioThrive B",IF(6=2,"BioThrive B",IF(6=3,"BioThrive B",IF(6=4,"BioThrive B",IF(6=5,"BioThrive B",IF(6=6,"BioThrive B",IF(6=7,"BioThrive B",IF(6=8,"BioThrive B",IF(6=9,"BioThrive B",IF(6=10,"BioThrive B",IF(6=11,"BioThrive B",IF(6=12,"BioThrive B","")))))))))))),IF(IFERROR(MATCH('🌱 Configuração'!$H$12,{"BioBizz","Remo Nutrients","General Organics","SuperSoil","Genérico"},0),1)=4,IF(6=1,"Cobertura: guano de morcego",IF(6=2,"Chá de compostagem",IF(6=3,"Cobertura: farinha de alga",IF(6=4,"Cobertura: guano de morcego",IF(6=5,"Molasses 2 mL/L",IF(6=6,"Cobertura: farinha de alga",IF(6=7,"Chá de compostagem",IF(6=8,"Molasses 2 mL/L",IF(6=9,"Água pura",IF(6=10,"Água pura",IF(6=11,"Água pura",IF(6=12,"Água pura","")))))))))))),IF(6=1,"← Preencha",IF(6=2,"← Preencha",IF(6=3,"← Preencha",IF(6=4,"← Preencha",IF(6=5,"← Preencha",IF(6=6,"← Preencha",IF(6=7,"← Preencha",IF(6=8,"← Preencha",IF(6=9,"← Preencha",IF(6=10,"← Preencha",IF(6=11,"← Preencha",IF(6=12,"← Preencha","")))))))))))))))))))</f>
        <v>—</v>
      </c>
      <c r="E30" s="28" t="str">
        <f t="array" ref="E30">IF('🌱 Configuração'!$D$56="","",IF(6&lt;1,"",IF(6&gt;'🌱 Configuração'!$H$8,"",IF(IFERROR(MATCH('🌱 Configuração'!$H$12,{"BioBizz","Remo Nutrients","General Organics","SuperSoil","Genérico"},0),1)=1,IF(6=1,"1 mL/L",IF(6=2,"1 mL/L",IF(6=3,"1 mL/L",IF(6=4,"—",IF(6=5,"—",IF(6=6,"—",IF(6=7,"—",IF(6=8,"—",IF(6=9,"—",IF(6=10,"—",IF(6=11,"—",IF(6=12,"—","")))))))))))),IF(IFERROR(MATCH('🌱 Configuração'!$H$12,{"BioBizz","Remo Nutrients","General Organics","SuperSoil","Genérico"},0),1)=2,IF(6=1,"2.1 mL/L",IF(6=2,"2.1 mL/L",IF(6=3,"2.1 mL/L",IF(6=4,"2.1 mL/L",IF(6=5,"2.6 mL/L",IF(6=6,"2.6 mL/L",IF(6=7,"2.6 mL/L",IF(6=8,"2.1 mL/L",IF(6=9,"2.1 mL/L",IF(6=10,"2.1 mL/L",IF(6=11,"1.5 mL/L",IF(6=12,"1.0 mL/L","")))))))))))),IF(IFERROR(MATCH('🌱 Configuração'!$H$12,{"BioBizz","Remo Nutrients","General Organics","SuperSoil","Genérico"},0),1)=3,IF(6=1,"2.6 mL/L",IF(6=2,"2.6 mL/L",IF(6=3,"2.6 mL/L",IF(6=4,"2.6 mL/L",IF(6=5,"2.6 mL/L",IF(6=6,"2.6 mL/L",IF(6=7,"2.6 mL/L",IF(6=8,"2.6 mL/L",IF(6=9,"1.3 mL/L",IF(6=10,"1.3 mL/L",IF(6=11,"1.3 mL/L",IF(6=12,"1.3 mL/L","")))))))))))),IF(IFERROR(MATCH('🌱 Configuração'!$H$12,{"BioBizz","Remo Nutrients","General Organics","SuperSoil","Genérico"},0),1)=4,IF(6=1,"5g/L solo",IF(6=2,"2L/planta",IF(6=3,"5g/L solo",IF(6=4,"5g/L solo",IF(6=5,"—",IF(6=6,"5g/L solo",IF(6=7,"2L/planta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—</v>
      </c>
      <c r="F30" s="27" t="str">
        <f t="array" ref="F30">IF('🌱 Configuração'!$D$56="","",IF(6&lt;1,"",IF(6&gt;'🌱 Configuração'!$H$8,"",IF(IFERROR(MATCH('🌱 Configuração'!$H$12,{"BioBizz","Remo Nutrients","General Organics","SuperSoil","Genérico"},0),1)=1,IF(6=1,"Bio·Bloom",IF(6=2,"Bio·Bloom",IF(6=3,"Bio·Bloom",IF(6=4,"Bio·Bloom",IF(6=5,"Bio·Bloom",IF(6=6,"Bio·Bloom",IF(6=7,"Bio·Bloom",IF(6=8,"Bio·Bloom",IF(6=9,"Bio·Bloom",IF(6=10,"Bio·Bloom",IF(6=11,"Bio·Bloom",IF(6=12,"Bio·Bloom","")))))))))))),IF(IFERROR(MATCH('🌱 Configuração'!$H$12,{"BioBizz","Remo Nutrients","General Organics","SuperSoil","Genérico"},0),1)=2,IF(6=1,"Bloom",IF(6=2,"Bloom",IF(6=3,"Bloom",IF(6=4,"Bloom",IF(6=5,"Bloom",IF(6=6,"Bloom",IF(6=7,"Bloom",IF(6=8,"Bloom",IF(6=9,"Bloom",IF(6=10,"Bloom",IF(6=11,"Bloom",IF(6=12,"Bloom","")))))))))))),IF(IFERROR(MATCH('🌱 Configuração'!$H$12,{"BioBizz","Remo Nutrients","General Organics","SuperSoil","Genérico"},0),1)=3,IF(6=1,"BioBud",IF(6=2,"BioBud",IF(6=3,"BioBud",IF(6=4,"BioBud",IF(6=5,"BioBud",IF(6=6,"BioBud",IF(6=7,"BioBud",IF(6=8,"—",IF(6=9,"—",IF(6=10,"—",IF(6=11,"—",IF(6=12,"—","")))))))))))),IF(IFERROR(MATCH('🌱 Configuração'!$H$12,{"BioBizz","Remo Nutrients","General Organics","SuperSoil","Genérico"},0),1)=4,IF(6=1,"Molasses 2 mL/L",IF(6=2,"—",IF(6=3,"—",IF(6=4,"Cobertura: fosfato natural",IF(6=5,"—",IF(6=6,"Molasses 2 mL/L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Bio·Bloom</v>
      </c>
      <c r="G30" s="28" t="str">
        <f t="array" ref="G30">IF('🌱 Configuração'!$D$56="","",IF(6&lt;1,"",IF(6&gt;'🌱 Configuração'!$H$8,"",IF(IFERROR(MATCH('🌱 Configuração'!$H$12,{"BioBizz","Remo Nutrients","General Organics","SuperSoil","Genérico"},0),1)=1,IF(6=1,"1 mL/L",IF(6=2,"2 mL/L",IF(6=3,"3 mL/L",IF(6=4,"3 mL/L",IF(6=5,"4 mL/L",IF(6=6,"4 mL/L",IF(6=7,"4 mL/L",IF(6=8,"4 mL/L",IF(6=9,"4 mL/L",IF(6=10,"4 mL/L",IF(6=11,"4 mL/L",IF(6=12,"2 mL/L","")))))))))))),IF(IFERROR(MATCH('🌱 Configuração'!$H$12,{"BioBizz","Remo Nutrients","General Organics","SuperSoil","Genérico"},0),1)=2,IF(6=1,"2.1 mL/L",IF(6=2,"2.1 mL/L",IF(6=3,"2.1 mL/L",IF(6=4,"2.1 mL/L",IF(6=5,"2.6 mL/L",IF(6=6,"2.6 mL/L",IF(6=7,"2.6 mL/L",IF(6=8,"2.1 mL/L",IF(6=9,"2.1 mL/L",IF(6=10,"2.1 mL/L",IF(6=11,"1.5 mL/L",IF(6=12,"1.0 mL/L","")))))))))))),IF(IFERROR(MATCH('🌱 Configuração'!$H$12,{"BioBizz","Remo Nutrients","General Organics","SuperSoil","Genérico"},0),1)=3,IF(6=1,"0.7 mL/L",IF(6=2,"0.7 mL/L",IF(6=3,"0.7 mL/L",IF(6=4,"0.7 mL/L",IF(6=5,"0.7 mL/L",IF(6=6,"0.7 mL/L",IF(6=7,"0.7 mL/L",IF(6=8,"—",IF(6=9,"—",IF(6=10,"—",IF(6=11,"—",IF(6=12,"—","")))))))))))),IF(IFERROR(MATCH('🌱 Configuração'!$H$12,{"BioBizz","Remo Nutrients","General Organics","SuperSoil","Genérico"},0),1)=4,IF(6=1,"—",IF(6=2,"—",IF(6=3,"—",IF(6=4,"5g/L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4 mL/L</v>
      </c>
      <c r="H30" s="27" t="str">
        <f t="array" ref="H30">IF('🌱 Configuração'!$D$56="","",IF(6&lt;1,"",IF(6&gt;'🌱 Configuração'!$H$8,"",IF(IFERROR(MATCH('🌱 Configuração'!$H$12,{"BioBizz","Remo Nutrients","General Organics","SuperSoil","Genérico"},0),1)=1,IF(6=1,"Top·Max",IF(6=2,"Top·Max",IF(6=3,"Top·Max",IF(6=4,"Top·Max",IF(6=5,"Top·Max",IF(6=6,"Top·Max",IF(6=7,"Top·Max",IF(6=8,"Top·Max",IF(6=9,"Top·Max",IF(6=10,"Top·Max",IF(6=11,"Top·Max",IF(6=12,"Top·Max","")))))))))))),IF(IFERROR(MATCH('🌱 Configuração'!$H$12,{"BioBizz","Remo Nutrients","General Organics","SuperSoil","Genérico"},0),1)=2,IF(6=1,"—",IF(6=2,"—",IF(6=3,"—",IF(6=4,"Astroflower",IF(6=5,"Astroflower",IF(6=6,"Astroflower",IF(6=7,"Astroflower",IF(6=8,"—",IF(6=9,"—",IF(6=10,"—",IF(6=11,"—",IF(6=12,"—","")))))))))))),IF(IFERROR(MATCH('🌱 Configuração'!$H$12,{"BioBizz","Remo Nutrients","General Organics","SuperSoil","Genérico"},0),1)=3,IF(6=1,"CaMg+",IF(6=2,"CaMg+",IF(6=3,"CaMg+",IF(6=4,"CaMg+",IF(6=5,"CaMg+",IF(6=6,"CaMg+",IF(6=7,"—",IF(6=8,"—",IF(6=9,"—",IF(6=10,"—",IF(6=11,"—",IF(6=12,"—","")))))))))))),IF(IFERROR(MATCH('🌱 Configuração'!$H$12,{"BioBizz","Remo Nutrients","General Organics","SuperSoil","Genérico"},0),1)=4,IF(6=1,"—",IF(6=2,"—",IF(6=3,"—",IF(6=4,"—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Top·Max</v>
      </c>
      <c r="I30" s="28" t="str">
        <f t="array" ref="I30">IF('🌱 Configuração'!$D$56="","",IF(6&lt;1,"",IF(6&gt;'🌱 Configuração'!$H$8,"",IF(IFERROR(MATCH('🌱 Configuração'!$H$12,{"BioBizz","Remo Nutrients","General Organics","SuperSoil","Genérico"},0),1)=1,IF(6=1,"1 mL/L",IF(6=2,"1 mL/L",IF(6=3,"2 mL/L",IF(6=4,"2 mL/L",IF(6=5,"3 mL/L",IF(6=6,"3 mL/L",IF(6=7,"4 mL/L",IF(6=8,"4 mL/L",IF(6=9,"4 mL/L",IF(6=10,"4 mL/L",IF(6=11,"4 mL/L",IF(6=12,"2 mL/L","")))))))))))),IF(IFERROR(MATCH('🌱 Configuração'!$H$12,{"BioBizz","Remo Nutrients","General Organics","SuperSoil","Genérico"},0),1)=2,IF(6=1,"—",IF(6=2,"—",IF(6=3,"—",IF(6=4,"1.0 mL/L",IF(6=5,"2.0 mL/L",IF(6=6,"2.0 mL/L",IF(6=7,"1.0 mL/L",IF(6=8,"—",IF(6=9,"—",IF(6=10,"—",IF(6=11,"—",IF(6=12,"—","")))))))))))),IF(IFERROR(MATCH('🌱 Configuração'!$H$12,{"BioBizz","Remo Nutrients","General Organics","SuperSoil","Genérico"},0),1)=3,IF(6=1,"1.3 mL/L",IF(6=2,"1.3 mL/L",IF(6=3,"1.3 mL/L",IF(6=4,"1.3 mL/L",IF(6=5,"1.3 mL/L",IF(6=6,"0.7 mL/L",IF(6=7,"—",IF(6=8,"—",IF(6=9,"—",IF(6=10,"—",IF(6=11,"—",IF(6=12,"—","")))))))))))),IF(IFERROR(MATCH('🌱 Configuração'!$H$12,{"BioBizz","Remo Nutrients","General Organics","SuperSoil","Genérico"},0),1)=4,IF(6=1,"—",IF(6=2,"—",IF(6=3,"—",IF(6=4,"—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3 mL/L</v>
      </c>
      <c r="J30" s="27" t="str">
        <f t="array" ref="J30">IF('🌱 Configuração'!$D$56="","",IF(6&lt;1,"",IF(6&gt;'🌱 Configuração'!$H$8,"",IF(IFERROR(MATCH('🌱 Configuração'!$H$12,{"BioBizz","Remo Nutrients","General Organics","SuperSoil","Genérico"},0),1)=1,IF(6=1,"Alg·A·Mic 1mL",IF(6=2,"—",IF(6=3,"—",IF(6=4,"—",IF(6=5,"—",IF(6=6,"Alg·A·Mic 1mL",IF(6=7,"—",IF(6=8,"—",IF(6=9,"—",IF(6=10,"—",IF(6=11,"—",IF(6=12,"—","")))))))))))),IF(IFERROR(MATCH('🌱 Configuração'!$H$12,{"BioBizz","Remo Nutrients","General Organics","SuperSoil","Genérico"},0),1)=2,IF(6=1,"Magnifical 1.0",IF(6=2,"Magnifical 1.0",IF(6=3,"Magnifical 1.0",IF(6=4,"Magnifical 1.0",IF(6=5,"Kelp 1.0 mL",IF(6=6,"Kelp 1.0 mL",IF(6=7,"—",IF(6=8,"—",IF(6=9,"—",IF(6=10,"—",IF(6=11,"—",IF(6=12,"—","")))))))))))),IF(IFERROR(MATCH('🌱 Configuração'!$H$12,{"BioBizz","Remo Nutrients","General Organics","SuperSoil","Genérico"},0),1)=3,IF(6=1,"BioWeed 0.7",IF(6=2,"—",IF(6=3,"—",IF(6=4,"BioMarine 0.7",IF(6=5,"BioMarine 0.7",IF(6=6,"—",IF(6=7,"—",IF(6=8,"—",IF(6=9,"—",IF(6=10,"—",IF(6=11,"—",IF(6=12,"—","")))))))))))),IF(IFERROR(MATCH('🌱 Configuração'!$H$12,{"BioBizz","Remo Nutrients","General Organics","SuperSoil","Genérico"},0),1)=4,IF(6=1,"Chá",IF(6=2,"—",IF(6=3,"Molasses 2mL",IF(6=4,"—",IF(6=5,"Chá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Alg·A·Mic 1mL</v>
      </c>
      <c r="K30" s="16" t="str">
        <f t="array" ref="K30">IF('🌱 Configuração'!$D$56="","",IF(6&lt;1,"",IF(6&gt;'🌱 Configuração'!$H$8,"",IF(IFERROR(MATCH('🌱 Configuração'!$H$12,{"BioBizz","Remo Nutrients","General Organics","SuperSoil","Genérico"},0),1)=1,IF(6=1,"6.2–6.5",IF(6=2,"6.2–6.5",IF(6=3,"6.2–6.5",IF(6=4,"6.2–6.5",IF(6=5,"6.2–6.5",IF(6=6,"6.2–6.5",IF(6=7,"6.2–6.5",IF(6=8,"6.2–6.5",IF(6=9,"6.2–6.5",IF(6=10,"6.2–6.5",IF(6=11,"6.2–6.5",IF(6=12,"6.2–6.5","")))))))))))),IF(IFERROR(MATCH('🌱 Configuração'!$H$12,{"BioBizz","Remo Nutrients","General Organics","SuperSoil","Genérico"},0),1)=2,IF(6=1,"6.0–6.3",IF(6=2,"6.0–6.3",IF(6=3,"6.0–6.3",IF(6=4,"6.0–6.3",IF(6=5,"6.0–6.3",IF(6=6,"6.0–6.3",IF(6=7,"6.0–6.3",IF(6=8,"6.0–6.3",IF(6=9,"6.0–6.3",IF(6=10,"6.0–6.3",IF(6=11,"6.0–6.3",IF(6=12,"6.0–6.3","")))))))))))),IF(IFERROR(MATCH('🌱 Configuração'!$H$12,{"BioBizz","Remo Nutrients","General Organics","SuperSoil","Genérico"},0),1)=3,IF(6=1,"6.2–7.0",IF(6=2,"6.2–7.0",IF(6=3,"6.2–7.0",IF(6=4,"6.2–7.0",IF(6=5,"6.2–7.0",IF(6=6,"6.2–7.0",IF(6=7,"6.2–7.0",IF(6=8,"6.2–7.0",IF(6=9,"6.2–7.0",IF(6=10,"6.2–7.0",IF(6=11,"6.2–7.0",IF(6=12,"6.2–7.0","")))))))))))),IF(IFERROR(MATCH('🌱 Configuração'!$H$12,{"BioBizz","Remo Nutrients","General Organics","SuperSoil","Genérico"},0),1)=4,IF(6=1,"auto",IF(6=2,"auto",IF(6=3,"auto",IF(6=4,"auto",IF(6=5,"auto",IF(6=6,"auto",IF(6=7,"auto",IF(6=8,"auto",IF(6=9,"auto",IF(6=10,"auto",IF(6=11,"auto",IF(6=12,"auto","")))))))))))),IF(6=1,"—",IF(6=2,"—",IF(6=3,"—",IF(6=4,"—",IF(6=5,"—",IF(6=6,"—",IF(6=7,"—",IF(6=8,"—",IF(6=9,"—",IF(6=10,"—",IF(6=11,"—",IF(6=12,"—","")))))))))))))))))))</f>
        <v>6.2–6.5</v>
      </c>
      <c r="L30" s="17" t="str">
        <f t="array" ref="L30">IF('🌱 Configuração'!$D$56="","",IF(6&lt;1,"",IF(6&gt;'🌱 Configuração'!$H$8,"",IF(IFERROR(MATCH('🌱 Configuração'!$H$12,{"BioBizz","Remo Nutrients","General Organics","SuperSoil","Genérico"},0),1)=1,IF(6=1,"1.6",IF(6=2,"1.7",IF(6=3,"1.8",IF(6=4,"1.9",IF(6=5,"2.0",IF(6=6,"2.0",IF(6=7,"1.9",IF(6=8,"1.8",IF(6=9,"1.6",IF(6=10,"1.6",IF(6=11,"1.4",IF(6=12,"1.0","")))))))))))),IF(IFERROR(MATCH('🌱 Configuração'!$H$12,{"BioBizz","Remo Nutrients","General Organics","SuperSoil","Genérico"},0),1)=2,IF(6=1,"1.6",IF(6=2,"1.7",IF(6=3,"1.8",IF(6=4,"1.9",IF(6=5,"2.0",IF(6=6,"2.0",IF(6=7,"1.8",IF(6=8,"1.6",IF(6=9,"1.4",IF(6=10,"1.4",IF(6=11,"1.0",IF(6=12,"0.8","")))))))))))),IF(IFERROR(MATCH('🌱 Configuração'!$H$12,{"BioBizz","Remo Nutrients","General Organics","SuperSoil","Genérico"},0),1)=3,IF(6=1,"N/A",IF(6=2,"N/A",IF(6=3,"N/A",IF(6=4,"N/A",IF(6=5,"N/A",IF(6=6,"N/A",IF(6=7,"N/A",IF(6=8,"N/A",IF(6=9,"N/A",IF(6=10,"N/A",IF(6=11,"N/A",IF(6=12,"N/A","")))))))))))),IF(IFERROR(MATCH('🌱 Configuração'!$H$12,{"BioBizz","Remo Nutrients","General Organics","SuperSoil","Genérico"},0),1)=4,IF(6=1,"auto",IF(6=2,"auto",IF(6=3,"auto",IF(6=4,"auto",IF(6=5,"auto",IF(6=6,"auto",IF(6=7,"auto",IF(6=8,"auto",IF(6=9,"auto",IF(6=10,"auto",IF(6=11,"auto",IF(6=12,"auto","")))))))))))),IF(6=1,"—",IF(6=2,"—",IF(6=3,"—",IF(6=4,"—",IF(6=5,"—",IF(6=6,"—",IF(6=7,"—",IF(6=8,"—",IF(6=9,"—",IF(6=10,"—",IF(6=11,"—",IF(6=12,"—","")))))))))))))))))))</f>
        <v>2.0</v>
      </c>
      <c r="M30" s="27" t="str">
        <f t="array" ref="M30">IF('🌱 Configuração'!$D$56="","",IF(6&lt;1,"",IF(6&gt;'🌱 Configuração'!$H$8,"",IF(IFERROR(MATCH('🌱 Configuração'!$H$12,{"BioBizz","Remo Nutrients","General Organics","SuperSoil","Genérico"},0),1)=1,IF(6=1,"Manter Bio·Grow em S1–S3 flora",IF(6=2,"Formação de pistils",IF(6=3,"Início do enchimento",IF(6=4,"Parar Bio·Grow — fase de flora plena",IF(6=5,"Pico de floração",IF(6=6,"Enchimento máximo",IF(6=7,"Amadurecimento — manter bloom alto",IF(6=8,"Pré-flush — analisar tricomas",IF(6=9,"Semana extra (sativa)",IF(6=10,"Semana extra (sativa)",IF(6=11,"Reduzir — semana final",IF(6=12,"Último adubo antes flush","")))))))))))),IF(IFERROR(MATCH('🌱 Configuração'!$H$12,{"BioBizz","Remo Nutrients","General Organics","SuperSoil","Genérico"},0),1)=2,IF(6=1,"Apenas Micro+Bloom em floração Remo",IF(6=2,"Sem Grow a partir daqui",IF(6=3,"Tabela oficial: 2.1 mL/L S1–S4",IF(6=4,"Astroflower = estimulante floração",IF(6=5,"Tabela oficial: 2.6 mL/L S5–S7",IF(6=6,"Pico de floração Remo",IF(6=7,"Tabela oficial S7",IF(6=8,"Reduzir — semana final",IF(6=9,"Semana extra — sativa",IF(6=10,"Semana extra",IF(6=11,"Reduzir para flush",IF(6=12,"Último adubo","")))))))))))),IF(IFERROR(MATCH('🌱 Configuração'!$H$12,{"BioBizz","Remo Nutrients","General Organics","SuperSoil","Genérico"},0),1)=3,IF(6=1,"BioBud = estimulante flores GO",IF(6=2,"Early Flower GO",IF(6=3,"Mid Flower GO",IF(6=4,"BioMarine = peixe fermentado GO",IF(6=5,"Pico floração GO",IF(6=6,"Late Flower GO",IF(6=7,"Reduzir CaMg+ final",IF(6=8,"Late Flower GO — pré-flush",IF(6=9,"Semana extra — reduzir dose",IF(6=10,"Semana extra GO (sativa)",IF(6=11,"Semana extra GO",IF(6=12,"Último adubo GO","")))))))))))),IF(IFERROR(MATCH('🌱 Configuração'!$H$12,{"BioBizz","Remo Nutrients","General Organics","SuperSoil","Genérico"},0),1)=4,IF(6=1,"Guano P alto = floração forte",IF(6=2,"Solo vivo em pico — não interferir",IF(6=3,"Alga = K e micronutrientes florais",IF(6=4,"Fósforo natural = buds densos",IF(6=5,"Alimentar microbioma — enchimento",IF(6=6,"Semana de pico — micro + K",IF(6=7,"Reduzir intervenções — amadurecimento",IF(6=8,"Pré-flush SuperSoil",IF(6=9,"Parar coberturas — lavar suave",IF(6=10,"Semana extra (sativa)",IF(6=11,"Semana extra",IF(6=12,"Última semana — observar tricomas","")))))))))))),IF(6=1,"Personalize suas doses",IF(6=2,"Personalize suas doses",IF(6=3,"Personalize suas doses",IF(6=4,"Personalize suas doses",IF(6=5,"Personalize suas doses",IF(6=6,"Personalize suas doses",IF(6=7,"Personalize suas doses",IF(6=8,"Personalize suas doses",IF(6=9,"Personalize suas doses",IF(6=10,"Personalize suas doses",IF(6=11,"Personalize suas doses",IF(6=12,"Personalize suas doses","")))))))))))))))))))</f>
        <v>Enchimento máximo</v>
      </c>
      <c r="N30" s="1"/>
    </row>
    <row r="31" spans="1:14" ht="21.75" customHeight="1">
      <c r="A31" s="1"/>
      <c r="B31" s="25" t="str">
        <f>IF(7&lt;='🌱 Configuração'!$H$8,"S7","—")</f>
        <v>S7</v>
      </c>
      <c r="C31" s="13">
        <f>IF(7&lt;='🌱 Configuração'!$H$8,'🌱 Configuração'!$D$56+42,"")</f>
        <v>98</v>
      </c>
      <c r="D31" s="14" t="str">
        <f t="array" ref="D31">IF('🌱 Configuração'!$D$56="","",IF(7&lt;1,"",IF(7&gt;'🌱 Configuração'!$H$8,"",IF(IFERROR(MATCH('🌱 Configuração'!$H$12,{"BioBizz","Remo Nutrients","General Organics","SuperSoil","Genérico"},0),1)=1,IF(7=1,"Bio·Grow",IF(7=2,"Bio·Grow",IF(7=3,"Bio·Grow",IF(7=4,"—",IF(7=5,"—",IF(7=6,"—",IF(7=7,"—",IF(7=8,"—",IF(7=9,"—",IF(7=10,"—",IF(7=11,"—",IF(7=12,"—","")))))))))))),IF(IFERROR(MATCH('🌱 Configuração'!$H$12,{"BioBizz","Remo Nutrients","General Organics","SuperSoil","Genérico"},0),1)=2,IF(7=1,"Micro",IF(7=2,"Micro",IF(7=3,"Micro",IF(7=4,"Micro",IF(7=5,"Micro",IF(7=6,"Micro",IF(7=7,"Micro",IF(7=8,"Micro",IF(7=9,"Micro",IF(7=10,"Micro",IF(7=11,"Micro",IF(7=12,"Micro","")))))))))))),IF(IFERROR(MATCH('🌱 Configuração'!$H$12,{"BioBizz","Remo Nutrients","General Organics","SuperSoil","Genérico"},0),1)=3,IF(7=1,"BioThrive B",IF(7=2,"BioThrive B",IF(7=3,"BioThrive B",IF(7=4,"BioThrive B",IF(7=5,"BioThrive B",IF(7=6,"BioThrive B",IF(7=7,"BioThrive B",IF(7=8,"BioThrive B",IF(7=9,"BioThrive B",IF(7=10,"BioThrive B",IF(7=11,"BioThrive B",IF(7=12,"BioThrive B","")))))))))))),IF(IFERROR(MATCH('🌱 Configuração'!$H$12,{"BioBizz","Remo Nutrients","General Organics","SuperSoil","Genérico"},0),1)=4,IF(7=1,"Cobertura: guano de morcego",IF(7=2,"Chá de compostagem",IF(7=3,"Cobertura: farinha de alga",IF(7=4,"Cobertura: guano de morcego",IF(7=5,"Molasses 2 mL/L",IF(7=6,"Cobertura: farinha de alga",IF(7=7,"Chá de compostagem",IF(7=8,"Molasses 2 mL/L",IF(7=9,"Água pura",IF(7=10,"Água pura",IF(7=11,"Água pura",IF(7=12,"Água pura","")))))))))))),IF(7=1,"← Preencha",IF(7=2,"← Preencha",IF(7=3,"← Preencha",IF(7=4,"← Preencha",IF(7=5,"← Preencha",IF(7=6,"← Preencha",IF(7=7,"← Preencha",IF(7=8,"← Preencha",IF(7=9,"← Preencha",IF(7=10,"← Preencha",IF(7=11,"← Preencha",IF(7=12,"← Preencha","")))))))))))))))))))</f>
        <v>—</v>
      </c>
      <c r="E31" s="15" t="str">
        <f t="array" ref="E31">IF('🌱 Configuração'!$D$56="","",IF(7&lt;1,"",IF(7&gt;'🌱 Configuração'!$H$8,"",IF(IFERROR(MATCH('🌱 Configuração'!$H$12,{"BioBizz","Remo Nutrients","General Organics","SuperSoil","Genérico"},0),1)=1,IF(7=1,"1 mL/L",IF(7=2,"1 mL/L",IF(7=3,"1 mL/L",IF(7=4,"—",IF(7=5,"—",IF(7=6,"—",IF(7=7,"—",IF(7=8,"—",IF(7=9,"—",IF(7=10,"—",IF(7=11,"—",IF(7=12,"—","")))))))))))),IF(IFERROR(MATCH('🌱 Configuração'!$H$12,{"BioBizz","Remo Nutrients","General Organics","SuperSoil","Genérico"},0),1)=2,IF(7=1,"2.1 mL/L",IF(7=2,"2.1 mL/L",IF(7=3,"2.1 mL/L",IF(7=4,"2.1 mL/L",IF(7=5,"2.6 mL/L",IF(7=6,"2.6 mL/L",IF(7=7,"2.6 mL/L",IF(7=8,"2.1 mL/L",IF(7=9,"2.1 mL/L",IF(7=10,"2.1 mL/L",IF(7=11,"1.5 mL/L",IF(7=12,"1.0 mL/L","")))))))))))),IF(IFERROR(MATCH('🌱 Configuração'!$H$12,{"BioBizz","Remo Nutrients","General Organics","SuperSoil","Genérico"},0),1)=3,IF(7=1,"2.6 mL/L",IF(7=2,"2.6 mL/L",IF(7=3,"2.6 mL/L",IF(7=4,"2.6 mL/L",IF(7=5,"2.6 mL/L",IF(7=6,"2.6 mL/L",IF(7=7,"2.6 mL/L",IF(7=8,"2.6 mL/L",IF(7=9,"1.3 mL/L",IF(7=10,"1.3 mL/L",IF(7=11,"1.3 mL/L",IF(7=12,"1.3 mL/L","")))))))))))),IF(IFERROR(MATCH('🌱 Configuração'!$H$12,{"BioBizz","Remo Nutrients","General Organics","SuperSoil","Genérico"},0),1)=4,IF(7=1,"5g/L solo",IF(7=2,"2L/planta",IF(7=3,"5g/L solo",IF(7=4,"5g/L solo",IF(7=5,"—",IF(7=6,"5g/L solo",IF(7=7,"2L/planta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—</v>
      </c>
      <c r="F31" s="14" t="str">
        <f t="array" ref="F31">IF('🌱 Configuração'!$D$56="","",IF(7&lt;1,"",IF(7&gt;'🌱 Configuração'!$H$8,"",IF(IFERROR(MATCH('🌱 Configuração'!$H$12,{"BioBizz","Remo Nutrients","General Organics","SuperSoil","Genérico"},0),1)=1,IF(7=1,"Bio·Bloom",IF(7=2,"Bio·Bloom",IF(7=3,"Bio·Bloom",IF(7=4,"Bio·Bloom",IF(7=5,"Bio·Bloom",IF(7=6,"Bio·Bloom",IF(7=7,"Bio·Bloom",IF(7=8,"Bio·Bloom",IF(7=9,"Bio·Bloom",IF(7=10,"Bio·Bloom",IF(7=11,"Bio·Bloom",IF(7=12,"Bio·Bloom","")))))))))))),IF(IFERROR(MATCH('🌱 Configuração'!$H$12,{"BioBizz","Remo Nutrients","General Organics","SuperSoil","Genérico"},0),1)=2,IF(7=1,"Bloom",IF(7=2,"Bloom",IF(7=3,"Bloom",IF(7=4,"Bloom",IF(7=5,"Bloom",IF(7=6,"Bloom",IF(7=7,"Bloom",IF(7=8,"Bloom",IF(7=9,"Bloom",IF(7=10,"Bloom",IF(7=11,"Bloom",IF(7=12,"Bloom","")))))))))))),IF(IFERROR(MATCH('🌱 Configuração'!$H$12,{"BioBizz","Remo Nutrients","General Organics","SuperSoil","Genérico"},0),1)=3,IF(7=1,"BioBud",IF(7=2,"BioBud",IF(7=3,"BioBud",IF(7=4,"BioBud",IF(7=5,"BioBud",IF(7=6,"BioBud",IF(7=7,"BioBud",IF(7=8,"—",IF(7=9,"—",IF(7=10,"—",IF(7=11,"—",IF(7=12,"—","")))))))))))),IF(IFERROR(MATCH('🌱 Configuração'!$H$12,{"BioBizz","Remo Nutrients","General Organics","SuperSoil","Genérico"},0),1)=4,IF(7=1,"Molasses 2 mL/L",IF(7=2,"—",IF(7=3,"—",IF(7=4,"Cobertura: fosfato natural",IF(7=5,"—",IF(7=6,"Molasses 2 mL/L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Bio·Bloom</v>
      </c>
      <c r="G31" s="15" t="str">
        <f t="array" ref="G31">IF('🌱 Configuração'!$D$56="","",IF(7&lt;1,"",IF(7&gt;'🌱 Configuração'!$H$8,"",IF(IFERROR(MATCH('🌱 Configuração'!$H$12,{"BioBizz","Remo Nutrients","General Organics","SuperSoil","Genérico"},0),1)=1,IF(7=1,"1 mL/L",IF(7=2,"2 mL/L",IF(7=3,"3 mL/L",IF(7=4,"3 mL/L",IF(7=5,"4 mL/L",IF(7=6,"4 mL/L",IF(7=7,"4 mL/L",IF(7=8,"4 mL/L",IF(7=9,"4 mL/L",IF(7=10,"4 mL/L",IF(7=11,"4 mL/L",IF(7=12,"2 mL/L","")))))))))))),IF(IFERROR(MATCH('🌱 Configuração'!$H$12,{"BioBizz","Remo Nutrients","General Organics","SuperSoil","Genérico"},0),1)=2,IF(7=1,"2.1 mL/L",IF(7=2,"2.1 mL/L",IF(7=3,"2.1 mL/L",IF(7=4,"2.1 mL/L",IF(7=5,"2.6 mL/L",IF(7=6,"2.6 mL/L",IF(7=7,"2.6 mL/L",IF(7=8,"2.1 mL/L",IF(7=9,"2.1 mL/L",IF(7=10,"2.1 mL/L",IF(7=11,"1.5 mL/L",IF(7=12,"1.0 mL/L","")))))))))))),IF(IFERROR(MATCH('🌱 Configuração'!$H$12,{"BioBizz","Remo Nutrients","General Organics","SuperSoil","Genérico"},0),1)=3,IF(7=1,"0.7 mL/L",IF(7=2,"0.7 mL/L",IF(7=3,"0.7 mL/L",IF(7=4,"0.7 mL/L",IF(7=5,"0.7 mL/L",IF(7=6,"0.7 mL/L",IF(7=7,"0.7 mL/L",IF(7=8,"—",IF(7=9,"—",IF(7=10,"—",IF(7=11,"—",IF(7=12,"—","")))))))))))),IF(IFERROR(MATCH('🌱 Configuração'!$H$12,{"BioBizz","Remo Nutrients","General Organics","SuperSoil","Genérico"},0),1)=4,IF(7=1,"—",IF(7=2,"—",IF(7=3,"—",IF(7=4,"5g/L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4 mL/L</v>
      </c>
      <c r="H31" s="14" t="str">
        <f t="array" ref="H31">IF('🌱 Configuração'!$D$56="","",IF(7&lt;1,"",IF(7&gt;'🌱 Configuração'!$H$8,"",IF(IFERROR(MATCH('🌱 Configuração'!$H$12,{"BioBizz","Remo Nutrients","General Organics","SuperSoil","Genérico"},0),1)=1,IF(7=1,"Top·Max",IF(7=2,"Top·Max",IF(7=3,"Top·Max",IF(7=4,"Top·Max",IF(7=5,"Top·Max",IF(7=6,"Top·Max",IF(7=7,"Top·Max",IF(7=8,"Top·Max",IF(7=9,"Top·Max",IF(7=10,"Top·Max",IF(7=11,"Top·Max",IF(7=12,"Top·Max","")))))))))))),IF(IFERROR(MATCH('🌱 Configuração'!$H$12,{"BioBizz","Remo Nutrients","General Organics","SuperSoil","Genérico"},0),1)=2,IF(7=1,"—",IF(7=2,"—",IF(7=3,"—",IF(7=4,"Astroflower",IF(7=5,"Astroflower",IF(7=6,"Astroflower",IF(7=7,"Astroflower",IF(7=8,"—",IF(7=9,"—",IF(7=10,"—",IF(7=11,"—",IF(7=12,"—","")))))))))))),IF(IFERROR(MATCH('🌱 Configuração'!$H$12,{"BioBizz","Remo Nutrients","General Organics","SuperSoil","Genérico"},0),1)=3,IF(7=1,"CaMg+",IF(7=2,"CaMg+",IF(7=3,"CaMg+",IF(7=4,"CaMg+",IF(7=5,"CaMg+",IF(7=6,"CaMg+",IF(7=7,"—",IF(7=8,"—",IF(7=9,"—",IF(7=10,"—",IF(7=11,"—",IF(7=12,"—","")))))))))))),IF(IFERROR(MATCH('🌱 Configuração'!$H$12,{"BioBizz","Remo Nutrients","General Organics","SuperSoil","Genérico"},0),1)=4,IF(7=1,"—",IF(7=2,"—",IF(7=3,"—",IF(7=4,"—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Top·Max</v>
      </c>
      <c r="I31" s="15" t="str">
        <f t="array" ref="I31">IF('🌱 Configuração'!$D$56="","",IF(7&lt;1,"",IF(7&gt;'🌱 Configuração'!$H$8,"",IF(IFERROR(MATCH('🌱 Configuração'!$H$12,{"BioBizz","Remo Nutrients","General Organics","SuperSoil","Genérico"},0),1)=1,IF(7=1,"1 mL/L",IF(7=2,"1 mL/L",IF(7=3,"2 mL/L",IF(7=4,"2 mL/L",IF(7=5,"3 mL/L",IF(7=6,"3 mL/L",IF(7=7,"4 mL/L",IF(7=8,"4 mL/L",IF(7=9,"4 mL/L",IF(7=10,"4 mL/L",IF(7=11,"4 mL/L",IF(7=12,"2 mL/L","")))))))))))),IF(IFERROR(MATCH('🌱 Configuração'!$H$12,{"BioBizz","Remo Nutrients","General Organics","SuperSoil","Genérico"},0),1)=2,IF(7=1,"—",IF(7=2,"—",IF(7=3,"—",IF(7=4,"1.0 mL/L",IF(7=5,"2.0 mL/L",IF(7=6,"2.0 mL/L",IF(7=7,"1.0 mL/L",IF(7=8,"—",IF(7=9,"—",IF(7=10,"—",IF(7=11,"—",IF(7=12,"—","")))))))))))),IF(IFERROR(MATCH('🌱 Configuração'!$H$12,{"BioBizz","Remo Nutrients","General Organics","SuperSoil","Genérico"},0),1)=3,IF(7=1,"1.3 mL/L",IF(7=2,"1.3 mL/L",IF(7=3,"1.3 mL/L",IF(7=4,"1.3 mL/L",IF(7=5,"1.3 mL/L",IF(7=6,"0.7 mL/L",IF(7=7,"—",IF(7=8,"—",IF(7=9,"—",IF(7=10,"—",IF(7=11,"—",IF(7=12,"—","")))))))))))),IF(IFERROR(MATCH('🌱 Configuração'!$H$12,{"BioBizz","Remo Nutrients","General Organics","SuperSoil","Genérico"},0),1)=4,IF(7=1,"—",IF(7=2,"—",IF(7=3,"—",IF(7=4,"—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4 mL/L</v>
      </c>
      <c r="J31" s="14" t="str">
        <f t="array" ref="J31">IF('🌱 Configuração'!$D$56="","",IF(7&lt;1,"",IF(7&gt;'🌱 Configuração'!$H$8,"",IF(IFERROR(MATCH('🌱 Configuração'!$H$12,{"BioBizz","Remo Nutrients","General Organics","SuperSoil","Genérico"},0),1)=1,IF(7=1,"Alg·A·Mic 1mL",IF(7=2,"—",IF(7=3,"—",IF(7=4,"—",IF(7=5,"—",IF(7=6,"Alg·A·Mic 1mL",IF(7=7,"—",IF(7=8,"—",IF(7=9,"—",IF(7=10,"—",IF(7=11,"—",IF(7=12,"—","")))))))))))),IF(IFERROR(MATCH('🌱 Configuração'!$H$12,{"BioBizz","Remo Nutrients","General Organics","SuperSoil","Genérico"},0),1)=2,IF(7=1,"Magnifical 1.0",IF(7=2,"Magnifical 1.0",IF(7=3,"Magnifical 1.0",IF(7=4,"Magnifical 1.0",IF(7=5,"Kelp 1.0 mL",IF(7=6,"Kelp 1.0 mL",IF(7=7,"—",IF(7=8,"—",IF(7=9,"—",IF(7=10,"—",IF(7=11,"—",IF(7=12,"—","")))))))))))),IF(IFERROR(MATCH('🌱 Configuração'!$H$12,{"BioBizz","Remo Nutrients","General Organics","SuperSoil","Genérico"},0),1)=3,IF(7=1,"BioWeed 0.7",IF(7=2,"—",IF(7=3,"—",IF(7=4,"BioMarine 0.7",IF(7=5,"BioMarine 0.7",IF(7=6,"—",IF(7=7,"—",IF(7=8,"—",IF(7=9,"—",IF(7=10,"—",IF(7=11,"—",IF(7=12,"—","")))))))))))),IF(IFERROR(MATCH('🌱 Configuração'!$H$12,{"BioBizz","Remo Nutrients","General Organics","SuperSoil","Genérico"},0),1)=4,IF(7=1,"Chá",IF(7=2,"—",IF(7=3,"Molasses 2mL",IF(7=4,"—",IF(7=5,"Chá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—</v>
      </c>
      <c r="K31" s="16" t="str">
        <f t="array" ref="K31">IF('🌱 Configuração'!$D$56="","",IF(7&lt;1,"",IF(7&gt;'🌱 Configuração'!$H$8,"",IF(IFERROR(MATCH('🌱 Configuração'!$H$12,{"BioBizz","Remo Nutrients","General Organics","SuperSoil","Genérico"},0),1)=1,IF(7=1,"6.2–6.5",IF(7=2,"6.2–6.5",IF(7=3,"6.2–6.5",IF(7=4,"6.2–6.5",IF(7=5,"6.2–6.5",IF(7=6,"6.2–6.5",IF(7=7,"6.2–6.5",IF(7=8,"6.2–6.5",IF(7=9,"6.2–6.5",IF(7=10,"6.2–6.5",IF(7=11,"6.2–6.5",IF(7=12,"6.2–6.5","")))))))))))),IF(IFERROR(MATCH('🌱 Configuração'!$H$12,{"BioBizz","Remo Nutrients","General Organics","SuperSoil","Genérico"},0),1)=2,IF(7=1,"6.0–6.3",IF(7=2,"6.0–6.3",IF(7=3,"6.0–6.3",IF(7=4,"6.0–6.3",IF(7=5,"6.0–6.3",IF(7=6,"6.0–6.3",IF(7=7,"6.0–6.3",IF(7=8,"6.0–6.3",IF(7=9,"6.0–6.3",IF(7=10,"6.0–6.3",IF(7=11,"6.0–6.3",IF(7=12,"6.0–6.3","")))))))))))),IF(IFERROR(MATCH('🌱 Configuração'!$H$12,{"BioBizz","Remo Nutrients","General Organics","SuperSoil","Genérico"},0),1)=3,IF(7=1,"6.2–7.0",IF(7=2,"6.2–7.0",IF(7=3,"6.2–7.0",IF(7=4,"6.2–7.0",IF(7=5,"6.2–7.0",IF(7=6,"6.2–7.0",IF(7=7,"6.2–7.0",IF(7=8,"6.2–7.0",IF(7=9,"6.2–7.0",IF(7=10,"6.2–7.0",IF(7=11,"6.2–7.0",IF(7=12,"6.2–7.0","")))))))))))),IF(IFERROR(MATCH('🌱 Configuração'!$H$12,{"BioBizz","Remo Nutrients","General Organics","SuperSoil","Genérico"},0),1)=4,IF(7=1,"auto",IF(7=2,"auto",IF(7=3,"auto",IF(7=4,"auto",IF(7=5,"auto",IF(7=6,"auto",IF(7=7,"auto",IF(7=8,"auto",IF(7=9,"auto",IF(7=10,"auto",IF(7=11,"auto",IF(7=12,"auto","")))))))))))),IF(7=1,"—",IF(7=2,"—",IF(7=3,"—",IF(7=4,"—",IF(7=5,"—",IF(7=6,"—",IF(7=7,"—",IF(7=8,"—",IF(7=9,"—",IF(7=10,"—",IF(7=11,"—",IF(7=12,"—","")))))))))))))))))))</f>
        <v>6.2–6.5</v>
      </c>
      <c r="L31" s="17" t="str">
        <f t="array" ref="L31">IF('🌱 Configuração'!$D$56="","",IF(7&lt;1,"",IF(7&gt;'🌱 Configuração'!$H$8,"",IF(IFERROR(MATCH('🌱 Configuração'!$H$12,{"BioBizz","Remo Nutrients","General Organics","SuperSoil","Genérico"},0),1)=1,IF(7=1,"1.6",IF(7=2,"1.7",IF(7=3,"1.8",IF(7=4,"1.9",IF(7=5,"2.0",IF(7=6,"2.0",IF(7=7,"1.9",IF(7=8,"1.8",IF(7=9,"1.6",IF(7=10,"1.6",IF(7=11,"1.4",IF(7=12,"1.0","")))))))))))),IF(IFERROR(MATCH('🌱 Configuração'!$H$12,{"BioBizz","Remo Nutrients","General Organics","SuperSoil","Genérico"},0),1)=2,IF(7=1,"1.6",IF(7=2,"1.7",IF(7=3,"1.8",IF(7=4,"1.9",IF(7=5,"2.0",IF(7=6,"2.0",IF(7=7,"1.8",IF(7=8,"1.6",IF(7=9,"1.4",IF(7=10,"1.4",IF(7=11,"1.0",IF(7=12,"0.8","")))))))))))),IF(IFERROR(MATCH('🌱 Configuração'!$H$12,{"BioBizz","Remo Nutrients","General Organics","SuperSoil","Genérico"},0),1)=3,IF(7=1,"N/A",IF(7=2,"N/A",IF(7=3,"N/A",IF(7=4,"N/A",IF(7=5,"N/A",IF(7=6,"N/A",IF(7=7,"N/A",IF(7=8,"N/A",IF(7=9,"N/A",IF(7=10,"N/A",IF(7=11,"N/A",IF(7=12,"N/A","")))))))))))),IF(IFERROR(MATCH('🌱 Configuração'!$H$12,{"BioBizz","Remo Nutrients","General Organics","SuperSoil","Genérico"},0),1)=4,IF(7=1,"auto",IF(7=2,"auto",IF(7=3,"auto",IF(7=4,"auto",IF(7=5,"auto",IF(7=6,"auto",IF(7=7,"auto",IF(7=8,"auto",IF(7=9,"auto",IF(7=10,"auto",IF(7=11,"auto",IF(7=12,"auto","")))))))))))),IF(7=1,"—",IF(7=2,"—",IF(7=3,"—",IF(7=4,"—",IF(7=5,"—",IF(7=6,"—",IF(7=7,"—",IF(7=8,"—",IF(7=9,"—",IF(7=10,"—",IF(7=11,"—",IF(7=12,"—","")))))))))))))))))))</f>
        <v>1.9</v>
      </c>
      <c r="M31" s="14" t="str">
        <f t="array" ref="M31">IF('🌱 Configuração'!$D$56="","",IF(7&lt;1,"",IF(7&gt;'🌱 Configuração'!$H$8,"",IF(IFERROR(MATCH('🌱 Configuração'!$H$12,{"BioBizz","Remo Nutrients","General Organics","SuperSoil","Genérico"},0),1)=1,IF(7=1,"Manter Bio·Grow em S1–S3 flora",IF(7=2,"Formação de pistils",IF(7=3,"Início do enchimento",IF(7=4,"Parar Bio·Grow — fase de flora plena",IF(7=5,"Pico de floração",IF(7=6,"Enchimento máximo",IF(7=7,"Amadurecimento — manter bloom alto",IF(7=8,"Pré-flush — analisar tricomas",IF(7=9,"Semana extra (sativa)",IF(7=10,"Semana extra (sativa)",IF(7=11,"Reduzir — semana final",IF(7=12,"Último adubo antes flush","")))))))))))),IF(IFERROR(MATCH('🌱 Configuração'!$H$12,{"BioBizz","Remo Nutrients","General Organics","SuperSoil","Genérico"},0),1)=2,IF(7=1,"Apenas Micro+Bloom em floração Remo",IF(7=2,"Sem Grow a partir daqui",IF(7=3,"Tabela oficial: 2.1 mL/L S1–S4",IF(7=4,"Astroflower = estimulante floração",IF(7=5,"Tabela oficial: 2.6 mL/L S5–S7",IF(7=6,"Pico de floração Remo",IF(7=7,"Tabela oficial S7",IF(7=8,"Reduzir — semana final",IF(7=9,"Semana extra — sativa",IF(7=10,"Semana extra",IF(7=11,"Reduzir para flush",IF(7=12,"Último adubo","")))))))))))),IF(IFERROR(MATCH('🌱 Configuração'!$H$12,{"BioBizz","Remo Nutrients","General Organics","SuperSoil","Genérico"},0),1)=3,IF(7=1,"BioBud = estimulante flores GO",IF(7=2,"Early Flower GO",IF(7=3,"Mid Flower GO",IF(7=4,"BioMarine = peixe fermentado GO",IF(7=5,"Pico floração GO",IF(7=6,"Late Flower GO",IF(7=7,"Reduzir CaMg+ final",IF(7=8,"Late Flower GO — pré-flush",IF(7=9,"Semana extra — reduzir dose",IF(7=10,"Semana extra GO (sativa)",IF(7=11,"Semana extra GO",IF(7=12,"Último adubo GO","")))))))))))),IF(IFERROR(MATCH('🌱 Configuração'!$H$12,{"BioBizz","Remo Nutrients","General Organics","SuperSoil","Genérico"},0),1)=4,IF(7=1,"Guano P alto = floração forte",IF(7=2,"Solo vivo em pico — não interferir",IF(7=3,"Alga = K e micronutrientes florais",IF(7=4,"Fósforo natural = buds densos",IF(7=5,"Alimentar microbioma — enchimento",IF(7=6,"Semana de pico — micro + K",IF(7=7,"Reduzir intervenções — amadurecimento",IF(7=8,"Pré-flush SuperSoil",IF(7=9,"Parar coberturas — lavar suave",IF(7=10,"Semana extra (sativa)",IF(7=11,"Semana extra",IF(7=12,"Última semana — observar tricomas","")))))))))))),IF(7=1,"Personalize suas doses",IF(7=2,"Personalize suas doses",IF(7=3,"Personalize suas doses",IF(7=4,"Personalize suas doses",IF(7=5,"Personalize suas doses",IF(7=6,"Personalize suas doses",IF(7=7,"Personalize suas doses",IF(7=8,"Personalize suas doses",IF(7=9,"Personalize suas doses",IF(7=10,"Personalize suas doses",IF(7=11,"Personalize suas doses",IF(7=12,"Personalize suas doses","")))))))))))))))))))</f>
        <v>Amadurecimento — manter bloom alto</v>
      </c>
      <c r="N31" s="1"/>
    </row>
    <row r="32" spans="1:14" ht="21.75" customHeight="1">
      <c r="A32" s="1"/>
      <c r="B32" s="25" t="str">
        <f>IF(8&lt;='🌱 Configuração'!$H$8,"S8","—")</f>
        <v>S8</v>
      </c>
      <c r="C32" s="26">
        <f>IF(8&lt;='🌱 Configuração'!$H$8,'🌱 Configuração'!$D$56+49,"")</f>
        <v>105</v>
      </c>
      <c r="D32" s="27" t="str">
        <f t="array" ref="D32">IF('🌱 Configuração'!$D$56="","",IF(8&lt;1,"",IF(8&gt;'🌱 Configuração'!$H$8,"",IF(IFERROR(MATCH('🌱 Configuração'!$H$12,{"BioBizz","Remo Nutrients","General Organics","SuperSoil","Genérico"},0),1)=1,IF(8=1,"Bio·Grow",IF(8=2,"Bio·Grow",IF(8=3,"Bio·Grow",IF(8=4,"—",IF(8=5,"—",IF(8=6,"—",IF(8=7,"—",IF(8=8,"—",IF(8=9,"—",IF(8=10,"—",IF(8=11,"—",IF(8=12,"—","")))))))))))),IF(IFERROR(MATCH('🌱 Configuração'!$H$12,{"BioBizz","Remo Nutrients","General Organics","SuperSoil","Genérico"},0),1)=2,IF(8=1,"Micro",IF(8=2,"Micro",IF(8=3,"Micro",IF(8=4,"Micro",IF(8=5,"Micro",IF(8=6,"Micro",IF(8=7,"Micro",IF(8=8,"Micro",IF(8=9,"Micro",IF(8=10,"Micro",IF(8=11,"Micro",IF(8=12,"Micro","")))))))))))),IF(IFERROR(MATCH('🌱 Configuração'!$H$12,{"BioBizz","Remo Nutrients","General Organics","SuperSoil","Genérico"},0),1)=3,IF(8=1,"BioThrive B",IF(8=2,"BioThrive B",IF(8=3,"BioThrive B",IF(8=4,"BioThrive B",IF(8=5,"BioThrive B",IF(8=6,"BioThrive B",IF(8=7,"BioThrive B",IF(8=8,"BioThrive B",IF(8=9,"BioThrive B",IF(8=10,"BioThrive B",IF(8=11,"BioThrive B",IF(8=12,"BioThrive B","")))))))))))),IF(IFERROR(MATCH('🌱 Configuração'!$H$12,{"BioBizz","Remo Nutrients","General Organics","SuperSoil","Genérico"},0),1)=4,IF(8=1,"Cobertura: guano de morcego",IF(8=2,"Chá de compostagem",IF(8=3,"Cobertura: farinha de alga",IF(8=4,"Cobertura: guano de morcego",IF(8=5,"Molasses 2 mL/L",IF(8=6,"Cobertura: farinha de alga",IF(8=7,"Chá de compostagem",IF(8=8,"Molasses 2 mL/L",IF(8=9,"Água pura",IF(8=10,"Água pura",IF(8=11,"Água pura",IF(8=12,"Água pura","")))))))))))),IF(8=1,"← Preencha",IF(8=2,"← Preencha",IF(8=3,"← Preencha",IF(8=4,"← Preencha",IF(8=5,"← Preencha",IF(8=6,"← Preencha",IF(8=7,"← Preencha",IF(8=8,"← Preencha",IF(8=9,"← Preencha",IF(8=10,"← Preencha",IF(8=11,"← Preencha",IF(8=12,"← Preencha","")))))))))))))))))))</f>
        <v>—</v>
      </c>
      <c r="E32" s="28" t="str">
        <f t="array" ref="E32">IF('🌱 Configuração'!$D$56="","",IF(8&lt;1,"",IF(8&gt;'🌱 Configuração'!$H$8,"",IF(IFERROR(MATCH('🌱 Configuração'!$H$12,{"BioBizz","Remo Nutrients","General Organics","SuperSoil","Genérico"},0),1)=1,IF(8=1,"1 mL/L",IF(8=2,"1 mL/L",IF(8=3,"1 mL/L",IF(8=4,"—",IF(8=5,"—",IF(8=6,"—",IF(8=7,"—",IF(8=8,"—",IF(8=9,"—",IF(8=10,"—",IF(8=11,"—",IF(8=12,"—","")))))))))))),IF(IFERROR(MATCH('🌱 Configuração'!$H$12,{"BioBizz","Remo Nutrients","General Organics","SuperSoil","Genérico"},0),1)=2,IF(8=1,"2.1 mL/L",IF(8=2,"2.1 mL/L",IF(8=3,"2.1 mL/L",IF(8=4,"2.1 mL/L",IF(8=5,"2.6 mL/L",IF(8=6,"2.6 mL/L",IF(8=7,"2.6 mL/L",IF(8=8,"2.1 mL/L",IF(8=9,"2.1 mL/L",IF(8=10,"2.1 mL/L",IF(8=11,"1.5 mL/L",IF(8=12,"1.0 mL/L","")))))))))))),IF(IFERROR(MATCH('🌱 Configuração'!$H$12,{"BioBizz","Remo Nutrients","General Organics","SuperSoil","Genérico"},0),1)=3,IF(8=1,"2.6 mL/L",IF(8=2,"2.6 mL/L",IF(8=3,"2.6 mL/L",IF(8=4,"2.6 mL/L",IF(8=5,"2.6 mL/L",IF(8=6,"2.6 mL/L",IF(8=7,"2.6 mL/L",IF(8=8,"2.6 mL/L",IF(8=9,"1.3 mL/L",IF(8=10,"1.3 mL/L",IF(8=11,"1.3 mL/L",IF(8=12,"1.3 mL/L","")))))))))))),IF(IFERROR(MATCH('🌱 Configuração'!$H$12,{"BioBizz","Remo Nutrients","General Organics","SuperSoil","Genérico"},0),1)=4,IF(8=1,"5g/L solo",IF(8=2,"2L/planta",IF(8=3,"5g/L solo",IF(8=4,"5g/L solo",IF(8=5,"—",IF(8=6,"5g/L solo",IF(8=7,"2L/planta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—</v>
      </c>
      <c r="F32" s="27" t="str">
        <f t="array" ref="F32">IF('🌱 Configuração'!$D$56="","",IF(8&lt;1,"",IF(8&gt;'🌱 Configuração'!$H$8,"",IF(IFERROR(MATCH('🌱 Configuração'!$H$12,{"BioBizz","Remo Nutrients","General Organics","SuperSoil","Genérico"},0),1)=1,IF(8=1,"Bio·Bloom",IF(8=2,"Bio·Bloom",IF(8=3,"Bio·Bloom",IF(8=4,"Bio·Bloom",IF(8=5,"Bio·Bloom",IF(8=6,"Bio·Bloom",IF(8=7,"Bio·Bloom",IF(8=8,"Bio·Bloom",IF(8=9,"Bio·Bloom",IF(8=10,"Bio·Bloom",IF(8=11,"Bio·Bloom",IF(8=12,"Bio·Bloom","")))))))))))),IF(IFERROR(MATCH('🌱 Configuração'!$H$12,{"BioBizz","Remo Nutrients","General Organics","SuperSoil","Genérico"},0),1)=2,IF(8=1,"Bloom",IF(8=2,"Bloom",IF(8=3,"Bloom",IF(8=4,"Bloom",IF(8=5,"Bloom",IF(8=6,"Bloom",IF(8=7,"Bloom",IF(8=8,"Bloom",IF(8=9,"Bloom",IF(8=10,"Bloom",IF(8=11,"Bloom",IF(8=12,"Bloom","")))))))))))),IF(IFERROR(MATCH('🌱 Configuração'!$H$12,{"BioBizz","Remo Nutrients","General Organics","SuperSoil","Genérico"},0),1)=3,IF(8=1,"BioBud",IF(8=2,"BioBud",IF(8=3,"BioBud",IF(8=4,"BioBud",IF(8=5,"BioBud",IF(8=6,"BioBud",IF(8=7,"BioBud",IF(8=8,"—",IF(8=9,"—",IF(8=10,"—",IF(8=11,"—",IF(8=12,"—","")))))))))))),IF(IFERROR(MATCH('🌱 Configuração'!$H$12,{"BioBizz","Remo Nutrients","General Organics","SuperSoil","Genérico"},0),1)=4,IF(8=1,"Molasses 2 mL/L",IF(8=2,"—",IF(8=3,"—",IF(8=4,"Cobertura: fosfato natural",IF(8=5,"—",IF(8=6,"Molasses 2 mL/L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Bio·Bloom</v>
      </c>
      <c r="G32" s="28" t="str">
        <f t="array" ref="G32">IF('🌱 Configuração'!$D$56="","",IF(8&lt;1,"",IF(8&gt;'🌱 Configuração'!$H$8,"",IF(IFERROR(MATCH('🌱 Configuração'!$H$12,{"BioBizz","Remo Nutrients","General Organics","SuperSoil","Genérico"},0),1)=1,IF(8=1,"1 mL/L",IF(8=2,"2 mL/L",IF(8=3,"3 mL/L",IF(8=4,"3 mL/L",IF(8=5,"4 mL/L",IF(8=6,"4 mL/L",IF(8=7,"4 mL/L",IF(8=8,"4 mL/L",IF(8=9,"4 mL/L",IF(8=10,"4 mL/L",IF(8=11,"4 mL/L",IF(8=12,"2 mL/L","")))))))))))),IF(IFERROR(MATCH('🌱 Configuração'!$H$12,{"BioBizz","Remo Nutrients","General Organics","SuperSoil","Genérico"},0),1)=2,IF(8=1,"2.1 mL/L",IF(8=2,"2.1 mL/L",IF(8=3,"2.1 mL/L",IF(8=4,"2.1 mL/L",IF(8=5,"2.6 mL/L",IF(8=6,"2.6 mL/L",IF(8=7,"2.6 mL/L",IF(8=8,"2.1 mL/L",IF(8=9,"2.1 mL/L",IF(8=10,"2.1 mL/L",IF(8=11,"1.5 mL/L",IF(8=12,"1.0 mL/L","")))))))))))),IF(IFERROR(MATCH('🌱 Configuração'!$H$12,{"BioBizz","Remo Nutrients","General Organics","SuperSoil","Genérico"},0),1)=3,IF(8=1,"0.7 mL/L",IF(8=2,"0.7 mL/L",IF(8=3,"0.7 mL/L",IF(8=4,"0.7 mL/L",IF(8=5,"0.7 mL/L",IF(8=6,"0.7 mL/L",IF(8=7,"0.7 mL/L",IF(8=8,"—",IF(8=9,"—",IF(8=10,"—",IF(8=11,"—",IF(8=12,"—","")))))))))))),IF(IFERROR(MATCH('🌱 Configuração'!$H$12,{"BioBizz","Remo Nutrients","General Organics","SuperSoil","Genérico"},0),1)=4,IF(8=1,"—",IF(8=2,"—",IF(8=3,"—",IF(8=4,"5g/L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4 mL/L</v>
      </c>
      <c r="H32" s="27" t="str">
        <f t="array" ref="H32">IF('🌱 Configuração'!$D$56="","",IF(8&lt;1,"",IF(8&gt;'🌱 Configuração'!$H$8,"",IF(IFERROR(MATCH('🌱 Configuração'!$H$12,{"BioBizz","Remo Nutrients","General Organics","SuperSoil","Genérico"},0),1)=1,IF(8=1,"Top·Max",IF(8=2,"Top·Max",IF(8=3,"Top·Max",IF(8=4,"Top·Max",IF(8=5,"Top·Max",IF(8=6,"Top·Max",IF(8=7,"Top·Max",IF(8=8,"Top·Max",IF(8=9,"Top·Max",IF(8=10,"Top·Max",IF(8=11,"Top·Max",IF(8=12,"Top·Max","")))))))))))),IF(IFERROR(MATCH('🌱 Configuração'!$H$12,{"BioBizz","Remo Nutrients","General Organics","SuperSoil","Genérico"},0),1)=2,IF(8=1,"—",IF(8=2,"—",IF(8=3,"—",IF(8=4,"Astroflower",IF(8=5,"Astroflower",IF(8=6,"Astroflower",IF(8=7,"Astroflower",IF(8=8,"—",IF(8=9,"—",IF(8=10,"—",IF(8=11,"—",IF(8=12,"—","")))))))))))),IF(IFERROR(MATCH('🌱 Configuração'!$H$12,{"BioBizz","Remo Nutrients","General Organics","SuperSoil","Genérico"},0),1)=3,IF(8=1,"CaMg+",IF(8=2,"CaMg+",IF(8=3,"CaMg+",IF(8=4,"CaMg+",IF(8=5,"CaMg+",IF(8=6,"CaMg+",IF(8=7,"—",IF(8=8,"—",IF(8=9,"—",IF(8=10,"—",IF(8=11,"—",IF(8=12,"—","")))))))))))),IF(IFERROR(MATCH('🌱 Configuração'!$H$12,{"BioBizz","Remo Nutrients","General Organics","SuperSoil","Genérico"},0),1)=4,IF(8=1,"—",IF(8=2,"—",IF(8=3,"—",IF(8=4,"—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Top·Max</v>
      </c>
      <c r="I32" s="28" t="str">
        <f t="array" ref="I32">IF('🌱 Configuração'!$D$56="","",IF(8&lt;1,"",IF(8&gt;'🌱 Configuração'!$H$8,"",IF(IFERROR(MATCH('🌱 Configuração'!$H$12,{"BioBizz","Remo Nutrients","General Organics","SuperSoil","Genérico"},0),1)=1,IF(8=1,"1 mL/L",IF(8=2,"1 mL/L",IF(8=3,"2 mL/L",IF(8=4,"2 mL/L",IF(8=5,"3 mL/L",IF(8=6,"3 mL/L",IF(8=7,"4 mL/L",IF(8=8,"4 mL/L",IF(8=9,"4 mL/L",IF(8=10,"4 mL/L",IF(8=11,"4 mL/L",IF(8=12,"2 mL/L","")))))))))))),IF(IFERROR(MATCH('🌱 Configuração'!$H$12,{"BioBizz","Remo Nutrients","General Organics","SuperSoil","Genérico"},0),1)=2,IF(8=1,"—",IF(8=2,"—",IF(8=3,"—",IF(8=4,"1.0 mL/L",IF(8=5,"2.0 mL/L",IF(8=6,"2.0 mL/L",IF(8=7,"1.0 mL/L",IF(8=8,"—",IF(8=9,"—",IF(8=10,"—",IF(8=11,"—",IF(8=12,"—","")))))))))))),IF(IFERROR(MATCH('🌱 Configuração'!$H$12,{"BioBizz","Remo Nutrients","General Organics","SuperSoil","Genérico"},0),1)=3,IF(8=1,"1.3 mL/L",IF(8=2,"1.3 mL/L",IF(8=3,"1.3 mL/L",IF(8=4,"1.3 mL/L",IF(8=5,"1.3 mL/L",IF(8=6,"0.7 mL/L",IF(8=7,"—",IF(8=8,"—",IF(8=9,"—",IF(8=10,"—",IF(8=11,"—",IF(8=12,"—","")))))))))))),IF(IFERROR(MATCH('🌱 Configuração'!$H$12,{"BioBizz","Remo Nutrients","General Organics","SuperSoil","Genérico"},0),1)=4,IF(8=1,"—",IF(8=2,"—",IF(8=3,"—",IF(8=4,"—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4 mL/L</v>
      </c>
      <c r="J32" s="27" t="str">
        <f t="array" ref="J32">IF('🌱 Configuração'!$D$56="","",IF(8&lt;1,"",IF(8&gt;'🌱 Configuração'!$H$8,"",IF(IFERROR(MATCH('🌱 Configuração'!$H$12,{"BioBizz","Remo Nutrients","General Organics","SuperSoil","Genérico"},0),1)=1,IF(8=1,"Alg·A·Mic 1mL",IF(8=2,"—",IF(8=3,"—",IF(8=4,"—",IF(8=5,"—",IF(8=6,"Alg·A·Mic 1mL",IF(8=7,"—",IF(8=8,"—",IF(8=9,"—",IF(8=10,"—",IF(8=11,"—",IF(8=12,"—","")))))))))))),IF(IFERROR(MATCH('🌱 Configuração'!$H$12,{"BioBizz","Remo Nutrients","General Organics","SuperSoil","Genérico"},0),1)=2,IF(8=1,"Magnifical 1.0",IF(8=2,"Magnifical 1.0",IF(8=3,"Magnifical 1.0",IF(8=4,"Magnifical 1.0",IF(8=5,"Kelp 1.0 mL",IF(8=6,"Kelp 1.0 mL",IF(8=7,"—",IF(8=8,"—",IF(8=9,"—",IF(8=10,"—",IF(8=11,"—",IF(8=12,"—","")))))))))))),IF(IFERROR(MATCH('🌱 Configuração'!$H$12,{"BioBizz","Remo Nutrients","General Organics","SuperSoil","Genérico"},0),1)=3,IF(8=1,"BioWeed 0.7",IF(8=2,"—",IF(8=3,"—",IF(8=4,"BioMarine 0.7",IF(8=5,"BioMarine 0.7",IF(8=6,"—",IF(8=7,"—",IF(8=8,"—",IF(8=9,"—",IF(8=10,"—",IF(8=11,"—",IF(8=12,"—","")))))))))))),IF(IFERROR(MATCH('🌱 Configuração'!$H$12,{"BioBizz","Remo Nutrients","General Organics","SuperSoil","Genérico"},0),1)=4,IF(8=1,"Chá",IF(8=2,"—",IF(8=3,"Molasses 2mL",IF(8=4,"—",IF(8=5,"Chá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—</v>
      </c>
      <c r="K32" s="16" t="str">
        <f t="array" ref="K32">IF('🌱 Configuração'!$D$56="","",IF(8&lt;1,"",IF(8&gt;'🌱 Configuração'!$H$8,"",IF(IFERROR(MATCH('🌱 Configuração'!$H$12,{"BioBizz","Remo Nutrients","General Organics","SuperSoil","Genérico"},0),1)=1,IF(8=1,"6.2–6.5",IF(8=2,"6.2–6.5",IF(8=3,"6.2–6.5",IF(8=4,"6.2–6.5",IF(8=5,"6.2–6.5",IF(8=6,"6.2–6.5",IF(8=7,"6.2–6.5",IF(8=8,"6.2–6.5",IF(8=9,"6.2–6.5",IF(8=10,"6.2–6.5",IF(8=11,"6.2–6.5",IF(8=12,"6.2–6.5","")))))))))))),IF(IFERROR(MATCH('🌱 Configuração'!$H$12,{"BioBizz","Remo Nutrients","General Organics","SuperSoil","Genérico"},0),1)=2,IF(8=1,"6.0–6.3",IF(8=2,"6.0–6.3",IF(8=3,"6.0–6.3",IF(8=4,"6.0–6.3",IF(8=5,"6.0–6.3",IF(8=6,"6.0–6.3",IF(8=7,"6.0–6.3",IF(8=8,"6.0–6.3",IF(8=9,"6.0–6.3",IF(8=10,"6.0–6.3",IF(8=11,"6.0–6.3",IF(8=12,"6.0–6.3","")))))))))))),IF(IFERROR(MATCH('🌱 Configuração'!$H$12,{"BioBizz","Remo Nutrients","General Organics","SuperSoil","Genérico"},0),1)=3,IF(8=1,"6.2–7.0",IF(8=2,"6.2–7.0",IF(8=3,"6.2–7.0",IF(8=4,"6.2–7.0",IF(8=5,"6.2–7.0",IF(8=6,"6.2–7.0",IF(8=7,"6.2–7.0",IF(8=8,"6.2–7.0",IF(8=9,"6.2–7.0",IF(8=10,"6.2–7.0",IF(8=11,"6.2–7.0",IF(8=12,"6.2–7.0","")))))))))))),IF(IFERROR(MATCH('🌱 Configuração'!$H$12,{"BioBizz","Remo Nutrients","General Organics","SuperSoil","Genérico"},0),1)=4,IF(8=1,"auto",IF(8=2,"auto",IF(8=3,"auto",IF(8=4,"auto",IF(8=5,"auto",IF(8=6,"auto",IF(8=7,"auto",IF(8=8,"auto",IF(8=9,"auto",IF(8=10,"auto",IF(8=11,"auto",IF(8=12,"auto","")))))))))))),IF(8=1,"—",IF(8=2,"—",IF(8=3,"—",IF(8=4,"—",IF(8=5,"—",IF(8=6,"—",IF(8=7,"—",IF(8=8,"—",IF(8=9,"—",IF(8=10,"—",IF(8=11,"—",IF(8=12,"—","")))))))))))))))))))</f>
        <v>6.2–6.5</v>
      </c>
      <c r="L32" s="17" t="str">
        <f t="array" ref="L32">IF('🌱 Configuração'!$D$56="","",IF(8&lt;1,"",IF(8&gt;'🌱 Configuração'!$H$8,"",IF(IFERROR(MATCH('🌱 Configuração'!$H$12,{"BioBizz","Remo Nutrients","General Organics","SuperSoil","Genérico"},0),1)=1,IF(8=1,"1.6",IF(8=2,"1.7",IF(8=3,"1.8",IF(8=4,"1.9",IF(8=5,"2.0",IF(8=6,"2.0",IF(8=7,"1.9",IF(8=8,"1.8",IF(8=9,"1.6",IF(8=10,"1.6",IF(8=11,"1.4",IF(8=12,"1.0","")))))))))))),IF(IFERROR(MATCH('🌱 Configuração'!$H$12,{"BioBizz","Remo Nutrients","General Organics","SuperSoil","Genérico"},0),1)=2,IF(8=1,"1.6",IF(8=2,"1.7",IF(8=3,"1.8",IF(8=4,"1.9",IF(8=5,"2.0",IF(8=6,"2.0",IF(8=7,"1.8",IF(8=8,"1.6",IF(8=9,"1.4",IF(8=10,"1.4",IF(8=11,"1.0",IF(8=12,"0.8","")))))))))))),IF(IFERROR(MATCH('🌱 Configuração'!$H$12,{"BioBizz","Remo Nutrients","General Organics","SuperSoil","Genérico"},0),1)=3,IF(8=1,"N/A",IF(8=2,"N/A",IF(8=3,"N/A",IF(8=4,"N/A",IF(8=5,"N/A",IF(8=6,"N/A",IF(8=7,"N/A",IF(8=8,"N/A",IF(8=9,"N/A",IF(8=10,"N/A",IF(8=11,"N/A",IF(8=12,"N/A","")))))))))))),IF(IFERROR(MATCH('🌱 Configuração'!$H$12,{"BioBizz","Remo Nutrients","General Organics","SuperSoil","Genérico"},0),1)=4,IF(8=1,"auto",IF(8=2,"auto",IF(8=3,"auto",IF(8=4,"auto",IF(8=5,"auto",IF(8=6,"auto",IF(8=7,"auto",IF(8=8,"auto",IF(8=9,"auto",IF(8=10,"auto",IF(8=11,"auto",IF(8=12,"auto","")))))))))))),IF(8=1,"—",IF(8=2,"—",IF(8=3,"—",IF(8=4,"—",IF(8=5,"—",IF(8=6,"—",IF(8=7,"—",IF(8=8,"—",IF(8=9,"—",IF(8=10,"—",IF(8=11,"—",IF(8=12,"—","")))))))))))))))))))</f>
        <v>1.8</v>
      </c>
      <c r="M32" s="27" t="str">
        <f t="array" ref="M32">IF('🌱 Configuração'!$D$56="","",IF(8&lt;1,"",IF(8&gt;'🌱 Configuração'!$H$8,"",IF(IFERROR(MATCH('🌱 Configuração'!$H$12,{"BioBizz","Remo Nutrients","General Organics","SuperSoil","Genérico"},0),1)=1,IF(8=1,"Manter Bio·Grow em S1–S3 flora",IF(8=2,"Formação de pistils",IF(8=3,"Início do enchimento",IF(8=4,"Parar Bio·Grow — fase de flora plena",IF(8=5,"Pico de floração",IF(8=6,"Enchimento máximo",IF(8=7,"Amadurecimento — manter bloom alto",IF(8=8,"Pré-flush — analisar tricomas",IF(8=9,"Semana extra (sativa)",IF(8=10,"Semana extra (sativa)",IF(8=11,"Reduzir — semana final",IF(8=12,"Último adubo antes flush","")))))))))))),IF(IFERROR(MATCH('🌱 Configuração'!$H$12,{"BioBizz","Remo Nutrients","General Organics","SuperSoil","Genérico"},0),1)=2,IF(8=1,"Apenas Micro+Bloom em floração Remo",IF(8=2,"Sem Grow a partir daqui",IF(8=3,"Tabela oficial: 2.1 mL/L S1–S4",IF(8=4,"Astroflower = estimulante floração",IF(8=5,"Tabela oficial: 2.6 mL/L S5–S7",IF(8=6,"Pico de floração Remo",IF(8=7,"Tabela oficial S7",IF(8=8,"Reduzir — semana final",IF(8=9,"Semana extra — sativa",IF(8=10,"Semana extra",IF(8=11,"Reduzir para flush",IF(8=12,"Último adubo","")))))))))))),IF(IFERROR(MATCH('🌱 Configuração'!$H$12,{"BioBizz","Remo Nutrients","General Organics","SuperSoil","Genérico"},0),1)=3,IF(8=1,"BioBud = estimulante flores GO",IF(8=2,"Early Flower GO",IF(8=3,"Mid Flower GO",IF(8=4,"BioMarine = peixe fermentado GO",IF(8=5,"Pico floração GO",IF(8=6,"Late Flower GO",IF(8=7,"Reduzir CaMg+ final",IF(8=8,"Late Flower GO — pré-flush",IF(8=9,"Semana extra — reduzir dose",IF(8=10,"Semana extra GO (sativa)",IF(8=11,"Semana extra GO",IF(8=12,"Último adubo GO","")))))))))))),IF(IFERROR(MATCH('🌱 Configuração'!$H$12,{"BioBizz","Remo Nutrients","General Organics","SuperSoil","Genérico"},0),1)=4,IF(8=1,"Guano P alto = floração forte",IF(8=2,"Solo vivo em pico — não interferir",IF(8=3,"Alga = K e micronutrientes florais",IF(8=4,"Fósforo natural = buds densos",IF(8=5,"Alimentar microbioma — enchimento",IF(8=6,"Semana de pico — micro + K",IF(8=7,"Reduzir intervenções — amadurecimento",IF(8=8,"Pré-flush SuperSoil",IF(8=9,"Parar coberturas — lavar suave",IF(8=10,"Semana extra (sativa)",IF(8=11,"Semana extra",IF(8=12,"Última semana — observar tricomas","")))))))))))),IF(8=1,"Personalize suas doses",IF(8=2,"Personalize suas doses",IF(8=3,"Personalize suas doses",IF(8=4,"Personalize suas doses",IF(8=5,"Personalize suas doses",IF(8=6,"Personalize suas doses",IF(8=7,"Personalize suas doses",IF(8=8,"Personalize suas doses",IF(8=9,"Personalize suas doses",IF(8=10,"Personalize suas doses",IF(8=11,"Personalize suas doses",IF(8=12,"Personalize suas doses","")))))))))))))))))))</f>
        <v>Pré-flush — analisar tricomas</v>
      </c>
      <c r="N32" s="1"/>
    </row>
    <row r="33" spans="1:14" ht="21.75" customHeight="1">
      <c r="A33" s="1"/>
      <c r="B33" s="25" t="str">
        <f>IF(9&lt;='🌱 Configuração'!$H$8,"S9","—")</f>
        <v>S9</v>
      </c>
      <c r="C33" s="13">
        <f>IF(9&lt;='🌱 Configuração'!$H$8,'🌱 Configuração'!$D$56+56,"")</f>
        <v>112</v>
      </c>
      <c r="D33" s="14" t="str">
        <f t="array" ref="D33">IF('🌱 Configuração'!$D$56="","",IF(9&lt;1,"",IF(9&gt;'🌱 Configuração'!$H$8,"",IF(IFERROR(MATCH('🌱 Configuração'!$H$12,{"BioBizz","Remo Nutrients","General Organics","SuperSoil","Genérico"},0),1)=1,IF(9=1,"Bio·Grow",IF(9=2,"Bio·Grow",IF(9=3,"Bio·Grow",IF(9=4,"—",IF(9=5,"—",IF(9=6,"—",IF(9=7,"—",IF(9=8,"—",IF(9=9,"—",IF(9=10,"—",IF(9=11,"—",IF(9=12,"—","")))))))))))),IF(IFERROR(MATCH('🌱 Configuração'!$H$12,{"BioBizz","Remo Nutrients","General Organics","SuperSoil","Genérico"},0),1)=2,IF(9=1,"Micro",IF(9=2,"Micro",IF(9=3,"Micro",IF(9=4,"Micro",IF(9=5,"Micro",IF(9=6,"Micro",IF(9=7,"Micro",IF(9=8,"Micro",IF(9=9,"Micro",IF(9=10,"Micro",IF(9=11,"Micro",IF(9=12,"Micro","")))))))))))),IF(IFERROR(MATCH('🌱 Configuração'!$H$12,{"BioBizz","Remo Nutrients","General Organics","SuperSoil","Genérico"},0),1)=3,IF(9=1,"BioThrive B",IF(9=2,"BioThrive B",IF(9=3,"BioThrive B",IF(9=4,"BioThrive B",IF(9=5,"BioThrive B",IF(9=6,"BioThrive B",IF(9=7,"BioThrive B",IF(9=8,"BioThrive B",IF(9=9,"BioThrive B",IF(9=10,"BioThrive B",IF(9=11,"BioThrive B",IF(9=12,"BioThrive B","")))))))))))),IF(IFERROR(MATCH('🌱 Configuração'!$H$12,{"BioBizz","Remo Nutrients","General Organics","SuperSoil","Genérico"},0),1)=4,IF(9=1,"Cobertura: guano de morcego",IF(9=2,"Chá de compostagem",IF(9=3,"Cobertura: farinha de alga",IF(9=4,"Cobertura: guano de morcego",IF(9=5,"Molasses 2 mL/L",IF(9=6,"Cobertura: farinha de alga",IF(9=7,"Chá de compostagem",IF(9=8,"Molasses 2 mL/L",IF(9=9,"Água pura",IF(9=10,"Água pura",IF(9=11,"Água pura",IF(9=12,"Água pura","")))))))))))),IF(9=1,"← Preencha",IF(9=2,"← Preencha",IF(9=3,"← Preencha",IF(9=4,"← Preencha",IF(9=5,"← Preencha",IF(9=6,"← Preencha",IF(9=7,"← Preencha",IF(9=8,"← Preencha",IF(9=9,"← Preencha",IF(9=10,"← Preencha",IF(9=11,"← Preencha",IF(9=12,"← Preencha","")))))))))))))))))))</f>
        <v>—</v>
      </c>
      <c r="E33" s="15" t="str">
        <f t="array" ref="E33">IF('🌱 Configuração'!$D$56="","",IF(9&lt;1,"",IF(9&gt;'🌱 Configuração'!$H$8,"",IF(IFERROR(MATCH('🌱 Configuração'!$H$12,{"BioBizz","Remo Nutrients","General Organics","SuperSoil","Genérico"},0),1)=1,IF(9=1,"1 mL/L",IF(9=2,"1 mL/L",IF(9=3,"1 mL/L",IF(9=4,"—",IF(9=5,"—",IF(9=6,"—",IF(9=7,"—",IF(9=8,"—",IF(9=9,"—",IF(9=10,"—",IF(9=11,"—",IF(9=12,"—","")))))))))))),IF(IFERROR(MATCH('🌱 Configuração'!$H$12,{"BioBizz","Remo Nutrients","General Organics","SuperSoil","Genérico"},0),1)=2,IF(9=1,"2.1 mL/L",IF(9=2,"2.1 mL/L",IF(9=3,"2.1 mL/L",IF(9=4,"2.1 mL/L",IF(9=5,"2.6 mL/L",IF(9=6,"2.6 mL/L",IF(9=7,"2.6 mL/L",IF(9=8,"2.1 mL/L",IF(9=9,"2.1 mL/L",IF(9=10,"2.1 mL/L",IF(9=11,"1.5 mL/L",IF(9=12,"1.0 mL/L","")))))))))))),IF(IFERROR(MATCH('🌱 Configuração'!$H$12,{"BioBizz","Remo Nutrients","General Organics","SuperSoil","Genérico"},0),1)=3,IF(9=1,"2.6 mL/L",IF(9=2,"2.6 mL/L",IF(9=3,"2.6 mL/L",IF(9=4,"2.6 mL/L",IF(9=5,"2.6 mL/L",IF(9=6,"2.6 mL/L",IF(9=7,"2.6 mL/L",IF(9=8,"2.6 mL/L",IF(9=9,"1.3 mL/L",IF(9=10,"1.3 mL/L",IF(9=11,"1.3 mL/L",IF(9=12,"1.3 mL/L","")))))))))))),IF(IFERROR(MATCH('🌱 Configuração'!$H$12,{"BioBizz","Remo Nutrients","General Organics","SuperSoil","Genérico"},0),1)=4,IF(9=1,"5g/L solo",IF(9=2,"2L/planta",IF(9=3,"5g/L solo",IF(9=4,"5g/L solo",IF(9=5,"—",IF(9=6,"5g/L solo",IF(9=7,"2L/planta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—</v>
      </c>
      <c r="F33" s="14" t="str">
        <f t="array" ref="F33">IF('🌱 Configuração'!$D$56="","",IF(9&lt;1,"",IF(9&gt;'🌱 Configuração'!$H$8,"",IF(IFERROR(MATCH('🌱 Configuração'!$H$12,{"BioBizz","Remo Nutrients","General Organics","SuperSoil","Genérico"},0),1)=1,IF(9=1,"Bio·Bloom",IF(9=2,"Bio·Bloom",IF(9=3,"Bio·Bloom",IF(9=4,"Bio·Bloom",IF(9=5,"Bio·Bloom",IF(9=6,"Bio·Bloom",IF(9=7,"Bio·Bloom",IF(9=8,"Bio·Bloom",IF(9=9,"Bio·Bloom",IF(9=10,"Bio·Bloom",IF(9=11,"Bio·Bloom",IF(9=12,"Bio·Bloom","")))))))))))),IF(IFERROR(MATCH('🌱 Configuração'!$H$12,{"BioBizz","Remo Nutrients","General Organics","SuperSoil","Genérico"},0),1)=2,IF(9=1,"Bloom",IF(9=2,"Bloom",IF(9=3,"Bloom",IF(9=4,"Bloom",IF(9=5,"Bloom",IF(9=6,"Bloom",IF(9=7,"Bloom",IF(9=8,"Bloom",IF(9=9,"Bloom",IF(9=10,"Bloom",IF(9=11,"Bloom",IF(9=12,"Bloom","")))))))))))),IF(IFERROR(MATCH('🌱 Configuração'!$H$12,{"BioBizz","Remo Nutrients","General Organics","SuperSoil","Genérico"},0),1)=3,IF(9=1,"BioBud",IF(9=2,"BioBud",IF(9=3,"BioBud",IF(9=4,"BioBud",IF(9=5,"BioBud",IF(9=6,"BioBud",IF(9=7,"BioBud",IF(9=8,"—",IF(9=9,"—",IF(9=10,"—",IF(9=11,"—",IF(9=12,"—","")))))))))))),IF(IFERROR(MATCH('🌱 Configuração'!$H$12,{"BioBizz","Remo Nutrients","General Organics","SuperSoil","Genérico"},0),1)=4,IF(9=1,"Molasses 2 mL/L",IF(9=2,"—",IF(9=3,"—",IF(9=4,"Cobertura: fosfato natural",IF(9=5,"—",IF(9=6,"Molasses 2 mL/L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Bio·Bloom</v>
      </c>
      <c r="G33" s="15" t="str">
        <f t="array" ref="G33">IF('🌱 Configuração'!$D$56="","",IF(9&lt;1,"",IF(9&gt;'🌱 Configuração'!$H$8,"",IF(IFERROR(MATCH('🌱 Configuração'!$H$12,{"BioBizz","Remo Nutrients","General Organics","SuperSoil","Genérico"},0),1)=1,IF(9=1,"1 mL/L",IF(9=2,"2 mL/L",IF(9=3,"3 mL/L",IF(9=4,"3 mL/L",IF(9=5,"4 mL/L",IF(9=6,"4 mL/L",IF(9=7,"4 mL/L",IF(9=8,"4 mL/L",IF(9=9,"4 mL/L",IF(9=10,"4 mL/L",IF(9=11,"4 mL/L",IF(9=12,"2 mL/L","")))))))))))),IF(IFERROR(MATCH('🌱 Configuração'!$H$12,{"BioBizz","Remo Nutrients","General Organics","SuperSoil","Genérico"},0),1)=2,IF(9=1,"2.1 mL/L",IF(9=2,"2.1 mL/L",IF(9=3,"2.1 mL/L",IF(9=4,"2.1 mL/L",IF(9=5,"2.6 mL/L",IF(9=6,"2.6 mL/L",IF(9=7,"2.6 mL/L",IF(9=8,"2.1 mL/L",IF(9=9,"2.1 mL/L",IF(9=10,"2.1 mL/L",IF(9=11,"1.5 mL/L",IF(9=12,"1.0 mL/L","")))))))))))),IF(IFERROR(MATCH('🌱 Configuração'!$H$12,{"BioBizz","Remo Nutrients","General Organics","SuperSoil","Genérico"},0),1)=3,IF(9=1,"0.7 mL/L",IF(9=2,"0.7 mL/L",IF(9=3,"0.7 mL/L",IF(9=4,"0.7 mL/L",IF(9=5,"0.7 mL/L",IF(9=6,"0.7 mL/L",IF(9=7,"0.7 mL/L",IF(9=8,"—",IF(9=9,"—",IF(9=10,"—",IF(9=11,"—",IF(9=12,"—","")))))))))))),IF(IFERROR(MATCH('🌱 Configuração'!$H$12,{"BioBizz","Remo Nutrients","General Organics","SuperSoil","Genérico"},0),1)=4,IF(9=1,"—",IF(9=2,"—",IF(9=3,"—",IF(9=4,"5g/L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4 mL/L</v>
      </c>
      <c r="H33" s="14" t="str">
        <f t="array" ref="H33">IF('🌱 Configuração'!$D$56="","",IF(9&lt;1,"",IF(9&gt;'🌱 Configuração'!$H$8,"",IF(IFERROR(MATCH('🌱 Configuração'!$H$12,{"BioBizz","Remo Nutrients","General Organics","SuperSoil","Genérico"},0),1)=1,IF(9=1,"Top·Max",IF(9=2,"Top·Max",IF(9=3,"Top·Max",IF(9=4,"Top·Max",IF(9=5,"Top·Max",IF(9=6,"Top·Max",IF(9=7,"Top·Max",IF(9=8,"Top·Max",IF(9=9,"Top·Max",IF(9=10,"Top·Max",IF(9=11,"Top·Max",IF(9=12,"Top·Max","")))))))))))),IF(IFERROR(MATCH('🌱 Configuração'!$H$12,{"BioBizz","Remo Nutrients","General Organics","SuperSoil","Genérico"},0),1)=2,IF(9=1,"—",IF(9=2,"—",IF(9=3,"—",IF(9=4,"Astroflower",IF(9=5,"Astroflower",IF(9=6,"Astroflower",IF(9=7,"Astroflower",IF(9=8,"—",IF(9=9,"—",IF(9=10,"—",IF(9=11,"—",IF(9=12,"—","")))))))))))),IF(IFERROR(MATCH('🌱 Configuração'!$H$12,{"BioBizz","Remo Nutrients","General Organics","SuperSoil","Genérico"},0),1)=3,IF(9=1,"CaMg+",IF(9=2,"CaMg+",IF(9=3,"CaMg+",IF(9=4,"CaMg+",IF(9=5,"CaMg+",IF(9=6,"CaMg+",IF(9=7,"—",IF(9=8,"—",IF(9=9,"—",IF(9=10,"—",IF(9=11,"—",IF(9=12,"—","")))))))))))),IF(IFERROR(MATCH('🌱 Configuração'!$H$12,{"BioBizz","Remo Nutrients","General Organics","SuperSoil","Genérico"},0),1)=4,IF(9=1,"—",IF(9=2,"—",IF(9=3,"—",IF(9=4,"—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Top·Max</v>
      </c>
      <c r="I33" s="15" t="str">
        <f t="array" ref="I33">IF('🌱 Configuração'!$D$56="","",IF(9&lt;1,"",IF(9&gt;'🌱 Configuração'!$H$8,"",IF(IFERROR(MATCH('🌱 Configuração'!$H$12,{"BioBizz","Remo Nutrients","General Organics","SuperSoil","Genérico"},0),1)=1,IF(9=1,"1 mL/L",IF(9=2,"1 mL/L",IF(9=3,"2 mL/L",IF(9=4,"2 mL/L",IF(9=5,"3 mL/L",IF(9=6,"3 mL/L",IF(9=7,"4 mL/L",IF(9=8,"4 mL/L",IF(9=9,"4 mL/L",IF(9=10,"4 mL/L",IF(9=11,"4 mL/L",IF(9=12,"2 mL/L","")))))))))))),IF(IFERROR(MATCH('🌱 Configuração'!$H$12,{"BioBizz","Remo Nutrients","General Organics","SuperSoil","Genérico"},0),1)=2,IF(9=1,"—",IF(9=2,"—",IF(9=3,"—",IF(9=4,"1.0 mL/L",IF(9=5,"2.0 mL/L",IF(9=6,"2.0 mL/L",IF(9=7,"1.0 mL/L",IF(9=8,"—",IF(9=9,"—",IF(9=10,"—",IF(9=11,"—",IF(9=12,"—","")))))))))))),IF(IFERROR(MATCH('🌱 Configuração'!$H$12,{"BioBizz","Remo Nutrients","General Organics","SuperSoil","Genérico"},0),1)=3,IF(9=1,"1.3 mL/L",IF(9=2,"1.3 mL/L",IF(9=3,"1.3 mL/L",IF(9=4,"1.3 mL/L",IF(9=5,"1.3 mL/L",IF(9=6,"0.7 mL/L",IF(9=7,"—",IF(9=8,"—",IF(9=9,"—",IF(9=10,"—",IF(9=11,"—",IF(9=12,"—","")))))))))))),IF(IFERROR(MATCH('🌱 Configuração'!$H$12,{"BioBizz","Remo Nutrients","General Organics","SuperSoil","Genérico"},0),1)=4,IF(9=1,"—",IF(9=2,"—",IF(9=3,"—",IF(9=4,"—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4 mL/L</v>
      </c>
      <c r="J33" s="14" t="str">
        <f t="array" ref="J33">IF('🌱 Configuração'!$D$56="","",IF(9&lt;1,"",IF(9&gt;'🌱 Configuração'!$H$8,"",IF(IFERROR(MATCH('🌱 Configuração'!$H$12,{"BioBizz","Remo Nutrients","General Organics","SuperSoil","Genérico"},0),1)=1,IF(9=1,"Alg·A·Mic 1mL",IF(9=2,"—",IF(9=3,"—",IF(9=4,"—",IF(9=5,"—",IF(9=6,"Alg·A·Mic 1mL",IF(9=7,"—",IF(9=8,"—",IF(9=9,"—",IF(9=10,"—",IF(9=11,"—",IF(9=12,"—","")))))))))))),IF(IFERROR(MATCH('🌱 Configuração'!$H$12,{"BioBizz","Remo Nutrients","General Organics","SuperSoil","Genérico"},0),1)=2,IF(9=1,"Magnifical 1.0",IF(9=2,"Magnifical 1.0",IF(9=3,"Magnifical 1.0",IF(9=4,"Magnifical 1.0",IF(9=5,"Kelp 1.0 mL",IF(9=6,"Kelp 1.0 mL",IF(9=7,"—",IF(9=8,"—",IF(9=9,"—",IF(9=10,"—",IF(9=11,"—",IF(9=12,"—","")))))))))))),IF(IFERROR(MATCH('🌱 Configuração'!$H$12,{"BioBizz","Remo Nutrients","General Organics","SuperSoil","Genérico"},0),1)=3,IF(9=1,"BioWeed 0.7",IF(9=2,"—",IF(9=3,"—",IF(9=4,"BioMarine 0.7",IF(9=5,"BioMarine 0.7",IF(9=6,"—",IF(9=7,"—",IF(9=8,"—",IF(9=9,"—",IF(9=10,"—",IF(9=11,"—",IF(9=12,"—","")))))))))))),IF(IFERROR(MATCH('🌱 Configuração'!$H$12,{"BioBizz","Remo Nutrients","General Organics","SuperSoil","Genérico"},0),1)=4,IF(9=1,"Chá",IF(9=2,"—",IF(9=3,"Molasses 2mL",IF(9=4,"—",IF(9=5,"Chá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—</v>
      </c>
      <c r="K33" s="16" t="str">
        <f t="array" ref="K33">IF('🌱 Configuração'!$D$56="","",IF(9&lt;1,"",IF(9&gt;'🌱 Configuração'!$H$8,"",IF(IFERROR(MATCH('🌱 Configuração'!$H$12,{"BioBizz","Remo Nutrients","General Organics","SuperSoil","Genérico"},0),1)=1,IF(9=1,"6.2–6.5",IF(9=2,"6.2–6.5",IF(9=3,"6.2–6.5",IF(9=4,"6.2–6.5",IF(9=5,"6.2–6.5",IF(9=6,"6.2–6.5",IF(9=7,"6.2–6.5",IF(9=8,"6.2–6.5",IF(9=9,"6.2–6.5",IF(9=10,"6.2–6.5",IF(9=11,"6.2–6.5",IF(9=12,"6.2–6.5","")))))))))))),IF(IFERROR(MATCH('🌱 Configuração'!$H$12,{"BioBizz","Remo Nutrients","General Organics","SuperSoil","Genérico"},0),1)=2,IF(9=1,"6.0–6.3",IF(9=2,"6.0–6.3",IF(9=3,"6.0–6.3",IF(9=4,"6.0–6.3",IF(9=5,"6.0–6.3",IF(9=6,"6.0–6.3",IF(9=7,"6.0–6.3",IF(9=8,"6.0–6.3",IF(9=9,"6.0–6.3",IF(9=10,"6.0–6.3",IF(9=11,"6.0–6.3",IF(9=12,"6.0–6.3","")))))))))))),IF(IFERROR(MATCH('🌱 Configuração'!$H$12,{"BioBizz","Remo Nutrients","General Organics","SuperSoil","Genérico"},0),1)=3,IF(9=1,"6.2–7.0",IF(9=2,"6.2–7.0",IF(9=3,"6.2–7.0",IF(9=4,"6.2–7.0",IF(9=5,"6.2–7.0",IF(9=6,"6.2–7.0",IF(9=7,"6.2–7.0",IF(9=8,"6.2–7.0",IF(9=9,"6.2–7.0",IF(9=10,"6.2–7.0",IF(9=11,"6.2–7.0",IF(9=12,"6.2–7.0","")))))))))))),IF(IFERROR(MATCH('🌱 Configuração'!$H$12,{"BioBizz","Remo Nutrients","General Organics","SuperSoil","Genérico"},0),1)=4,IF(9=1,"auto",IF(9=2,"auto",IF(9=3,"auto",IF(9=4,"auto",IF(9=5,"auto",IF(9=6,"auto",IF(9=7,"auto",IF(9=8,"auto",IF(9=9,"auto",IF(9=10,"auto",IF(9=11,"auto",IF(9=12,"auto","")))))))))))),IF(9=1,"—",IF(9=2,"—",IF(9=3,"—",IF(9=4,"—",IF(9=5,"—",IF(9=6,"—",IF(9=7,"—",IF(9=8,"—",IF(9=9,"—",IF(9=10,"—",IF(9=11,"—",IF(9=12,"—","")))))))))))))))))))</f>
        <v>6.2–6.5</v>
      </c>
      <c r="L33" s="17" t="str">
        <f t="array" ref="L33">IF('🌱 Configuração'!$D$56="","",IF(9&lt;1,"",IF(9&gt;'🌱 Configuração'!$H$8,"",IF(IFERROR(MATCH('🌱 Configuração'!$H$12,{"BioBizz","Remo Nutrients","General Organics","SuperSoil","Genérico"},0),1)=1,IF(9=1,"1.6",IF(9=2,"1.7",IF(9=3,"1.8",IF(9=4,"1.9",IF(9=5,"2.0",IF(9=6,"2.0",IF(9=7,"1.9",IF(9=8,"1.8",IF(9=9,"1.6",IF(9=10,"1.6",IF(9=11,"1.4",IF(9=12,"1.0","")))))))))))),IF(IFERROR(MATCH('🌱 Configuração'!$H$12,{"BioBizz","Remo Nutrients","General Organics","SuperSoil","Genérico"},0),1)=2,IF(9=1,"1.6",IF(9=2,"1.7",IF(9=3,"1.8",IF(9=4,"1.9",IF(9=5,"2.0",IF(9=6,"2.0",IF(9=7,"1.8",IF(9=8,"1.6",IF(9=9,"1.4",IF(9=10,"1.4",IF(9=11,"1.0",IF(9=12,"0.8","")))))))))))),IF(IFERROR(MATCH('🌱 Configuração'!$H$12,{"BioBizz","Remo Nutrients","General Organics","SuperSoil","Genérico"},0),1)=3,IF(9=1,"N/A",IF(9=2,"N/A",IF(9=3,"N/A",IF(9=4,"N/A",IF(9=5,"N/A",IF(9=6,"N/A",IF(9=7,"N/A",IF(9=8,"N/A",IF(9=9,"N/A",IF(9=10,"N/A",IF(9=11,"N/A",IF(9=12,"N/A","")))))))))))),IF(IFERROR(MATCH('🌱 Configuração'!$H$12,{"BioBizz","Remo Nutrients","General Organics","SuperSoil","Genérico"},0),1)=4,IF(9=1,"auto",IF(9=2,"auto",IF(9=3,"auto",IF(9=4,"auto",IF(9=5,"auto",IF(9=6,"auto",IF(9=7,"auto",IF(9=8,"auto",IF(9=9,"auto",IF(9=10,"auto",IF(9=11,"auto",IF(9=12,"auto","")))))))))))),IF(9=1,"—",IF(9=2,"—",IF(9=3,"—",IF(9=4,"—",IF(9=5,"—",IF(9=6,"—",IF(9=7,"—",IF(9=8,"—",IF(9=9,"—",IF(9=10,"—",IF(9=11,"—",IF(9=12,"—","")))))))))))))))))))</f>
        <v>1.6</v>
      </c>
      <c r="M33" s="14" t="str">
        <f t="array" ref="M33">IF('🌱 Configuração'!$D$56="","",IF(9&lt;1,"",IF(9&gt;'🌱 Configuração'!$H$8,"",IF(IFERROR(MATCH('🌱 Configuração'!$H$12,{"BioBizz","Remo Nutrients","General Organics","SuperSoil","Genérico"},0),1)=1,IF(9=1,"Manter Bio·Grow em S1–S3 flora",IF(9=2,"Formação de pistils",IF(9=3,"Início do enchimento",IF(9=4,"Parar Bio·Grow — fase de flora plena",IF(9=5,"Pico de floração",IF(9=6,"Enchimento máximo",IF(9=7,"Amadurecimento — manter bloom alto",IF(9=8,"Pré-flush — analisar tricomas",IF(9=9,"Semana extra (sativa)",IF(9=10,"Semana extra (sativa)",IF(9=11,"Reduzir — semana final",IF(9=12,"Último adubo antes flush","")))))))))))),IF(IFERROR(MATCH('🌱 Configuração'!$H$12,{"BioBizz","Remo Nutrients","General Organics","SuperSoil","Genérico"},0),1)=2,IF(9=1,"Apenas Micro+Bloom em floração Remo",IF(9=2,"Sem Grow a partir daqui",IF(9=3,"Tabela oficial: 2.1 mL/L S1–S4",IF(9=4,"Astroflower = estimulante floração",IF(9=5,"Tabela oficial: 2.6 mL/L S5–S7",IF(9=6,"Pico de floração Remo",IF(9=7,"Tabela oficial S7",IF(9=8,"Reduzir — semana final",IF(9=9,"Semana extra — sativa",IF(9=10,"Semana extra",IF(9=11,"Reduzir para flush",IF(9=12,"Último adubo","")))))))))))),IF(IFERROR(MATCH('🌱 Configuração'!$H$12,{"BioBizz","Remo Nutrients","General Organics","SuperSoil","Genérico"},0),1)=3,IF(9=1,"BioBud = estimulante flores GO",IF(9=2,"Early Flower GO",IF(9=3,"Mid Flower GO",IF(9=4,"BioMarine = peixe fermentado GO",IF(9=5,"Pico floração GO",IF(9=6,"Late Flower GO",IF(9=7,"Reduzir CaMg+ final",IF(9=8,"Late Flower GO — pré-flush",IF(9=9,"Semana extra — reduzir dose",IF(9=10,"Semana extra GO (sativa)",IF(9=11,"Semana extra GO",IF(9=12,"Último adubo GO","")))))))))))),IF(IFERROR(MATCH('🌱 Configuração'!$H$12,{"BioBizz","Remo Nutrients","General Organics","SuperSoil","Genérico"},0),1)=4,IF(9=1,"Guano P alto = floração forte",IF(9=2,"Solo vivo em pico — não interferir",IF(9=3,"Alga = K e micronutrientes florais",IF(9=4,"Fósforo natural = buds densos",IF(9=5,"Alimentar microbioma — enchimento",IF(9=6,"Semana de pico — micro + K",IF(9=7,"Reduzir intervenções — amadurecimento",IF(9=8,"Pré-flush SuperSoil",IF(9=9,"Parar coberturas — lavar suave",IF(9=10,"Semana extra (sativa)",IF(9=11,"Semana extra",IF(9=12,"Última semana — observar tricomas","")))))))))))),IF(9=1,"Personalize suas doses",IF(9=2,"Personalize suas doses",IF(9=3,"Personalize suas doses",IF(9=4,"Personalize suas doses",IF(9=5,"Personalize suas doses",IF(9=6,"Personalize suas doses",IF(9=7,"Personalize suas doses",IF(9=8,"Personalize suas doses",IF(9=9,"Personalize suas doses",IF(9=10,"Personalize suas doses",IF(9=11,"Personalize suas doses",IF(9=12,"Personalize suas doses","")))))))))))))))))))</f>
        <v>Semana extra (sativa)</v>
      </c>
      <c r="N33" s="1"/>
    </row>
    <row r="34" spans="1:14" ht="21.75" customHeight="1">
      <c r="A34" s="1"/>
      <c r="B34" s="25" t="str">
        <f>IF(10&lt;='🌱 Configuração'!$H$8,"S10","—")</f>
        <v>—</v>
      </c>
      <c r="C34" s="26" t="str">
        <f>IF(10&lt;='🌱 Configuração'!$H$8,'🌱 Configuração'!$D$56+63,"")</f>
        <v/>
      </c>
      <c r="D34" s="27" t="str">
        <f t="array" ref="D34">IF('🌱 Configuração'!$D$56="","",IF(10&lt;1,"",IF(10&gt;'🌱 Configuração'!$H$8,"",IF(IFERROR(MATCH('🌱 Configuração'!$H$12,{"BioBizz","Remo Nutrients","General Organics","SuperSoil","Genérico"},0),1)=1,IF(10=1,"Bio·Grow",IF(10=2,"Bio·Grow",IF(10=3,"Bio·Grow",IF(10=4,"—",IF(10=5,"—",IF(10=6,"—",IF(10=7,"—",IF(10=8,"—",IF(10=9,"—",IF(10=10,"—",IF(10=11,"—",IF(10=12,"—","")))))))))))),IF(IFERROR(MATCH('🌱 Configuração'!$H$12,{"BioBizz","Remo Nutrients","General Organics","SuperSoil","Genérico"},0),1)=2,IF(10=1,"Micro",IF(10=2,"Micro",IF(10=3,"Micro",IF(10=4,"Micro",IF(10=5,"Micro",IF(10=6,"Micro",IF(10=7,"Micro",IF(10=8,"Micro",IF(10=9,"Micro",IF(10=10,"Micro",IF(10=11,"Micro",IF(10=12,"Micro","")))))))))))),IF(IFERROR(MATCH('🌱 Configuração'!$H$12,{"BioBizz","Remo Nutrients","General Organics","SuperSoil","Genérico"},0),1)=3,IF(10=1,"BioThrive B",IF(10=2,"BioThrive B",IF(10=3,"BioThrive B",IF(10=4,"BioThrive B",IF(10=5,"BioThrive B",IF(10=6,"BioThrive B",IF(10=7,"BioThrive B",IF(10=8,"BioThrive B",IF(10=9,"BioThrive B",IF(10=10,"BioThrive B",IF(10=11,"BioThrive B",IF(10=12,"BioThrive B","")))))))))))),IF(IFERROR(MATCH('🌱 Configuração'!$H$12,{"BioBizz","Remo Nutrients","General Organics","SuperSoil","Genérico"},0),1)=4,IF(10=1,"Cobertura: guano de morcego",IF(10=2,"Chá de compostagem",IF(10=3,"Cobertura: farinha de alga",IF(10=4,"Cobertura: guano de morcego",IF(10=5,"Molasses 2 mL/L",IF(10=6,"Cobertura: farinha de alga",IF(10=7,"Chá de compostagem",IF(10=8,"Molasses 2 mL/L",IF(10=9,"Água pura",IF(10=10,"Água pura",IF(10=11,"Água pura",IF(10=12,"Água pura","")))))))))))),IF(10=1,"← Preencha",IF(10=2,"← Preencha",IF(10=3,"← Preencha",IF(10=4,"← Preencha",IF(10=5,"← Preencha",IF(10=6,"← Preencha",IF(10=7,"← Preencha",IF(10=8,"← Preencha",IF(10=9,"← Preencha",IF(10=10,"← Preencha",IF(10=11,"← Preencha",IF(10=12,"← Preencha","")))))))))))))))))))</f>
        <v/>
      </c>
      <c r="E34" s="28" t="str">
        <f t="array" ref="E34">IF('🌱 Configuração'!$D$56="","",IF(10&lt;1,"",IF(10&gt;'🌱 Configuração'!$H$8,"",IF(IFERROR(MATCH('🌱 Configuração'!$H$12,{"BioBizz","Remo Nutrients","General Organics","SuperSoil","Genérico"},0),1)=1,IF(10=1,"1 mL/L",IF(10=2,"1 mL/L",IF(10=3,"1 mL/L",IF(10=4,"—",IF(10=5,"—",IF(10=6,"—",IF(10=7,"—",IF(10=8,"—",IF(10=9,"—",IF(10=10,"—",IF(10=11,"—",IF(10=12,"—","")))))))))))),IF(IFERROR(MATCH('🌱 Configuração'!$H$12,{"BioBizz","Remo Nutrients","General Organics","SuperSoil","Genérico"},0),1)=2,IF(10=1,"2.1 mL/L",IF(10=2,"2.1 mL/L",IF(10=3,"2.1 mL/L",IF(10=4,"2.1 mL/L",IF(10=5,"2.6 mL/L",IF(10=6,"2.6 mL/L",IF(10=7,"2.6 mL/L",IF(10=8,"2.1 mL/L",IF(10=9,"2.1 mL/L",IF(10=10,"2.1 mL/L",IF(10=11,"1.5 mL/L",IF(10=12,"1.0 mL/L","")))))))))))),IF(IFERROR(MATCH('🌱 Configuração'!$H$12,{"BioBizz","Remo Nutrients","General Organics","SuperSoil","Genérico"},0),1)=3,IF(10=1,"2.6 mL/L",IF(10=2,"2.6 mL/L",IF(10=3,"2.6 mL/L",IF(10=4,"2.6 mL/L",IF(10=5,"2.6 mL/L",IF(10=6,"2.6 mL/L",IF(10=7,"2.6 mL/L",IF(10=8,"2.6 mL/L",IF(10=9,"1.3 mL/L",IF(10=10,"1.3 mL/L",IF(10=11,"1.3 mL/L",IF(10=12,"1.3 mL/L","")))))))))))),IF(IFERROR(MATCH('🌱 Configuração'!$H$12,{"BioBizz","Remo Nutrients","General Organics","SuperSoil","Genérico"},0),1)=4,IF(10=1,"5g/L solo",IF(10=2,"2L/planta",IF(10=3,"5g/L solo",IF(10=4,"5g/L solo",IF(10=5,"—",IF(10=6,"5g/L solo",IF(10=7,"2L/planta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F34" s="27" t="str">
        <f t="array" ref="F34">IF('🌱 Configuração'!$D$56="","",IF(10&lt;1,"",IF(10&gt;'🌱 Configuração'!$H$8,"",IF(IFERROR(MATCH('🌱 Configuração'!$H$12,{"BioBizz","Remo Nutrients","General Organics","SuperSoil","Genérico"},0),1)=1,IF(10=1,"Bio·Bloom",IF(10=2,"Bio·Bloom",IF(10=3,"Bio·Bloom",IF(10=4,"Bio·Bloom",IF(10=5,"Bio·Bloom",IF(10=6,"Bio·Bloom",IF(10=7,"Bio·Bloom",IF(10=8,"Bio·Bloom",IF(10=9,"Bio·Bloom",IF(10=10,"Bio·Bloom",IF(10=11,"Bio·Bloom",IF(10=12,"Bio·Bloom","")))))))))))),IF(IFERROR(MATCH('🌱 Configuração'!$H$12,{"BioBizz","Remo Nutrients","General Organics","SuperSoil","Genérico"},0),1)=2,IF(10=1,"Bloom",IF(10=2,"Bloom",IF(10=3,"Bloom",IF(10=4,"Bloom",IF(10=5,"Bloom",IF(10=6,"Bloom",IF(10=7,"Bloom",IF(10=8,"Bloom",IF(10=9,"Bloom",IF(10=10,"Bloom",IF(10=11,"Bloom",IF(10=12,"Bloom","")))))))))))),IF(IFERROR(MATCH('🌱 Configuração'!$H$12,{"BioBizz","Remo Nutrients","General Organics","SuperSoil","Genérico"},0),1)=3,IF(10=1,"BioBud",IF(10=2,"BioBud",IF(10=3,"BioBud",IF(10=4,"BioBud",IF(10=5,"BioBud",IF(10=6,"BioBud",IF(10=7,"BioBud",IF(10=8,"—",IF(10=9,"—",IF(10=10,"—",IF(10=11,"—",IF(10=12,"—","")))))))))))),IF(IFERROR(MATCH('🌱 Configuração'!$H$12,{"BioBizz","Remo Nutrients","General Organics","SuperSoil","Genérico"},0),1)=4,IF(10=1,"Molasses 2 mL/L",IF(10=2,"—",IF(10=3,"—",IF(10=4,"Cobertura: fosfato natural",IF(10=5,"—",IF(10=6,"Molasses 2 mL/L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G34" s="28" t="str">
        <f t="array" ref="G34">IF('🌱 Configuração'!$D$56="","",IF(10&lt;1,"",IF(10&gt;'🌱 Configuração'!$H$8,"",IF(IFERROR(MATCH('🌱 Configuração'!$H$12,{"BioBizz","Remo Nutrients","General Organics","SuperSoil","Genérico"},0),1)=1,IF(10=1,"1 mL/L",IF(10=2,"2 mL/L",IF(10=3,"3 mL/L",IF(10=4,"3 mL/L",IF(10=5,"4 mL/L",IF(10=6,"4 mL/L",IF(10=7,"4 mL/L",IF(10=8,"4 mL/L",IF(10=9,"4 mL/L",IF(10=10,"4 mL/L",IF(10=11,"4 mL/L",IF(10=12,"2 mL/L","")))))))))))),IF(IFERROR(MATCH('🌱 Configuração'!$H$12,{"BioBizz","Remo Nutrients","General Organics","SuperSoil","Genérico"},0),1)=2,IF(10=1,"2.1 mL/L",IF(10=2,"2.1 mL/L",IF(10=3,"2.1 mL/L",IF(10=4,"2.1 mL/L",IF(10=5,"2.6 mL/L",IF(10=6,"2.6 mL/L",IF(10=7,"2.6 mL/L",IF(10=8,"2.1 mL/L",IF(10=9,"2.1 mL/L",IF(10=10,"2.1 mL/L",IF(10=11,"1.5 mL/L",IF(10=12,"1.0 mL/L","")))))))))))),IF(IFERROR(MATCH('🌱 Configuração'!$H$12,{"BioBizz","Remo Nutrients","General Organics","SuperSoil","Genérico"},0),1)=3,IF(10=1,"0.7 mL/L",IF(10=2,"0.7 mL/L",IF(10=3,"0.7 mL/L",IF(10=4,"0.7 mL/L",IF(10=5,"0.7 mL/L",IF(10=6,"0.7 mL/L",IF(10=7,"0.7 mL/L",IF(10=8,"—",IF(10=9,"—",IF(10=10,"—",IF(10=11,"—",IF(10=12,"—","")))))))))))),IF(IFERROR(MATCH('🌱 Configuração'!$H$12,{"BioBizz","Remo Nutrients","General Organics","SuperSoil","Genérico"},0),1)=4,IF(10=1,"—",IF(10=2,"—",IF(10=3,"—",IF(10=4,"5g/L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H34" s="27" t="str">
        <f t="array" ref="H34">IF('🌱 Configuração'!$D$56="","",IF(10&lt;1,"",IF(10&gt;'🌱 Configuração'!$H$8,"",IF(IFERROR(MATCH('🌱 Configuração'!$H$12,{"BioBizz","Remo Nutrients","General Organics","SuperSoil","Genérico"},0),1)=1,IF(10=1,"Top·Max",IF(10=2,"Top·Max",IF(10=3,"Top·Max",IF(10=4,"Top·Max",IF(10=5,"Top·Max",IF(10=6,"Top·Max",IF(10=7,"Top·Max",IF(10=8,"Top·Max",IF(10=9,"Top·Max",IF(10=10,"Top·Max",IF(10=11,"Top·Max",IF(10=12,"Top·Max","")))))))))))),IF(IFERROR(MATCH('🌱 Configuração'!$H$12,{"BioBizz","Remo Nutrients","General Organics","SuperSoil","Genérico"},0),1)=2,IF(10=1,"—",IF(10=2,"—",IF(10=3,"—",IF(10=4,"Astroflower",IF(10=5,"Astroflower",IF(10=6,"Astroflower",IF(10=7,"Astroflower",IF(10=8,"—",IF(10=9,"—",IF(10=10,"—",IF(10=11,"—",IF(10=12,"—","")))))))))))),IF(IFERROR(MATCH('🌱 Configuração'!$H$12,{"BioBizz","Remo Nutrients","General Organics","SuperSoil","Genérico"},0),1)=3,IF(10=1,"CaMg+",IF(10=2,"CaMg+",IF(10=3,"CaMg+",IF(10=4,"CaMg+",IF(10=5,"CaMg+",IF(10=6,"CaMg+",IF(10=7,"—",IF(10=8,"—",IF(10=9,"—",IF(10=10,"—",IF(10=11,"—",IF(10=12,"—","")))))))))))),IF(IFERROR(MATCH('🌱 Configuração'!$H$12,{"BioBizz","Remo Nutrients","General Organics","SuperSoil","Genérico"},0),1)=4,IF(10=1,"—",IF(10=2,"—",IF(10=3,"—",IF(10=4,"—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I34" s="28" t="str">
        <f t="array" ref="I34">IF('🌱 Configuração'!$D$56="","",IF(10&lt;1,"",IF(10&gt;'🌱 Configuração'!$H$8,"",IF(IFERROR(MATCH('🌱 Configuração'!$H$12,{"BioBizz","Remo Nutrients","General Organics","SuperSoil","Genérico"},0),1)=1,IF(10=1,"1 mL/L",IF(10=2,"1 mL/L",IF(10=3,"2 mL/L",IF(10=4,"2 mL/L",IF(10=5,"3 mL/L",IF(10=6,"3 mL/L",IF(10=7,"4 mL/L",IF(10=8,"4 mL/L",IF(10=9,"4 mL/L",IF(10=10,"4 mL/L",IF(10=11,"4 mL/L",IF(10=12,"2 mL/L","")))))))))))),IF(IFERROR(MATCH('🌱 Configuração'!$H$12,{"BioBizz","Remo Nutrients","General Organics","SuperSoil","Genérico"},0),1)=2,IF(10=1,"—",IF(10=2,"—",IF(10=3,"—",IF(10=4,"1.0 mL/L",IF(10=5,"2.0 mL/L",IF(10=6,"2.0 mL/L",IF(10=7,"1.0 mL/L",IF(10=8,"—",IF(10=9,"—",IF(10=10,"—",IF(10=11,"—",IF(10=12,"—","")))))))))))),IF(IFERROR(MATCH('🌱 Configuração'!$H$12,{"BioBizz","Remo Nutrients","General Organics","SuperSoil","Genérico"},0),1)=3,IF(10=1,"1.3 mL/L",IF(10=2,"1.3 mL/L",IF(10=3,"1.3 mL/L",IF(10=4,"1.3 mL/L",IF(10=5,"1.3 mL/L",IF(10=6,"0.7 mL/L",IF(10=7,"—",IF(10=8,"—",IF(10=9,"—",IF(10=10,"—",IF(10=11,"—",IF(10=12,"—","")))))))))))),IF(IFERROR(MATCH('🌱 Configuração'!$H$12,{"BioBizz","Remo Nutrients","General Organics","SuperSoil","Genérico"},0),1)=4,IF(10=1,"—",IF(10=2,"—",IF(10=3,"—",IF(10=4,"—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J34" s="27" t="str">
        <f t="array" ref="J34">IF('🌱 Configuração'!$D$56="","",IF(10&lt;1,"",IF(10&gt;'🌱 Configuração'!$H$8,"",IF(IFERROR(MATCH('🌱 Configuração'!$H$12,{"BioBizz","Remo Nutrients","General Organics","SuperSoil","Genérico"},0),1)=1,IF(10=1,"Alg·A·Mic 1mL",IF(10=2,"—",IF(10=3,"—",IF(10=4,"—",IF(10=5,"—",IF(10=6,"Alg·A·Mic 1mL",IF(10=7,"—",IF(10=8,"—",IF(10=9,"—",IF(10=10,"—",IF(10=11,"—",IF(10=12,"—","")))))))))))),IF(IFERROR(MATCH('🌱 Configuração'!$H$12,{"BioBizz","Remo Nutrients","General Organics","SuperSoil","Genérico"},0),1)=2,IF(10=1,"Magnifical 1.0",IF(10=2,"Magnifical 1.0",IF(10=3,"Magnifical 1.0",IF(10=4,"Magnifical 1.0",IF(10=5,"Kelp 1.0 mL",IF(10=6,"Kelp 1.0 mL",IF(10=7,"—",IF(10=8,"—",IF(10=9,"—",IF(10=10,"—",IF(10=11,"—",IF(10=12,"—","")))))))))))),IF(IFERROR(MATCH('🌱 Configuração'!$H$12,{"BioBizz","Remo Nutrients","General Organics","SuperSoil","Genérico"},0),1)=3,IF(10=1,"BioWeed 0.7",IF(10=2,"—",IF(10=3,"—",IF(10=4,"BioMarine 0.7",IF(10=5,"BioMarine 0.7",IF(10=6,"—",IF(10=7,"—",IF(10=8,"—",IF(10=9,"—",IF(10=10,"—",IF(10=11,"—",IF(10=12,"—","")))))))))))),IF(IFERROR(MATCH('🌱 Configuração'!$H$12,{"BioBizz","Remo Nutrients","General Organics","SuperSoil","Genérico"},0),1)=4,IF(10=1,"Chá",IF(10=2,"—",IF(10=3,"Molasses 2mL",IF(10=4,"—",IF(10=5,"Chá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K34" s="16" t="str">
        <f t="array" ref="K34">IF('🌱 Configuração'!$D$56="","",IF(10&lt;1,"",IF(10&gt;'🌱 Configuração'!$H$8,"",IF(IFERROR(MATCH('🌱 Configuração'!$H$12,{"BioBizz","Remo Nutrients","General Organics","SuperSoil","Genérico"},0),1)=1,IF(10=1,"6.2–6.5",IF(10=2,"6.2–6.5",IF(10=3,"6.2–6.5",IF(10=4,"6.2–6.5",IF(10=5,"6.2–6.5",IF(10=6,"6.2–6.5",IF(10=7,"6.2–6.5",IF(10=8,"6.2–6.5",IF(10=9,"6.2–6.5",IF(10=10,"6.2–6.5",IF(10=11,"6.2–6.5",IF(10=12,"6.2–6.5","")))))))))))),IF(IFERROR(MATCH('🌱 Configuração'!$H$12,{"BioBizz","Remo Nutrients","General Organics","SuperSoil","Genérico"},0),1)=2,IF(10=1,"6.0–6.3",IF(10=2,"6.0–6.3",IF(10=3,"6.0–6.3",IF(10=4,"6.0–6.3",IF(10=5,"6.0–6.3",IF(10=6,"6.0–6.3",IF(10=7,"6.0–6.3",IF(10=8,"6.0–6.3",IF(10=9,"6.0–6.3",IF(10=10,"6.0–6.3",IF(10=11,"6.0–6.3",IF(10=12,"6.0–6.3","")))))))))))),IF(IFERROR(MATCH('🌱 Configuração'!$H$12,{"BioBizz","Remo Nutrients","General Organics","SuperSoil","Genérico"},0),1)=3,IF(10=1,"6.2–7.0",IF(10=2,"6.2–7.0",IF(10=3,"6.2–7.0",IF(10=4,"6.2–7.0",IF(10=5,"6.2–7.0",IF(10=6,"6.2–7.0",IF(10=7,"6.2–7.0",IF(10=8,"6.2–7.0",IF(10=9,"6.2–7.0",IF(10=10,"6.2–7.0",IF(10=11,"6.2–7.0",IF(10=12,"6.2–7.0","")))))))))))),IF(IFERROR(MATCH('🌱 Configuração'!$H$12,{"BioBizz","Remo Nutrients","General Organics","SuperSoil","Genérico"},0),1)=4,IF(10=1,"auto",IF(10=2,"auto",IF(10=3,"auto",IF(10=4,"auto",IF(10=5,"auto",IF(10=6,"auto",IF(10=7,"auto",IF(10=8,"auto",IF(10=9,"auto",IF(10=10,"auto",IF(10=11,"auto",IF(10=12,"auto","")))))))))))),IF(10=1,"—",IF(10=2,"—",IF(10=3,"—",IF(10=4,"—",IF(10=5,"—",IF(10=6,"—",IF(10=7,"—",IF(10=8,"—",IF(10=9,"—",IF(10=10,"—",IF(10=11,"—",IF(10=12,"—","")))))))))))))))))))</f>
        <v/>
      </c>
      <c r="L34" s="17" t="str">
        <f t="array" ref="L34">IF('🌱 Configuração'!$D$56="","",IF(10&lt;1,"",IF(10&gt;'🌱 Configuração'!$H$8,"",IF(IFERROR(MATCH('🌱 Configuração'!$H$12,{"BioBizz","Remo Nutrients","General Organics","SuperSoil","Genérico"},0),1)=1,IF(10=1,"1.6",IF(10=2,"1.7",IF(10=3,"1.8",IF(10=4,"1.9",IF(10=5,"2.0",IF(10=6,"2.0",IF(10=7,"1.9",IF(10=8,"1.8",IF(10=9,"1.6",IF(10=10,"1.6",IF(10=11,"1.4",IF(10=12,"1.0","")))))))))))),IF(IFERROR(MATCH('🌱 Configuração'!$H$12,{"BioBizz","Remo Nutrients","General Organics","SuperSoil","Genérico"},0),1)=2,IF(10=1,"1.6",IF(10=2,"1.7",IF(10=3,"1.8",IF(10=4,"1.9",IF(10=5,"2.0",IF(10=6,"2.0",IF(10=7,"1.8",IF(10=8,"1.6",IF(10=9,"1.4",IF(10=10,"1.4",IF(10=11,"1.0",IF(10=12,"0.8","")))))))))))),IF(IFERROR(MATCH('🌱 Configuração'!$H$12,{"BioBizz","Remo Nutrients","General Organics","SuperSoil","Genérico"},0),1)=3,IF(10=1,"N/A",IF(10=2,"N/A",IF(10=3,"N/A",IF(10=4,"N/A",IF(10=5,"N/A",IF(10=6,"N/A",IF(10=7,"N/A",IF(10=8,"N/A",IF(10=9,"N/A",IF(10=10,"N/A",IF(10=11,"N/A",IF(10=12,"N/A","")))))))))))),IF(IFERROR(MATCH('🌱 Configuração'!$H$12,{"BioBizz","Remo Nutrients","General Organics","SuperSoil","Genérico"},0),1)=4,IF(10=1,"auto",IF(10=2,"auto",IF(10=3,"auto",IF(10=4,"auto",IF(10=5,"auto",IF(10=6,"auto",IF(10=7,"auto",IF(10=8,"auto",IF(10=9,"auto",IF(10=10,"auto",IF(10=11,"auto",IF(10=12,"auto","")))))))))))),IF(10=1,"—",IF(10=2,"—",IF(10=3,"—",IF(10=4,"—",IF(10=5,"—",IF(10=6,"—",IF(10=7,"—",IF(10=8,"—",IF(10=9,"—",IF(10=10,"—",IF(10=11,"—",IF(10=12,"—","")))))))))))))))))))</f>
        <v/>
      </c>
      <c r="M34" s="27" t="str">
        <f t="array" ref="M34">IF('🌱 Configuração'!$D$56="","",IF(10&lt;1,"",IF(10&gt;'🌱 Configuração'!$H$8,"",IF(IFERROR(MATCH('🌱 Configuração'!$H$12,{"BioBizz","Remo Nutrients","General Organics","SuperSoil","Genérico"},0),1)=1,IF(10=1,"Manter Bio·Grow em S1–S3 flora",IF(10=2,"Formação de pistils",IF(10=3,"Início do enchimento",IF(10=4,"Parar Bio·Grow — fase de flora plena",IF(10=5,"Pico de floração",IF(10=6,"Enchimento máximo",IF(10=7,"Amadurecimento — manter bloom alto",IF(10=8,"Pré-flush — analisar tricomas",IF(10=9,"Semana extra (sativa)",IF(10=10,"Semana extra (sativa)",IF(10=11,"Reduzir — semana final",IF(10=12,"Último adubo antes flush","")))))))))))),IF(IFERROR(MATCH('🌱 Configuração'!$H$12,{"BioBizz","Remo Nutrients","General Organics","SuperSoil","Genérico"},0),1)=2,IF(10=1,"Apenas Micro+Bloom em floração Remo",IF(10=2,"Sem Grow a partir daqui",IF(10=3,"Tabela oficial: 2.1 mL/L S1–S4",IF(10=4,"Astroflower = estimulante floração",IF(10=5,"Tabela oficial: 2.6 mL/L S5–S7",IF(10=6,"Pico de floração Remo",IF(10=7,"Tabela oficial S7",IF(10=8,"Reduzir — semana final",IF(10=9,"Semana extra — sativa",IF(10=10,"Semana extra",IF(10=11,"Reduzir para flush",IF(10=12,"Último adubo","")))))))))))),IF(IFERROR(MATCH('🌱 Configuração'!$H$12,{"BioBizz","Remo Nutrients","General Organics","SuperSoil","Genérico"},0),1)=3,IF(10=1,"BioBud = estimulante flores GO",IF(10=2,"Early Flower GO",IF(10=3,"Mid Flower GO",IF(10=4,"BioMarine = peixe fermentado GO",IF(10=5,"Pico floração GO",IF(10=6,"Late Flower GO",IF(10=7,"Reduzir CaMg+ final",IF(10=8,"Late Flower GO — pré-flush",IF(10=9,"Semana extra — reduzir dose",IF(10=10,"Semana extra GO (sativa)",IF(10=11,"Semana extra GO",IF(10=12,"Último adubo GO","")))))))))))),IF(IFERROR(MATCH('🌱 Configuração'!$H$12,{"BioBizz","Remo Nutrients","General Organics","SuperSoil","Genérico"},0),1)=4,IF(10=1,"Guano P alto = floração forte",IF(10=2,"Solo vivo em pico — não interferir",IF(10=3,"Alga = K e micronutrientes florais",IF(10=4,"Fósforo natural = buds densos",IF(10=5,"Alimentar microbioma — enchimento",IF(10=6,"Semana de pico — micro + K",IF(10=7,"Reduzir intervenções — amadurecimento",IF(10=8,"Pré-flush SuperSoil",IF(10=9,"Parar coberturas — lavar suave",IF(10=10,"Semana extra (sativa)",IF(10=11,"Semana extra",IF(10=12,"Última semana — observar tricomas","")))))))))))),IF(10=1,"Personalize suas doses",IF(10=2,"Personalize suas doses",IF(10=3,"Personalize suas doses",IF(10=4,"Personalize suas doses",IF(10=5,"Personalize suas doses",IF(10=6,"Personalize suas doses",IF(10=7,"Personalize suas doses",IF(10=8,"Personalize suas doses",IF(10=9,"Personalize suas doses",IF(10=10,"Personalize suas doses",IF(10=11,"Personalize suas doses",IF(10=12,"Personalize suas doses","")))))))))))))))))))</f>
        <v/>
      </c>
      <c r="N34" s="1"/>
    </row>
    <row r="35" spans="1:14" ht="21.75" customHeight="1">
      <c r="A35" s="1"/>
      <c r="B35" s="25" t="str">
        <f>IF(11&lt;='🌱 Configuração'!$H$8,"S11","—")</f>
        <v>—</v>
      </c>
      <c r="C35" s="13" t="str">
        <f>IF(11&lt;='🌱 Configuração'!$H$8,'🌱 Configuração'!$D$56+70,"")</f>
        <v/>
      </c>
      <c r="D35" s="14" t="str">
        <f t="array" ref="D35">IF('🌱 Configuração'!$D$56="","",IF(11&lt;1,"",IF(11&gt;'🌱 Configuração'!$H$8,"",IF(IFERROR(MATCH('🌱 Configuração'!$H$12,{"BioBizz","Remo Nutrients","General Organics","SuperSoil","Genérico"},0),1)=1,IF(11=1,"Bio·Grow",IF(11=2,"Bio·Grow",IF(11=3,"Bio·Grow",IF(11=4,"—",IF(11=5,"—",IF(11=6,"—",IF(11=7,"—",IF(11=8,"—",IF(11=9,"—",IF(11=10,"—",IF(11=11,"—",IF(11=12,"—","")))))))))))),IF(IFERROR(MATCH('🌱 Configuração'!$H$12,{"BioBizz","Remo Nutrients","General Organics","SuperSoil","Genérico"},0),1)=2,IF(11=1,"Micro",IF(11=2,"Micro",IF(11=3,"Micro",IF(11=4,"Micro",IF(11=5,"Micro",IF(11=6,"Micro",IF(11=7,"Micro",IF(11=8,"Micro",IF(11=9,"Micro",IF(11=10,"Micro",IF(11=11,"Micro",IF(11=12,"Micro","")))))))))))),IF(IFERROR(MATCH('🌱 Configuração'!$H$12,{"BioBizz","Remo Nutrients","General Organics","SuperSoil","Genérico"},0),1)=3,IF(11=1,"BioThrive B",IF(11=2,"BioThrive B",IF(11=3,"BioThrive B",IF(11=4,"BioThrive B",IF(11=5,"BioThrive B",IF(11=6,"BioThrive B",IF(11=7,"BioThrive B",IF(11=8,"BioThrive B",IF(11=9,"BioThrive B",IF(11=10,"BioThrive B",IF(11=11,"BioThrive B",IF(11=12,"BioThrive B","")))))))))))),IF(IFERROR(MATCH('🌱 Configuração'!$H$12,{"BioBizz","Remo Nutrients","General Organics","SuperSoil","Genérico"},0),1)=4,IF(11=1,"Cobertura: guano de morcego",IF(11=2,"Chá de compostagem",IF(11=3,"Cobertura: farinha de alga",IF(11=4,"Cobertura: guano de morcego",IF(11=5,"Molasses 2 mL/L",IF(11=6,"Cobertura: farinha de alga",IF(11=7,"Chá de compostagem",IF(11=8,"Molasses 2 mL/L",IF(11=9,"Água pura",IF(11=10,"Água pura",IF(11=11,"Água pura",IF(11=12,"Água pura","")))))))))))),IF(11=1,"← Preencha",IF(11=2,"← Preencha",IF(11=3,"← Preencha",IF(11=4,"← Preencha",IF(11=5,"← Preencha",IF(11=6,"← Preencha",IF(11=7,"← Preencha",IF(11=8,"← Preencha",IF(11=9,"← Preencha",IF(11=10,"← Preencha",IF(11=11,"← Preencha",IF(11=12,"← Preencha","")))))))))))))))))))</f>
        <v/>
      </c>
      <c r="E35" s="15" t="str">
        <f t="array" ref="E35">IF('🌱 Configuração'!$D$56="","",IF(11&lt;1,"",IF(11&gt;'🌱 Configuração'!$H$8,"",IF(IFERROR(MATCH('🌱 Configuração'!$H$12,{"BioBizz","Remo Nutrients","General Organics","SuperSoil","Genérico"},0),1)=1,IF(11=1,"1 mL/L",IF(11=2,"1 mL/L",IF(11=3,"1 mL/L",IF(11=4,"—",IF(11=5,"—",IF(11=6,"—",IF(11=7,"—",IF(11=8,"—",IF(11=9,"—",IF(11=10,"—",IF(11=11,"—",IF(11=12,"—","")))))))))))),IF(IFERROR(MATCH('🌱 Configuração'!$H$12,{"BioBizz","Remo Nutrients","General Organics","SuperSoil","Genérico"},0),1)=2,IF(11=1,"2.1 mL/L",IF(11=2,"2.1 mL/L",IF(11=3,"2.1 mL/L",IF(11=4,"2.1 mL/L",IF(11=5,"2.6 mL/L",IF(11=6,"2.6 mL/L",IF(11=7,"2.6 mL/L",IF(11=8,"2.1 mL/L",IF(11=9,"2.1 mL/L",IF(11=10,"2.1 mL/L",IF(11=11,"1.5 mL/L",IF(11=12,"1.0 mL/L","")))))))))))),IF(IFERROR(MATCH('🌱 Configuração'!$H$12,{"BioBizz","Remo Nutrients","General Organics","SuperSoil","Genérico"},0),1)=3,IF(11=1,"2.6 mL/L",IF(11=2,"2.6 mL/L",IF(11=3,"2.6 mL/L",IF(11=4,"2.6 mL/L",IF(11=5,"2.6 mL/L",IF(11=6,"2.6 mL/L",IF(11=7,"2.6 mL/L",IF(11=8,"2.6 mL/L",IF(11=9,"1.3 mL/L",IF(11=10,"1.3 mL/L",IF(11=11,"1.3 mL/L",IF(11=12,"1.3 mL/L","")))))))))))),IF(IFERROR(MATCH('🌱 Configuração'!$H$12,{"BioBizz","Remo Nutrients","General Organics","SuperSoil","Genérico"},0),1)=4,IF(11=1,"5g/L solo",IF(11=2,"2L/planta",IF(11=3,"5g/L solo",IF(11=4,"5g/L solo",IF(11=5,"—",IF(11=6,"5g/L solo",IF(11=7,"2L/planta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F35" s="14" t="str">
        <f t="array" ref="F35">IF('🌱 Configuração'!$D$56="","",IF(11&lt;1,"",IF(11&gt;'🌱 Configuração'!$H$8,"",IF(IFERROR(MATCH('🌱 Configuração'!$H$12,{"BioBizz","Remo Nutrients","General Organics","SuperSoil","Genérico"},0),1)=1,IF(11=1,"Bio·Bloom",IF(11=2,"Bio·Bloom",IF(11=3,"Bio·Bloom",IF(11=4,"Bio·Bloom",IF(11=5,"Bio·Bloom",IF(11=6,"Bio·Bloom",IF(11=7,"Bio·Bloom",IF(11=8,"Bio·Bloom",IF(11=9,"Bio·Bloom",IF(11=10,"Bio·Bloom",IF(11=11,"Bio·Bloom",IF(11=12,"Bio·Bloom","")))))))))))),IF(IFERROR(MATCH('🌱 Configuração'!$H$12,{"BioBizz","Remo Nutrients","General Organics","SuperSoil","Genérico"},0),1)=2,IF(11=1,"Bloom",IF(11=2,"Bloom",IF(11=3,"Bloom",IF(11=4,"Bloom",IF(11=5,"Bloom",IF(11=6,"Bloom",IF(11=7,"Bloom",IF(11=8,"Bloom",IF(11=9,"Bloom",IF(11=10,"Bloom",IF(11=11,"Bloom",IF(11=12,"Bloom","")))))))))))),IF(IFERROR(MATCH('🌱 Configuração'!$H$12,{"BioBizz","Remo Nutrients","General Organics","SuperSoil","Genérico"},0),1)=3,IF(11=1,"BioBud",IF(11=2,"BioBud",IF(11=3,"BioBud",IF(11=4,"BioBud",IF(11=5,"BioBud",IF(11=6,"BioBud",IF(11=7,"BioBud",IF(11=8,"—",IF(11=9,"—",IF(11=10,"—",IF(11=11,"—",IF(11=12,"—","")))))))))))),IF(IFERROR(MATCH('🌱 Configuração'!$H$12,{"BioBizz","Remo Nutrients","General Organics","SuperSoil","Genérico"},0),1)=4,IF(11=1,"Molasses 2 mL/L",IF(11=2,"—",IF(11=3,"—",IF(11=4,"Cobertura: fosfato natural",IF(11=5,"—",IF(11=6,"Molasses 2 mL/L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G35" s="15" t="str">
        <f t="array" ref="G35">IF('🌱 Configuração'!$D$56="","",IF(11&lt;1,"",IF(11&gt;'🌱 Configuração'!$H$8,"",IF(IFERROR(MATCH('🌱 Configuração'!$H$12,{"BioBizz","Remo Nutrients","General Organics","SuperSoil","Genérico"},0),1)=1,IF(11=1,"1 mL/L",IF(11=2,"2 mL/L",IF(11=3,"3 mL/L",IF(11=4,"3 mL/L",IF(11=5,"4 mL/L",IF(11=6,"4 mL/L",IF(11=7,"4 mL/L",IF(11=8,"4 mL/L",IF(11=9,"4 mL/L",IF(11=10,"4 mL/L",IF(11=11,"4 mL/L",IF(11=12,"2 mL/L","")))))))))))),IF(IFERROR(MATCH('🌱 Configuração'!$H$12,{"BioBizz","Remo Nutrients","General Organics","SuperSoil","Genérico"},0),1)=2,IF(11=1,"2.1 mL/L",IF(11=2,"2.1 mL/L",IF(11=3,"2.1 mL/L",IF(11=4,"2.1 mL/L",IF(11=5,"2.6 mL/L",IF(11=6,"2.6 mL/L",IF(11=7,"2.6 mL/L",IF(11=8,"2.1 mL/L",IF(11=9,"2.1 mL/L",IF(11=10,"2.1 mL/L",IF(11=11,"1.5 mL/L",IF(11=12,"1.0 mL/L","")))))))))))),IF(IFERROR(MATCH('🌱 Configuração'!$H$12,{"BioBizz","Remo Nutrients","General Organics","SuperSoil","Genérico"},0),1)=3,IF(11=1,"0.7 mL/L",IF(11=2,"0.7 mL/L",IF(11=3,"0.7 mL/L",IF(11=4,"0.7 mL/L",IF(11=5,"0.7 mL/L",IF(11=6,"0.7 mL/L",IF(11=7,"0.7 mL/L",IF(11=8,"—",IF(11=9,"—",IF(11=10,"—",IF(11=11,"—",IF(11=12,"—","")))))))))))),IF(IFERROR(MATCH('🌱 Configuração'!$H$12,{"BioBizz","Remo Nutrients","General Organics","SuperSoil","Genérico"},0),1)=4,IF(11=1,"—",IF(11=2,"—",IF(11=3,"—",IF(11=4,"5g/L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H35" s="14" t="str">
        <f t="array" ref="H35">IF('🌱 Configuração'!$D$56="","",IF(11&lt;1,"",IF(11&gt;'🌱 Configuração'!$H$8,"",IF(IFERROR(MATCH('🌱 Configuração'!$H$12,{"BioBizz","Remo Nutrients","General Organics","SuperSoil","Genérico"},0),1)=1,IF(11=1,"Top·Max",IF(11=2,"Top·Max",IF(11=3,"Top·Max",IF(11=4,"Top·Max",IF(11=5,"Top·Max",IF(11=6,"Top·Max",IF(11=7,"Top·Max",IF(11=8,"Top·Max",IF(11=9,"Top·Max",IF(11=10,"Top·Max",IF(11=11,"Top·Max",IF(11=12,"Top·Max","")))))))))))),IF(IFERROR(MATCH('🌱 Configuração'!$H$12,{"BioBizz","Remo Nutrients","General Organics","SuperSoil","Genérico"},0),1)=2,IF(11=1,"—",IF(11=2,"—",IF(11=3,"—",IF(11=4,"Astroflower",IF(11=5,"Astroflower",IF(11=6,"Astroflower",IF(11=7,"Astroflower",IF(11=8,"—",IF(11=9,"—",IF(11=10,"—",IF(11=11,"—",IF(11=12,"—","")))))))))))),IF(IFERROR(MATCH('🌱 Configuração'!$H$12,{"BioBizz","Remo Nutrients","General Organics","SuperSoil","Genérico"},0),1)=3,IF(11=1,"CaMg+",IF(11=2,"CaMg+",IF(11=3,"CaMg+",IF(11=4,"CaMg+",IF(11=5,"CaMg+",IF(11=6,"CaMg+",IF(11=7,"—",IF(11=8,"—",IF(11=9,"—",IF(11=10,"—",IF(11=11,"—",IF(11=12,"—","")))))))))))),IF(IFERROR(MATCH('🌱 Configuração'!$H$12,{"BioBizz","Remo Nutrients","General Organics","SuperSoil","Genérico"},0),1)=4,IF(11=1,"—",IF(11=2,"—",IF(11=3,"—",IF(11=4,"—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I35" s="15" t="str">
        <f t="array" ref="I35">IF('🌱 Configuração'!$D$56="","",IF(11&lt;1,"",IF(11&gt;'🌱 Configuração'!$H$8,"",IF(IFERROR(MATCH('🌱 Configuração'!$H$12,{"BioBizz","Remo Nutrients","General Organics","SuperSoil","Genérico"},0),1)=1,IF(11=1,"1 mL/L",IF(11=2,"1 mL/L",IF(11=3,"2 mL/L",IF(11=4,"2 mL/L",IF(11=5,"3 mL/L",IF(11=6,"3 mL/L",IF(11=7,"4 mL/L",IF(11=8,"4 mL/L",IF(11=9,"4 mL/L",IF(11=10,"4 mL/L",IF(11=11,"4 mL/L",IF(11=12,"2 mL/L","")))))))))))),IF(IFERROR(MATCH('🌱 Configuração'!$H$12,{"BioBizz","Remo Nutrients","General Organics","SuperSoil","Genérico"},0),1)=2,IF(11=1,"—",IF(11=2,"—",IF(11=3,"—",IF(11=4,"1.0 mL/L",IF(11=5,"2.0 mL/L",IF(11=6,"2.0 mL/L",IF(11=7,"1.0 mL/L",IF(11=8,"—",IF(11=9,"—",IF(11=10,"—",IF(11=11,"—",IF(11=12,"—","")))))))))))),IF(IFERROR(MATCH('🌱 Configuração'!$H$12,{"BioBizz","Remo Nutrients","General Organics","SuperSoil","Genérico"},0),1)=3,IF(11=1,"1.3 mL/L",IF(11=2,"1.3 mL/L",IF(11=3,"1.3 mL/L",IF(11=4,"1.3 mL/L",IF(11=5,"1.3 mL/L",IF(11=6,"0.7 mL/L",IF(11=7,"—",IF(11=8,"—",IF(11=9,"—",IF(11=10,"—",IF(11=11,"—",IF(11=12,"—","")))))))))))),IF(IFERROR(MATCH('🌱 Configuração'!$H$12,{"BioBizz","Remo Nutrients","General Organics","SuperSoil","Genérico"},0),1)=4,IF(11=1,"—",IF(11=2,"—",IF(11=3,"—",IF(11=4,"—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J35" s="14" t="str">
        <f t="array" ref="J35">IF('🌱 Configuração'!$D$56="","",IF(11&lt;1,"",IF(11&gt;'🌱 Configuração'!$H$8,"",IF(IFERROR(MATCH('🌱 Configuração'!$H$12,{"BioBizz","Remo Nutrients","General Organics","SuperSoil","Genérico"},0),1)=1,IF(11=1,"Alg·A·Mic 1mL",IF(11=2,"—",IF(11=3,"—",IF(11=4,"—",IF(11=5,"—",IF(11=6,"Alg·A·Mic 1mL",IF(11=7,"—",IF(11=8,"—",IF(11=9,"—",IF(11=10,"—",IF(11=11,"—",IF(11=12,"—","")))))))))))),IF(IFERROR(MATCH('🌱 Configuração'!$H$12,{"BioBizz","Remo Nutrients","General Organics","SuperSoil","Genérico"},0),1)=2,IF(11=1,"Magnifical 1.0",IF(11=2,"Magnifical 1.0",IF(11=3,"Magnifical 1.0",IF(11=4,"Magnifical 1.0",IF(11=5,"Kelp 1.0 mL",IF(11=6,"Kelp 1.0 mL",IF(11=7,"—",IF(11=8,"—",IF(11=9,"—",IF(11=10,"—",IF(11=11,"—",IF(11=12,"—","")))))))))))),IF(IFERROR(MATCH('🌱 Configuração'!$H$12,{"BioBizz","Remo Nutrients","General Organics","SuperSoil","Genérico"},0),1)=3,IF(11=1,"BioWeed 0.7",IF(11=2,"—",IF(11=3,"—",IF(11=4,"BioMarine 0.7",IF(11=5,"BioMarine 0.7",IF(11=6,"—",IF(11=7,"—",IF(11=8,"—",IF(11=9,"—",IF(11=10,"—",IF(11=11,"—",IF(11=12,"—","")))))))))))),IF(IFERROR(MATCH('🌱 Configuração'!$H$12,{"BioBizz","Remo Nutrients","General Organics","SuperSoil","Genérico"},0),1)=4,IF(11=1,"Chá",IF(11=2,"—",IF(11=3,"Molasses 2mL",IF(11=4,"—",IF(11=5,"Chá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K35" s="16" t="str">
        <f t="array" ref="K35">IF('🌱 Configuração'!$D$56="","",IF(11&lt;1,"",IF(11&gt;'🌱 Configuração'!$H$8,"",IF(IFERROR(MATCH('🌱 Configuração'!$H$12,{"BioBizz","Remo Nutrients","General Organics","SuperSoil","Genérico"},0),1)=1,IF(11=1,"6.2–6.5",IF(11=2,"6.2–6.5",IF(11=3,"6.2–6.5",IF(11=4,"6.2–6.5",IF(11=5,"6.2–6.5",IF(11=6,"6.2–6.5",IF(11=7,"6.2–6.5",IF(11=8,"6.2–6.5",IF(11=9,"6.2–6.5",IF(11=10,"6.2–6.5",IF(11=11,"6.2–6.5",IF(11=12,"6.2–6.5","")))))))))))),IF(IFERROR(MATCH('🌱 Configuração'!$H$12,{"BioBizz","Remo Nutrients","General Organics","SuperSoil","Genérico"},0),1)=2,IF(11=1,"6.0–6.3",IF(11=2,"6.0–6.3",IF(11=3,"6.0–6.3",IF(11=4,"6.0–6.3",IF(11=5,"6.0–6.3",IF(11=6,"6.0–6.3",IF(11=7,"6.0–6.3",IF(11=8,"6.0–6.3",IF(11=9,"6.0–6.3",IF(11=10,"6.0–6.3",IF(11=11,"6.0–6.3",IF(11=12,"6.0–6.3","")))))))))))),IF(IFERROR(MATCH('🌱 Configuração'!$H$12,{"BioBizz","Remo Nutrients","General Organics","SuperSoil","Genérico"},0),1)=3,IF(11=1,"6.2–7.0",IF(11=2,"6.2–7.0",IF(11=3,"6.2–7.0",IF(11=4,"6.2–7.0",IF(11=5,"6.2–7.0",IF(11=6,"6.2–7.0",IF(11=7,"6.2–7.0",IF(11=8,"6.2–7.0",IF(11=9,"6.2–7.0",IF(11=10,"6.2–7.0",IF(11=11,"6.2–7.0",IF(11=12,"6.2–7.0","")))))))))))),IF(IFERROR(MATCH('🌱 Configuração'!$H$12,{"BioBizz","Remo Nutrients","General Organics","SuperSoil","Genérico"},0),1)=4,IF(11=1,"auto",IF(11=2,"auto",IF(11=3,"auto",IF(11=4,"auto",IF(11=5,"auto",IF(11=6,"auto",IF(11=7,"auto",IF(11=8,"auto",IF(11=9,"auto",IF(11=10,"auto",IF(11=11,"auto",IF(11=12,"auto","")))))))))))),IF(11=1,"—",IF(11=2,"—",IF(11=3,"—",IF(11=4,"—",IF(11=5,"—",IF(11=6,"—",IF(11=7,"—",IF(11=8,"—",IF(11=9,"—",IF(11=10,"—",IF(11=11,"—",IF(11=12,"—","")))))))))))))))))))</f>
        <v/>
      </c>
      <c r="L35" s="17" t="str">
        <f t="array" ref="L35">IF('🌱 Configuração'!$D$56="","",IF(11&lt;1,"",IF(11&gt;'🌱 Configuração'!$H$8,"",IF(IFERROR(MATCH('🌱 Configuração'!$H$12,{"BioBizz","Remo Nutrients","General Organics","SuperSoil","Genérico"},0),1)=1,IF(11=1,"1.6",IF(11=2,"1.7",IF(11=3,"1.8",IF(11=4,"1.9",IF(11=5,"2.0",IF(11=6,"2.0",IF(11=7,"1.9",IF(11=8,"1.8",IF(11=9,"1.6",IF(11=10,"1.6",IF(11=11,"1.4",IF(11=12,"1.0","")))))))))))),IF(IFERROR(MATCH('🌱 Configuração'!$H$12,{"BioBizz","Remo Nutrients","General Organics","SuperSoil","Genérico"},0),1)=2,IF(11=1,"1.6",IF(11=2,"1.7",IF(11=3,"1.8",IF(11=4,"1.9",IF(11=5,"2.0",IF(11=6,"2.0",IF(11=7,"1.8",IF(11=8,"1.6",IF(11=9,"1.4",IF(11=10,"1.4",IF(11=11,"1.0",IF(11=12,"0.8","")))))))))))),IF(IFERROR(MATCH('🌱 Configuração'!$H$12,{"BioBizz","Remo Nutrients","General Organics","SuperSoil","Genérico"},0),1)=3,IF(11=1,"N/A",IF(11=2,"N/A",IF(11=3,"N/A",IF(11=4,"N/A",IF(11=5,"N/A",IF(11=6,"N/A",IF(11=7,"N/A",IF(11=8,"N/A",IF(11=9,"N/A",IF(11=10,"N/A",IF(11=11,"N/A",IF(11=12,"N/A","")))))))))))),IF(IFERROR(MATCH('🌱 Configuração'!$H$12,{"BioBizz","Remo Nutrients","General Organics","SuperSoil","Genérico"},0),1)=4,IF(11=1,"auto",IF(11=2,"auto",IF(11=3,"auto",IF(11=4,"auto",IF(11=5,"auto",IF(11=6,"auto",IF(11=7,"auto",IF(11=8,"auto",IF(11=9,"auto",IF(11=10,"auto",IF(11=11,"auto",IF(11=12,"auto","")))))))))))),IF(11=1,"—",IF(11=2,"—",IF(11=3,"—",IF(11=4,"—",IF(11=5,"—",IF(11=6,"—",IF(11=7,"—",IF(11=8,"—",IF(11=9,"—",IF(11=10,"—",IF(11=11,"—",IF(11=12,"—","")))))))))))))))))))</f>
        <v/>
      </c>
      <c r="M35" s="14" t="str">
        <f t="array" ref="M35">IF('🌱 Configuração'!$D$56="","",IF(11&lt;1,"",IF(11&gt;'🌱 Configuração'!$H$8,"",IF(IFERROR(MATCH('🌱 Configuração'!$H$12,{"BioBizz","Remo Nutrients","General Organics","SuperSoil","Genérico"},0),1)=1,IF(11=1,"Manter Bio·Grow em S1–S3 flora",IF(11=2,"Formação de pistils",IF(11=3,"Início do enchimento",IF(11=4,"Parar Bio·Grow — fase de flora plena",IF(11=5,"Pico de floração",IF(11=6,"Enchimento máximo",IF(11=7,"Amadurecimento — manter bloom alto",IF(11=8,"Pré-flush — analisar tricomas",IF(11=9,"Semana extra (sativa)",IF(11=10,"Semana extra (sativa)",IF(11=11,"Reduzir — semana final",IF(11=12,"Último adubo antes flush","")))))))))))),IF(IFERROR(MATCH('🌱 Configuração'!$H$12,{"BioBizz","Remo Nutrients","General Organics","SuperSoil","Genérico"},0),1)=2,IF(11=1,"Apenas Micro+Bloom em floração Remo",IF(11=2,"Sem Grow a partir daqui",IF(11=3,"Tabela oficial: 2.1 mL/L S1–S4",IF(11=4,"Astroflower = estimulante floração",IF(11=5,"Tabela oficial: 2.6 mL/L S5–S7",IF(11=6,"Pico de floração Remo",IF(11=7,"Tabela oficial S7",IF(11=8,"Reduzir — semana final",IF(11=9,"Semana extra — sativa",IF(11=10,"Semana extra",IF(11=11,"Reduzir para flush",IF(11=12,"Último adubo","")))))))))))),IF(IFERROR(MATCH('🌱 Configuração'!$H$12,{"BioBizz","Remo Nutrients","General Organics","SuperSoil","Genérico"},0),1)=3,IF(11=1,"BioBud = estimulante flores GO",IF(11=2,"Early Flower GO",IF(11=3,"Mid Flower GO",IF(11=4,"BioMarine = peixe fermentado GO",IF(11=5,"Pico floração GO",IF(11=6,"Late Flower GO",IF(11=7,"Reduzir CaMg+ final",IF(11=8,"Late Flower GO — pré-flush",IF(11=9,"Semana extra — reduzir dose",IF(11=10,"Semana extra GO (sativa)",IF(11=11,"Semana extra GO",IF(11=12,"Último adubo GO","")))))))))))),IF(IFERROR(MATCH('🌱 Configuração'!$H$12,{"BioBizz","Remo Nutrients","General Organics","SuperSoil","Genérico"},0),1)=4,IF(11=1,"Guano P alto = floração forte",IF(11=2,"Solo vivo em pico — não interferir",IF(11=3,"Alga = K e micronutrientes florais",IF(11=4,"Fósforo natural = buds densos",IF(11=5,"Alimentar microbioma — enchimento",IF(11=6,"Semana de pico — micro + K",IF(11=7,"Reduzir intervenções — amadurecimento",IF(11=8,"Pré-flush SuperSoil",IF(11=9,"Parar coberturas — lavar suave",IF(11=10,"Semana extra (sativa)",IF(11=11,"Semana extra",IF(11=12,"Última semana — observar tricomas","")))))))))))),IF(11=1,"Personalize suas doses",IF(11=2,"Personalize suas doses",IF(11=3,"Personalize suas doses",IF(11=4,"Personalize suas doses",IF(11=5,"Personalize suas doses",IF(11=6,"Personalize suas doses",IF(11=7,"Personalize suas doses",IF(11=8,"Personalize suas doses",IF(11=9,"Personalize suas doses",IF(11=10,"Personalize suas doses",IF(11=11,"Personalize suas doses",IF(11=12,"Personalize suas doses","")))))))))))))))))))</f>
        <v/>
      </c>
      <c r="N35" s="1"/>
    </row>
    <row r="36" spans="1:14" ht="21.75" customHeight="1">
      <c r="A36" s="1"/>
      <c r="B36" s="25" t="str">
        <f>IF(12&lt;='🌱 Configuração'!$H$8,"S12","—")</f>
        <v>—</v>
      </c>
      <c r="C36" s="26" t="str">
        <f>IF(12&lt;='🌱 Configuração'!$H$8,'🌱 Configuração'!$D$56+77,"")</f>
        <v/>
      </c>
      <c r="D36" s="27" t="str">
        <f t="array" ref="D36">IF('🌱 Configuração'!$D$56="","",IF(12&lt;1,"",IF(12&gt;'🌱 Configuração'!$H$8,"",IF(IFERROR(MATCH('🌱 Configuração'!$H$12,{"BioBizz","Remo Nutrients","General Organics","SuperSoil","Genérico"},0),1)=1,IF(12=1,"Bio·Grow",IF(12=2,"Bio·Grow",IF(12=3,"Bio·Grow",IF(12=4,"—",IF(12=5,"—",IF(12=6,"—",IF(12=7,"—",IF(12=8,"—",IF(12=9,"—",IF(12=10,"—",IF(12=11,"—",IF(12=12,"—","")))))))))))),IF(IFERROR(MATCH('🌱 Configuração'!$H$12,{"BioBizz","Remo Nutrients","General Organics","SuperSoil","Genérico"},0),1)=2,IF(12=1,"Micro",IF(12=2,"Micro",IF(12=3,"Micro",IF(12=4,"Micro",IF(12=5,"Micro",IF(12=6,"Micro",IF(12=7,"Micro",IF(12=8,"Micro",IF(12=9,"Micro",IF(12=10,"Micro",IF(12=11,"Micro",IF(12=12,"Micro","")))))))))))),IF(IFERROR(MATCH('🌱 Configuração'!$H$12,{"BioBizz","Remo Nutrients","General Organics","SuperSoil","Genérico"},0),1)=3,IF(12=1,"BioThrive B",IF(12=2,"BioThrive B",IF(12=3,"BioThrive B",IF(12=4,"BioThrive B",IF(12=5,"BioThrive B",IF(12=6,"BioThrive B",IF(12=7,"BioThrive B",IF(12=8,"BioThrive B",IF(12=9,"BioThrive B",IF(12=10,"BioThrive B",IF(12=11,"BioThrive B",IF(12=12,"BioThrive B","")))))))))))),IF(IFERROR(MATCH('🌱 Configuração'!$H$12,{"BioBizz","Remo Nutrients","General Organics","SuperSoil","Genérico"},0),1)=4,IF(12=1,"Cobertura: guano de morcego",IF(12=2,"Chá de compostagem",IF(12=3,"Cobertura: farinha de alga",IF(12=4,"Cobertura: guano de morcego",IF(12=5,"Molasses 2 mL/L",IF(12=6,"Cobertura: farinha de alga",IF(12=7,"Chá de compostagem",IF(12=8,"Molasses 2 mL/L",IF(12=9,"Água pura",IF(12=10,"Água pura",IF(12=11,"Água pura",IF(12=12,"Água pura","")))))))))))),IF(12=1,"← Preencha",IF(12=2,"← Preencha",IF(12=3,"← Preencha",IF(12=4,"← Preencha",IF(12=5,"← Preencha",IF(12=6,"← Preencha",IF(12=7,"← Preencha",IF(12=8,"← Preencha",IF(12=9,"← Preencha",IF(12=10,"← Preencha",IF(12=11,"← Preencha",IF(12=12,"← Preencha","")))))))))))))))))))</f>
        <v/>
      </c>
      <c r="E36" s="28" t="str">
        <f t="array" ref="E36">IF('🌱 Configuração'!$D$56="","",IF(12&lt;1,"",IF(12&gt;'🌱 Configuração'!$H$8,"",IF(IFERROR(MATCH('🌱 Configuração'!$H$12,{"BioBizz","Remo Nutrients","General Organics","SuperSoil","Genérico"},0),1)=1,IF(12=1,"1 mL/L",IF(12=2,"1 mL/L",IF(12=3,"1 mL/L",IF(12=4,"—",IF(12=5,"—",IF(12=6,"—",IF(12=7,"—",IF(12=8,"—",IF(12=9,"—",IF(12=10,"—",IF(12=11,"—",IF(12=12,"—","")))))))))))),IF(IFERROR(MATCH('🌱 Configuração'!$H$12,{"BioBizz","Remo Nutrients","General Organics","SuperSoil","Genérico"},0),1)=2,IF(12=1,"2.1 mL/L",IF(12=2,"2.1 mL/L",IF(12=3,"2.1 mL/L",IF(12=4,"2.1 mL/L",IF(12=5,"2.6 mL/L",IF(12=6,"2.6 mL/L",IF(12=7,"2.6 mL/L",IF(12=8,"2.1 mL/L",IF(12=9,"2.1 mL/L",IF(12=10,"2.1 mL/L",IF(12=11,"1.5 mL/L",IF(12=12,"1.0 mL/L","")))))))))))),IF(IFERROR(MATCH('🌱 Configuração'!$H$12,{"BioBizz","Remo Nutrients","General Organics","SuperSoil","Genérico"},0),1)=3,IF(12=1,"2.6 mL/L",IF(12=2,"2.6 mL/L",IF(12=3,"2.6 mL/L",IF(12=4,"2.6 mL/L",IF(12=5,"2.6 mL/L",IF(12=6,"2.6 mL/L",IF(12=7,"2.6 mL/L",IF(12=8,"2.6 mL/L",IF(12=9,"1.3 mL/L",IF(12=10,"1.3 mL/L",IF(12=11,"1.3 mL/L",IF(12=12,"1.3 mL/L","")))))))))))),IF(IFERROR(MATCH('🌱 Configuração'!$H$12,{"BioBizz","Remo Nutrients","General Organics","SuperSoil","Genérico"},0),1)=4,IF(12=1,"5g/L solo",IF(12=2,"2L/planta",IF(12=3,"5g/L solo",IF(12=4,"5g/L solo",IF(12=5,"—",IF(12=6,"5g/L solo",IF(12=7,"2L/planta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F36" s="27" t="str">
        <f t="array" ref="F36">IF('🌱 Configuração'!$D$56="","",IF(12&lt;1,"",IF(12&gt;'🌱 Configuração'!$H$8,"",IF(IFERROR(MATCH('🌱 Configuração'!$H$12,{"BioBizz","Remo Nutrients","General Organics","SuperSoil","Genérico"},0),1)=1,IF(12=1,"Bio·Bloom",IF(12=2,"Bio·Bloom",IF(12=3,"Bio·Bloom",IF(12=4,"Bio·Bloom",IF(12=5,"Bio·Bloom",IF(12=6,"Bio·Bloom",IF(12=7,"Bio·Bloom",IF(12=8,"Bio·Bloom",IF(12=9,"Bio·Bloom",IF(12=10,"Bio·Bloom",IF(12=11,"Bio·Bloom",IF(12=12,"Bio·Bloom","")))))))))))),IF(IFERROR(MATCH('🌱 Configuração'!$H$12,{"BioBizz","Remo Nutrients","General Organics","SuperSoil","Genérico"},0),1)=2,IF(12=1,"Bloom",IF(12=2,"Bloom",IF(12=3,"Bloom",IF(12=4,"Bloom",IF(12=5,"Bloom",IF(12=6,"Bloom",IF(12=7,"Bloom",IF(12=8,"Bloom",IF(12=9,"Bloom",IF(12=10,"Bloom",IF(12=11,"Bloom",IF(12=12,"Bloom","")))))))))))),IF(IFERROR(MATCH('🌱 Configuração'!$H$12,{"BioBizz","Remo Nutrients","General Organics","SuperSoil","Genérico"},0),1)=3,IF(12=1,"BioBud",IF(12=2,"BioBud",IF(12=3,"BioBud",IF(12=4,"BioBud",IF(12=5,"BioBud",IF(12=6,"BioBud",IF(12=7,"BioBud",IF(12=8,"—",IF(12=9,"—",IF(12=10,"—",IF(12=11,"—",IF(12=12,"—","")))))))))))),IF(IFERROR(MATCH('🌱 Configuração'!$H$12,{"BioBizz","Remo Nutrients","General Organics","SuperSoil","Genérico"},0),1)=4,IF(12=1,"Molasses 2 mL/L",IF(12=2,"—",IF(12=3,"—",IF(12=4,"Cobertura: fosfato natural",IF(12=5,"—",IF(12=6,"Molasses 2 mL/L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G36" s="28" t="str">
        <f t="array" ref="G36">IF('🌱 Configuração'!$D$56="","",IF(12&lt;1,"",IF(12&gt;'🌱 Configuração'!$H$8,"",IF(IFERROR(MATCH('🌱 Configuração'!$H$12,{"BioBizz","Remo Nutrients","General Organics","SuperSoil","Genérico"},0),1)=1,IF(12=1,"1 mL/L",IF(12=2,"2 mL/L",IF(12=3,"3 mL/L",IF(12=4,"3 mL/L",IF(12=5,"4 mL/L",IF(12=6,"4 mL/L",IF(12=7,"4 mL/L",IF(12=8,"4 mL/L",IF(12=9,"4 mL/L",IF(12=10,"4 mL/L",IF(12=11,"4 mL/L",IF(12=12,"2 mL/L","")))))))))))),IF(IFERROR(MATCH('🌱 Configuração'!$H$12,{"BioBizz","Remo Nutrients","General Organics","SuperSoil","Genérico"},0),1)=2,IF(12=1,"2.1 mL/L",IF(12=2,"2.1 mL/L",IF(12=3,"2.1 mL/L",IF(12=4,"2.1 mL/L",IF(12=5,"2.6 mL/L",IF(12=6,"2.6 mL/L",IF(12=7,"2.6 mL/L",IF(12=8,"2.1 mL/L",IF(12=9,"2.1 mL/L",IF(12=10,"2.1 mL/L",IF(12=11,"1.5 mL/L",IF(12=12,"1.0 mL/L","")))))))))))),IF(IFERROR(MATCH('🌱 Configuração'!$H$12,{"BioBizz","Remo Nutrients","General Organics","SuperSoil","Genérico"},0),1)=3,IF(12=1,"0.7 mL/L",IF(12=2,"0.7 mL/L",IF(12=3,"0.7 mL/L",IF(12=4,"0.7 mL/L",IF(12=5,"0.7 mL/L",IF(12=6,"0.7 mL/L",IF(12=7,"0.7 mL/L",IF(12=8,"—",IF(12=9,"—",IF(12=10,"—",IF(12=11,"—",IF(12=12,"—","")))))))))))),IF(IFERROR(MATCH('🌱 Configuração'!$H$12,{"BioBizz","Remo Nutrients","General Organics","SuperSoil","Genérico"},0),1)=4,IF(12=1,"—",IF(12=2,"—",IF(12=3,"—",IF(12=4,"5g/L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H36" s="27" t="str">
        <f t="array" ref="H36">IF('🌱 Configuração'!$D$56="","",IF(12&lt;1,"",IF(12&gt;'🌱 Configuração'!$H$8,"",IF(IFERROR(MATCH('🌱 Configuração'!$H$12,{"BioBizz","Remo Nutrients","General Organics","SuperSoil","Genérico"},0),1)=1,IF(12=1,"Top·Max",IF(12=2,"Top·Max",IF(12=3,"Top·Max",IF(12=4,"Top·Max",IF(12=5,"Top·Max",IF(12=6,"Top·Max",IF(12=7,"Top·Max",IF(12=8,"Top·Max",IF(12=9,"Top·Max",IF(12=10,"Top·Max",IF(12=11,"Top·Max",IF(12=12,"Top·Max","")))))))))))),IF(IFERROR(MATCH('🌱 Configuração'!$H$12,{"BioBizz","Remo Nutrients","General Organics","SuperSoil","Genérico"},0),1)=2,IF(12=1,"—",IF(12=2,"—",IF(12=3,"—",IF(12=4,"Astroflower",IF(12=5,"Astroflower",IF(12=6,"Astroflower",IF(12=7,"Astroflower",IF(12=8,"—",IF(12=9,"—",IF(12=10,"—",IF(12=11,"—",IF(12=12,"—","")))))))))))),IF(IFERROR(MATCH('🌱 Configuração'!$H$12,{"BioBizz","Remo Nutrients","General Organics","SuperSoil","Genérico"},0),1)=3,IF(12=1,"CaMg+",IF(12=2,"CaMg+",IF(12=3,"CaMg+",IF(12=4,"CaMg+",IF(12=5,"CaMg+",IF(12=6,"CaMg+",IF(12=7,"—",IF(12=8,"—",IF(12=9,"—",IF(12=10,"—",IF(12=11,"—",IF(12=12,"—","")))))))))))),IF(IFERROR(MATCH('🌱 Configuração'!$H$12,{"BioBizz","Remo Nutrients","General Organics","SuperSoil","Genérico"},0),1)=4,IF(12=1,"—",IF(12=2,"—",IF(12=3,"—",IF(12=4,"—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I36" s="28" t="str">
        <f t="array" ref="I36">IF('🌱 Configuração'!$D$56="","",IF(12&lt;1,"",IF(12&gt;'🌱 Configuração'!$H$8,"",IF(IFERROR(MATCH('🌱 Configuração'!$H$12,{"BioBizz","Remo Nutrients","General Organics","SuperSoil","Genérico"},0),1)=1,IF(12=1,"1 mL/L",IF(12=2,"1 mL/L",IF(12=3,"2 mL/L",IF(12=4,"2 mL/L",IF(12=5,"3 mL/L",IF(12=6,"3 mL/L",IF(12=7,"4 mL/L",IF(12=8,"4 mL/L",IF(12=9,"4 mL/L",IF(12=10,"4 mL/L",IF(12=11,"4 mL/L",IF(12=12,"2 mL/L","")))))))))))),IF(IFERROR(MATCH('🌱 Configuração'!$H$12,{"BioBizz","Remo Nutrients","General Organics","SuperSoil","Genérico"},0),1)=2,IF(12=1,"—",IF(12=2,"—",IF(12=3,"—",IF(12=4,"1.0 mL/L",IF(12=5,"2.0 mL/L",IF(12=6,"2.0 mL/L",IF(12=7,"1.0 mL/L",IF(12=8,"—",IF(12=9,"—",IF(12=10,"—",IF(12=11,"—",IF(12=12,"—","")))))))))))),IF(IFERROR(MATCH('🌱 Configuração'!$H$12,{"BioBizz","Remo Nutrients","General Organics","SuperSoil","Genérico"},0),1)=3,IF(12=1,"1.3 mL/L",IF(12=2,"1.3 mL/L",IF(12=3,"1.3 mL/L",IF(12=4,"1.3 mL/L",IF(12=5,"1.3 mL/L",IF(12=6,"0.7 mL/L",IF(12=7,"—",IF(12=8,"—",IF(12=9,"—",IF(12=10,"—",IF(12=11,"—",IF(12=12,"—","")))))))))))),IF(IFERROR(MATCH('🌱 Configuração'!$H$12,{"BioBizz","Remo Nutrients","General Organics","SuperSoil","Genérico"},0),1)=4,IF(12=1,"—",IF(12=2,"—",IF(12=3,"—",IF(12=4,"—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J36" s="27" t="str">
        <f t="array" ref="J36">IF('🌱 Configuração'!$D$56="","",IF(12&lt;1,"",IF(12&gt;'🌱 Configuração'!$H$8,"",IF(IFERROR(MATCH('🌱 Configuração'!$H$12,{"BioBizz","Remo Nutrients","General Organics","SuperSoil","Genérico"},0),1)=1,IF(12=1,"Alg·A·Mic 1mL",IF(12=2,"—",IF(12=3,"—",IF(12=4,"—",IF(12=5,"—",IF(12=6,"Alg·A·Mic 1mL",IF(12=7,"—",IF(12=8,"—",IF(12=9,"—",IF(12=10,"—",IF(12=11,"—",IF(12=12,"—","")))))))))))),IF(IFERROR(MATCH('🌱 Configuração'!$H$12,{"BioBizz","Remo Nutrients","General Organics","SuperSoil","Genérico"},0),1)=2,IF(12=1,"Magnifical 1.0",IF(12=2,"Magnifical 1.0",IF(12=3,"Magnifical 1.0",IF(12=4,"Magnifical 1.0",IF(12=5,"Kelp 1.0 mL",IF(12=6,"Kelp 1.0 mL",IF(12=7,"—",IF(12=8,"—",IF(12=9,"—",IF(12=10,"—",IF(12=11,"—",IF(12=12,"—","")))))))))))),IF(IFERROR(MATCH('🌱 Configuração'!$H$12,{"BioBizz","Remo Nutrients","General Organics","SuperSoil","Genérico"},0),1)=3,IF(12=1,"BioWeed 0.7",IF(12=2,"—",IF(12=3,"—",IF(12=4,"BioMarine 0.7",IF(12=5,"BioMarine 0.7",IF(12=6,"—",IF(12=7,"—",IF(12=8,"—",IF(12=9,"—",IF(12=10,"—",IF(12=11,"—",IF(12=12,"—","")))))))))))),IF(IFERROR(MATCH('🌱 Configuração'!$H$12,{"BioBizz","Remo Nutrients","General Organics","SuperSoil","Genérico"},0),1)=4,IF(12=1,"Chá",IF(12=2,"—",IF(12=3,"Molasses 2mL",IF(12=4,"—",IF(12=5,"Chá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K36" s="16" t="str">
        <f t="array" ref="K36">IF('🌱 Configuração'!$D$56="","",IF(12&lt;1,"",IF(12&gt;'🌱 Configuração'!$H$8,"",IF(IFERROR(MATCH('🌱 Configuração'!$H$12,{"BioBizz","Remo Nutrients","General Organics","SuperSoil","Genérico"},0),1)=1,IF(12=1,"6.2–6.5",IF(12=2,"6.2–6.5",IF(12=3,"6.2–6.5",IF(12=4,"6.2–6.5",IF(12=5,"6.2–6.5",IF(12=6,"6.2–6.5",IF(12=7,"6.2–6.5",IF(12=8,"6.2–6.5",IF(12=9,"6.2–6.5",IF(12=10,"6.2–6.5",IF(12=11,"6.2–6.5",IF(12=12,"6.2–6.5","")))))))))))),IF(IFERROR(MATCH('🌱 Configuração'!$H$12,{"BioBizz","Remo Nutrients","General Organics","SuperSoil","Genérico"},0),1)=2,IF(12=1,"6.0–6.3",IF(12=2,"6.0–6.3",IF(12=3,"6.0–6.3",IF(12=4,"6.0–6.3",IF(12=5,"6.0–6.3",IF(12=6,"6.0–6.3",IF(12=7,"6.0–6.3",IF(12=8,"6.0–6.3",IF(12=9,"6.0–6.3",IF(12=10,"6.0–6.3",IF(12=11,"6.0–6.3",IF(12=12,"6.0–6.3","")))))))))))),IF(IFERROR(MATCH('🌱 Configuração'!$H$12,{"BioBizz","Remo Nutrients","General Organics","SuperSoil","Genérico"},0),1)=3,IF(12=1,"6.2–7.0",IF(12=2,"6.2–7.0",IF(12=3,"6.2–7.0",IF(12=4,"6.2–7.0",IF(12=5,"6.2–7.0",IF(12=6,"6.2–7.0",IF(12=7,"6.2–7.0",IF(12=8,"6.2–7.0",IF(12=9,"6.2–7.0",IF(12=10,"6.2–7.0",IF(12=11,"6.2–7.0",IF(12=12,"6.2–7.0","")))))))))))),IF(IFERROR(MATCH('🌱 Configuração'!$H$12,{"BioBizz","Remo Nutrients","General Organics","SuperSoil","Genérico"},0),1)=4,IF(12=1,"auto",IF(12=2,"auto",IF(12=3,"auto",IF(12=4,"auto",IF(12=5,"auto",IF(12=6,"auto",IF(12=7,"auto",IF(12=8,"auto",IF(12=9,"auto",IF(12=10,"auto",IF(12=11,"auto",IF(12=12,"auto","")))))))))))),IF(12=1,"—",IF(12=2,"—",IF(12=3,"—",IF(12=4,"—",IF(12=5,"—",IF(12=6,"—",IF(12=7,"—",IF(12=8,"—",IF(12=9,"—",IF(12=10,"—",IF(12=11,"—",IF(12=12,"—","")))))))))))))))))))</f>
        <v/>
      </c>
      <c r="L36" s="17" t="str">
        <f t="array" ref="L36">IF('🌱 Configuração'!$D$56="","",IF(12&lt;1,"",IF(12&gt;'🌱 Configuração'!$H$8,"",IF(IFERROR(MATCH('🌱 Configuração'!$H$12,{"BioBizz","Remo Nutrients","General Organics","SuperSoil","Genérico"},0),1)=1,IF(12=1,"1.6",IF(12=2,"1.7",IF(12=3,"1.8",IF(12=4,"1.9",IF(12=5,"2.0",IF(12=6,"2.0",IF(12=7,"1.9",IF(12=8,"1.8",IF(12=9,"1.6",IF(12=10,"1.6",IF(12=11,"1.4",IF(12=12,"1.0","")))))))))))),IF(IFERROR(MATCH('🌱 Configuração'!$H$12,{"BioBizz","Remo Nutrients","General Organics","SuperSoil","Genérico"},0),1)=2,IF(12=1,"1.6",IF(12=2,"1.7",IF(12=3,"1.8",IF(12=4,"1.9",IF(12=5,"2.0",IF(12=6,"2.0",IF(12=7,"1.8",IF(12=8,"1.6",IF(12=9,"1.4",IF(12=10,"1.4",IF(12=11,"1.0",IF(12=12,"0.8","")))))))))))),IF(IFERROR(MATCH('🌱 Configuração'!$H$12,{"BioBizz","Remo Nutrients","General Organics","SuperSoil","Genérico"},0),1)=3,IF(12=1,"N/A",IF(12=2,"N/A",IF(12=3,"N/A",IF(12=4,"N/A",IF(12=5,"N/A",IF(12=6,"N/A",IF(12=7,"N/A",IF(12=8,"N/A",IF(12=9,"N/A",IF(12=10,"N/A",IF(12=11,"N/A",IF(12=12,"N/A","")))))))))))),IF(IFERROR(MATCH('🌱 Configuração'!$H$12,{"BioBizz","Remo Nutrients","General Organics","SuperSoil","Genérico"},0),1)=4,IF(12=1,"auto",IF(12=2,"auto",IF(12=3,"auto",IF(12=4,"auto",IF(12=5,"auto",IF(12=6,"auto",IF(12=7,"auto",IF(12=8,"auto",IF(12=9,"auto",IF(12=10,"auto",IF(12=11,"auto",IF(12=12,"auto","")))))))))))),IF(12=1,"—",IF(12=2,"—",IF(12=3,"—",IF(12=4,"—",IF(12=5,"—",IF(12=6,"—",IF(12=7,"—",IF(12=8,"—",IF(12=9,"—",IF(12=10,"—",IF(12=11,"—",IF(12=12,"—","")))))))))))))))))))</f>
        <v/>
      </c>
      <c r="M36" s="27" t="str">
        <f t="array" ref="M36">IF('🌱 Configuração'!$D$56="","",IF(12&lt;1,"",IF(12&gt;'🌱 Configuração'!$H$8,"",IF(IFERROR(MATCH('🌱 Configuração'!$H$12,{"BioBizz","Remo Nutrients","General Organics","SuperSoil","Genérico"},0),1)=1,IF(12=1,"Manter Bio·Grow em S1–S3 flora",IF(12=2,"Formação de pistils",IF(12=3,"Início do enchimento",IF(12=4,"Parar Bio·Grow — fase de flora plena",IF(12=5,"Pico de floração",IF(12=6,"Enchimento máximo",IF(12=7,"Amadurecimento — manter bloom alto",IF(12=8,"Pré-flush — analisar tricomas",IF(12=9,"Semana extra (sativa)",IF(12=10,"Semana extra (sativa)",IF(12=11,"Reduzir — semana final",IF(12=12,"Último adubo antes flush","")))))))))))),IF(IFERROR(MATCH('🌱 Configuração'!$H$12,{"BioBizz","Remo Nutrients","General Organics","SuperSoil","Genérico"},0),1)=2,IF(12=1,"Apenas Micro+Bloom em floração Remo",IF(12=2,"Sem Grow a partir daqui",IF(12=3,"Tabela oficial: 2.1 mL/L S1–S4",IF(12=4,"Astroflower = estimulante floração",IF(12=5,"Tabela oficial: 2.6 mL/L S5–S7",IF(12=6,"Pico de floração Remo",IF(12=7,"Tabela oficial S7",IF(12=8,"Reduzir — semana final",IF(12=9,"Semana extra — sativa",IF(12=10,"Semana extra",IF(12=11,"Reduzir para flush",IF(12=12,"Último adubo","")))))))))))),IF(IFERROR(MATCH('🌱 Configuração'!$H$12,{"BioBizz","Remo Nutrients","General Organics","SuperSoil","Genérico"},0),1)=3,IF(12=1,"BioBud = estimulante flores GO",IF(12=2,"Early Flower GO",IF(12=3,"Mid Flower GO",IF(12=4,"BioMarine = peixe fermentado GO",IF(12=5,"Pico floração GO",IF(12=6,"Late Flower GO",IF(12=7,"Reduzir CaMg+ final",IF(12=8,"Late Flower GO — pré-flush",IF(12=9,"Semana extra — reduzir dose",IF(12=10,"Semana extra GO (sativa)",IF(12=11,"Semana extra GO",IF(12=12,"Último adubo GO","")))))))))))),IF(IFERROR(MATCH('🌱 Configuração'!$H$12,{"BioBizz","Remo Nutrients","General Organics","SuperSoil","Genérico"},0),1)=4,IF(12=1,"Guano P alto = floração forte",IF(12=2,"Solo vivo em pico — não interferir",IF(12=3,"Alga = K e micronutrientes florais",IF(12=4,"Fósforo natural = buds densos",IF(12=5,"Alimentar microbioma — enchimento",IF(12=6,"Semana de pico — micro + K",IF(12=7,"Reduzir intervenções — amadurecimento",IF(12=8,"Pré-flush SuperSoil",IF(12=9,"Parar coberturas — lavar suave",IF(12=10,"Semana extra (sativa)",IF(12=11,"Semana extra",IF(12=12,"Última semana — observar tricomas","")))))))))))),IF(12=1,"Personalize suas doses",IF(12=2,"Personalize suas doses",IF(12=3,"Personalize suas doses",IF(12=4,"Personalize suas doses",IF(12=5,"Personalize suas doses",IF(12=6,"Personalize suas doses",IF(12=7,"Personalize suas doses",IF(12=8,"Personalize suas doses",IF(12=9,"Personalize suas doses",IF(12=10,"Personalize suas doses",IF(12=11,"Personalize suas doses",IF(12=12,"Personalize suas doses","")))))))))))))))))))</f>
        <v/>
      </c>
      <c r="N36" s="1"/>
    </row>
    <row r="37" spans="1:1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7.75" customHeight="1">
      <c r="A38" s="1"/>
      <c r="B38" s="98" t="s">
        <v>39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8"/>
      <c r="N38" s="1"/>
    </row>
    <row r="39" spans="1:14" ht="24" customHeight="1">
      <c r="A39" s="1"/>
      <c r="B39" s="11" t="s">
        <v>45</v>
      </c>
      <c r="C39" s="11" t="s">
        <v>46</v>
      </c>
      <c r="D39" s="11" t="s">
        <v>47</v>
      </c>
      <c r="E39" s="11" t="s">
        <v>48</v>
      </c>
      <c r="F39" s="11" t="s">
        <v>49</v>
      </c>
      <c r="G39" s="11" t="s">
        <v>50</v>
      </c>
      <c r="H39" s="11" t="s">
        <v>51</v>
      </c>
      <c r="I39" s="11" t="s">
        <v>52</v>
      </c>
      <c r="J39" s="11" t="s">
        <v>53</v>
      </c>
      <c r="K39" s="11" t="s">
        <v>54</v>
      </c>
      <c r="L39" s="11" t="s">
        <v>55</v>
      </c>
      <c r="M39" s="11" t="s">
        <v>56</v>
      </c>
      <c r="N39" s="1"/>
    </row>
    <row r="40" spans="1:14" ht="21.75" customHeight="1">
      <c r="A40" s="1"/>
      <c r="B40" s="29" t="str">
        <f>IF(1&lt;='🌱 Configuração'!$H$9,"S1","—")</f>
        <v>S1</v>
      </c>
      <c r="C40" s="13">
        <f>IF(1&lt;='🌱 Configuração'!$H$9,'🌱 Configuração'!$E$56+0,"")</f>
        <v>119</v>
      </c>
      <c r="D40" s="14" t="str">
        <f t="array" ref="D40">IF('🌱 Configuração'!$E$56="","",IF(1&lt;1,"",IF(1&gt;'🌱 Configuração'!$H$9,"",IF(IFERROR(MATCH('🌱 Configuração'!$H$12,{"BioBizz","Remo Nutrients","General Organics","SuperSoil","Genérico"},0),1)=1,IF(1=1,"Água pura",IF(1=2,"Água pura","")),IF(IFERROR(MATCH('🌱 Configuração'!$H$12,{"BioBizz","Remo Nutrients","General Organics","SuperSoil","Genérico"},0),1)=2,IF(1=1,"Água pura",IF(1=2,"Água pura","")),IF(IFERROR(MATCH('🌱 Configuração'!$H$12,{"BioBizz","Remo Nutrients","General Organics","SuperSoil","Genérico"},0),1)=3,IF(1=1,"Água pura",IF(1=2,"Água pura","")),IF(IFERROR(MATCH('🌱 Configuração'!$H$12,{"BioBizz","Remo Nutrients","General Organics","SuperSoil","Genérico"},0),1)=4,IF(1=1,"Água pura",IF(1=2,"Água pura","")),IF(1=1,"← Preencha",IF(1=2,"← Preencha","")))))))))</f>
        <v>Água pura</v>
      </c>
      <c r="E40" s="15" t="str">
        <f t="array" ref="E40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F40" s="14" t="str">
        <f t="array" ref="F40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G40" s="15" t="str">
        <f t="array" ref="G40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H40" s="14" t="str">
        <f t="array" ref="H40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I40" s="15" t="str">
        <f t="array" ref="I40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J40" s="14" t="str">
        <f t="array" ref="J40">IF('🌱 Configuração'!$E$56="","",IF(1&lt;1,"",IF(1&gt;'🌱 Configuração'!$H$9,"",IF(IFERROR(MATCH('🌱 Configuração'!$H$12,{"BioBizz","Remo Nutrients","General Organics","SuperSoil","Genérico"},0),1)=1,IF(1=1,"Enzimas 1mL",IF(1=2,"—","")),IF(IFERROR(MATCH('🌱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Organics","SuperSoil","Genérico"},0),1)=4,IF(1=1,"Enzimas 1mL",IF(1=2,"—","")),IF(1=1,"—",IF(1=2,"—","")))))))))</f>
        <v>Enzimas 1mL</v>
      </c>
      <c r="K40" s="16" t="str">
        <f t="array" ref="K40">IF('🌱 Configuração'!$E$56="","",IF(1&lt;1,"",IF(1&gt;'🌱 Configuração'!$H$9,"",IF(IFERROR(MATCH('🌱 Configuração'!$H$12,{"BioBizz","Remo Nutrients","General Organics","SuperSoil","Genérico"},0),1)=1,IF(1=1,"6.2",IF(1=2,"6.2","")),IF(IFERROR(MATCH('🌱 Configuração'!$H$12,{"BioBizz","Remo Nutrients","General Organics","SuperSoil","Genérico"},0),1)=2,IF(1=1,"5.8–6.0",IF(1=2,"5.8–6.0","")),IF(IFERROR(MATCH('🌱 Configuração'!$H$12,{"BioBizz","Remo Nutrients","General Organics","SuperSoil","Genérico"},0),1)=3,IF(1=1,"6.2–7.0",IF(1=2,"6.2–7.0","")),IF(IFERROR(MATCH('🌱 Configuração'!$H$12,{"BioBizz","Remo Nutrients","General Organics","SuperSoil","Genérico"},0),1)=4,IF(1=1,"auto",IF(1=2,"auto","")),IF(1=1,"—",IF(1=2,"—","")))))))))</f>
        <v>6.2</v>
      </c>
      <c r="L40" s="17" t="str">
        <f t="array" ref="L40">IF('🌱 Configuração'!$E$56="","",IF(1&lt;1,"",IF(1&gt;'🌱 Configuração'!$H$9,"",IF(IFERROR(MATCH('🌱 Configuração'!$H$12,{"BioBizz","Remo Nutrients","General Organics","SuperSoil","Genérico"},0),1)=1,IF(1=1,"&lt; 0.3",IF(1=2,"&lt; 0.2","")),IF(IFERROR(MATCH('🌱 Configuração'!$H$12,{"BioBizz","Remo Nutrients","General Organics","SuperSoil","Genérico"},0),1)=2,IF(1=1,"&lt; 0.3",IF(1=2,"&lt; 0.2","")),IF(IFERROR(MATCH('🌱 Configuração'!$H$12,{"BioBizz","Remo Nutrients","General Organics","SuperSoil","Genérico"},0),1)=3,IF(1=1,"N/A",IF(1=2,"N/A","")),IF(IFERROR(MATCH('🌱 Configuração'!$H$12,{"BioBizz","Remo Nutrients","General Organics","SuperSoil","Genérico"},0),1)=4,IF(1=1,"auto",IF(1=2,"auto","")),IF(1=1,"—",IF(1=2,"—","")))))))))</f>
        <v>&lt; 0.3</v>
      </c>
      <c r="M40" s="14" t="str">
        <f t="array" ref="M40">IF('🌱 Configuração'!$E$56="","",IF(1&lt;1,"",IF(1&gt;'🌱 Configuração'!$H$9,"",IF(IFERROR(MATCH('🌱 Configuração'!$H$12,{"BioBizz","Remo Nutrients","General Organics","SuperSoil","Genérico"},0),1)=1,IF(1=1,"Lavar substrato — analisar tricomas",IF(1=2,"Tricomas âmbar? Colheita próxima","")),IF(IFERROR(MATCH('🌱 Configuração'!$H$12,{"BioBizz","Remo Nutrients","General Organics","SuperSoil","Genérico"},0),1)=2,IF(1=1,"Flush Remo — 1 semana padrão",IF(1=2,"Analisar tricomas — colheita?","")),IF(IFERROR(MATCH('🌱 Configuração'!$H$12,{"BioBizz","Remo Nutrients","General Organics","SuperSoil","Genérico"},0),1)=3,IF(1=1,"GO: ripen/rinse — 1 semana",IF(1=2,"Analisar tricomas","")),IF(IFERROR(MATCH('🌱 Configuração'!$H$12,{"BioBizz","Remo Nutrients","General Organics","SuperSoil","Genérico"},0),1)=4,IF(1=1,"SuperSoil: flush mais curto — solo limpo",IF(1=2,"Analisar tricomas — colheita próxima","")),IF(1=1,"Personalize suas doses",IF(1=2,"Personalize suas doses","")))))))))</f>
        <v>Lavar substrato — analisar tricomas</v>
      </c>
      <c r="N40" s="1"/>
    </row>
    <row r="41" spans="1:14" ht="21.75" customHeight="1">
      <c r="A41" s="1"/>
      <c r="B41" s="29" t="str">
        <f>IF(2&lt;='🌱 Configuração'!$H$9,"S2","—")</f>
        <v>—</v>
      </c>
      <c r="C41" s="30" t="str">
        <f>IF(2&lt;='🌱 Configuração'!$H$9,'🌱 Configuração'!$E$56+7,"")</f>
        <v/>
      </c>
      <c r="D41" s="31" t="str">
        <f t="array" ref="D41">IF('🌱 Configuração'!$E$56="","",IF(2&lt;1,"",IF(2&gt;'🌱 Configuração'!$H$9,"",IF(IFERROR(MATCH('🌱 Configuração'!$H$12,{"BioBizz","Remo Nutrients","General Organics","SuperSoil","Genérico"},0),1)=1,IF(2=1,"Água pura",IF(2=2,"Água pura","")),IF(IFERROR(MATCH('🌱 Configuração'!$H$12,{"BioBizz","Remo Nutrients","General Organics","SuperSoil","Genérico"},0),1)=2,IF(2=1,"Água pura",IF(2=2,"Água pura","")),IF(IFERROR(MATCH('🌱 Configuração'!$H$12,{"BioBizz","Remo Nutrients","General Organics","SuperSoil","Genérico"},0),1)=3,IF(2=1,"Água pura",IF(2=2,"Água pura","")),IF(IFERROR(MATCH('🌱 Configuração'!$H$12,{"BioBizz","Remo Nutrients","General Organics","SuperSoil","Genérico"},0),1)=4,IF(2=1,"Água pura",IF(2=2,"Água pura","")),IF(2=1,"← Preencha",IF(2=2,"← Preencha","")))))))))</f>
        <v/>
      </c>
      <c r="E41" s="32" t="str">
        <f t="array" ref="E41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F41" s="31" t="str">
        <f t="array" ref="F41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G41" s="32" t="str">
        <f t="array" ref="G41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H41" s="31" t="str">
        <f t="array" ref="H41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I41" s="32" t="str">
        <f t="array" ref="I41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J41" s="31" t="str">
        <f t="array" ref="J41">IF('🌱 Configuração'!$E$56="","",IF(2&lt;1,"",IF(2&gt;'🌱 Configuração'!$H$9,"",IF(IFERROR(MATCH('🌱 Configuração'!$H$12,{"BioBizz","Remo Nutrients","General Organics","SuperSoil","Genérico"},0),1)=1,IF(2=1,"Enzimas 1mL",IF(2=2,"—","")),IF(IFERROR(MATCH('🌱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Organics","SuperSoil","Genérico"},0),1)=4,IF(2=1,"Enzimas 1mL",IF(2=2,"—","")),IF(2=1,"—",IF(2=2,"—","")))))))))</f>
        <v/>
      </c>
      <c r="K41" s="16" t="str">
        <f t="array" ref="K41">IF('🌱 Configuração'!$E$56="","",IF(2&lt;1,"",IF(2&gt;'🌱 Configuração'!$H$9,"",IF(IFERROR(MATCH('🌱 Configuração'!$H$12,{"BioBizz","Remo Nutrients","General Organics","SuperSoil","Genérico"},0),1)=1,IF(2=1,"6.2",IF(2=2,"6.2","")),IF(IFERROR(MATCH('🌱 Configuração'!$H$12,{"BioBizz","Remo Nutrients","General Organics","SuperSoil","Genérico"},0),1)=2,IF(2=1,"5.8–6.0",IF(2=2,"5.8–6.0","")),IF(IFERROR(MATCH('🌱 Configuração'!$H$12,{"BioBizz","Remo Nutrients","General Organics","SuperSoil","Genérico"},0),1)=3,IF(2=1,"6.2–7.0",IF(2=2,"6.2–7.0","")),IF(IFERROR(MATCH('🌱 Configuração'!$H$12,{"BioBizz","Remo Nutrients","General Organics","SuperSoil","Genérico"},0),1)=4,IF(2=1,"auto",IF(2=2,"auto","")),IF(2=1,"—",IF(2=2,"—","")))))))))</f>
        <v/>
      </c>
      <c r="L41" s="17" t="str">
        <f t="array" ref="L41">IF('🌱 Configuração'!$E$56="","",IF(2&lt;1,"",IF(2&gt;'🌱 Configuração'!$H$9,"",IF(IFERROR(MATCH('🌱 Configuração'!$H$12,{"BioBizz","Remo Nutrients","General Organics","SuperSoil","Genérico"},0),1)=1,IF(2=1,"&lt; 0.3",IF(2=2,"&lt; 0.2","")),IF(IFERROR(MATCH('🌱 Configuração'!$H$12,{"BioBizz","Remo Nutrients","General Organics","SuperSoil","Genérico"},0),1)=2,IF(2=1,"&lt; 0.3",IF(2=2,"&lt; 0.2","")),IF(IFERROR(MATCH('🌱 Configuração'!$H$12,{"BioBizz","Remo Nutrients","General Organics","SuperSoil","Genérico"},0),1)=3,IF(2=1,"N/A",IF(2=2,"N/A","")),IF(IFERROR(MATCH('🌱 Configuração'!$H$12,{"BioBizz","Remo Nutrients","General Organics","SuperSoil","Genérico"},0),1)=4,IF(2=1,"auto",IF(2=2,"auto","")),IF(2=1,"—",IF(2=2,"—","")))))))))</f>
        <v/>
      </c>
      <c r="M41" s="31" t="str">
        <f t="array" ref="M41">IF('🌱 Configuração'!$E$56="","",IF(2&lt;1,"",IF(2&gt;'🌱 Configuração'!$H$9,"",IF(IFERROR(MATCH('🌱 Configuração'!$H$12,{"BioBizz","Remo Nutrients","General Organics","SuperSoil","Genérico"},0),1)=1,IF(2=1,"Lavar substrato — analisar tricomas",IF(2=2,"Tricomas âmbar? Colheita próxima","")),IF(IFERROR(MATCH('🌱 Configuração'!$H$12,{"BioBizz","Remo Nutrients","General Organics","SuperSoil","Genérico"},0),1)=2,IF(2=1,"Flush Remo — 1 semana padrão",IF(2=2,"Analisar tricomas — colheita?","")),IF(IFERROR(MATCH('🌱 Configuração'!$H$12,{"BioBizz","Remo Nutrients","General Organics","SuperSoil","Genérico"},0),1)=3,IF(2=1,"GO: ripen/rinse — 1 semana",IF(2=2,"Analisar tricomas","")),IF(IFERROR(MATCH('🌱 Configuração'!$H$12,{"BioBizz","Remo Nutrients","General Organics","SuperSoil","Genérico"},0),1)=4,IF(2=1,"SuperSoil: flush mais curto — solo limpo",IF(2=2,"Analisar tricomas — colheita próxima","")),IF(2=1,"Personalize suas doses",IF(2=2,"Personalize suas doses","")))))))))</f>
        <v/>
      </c>
      <c r="N41" s="1"/>
    </row>
    <row r="42" spans="1:1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7.75" customHeight="1">
      <c r="A43" s="1"/>
      <c r="B43" s="78" t="s">
        <v>57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8"/>
      <c r="N43" s="1"/>
    </row>
    <row r="44" spans="1:1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5" ht="1.5" customHeight="1">
      <c r="A195" s="9" t="s">
        <v>19</v>
      </c>
      <c r="B195" s="9" t="s">
        <v>22</v>
      </c>
      <c r="C195" s="9" t="s">
        <v>24</v>
      </c>
      <c r="D195" s="9" t="s">
        <v>26</v>
      </c>
      <c r="E195" s="9" t="s">
        <v>28</v>
      </c>
      <c r="F195" s="1"/>
      <c r="G195" s="1"/>
      <c r="H195" s="1"/>
      <c r="I195" s="1"/>
      <c r="J195" s="1"/>
      <c r="K195" s="1"/>
      <c r="L195" s="1"/>
      <c r="M195" s="1"/>
      <c r="N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5" ht="1.5" customHeight="1">
      <c r="A200" s="9">
        <v>1</v>
      </c>
      <c r="B200" s="9" t="s">
        <v>58</v>
      </c>
      <c r="C200" s="9" t="s">
        <v>59</v>
      </c>
      <c r="D200" s="9" t="s">
        <v>60</v>
      </c>
      <c r="E200" s="9" t="s">
        <v>60</v>
      </c>
      <c r="F200" s="9" t="s">
        <v>60</v>
      </c>
      <c r="G200" s="9" t="s">
        <v>60</v>
      </c>
      <c r="H200" s="9" t="s">
        <v>60</v>
      </c>
      <c r="I200" s="9" t="s">
        <v>61</v>
      </c>
      <c r="J200" s="9" t="s">
        <v>62</v>
      </c>
      <c r="K200" s="9" t="s">
        <v>63</v>
      </c>
      <c r="L200" s="9"/>
      <c r="M200" s="9"/>
      <c r="N200" s="9">
        <v>1</v>
      </c>
      <c r="O200" s="9">
        <v>1</v>
      </c>
    </row>
    <row r="201" spans="1:15" ht="1.5" customHeight="1">
      <c r="A201" s="9">
        <v>2</v>
      </c>
      <c r="B201" s="9" t="s">
        <v>58</v>
      </c>
      <c r="C201" s="9" t="s">
        <v>59</v>
      </c>
      <c r="D201" s="9" t="s">
        <v>64</v>
      </c>
      <c r="E201" s="9" t="s">
        <v>65</v>
      </c>
      <c r="F201" s="9" t="s">
        <v>60</v>
      </c>
      <c r="G201" s="9" t="s">
        <v>60</v>
      </c>
      <c r="H201" s="9" t="s">
        <v>60</v>
      </c>
      <c r="I201" s="9" t="s">
        <v>61</v>
      </c>
      <c r="J201" s="9" t="s">
        <v>62</v>
      </c>
      <c r="K201" s="9" t="s">
        <v>66</v>
      </c>
      <c r="L201" s="9"/>
      <c r="M201" s="9"/>
      <c r="N201" s="9">
        <v>1</v>
      </c>
      <c r="O201" s="9">
        <v>1</v>
      </c>
    </row>
    <row r="202" spans="1:15" ht="1.5" customHeight="1">
      <c r="A202" s="9">
        <v>3</v>
      </c>
      <c r="B202" s="9" t="s">
        <v>58</v>
      </c>
      <c r="C202" s="9" t="s">
        <v>65</v>
      </c>
      <c r="D202" s="9" t="s">
        <v>67</v>
      </c>
      <c r="E202" s="9" t="s">
        <v>65</v>
      </c>
      <c r="F202" s="9" t="s">
        <v>60</v>
      </c>
      <c r="G202" s="9" t="s">
        <v>60</v>
      </c>
      <c r="H202" s="9" t="s">
        <v>60</v>
      </c>
      <c r="I202" s="9" t="s">
        <v>61</v>
      </c>
      <c r="J202" s="9" t="s">
        <v>62</v>
      </c>
      <c r="K202" s="9" t="s">
        <v>68</v>
      </c>
      <c r="L202" s="9"/>
      <c r="M202" s="9"/>
      <c r="N202" s="9">
        <v>1</v>
      </c>
      <c r="O202" s="9">
        <v>1</v>
      </c>
    </row>
    <row r="203" spans="1:15" ht="1.5" customHeight="1">
      <c r="A203" s="9">
        <v>4</v>
      </c>
      <c r="B203" s="9" t="s">
        <v>58</v>
      </c>
      <c r="C203" s="9" t="s">
        <v>65</v>
      </c>
      <c r="D203" s="9" t="s">
        <v>67</v>
      </c>
      <c r="E203" s="9" t="s">
        <v>69</v>
      </c>
      <c r="F203" s="9" t="s">
        <v>60</v>
      </c>
      <c r="G203" s="9" t="s">
        <v>60</v>
      </c>
      <c r="H203" s="9" t="s">
        <v>60</v>
      </c>
      <c r="I203" s="9" t="s">
        <v>61</v>
      </c>
      <c r="J203" s="9" t="s">
        <v>62</v>
      </c>
      <c r="K203" s="9" t="s">
        <v>70</v>
      </c>
      <c r="L203" s="9"/>
      <c r="M203" s="9"/>
      <c r="N203" s="9">
        <v>1</v>
      </c>
      <c r="O203" s="9">
        <v>1</v>
      </c>
    </row>
    <row r="204" spans="1:15" ht="1.5" customHeight="1">
      <c r="A204" s="9">
        <v>1</v>
      </c>
      <c r="B204" s="9" t="s">
        <v>67</v>
      </c>
      <c r="C204" s="9" t="s">
        <v>69</v>
      </c>
      <c r="D204" s="9" t="s">
        <v>71</v>
      </c>
      <c r="E204" s="9" t="s">
        <v>69</v>
      </c>
      <c r="F204" s="9" t="s">
        <v>60</v>
      </c>
      <c r="G204" s="9" t="s">
        <v>60</v>
      </c>
      <c r="H204" s="9" t="s">
        <v>72</v>
      </c>
      <c r="I204" s="9" t="s">
        <v>61</v>
      </c>
      <c r="J204" s="9" t="s">
        <v>73</v>
      </c>
      <c r="K204" s="9" t="s">
        <v>74</v>
      </c>
      <c r="L204" s="9"/>
      <c r="M204" s="9"/>
      <c r="N204" s="9">
        <v>1</v>
      </c>
      <c r="O204" s="9">
        <v>2</v>
      </c>
    </row>
    <row r="205" spans="1:15" ht="1.5" customHeight="1">
      <c r="A205" s="9">
        <v>2</v>
      </c>
      <c r="B205" s="9" t="s">
        <v>67</v>
      </c>
      <c r="C205" s="9" t="s">
        <v>75</v>
      </c>
      <c r="D205" s="9" t="s">
        <v>71</v>
      </c>
      <c r="E205" s="9" t="s">
        <v>75</v>
      </c>
      <c r="F205" s="9" t="s">
        <v>60</v>
      </c>
      <c r="G205" s="9" t="s">
        <v>60</v>
      </c>
      <c r="H205" s="9" t="s">
        <v>60</v>
      </c>
      <c r="I205" s="9" t="s">
        <v>61</v>
      </c>
      <c r="J205" s="9" t="s">
        <v>76</v>
      </c>
      <c r="K205" s="9" t="s">
        <v>77</v>
      </c>
      <c r="L205" s="9"/>
      <c r="M205" s="9"/>
      <c r="N205" s="9">
        <v>1</v>
      </c>
      <c r="O205" s="9">
        <v>2</v>
      </c>
    </row>
    <row r="206" spans="1:15" ht="1.5" customHeight="1">
      <c r="A206" s="9">
        <v>3</v>
      </c>
      <c r="B206" s="9" t="s">
        <v>67</v>
      </c>
      <c r="C206" s="9" t="s">
        <v>75</v>
      </c>
      <c r="D206" s="9" t="s">
        <v>71</v>
      </c>
      <c r="E206" s="9" t="s">
        <v>75</v>
      </c>
      <c r="F206" s="9" t="s">
        <v>60</v>
      </c>
      <c r="G206" s="9" t="s">
        <v>60</v>
      </c>
      <c r="H206" s="9" t="s">
        <v>72</v>
      </c>
      <c r="I206" s="9" t="s">
        <v>61</v>
      </c>
      <c r="J206" s="9" t="s">
        <v>13</v>
      </c>
      <c r="K206" s="9" t="s">
        <v>78</v>
      </c>
      <c r="L206" s="9"/>
      <c r="M206" s="9"/>
      <c r="N206" s="9">
        <v>1</v>
      </c>
      <c r="O206" s="9">
        <v>2</v>
      </c>
    </row>
    <row r="207" spans="1:15" ht="1.5" customHeight="1">
      <c r="A207" s="9">
        <v>4</v>
      </c>
      <c r="B207" s="9" t="s">
        <v>67</v>
      </c>
      <c r="C207" s="9" t="s">
        <v>79</v>
      </c>
      <c r="D207" s="9" t="s">
        <v>71</v>
      </c>
      <c r="E207" s="9" t="s">
        <v>79</v>
      </c>
      <c r="F207" s="9" t="s">
        <v>60</v>
      </c>
      <c r="G207" s="9" t="s">
        <v>60</v>
      </c>
      <c r="H207" s="9" t="s">
        <v>60</v>
      </c>
      <c r="I207" s="9" t="s">
        <v>61</v>
      </c>
      <c r="J207" s="9" t="s">
        <v>80</v>
      </c>
      <c r="K207" s="9" t="s">
        <v>81</v>
      </c>
      <c r="L207" s="9"/>
      <c r="M207" s="9"/>
      <c r="N207" s="9">
        <v>1</v>
      </c>
      <c r="O207" s="9">
        <v>2</v>
      </c>
    </row>
    <row r="208" spans="1:15" ht="1.5" customHeight="1">
      <c r="A208" s="9">
        <v>5</v>
      </c>
      <c r="B208" s="9" t="s">
        <v>67</v>
      </c>
      <c r="C208" s="9" t="s">
        <v>82</v>
      </c>
      <c r="D208" s="9" t="s">
        <v>71</v>
      </c>
      <c r="E208" s="9" t="s">
        <v>79</v>
      </c>
      <c r="F208" s="9" t="s">
        <v>60</v>
      </c>
      <c r="G208" s="9" t="s">
        <v>60</v>
      </c>
      <c r="H208" s="9" t="s">
        <v>72</v>
      </c>
      <c r="I208" s="9" t="s">
        <v>61</v>
      </c>
      <c r="J208" s="9" t="s">
        <v>83</v>
      </c>
      <c r="K208" s="9" t="s">
        <v>84</v>
      </c>
      <c r="L208" s="9"/>
      <c r="M208" s="9"/>
      <c r="N208" s="9">
        <v>1</v>
      </c>
      <c r="O208" s="9">
        <v>2</v>
      </c>
    </row>
    <row r="209" spans="1:15" ht="1.5" customHeight="1">
      <c r="A209" s="9">
        <v>6</v>
      </c>
      <c r="B209" s="9" t="s">
        <v>67</v>
      </c>
      <c r="C209" s="9" t="s">
        <v>82</v>
      </c>
      <c r="D209" s="9" t="s">
        <v>60</v>
      </c>
      <c r="E209" s="9" t="s">
        <v>60</v>
      </c>
      <c r="F209" s="9" t="s">
        <v>60</v>
      </c>
      <c r="G209" s="9" t="s">
        <v>60</v>
      </c>
      <c r="H209" s="9" t="s">
        <v>60</v>
      </c>
      <c r="I209" s="9" t="s">
        <v>61</v>
      </c>
      <c r="J209" s="9" t="s">
        <v>80</v>
      </c>
      <c r="K209" s="9" t="s">
        <v>85</v>
      </c>
      <c r="L209" s="9"/>
      <c r="M209" s="9"/>
      <c r="N209" s="9">
        <v>1</v>
      </c>
      <c r="O209" s="9">
        <v>2</v>
      </c>
    </row>
    <row r="210" spans="1:15" ht="1.5" customHeight="1">
      <c r="A210" s="9">
        <v>7</v>
      </c>
      <c r="B210" s="9" t="s">
        <v>67</v>
      </c>
      <c r="C210" s="9" t="s">
        <v>82</v>
      </c>
      <c r="D210" s="9" t="s">
        <v>86</v>
      </c>
      <c r="E210" s="9" t="s">
        <v>69</v>
      </c>
      <c r="F210" s="9" t="s">
        <v>60</v>
      </c>
      <c r="G210" s="9" t="s">
        <v>60</v>
      </c>
      <c r="H210" s="9" t="s">
        <v>60</v>
      </c>
      <c r="I210" s="9" t="s">
        <v>61</v>
      </c>
      <c r="J210" s="9" t="s">
        <v>80</v>
      </c>
      <c r="K210" s="9" t="s">
        <v>87</v>
      </c>
      <c r="L210" s="9"/>
      <c r="M210" s="9"/>
      <c r="N210" s="9">
        <v>1</v>
      </c>
      <c r="O210" s="9">
        <v>2</v>
      </c>
    </row>
    <row r="211" spans="1:15" ht="1.5" customHeight="1">
      <c r="A211" s="9">
        <v>8</v>
      </c>
      <c r="B211" s="9" t="s">
        <v>67</v>
      </c>
      <c r="C211" s="9" t="s">
        <v>82</v>
      </c>
      <c r="D211" s="9" t="s">
        <v>86</v>
      </c>
      <c r="E211" s="9" t="s">
        <v>75</v>
      </c>
      <c r="F211" s="9" t="s">
        <v>60</v>
      </c>
      <c r="G211" s="9" t="s">
        <v>60</v>
      </c>
      <c r="H211" s="9" t="s">
        <v>60</v>
      </c>
      <c r="I211" s="9" t="s">
        <v>61</v>
      </c>
      <c r="J211" s="9" t="s">
        <v>80</v>
      </c>
      <c r="K211" s="9" t="s">
        <v>88</v>
      </c>
      <c r="L211" s="9"/>
      <c r="M211" s="9"/>
      <c r="N211" s="9">
        <v>1</v>
      </c>
      <c r="O211" s="9">
        <v>2</v>
      </c>
    </row>
    <row r="212" spans="1:15" ht="1.5" customHeight="1">
      <c r="A212" s="9">
        <v>1</v>
      </c>
      <c r="B212" s="9" t="s">
        <v>67</v>
      </c>
      <c r="C212" s="9" t="s">
        <v>69</v>
      </c>
      <c r="D212" s="9" t="s">
        <v>86</v>
      </c>
      <c r="E212" s="9" t="s">
        <v>69</v>
      </c>
      <c r="F212" s="9" t="s">
        <v>89</v>
      </c>
      <c r="G212" s="9" t="s">
        <v>69</v>
      </c>
      <c r="H212" s="9" t="s">
        <v>72</v>
      </c>
      <c r="I212" s="9" t="s">
        <v>61</v>
      </c>
      <c r="J212" s="9" t="s">
        <v>90</v>
      </c>
      <c r="K212" s="9" t="s">
        <v>91</v>
      </c>
      <c r="L212" s="9"/>
      <c r="M212" s="9"/>
      <c r="N212" s="9">
        <v>1</v>
      </c>
      <c r="O212" s="9">
        <v>3</v>
      </c>
    </row>
    <row r="213" spans="1:15" ht="1.5" customHeight="1">
      <c r="A213" s="9">
        <v>2</v>
      </c>
      <c r="B213" s="9" t="s">
        <v>67</v>
      </c>
      <c r="C213" s="9" t="s">
        <v>69</v>
      </c>
      <c r="D213" s="9" t="s">
        <v>86</v>
      </c>
      <c r="E213" s="9" t="s">
        <v>75</v>
      </c>
      <c r="F213" s="9" t="s">
        <v>89</v>
      </c>
      <c r="G213" s="9" t="s">
        <v>69</v>
      </c>
      <c r="H213" s="9" t="s">
        <v>60</v>
      </c>
      <c r="I213" s="9" t="s">
        <v>61</v>
      </c>
      <c r="J213" s="9" t="s">
        <v>92</v>
      </c>
      <c r="K213" s="9" t="s">
        <v>93</v>
      </c>
      <c r="L213" s="9"/>
      <c r="M213" s="9"/>
      <c r="N213" s="9">
        <v>1</v>
      </c>
      <c r="O213" s="9">
        <v>3</v>
      </c>
    </row>
    <row r="214" spans="1:15" ht="1.5" customHeight="1">
      <c r="A214" s="9">
        <v>3</v>
      </c>
      <c r="B214" s="9" t="s">
        <v>67</v>
      </c>
      <c r="C214" s="9" t="s">
        <v>69</v>
      </c>
      <c r="D214" s="9" t="s">
        <v>86</v>
      </c>
      <c r="E214" s="9" t="s">
        <v>79</v>
      </c>
      <c r="F214" s="9" t="s">
        <v>89</v>
      </c>
      <c r="G214" s="9" t="s">
        <v>75</v>
      </c>
      <c r="H214" s="9" t="s">
        <v>60</v>
      </c>
      <c r="I214" s="9" t="s">
        <v>61</v>
      </c>
      <c r="J214" s="9" t="s">
        <v>94</v>
      </c>
      <c r="K214" s="9" t="s">
        <v>95</v>
      </c>
      <c r="L214" s="9"/>
      <c r="M214" s="9"/>
      <c r="N214" s="9">
        <v>1</v>
      </c>
      <c r="O214" s="9">
        <v>3</v>
      </c>
    </row>
    <row r="215" spans="1:15" ht="1.5" customHeight="1">
      <c r="A215" s="9">
        <v>4</v>
      </c>
      <c r="B215" s="9" t="s">
        <v>60</v>
      </c>
      <c r="C215" s="9" t="s">
        <v>60</v>
      </c>
      <c r="D215" s="9" t="s">
        <v>86</v>
      </c>
      <c r="E215" s="9" t="s">
        <v>79</v>
      </c>
      <c r="F215" s="9" t="s">
        <v>89</v>
      </c>
      <c r="G215" s="9" t="s">
        <v>75</v>
      </c>
      <c r="H215" s="9" t="s">
        <v>60</v>
      </c>
      <c r="I215" s="9" t="s">
        <v>61</v>
      </c>
      <c r="J215" s="9" t="s">
        <v>96</v>
      </c>
      <c r="K215" s="9" t="s">
        <v>97</v>
      </c>
      <c r="L215" s="9"/>
      <c r="M215" s="9"/>
      <c r="N215" s="9">
        <v>1</v>
      </c>
      <c r="O215" s="9">
        <v>3</v>
      </c>
    </row>
    <row r="216" spans="1:15" ht="1.5" customHeight="1">
      <c r="A216" s="9">
        <v>5</v>
      </c>
      <c r="B216" s="9" t="s">
        <v>60</v>
      </c>
      <c r="C216" s="9" t="s">
        <v>60</v>
      </c>
      <c r="D216" s="9" t="s">
        <v>86</v>
      </c>
      <c r="E216" s="9" t="s">
        <v>82</v>
      </c>
      <c r="F216" s="9" t="s">
        <v>89</v>
      </c>
      <c r="G216" s="9" t="s">
        <v>79</v>
      </c>
      <c r="H216" s="9" t="s">
        <v>60</v>
      </c>
      <c r="I216" s="9" t="s">
        <v>61</v>
      </c>
      <c r="J216" s="9" t="s">
        <v>98</v>
      </c>
      <c r="K216" s="9" t="s">
        <v>99</v>
      </c>
      <c r="L216" s="9"/>
      <c r="M216" s="9"/>
      <c r="N216" s="9">
        <v>1</v>
      </c>
      <c r="O216" s="9">
        <v>3</v>
      </c>
    </row>
    <row r="217" spans="1:15" ht="1.5" customHeight="1">
      <c r="A217" s="9">
        <v>6</v>
      </c>
      <c r="B217" s="9" t="s">
        <v>60</v>
      </c>
      <c r="C217" s="9" t="s">
        <v>60</v>
      </c>
      <c r="D217" s="9" t="s">
        <v>86</v>
      </c>
      <c r="E217" s="9" t="s">
        <v>82</v>
      </c>
      <c r="F217" s="9" t="s">
        <v>89</v>
      </c>
      <c r="G217" s="9" t="s">
        <v>79</v>
      </c>
      <c r="H217" s="9" t="s">
        <v>72</v>
      </c>
      <c r="I217" s="9" t="s">
        <v>61</v>
      </c>
      <c r="J217" s="9" t="s">
        <v>98</v>
      </c>
      <c r="K217" s="9" t="s">
        <v>100</v>
      </c>
      <c r="L217" s="9"/>
      <c r="M217" s="9"/>
      <c r="N217" s="9">
        <v>1</v>
      </c>
      <c r="O217" s="9">
        <v>3</v>
      </c>
    </row>
    <row r="218" spans="1:15" ht="1.5" customHeight="1">
      <c r="A218" s="9">
        <v>7</v>
      </c>
      <c r="B218" s="9" t="s">
        <v>60</v>
      </c>
      <c r="C218" s="9" t="s">
        <v>60</v>
      </c>
      <c r="D218" s="9" t="s">
        <v>86</v>
      </c>
      <c r="E218" s="9" t="s">
        <v>82</v>
      </c>
      <c r="F218" s="9" t="s">
        <v>89</v>
      </c>
      <c r="G218" s="9" t="s">
        <v>82</v>
      </c>
      <c r="H218" s="9" t="s">
        <v>60</v>
      </c>
      <c r="I218" s="9" t="s">
        <v>61</v>
      </c>
      <c r="J218" s="9" t="s">
        <v>96</v>
      </c>
      <c r="K218" s="9" t="s">
        <v>101</v>
      </c>
      <c r="L218" s="9"/>
      <c r="M218" s="9"/>
      <c r="N218" s="9">
        <v>1</v>
      </c>
      <c r="O218" s="9">
        <v>3</v>
      </c>
    </row>
    <row r="219" spans="1:15" ht="1.5" customHeight="1">
      <c r="A219" s="9">
        <v>8</v>
      </c>
      <c r="B219" s="9" t="s">
        <v>60</v>
      </c>
      <c r="C219" s="9" t="s">
        <v>60</v>
      </c>
      <c r="D219" s="9" t="s">
        <v>86</v>
      </c>
      <c r="E219" s="9" t="s">
        <v>82</v>
      </c>
      <c r="F219" s="9" t="s">
        <v>89</v>
      </c>
      <c r="G219" s="9" t="s">
        <v>82</v>
      </c>
      <c r="H219" s="9" t="s">
        <v>60</v>
      </c>
      <c r="I219" s="9" t="s">
        <v>61</v>
      </c>
      <c r="J219" s="9" t="s">
        <v>94</v>
      </c>
      <c r="K219" s="9" t="s">
        <v>102</v>
      </c>
      <c r="L219" s="9"/>
      <c r="M219" s="9"/>
      <c r="N219" s="9">
        <v>1</v>
      </c>
      <c r="O219" s="9">
        <v>3</v>
      </c>
    </row>
    <row r="220" spans="1:15" ht="1.5" customHeight="1">
      <c r="A220" s="9">
        <v>9</v>
      </c>
      <c r="B220" s="9" t="s">
        <v>60</v>
      </c>
      <c r="C220" s="9" t="s">
        <v>60</v>
      </c>
      <c r="D220" s="9" t="s">
        <v>86</v>
      </c>
      <c r="E220" s="9" t="s">
        <v>82</v>
      </c>
      <c r="F220" s="9" t="s">
        <v>89</v>
      </c>
      <c r="G220" s="9" t="s">
        <v>82</v>
      </c>
      <c r="H220" s="9" t="s">
        <v>60</v>
      </c>
      <c r="I220" s="9" t="s">
        <v>61</v>
      </c>
      <c r="J220" s="9" t="s">
        <v>90</v>
      </c>
      <c r="K220" s="9" t="s">
        <v>103</v>
      </c>
      <c r="L220" s="9"/>
      <c r="M220" s="9"/>
      <c r="N220" s="9">
        <v>1</v>
      </c>
      <c r="O220" s="9">
        <v>3</v>
      </c>
    </row>
    <row r="221" spans="1:15" ht="1.5" customHeight="1">
      <c r="A221" s="9">
        <v>10</v>
      </c>
      <c r="B221" s="9" t="s">
        <v>60</v>
      </c>
      <c r="C221" s="9" t="s">
        <v>60</v>
      </c>
      <c r="D221" s="9" t="s">
        <v>86</v>
      </c>
      <c r="E221" s="9" t="s">
        <v>82</v>
      </c>
      <c r="F221" s="9" t="s">
        <v>89</v>
      </c>
      <c r="G221" s="9" t="s">
        <v>82</v>
      </c>
      <c r="H221" s="9" t="s">
        <v>60</v>
      </c>
      <c r="I221" s="9" t="s">
        <v>61</v>
      </c>
      <c r="J221" s="9" t="s">
        <v>90</v>
      </c>
      <c r="K221" s="9" t="s">
        <v>103</v>
      </c>
      <c r="L221" s="9"/>
      <c r="M221" s="9"/>
      <c r="N221" s="9">
        <v>1</v>
      </c>
      <c r="O221" s="9">
        <v>3</v>
      </c>
    </row>
    <row r="222" spans="1:15" ht="1.5" customHeight="1">
      <c r="A222" s="9">
        <v>11</v>
      </c>
      <c r="B222" s="9" t="s">
        <v>60</v>
      </c>
      <c r="C222" s="9" t="s">
        <v>60</v>
      </c>
      <c r="D222" s="9" t="s">
        <v>86</v>
      </c>
      <c r="E222" s="9" t="s">
        <v>82</v>
      </c>
      <c r="F222" s="9" t="s">
        <v>89</v>
      </c>
      <c r="G222" s="9" t="s">
        <v>82</v>
      </c>
      <c r="H222" s="9" t="s">
        <v>60</v>
      </c>
      <c r="I222" s="9" t="s">
        <v>61</v>
      </c>
      <c r="J222" s="9" t="s">
        <v>80</v>
      </c>
      <c r="K222" s="9" t="s">
        <v>104</v>
      </c>
      <c r="L222" s="9"/>
      <c r="M222" s="9"/>
      <c r="N222" s="9">
        <v>1</v>
      </c>
      <c r="O222" s="9">
        <v>3</v>
      </c>
    </row>
    <row r="223" spans="1:15" ht="1.5" customHeight="1">
      <c r="A223" s="9">
        <v>12</v>
      </c>
      <c r="B223" s="9" t="s">
        <v>60</v>
      </c>
      <c r="C223" s="9" t="s">
        <v>60</v>
      </c>
      <c r="D223" s="9" t="s">
        <v>86</v>
      </c>
      <c r="E223" s="9" t="s">
        <v>75</v>
      </c>
      <c r="F223" s="9" t="s">
        <v>89</v>
      </c>
      <c r="G223" s="9" t="s">
        <v>75</v>
      </c>
      <c r="H223" s="9" t="s">
        <v>60</v>
      </c>
      <c r="I223" s="9" t="s">
        <v>61</v>
      </c>
      <c r="J223" s="9" t="s">
        <v>76</v>
      </c>
      <c r="K223" s="9" t="s">
        <v>105</v>
      </c>
      <c r="L223" s="9"/>
      <c r="M223" s="9"/>
      <c r="N223" s="9">
        <v>1</v>
      </c>
      <c r="O223" s="9">
        <v>3</v>
      </c>
    </row>
    <row r="224" spans="1:15" ht="1.5" customHeight="1">
      <c r="A224" s="9">
        <v>1</v>
      </c>
      <c r="B224" s="9" t="s">
        <v>106</v>
      </c>
      <c r="C224" s="9" t="s">
        <v>60</v>
      </c>
      <c r="D224" s="9" t="s">
        <v>60</v>
      </c>
      <c r="E224" s="9" t="s">
        <v>60</v>
      </c>
      <c r="F224" s="9" t="s">
        <v>60</v>
      </c>
      <c r="G224" s="9" t="s">
        <v>60</v>
      </c>
      <c r="H224" s="9" t="s">
        <v>107</v>
      </c>
      <c r="I224" s="9" t="s">
        <v>108</v>
      </c>
      <c r="J224" s="9" t="s">
        <v>109</v>
      </c>
      <c r="K224" s="9" t="s">
        <v>110</v>
      </c>
      <c r="L224" s="9"/>
      <c r="M224" s="9"/>
      <c r="N224" s="9">
        <v>1</v>
      </c>
      <c r="O224" s="9">
        <v>4</v>
      </c>
    </row>
    <row r="225" spans="1:15" ht="1.5" customHeight="1">
      <c r="A225" s="9">
        <v>2</v>
      </c>
      <c r="B225" s="9" t="s">
        <v>106</v>
      </c>
      <c r="C225" s="9" t="s">
        <v>60</v>
      </c>
      <c r="D225" s="9" t="s">
        <v>60</v>
      </c>
      <c r="E225" s="9" t="s">
        <v>60</v>
      </c>
      <c r="F225" s="9" t="s">
        <v>60</v>
      </c>
      <c r="G225" s="9" t="s">
        <v>60</v>
      </c>
      <c r="H225" s="9" t="s">
        <v>60</v>
      </c>
      <c r="I225" s="9" t="s">
        <v>108</v>
      </c>
      <c r="J225" s="9" t="s">
        <v>111</v>
      </c>
      <c r="K225" s="9" t="s">
        <v>112</v>
      </c>
      <c r="L225" s="9"/>
      <c r="M225" s="9"/>
      <c r="N225" s="9">
        <v>1</v>
      </c>
      <c r="O225" s="9">
        <v>4</v>
      </c>
    </row>
    <row r="226" spans="1:15" ht="1.5" customHeight="1">
      <c r="A226" s="9">
        <v>1</v>
      </c>
      <c r="B226" s="9" t="s">
        <v>113</v>
      </c>
      <c r="C226" s="9" t="s">
        <v>65</v>
      </c>
      <c r="D226" s="9" t="s">
        <v>114</v>
      </c>
      <c r="E226" s="9" t="s">
        <v>65</v>
      </c>
      <c r="F226" s="9" t="s">
        <v>60</v>
      </c>
      <c r="G226" s="9" t="s">
        <v>60</v>
      </c>
      <c r="H226" s="9" t="s">
        <v>60</v>
      </c>
      <c r="I226" s="9" t="s">
        <v>115</v>
      </c>
      <c r="J226" s="9" t="s">
        <v>62</v>
      </c>
      <c r="K226" s="9" t="s">
        <v>116</v>
      </c>
      <c r="L226" s="9"/>
      <c r="M226" s="9"/>
      <c r="N226" s="9">
        <v>2</v>
      </c>
      <c r="O226" s="9">
        <v>1</v>
      </c>
    </row>
    <row r="227" spans="1:15" ht="1.5" customHeight="1">
      <c r="A227" s="9">
        <v>2</v>
      </c>
      <c r="B227" s="9" t="s">
        <v>113</v>
      </c>
      <c r="C227" s="9" t="s">
        <v>69</v>
      </c>
      <c r="D227" s="9" t="s">
        <v>114</v>
      </c>
      <c r="E227" s="9" t="s">
        <v>65</v>
      </c>
      <c r="F227" s="9" t="s">
        <v>60</v>
      </c>
      <c r="G227" s="9" t="s">
        <v>60</v>
      </c>
      <c r="H227" s="9" t="s">
        <v>60</v>
      </c>
      <c r="I227" s="9" t="s">
        <v>115</v>
      </c>
      <c r="J227" s="9" t="s">
        <v>62</v>
      </c>
      <c r="K227" s="9" t="s">
        <v>117</v>
      </c>
      <c r="L227" s="9"/>
      <c r="M227" s="9"/>
      <c r="N227" s="9">
        <v>2</v>
      </c>
      <c r="O227" s="9">
        <v>1</v>
      </c>
    </row>
    <row r="228" spans="1:15" ht="1.5" customHeight="1">
      <c r="A228" s="9">
        <v>3</v>
      </c>
      <c r="B228" s="9" t="s">
        <v>113</v>
      </c>
      <c r="C228" s="9" t="s">
        <v>69</v>
      </c>
      <c r="D228" s="9" t="s">
        <v>118</v>
      </c>
      <c r="E228" s="9" t="s">
        <v>65</v>
      </c>
      <c r="F228" s="9" t="s">
        <v>119</v>
      </c>
      <c r="G228" s="9" t="s">
        <v>65</v>
      </c>
      <c r="H228" s="9" t="s">
        <v>60</v>
      </c>
      <c r="I228" s="9" t="s">
        <v>120</v>
      </c>
      <c r="J228" s="9" t="s">
        <v>121</v>
      </c>
      <c r="K228" s="9" t="s">
        <v>122</v>
      </c>
      <c r="L228" s="9"/>
      <c r="M228" s="9"/>
      <c r="N228" s="9">
        <v>2</v>
      </c>
      <c r="O228" s="9">
        <v>1</v>
      </c>
    </row>
    <row r="229" spans="1:15" ht="1.5" customHeight="1">
      <c r="A229" s="9">
        <v>4</v>
      </c>
      <c r="B229" s="9" t="s">
        <v>113</v>
      </c>
      <c r="C229" s="9" t="s">
        <v>69</v>
      </c>
      <c r="D229" s="9" t="s">
        <v>118</v>
      </c>
      <c r="E229" s="9" t="s">
        <v>69</v>
      </c>
      <c r="F229" s="9" t="s">
        <v>119</v>
      </c>
      <c r="G229" s="9" t="s">
        <v>69</v>
      </c>
      <c r="H229" s="9" t="s">
        <v>60</v>
      </c>
      <c r="I229" s="9" t="s">
        <v>120</v>
      </c>
      <c r="J229" s="9" t="s">
        <v>123</v>
      </c>
      <c r="K229" s="9" t="s">
        <v>124</v>
      </c>
      <c r="L229" s="9"/>
      <c r="M229" s="9"/>
      <c r="N229" s="9">
        <v>2</v>
      </c>
      <c r="O229" s="9">
        <v>1</v>
      </c>
    </row>
    <row r="230" spans="1:15" ht="1.5" customHeight="1">
      <c r="A230" s="9">
        <v>1</v>
      </c>
      <c r="B230" s="9" t="s">
        <v>118</v>
      </c>
      <c r="C230" s="9" t="s">
        <v>125</v>
      </c>
      <c r="D230" s="9" t="s">
        <v>119</v>
      </c>
      <c r="E230" s="9" t="s">
        <v>125</v>
      </c>
      <c r="F230" s="9" t="s">
        <v>60</v>
      </c>
      <c r="G230" s="9" t="s">
        <v>60</v>
      </c>
      <c r="H230" s="9" t="s">
        <v>126</v>
      </c>
      <c r="I230" s="9" t="s">
        <v>127</v>
      </c>
      <c r="J230" s="9" t="s">
        <v>73</v>
      </c>
      <c r="K230" s="9" t="s">
        <v>128</v>
      </c>
      <c r="L230" s="9"/>
      <c r="M230" s="9"/>
      <c r="N230" s="9">
        <v>2</v>
      </c>
      <c r="O230" s="9">
        <v>2</v>
      </c>
    </row>
    <row r="231" spans="1:15" ht="1.5" customHeight="1">
      <c r="A231" s="9">
        <v>2</v>
      </c>
      <c r="B231" s="9" t="s">
        <v>118</v>
      </c>
      <c r="C231" s="9" t="s">
        <v>129</v>
      </c>
      <c r="D231" s="9" t="s">
        <v>119</v>
      </c>
      <c r="E231" s="9" t="s">
        <v>129</v>
      </c>
      <c r="F231" s="9" t="s">
        <v>60</v>
      </c>
      <c r="G231" s="9" t="s">
        <v>60</v>
      </c>
      <c r="H231" s="9" t="s">
        <v>126</v>
      </c>
      <c r="I231" s="9" t="s">
        <v>127</v>
      </c>
      <c r="J231" s="9" t="s">
        <v>76</v>
      </c>
      <c r="K231" s="9" t="s">
        <v>130</v>
      </c>
      <c r="L231" s="9"/>
      <c r="M231" s="9"/>
      <c r="N231" s="9">
        <v>2</v>
      </c>
      <c r="O231" s="9">
        <v>2</v>
      </c>
    </row>
    <row r="232" spans="1:15" ht="1.5" customHeight="1">
      <c r="A232" s="9">
        <v>3</v>
      </c>
      <c r="B232" s="9" t="s">
        <v>118</v>
      </c>
      <c r="C232" s="9" t="s">
        <v>131</v>
      </c>
      <c r="D232" s="9" t="s">
        <v>119</v>
      </c>
      <c r="E232" s="9" t="s">
        <v>131</v>
      </c>
      <c r="F232" s="9" t="s">
        <v>60</v>
      </c>
      <c r="G232" s="9" t="s">
        <v>60</v>
      </c>
      <c r="H232" s="9" t="s">
        <v>132</v>
      </c>
      <c r="I232" s="9" t="s">
        <v>127</v>
      </c>
      <c r="J232" s="9" t="s">
        <v>13</v>
      </c>
      <c r="K232" s="9" t="s">
        <v>133</v>
      </c>
      <c r="L232" s="9"/>
      <c r="M232" s="9"/>
      <c r="N232" s="9">
        <v>2</v>
      </c>
      <c r="O232" s="9">
        <v>2</v>
      </c>
    </row>
    <row r="233" spans="1:15" ht="1.5" customHeight="1">
      <c r="A233" s="9">
        <v>4</v>
      </c>
      <c r="B233" s="9" t="s">
        <v>118</v>
      </c>
      <c r="C233" s="9" t="s">
        <v>134</v>
      </c>
      <c r="D233" s="9" t="s">
        <v>119</v>
      </c>
      <c r="E233" s="9" t="s">
        <v>134</v>
      </c>
      <c r="F233" s="9" t="s">
        <v>60</v>
      </c>
      <c r="G233" s="9" t="s">
        <v>60</v>
      </c>
      <c r="H233" s="9" t="s">
        <v>132</v>
      </c>
      <c r="I233" s="9" t="s">
        <v>127</v>
      </c>
      <c r="J233" s="9" t="s">
        <v>80</v>
      </c>
      <c r="K233" s="9" t="s">
        <v>135</v>
      </c>
      <c r="L233" s="9"/>
      <c r="M233" s="9"/>
      <c r="N233" s="9">
        <v>2</v>
      </c>
      <c r="O233" s="9">
        <v>2</v>
      </c>
    </row>
    <row r="234" spans="1:15" ht="1.5" customHeight="1">
      <c r="A234" s="9">
        <v>5</v>
      </c>
      <c r="B234" s="9" t="s">
        <v>118</v>
      </c>
      <c r="C234" s="9" t="s">
        <v>134</v>
      </c>
      <c r="D234" s="9" t="s">
        <v>119</v>
      </c>
      <c r="E234" s="9" t="s">
        <v>134</v>
      </c>
      <c r="F234" s="9" t="s">
        <v>60</v>
      </c>
      <c r="G234" s="9" t="s">
        <v>60</v>
      </c>
      <c r="H234" s="9" t="s">
        <v>132</v>
      </c>
      <c r="I234" s="9" t="s">
        <v>127</v>
      </c>
      <c r="J234" s="9" t="s">
        <v>83</v>
      </c>
      <c r="K234" s="9" t="s">
        <v>136</v>
      </c>
      <c r="L234" s="9"/>
      <c r="M234" s="9"/>
      <c r="N234" s="9">
        <v>2</v>
      </c>
      <c r="O234" s="9">
        <v>2</v>
      </c>
    </row>
    <row r="235" spans="1:15" ht="1.5" customHeight="1">
      <c r="A235" s="9">
        <v>6</v>
      </c>
      <c r="B235" s="9" t="s">
        <v>118</v>
      </c>
      <c r="C235" s="9" t="s">
        <v>134</v>
      </c>
      <c r="D235" s="9" t="s">
        <v>119</v>
      </c>
      <c r="E235" s="9" t="s">
        <v>134</v>
      </c>
      <c r="F235" s="9" t="s">
        <v>137</v>
      </c>
      <c r="G235" s="9" t="s">
        <v>138</v>
      </c>
      <c r="H235" s="9" t="s">
        <v>132</v>
      </c>
      <c r="I235" s="9" t="s">
        <v>127</v>
      </c>
      <c r="J235" s="9" t="s">
        <v>83</v>
      </c>
      <c r="K235" s="9" t="s">
        <v>139</v>
      </c>
      <c r="L235" s="9"/>
      <c r="M235" s="9"/>
      <c r="N235" s="9">
        <v>2</v>
      </c>
      <c r="O235" s="9">
        <v>2</v>
      </c>
    </row>
    <row r="236" spans="1:15" ht="1.5" customHeight="1">
      <c r="A236" s="9">
        <v>7</v>
      </c>
      <c r="B236" s="9" t="s">
        <v>118</v>
      </c>
      <c r="C236" s="9" t="s">
        <v>134</v>
      </c>
      <c r="D236" s="9" t="s">
        <v>119</v>
      </c>
      <c r="E236" s="9" t="s">
        <v>138</v>
      </c>
      <c r="F236" s="9" t="s">
        <v>137</v>
      </c>
      <c r="G236" s="9" t="s">
        <v>134</v>
      </c>
      <c r="H236" s="9" t="s">
        <v>60</v>
      </c>
      <c r="I236" s="9" t="s">
        <v>127</v>
      </c>
      <c r="J236" s="9" t="s">
        <v>80</v>
      </c>
      <c r="K236" s="9" t="s">
        <v>140</v>
      </c>
      <c r="L236" s="9"/>
      <c r="M236" s="9"/>
      <c r="N236" s="9">
        <v>2</v>
      </c>
      <c r="O236" s="9">
        <v>2</v>
      </c>
    </row>
    <row r="237" spans="1:15" ht="1.5" customHeight="1">
      <c r="A237" s="9">
        <v>8</v>
      </c>
      <c r="B237" s="9" t="s">
        <v>118</v>
      </c>
      <c r="C237" s="9" t="s">
        <v>134</v>
      </c>
      <c r="D237" s="9" t="s">
        <v>119</v>
      </c>
      <c r="E237" s="9" t="s">
        <v>65</v>
      </c>
      <c r="F237" s="9" t="s">
        <v>137</v>
      </c>
      <c r="G237" s="9" t="s">
        <v>134</v>
      </c>
      <c r="H237" s="9" t="s">
        <v>60</v>
      </c>
      <c r="I237" s="9" t="s">
        <v>127</v>
      </c>
      <c r="J237" s="9" t="s">
        <v>80</v>
      </c>
      <c r="K237" s="9" t="s">
        <v>88</v>
      </c>
      <c r="L237" s="9"/>
      <c r="M237" s="9"/>
      <c r="N237" s="9">
        <v>2</v>
      </c>
      <c r="O237" s="9">
        <v>2</v>
      </c>
    </row>
    <row r="238" spans="1:15" ht="1.5" customHeight="1">
      <c r="A238" s="9">
        <v>1</v>
      </c>
      <c r="B238" s="9" t="s">
        <v>118</v>
      </c>
      <c r="C238" s="9" t="s">
        <v>134</v>
      </c>
      <c r="D238" s="9" t="s">
        <v>137</v>
      </c>
      <c r="E238" s="9" t="s">
        <v>134</v>
      </c>
      <c r="F238" s="9" t="s">
        <v>60</v>
      </c>
      <c r="G238" s="9" t="s">
        <v>60</v>
      </c>
      <c r="H238" s="9" t="s">
        <v>132</v>
      </c>
      <c r="I238" s="9" t="s">
        <v>127</v>
      </c>
      <c r="J238" s="9" t="s">
        <v>90</v>
      </c>
      <c r="K238" s="9" t="s">
        <v>141</v>
      </c>
      <c r="L238" s="9"/>
      <c r="M238" s="9"/>
      <c r="N238" s="9">
        <v>2</v>
      </c>
      <c r="O238" s="9">
        <v>3</v>
      </c>
    </row>
    <row r="239" spans="1:15" ht="1.5" customHeight="1">
      <c r="A239" s="9">
        <v>2</v>
      </c>
      <c r="B239" s="9" t="s">
        <v>118</v>
      </c>
      <c r="C239" s="9" t="s">
        <v>134</v>
      </c>
      <c r="D239" s="9" t="s">
        <v>137</v>
      </c>
      <c r="E239" s="9" t="s">
        <v>134</v>
      </c>
      <c r="F239" s="9" t="s">
        <v>60</v>
      </c>
      <c r="G239" s="9" t="s">
        <v>60</v>
      </c>
      <c r="H239" s="9" t="s">
        <v>132</v>
      </c>
      <c r="I239" s="9" t="s">
        <v>127</v>
      </c>
      <c r="J239" s="9" t="s">
        <v>92</v>
      </c>
      <c r="K239" s="9" t="s">
        <v>142</v>
      </c>
      <c r="L239" s="9"/>
      <c r="M239" s="9"/>
      <c r="N239" s="9">
        <v>2</v>
      </c>
      <c r="O239" s="9">
        <v>3</v>
      </c>
    </row>
    <row r="240" spans="1:15" ht="1.5" customHeight="1">
      <c r="A240" s="9">
        <v>3</v>
      </c>
      <c r="B240" s="9" t="s">
        <v>118</v>
      </c>
      <c r="C240" s="9" t="s">
        <v>134</v>
      </c>
      <c r="D240" s="9" t="s">
        <v>137</v>
      </c>
      <c r="E240" s="9" t="s">
        <v>134</v>
      </c>
      <c r="F240" s="9" t="s">
        <v>60</v>
      </c>
      <c r="G240" s="9" t="s">
        <v>60</v>
      </c>
      <c r="H240" s="9" t="s">
        <v>132</v>
      </c>
      <c r="I240" s="9" t="s">
        <v>127</v>
      </c>
      <c r="J240" s="9" t="s">
        <v>94</v>
      </c>
      <c r="K240" s="9" t="s">
        <v>143</v>
      </c>
      <c r="L240" s="9"/>
      <c r="M240" s="9"/>
      <c r="N240" s="9">
        <v>2</v>
      </c>
      <c r="O240" s="9">
        <v>3</v>
      </c>
    </row>
    <row r="241" spans="1:15" ht="1.5" customHeight="1">
      <c r="A241" s="9">
        <v>4</v>
      </c>
      <c r="B241" s="9" t="s">
        <v>118</v>
      </c>
      <c r="C241" s="9" t="s">
        <v>134</v>
      </c>
      <c r="D241" s="9" t="s">
        <v>137</v>
      </c>
      <c r="E241" s="9" t="s">
        <v>134</v>
      </c>
      <c r="F241" s="9" t="s">
        <v>144</v>
      </c>
      <c r="G241" s="9" t="s">
        <v>138</v>
      </c>
      <c r="H241" s="9" t="s">
        <v>132</v>
      </c>
      <c r="I241" s="9" t="s">
        <v>127</v>
      </c>
      <c r="J241" s="9" t="s">
        <v>96</v>
      </c>
      <c r="K241" s="9" t="s">
        <v>145</v>
      </c>
      <c r="L241" s="9"/>
      <c r="M241" s="9"/>
      <c r="N241" s="9">
        <v>2</v>
      </c>
      <c r="O241" s="9">
        <v>3</v>
      </c>
    </row>
    <row r="242" spans="1:15" ht="1.5" customHeight="1">
      <c r="A242" s="9">
        <v>5</v>
      </c>
      <c r="B242" s="9" t="s">
        <v>118</v>
      </c>
      <c r="C242" s="9" t="s">
        <v>146</v>
      </c>
      <c r="D242" s="9" t="s">
        <v>137</v>
      </c>
      <c r="E242" s="9" t="s">
        <v>146</v>
      </c>
      <c r="F242" s="9" t="s">
        <v>144</v>
      </c>
      <c r="G242" s="9" t="s">
        <v>147</v>
      </c>
      <c r="H242" s="9" t="s">
        <v>148</v>
      </c>
      <c r="I242" s="9" t="s">
        <v>127</v>
      </c>
      <c r="J242" s="9" t="s">
        <v>98</v>
      </c>
      <c r="K242" s="9" t="s">
        <v>149</v>
      </c>
      <c r="L242" s="9"/>
      <c r="M242" s="9"/>
      <c r="N242" s="9">
        <v>2</v>
      </c>
      <c r="O242" s="9">
        <v>3</v>
      </c>
    </row>
    <row r="243" spans="1:15" ht="1.5" customHeight="1">
      <c r="A243" s="9">
        <v>6</v>
      </c>
      <c r="B243" s="9" t="s">
        <v>118</v>
      </c>
      <c r="C243" s="9" t="s">
        <v>146</v>
      </c>
      <c r="D243" s="9" t="s">
        <v>137</v>
      </c>
      <c r="E243" s="9" t="s">
        <v>146</v>
      </c>
      <c r="F243" s="9" t="s">
        <v>144</v>
      </c>
      <c r="G243" s="9" t="s">
        <v>147</v>
      </c>
      <c r="H243" s="9" t="s">
        <v>148</v>
      </c>
      <c r="I243" s="9" t="s">
        <v>127</v>
      </c>
      <c r="J243" s="9" t="s">
        <v>98</v>
      </c>
      <c r="K243" s="9" t="s">
        <v>150</v>
      </c>
      <c r="L243" s="9"/>
      <c r="M243" s="9"/>
      <c r="N243" s="9">
        <v>2</v>
      </c>
      <c r="O243" s="9">
        <v>3</v>
      </c>
    </row>
    <row r="244" spans="1:15" ht="1.5" customHeight="1">
      <c r="A244" s="9">
        <v>7</v>
      </c>
      <c r="B244" s="9" t="s">
        <v>118</v>
      </c>
      <c r="C244" s="9" t="s">
        <v>146</v>
      </c>
      <c r="D244" s="9" t="s">
        <v>137</v>
      </c>
      <c r="E244" s="9" t="s">
        <v>146</v>
      </c>
      <c r="F244" s="9" t="s">
        <v>144</v>
      </c>
      <c r="G244" s="9" t="s">
        <v>138</v>
      </c>
      <c r="H244" s="9" t="s">
        <v>60</v>
      </c>
      <c r="I244" s="9" t="s">
        <v>127</v>
      </c>
      <c r="J244" s="9" t="s">
        <v>94</v>
      </c>
      <c r="K244" s="9" t="s">
        <v>151</v>
      </c>
      <c r="L244" s="9"/>
      <c r="M244" s="9"/>
      <c r="N244" s="9">
        <v>2</v>
      </c>
      <c r="O244" s="9">
        <v>3</v>
      </c>
    </row>
    <row r="245" spans="1:15" ht="1.5" customHeight="1">
      <c r="A245" s="9">
        <v>8</v>
      </c>
      <c r="B245" s="9" t="s">
        <v>118</v>
      </c>
      <c r="C245" s="9" t="s">
        <v>134</v>
      </c>
      <c r="D245" s="9" t="s">
        <v>137</v>
      </c>
      <c r="E245" s="9" t="s">
        <v>134</v>
      </c>
      <c r="F245" s="9" t="s">
        <v>60</v>
      </c>
      <c r="G245" s="9" t="s">
        <v>60</v>
      </c>
      <c r="H245" s="9" t="s">
        <v>60</v>
      </c>
      <c r="I245" s="9" t="s">
        <v>127</v>
      </c>
      <c r="J245" s="9" t="s">
        <v>90</v>
      </c>
      <c r="K245" s="9" t="s">
        <v>104</v>
      </c>
      <c r="L245" s="9"/>
      <c r="M245" s="9"/>
      <c r="N245" s="9">
        <v>2</v>
      </c>
      <c r="O245" s="9">
        <v>3</v>
      </c>
    </row>
    <row r="246" spans="1:15" ht="1.5" customHeight="1">
      <c r="A246" s="9">
        <v>9</v>
      </c>
      <c r="B246" s="9" t="s">
        <v>118</v>
      </c>
      <c r="C246" s="9" t="s">
        <v>134</v>
      </c>
      <c r="D246" s="9" t="s">
        <v>137</v>
      </c>
      <c r="E246" s="9" t="s">
        <v>134</v>
      </c>
      <c r="F246" s="9" t="s">
        <v>60</v>
      </c>
      <c r="G246" s="9" t="s">
        <v>60</v>
      </c>
      <c r="H246" s="9" t="s">
        <v>60</v>
      </c>
      <c r="I246" s="9" t="s">
        <v>127</v>
      </c>
      <c r="J246" s="9" t="s">
        <v>80</v>
      </c>
      <c r="K246" s="9" t="s">
        <v>152</v>
      </c>
      <c r="L246" s="9"/>
      <c r="M246" s="9"/>
      <c r="N246" s="9">
        <v>2</v>
      </c>
      <c r="O246" s="9">
        <v>3</v>
      </c>
    </row>
    <row r="247" spans="1:15" ht="1.5" customHeight="1">
      <c r="A247" s="9">
        <v>10</v>
      </c>
      <c r="B247" s="9" t="s">
        <v>118</v>
      </c>
      <c r="C247" s="9" t="s">
        <v>134</v>
      </c>
      <c r="D247" s="9" t="s">
        <v>137</v>
      </c>
      <c r="E247" s="9" t="s">
        <v>134</v>
      </c>
      <c r="F247" s="9" t="s">
        <v>60</v>
      </c>
      <c r="G247" s="9" t="s">
        <v>60</v>
      </c>
      <c r="H247" s="9" t="s">
        <v>60</v>
      </c>
      <c r="I247" s="9" t="s">
        <v>127</v>
      </c>
      <c r="J247" s="9" t="s">
        <v>80</v>
      </c>
      <c r="K247" s="9" t="s">
        <v>153</v>
      </c>
      <c r="L247" s="9"/>
      <c r="M247" s="9"/>
      <c r="N247" s="9">
        <v>2</v>
      </c>
      <c r="O247" s="9">
        <v>3</v>
      </c>
    </row>
    <row r="248" spans="1:15" ht="1.5" customHeight="1">
      <c r="A248" s="9">
        <v>11</v>
      </c>
      <c r="B248" s="9" t="s">
        <v>118</v>
      </c>
      <c r="C248" s="9" t="s">
        <v>129</v>
      </c>
      <c r="D248" s="9" t="s">
        <v>137</v>
      </c>
      <c r="E248" s="9" t="s">
        <v>129</v>
      </c>
      <c r="F248" s="9" t="s">
        <v>60</v>
      </c>
      <c r="G248" s="9" t="s">
        <v>60</v>
      </c>
      <c r="H248" s="9" t="s">
        <v>60</v>
      </c>
      <c r="I248" s="9" t="s">
        <v>127</v>
      </c>
      <c r="J248" s="9" t="s">
        <v>76</v>
      </c>
      <c r="K248" s="9" t="s">
        <v>154</v>
      </c>
      <c r="L248" s="9"/>
      <c r="M248" s="9"/>
      <c r="N248" s="9">
        <v>2</v>
      </c>
      <c r="O248" s="9">
        <v>3</v>
      </c>
    </row>
    <row r="249" spans="1:15" ht="1.5" customHeight="1">
      <c r="A249" s="9">
        <v>12</v>
      </c>
      <c r="B249" s="9" t="s">
        <v>118</v>
      </c>
      <c r="C249" s="9" t="s">
        <v>138</v>
      </c>
      <c r="D249" s="9" t="s">
        <v>137</v>
      </c>
      <c r="E249" s="9" t="s">
        <v>138</v>
      </c>
      <c r="F249" s="9" t="s">
        <v>60</v>
      </c>
      <c r="G249" s="9" t="s">
        <v>60</v>
      </c>
      <c r="H249" s="9" t="s">
        <v>60</v>
      </c>
      <c r="I249" s="9" t="s">
        <v>127</v>
      </c>
      <c r="J249" s="9" t="s">
        <v>73</v>
      </c>
      <c r="K249" s="9" t="s">
        <v>155</v>
      </c>
      <c r="L249" s="9"/>
      <c r="M249" s="9"/>
      <c r="N249" s="9">
        <v>2</v>
      </c>
      <c r="O249" s="9">
        <v>3</v>
      </c>
    </row>
    <row r="250" spans="1:15" ht="1.5" customHeight="1">
      <c r="A250" s="9">
        <v>1</v>
      </c>
      <c r="B250" s="9" t="s">
        <v>106</v>
      </c>
      <c r="C250" s="9" t="s">
        <v>60</v>
      </c>
      <c r="D250" s="9" t="s">
        <v>60</v>
      </c>
      <c r="E250" s="9" t="s">
        <v>60</v>
      </c>
      <c r="F250" s="9" t="s">
        <v>60</v>
      </c>
      <c r="G250" s="9" t="s">
        <v>60</v>
      </c>
      <c r="H250" s="9" t="s">
        <v>60</v>
      </c>
      <c r="I250" s="9" t="s">
        <v>115</v>
      </c>
      <c r="J250" s="9" t="s">
        <v>109</v>
      </c>
      <c r="K250" s="9" t="s">
        <v>156</v>
      </c>
      <c r="L250" s="9"/>
      <c r="M250" s="9"/>
      <c r="N250" s="9">
        <v>2</v>
      </c>
      <c r="O250" s="9">
        <v>4</v>
      </c>
    </row>
    <row r="251" spans="1:15" ht="1.5" customHeight="1">
      <c r="A251" s="9">
        <v>2</v>
      </c>
      <c r="B251" s="9" t="s">
        <v>106</v>
      </c>
      <c r="C251" s="9" t="s">
        <v>60</v>
      </c>
      <c r="D251" s="9" t="s">
        <v>60</v>
      </c>
      <c r="E251" s="9" t="s">
        <v>60</v>
      </c>
      <c r="F251" s="9" t="s">
        <v>60</v>
      </c>
      <c r="G251" s="9" t="s">
        <v>60</v>
      </c>
      <c r="H251" s="9" t="s">
        <v>60</v>
      </c>
      <c r="I251" s="9" t="s">
        <v>115</v>
      </c>
      <c r="J251" s="9" t="s">
        <v>111</v>
      </c>
      <c r="K251" s="9" t="s">
        <v>157</v>
      </c>
      <c r="L251" s="9"/>
      <c r="M251" s="9"/>
      <c r="N251" s="9">
        <v>2</v>
      </c>
      <c r="O251" s="9">
        <v>4</v>
      </c>
    </row>
    <row r="252" spans="1:15" ht="1.5" customHeight="1">
      <c r="A252" s="9">
        <v>1</v>
      </c>
      <c r="B252" s="9" t="s">
        <v>158</v>
      </c>
      <c r="C252" s="9" t="s">
        <v>125</v>
      </c>
      <c r="D252" s="9" t="s">
        <v>159</v>
      </c>
      <c r="E252" s="9" t="s">
        <v>125</v>
      </c>
      <c r="F252" s="9" t="s">
        <v>60</v>
      </c>
      <c r="G252" s="9" t="s">
        <v>60</v>
      </c>
      <c r="H252" s="9" t="s">
        <v>60</v>
      </c>
      <c r="I252" s="9" t="s">
        <v>160</v>
      </c>
      <c r="J252" s="9" t="s">
        <v>62</v>
      </c>
      <c r="K252" s="9" t="s">
        <v>161</v>
      </c>
      <c r="L252" s="9"/>
      <c r="M252" s="9"/>
      <c r="N252" s="9">
        <v>3</v>
      </c>
      <c r="O252" s="9">
        <v>1</v>
      </c>
    </row>
    <row r="253" spans="1:15" ht="1.5" customHeight="1">
      <c r="A253" s="9">
        <v>2</v>
      </c>
      <c r="B253" s="9" t="s">
        <v>158</v>
      </c>
      <c r="C253" s="9" t="s">
        <v>125</v>
      </c>
      <c r="D253" s="9" t="s">
        <v>159</v>
      </c>
      <c r="E253" s="9" t="s">
        <v>125</v>
      </c>
      <c r="F253" s="9" t="s">
        <v>162</v>
      </c>
      <c r="G253" s="9" t="s">
        <v>163</v>
      </c>
      <c r="H253" s="9" t="s">
        <v>60</v>
      </c>
      <c r="I253" s="9" t="s">
        <v>160</v>
      </c>
      <c r="J253" s="9" t="s">
        <v>62</v>
      </c>
      <c r="K253" s="9" t="s">
        <v>164</v>
      </c>
      <c r="L253" s="9"/>
      <c r="M253" s="9"/>
      <c r="N253" s="9">
        <v>3</v>
      </c>
      <c r="O253" s="9">
        <v>1</v>
      </c>
    </row>
    <row r="254" spans="1:15" ht="1.5" customHeight="1">
      <c r="A254" s="9">
        <v>3</v>
      </c>
      <c r="B254" s="9" t="s">
        <v>158</v>
      </c>
      <c r="C254" s="9" t="s">
        <v>146</v>
      </c>
      <c r="D254" s="9" t="s">
        <v>159</v>
      </c>
      <c r="E254" s="9" t="s">
        <v>125</v>
      </c>
      <c r="F254" s="9" t="s">
        <v>165</v>
      </c>
      <c r="G254" s="9" t="s">
        <v>125</v>
      </c>
      <c r="H254" s="9" t="s">
        <v>60</v>
      </c>
      <c r="I254" s="9" t="s">
        <v>160</v>
      </c>
      <c r="J254" s="9" t="s">
        <v>62</v>
      </c>
      <c r="K254" s="9" t="s">
        <v>166</v>
      </c>
      <c r="L254" s="9"/>
      <c r="M254" s="9"/>
      <c r="N254" s="9">
        <v>3</v>
      </c>
      <c r="O254" s="9">
        <v>1</v>
      </c>
    </row>
    <row r="255" spans="1:15" ht="1.5" customHeight="1">
      <c r="A255" s="9">
        <v>4</v>
      </c>
      <c r="B255" s="9" t="s">
        <v>158</v>
      </c>
      <c r="C255" s="9" t="s">
        <v>146</v>
      </c>
      <c r="D255" s="9" t="s">
        <v>159</v>
      </c>
      <c r="E255" s="9" t="s">
        <v>125</v>
      </c>
      <c r="F255" s="9" t="s">
        <v>165</v>
      </c>
      <c r="G255" s="9" t="s">
        <v>146</v>
      </c>
      <c r="H255" s="9" t="s">
        <v>60</v>
      </c>
      <c r="I255" s="9" t="s">
        <v>160</v>
      </c>
      <c r="J255" s="9" t="s">
        <v>62</v>
      </c>
      <c r="K255" s="9" t="s">
        <v>167</v>
      </c>
      <c r="L255" s="9"/>
      <c r="M255" s="9"/>
      <c r="N255" s="9">
        <v>3</v>
      </c>
      <c r="O255" s="9">
        <v>1</v>
      </c>
    </row>
    <row r="256" spans="1:15" ht="1.5" customHeight="1">
      <c r="A256" s="9">
        <v>1</v>
      </c>
      <c r="B256" s="9" t="s">
        <v>165</v>
      </c>
      <c r="C256" s="9" t="s">
        <v>125</v>
      </c>
      <c r="D256" s="9" t="s">
        <v>158</v>
      </c>
      <c r="E256" s="9" t="s">
        <v>146</v>
      </c>
      <c r="F256" s="9" t="s">
        <v>159</v>
      </c>
      <c r="G256" s="9" t="s">
        <v>125</v>
      </c>
      <c r="H256" s="9" t="s">
        <v>168</v>
      </c>
      <c r="I256" s="9" t="s">
        <v>160</v>
      </c>
      <c r="J256" s="9" t="s">
        <v>169</v>
      </c>
      <c r="K256" s="9" t="s">
        <v>170</v>
      </c>
      <c r="L256" s="9"/>
      <c r="M256" s="9"/>
      <c r="N256" s="9">
        <v>3</v>
      </c>
      <c r="O256" s="9">
        <v>2</v>
      </c>
    </row>
    <row r="257" spans="1:15" ht="1.5" customHeight="1">
      <c r="A257" s="9">
        <v>2</v>
      </c>
      <c r="B257" s="9" t="s">
        <v>165</v>
      </c>
      <c r="C257" s="9" t="s">
        <v>146</v>
      </c>
      <c r="D257" s="9" t="s">
        <v>158</v>
      </c>
      <c r="E257" s="9" t="s">
        <v>146</v>
      </c>
      <c r="F257" s="9" t="s">
        <v>159</v>
      </c>
      <c r="G257" s="9" t="s">
        <v>125</v>
      </c>
      <c r="H257" s="9" t="s">
        <v>168</v>
      </c>
      <c r="I257" s="9" t="s">
        <v>160</v>
      </c>
      <c r="J257" s="9" t="s">
        <v>169</v>
      </c>
      <c r="K257" s="9" t="s">
        <v>171</v>
      </c>
      <c r="L257" s="9"/>
      <c r="M257" s="9"/>
      <c r="N257" s="9">
        <v>3</v>
      </c>
      <c r="O257" s="9">
        <v>2</v>
      </c>
    </row>
    <row r="258" spans="1:15" ht="1.5" customHeight="1">
      <c r="A258" s="9">
        <v>3</v>
      </c>
      <c r="B258" s="9" t="s">
        <v>165</v>
      </c>
      <c r="C258" s="9" t="s">
        <v>146</v>
      </c>
      <c r="D258" s="9" t="s">
        <v>158</v>
      </c>
      <c r="E258" s="9" t="s">
        <v>146</v>
      </c>
      <c r="F258" s="9" t="s">
        <v>159</v>
      </c>
      <c r="G258" s="9" t="s">
        <v>125</v>
      </c>
      <c r="H258" s="9" t="s">
        <v>60</v>
      </c>
      <c r="I258" s="9" t="s">
        <v>160</v>
      </c>
      <c r="J258" s="9" t="s">
        <v>169</v>
      </c>
      <c r="K258" s="9" t="s">
        <v>172</v>
      </c>
      <c r="L258" s="9"/>
      <c r="M258" s="9"/>
      <c r="N258" s="9">
        <v>3</v>
      </c>
      <c r="O258" s="9">
        <v>2</v>
      </c>
    </row>
    <row r="259" spans="1:15" ht="1.5" customHeight="1">
      <c r="A259" s="9">
        <v>4</v>
      </c>
      <c r="B259" s="9" t="s">
        <v>165</v>
      </c>
      <c r="C259" s="9" t="s">
        <v>146</v>
      </c>
      <c r="D259" s="9" t="s">
        <v>158</v>
      </c>
      <c r="E259" s="9" t="s">
        <v>125</v>
      </c>
      <c r="F259" s="9" t="s">
        <v>159</v>
      </c>
      <c r="G259" s="9" t="s">
        <v>125</v>
      </c>
      <c r="H259" s="9" t="s">
        <v>60</v>
      </c>
      <c r="I259" s="9" t="s">
        <v>160</v>
      </c>
      <c r="J259" s="9" t="s">
        <v>169</v>
      </c>
      <c r="K259" s="9" t="s">
        <v>173</v>
      </c>
      <c r="L259" s="9"/>
      <c r="M259" s="9"/>
      <c r="N259" s="9">
        <v>3</v>
      </c>
      <c r="O259" s="9">
        <v>2</v>
      </c>
    </row>
    <row r="260" spans="1:15" ht="1.5" customHeight="1">
      <c r="A260" s="9">
        <v>5</v>
      </c>
      <c r="B260" s="9" t="s">
        <v>165</v>
      </c>
      <c r="C260" s="9" t="s">
        <v>146</v>
      </c>
      <c r="D260" s="9" t="s">
        <v>159</v>
      </c>
      <c r="E260" s="9" t="s">
        <v>125</v>
      </c>
      <c r="F260" s="9" t="s">
        <v>60</v>
      </c>
      <c r="G260" s="9" t="s">
        <v>60</v>
      </c>
      <c r="H260" s="9" t="s">
        <v>60</v>
      </c>
      <c r="I260" s="9" t="s">
        <v>160</v>
      </c>
      <c r="J260" s="9" t="s">
        <v>169</v>
      </c>
      <c r="K260" s="9" t="s">
        <v>174</v>
      </c>
      <c r="L260" s="9"/>
      <c r="M260" s="9"/>
      <c r="N260" s="9">
        <v>3</v>
      </c>
      <c r="O260" s="9">
        <v>2</v>
      </c>
    </row>
    <row r="261" spans="1:15" ht="1.5" customHeight="1">
      <c r="A261" s="9">
        <v>6</v>
      </c>
      <c r="B261" s="9" t="s">
        <v>165</v>
      </c>
      <c r="C261" s="9" t="s">
        <v>146</v>
      </c>
      <c r="D261" s="9" t="s">
        <v>175</v>
      </c>
      <c r="E261" s="9" t="s">
        <v>125</v>
      </c>
      <c r="F261" s="9" t="s">
        <v>159</v>
      </c>
      <c r="G261" s="9" t="s">
        <v>125</v>
      </c>
      <c r="H261" s="9" t="s">
        <v>60</v>
      </c>
      <c r="I261" s="9" t="s">
        <v>160</v>
      </c>
      <c r="J261" s="9" t="s">
        <v>169</v>
      </c>
      <c r="K261" s="9" t="s">
        <v>176</v>
      </c>
      <c r="L261" s="9"/>
      <c r="M261" s="9"/>
      <c r="N261" s="9">
        <v>3</v>
      </c>
      <c r="O261" s="9">
        <v>2</v>
      </c>
    </row>
    <row r="262" spans="1:15" ht="1.5" customHeight="1">
      <c r="A262" s="9">
        <v>7</v>
      </c>
      <c r="B262" s="9" t="s">
        <v>165</v>
      </c>
      <c r="C262" s="9" t="s">
        <v>125</v>
      </c>
      <c r="D262" s="9" t="s">
        <v>175</v>
      </c>
      <c r="E262" s="9" t="s">
        <v>146</v>
      </c>
      <c r="F262" s="9" t="s">
        <v>159</v>
      </c>
      <c r="G262" s="9" t="s">
        <v>125</v>
      </c>
      <c r="H262" s="9" t="s">
        <v>60</v>
      </c>
      <c r="I262" s="9" t="s">
        <v>160</v>
      </c>
      <c r="J262" s="9" t="s">
        <v>169</v>
      </c>
      <c r="K262" s="9" t="s">
        <v>177</v>
      </c>
      <c r="L262" s="9"/>
      <c r="M262" s="9"/>
      <c r="N262" s="9">
        <v>3</v>
      </c>
      <c r="O262" s="9">
        <v>2</v>
      </c>
    </row>
    <row r="263" spans="1:15" ht="1.5" customHeight="1">
      <c r="A263" s="9">
        <v>8</v>
      </c>
      <c r="B263" s="9" t="s">
        <v>165</v>
      </c>
      <c r="C263" s="9" t="s">
        <v>125</v>
      </c>
      <c r="D263" s="9" t="s">
        <v>175</v>
      </c>
      <c r="E263" s="9" t="s">
        <v>146</v>
      </c>
      <c r="F263" s="9" t="s">
        <v>159</v>
      </c>
      <c r="G263" s="9" t="s">
        <v>125</v>
      </c>
      <c r="H263" s="9" t="s">
        <v>60</v>
      </c>
      <c r="I263" s="9" t="s">
        <v>160</v>
      </c>
      <c r="J263" s="9" t="s">
        <v>169</v>
      </c>
      <c r="K263" s="9" t="s">
        <v>178</v>
      </c>
      <c r="L263" s="9"/>
      <c r="M263" s="9"/>
      <c r="N263" s="9">
        <v>3</v>
      </c>
      <c r="O263" s="9">
        <v>2</v>
      </c>
    </row>
    <row r="264" spans="1:15" ht="1.5" customHeight="1">
      <c r="A264" s="9">
        <v>1</v>
      </c>
      <c r="B264" s="9" t="s">
        <v>175</v>
      </c>
      <c r="C264" s="9" t="s">
        <v>146</v>
      </c>
      <c r="D264" s="9" t="s">
        <v>179</v>
      </c>
      <c r="E264" s="9" t="s">
        <v>163</v>
      </c>
      <c r="F264" s="9" t="s">
        <v>159</v>
      </c>
      <c r="G264" s="9" t="s">
        <v>125</v>
      </c>
      <c r="H264" s="9" t="s">
        <v>168</v>
      </c>
      <c r="I264" s="9" t="s">
        <v>160</v>
      </c>
      <c r="J264" s="9" t="s">
        <v>169</v>
      </c>
      <c r="K264" s="9" t="s">
        <v>180</v>
      </c>
      <c r="L264" s="9"/>
      <c r="M264" s="9"/>
      <c r="N264" s="9">
        <v>3</v>
      </c>
      <c r="O264" s="9">
        <v>3</v>
      </c>
    </row>
    <row r="265" spans="1:15" ht="1.5" customHeight="1">
      <c r="A265" s="9">
        <v>2</v>
      </c>
      <c r="B265" s="9" t="s">
        <v>175</v>
      </c>
      <c r="C265" s="9" t="s">
        <v>146</v>
      </c>
      <c r="D265" s="9" t="s">
        <v>179</v>
      </c>
      <c r="E265" s="9" t="s">
        <v>163</v>
      </c>
      <c r="F265" s="9" t="s">
        <v>159</v>
      </c>
      <c r="G265" s="9" t="s">
        <v>125</v>
      </c>
      <c r="H265" s="9" t="s">
        <v>60</v>
      </c>
      <c r="I265" s="9" t="s">
        <v>160</v>
      </c>
      <c r="J265" s="9" t="s">
        <v>169</v>
      </c>
      <c r="K265" s="9" t="s">
        <v>181</v>
      </c>
      <c r="L265" s="9"/>
      <c r="M265" s="9"/>
      <c r="N265" s="9">
        <v>3</v>
      </c>
      <c r="O265" s="9">
        <v>3</v>
      </c>
    </row>
    <row r="266" spans="1:15" ht="1.5" customHeight="1">
      <c r="A266" s="9">
        <v>3</v>
      </c>
      <c r="B266" s="9" t="s">
        <v>175</v>
      </c>
      <c r="C266" s="9" t="s">
        <v>146</v>
      </c>
      <c r="D266" s="9" t="s">
        <v>179</v>
      </c>
      <c r="E266" s="9" t="s">
        <v>163</v>
      </c>
      <c r="F266" s="9" t="s">
        <v>159</v>
      </c>
      <c r="G266" s="9" t="s">
        <v>125</v>
      </c>
      <c r="H266" s="9" t="s">
        <v>60</v>
      </c>
      <c r="I266" s="9" t="s">
        <v>160</v>
      </c>
      <c r="J266" s="9" t="s">
        <v>169</v>
      </c>
      <c r="K266" s="9" t="s">
        <v>182</v>
      </c>
      <c r="L266" s="9"/>
      <c r="M266" s="9"/>
      <c r="N266" s="9">
        <v>3</v>
      </c>
      <c r="O266" s="9">
        <v>3</v>
      </c>
    </row>
    <row r="267" spans="1:15" ht="1.5" customHeight="1">
      <c r="A267" s="9">
        <v>4</v>
      </c>
      <c r="B267" s="9" t="s">
        <v>175</v>
      </c>
      <c r="C267" s="9" t="s">
        <v>146</v>
      </c>
      <c r="D267" s="9" t="s">
        <v>179</v>
      </c>
      <c r="E267" s="9" t="s">
        <v>163</v>
      </c>
      <c r="F267" s="9" t="s">
        <v>159</v>
      </c>
      <c r="G267" s="9" t="s">
        <v>125</v>
      </c>
      <c r="H267" s="9" t="s">
        <v>183</v>
      </c>
      <c r="I267" s="9" t="s">
        <v>160</v>
      </c>
      <c r="J267" s="9" t="s">
        <v>169</v>
      </c>
      <c r="K267" s="9" t="s">
        <v>184</v>
      </c>
      <c r="L267" s="9"/>
      <c r="M267" s="9"/>
      <c r="N267" s="9">
        <v>3</v>
      </c>
      <c r="O267" s="9">
        <v>3</v>
      </c>
    </row>
    <row r="268" spans="1:15" ht="1.5" customHeight="1">
      <c r="A268" s="9">
        <v>5</v>
      </c>
      <c r="B268" s="9" t="s">
        <v>175</v>
      </c>
      <c r="C268" s="9" t="s">
        <v>146</v>
      </c>
      <c r="D268" s="9" t="s">
        <v>179</v>
      </c>
      <c r="E268" s="9" t="s">
        <v>163</v>
      </c>
      <c r="F268" s="9" t="s">
        <v>159</v>
      </c>
      <c r="G268" s="9" t="s">
        <v>125</v>
      </c>
      <c r="H268" s="9" t="s">
        <v>183</v>
      </c>
      <c r="I268" s="9" t="s">
        <v>160</v>
      </c>
      <c r="J268" s="9" t="s">
        <v>169</v>
      </c>
      <c r="K268" s="9" t="s">
        <v>185</v>
      </c>
      <c r="L268" s="9"/>
      <c r="M268" s="9"/>
      <c r="N268" s="9">
        <v>3</v>
      </c>
      <c r="O268" s="9">
        <v>3</v>
      </c>
    </row>
    <row r="269" spans="1:15" ht="1.5" customHeight="1">
      <c r="A269" s="9">
        <v>6</v>
      </c>
      <c r="B269" s="9" t="s">
        <v>175</v>
      </c>
      <c r="C269" s="9" t="s">
        <v>146</v>
      </c>
      <c r="D269" s="9" t="s">
        <v>179</v>
      </c>
      <c r="E269" s="9" t="s">
        <v>163</v>
      </c>
      <c r="F269" s="9" t="s">
        <v>159</v>
      </c>
      <c r="G269" s="9" t="s">
        <v>163</v>
      </c>
      <c r="H269" s="9" t="s">
        <v>60</v>
      </c>
      <c r="I269" s="9" t="s">
        <v>160</v>
      </c>
      <c r="J269" s="9" t="s">
        <v>169</v>
      </c>
      <c r="K269" s="9" t="s">
        <v>186</v>
      </c>
      <c r="L269" s="9"/>
      <c r="M269" s="9"/>
      <c r="N269" s="9">
        <v>3</v>
      </c>
      <c r="O269" s="9">
        <v>3</v>
      </c>
    </row>
    <row r="270" spans="1:15" ht="1.5" customHeight="1">
      <c r="A270" s="9">
        <v>7</v>
      </c>
      <c r="B270" s="9" t="s">
        <v>175</v>
      </c>
      <c r="C270" s="9" t="s">
        <v>146</v>
      </c>
      <c r="D270" s="9" t="s">
        <v>179</v>
      </c>
      <c r="E270" s="9" t="s">
        <v>163</v>
      </c>
      <c r="F270" s="9" t="s">
        <v>60</v>
      </c>
      <c r="G270" s="9" t="s">
        <v>60</v>
      </c>
      <c r="H270" s="9" t="s">
        <v>60</v>
      </c>
      <c r="I270" s="9" t="s">
        <v>160</v>
      </c>
      <c r="J270" s="9" t="s">
        <v>169</v>
      </c>
      <c r="K270" s="9" t="s">
        <v>187</v>
      </c>
      <c r="L270" s="9"/>
      <c r="M270" s="9"/>
      <c r="N270" s="9">
        <v>3</v>
      </c>
      <c r="O270" s="9">
        <v>3</v>
      </c>
    </row>
    <row r="271" spans="1:15" ht="1.5" customHeight="1">
      <c r="A271" s="9">
        <v>8</v>
      </c>
      <c r="B271" s="9" t="s">
        <v>175</v>
      </c>
      <c r="C271" s="9" t="s">
        <v>146</v>
      </c>
      <c r="D271" s="9" t="s">
        <v>60</v>
      </c>
      <c r="E271" s="9" t="s">
        <v>60</v>
      </c>
      <c r="F271" s="9" t="s">
        <v>60</v>
      </c>
      <c r="G271" s="9" t="s">
        <v>60</v>
      </c>
      <c r="H271" s="9" t="s">
        <v>60</v>
      </c>
      <c r="I271" s="9" t="s">
        <v>160</v>
      </c>
      <c r="J271" s="9" t="s">
        <v>169</v>
      </c>
      <c r="K271" s="9" t="s">
        <v>188</v>
      </c>
      <c r="L271" s="9"/>
      <c r="M271" s="9"/>
      <c r="N271" s="9">
        <v>3</v>
      </c>
      <c r="O271" s="9">
        <v>3</v>
      </c>
    </row>
    <row r="272" spans="1:15" ht="1.5" customHeight="1">
      <c r="A272" s="9">
        <v>9</v>
      </c>
      <c r="B272" s="9" t="s">
        <v>175</v>
      </c>
      <c r="C272" s="9" t="s">
        <v>125</v>
      </c>
      <c r="D272" s="9" t="s">
        <v>60</v>
      </c>
      <c r="E272" s="9" t="s">
        <v>60</v>
      </c>
      <c r="F272" s="9" t="s">
        <v>60</v>
      </c>
      <c r="G272" s="9" t="s">
        <v>60</v>
      </c>
      <c r="H272" s="9" t="s">
        <v>60</v>
      </c>
      <c r="I272" s="9" t="s">
        <v>160</v>
      </c>
      <c r="J272" s="9" t="s">
        <v>169</v>
      </c>
      <c r="K272" s="9" t="s">
        <v>189</v>
      </c>
      <c r="L272" s="9"/>
      <c r="M272" s="9"/>
      <c r="N272" s="9">
        <v>3</v>
      </c>
      <c r="O272" s="9">
        <v>3</v>
      </c>
    </row>
    <row r="273" spans="1:15" ht="1.5" customHeight="1">
      <c r="A273" s="9">
        <v>10</v>
      </c>
      <c r="B273" s="9" t="s">
        <v>175</v>
      </c>
      <c r="C273" s="9" t="s">
        <v>125</v>
      </c>
      <c r="D273" s="9" t="s">
        <v>60</v>
      </c>
      <c r="E273" s="9" t="s">
        <v>60</v>
      </c>
      <c r="F273" s="9" t="s">
        <v>60</v>
      </c>
      <c r="G273" s="9" t="s">
        <v>60</v>
      </c>
      <c r="H273" s="9" t="s">
        <v>60</v>
      </c>
      <c r="I273" s="9" t="s">
        <v>160</v>
      </c>
      <c r="J273" s="9" t="s">
        <v>169</v>
      </c>
      <c r="K273" s="9" t="s">
        <v>190</v>
      </c>
      <c r="L273" s="9"/>
      <c r="M273" s="9"/>
      <c r="N273" s="9">
        <v>3</v>
      </c>
      <c r="O273" s="9">
        <v>3</v>
      </c>
    </row>
    <row r="274" spans="1:15" ht="1.5" customHeight="1">
      <c r="A274" s="9">
        <v>11</v>
      </c>
      <c r="B274" s="9" t="s">
        <v>175</v>
      </c>
      <c r="C274" s="9" t="s">
        <v>125</v>
      </c>
      <c r="D274" s="9" t="s">
        <v>60</v>
      </c>
      <c r="E274" s="9" t="s">
        <v>60</v>
      </c>
      <c r="F274" s="9" t="s">
        <v>60</v>
      </c>
      <c r="G274" s="9" t="s">
        <v>60</v>
      </c>
      <c r="H274" s="9" t="s">
        <v>60</v>
      </c>
      <c r="I274" s="9" t="s">
        <v>160</v>
      </c>
      <c r="J274" s="9" t="s">
        <v>169</v>
      </c>
      <c r="K274" s="9" t="s">
        <v>191</v>
      </c>
      <c r="L274" s="9"/>
      <c r="M274" s="9"/>
      <c r="N274" s="9">
        <v>3</v>
      </c>
      <c r="O274" s="9">
        <v>3</v>
      </c>
    </row>
    <row r="275" spans="1:15" ht="1.5" customHeight="1">
      <c r="A275" s="9">
        <v>12</v>
      </c>
      <c r="B275" s="9" t="s">
        <v>175</v>
      </c>
      <c r="C275" s="9" t="s">
        <v>125</v>
      </c>
      <c r="D275" s="9" t="s">
        <v>60</v>
      </c>
      <c r="E275" s="9" t="s">
        <v>60</v>
      </c>
      <c r="F275" s="9" t="s">
        <v>60</v>
      </c>
      <c r="G275" s="9" t="s">
        <v>60</v>
      </c>
      <c r="H275" s="9" t="s">
        <v>60</v>
      </c>
      <c r="I275" s="9" t="s">
        <v>160</v>
      </c>
      <c r="J275" s="9" t="s">
        <v>169</v>
      </c>
      <c r="K275" s="9" t="s">
        <v>192</v>
      </c>
      <c r="L275" s="9"/>
      <c r="M275" s="9"/>
      <c r="N275" s="9">
        <v>3</v>
      </c>
      <c r="O275" s="9">
        <v>3</v>
      </c>
    </row>
    <row r="276" spans="1:15" ht="1.5" customHeight="1">
      <c r="A276" s="9">
        <v>1</v>
      </c>
      <c r="B276" s="9" t="s">
        <v>106</v>
      </c>
      <c r="C276" s="9" t="s">
        <v>60</v>
      </c>
      <c r="D276" s="9" t="s">
        <v>60</v>
      </c>
      <c r="E276" s="9" t="s">
        <v>60</v>
      </c>
      <c r="F276" s="9" t="s">
        <v>60</v>
      </c>
      <c r="G276" s="9" t="s">
        <v>60</v>
      </c>
      <c r="H276" s="9" t="s">
        <v>60</v>
      </c>
      <c r="I276" s="9" t="s">
        <v>160</v>
      </c>
      <c r="J276" s="9" t="s">
        <v>169</v>
      </c>
      <c r="K276" s="9" t="s">
        <v>193</v>
      </c>
      <c r="L276" s="9"/>
      <c r="M276" s="9"/>
      <c r="N276" s="9">
        <v>3</v>
      </c>
      <c r="O276" s="9">
        <v>4</v>
      </c>
    </row>
    <row r="277" spans="1:15" ht="1.5" customHeight="1">
      <c r="A277" s="9">
        <v>2</v>
      </c>
      <c r="B277" s="9" t="s">
        <v>106</v>
      </c>
      <c r="C277" s="9" t="s">
        <v>60</v>
      </c>
      <c r="D277" s="9" t="s">
        <v>60</v>
      </c>
      <c r="E277" s="9" t="s">
        <v>60</v>
      </c>
      <c r="F277" s="9" t="s">
        <v>60</v>
      </c>
      <c r="G277" s="9" t="s">
        <v>60</v>
      </c>
      <c r="H277" s="9" t="s">
        <v>60</v>
      </c>
      <c r="I277" s="9" t="s">
        <v>160</v>
      </c>
      <c r="J277" s="9" t="s">
        <v>169</v>
      </c>
      <c r="K277" s="9" t="s">
        <v>194</v>
      </c>
      <c r="L277" s="9"/>
      <c r="M277" s="9"/>
      <c r="N277" s="9">
        <v>3</v>
      </c>
      <c r="O277" s="9">
        <v>4</v>
      </c>
    </row>
    <row r="278" spans="1:15" ht="1.5" customHeight="1">
      <c r="A278" s="9">
        <v>1</v>
      </c>
      <c r="B278" s="9" t="s">
        <v>195</v>
      </c>
      <c r="C278" s="9" t="s">
        <v>196</v>
      </c>
      <c r="D278" s="9" t="s">
        <v>60</v>
      </c>
      <c r="E278" s="9" t="s">
        <v>60</v>
      </c>
      <c r="F278" s="9" t="s">
        <v>60</v>
      </c>
      <c r="G278" s="9" t="s">
        <v>60</v>
      </c>
      <c r="H278" s="9" t="s">
        <v>197</v>
      </c>
      <c r="I278" s="9" t="s">
        <v>198</v>
      </c>
      <c r="J278" s="9" t="s">
        <v>198</v>
      </c>
      <c r="K278" s="9" t="s">
        <v>199</v>
      </c>
      <c r="L278" s="9"/>
      <c r="M278" s="9"/>
      <c r="N278" s="9">
        <v>4</v>
      </c>
      <c r="O278" s="9">
        <v>1</v>
      </c>
    </row>
    <row r="279" spans="1:15" ht="1.5" customHeight="1">
      <c r="A279" s="9">
        <v>2</v>
      </c>
      <c r="B279" s="9" t="s">
        <v>195</v>
      </c>
      <c r="C279" s="9" t="s">
        <v>196</v>
      </c>
      <c r="D279" s="9" t="s">
        <v>60</v>
      </c>
      <c r="E279" s="9" t="s">
        <v>60</v>
      </c>
      <c r="F279" s="9" t="s">
        <v>60</v>
      </c>
      <c r="G279" s="9" t="s">
        <v>60</v>
      </c>
      <c r="H279" s="9" t="s">
        <v>60</v>
      </c>
      <c r="I279" s="9" t="s">
        <v>198</v>
      </c>
      <c r="J279" s="9" t="s">
        <v>198</v>
      </c>
      <c r="K279" s="9" t="s">
        <v>200</v>
      </c>
      <c r="L279" s="9"/>
      <c r="M279" s="9"/>
      <c r="N279" s="9">
        <v>4</v>
      </c>
      <c r="O279" s="9">
        <v>1</v>
      </c>
    </row>
    <row r="280" spans="1:15" ht="1.5" customHeight="1">
      <c r="A280" s="9">
        <v>3</v>
      </c>
      <c r="B280" s="9" t="s">
        <v>201</v>
      </c>
      <c r="C280" s="9" t="s">
        <v>202</v>
      </c>
      <c r="D280" s="9" t="s">
        <v>60</v>
      </c>
      <c r="E280" s="9" t="s">
        <v>60</v>
      </c>
      <c r="F280" s="9" t="s">
        <v>60</v>
      </c>
      <c r="G280" s="9" t="s">
        <v>60</v>
      </c>
      <c r="H280" s="9" t="s">
        <v>60</v>
      </c>
      <c r="I280" s="9" t="s">
        <v>198</v>
      </c>
      <c r="J280" s="9" t="s">
        <v>198</v>
      </c>
      <c r="K280" s="9" t="s">
        <v>203</v>
      </c>
      <c r="L280" s="9"/>
      <c r="M280" s="9"/>
      <c r="N280" s="9">
        <v>4</v>
      </c>
      <c r="O280" s="9">
        <v>1</v>
      </c>
    </row>
    <row r="281" spans="1:15" ht="1.5" customHeight="1">
      <c r="A281" s="9">
        <v>4</v>
      </c>
      <c r="B281" s="9" t="s">
        <v>204</v>
      </c>
      <c r="C281" s="9" t="s">
        <v>60</v>
      </c>
      <c r="D281" s="9" t="s">
        <v>60</v>
      </c>
      <c r="E281" s="9" t="s">
        <v>60</v>
      </c>
      <c r="F281" s="9" t="s">
        <v>60</v>
      </c>
      <c r="G281" s="9" t="s">
        <v>60</v>
      </c>
      <c r="H281" s="9" t="s">
        <v>197</v>
      </c>
      <c r="I281" s="9" t="s">
        <v>198</v>
      </c>
      <c r="J281" s="9" t="s">
        <v>198</v>
      </c>
      <c r="K281" s="9" t="s">
        <v>205</v>
      </c>
      <c r="L281" s="9"/>
      <c r="M281" s="9"/>
      <c r="N281" s="9">
        <v>4</v>
      </c>
      <c r="O281" s="9">
        <v>1</v>
      </c>
    </row>
    <row r="282" spans="1:15" ht="1.5" customHeight="1">
      <c r="A282" s="9">
        <v>1</v>
      </c>
      <c r="B282" s="9" t="s">
        <v>195</v>
      </c>
      <c r="C282" s="9" t="s">
        <v>206</v>
      </c>
      <c r="D282" s="9" t="s">
        <v>60</v>
      </c>
      <c r="E282" s="9" t="s">
        <v>60</v>
      </c>
      <c r="F282" s="9" t="s">
        <v>60</v>
      </c>
      <c r="G282" s="9" t="s">
        <v>60</v>
      </c>
      <c r="H282" s="9" t="s">
        <v>207</v>
      </c>
      <c r="I282" s="9" t="s">
        <v>198</v>
      </c>
      <c r="J282" s="9" t="s">
        <v>198</v>
      </c>
      <c r="K282" s="9" t="s">
        <v>208</v>
      </c>
      <c r="L282" s="9"/>
      <c r="M282" s="9"/>
      <c r="N282" s="9">
        <v>4</v>
      </c>
      <c r="O282" s="9">
        <v>2</v>
      </c>
    </row>
    <row r="283" spans="1:15" ht="1.5" customHeight="1">
      <c r="A283" s="9">
        <v>2</v>
      </c>
      <c r="B283" s="9" t="s">
        <v>209</v>
      </c>
      <c r="C283" s="9" t="s">
        <v>210</v>
      </c>
      <c r="D283" s="9" t="s">
        <v>211</v>
      </c>
      <c r="E283" s="9" t="s">
        <v>210</v>
      </c>
      <c r="F283" s="9" t="s">
        <v>60</v>
      </c>
      <c r="G283" s="9" t="s">
        <v>60</v>
      </c>
      <c r="H283" s="9" t="s">
        <v>60</v>
      </c>
      <c r="I283" s="9" t="s">
        <v>198</v>
      </c>
      <c r="J283" s="9" t="s">
        <v>198</v>
      </c>
      <c r="K283" s="9" t="s">
        <v>212</v>
      </c>
      <c r="L283" s="9"/>
      <c r="M283" s="9"/>
      <c r="N283" s="9">
        <v>4</v>
      </c>
      <c r="O283" s="9">
        <v>2</v>
      </c>
    </row>
    <row r="284" spans="1:15" ht="1.5" customHeight="1">
      <c r="A284" s="9">
        <v>3</v>
      </c>
      <c r="B284" s="9" t="s">
        <v>204</v>
      </c>
      <c r="C284" s="9" t="s">
        <v>60</v>
      </c>
      <c r="D284" s="9" t="s">
        <v>60</v>
      </c>
      <c r="E284" s="9" t="s">
        <v>60</v>
      </c>
      <c r="F284" s="9" t="s">
        <v>60</v>
      </c>
      <c r="G284" s="9" t="s">
        <v>60</v>
      </c>
      <c r="H284" s="9" t="s">
        <v>60</v>
      </c>
      <c r="I284" s="9" t="s">
        <v>198</v>
      </c>
      <c r="J284" s="9" t="s">
        <v>198</v>
      </c>
      <c r="K284" s="9" t="s">
        <v>213</v>
      </c>
      <c r="L284" s="9"/>
      <c r="M284" s="9"/>
      <c r="N284" s="9">
        <v>4</v>
      </c>
      <c r="O284" s="9">
        <v>2</v>
      </c>
    </row>
    <row r="285" spans="1:15" ht="1.5" customHeight="1">
      <c r="A285" s="9">
        <v>4</v>
      </c>
      <c r="B285" s="9" t="s">
        <v>195</v>
      </c>
      <c r="C285" s="9" t="s">
        <v>206</v>
      </c>
      <c r="D285" s="9" t="s">
        <v>60</v>
      </c>
      <c r="E285" s="9" t="s">
        <v>60</v>
      </c>
      <c r="F285" s="9" t="s">
        <v>60</v>
      </c>
      <c r="G285" s="9" t="s">
        <v>60</v>
      </c>
      <c r="H285" s="9" t="s">
        <v>60</v>
      </c>
      <c r="I285" s="9" t="s">
        <v>198</v>
      </c>
      <c r="J285" s="9" t="s">
        <v>198</v>
      </c>
      <c r="K285" s="9" t="s">
        <v>214</v>
      </c>
      <c r="L285" s="9"/>
      <c r="M285" s="9"/>
      <c r="N285" s="9">
        <v>4</v>
      </c>
      <c r="O285" s="9">
        <v>2</v>
      </c>
    </row>
    <row r="286" spans="1:15" ht="1.5" customHeight="1">
      <c r="A286" s="9">
        <v>5</v>
      </c>
      <c r="B286" s="9" t="s">
        <v>201</v>
      </c>
      <c r="C286" s="9" t="s">
        <v>202</v>
      </c>
      <c r="D286" s="9" t="s">
        <v>215</v>
      </c>
      <c r="E286" s="9" t="s">
        <v>216</v>
      </c>
      <c r="F286" s="9" t="s">
        <v>60</v>
      </c>
      <c r="G286" s="9" t="s">
        <v>60</v>
      </c>
      <c r="H286" s="9" t="s">
        <v>60</v>
      </c>
      <c r="I286" s="9" t="s">
        <v>198</v>
      </c>
      <c r="J286" s="9" t="s">
        <v>198</v>
      </c>
      <c r="K286" s="9" t="s">
        <v>217</v>
      </c>
      <c r="L286" s="9"/>
      <c r="M286" s="9"/>
      <c r="N286" s="9">
        <v>4</v>
      </c>
      <c r="O286" s="9">
        <v>2</v>
      </c>
    </row>
    <row r="287" spans="1:15" ht="1.5" customHeight="1">
      <c r="A287" s="9">
        <v>6</v>
      </c>
      <c r="B287" s="9" t="s">
        <v>204</v>
      </c>
      <c r="C287" s="9" t="s">
        <v>60</v>
      </c>
      <c r="D287" s="9" t="s">
        <v>60</v>
      </c>
      <c r="E287" s="9" t="s">
        <v>60</v>
      </c>
      <c r="F287" s="9" t="s">
        <v>60</v>
      </c>
      <c r="G287" s="9" t="s">
        <v>60</v>
      </c>
      <c r="H287" s="9" t="s">
        <v>218</v>
      </c>
      <c r="I287" s="9" t="s">
        <v>198</v>
      </c>
      <c r="J287" s="9" t="s">
        <v>198</v>
      </c>
      <c r="K287" s="9" t="s">
        <v>219</v>
      </c>
      <c r="L287" s="9"/>
      <c r="M287" s="9"/>
      <c r="N287" s="9">
        <v>4</v>
      </c>
      <c r="O287" s="9">
        <v>2</v>
      </c>
    </row>
    <row r="288" spans="1:15" ht="1.5" customHeight="1">
      <c r="A288" s="9">
        <v>7</v>
      </c>
      <c r="B288" s="9" t="s">
        <v>211</v>
      </c>
      <c r="C288" s="9" t="s">
        <v>210</v>
      </c>
      <c r="D288" s="9" t="s">
        <v>220</v>
      </c>
      <c r="E288" s="9" t="s">
        <v>221</v>
      </c>
      <c r="F288" s="9" t="s">
        <v>60</v>
      </c>
      <c r="G288" s="9" t="s">
        <v>60</v>
      </c>
      <c r="H288" s="9" t="s">
        <v>60</v>
      </c>
      <c r="I288" s="9" t="s">
        <v>198</v>
      </c>
      <c r="J288" s="9" t="s">
        <v>198</v>
      </c>
      <c r="K288" s="9" t="s">
        <v>222</v>
      </c>
      <c r="L288" s="9"/>
      <c r="M288" s="9"/>
      <c r="N288" s="9">
        <v>4</v>
      </c>
      <c r="O288" s="9">
        <v>2</v>
      </c>
    </row>
    <row r="289" spans="1:15" ht="1.5" customHeight="1">
      <c r="A289" s="9">
        <v>8</v>
      </c>
      <c r="B289" s="9" t="s">
        <v>195</v>
      </c>
      <c r="C289" s="9" t="s">
        <v>206</v>
      </c>
      <c r="D289" s="9" t="s">
        <v>60</v>
      </c>
      <c r="E289" s="9" t="s">
        <v>60</v>
      </c>
      <c r="F289" s="9" t="s">
        <v>60</v>
      </c>
      <c r="G289" s="9" t="s">
        <v>60</v>
      </c>
      <c r="H289" s="9" t="s">
        <v>60</v>
      </c>
      <c r="I289" s="9" t="s">
        <v>198</v>
      </c>
      <c r="J289" s="9" t="s">
        <v>198</v>
      </c>
      <c r="K289" s="9" t="s">
        <v>223</v>
      </c>
      <c r="L289" s="9"/>
      <c r="M289" s="9"/>
      <c r="N289" s="9">
        <v>4</v>
      </c>
      <c r="O289" s="9">
        <v>2</v>
      </c>
    </row>
    <row r="290" spans="1:15" ht="1.5" customHeight="1">
      <c r="A290" s="9">
        <v>1</v>
      </c>
      <c r="B290" s="9" t="s">
        <v>220</v>
      </c>
      <c r="C290" s="9" t="s">
        <v>202</v>
      </c>
      <c r="D290" s="9" t="s">
        <v>204</v>
      </c>
      <c r="E290" s="9" t="s">
        <v>60</v>
      </c>
      <c r="F290" s="9" t="s">
        <v>60</v>
      </c>
      <c r="G290" s="9" t="s">
        <v>60</v>
      </c>
      <c r="H290" s="9" t="s">
        <v>224</v>
      </c>
      <c r="I290" s="9" t="s">
        <v>198</v>
      </c>
      <c r="J290" s="9" t="s">
        <v>198</v>
      </c>
      <c r="K290" s="9" t="s">
        <v>225</v>
      </c>
      <c r="L290" s="9"/>
      <c r="M290" s="9"/>
      <c r="N290" s="9">
        <v>4</v>
      </c>
      <c r="O290" s="9">
        <v>3</v>
      </c>
    </row>
    <row r="291" spans="1:15" ht="1.5" customHeight="1">
      <c r="A291" s="9">
        <v>2</v>
      </c>
      <c r="B291" s="9" t="s">
        <v>195</v>
      </c>
      <c r="C291" s="9" t="s">
        <v>206</v>
      </c>
      <c r="D291" s="9" t="s">
        <v>60</v>
      </c>
      <c r="E291" s="9" t="s">
        <v>60</v>
      </c>
      <c r="F291" s="9" t="s">
        <v>60</v>
      </c>
      <c r="G291" s="9" t="s">
        <v>60</v>
      </c>
      <c r="H291" s="9" t="s">
        <v>60</v>
      </c>
      <c r="I291" s="9" t="s">
        <v>198</v>
      </c>
      <c r="J291" s="9" t="s">
        <v>198</v>
      </c>
      <c r="K291" s="9" t="s">
        <v>226</v>
      </c>
      <c r="L291" s="9"/>
      <c r="M291" s="9"/>
      <c r="N291" s="9">
        <v>4</v>
      </c>
      <c r="O291" s="9">
        <v>3</v>
      </c>
    </row>
    <row r="292" spans="1:15" ht="1.5" customHeight="1">
      <c r="A292" s="9">
        <v>3</v>
      </c>
      <c r="B292" s="9" t="s">
        <v>201</v>
      </c>
      <c r="C292" s="9" t="s">
        <v>202</v>
      </c>
      <c r="D292" s="9" t="s">
        <v>60</v>
      </c>
      <c r="E292" s="9" t="s">
        <v>60</v>
      </c>
      <c r="F292" s="9" t="s">
        <v>60</v>
      </c>
      <c r="G292" s="9" t="s">
        <v>60</v>
      </c>
      <c r="H292" s="9" t="s">
        <v>227</v>
      </c>
      <c r="I292" s="9" t="s">
        <v>198</v>
      </c>
      <c r="J292" s="9" t="s">
        <v>198</v>
      </c>
      <c r="K292" s="9" t="s">
        <v>228</v>
      </c>
      <c r="L292" s="9"/>
      <c r="M292" s="9"/>
      <c r="N292" s="9">
        <v>4</v>
      </c>
      <c r="O292" s="9">
        <v>3</v>
      </c>
    </row>
    <row r="293" spans="1:15" ht="1.5" customHeight="1">
      <c r="A293" s="9">
        <v>4</v>
      </c>
      <c r="B293" s="9" t="s">
        <v>220</v>
      </c>
      <c r="C293" s="9" t="s">
        <v>202</v>
      </c>
      <c r="D293" s="9" t="s">
        <v>229</v>
      </c>
      <c r="E293" s="9" t="s">
        <v>221</v>
      </c>
      <c r="F293" s="9" t="s">
        <v>60</v>
      </c>
      <c r="G293" s="9" t="s">
        <v>60</v>
      </c>
      <c r="H293" s="9" t="s">
        <v>60</v>
      </c>
      <c r="I293" s="9" t="s">
        <v>198</v>
      </c>
      <c r="J293" s="9" t="s">
        <v>198</v>
      </c>
      <c r="K293" s="9" t="s">
        <v>230</v>
      </c>
      <c r="L293" s="9"/>
      <c r="M293" s="9"/>
      <c r="N293" s="9">
        <v>4</v>
      </c>
      <c r="O293" s="9">
        <v>3</v>
      </c>
    </row>
    <row r="294" spans="1:15" ht="1.5" customHeight="1">
      <c r="A294" s="9">
        <v>5</v>
      </c>
      <c r="B294" s="9" t="s">
        <v>204</v>
      </c>
      <c r="C294" s="9" t="s">
        <v>60</v>
      </c>
      <c r="D294" s="9" t="s">
        <v>60</v>
      </c>
      <c r="E294" s="9" t="s">
        <v>60</v>
      </c>
      <c r="F294" s="9" t="s">
        <v>60</v>
      </c>
      <c r="G294" s="9" t="s">
        <v>60</v>
      </c>
      <c r="H294" s="9" t="s">
        <v>224</v>
      </c>
      <c r="I294" s="9" t="s">
        <v>198</v>
      </c>
      <c r="J294" s="9" t="s">
        <v>198</v>
      </c>
      <c r="K294" s="9" t="s">
        <v>231</v>
      </c>
      <c r="L294" s="9"/>
      <c r="M294" s="9"/>
      <c r="N294" s="9">
        <v>4</v>
      </c>
      <c r="O294" s="9">
        <v>3</v>
      </c>
    </row>
    <row r="295" spans="1:15" ht="1.5" customHeight="1">
      <c r="A295" s="9">
        <v>6</v>
      </c>
      <c r="B295" s="9" t="s">
        <v>201</v>
      </c>
      <c r="C295" s="9" t="s">
        <v>202</v>
      </c>
      <c r="D295" s="9" t="s">
        <v>204</v>
      </c>
      <c r="E295" s="9" t="s">
        <v>60</v>
      </c>
      <c r="F295" s="9" t="s">
        <v>60</v>
      </c>
      <c r="G295" s="9" t="s">
        <v>60</v>
      </c>
      <c r="H295" s="9" t="s">
        <v>60</v>
      </c>
      <c r="I295" s="9" t="s">
        <v>198</v>
      </c>
      <c r="J295" s="9" t="s">
        <v>198</v>
      </c>
      <c r="K295" s="9" t="s">
        <v>232</v>
      </c>
      <c r="L295" s="9"/>
      <c r="M295" s="9"/>
      <c r="N295" s="9">
        <v>4</v>
      </c>
      <c r="O295" s="9">
        <v>3</v>
      </c>
    </row>
    <row r="296" spans="1:15" ht="1.5" customHeight="1">
      <c r="A296" s="9">
        <v>7</v>
      </c>
      <c r="B296" s="9" t="s">
        <v>195</v>
      </c>
      <c r="C296" s="9" t="s">
        <v>206</v>
      </c>
      <c r="D296" s="9" t="s">
        <v>60</v>
      </c>
      <c r="E296" s="9" t="s">
        <v>60</v>
      </c>
      <c r="F296" s="9" t="s">
        <v>60</v>
      </c>
      <c r="G296" s="9" t="s">
        <v>60</v>
      </c>
      <c r="H296" s="9" t="s">
        <v>60</v>
      </c>
      <c r="I296" s="9" t="s">
        <v>198</v>
      </c>
      <c r="J296" s="9" t="s">
        <v>198</v>
      </c>
      <c r="K296" s="9" t="s">
        <v>233</v>
      </c>
      <c r="L296" s="9"/>
      <c r="M296" s="9"/>
      <c r="N296" s="9">
        <v>4</v>
      </c>
      <c r="O296" s="9">
        <v>3</v>
      </c>
    </row>
    <row r="297" spans="1:15" ht="1.5" customHeight="1">
      <c r="A297" s="9">
        <v>8</v>
      </c>
      <c r="B297" s="9" t="s">
        <v>204</v>
      </c>
      <c r="C297" s="9" t="s">
        <v>60</v>
      </c>
      <c r="D297" s="9" t="s">
        <v>60</v>
      </c>
      <c r="E297" s="9" t="s">
        <v>60</v>
      </c>
      <c r="F297" s="9" t="s">
        <v>60</v>
      </c>
      <c r="G297" s="9" t="s">
        <v>60</v>
      </c>
      <c r="H297" s="9" t="s">
        <v>60</v>
      </c>
      <c r="I297" s="9" t="s">
        <v>198</v>
      </c>
      <c r="J297" s="9" t="s">
        <v>198</v>
      </c>
      <c r="K297" s="9" t="s">
        <v>234</v>
      </c>
      <c r="L297" s="9"/>
      <c r="M297" s="9"/>
      <c r="N297" s="9">
        <v>4</v>
      </c>
      <c r="O297" s="9">
        <v>3</v>
      </c>
    </row>
    <row r="298" spans="1:15" ht="1.5" customHeight="1">
      <c r="A298" s="9">
        <v>9</v>
      </c>
      <c r="B298" s="9" t="s">
        <v>106</v>
      </c>
      <c r="C298" s="9" t="s">
        <v>60</v>
      </c>
      <c r="D298" s="9" t="s">
        <v>60</v>
      </c>
      <c r="E298" s="9" t="s">
        <v>60</v>
      </c>
      <c r="F298" s="9" t="s">
        <v>60</v>
      </c>
      <c r="G298" s="9" t="s">
        <v>60</v>
      </c>
      <c r="H298" s="9" t="s">
        <v>60</v>
      </c>
      <c r="I298" s="9" t="s">
        <v>198</v>
      </c>
      <c r="J298" s="9" t="s">
        <v>198</v>
      </c>
      <c r="K298" s="9" t="s">
        <v>235</v>
      </c>
      <c r="L298" s="9"/>
      <c r="M298" s="9"/>
      <c r="N298" s="9">
        <v>4</v>
      </c>
      <c r="O298" s="9">
        <v>3</v>
      </c>
    </row>
    <row r="299" spans="1:15" ht="1.5" customHeight="1">
      <c r="A299" s="9">
        <v>10</v>
      </c>
      <c r="B299" s="9" t="s">
        <v>106</v>
      </c>
      <c r="C299" s="9" t="s">
        <v>60</v>
      </c>
      <c r="D299" s="9" t="s">
        <v>60</v>
      </c>
      <c r="E299" s="9" t="s">
        <v>60</v>
      </c>
      <c r="F299" s="9" t="s">
        <v>60</v>
      </c>
      <c r="G299" s="9" t="s">
        <v>60</v>
      </c>
      <c r="H299" s="9" t="s">
        <v>60</v>
      </c>
      <c r="I299" s="9" t="s">
        <v>198</v>
      </c>
      <c r="J299" s="9" t="s">
        <v>198</v>
      </c>
      <c r="K299" s="9" t="s">
        <v>103</v>
      </c>
      <c r="L299" s="9"/>
      <c r="M299" s="9"/>
      <c r="N299" s="9">
        <v>4</v>
      </c>
      <c r="O299" s="9">
        <v>3</v>
      </c>
    </row>
    <row r="300" spans="1:15" ht="1.5" customHeight="1">
      <c r="A300" s="9">
        <v>11</v>
      </c>
      <c r="B300" s="9" t="s">
        <v>106</v>
      </c>
      <c r="C300" s="9" t="s">
        <v>60</v>
      </c>
      <c r="D300" s="9" t="s">
        <v>60</v>
      </c>
      <c r="E300" s="9" t="s">
        <v>60</v>
      </c>
      <c r="F300" s="9" t="s">
        <v>60</v>
      </c>
      <c r="G300" s="9" t="s">
        <v>60</v>
      </c>
      <c r="H300" s="9" t="s">
        <v>60</v>
      </c>
      <c r="I300" s="9" t="s">
        <v>198</v>
      </c>
      <c r="J300" s="9" t="s">
        <v>198</v>
      </c>
      <c r="K300" s="9" t="s">
        <v>153</v>
      </c>
      <c r="L300" s="9"/>
      <c r="M300" s="9"/>
      <c r="N300" s="9">
        <v>4</v>
      </c>
      <c r="O300" s="9">
        <v>3</v>
      </c>
    </row>
    <row r="301" spans="1:15" ht="1.5" customHeight="1">
      <c r="A301" s="9">
        <v>12</v>
      </c>
      <c r="B301" s="9" t="s">
        <v>106</v>
      </c>
      <c r="C301" s="9" t="s">
        <v>60</v>
      </c>
      <c r="D301" s="9" t="s">
        <v>60</v>
      </c>
      <c r="E301" s="9" t="s">
        <v>60</v>
      </c>
      <c r="F301" s="9" t="s">
        <v>60</v>
      </c>
      <c r="G301" s="9" t="s">
        <v>60</v>
      </c>
      <c r="H301" s="9" t="s">
        <v>60</v>
      </c>
      <c r="I301" s="9" t="s">
        <v>198</v>
      </c>
      <c r="J301" s="9" t="s">
        <v>198</v>
      </c>
      <c r="K301" s="9" t="s">
        <v>236</v>
      </c>
      <c r="L301" s="9"/>
      <c r="M301" s="9"/>
      <c r="N301" s="9">
        <v>4</v>
      </c>
      <c r="O301" s="9">
        <v>3</v>
      </c>
    </row>
    <row r="302" spans="1:15" ht="1.5" customHeight="1">
      <c r="A302" s="9">
        <v>1</v>
      </c>
      <c r="B302" s="9" t="s">
        <v>106</v>
      </c>
      <c r="C302" s="9" t="s">
        <v>60</v>
      </c>
      <c r="D302" s="9" t="s">
        <v>60</v>
      </c>
      <c r="E302" s="9" t="s">
        <v>60</v>
      </c>
      <c r="F302" s="9" t="s">
        <v>60</v>
      </c>
      <c r="G302" s="9" t="s">
        <v>60</v>
      </c>
      <c r="H302" s="9" t="s">
        <v>107</v>
      </c>
      <c r="I302" s="9" t="s">
        <v>198</v>
      </c>
      <c r="J302" s="9" t="s">
        <v>198</v>
      </c>
      <c r="K302" s="9" t="s">
        <v>237</v>
      </c>
      <c r="L302" s="9"/>
      <c r="M302" s="9"/>
      <c r="N302" s="9">
        <v>4</v>
      </c>
      <c r="O302" s="9">
        <v>4</v>
      </c>
    </row>
    <row r="303" spans="1:15" ht="1.5" customHeight="1">
      <c r="A303" s="9">
        <v>2</v>
      </c>
      <c r="B303" s="9" t="s">
        <v>106</v>
      </c>
      <c r="C303" s="9" t="s">
        <v>60</v>
      </c>
      <c r="D303" s="9" t="s">
        <v>60</v>
      </c>
      <c r="E303" s="9" t="s">
        <v>60</v>
      </c>
      <c r="F303" s="9" t="s">
        <v>60</v>
      </c>
      <c r="G303" s="9" t="s">
        <v>60</v>
      </c>
      <c r="H303" s="9" t="s">
        <v>60</v>
      </c>
      <c r="I303" s="9" t="s">
        <v>198</v>
      </c>
      <c r="J303" s="9" t="s">
        <v>198</v>
      </c>
      <c r="K303" s="9" t="s">
        <v>238</v>
      </c>
      <c r="L303" s="9"/>
      <c r="M303" s="9"/>
      <c r="N303" s="9">
        <v>4</v>
      </c>
      <c r="O303" s="9">
        <v>4</v>
      </c>
    </row>
    <row r="304" spans="1:15" ht="1.5" customHeight="1">
      <c r="A304" s="9">
        <v>1</v>
      </c>
      <c r="B304" s="9" t="s">
        <v>239</v>
      </c>
      <c r="C304" s="9" t="s">
        <v>60</v>
      </c>
      <c r="D304" s="9" t="s">
        <v>60</v>
      </c>
      <c r="E304" s="9" t="s">
        <v>60</v>
      </c>
      <c r="F304" s="9" t="s">
        <v>60</v>
      </c>
      <c r="G304" s="9" t="s">
        <v>60</v>
      </c>
      <c r="H304" s="9" t="s">
        <v>60</v>
      </c>
      <c r="I304" s="9" t="s">
        <v>60</v>
      </c>
      <c r="J304" s="9" t="s">
        <v>60</v>
      </c>
      <c r="K304" s="9" t="s">
        <v>240</v>
      </c>
      <c r="L304" s="9"/>
      <c r="M304" s="9"/>
      <c r="N304" s="9">
        <v>5</v>
      </c>
      <c r="O304" s="9">
        <v>1</v>
      </c>
    </row>
    <row r="305" spans="1:15" ht="1.5" customHeight="1">
      <c r="A305" s="9">
        <v>2</v>
      </c>
      <c r="B305" s="9" t="s">
        <v>239</v>
      </c>
      <c r="C305" s="9" t="s">
        <v>60</v>
      </c>
      <c r="D305" s="9" t="s">
        <v>60</v>
      </c>
      <c r="E305" s="9" t="s">
        <v>60</v>
      </c>
      <c r="F305" s="9" t="s">
        <v>60</v>
      </c>
      <c r="G305" s="9" t="s">
        <v>60</v>
      </c>
      <c r="H305" s="9" t="s">
        <v>60</v>
      </c>
      <c r="I305" s="9" t="s">
        <v>60</v>
      </c>
      <c r="J305" s="9" t="s">
        <v>60</v>
      </c>
      <c r="K305" s="9" t="s">
        <v>240</v>
      </c>
      <c r="L305" s="9"/>
      <c r="M305" s="9"/>
      <c r="N305" s="9">
        <v>5</v>
      </c>
      <c r="O305" s="9">
        <v>1</v>
      </c>
    </row>
    <row r="306" spans="1:15" ht="1.5" customHeight="1">
      <c r="A306" s="9">
        <v>3</v>
      </c>
      <c r="B306" s="9" t="s">
        <v>239</v>
      </c>
      <c r="C306" s="9" t="s">
        <v>60</v>
      </c>
      <c r="D306" s="9" t="s">
        <v>60</v>
      </c>
      <c r="E306" s="9" t="s">
        <v>60</v>
      </c>
      <c r="F306" s="9" t="s">
        <v>60</v>
      </c>
      <c r="G306" s="9" t="s">
        <v>60</v>
      </c>
      <c r="H306" s="9" t="s">
        <v>60</v>
      </c>
      <c r="I306" s="9" t="s">
        <v>60</v>
      </c>
      <c r="J306" s="9" t="s">
        <v>60</v>
      </c>
      <c r="K306" s="9" t="s">
        <v>240</v>
      </c>
      <c r="L306" s="9"/>
      <c r="M306" s="9"/>
      <c r="N306" s="9">
        <v>5</v>
      </c>
      <c r="O306" s="9">
        <v>1</v>
      </c>
    </row>
    <row r="307" spans="1:15" ht="1.5" customHeight="1">
      <c r="A307" s="9">
        <v>4</v>
      </c>
      <c r="B307" s="9" t="s">
        <v>239</v>
      </c>
      <c r="C307" s="9" t="s">
        <v>60</v>
      </c>
      <c r="D307" s="9" t="s">
        <v>60</v>
      </c>
      <c r="E307" s="9" t="s">
        <v>60</v>
      </c>
      <c r="F307" s="9" t="s">
        <v>60</v>
      </c>
      <c r="G307" s="9" t="s">
        <v>60</v>
      </c>
      <c r="H307" s="9" t="s">
        <v>60</v>
      </c>
      <c r="I307" s="9" t="s">
        <v>60</v>
      </c>
      <c r="J307" s="9" t="s">
        <v>60</v>
      </c>
      <c r="K307" s="9" t="s">
        <v>240</v>
      </c>
      <c r="L307" s="9"/>
      <c r="M307" s="9"/>
      <c r="N307" s="9">
        <v>5</v>
      </c>
      <c r="O307" s="9">
        <v>1</v>
      </c>
    </row>
    <row r="308" spans="1:15" ht="1.5" customHeight="1">
      <c r="A308" s="9">
        <v>1</v>
      </c>
      <c r="B308" s="9" t="s">
        <v>239</v>
      </c>
      <c r="C308" s="9" t="s">
        <v>60</v>
      </c>
      <c r="D308" s="9" t="s">
        <v>60</v>
      </c>
      <c r="E308" s="9" t="s">
        <v>60</v>
      </c>
      <c r="F308" s="9" t="s">
        <v>60</v>
      </c>
      <c r="G308" s="9" t="s">
        <v>60</v>
      </c>
      <c r="H308" s="9" t="s">
        <v>60</v>
      </c>
      <c r="I308" s="9" t="s">
        <v>60</v>
      </c>
      <c r="J308" s="9" t="s">
        <v>60</v>
      </c>
      <c r="K308" s="9" t="s">
        <v>240</v>
      </c>
      <c r="L308" s="9"/>
      <c r="M308" s="9"/>
      <c r="N308" s="9">
        <v>5</v>
      </c>
      <c r="O308" s="9">
        <v>2</v>
      </c>
    </row>
    <row r="309" spans="1:15" ht="1.5" customHeight="1">
      <c r="A309" s="9">
        <v>2</v>
      </c>
      <c r="B309" s="9" t="s">
        <v>239</v>
      </c>
      <c r="C309" s="9" t="s">
        <v>60</v>
      </c>
      <c r="D309" s="9" t="s">
        <v>60</v>
      </c>
      <c r="E309" s="9" t="s">
        <v>60</v>
      </c>
      <c r="F309" s="9" t="s">
        <v>60</v>
      </c>
      <c r="G309" s="9" t="s">
        <v>60</v>
      </c>
      <c r="H309" s="9" t="s">
        <v>60</v>
      </c>
      <c r="I309" s="9" t="s">
        <v>60</v>
      </c>
      <c r="J309" s="9" t="s">
        <v>60</v>
      </c>
      <c r="K309" s="9" t="s">
        <v>240</v>
      </c>
      <c r="L309" s="9"/>
      <c r="M309" s="9"/>
      <c r="N309" s="9">
        <v>5</v>
      </c>
      <c r="O309" s="9">
        <v>2</v>
      </c>
    </row>
    <row r="310" spans="1:15" ht="1.5" customHeight="1">
      <c r="A310" s="9">
        <v>3</v>
      </c>
      <c r="B310" s="9" t="s">
        <v>239</v>
      </c>
      <c r="C310" s="9" t="s">
        <v>60</v>
      </c>
      <c r="D310" s="9" t="s">
        <v>60</v>
      </c>
      <c r="E310" s="9" t="s">
        <v>60</v>
      </c>
      <c r="F310" s="9" t="s">
        <v>60</v>
      </c>
      <c r="G310" s="9" t="s">
        <v>60</v>
      </c>
      <c r="H310" s="9" t="s">
        <v>60</v>
      </c>
      <c r="I310" s="9" t="s">
        <v>60</v>
      </c>
      <c r="J310" s="9" t="s">
        <v>60</v>
      </c>
      <c r="K310" s="9" t="s">
        <v>240</v>
      </c>
      <c r="L310" s="9"/>
      <c r="M310" s="9"/>
      <c r="N310" s="9">
        <v>5</v>
      </c>
      <c r="O310" s="9">
        <v>2</v>
      </c>
    </row>
    <row r="311" spans="1:15" ht="1.5" customHeight="1">
      <c r="A311" s="9">
        <v>4</v>
      </c>
      <c r="B311" s="9" t="s">
        <v>239</v>
      </c>
      <c r="C311" s="9" t="s">
        <v>60</v>
      </c>
      <c r="D311" s="9" t="s">
        <v>60</v>
      </c>
      <c r="E311" s="9" t="s">
        <v>60</v>
      </c>
      <c r="F311" s="9" t="s">
        <v>60</v>
      </c>
      <c r="G311" s="9" t="s">
        <v>60</v>
      </c>
      <c r="H311" s="9" t="s">
        <v>60</v>
      </c>
      <c r="I311" s="9" t="s">
        <v>60</v>
      </c>
      <c r="J311" s="9" t="s">
        <v>60</v>
      </c>
      <c r="K311" s="9" t="s">
        <v>240</v>
      </c>
      <c r="L311" s="9"/>
      <c r="M311" s="9"/>
      <c r="N311" s="9">
        <v>5</v>
      </c>
      <c r="O311" s="9">
        <v>2</v>
      </c>
    </row>
    <row r="312" spans="1:15" ht="1.5" customHeight="1">
      <c r="A312" s="9">
        <v>5</v>
      </c>
      <c r="B312" s="9" t="s">
        <v>239</v>
      </c>
      <c r="C312" s="9" t="s">
        <v>60</v>
      </c>
      <c r="D312" s="9" t="s">
        <v>60</v>
      </c>
      <c r="E312" s="9" t="s">
        <v>60</v>
      </c>
      <c r="F312" s="9" t="s">
        <v>60</v>
      </c>
      <c r="G312" s="9" t="s">
        <v>60</v>
      </c>
      <c r="H312" s="9" t="s">
        <v>60</v>
      </c>
      <c r="I312" s="9" t="s">
        <v>60</v>
      </c>
      <c r="J312" s="9" t="s">
        <v>60</v>
      </c>
      <c r="K312" s="9" t="s">
        <v>240</v>
      </c>
      <c r="L312" s="9"/>
      <c r="M312" s="9"/>
      <c r="N312" s="9">
        <v>5</v>
      </c>
      <c r="O312" s="9">
        <v>2</v>
      </c>
    </row>
    <row r="313" spans="1:15" ht="1.5" customHeight="1">
      <c r="A313" s="9">
        <v>6</v>
      </c>
      <c r="B313" s="9" t="s">
        <v>239</v>
      </c>
      <c r="C313" s="9" t="s">
        <v>60</v>
      </c>
      <c r="D313" s="9" t="s">
        <v>60</v>
      </c>
      <c r="E313" s="9" t="s">
        <v>60</v>
      </c>
      <c r="F313" s="9" t="s">
        <v>60</v>
      </c>
      <c r="G313" s="9" t="s">
        <v>60</v>
      </c>
      <c r="H313" s="9" t="s">
        <v>60</v>
      </c>
      <c r="I313" s="9" t="s">
        <v>60</v>
      </c>
      <c r="J313" s="9" t="s">
        <v>60</v>
      </c>
      <c r="K313" s="9" t="s">
        <v>240</v>
      </c>
      <c r="L313" s="9"/>
      <c r="M313" s="9"/>
      <c r="N313" s="9">
        <v>5</v>
      </c>
      <c r="O313" s="9">
        <v>2</v>
      </c>
    </row>
    <row r="314" spans="1:15" ht="1.5" customHeight="1">
      <c r="A314" s="9">
        <v>7</v>
      </c>
      <c r="B314" s="9" t="s">
        <v>239</v>
      </c>
      <c r="C314" s="9" t="s">
        <v>60</v>
      </c>
      <c r="D314" s="9" t="s">
        <v>60</v>
      </c>
      <c r="E314" s="9" t="s">
        <v>60</v>
      </c>
      <c r="F314" s="9" t="s">
        <v>60</v>
      </c>
      <c r="G314" s="9" t="s">
        <v>60</v>
      </c>
      <c r="H314" s="9" t="s">
        <v>60</v>
      </c>
      <c r="I314" s="9" t="s">
        <v>60</v>
      </c>
      <c r="J314" s="9" t="s">
        <v>60</v>
      </c>
      <c r="K314" s="9" t="s">
        <v>240</v>
      </c>
      <c r="L314" s="9"/>
      <c r="M314" s="9"/>
      <c r="N314" s="9">
        <v>5</v>
      </c>
      <c r="O314" s="9">
        <v>2</v>
      </c>
    </row>
    <row r="315" spans="1:15" ht="1.5" customHeight="1">
      <c r="A315" s="9">
        <v>8</v>
      </c>
      <c r="B315" s="9" t="s">
        <v>239</v>
      </c>
      <c r="C315" s="9" t="s">
        <v>60</v>
      </c>
      <c r="D315" s="9" t="s">
        <v>60</v>
      </c>
      <c r="E315" s="9" t="s">
        <v>60</v>
      </c>
      <c r="F315" s="9" t="s">
        <v>60</v>
      </c>
      <c r="G315" s="9" t="s">
        <v>60</v>
      </c>
      <c r="H315" s="9" t="s">
        <v>60</v>
      </c>
      <c r="I315" s="9" t="s">
        <v>60</v>
      </c>
      <c r="J315" s="9" t="s">
        <v>60</v>
      </c>
      <c r="K315" s="9" t="s">
        <v>240</v>
      </c>
      <c r="L315" s="9"/>
      <c r="M315" s="9"/>
      <c r="N315" s="9">
        <v>5</v>
      </c>
      <c r="O315" s="9">
        <v>2</v>
      </c>
    </row>
    <row r="316" spans="1:15" ht="1.5" customHeight="1">
      <c r="A316" s="9">
        <v>1</v>
      </c>
      <c r="B316" s="9" t="s">
        <v>239</v>
      </c>
      <c r="C316" s="9" t="s">
        <v>60</v>
      </c>
      <c r="D316" s="9" t="s">
        <v>60</v>
      </c>
      <c r="E316" s="9" t="s">
        <v>60</v>
      </c>
      <c r="F316" s="9" t="s">
        <v>60</v>
      </c>
      <c r="G316" s="9" t="s">
        <v>60</v>
      </c>
      <c r="H316" s="9" t="s">
        <v>60</v>
      </c>
      <c r="I316" s="9" t="s">
        <v>60</v>
      </c>
      <c r="J316" s="9" t="s">
        <v>60</v>
      </c>
      <c r="K316" s="9" t="s">
        <v>240</v>
      </c>
      <c r="L316" s="9"/>
      <c r="M316" s="9"/>
      <c r="N316" s="9">
        <v>5</v>
      </c>
      <c r="O316" s="9">
        <v>3</v>
      </c>
    </row>
    <row r="317" spans="1:15" ht="1.5" customHeight="1">
      <c r="A317" s="9">
        <v>2</v>
      </c>
      <c r="B317" s="9" t="s">
        <v>239</v>
      </c>
      <c r="C317" s="9" t="s">
        <v>60</v>
      </c>
      <c r="D317" s="9" t="s">
        <v>60</v>
      </c>
      <c r="E317" s="9" t="s">
        <v>60</v>
      </c>
      <c r="F317" s="9" t="s">
        <v>60</v>
      </c>
      <c r="G317" s="9" t="s">
        <v>60</v>
      </c>
      <c r="H317" s="9" t="s">
        <v>60</v>
      </c>
      <c r="I317" s="9" t="s">
        <v>60</v>
      </c>
      <c r="J317" s="9" t="s">
        <v>60</v>
      </c>
      <c r="K317" s="9" t="s">
        <v>240</v>
      </c>
      <c r="L317" s="9"/>
      <c r="M317" s="9"/>
      <c r="N317" s="9">
        <v>5</v>
      </c>
      <c r="O317" s="9">
        <v>3</v>
      </c>
    </row>
    <row r="318" spans="1:15" ht="1.5" customHeight="1">
      <c r="A318" s="9">
        <v>3</v>
      </c>
      <c r="B318" s="9" t="s">
        <v>239</v>
      </c>
      <c r="C318" s="9" t="s">
        <v>60</v>
      </c>
      <c r="D318" s="9" t="s">
        <v>60</v>
      </c>
      <c r="E318" s="9" t="s">
        <v>60</v>
      </c>
      <c r="F318" s="9" t="s">
        <v>60</v>
      </c>
      <c r="G318" s="9" t="s">
        <v>60</v>
      </c>
      <c r="H318" s="9" t="s">
        <v>60</v>
      </c>
      <c r="I318" s="9" t="s">
        <v>60</v>
      </c>
      <c r="J318" s="9" t="s">
        <v>60</v>
      </c>
      <c r="K318" s="9" t="s">
        <v>240</v>
      </c>
      <c r="L318" s="9"/>
      <c r="M318" s="9"/>
      <c r="N318" s="9">
        <v>5</v>
      </c>
      <c r="O318" s="9">
        <v>3</v>
      </c>
    </row>
    <row r="319" spans="1:15" ht="1.5" customHeight="1">
      <c r="A319" s="9">
        <v>4</v>
      </c>
      <c r="B319" s="9" t="s">
        <v>239</v>
      </c>
      <c r="C319" s="9" t="s">
        <v>60</v>
      </c>
      <c r="D319" s="9" t="s">
        <v>60</v>
      </c>
      <c r="E319" s="9" t="s">
        <v>60</v>
      </c>
      <c r="F319" s="9" t="s">
        <v>60</v>
      </c>
      <c r="G319" s="9" t="s">
        <v>60</v>
      </c>
      <c r="H319" s="9" t="s">
        <v>60</v>
      </c>
      <c r="I319" s="9" t="s">
        <v>60</v>
      </c>
      <c r="J319" s="9" t="s">
        <v>60</v>
      </c>
      <c r="K319" s="9" t="s">
        <v>240</v>
      </c>
      <c r="L319" s="9"/>
      <c r="M319" s="9"/>
      <c r="N319" s="9">
        <v>5</v>
      </c>
      <c r="O319" s="9">
        <v>3</v>
      </c>
    </row>
    <row r="320" spans="1:15" ht="1.5" customHeight="1">
      <c r="A320" s="9">
        <v>5</v>
      </c>
      <c r="B320" s="9" t="s">
        <v>239</v>
      </c>
      <c r="C320" s="9" t="s">
        <v>60</v>
      </c>
      <c r="D320" s="9" t="s">
        <v>60</v>
      </c>
      <c r="E320" s="9" t="s">
        <v>60</v>
      </c>
      <c r="F320" s="9" t="s">
        <v>60</v>
      </c>
      <c r="G320" s="9" t="s">
        <v>60</v>
      </c>
      <c r="H320" s="9" t="s">
        <v>60</v>
      </c>
      <c r="I320" s="9" t="s">
        <v>60</v>
      </c>
      <c r="J320" s="9" t="s">
        <v>60</v>
      </c>
      <c r="K320" s="9" t="s">
        <v>240</v>
      </c>
      <c r="L320" s="9"/>
      <c r="M320" s="9"/>
      <c r="N320" s="9">
        <v>5</v>
      </c>
      <c r="O320" s="9">
        <v>3</v>
      </c>
    </row>
    <row r="321" spans="1:15" ht="1.5" customHeight="1">
      <c r="A321" s="9">
        <v>6</v>
      </c>
      <c r="B321" s="9" t="s">
        <v>239</v>
      </c>
      <c r="C321" s="9" t="s">
        <v>60</v>
      </c>
      <c r="D321" s="9" t="s">
        <v>60</v>
      </c>
      <c r="E321" s="9" t="s">
        <v>60</v>
      </c>
      <c r="F321" s="9" t="s">
        <v>60</v>
      </c>
      <c r="G321" s="9" t="s">
        <v>60</v>
      </c>
      <c r="H321" s="9" t="s">
        <v>60</v>
      </c>
      <c r="I321" s="9" t="s">
        <v>60</v>
      </c>
      <c r="J321" s="9" t="s">
        <v>60</v>
      </c>
      <c r="K321" s="9" t="s">
        <v>240</v>
      </c>
      <c r="L321" s="9"/>
      <c r="M321" s="9"/>
      <c r="N321" s="9">
        <v>5</v>
      </c>
      <c r="O321" s="9">
        <v>3</v>
      </c>
    </row>
    <row r="322" spans="1:15" ht="1.5" customHeight="1">
      <c r="A322" s="9">
        <v>7</v>
      </c>
      <c r="B322" s="9" t="s">
        <v>239</v>
      </c>
      <c r="C322" s="9" t="s">
        <v>60</v>
      </c>
      <c r="D322" s="9" t="s">
        <v>60</v>
      </c>
      <c r="E322" s="9" t="s">
        <v>60</v>
      </c>
      <c r="F322" s="9" t="s">
        <v>60</v>
      </c>
      <c r="G322" s="9" t="s">
        <v>60</v>
      </c>
      <c r="H322" s="9" t="s">
        <v>60</v>
      </c>
      <c r="I322" s="9" t="s">
        <v>60</v>
      </c>
      <c r="J322" s="9" t="s">
        <v>60</v>
      </c>
      <c r="K322" s="9" t="s">
        <v>240</v>
      </c>
      <c r="L322" s="9"/>
      <c r="M322" s="9"/>
      <c r="N322" s="9">
        <v>5</v>
      </c>
      <c r="O322" s="9">
        <v>3</v>
      </c>
    </row>
    <row r="323" spans="1:15" ht="1.5" customHeight="1">
      <c r="A323" s="9">
        <v>8</v>
      </c>
      <c r="B323" s="9" t="s">
        <v>239</v>
      </c>
      <c r="C323" s="9" t="s">
        <v>60</v>
      </c>
      <c r="D323" s="9" t="s">
        <v>60</v>
      </c>
      <c r="E323" s="9" t="s">
        <v>60</v>
      </c>
      <c r="F323" s="9" t="s">
        <v>60</v>
      </c>
      <c r="G323" s="9" t="s">
        <v>60</v>
      </c>
      <c r="H323" s="9" t="s">
        <v>60</v>
      </c>
      <c r="I323" s="9" t="s">
        <v>60</v>
      </c>
      <c r="J323" s="9" t="s">
        <v>60</v>
      </c>
      <c r="K323" s="9" t="s">
        <v>240</v>
      </c>
      <c r="L323" s="9"/>
      <c r="M323" s="9"/>
      <c r="N323" s="9">
        <v>5</v>
      </c>
      <c r="O323" s="9">
        <v>3</v>
      </c>
    </row>
    <row r="324" spans="1:15" ht="1.5" customHeight="1">
      <c r="A324" s="9">
        <v>9</v>
      </c>
      <c r="B324" s="9" t="s">
        <v>239</v>
      </c>
      <c r="C324" s="9" t="s">
        <v>60</v>
      </c>
      <c r="D324" s="9" t="s">
        <v>60</v>
      </c>
      <c r="E324" s="9" t="s">
        <v>60</v>
      </c>
      <c r="F324" s="9" t="s">
        <v>60</v>
      </c>
      <c r="G324" s="9" t="s">
        <v>60</v>
      </c>
      <c r="H324" s="9" t="s">
        <v>60</v>
      </c>
      <c r="I324" s="9" t="s">
        <v>60</v>
      </c>
      <c r="J324" s="9" t="s">
        <v>60</v>
      </c>
      <c r="K324" s="9" t="s">
        <v>240</v>
      </c>
      <c r="L324" s="9"/>
      <c r="M324" s="9"/>
      <c r="N324" s="9">
        <v>5</v>
      </c>
      <c r="O324" s="9">
        <v>3</v>
      </c>
    </row>
    <row r="325" spans="1:15" ht="1.5" customHeight="1">
      <c r="A325" s="9">
        <v>10</v>
      </c>
      <c r="B325" s="9" t="s">
        <v>239</v>
      </c>
      <c r="C325" s="9" t="s">
        <v>60</v>
      </c>
      <c r="D325" s="9" t="s">
        <v>60</v>
      </c>
      <c r="E325" s="9" t="s">
        <v>60</v>
      </c>
      <c r="F325" s="9" t="s">
        <v>60</v>
      </c>
      <c r="G325" s="9" t="s">
        <v>60</v>
      </c>
      <c r="H325" s="9" t="s">
        <v>60</v>
      </c>
      <c r="I325" s="9" t="s">
        <v>60</v>
      </c>
      <c r="J325" s="9" t="s">
        <v>60</v>
      </c>
      <c r="K325" s="9" t="s">
        <v>240</v>
      </c>
      <c r="L325" s="9"/>
      <c r="M325" s="9"/>
      <c r="N325" s="9">
        <v>5</v>
      </c>
      <c r="O325" s="9">
        <v>3</v>
      </c>
    </row>
    <row r="326" spans="1:15" ht="1.5" customHeight="1">
      <c r="A326" s="9">
        <v>11</v>
      </c>
      <c r="B326" s="9" t="s">
        <v>239</v>
      </c>
      <c r="C326" s="9" t="s">
        <v>60</v>
      </c>
      <c r="D326" s="9" t="s">
        <v>60</v>
      </c>
      <c r="E326" s="9" t="s">
        <v>60</v>
      </c>
      <c r="F326" s="9" t="s">
        <v>60</v>
      </c>
      <c r="G326" s="9" t="s">
        <v>60</v>
      </c>
      <c r="H326" s="9" t="s">
        <v>60</v>
      </c>
      <c r="I326" s="9" t="s">
        <v>60</v>
      </c>
      <c r="J326" s="9" t="s">
        <v>60</v>
      </c>
      <c r="K326" s="9" t="s">
        <v>240</v>
      </c>
      <c r="L326" s="9"/>
      <c r="M326" s="9"/>
      <c r="N326" s="9">
        <v>5</v>
      </c>
      <c r="O326" s="9">
        <v>3</v>
      </c>
    </row>
    <row r="327" spans="1:15" ht="1.5" customHeight="1">
      <c r="A327" s="9">
        <v>12</v>
      </c>
      <c r="B327" s="9" t="s">
        <v>239</v>
      </c>
      <c r="C327" s="9" t="s">
        <v>60</v>
      </c>
      <c r="D327" s="9" t="s">
        <v>60</v>
      </c>
      <c r="E327" s="9" t="s">
        <v>60</v>
      </c>
      <c r="F327" s="9" t="s">
        <v>60</v>
      </c>
      <c r="G327" s="9" t="s">
        <v>60</v>
      </c>
      <c r="H327" s="9" t="s">
        <v>60</v>
      </c>
      <c r="I327" s="9" t="s">
        <v>60</v>
      </c>
      <c r="J327" s="9" t="s">
        <v>60</v>
      </c>
      <c r="K327" s="9" t="s">
        <v>240</v>
      </c>
      <c r="L327" s="9"/>
      <c r="M327" s="9"/>
      <c r="N327" s="9">
        <v>5</v>
      </c>
      <c r="O327" s="9">
        <v>3</v>
      </c>
    </row>
    <row r="328" spans="1:15" ht="1.5" customHeight="1">
      <c r="A328" s="9">
        <v>1</v>
      </c>
      <c r="B328" s="9" t="s">
        <v>239</v>
      </c>
      <c r="C328" s="9" t="s">
        <v>60</v>
      </c>
      <c r="D328" s="9" t="s">
        <v>60</v>
      </c>
      <c r="E328" s="9" t="s">
        <v>60</v>
      </c>
      <c r="F328" s="9" t="s">
        <v>60</v>
      </c>
      <c r="G328" s="9" t="s">
        <v>60</v>
      </c>
      <c r="H328" s="9" t="s">
        <v>60</v>
      </c>
      <c r="I328" s="9" t="s">
        <v>60</v>
      </c>
      <c r="J328" s="9" t="s">
        <v>60</v>
      </c>
      <c r="K328" s="9" t="s">
        <v>240</v>
      </c>
      <c r="L328" s="9"/>
      <c r="M328" s="9"/>
      <c r="N328" s="9">
        <v>5</v>
      </c>
      <c r="O328" s="9">
        <v>4</v>
      </c>
    </row>
    <row r="329" spans="1:15" ht="1.5" customHeight="1">
      <c r="A329" s="9">
        <v>2</v>
      </c>
      <c r="B329" s="9" t="s">
        <v>239</v>
      </c>
      <c r="C329" s="9" t="s">
        <v>60</v>
      </c>
      <c r="D329" s="9" t="s">
        <v>60</v>
      </c>
      <c r="E329" s="9" t="s">
        <v>60</v>
      </c>
      <c r="F329" s="9" t="s">
        <v>60</v>
      </c>
      <c r="G329" s="9" t="s">
        <v>60</v>
      </c>
      <c r="H329" s="9" t="s">
        <v>60</v>
      </c>
      <c r="I329" s="9" t="s">
        <v>60</v>
      </c>
      <c r="J329" s="9" t="s">
        <v>60</v>
      </c>
      <c r="K329" s="9" t="s">
        <v>240</v>
      </c>
      <c r="L329" s="9"/>
      <c r="M329" s="9"/>
      <c r="N329" s="9">
        <v>5</v>
      </c>
      <c r="O329" s="9">
        <v>4</v>
      </c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7">
    <mergeCell ref="B38:M38"/>
    <mergeCell ref="B43:M43"/>
    <mergeCell ref="B2:M2"/>
    <mergeCell ref="B3:M3"/>
    <mergeCell ref="B5:M5"/>
    <mergeCell ref="B12:M12"/>
    <mergeCell ref="B23:M2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3946"/>
  </sheetPr>
  <dimension ref="A1:H1000"/>
  <sheetViews>
    <sheetView showGridLines="0" workbookViewId="0"/>
  </sheetViews>
  <sheetFormatPr defaultColWidth="14.44140625" defaultRowHeight="15" customHeight="1"/>
  <cols>
    <col min="1" max="1" width="3" customWidth="1"/>
    <col min="2" max="2" width="6" customWidth="1"/>
    <col min="3" max="3" width="16" customWidth="1"/>
    <col min="4" max="4" width="22" customWidth="1"/>
    <col min="5" max="5" width="18" customWidth="1"/>
    <col min="6" max="6" width="20" customWidth="1"/>
    <col min="7" max="7" width="18" customWidth="1"/>
    <col min="8" max="26" width="8.6640625" customWidth="1"/>
  </cols>
  <sheetData>
    <row r="1" spans="1:8" ht="14.4">
      <c r="A1" s="1"/>
      <c r="B1" s="1"/>
      <c r="C1" s="1"/>
      <c r="D1" s="1"/>
      <c r="E1" s="1"/>
      <c r="F1" s="1"/>
      <c r="G1" s="1"/>
      <c r="H1" s="1"/>
    </row>
    <row r="2" spans="1:8" ht="45" customHeight="1">
      <c r="A2" s="1"/>
      <c r="B2" s="115" t="s">
        <v>248</v>
      </c>
      <c r="C2" s="86"/>
      <c r="D2" s="86"/>
      <c r="E2" s="86"/>
      <c r="F2" s="86"/>
      <c r="G2" s="88"/>
      <c r="H2" s="1"/>
    </row>
    <row r="3" spans="1:8" ht="18" customHeight="1">
      <c r="A3" s="1"/>
      <c r="B3" s="116" t="s">
        <v>249</v>
      </c>
      <c r="C3" s="86"/>
      <c r="D3" s="86"/>
      <c r="E3" s="86"/>
      <c r="F3" s="86"/>
      <c r="G3" s="88"/>
      <c r="H3" s="1"/>
    </row>
    <row r="4" spans="1:8" ht="14.4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87" t="s">
        <v>250</v>
      </c>
      <c r="C5" s="86"/>
      <c r="D5" s="86"/>
      <c r="E5" s="86"/>
      <c r="F5" s="86"/>
      <c r="G5" s="88"/>
      <c r="H5" s="1"/>
    </row>
    <row r="6" spans="1:8" ht="21.75" customHeight="1">
      <c r="A6" s="1"/>
      <c r="B6" s="11" t="s">
        <v>251</v>
      </c>
      <c r="C6" s="11" t="s">
        <v>252</v>
      </c>
      <c r="D6" s="11" t="s">
        <v>253</v>
      </c>
      <c r="E6" s="11" t="s">
        <v>254</v>
      </c>
      <c r="F6" s="11" t="s">
        <v>255</v>
      </c>
      <c r="G6" s="11" t="s">
        <v>56</v>
      </c>
      <c r="H6" s="1"/>
    </row>
    <row r="7" spans="1:8" ht="25.5" customHeight="1">
      <c r="A7" s="1"/>
      <c r="B7" s="46" t="s">
        <v>256</v>
      </c>
      <c r="C7" s="43" t="s">
        <v>257</v>
      </c>
      <c r="D7" s="43" t="s">
        <v>258</v>
      </c>
      <c r="E7" s="43" t="s">
        <v>259</v>
      </c>
      <c r="F7" s="43" t="s">
        <v>260</v>
      </c>
      <c r="G7" s="43" t="s">
        <v>261</v>
      </c>
      <c r="H7" s="1"/>
    </row>
    <row r="8" spans="1:8" ht="25.5" customHeight="1">
      <c r="A8" s="1"/>
      <c r="B8" s="47" t="s">
        <v>262</v>
      </c>
      <c r="C8" s="14" t="s">
        <v>263</v>
      </c>
      <c r="D8" s="14" t="s">
        <v>264</v>
      </c>
      <c r="E8" s="14" t="s">
        <v>265</v>
      </c>
      <c r="F8" s="14" t="s">
        <v>266</v>
      </c>
      <c r="G8" s="14" t="s">
        <v>267</v>
      </c>
      <c r="H8" s="1"/>
    </row>
    <row r="9" spans="1:8" ht="25.5" customHeight="1">
      <c r="A9" s="1"/>
      <c r="B9" s="46" t="s">
        <v>268</v>
      </c>
      <c r="C9" s="43" t="s">
        <v>269</v>
      </c>
      <c r="D9" s="43" t="s">
        <v>270</v>
      </c>
      <c r="E9" s="43" t="s">
        <v>271</v>
      </c>
      <c r="F9" s="43" t="s">
        <v>272</v>
      </c>
      <c r="G9" s="43" t="s">
        <v>273</v>
      </c>
      <c r="H9" s="1"/>
    </row>
    <row r="10" spans="1:8" ht="25.5" customHeight="1">
      <c r="A10" s="1"/>
      <c r="B10" s="47" t="s">
        <v>274</v>
      </c>
      <c r="C10" s="14" t="s">
        <v>79</v>
      </c>
      <c r="D10" s="14" t="s">
        <v>275</v>
      </c>
      <c r="E10" s="14" t="s">
        <v>276</v>
      </c>
      <c r="F10" s="14" t="s">
        <v>277</v>
      </c>
      <c r="G10" s="14" t="s">
        <v>278</v>
      </c>
      <c r="H10" s="1"/>
    </row>
    <row r="11" spans="1:8" ht="25.5" customHeight="1">
      <c r="A11" s="1"/>
      <c r="B11" s="46" t="s">
        <v>279</v>
      </c>
      <c r="C11" s="43" t="s">
        <v>280</v>
      </c>
      <c r="D11" s="43" t="s">
        <v>275</v>
      </c>
      <c r="E11" s="43" t="s">
        <v>281</v>
      </c>
      <c r="F11" s="43" t="s">
        <v>282</v>
      </c>
      <c r="G11" s="43" t="s">
        <v>283</v>
      </c>
      <c r="H11" s="1"/>
    </row>
    <row r="12" spans="1:8" ht="25.5" customHeight="1">
      <c r="A12" s="1"/>
      <c r="B12" s="47" t="s">
        <v>284</v>
      </c>
      <c r="C12" s="14" t="s">
        <v>285</v>
      </c>
      <c r="D12" s="14" t="s">
        <v>286</v>
      </c>
      <c r="E12" s="14" t="s">
        <v>287</v>
      </c>
      <c r="F12" s="14" t="s">
        <v>288</v>
      </c>
      <c r="G12" s="14" t="s">
        <v>289</v>
      </c>
      <c r="H12" s="1"/>
    </row>
    <row r="13" spans="1:8" ht="25.5" customHeight="1">
      <c r="A13" s="1"/>
      <c r="B13" s="46" t="s">
        <v>290</v>
      </c>
      <c r="C13" s="43" t="s">
        <v>291</v>
      </c>
      <c r="D13" s="43" t="s">
        <v>292</v>
      </c>
      <c r="E13" s="43" t="s">
        <v>293</v>
      </c>
      <c r="F13" s="43" t="s">
        <v>294</v>
      </c>
      <c r="G13" s="43" t="s">
        <v>295</v>
      </c>
      <c r="H13" s="1"/>
    </row>
    <row r="14" spans="1:8" ht="14.4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95" t="s">
        <v>296</v>
      </c>
      <c r="C15" s="86"/>
      <c r="D15" s="86"/>
      <c r="E15" s="86"/>
      <c r="F15" s="86"/>
      <c r="G15" s="88"/>
      <c r="H15" s="1"/>
    </row>
    <row r="16" spans="1:8" ht="21.75" customHeight="1">
      <c r="A16" s="1"/>
      <c r="B16" s="34" t="s">
        <v>45</v>
      </c>
      <c r="C16" s="34" t="s">
        <v>244</v>
      </c>
      <c r="D16" s="34" t="s">
        <v>31</v>
      </c>
      <c r="E16" s="34" t="s">
        <v>251</v>
      </c>
      <c r="F16" s="34" t="s">
        <v>297</v>
      </c>
      <c r="G16" s="34" t="s">
        <v>56</v>
      </c>
      <c r="H16" s="1"/>
    </row>
    <row r="17" spans="1:8" ht="21.75" customHeight="1">
      <c r="A17" s="1"/>
      <c r="B17" s="48" t="s">
        <v>298</v>
      </c>
      <c r="C17" s="18">
        <f>IF('🌱 Configuração'!$B$56="","",'🌱 Configuração'!$B$56+0)</f>
        <v>0</v>
      </c>
      <c r="D17" s="49" t="s">
        <v>299</v>
      </c>
      <c r="E17" s="50" t="s">
        <v>300</v>
      </c>
      <c r="F17" s="20" t="s">
        <v>301</v>
      </c>
      <c r="G17" s="19" t="s">
        <v>302</v>
      </c>
      <c r="H17" s="1"/>
    </row>
    <row r="18" spans="1:8" ht="21.75" customHeight="1">
      <c r="A18" s="1"/>
      <c r="B18" s="48" t="s">
        <v>303</v>
      </c>
      <c r="C18" s="13">
        <f>IF('🌱 Configuração'!$B$56="","",'🌱 Configuração'!$B$56+7)</f>
        <v>7</v>
      </c>
      <c r="D18" s="49" t="s">
        <v>299</v>
      </c>
      <c r="E18" s="47" t="s">
        <v>304</v>
      </c>
      <c r="F18" s="15" t="s">
        <v>305</v>
      </c>
      <c r="G18" s="14"/>
      <c r="H18" s="1"/>
    </row>
    <row r="19" spans="1:8" ht="21.75" customHeight="1">
      <c r="A19" s="1"/>
      <c r="B19" s="51" t="s">
        <v>306</v>
      </c>
      <c r="C19" s="22">
        <f>IF('🌱 Configuração'!$C$56="","",'🌱 Configuração'!$C$56+0)</f>
        <v>14</v>
      </c>
      <c r="D19" s="52" t="s">
        <v>307</v>
      </c>
      <c r="E19" s="53" t="s">
        <v>300</v>
      </c>
      <c r="F19" s="24" t="s">
        <v>275</v>
      </c>
      <c r="G19" s="23"/>
      <c r="H19" s="1"/>
    </row>
    <row r="20" spans="1:8" ht="21.75" customHeight="1">
      <c r="A20" s="1"/>
      <c r="B20" s="51" t="s">
        <v>308</v>
      </c>
      <c r="C20" s="13">
        <f>IF('🌱 Configuração'!$C$56="","",'🌱 Configuração'!$C$56+7)</f>
        <v>21</v>
      </c>
      <c r="D20" s="52" t="s">
        <v>307</v>
      </c>
      <c r="E20" s="47" t="s">
        <v>304</v>
      </c>
      <c r="F20" s="15" t="s">
        <v>275</v>
      </c>
      <c r="G20" s="14"/>
      <c r="H20" s="1"/>
    </row>
    <row r="21" spans="1:8" ht="21.75" customHeight="1">
      <c r="A21" s="1"/>
      <c r="B21" s="51" t="s">
        <v>309</v>
      </c>
      <c r="C21" s="22">
        <f>IF('🌱 Configuração'!$C$56="","",'🌱 Configuração'!$C$56+14)</f>
        <v>28</v>
      </c>
      <c r="D21" s="52" t="s">
        <v>307</v>
      </c>
      <c r="E21" s="53" t="s">
        <v>310</v>
      </c>
      <c r="F21" s="24" t="s">
        <v>275</v>
      </c>
      <c r="G21" s="23" t="s">
        <v>289</v>
      </c>
      <c r="H21" s="1"/>
    </row>
    <row r="22" spans="1:8" ht="21.75" customHeight="1">
      <c r="A22" s="1"/>
      <c r="B22" s="51" t="s">
        <v>311</v>
      </c>
      <c r="C22" s="13">
        <f>IF('🌱 Configuração'!$C$56="","",'🌱 Configuração'!$C$56+21)</f>
        <v>35</v>
      </c>
      <c r="D22" s="52" t="s">
        <v>307</v>
      </c>
      <c r="E22" s="47" t="s">
        <v>312</v>
      </c>
      <c r="F22" s="15" t="s">
        <v>313</v>
      </c>
      <c r="G22" s="14" t="s">
        <v>314</v>
      </c>
      <c r="H22" s="1"/>
    </row>
    <row r="23" spans="1:8" ht="21.75" customHeight="1">
      <c r="A23" s="1"/>
      <c r="B23" s="51" t="s">
        <v>315</v>
      </c>
      <c r="C23" s="22">
        <f>IF('🌱 Configuração'!$C$56="","",'🌱 Configuração'!$C$56+28)</f>
        <v>42</v>
      </c>
      <c r="D23" s="52" t="s">
        <v>307</v>
      </c>
      <c r="E23" s="53" t="s">
        <v>316</v>
      </c>
      <c r="F23" s="24" t="s">
        <v>275</v>
      </c>
      <c r="G23" s="23" t="s">
        <v>317</v>
      </c>
      <c r="H23" s="1"/>
    </row>
    <row r="24" spans="1:8" ht="21.75" customHeight="1">
      <c r="A24" s="1"/>
      <c r="B24" s="51" t="s">
        <v>318</v>
      </c>
      <c r="C24" s="13">
        <f>IF('🌱 Configuração'!$C$56="","",'🌱 Configuração'!$C$56+35)</f>
        <v>49</v>
      </c>
      <c r="D24" s="52" t="s">
        <v>307</v>
      </c>
      <c r="E24" s="47" t="s">
        <v>300</v>
      </c>
      <c r="F24" s="15" t="s">
        <v>275</v>
      </c>
      <c r="G24" s="14" t="s">
        <v>319</v>
      </c>
      <c r="H24" s="1"/>
    </row>
    <row r="25" spans="1:8" ht="21.75" customHeight="1">
      <c r="A25" s="1"/>
      <c r="B25" s="54" t="s">
        <v>320</v>
      </c>
      <c r="C25" s="26">
        <f>IF('🌱 Configuração'!$D$56="","",'🌱 Configuração'!$D$56+0)</f>
        <v>56</v>
      </c>
      <c r="D25" s="55" t="s">
        <v>321</v>
      </c>
      <c r="E25" s="56" t="s">
        <v>304</v>
      </c>
      <c r="F25" s="28" t="s">
        <v>322</v>
      </c>
      <c r="G25" s="27" t="s">
        <v>323</v>
      </c>
      <c r="H25" s="1"/>
    </row>
    <row r="26" spans="1:8" ht="21.75" customHeight="1">
      <c r="A26" s="1"/>
      <c r="B26" s="54" t="s">
        <v>324</v>
      </c>
      <c r="C26" s="13">
        <f>IF('🌱 Configuração'!$D$56="","",'🌱 Configuração'!$D$56+7)</f>
        <v>63</v>
      </c>
      <c r="D26" s="55" t="s">
        <v>321</v>
      </c>
      <c r="E26" s="47" t="s">
        <v>312</v>
      </c>
      <c r="F26" s="15" t="s">
        <v>313</v>
      </c>
      <c r="G26" s="14"/>
      <c r="H26" s="1"/>
    </row>
    <row r="27" spans="1:8" ht="21.75" customHeight="1">
      <c r="A27" s="1"/>
      <c r="B27" s="54" t="s">
        <v>325</v>
      </c>
      <c r="C27" s="26">
        <f>IF('🌱 Configuração'!$D$56="","",'🌱 Configuração'!$D$56+14)</f>
        <v>70</v>
      </c>
      <c r="D27" s="55" t="s">
        <v>321</v>
      </c>
      <c r="E27" s="56" t="s">
        <v>304</v>
      </c>
      <c r="F27" s="28" t="s">
        <v>322</v>
      </c>
      <c r="G27" s="27" t="s">
        <v>326</v>
      </c>
      <c r="H27" s="1"/>
    </row>
    <row r="28" spans="1:8" ht="21.75" customHeight="1">
      <c r="A28" s="1"/>
      <c r="B28" s="54" t="s">
        <v>327</v>
      </c>
      <c r="C28" s="13">
        <f>IF('🌱 Configuração'!$D$56="","",'🌱 Configuração'!$D$56+21)</f>
        <v>77</v>
      </c>
      <c r="D28" s="55" t="s">
        <v>321</v>
      </c>
      <c r="E28" s="47" t="s">
        <v>312</v>
      </c>
      <c r="F28" s="15" t="s">
        <v>313</v>
      </c>
      <c r="G28" s="14" t="s">
        <v>328</v>
      </c>
      <c r="H28" s="1"/>
    </row>
    <row r="29" spans="1:8" ht="21.75" customHeight="1">
      <c r="A29" s="1"/>
      <c r="B29" s="54" t="s">
        <v>329</v>
      </c>
      <c r="C29" s="26">
        <f>IF('🌱 Configuração'!$D$56="","",'🌱 Configuração'!$D$56+28)</f>
        <v>84</v>
      </c>
      <c r="D29" s="55" t="s">
        <v>321</v>
      </c>
      <c r="E29" s="56" t="s">
        <v>330</v>
      </c>
      <c r="F29" s="28" t="s">
        <v>313</v>
      </c>
      <c r="G29" s="27" t="s">
        <v>331</v>
      </c>
      <c r="H29" s="1"/>
    </row>
    <row r="30" spans="1:8" ht="21.75" customHeight="1">
      <c r="A30" s="1"/>
      <c r="B30" s="57" t="s">
        <v>332</v>
      </c>
      <c r="C30" s="13">
        <f>IF('🌱 Configuração'!$E$56="","",'🌱 Configuração'!$E$56+0)</f>
        <v>119</v>
      </c>
      <c r="D30" s="58" t="s">
        <v>333</v>
      </c>
      <c r="E30" s="47" t="s">
        <v>334</v>
      </c>
      <c r="F30" s="15" t="s">
        <v>335</v>
      </c>
      <c r="G30" s="14" t="s">
        <v>336</v>
      </c>
      <c r="H30" s="1"/>
    </row>
    <row r="31" spans="1:8" ht="15.75" customHeight="1">
      <c r="A31" s="1"/>
      <c r="B31" s="1"/>
      <c r="C31" s="1"/>
      <c r="D31" s="1"/>
      <c r="E31" s="1"/>
      <c r="F31" s="1"/>
      <c r="G31" s="1"/>
      <c r="H31" s="1"/>
    </row>
    <row r="32" spans="1:8" ht="15" customHeight="1">
      <c r="A32" s="1"/>
      <c r="B32" s="95" t="s">
        <v>337</v>
      </c>
      <c r="C32" s="86"/>
      <c r="D32" s="86"/>
      <c r="E32" s="86"/>
      <c r="F32" s="86"/>
      <c r="G32" s="88"/>
      <c r="H32" s="1"/>
    </row>
    <row r="33" spans="1:8" ht="15" customHeight="1">
      <c r="A33" s="1"/>
      <c r="B33" s="106" t="s">
        <v>338</v>
      </c>
      <c r="C33" s="88"/>
      <c r="D33" s="106" t="s">
        <v>339</v>
      </c>
      <c r="E33" s="86"/>
      <c r="F33" s="86"/>
      <c r="G33" s="88"/>
      <c r="H33" s="1"/>
    </row>
    <row r="34" spans="1:8" ht="19.5" customHeight="1">
      <c r="A34" s="1"/>
      <c r="B34" s="112" t="s">
        <v>340</v>
      </c>
      <c r="C34" s="88"/>
      <c r="D34" s="113" t="s">
        <v>341</v>
      </c>
      <c r="E34" s="86"/>
      <c r="F34" s="86"/>
      <c r="G34" s="88"/>
      <c r="H34" s="1"/>
    </row>
    <row r="35" spans="1:8" ht="19.5" customHeight="1">
      <c r="A35" s="1"/>
      <c r="B35" s="112" t="s">
        <v>340</v>
      </c>
      <c r="C35" s="88"/>
      <c r="D35" s="113" t="s">
        <v>342</v>
      </c>
      <c r="E35" s="86"/>
      <c r="F35" s="86"/>
      <c r="G35" s="88"/>
      <c r="H35" s="1"/>
    </row>
    <row r="36" spans="1:8" ht="19.5" customHeight="1">
      <c r="A36" s="1"/>
      <c r="B36" s="112" t="s">
        <v>343</v>
      </c>
      <c r="C36" s="88"/>
      <c r="D36" s="113" t="s">
        <v>344</v>
      </c>
      <c r="E36" s="86"/>
      <c r="F36" s="86"/>
      <c r="G36" s="88"/>
      <c r="H36" s="1"/>
    </row>
    <row r="37" spans="1:8" ht="19.5" customHeight="1">
      <c r="A37" s="1"/>
      <c r="B37" s="107" t="s">
        <v>345</v>
      </c>
      <c r="C37" s="88"/>
      <c r="D37" s="114" t="s">
        <v>346</v>
      </c>
      <c r="E37" s="86"/>
      <c r="F37" s="86"/>
      <c r="G37" s="88"/>
      <c r="H37" s="1"/>
    </row>
    <row r="38" spans="1:8" ht="19.5" customHeight="1">
      <c r="A38" s="1"/>
      <c r="B38" s="108" t="s">
        <v>347</v>
      </c>
      <c r="C38" s="88"/>
      <c r="D38" s="110" t="s">
        <v>348</v>
      </c>
      <c r="E38" s="86"/>
      <c r="F38" s="86"/>
      <c r="G38" s="88"/>
      <c r="H38" s="1"/>
    </row>
    <row r="39" spans="1:8" ht="19.5" customHeight="1">
      <c r="A39" s="1"/>
      <c r="B39" s="109" t="s">
        <v>349</v>
      </c>
      <c r="C39" s="88"/>
      <c r="D39" s="111" t="s">
        <v>350</v>
      </c>
      <c r="E39" s="86"/>
      <c r="F39" s="86"/>
      <c r="G39" s="88"/>
      <c r="H39" s="1"/>
    </row>
    <row r="40" spans="1:8" ht="15.75" customHeight="1">
      <c r="A40" s="1"/>
      <c r="B40" s="1"/>
      <c r="C40" s="1"/>
      <c r="D40" s="1"/>
      <c r="E40" s="1"/>
      <c r="F40" s="1"/>
      <c r="G40" s="1"/>
      <c r="H40" s="1"/>
    </row>
    <row r="41" spans="1:8" ht="15.75" customHeight="1">
      <c r="A41" s="1"/>
      <c r="B41" s="1"/>
      <c r="C41" s="1"/>
      <c r="D41" s="1"/>
      <c r="E41" s="1"/>
      <c r="F41" s="1"/>
      <c r="G41" s="1"/>
      <c r="H41" s="1"/>
    </row>
    <row r="42" spans="1:8" ht="15.75" customHeight="1">
      <c r="A42" s="1"/>
      <c r="B42" s="1"/>
      <c r="C42" s="1"/>
      <c r="D42" s="1"/>
      <c r="E42" s="1"/>
      <c r="F42" s="1"/>
      <c r="G42" s="1"/>
      <c r="H42" s="1"/>
    </row>
    <row r="43" spans="1:8" ht="15.75" customHeight="1">
      <c r="A43" s="1"/>
      <c r="B43" s="1"/>
      <c r="C43" s="1"/>
      <c r="D43" s="1"/>
      <c r="E43" s="1"/>
      <c r="F43" s="1"/>
      <c r="G43" s="1"/>
      <c r="H43" s="1"/>
    </row>
    <row r="44" spans="1:8" ht="15.75" customHeight="1">
      <c r="A44" s="1"/>
      <c r="B44" s="1"/>
      <c r="C44" s="1"/>
      <c r="D44" s="1"/>
      <c r="E44" s="1"/>
      <c r="F44" s="1"/>
      <c r="G44" s="1"/>
      <c r="H44" s="1"/>
    </row>
    <row r="45" spans="1:8" ht="15.75" customHeight="1">
      <c r="A45" s="1"/>
      <c r="B45" s="1"/>
      <c r="C45" s="1"/>
      <c r="D45" s="1"/>
      <c r="E45" s="1"/>
      <c r="F45" s="1"/>
      <c r="G45" s="1"/>
      <c r="H45" s="1"/>
    </row>
    <row r="46" spans="1:8" ht="15.75" customHeight="1">
      <c r="A46" s="1"/>
      <c r="B46" s="1"/>
      <c r="C46" s="1"/>
      <c r="D46" s="1"/>
      <c r="E46" s="1"/>
      <c r="F46" s="1"/>
      <c r="G46" s="1"/>
      <c r="H46" s="1"/>
    </row>
    <row r="47" spans="1:8" ht="15.75" customHeight="1">
      <c r="A47" s="1"/>
      <c r="B47" s="1"/>
      <c r="C47" s="1"/>
      <c r="D47" s="1"/>
      <c r="E47" s="1"/>
      <c r="F47" s="1"/>
      <c r="G47" s="1"/>
      <c r="H47" s="1"/>
    </row>
    <row r="48" spans="1:8" ht="15.75" customHeight="1">
      <c r="A48" s="1"/>
      <c r="B48" s="1"/>
      <c r="C48" s="1"/>
      <c r="D48" s="1"/>
      <c r="E48" s="1"/>
      <c r="F48" s="1"/>
      <c r="G48" s="1"/>
      <c r="H48" s="1"/>
    </row>
    <row r="49" spans="1:8" ht="15.75" customHeight="1">
      <c r="A49" s="1"/>
      <c r="B49" s="1"/>
      <c r="C49" s="1"/>
      <c r="D49" s="1"/>
      <c r="E49" s="1"/>
      <c r="F49" s="1"/>
      <c r="G49" s="1"/>
      <c r="H49" s="1"/>
    </row>
    <row r="50" spans="1:8" ht="15.75" customHeight="1">
      <c r="A50" s="1"/>
      <c r="B50" s="1"/>
      <c r="C50" s="1"/>
      <c r="D50" s="1"/>
      <c r="E50" s="1"/>
      <c r="F50" s="1"/>
      <c r="G50" s="1"/>
      <c r="H50" s="1"/>
    </row>
    <row r="51" spans="1:8" ht="15.75" customHeight="1">
      <c r="A51" s="1"/>
      <c r="B51" s="1"/>
      <c r="C51" s="1"/>
      <c r="D51" s="1"/>
      <c r="E51" s="1"/>
      <c r="F51" s="1"/>
      <c r="G51" s="1"/>
      <c r="H51" s="1"/>
    </row>
    <row r="52" spans="1:8" ht="15.75" customHeight="1">
      <c r="A52" s="1"/>
      <c r="B52" s="1"/>
      <c r="C52" s="1"/>
      <c r="D52" s="1"/>
      <c r="E52" s="1"/>
      <c r="F52" s="1"/>
      <c r="G52" s="1"/>
      <c r="H52" s="1"/>
    </row>
    <row r="53" spans="1:8" ht="15.75" customHeight="1">
      <c r="A53" s="1"/>
      <c r="B53" s="1"/>
      <c r="C53" s="1"/>
      <c r="D53" s="1"/>
      <c r="E53" s="1"/>
      <c r="F53" s="1"/>
      <c r="G53" s="1"/>
      <c r="H53" s="1"/>
    </row>
    <row r="54" spans="1:8" ht="15.75" customHeight="1">
      <c r="A54" s="1"/>
      <c r="B54" s="1"/>
      <c r="C54" s="1"/>
      <c r="D54" s="1"/>
      <c r="E54" s="1"/>
      <c r="F54" s="1"/>
      <c r="G54" s="1"/>
      <c r="H54" s="1"/>
    </row>
    <row r="55" spans="1:8" ht="15.75" customHeight="1">
      <c r="A55" s="1"/>
      <c r="B55" s="1"/>
      <c r="C55" s="1"/>
      <c r="D55" s="1"/>
      <c r="E55" s="1"/>
      <c r="F55" s="1"/>
      <c r="G55" s="1"/>
      <c r="H55" s="1"/>
    </row>
    <row r="56" spans="1:8" ht="15.75" customHeight="1">
      <c r="A56" s="1"/>
      <c r="B56" s="1"/>
      <c r="C56" s="1"/>
      <c r="D56" s="1"/>
      <c r="E56" s="1"/>
      <c r="F56" s="1"/>
      <c r="G56" s="1"/>
      <c r="H56" s="1"/>
    </row>
    <row r="57" spans="1:8" ht="15.75" customHeight="1">
      <c r="A57" s="1"/>
      <c r="B57" s="1"/>
      <c r="C57" s="1"/>
      <c r="D57" s="1"/>
      <c r="E57" s="1"/>
      <c r="F57" s="1"/>
      <c r="G57" s="1"/>
      <c r="H57" s="1"/>
    </row>
    <row r="58" spans="1:8" ht="15.75" customHeight="1">
      <c r="A58" s="1"/>
      <c r="B58" s="1"/>
      <c r="C58" s="1"/>
      <c r="D58" s="1"/>
      <c r="E58" s="1"/>
      <c r="F58" s="1"/>
      <c r="G58" s="1"/>
      <c r="H58" s="1"/>
    </row>
    <row r="59" spans="1:8" ht="15.75" customHeight="1">
      <c r="A59" s="1"/>
      <c r="B59" s="1"/>
      <c r="C59" s="1"/>
      <c r="D59" s="1"/>
      <c r="E59" s="1"/>
      <c r="F59" s="1"/>
      <c r="G59" s="1"/>
      <c r="H59" s="1"/>
    </row>
    <row r="60" spans="1:8" ht="15.75" customHeight="1">
      <c r="A60" s="1"/>
      <c r="B60" s="1"/>
      <c r="C60" s="1"/>
      <c r="D60" s="1"/>
      <c r="E60" s="1"/>
      <c r="F60" s="1"/>
      <c r="G60" s="1"/>
      <c r="H60" s="1"/>
    </row>
    <row r="61" spans="1:8" ht="15.75" customHeight="1">
      <c r="A61" s="1"/>
      <c r="B61" s="1"/>
      <c r="C61" s="1"/>
      <c r="D61" s="1"/>
      <c r="E61" s="1"/>
      <c r="F61" s="1"/>
      <c r="G61" s="1"/>
      <c r="H61" s="1"/>
    </row>
    <row r="62" spans="1:8" ht="15.75" customHeight="1">
      <c r="A62" s="1"/>
      <c r="B62" s="1"/>
      <c r="C62" s="1"/>
      <c r="D62" s="1"/>
      <c r="E62" s="1"/>
      <c r="F62" s="1"/>
      <c r="G62" s="1"/>
      <c r="H62" s="1"/>
    </row>
    <row r="63" spans="1:8" ht="15.75" customHeight="1">
      <c r="A63" s="1"/>
      <c r="B63" s="1"/>
      <c r="C63" s="1"/>
      <c r="D63" s="1"/>
      <c r="E63" s="1"/>
      <c r="F63" s="1"/>
      <c r="G63" s="1"/>
      <c r="H63" s="1"/>
    </row>
    <row r="64" spans="1:8" ht="15.75" customHeight="1">
      <c r="A64" s="1"/>
      <c r="B64" s="1"/>
      <c r="C64" s="1"/>
      <c r="D64" s="1"/>
      <c r="E64" s="1"/>
      <c r="F64" s="1"/>
      <c r="G64" s="1"/>
      <c r="H64" s="1"/>
    </row>
    <row r="65" spans="1:8" ht="15.75" customHeight="1">
      <c r="A65" s="1"/>
      <c r="B65" s="1"/>
      <c r="C65" s="1"/>
      <c r="D65" s="1"/>
      <c r="E65" s="1"/>
      <c r="F65" s="1"/>
      <c r="G65" s="1"/>
      <c r="H65" s="1"/>
    </row>
    <row r="66" spans="1:8" ht="15.75" customHeight="1">
      <c r="A66" s="1"/>
      <c r="B66" s="1"/>
      <c r="C66" s="1"/>
      <c r="D66" s="1"/>
      <c r="E66" s="1"/>
      <c r="F66" s="1"/>
      <c r="G66" s="1"/>
      <c r="H66" s="1"/>
    </row>
    <row r="67" spans="1:8" ht="15.75" customHeight="1">
      <c r="A67" s="1"/>
      <c r="B67" s="1"/>
      <c r="C67" s="1"/>
      <c r="D67" s="1"/>
      <c r="E67" s="1"/>
      <c r="F67" s="1"/>
      <c r="G67" s="1"/>
      <c r="H67" s="1"/>
    </row>
    <row r="68" spans="1:8" ht="15.75" customHeight="1">
      <c r="A68" s="1"/>
      <c r="B68" s="1"/>
      <c r="C68" s="1"/>
      <c r="D68" s="1"/>
      <c r="E68" s="1"/>
      <c r="F68" s="1"/>
      <c r="G68" s="1"/>
      <c r="H68" s="1"/>
    </row>
    <row r="69" spans="1:8" ht="15.75" customHeight="1">
      <c r="A69" s="1"/>
      <c r="B69" s="1"/>
      <c r="C69" s="1"/>
      <c r="D69" s="1"/>
      <c r="E69" s="1"/>
      <c r="F69" s="1"/>
      <c r="G69" s="1"/>
      <c r="H69" s="1"/>
    </row>
    <row r="70" spans="1:8" ht="15.75" customHeight="1">
      <c r="A70" s="1"/>
      <c r="B70" s="1"/>
      <c r="C70" s="1"/>
      <c r="D70" s="1"/>
      <c r="E70" s="1"/>
      <c r="F70" s="1"/>
      <c r="G70" s="1"/>
      <c r="H70" s="1"/>
    </row>
    <row r="71" spans="1:8" ht="15.75" customHeight="1">
      <c r="A71" s="1"/>
      <c r="B71" s="1"/>
      <c r="C71" s="1"/>
      <c r="D71" s="1"/>
      <c r="E71" s="1"/>
      <c r="F71" s="1"/>
      <c r="G71" s="1"/>
      <c r="H71" s="1"/>
    </row>
    <row r="72" spans="1:8" ht="15.75" customHeight="1">
      <c r="A72" s="1"/>
      <c r="B72" s="1"/>
      <c r="C72" s="1"/>
      <c r="D72" s="1"/>
      <c r="E72" s="1"/>
      <c r="F72" s="1"/>
      <c r="G72" s="1"/>
      <c r="H72" s="1"/>
    </row>
    <row r="73" spans="1:8" ht="15.75" customHeight="1">
      <c r="A73" s="1"/>
      <c r="B73" s="1"/>
      <c r="C73" s="1"/>
      <c r="D73" s="1"/>
      <c r="E73" s="1"/>
      <c r="F73" s="1"/>
      <c r="G73" s="1"/>
      <c r="H73" s="1"/>
    </row>
    <row r="74" spans="1:8" ht="15.75" customHeight="1">
      <c r="A74" s="1"/>
      <c r="B74" s="1"/>
      <c r="C74" s="1"/>
      <c r="D74" s="1"/>
      <c r="E74" s="1"/>
      <c r="F74" s="1"/>
      <c r="G74" s="1"/>
      <c r="H74" s="1"/>
    </row>
    <row r="75" spans="1:8" ht="15.75" customHeight="1">
      <c r="A75" s="1"/>
      <c r="B75" s="1"/>
      <c r="C75" s="1"/>
      <c r="D75" s="1"/>
      <c r="E75" s="1"/>
      <c r="F75" s="1"/>
      <c r="G75" s="1"/>
      <c r="H75" s="1"/>
    </row>
    <row r="76" spans="1:8" ht="15.75" customHeight="1">
      <c r="A76" s="1"/>
      <c r="B76" s="1"/>
      <c r="C76" s="1"/>
      <c r="D76" s="1"/>
      <c r="E76" s="1"/>
      <c r="F76" s="1"/>
      <c r="G76" s="1"/>
      <c r="H76" s="1"/>
    </row>
    <row r="77" spans="1:8" ht="15.75" customHeight="1">
      <c r="A77" s="1"/>
      <c r="B77" s="1"/>
      <c r="C77" s="1"/>
      <c r="D77" s="1"/>
      <c r="E77" s="1"/>
      <c r="F77" s="1"/>
      <c r="G77" s="1"/>
      <c r="H77" s="1"/>
    </row>
    <row r="78" spans="1:8" ht="15.75" customHeight="1">
      <c r="A78" s="1"/>
      <c r="B78" s="1"/>
      <c r="C78" s="1"/>
      <c r="D78" s="1"/>
      <c r="E78" s="1"/>
      <c r="F78" s="1"/>
      <c r="G78" s="1"/>
      <c r="H78" s="1"/>
    </row>
    <row r="79" spans="1:8" ht="15.75" customHeight="1">
      <c r="A79" s="1"/>
      <c r="B79" s="1"/>
      <c r="C79" s="1"/>
      <c r="D79" s="1"/>
      <c r="E79" s="1"/>
      <c r="F79" s="1"/>
      <c r="G79" s="1"/>
      <c r="H79" s="1"/>
    </row>
    <row r="80" spans="1:8" ht="15.75" customHeight="1">
      <c r="A80" s="1"/>
      <c r="B80" s="1"/>
      <c r="C80" s="1"/>
      <c r="D80" s="1"/>
      <c r="E80" s="1"/>
      <c r="F80" s="1"/>
      <c r="G80" s="1"/>
      <c r="H80" s="1"/>
    </row>
    <row r="81" spans="1:8" ht="15.75" customHeight="1">
      <c r="A81" s="1"/>
      <c r="B81" s="1"/>
      <c r="C81" s="1"/>
      <c r="D81" s="1"/>
      <c r="E81" s="1"/>
      <c r="F81" s="1"/>
      <c r="G81" s="1"/>
      <c r="H81" s="1"/>
    </row>
    <row r="82" spans="1:8" ht="15.75" customHeight="1">
      <c r="A82" s="1"/>
      <c r="B82" s="1"/>
      <c r="C82" s="1"/>
      <c r="D82" s="1"/>
      <c r="E82" s="1"/>
      <c r="F82" s="1"/>
      <c r="G82" s="1"/>
      <c r="H82" s="1"/>
    </row>
    <row r="83" spans="1:8" ht="15.75" customHeight="1">
      <c r="A83" s="1"/>
      <c r="B83" s="1"/>
      <c r="C83" s="1"/>
      <c r="D83" s="1"/>
      <c r="E83" s="1"/>
      <c r="F83" s="1"/>
      <c r="G83" s="1"/>
      <c r="H83" s="1"/>
    </row>
    <row r="84" spans="1:8" ht="15.75" customHeight="1">
      <c r="A84" s="1"/>
      <c r="B84" s="1"/>
      <c r="C84" s="1"/>
      <c r="D84" s="1"/>
      <c r="E84" s="1"/>
      <c r="F84" s="1"/>
      <c r="G84" s="1"/>
      <c r="H84" s="1"/>
    </row>
    <row r="85" spans="1:8" ht="15.75" customHeight="1">
      <c r="A85" s="1"/>
      <c r="B85" s="1"/>
      <c r="C85" s="1"/>
      <c r="D85" s="1"/>
      <c r="E85" s="1"/>
      <c r="F85" s="1"/>
      <c r="G85" s="1"/>
      <c r="H85" s="1"/>
    </row>
    <row r="86" spans="1:8" ht="15.75" customHeight="1">
      <c r="A86" s="1"/>
      <c r="B86" s="1"/>
      <c r="C86" s="1"/>
      <c r="D86" s="1"/>
      <c r="E86" s="1"/>
      <c r="F86" s="1"/>
      <c r="G86" s="1"/>
      <c r="H86" s="1"/>
    </row>
    <row r="87" spans="1:8" ht="15.75" customHeight="1">
      <c r="A87" s="1"/>
      <c r="B87" s="1"/>
      <c r="C87" s="1"/>
      <c r="D87" s="1"/>
      <c r="E87" s="1"/>
      <c r="F87" s="1"/>
      <c r="G87" s="1"/>
      <c r="H87" s="1"/>
    </row>
    <row r="88" spans="1:8" ht="15.75" customHeight="1">
      <c r="A88" s="1"/>
      <c r="B88" s="1"/>
      <c r="C88" s="1"/>
      <c r="D88" s="1"/>
      <c r="E88" s="1"/>
      <c r="F88" s="1"/>
      <c r="G88" s="1"/>
      <c r="H88" s="1"/>
    </row>
    <row r="89" spans="1:8" ht="15.75" customHeight="1">
      <c r="A89" s="1"/>
      <c r="B89" s="1"/>
      <c r="C89" s="1"/>
      <c r="D89" s="1"/>
      <c r="E89" s="1"/>
      <c r="F89" s="1"/>
      <c r="G89" s="1"/>
      <c r="H89" s="1"/>
    </row>
    <row r="90" spans="1:8" ht="15.75" customHeight="1">
      <c r="A90" s="1"/>
      <c r="B90" s="1"/>
      <c r="C90" s="1"/>
      <c r="D90" s="1"/>
      <c r="E90" s="1"/>
      <c r="F90" s="1"/>
      <c r="G90" s="1"/>
      <c r="H90" s="1"/>
    </row>
    <row r="91" spans="1:8" ht="15.75" customHeight="1">
      <c r="A91" s="1"/>
      <c r="B91" s="1"/>
      <c r="C91" s="1"/>
      <c r="D91" s="1"/>
      <c r="E91" s="1"/>
      <c r="F91" s="1"/>
      <c r="G91" s="1"/>
      <c r="H91" s="1"/>
    </row>
    <row r="92" spans="1:8" ht="15.75" customHeight="1">
      <c r="A92" s="1"/>
      <c r="B92" s="1"/>
      <c r="C92" s="1"/>
      <c r="D92" s="1"/>
      <c r="E92" s="1"/>
      <c r="F92" s="1"/>
      <c r="G92" s="1"/>
      <c r="H92" s="1"/>
    </row>
    <row r="93" spans="1:8" ht="15.75" customHeight="1">
      <c r="A93" s="1"/>
      <c r="B93" s="1"/>
      <c r="C93" s="1"/>
      <c r="D93" s="1"/>
      <c r="E93" s="1"/>
      <c r="F93" s="1"/>
      <c r="G93" s="1"/>
      <c r="H93" s="1"/>
    </row>
    <row r="94" spans="1:8" ht="15.75" customHeight="1">
      <c r="A94" s="1"/>
      <c r="B94" s="1"/>
      <c r="C94" s="1"/>
      <c r="D94" s="1"/>
      <c r="E94" s="1"/>
      <c r="F94" s="1"/>
      <c r="G94" s="1"/>
      <c r="H94" s="1"/>
    </row>
    <row r="95" spans="1:8" ht="15.75" customHeight="1">
      <c r="A95" s="1"/>
      <c r="B95" s="1"/>
      <c r="C95" s="1"/>
      <c r="D95" s="1"/>
      <c r="E95" s="1"/>
      <c r="F95" s="1"/>
      <c r="G95" s="1"/>
      <c r="H95" s="1"/>
    </row>
    <row r="96" spans="1:8" ht="15.75" customHeight="1">
      <c r="A96" s="1"/>
      <c r="B96" s="1"/>
      <c r="C96" s="1"/>
      <c r="D96" s="1"/>
      <c r="E96" s="1"/>
      <c r="F96" s="1"/>
      <c r="G96" s="1"/>
      <c r="H96" s="1"/>
    </row>
    <row r="97" spans="1:8" ht="15.75" customHeight="1">
      <c r="A97" s="1"/>
      <c r="B97" s="1"/>
      <c r="C97" s="1"/>
      <c r="D97" s="1"/>
      <c r="E97" s="1"/>
      <c r="F97" s="1"/>
      <c r="G97" s="1"/>
      <c r="H97" s="1"/>
    </row>
    <row r="98" spans="1:8" ht="15.75" customHeight="1">
      <c r="A98" s="1"/>
      <c r="B98" s="1"/>
      <c r="C98" s="1"/>
      <c r="D98" s="1"/>
      <c r="E98" s="1"/>
      <c r="F98" s="1"/>
      <c r="G98" s="1"/>
      <c r="H98" s="1"/>
    </row>
    <row r="99" spans="1:8" ht="15.75" customHeight="1">
      <c r="A99" s="1"/>
      <c r="B99" s="1"/>
      <c r="C99" s="1"/>
      <c r="D99" s="1"/>
      <c r="E99" s="1"/>
      <c r="F99" s="1"/>
      <c r="G99" s="1"/>
      <c r="H99" s="1"/>
    </row>
    <row r="100" spans="1:8" ht="15.75" customHeight="1">
      <c r="A100" s="1"/>
      <c r="B100" s="1"/>
      <c r="C100" s="1"/>
      <c r="D100" s="1"/>
      <c r="E100" s="1"/>
      <c r="F100" s="1"/>
      <c r="G100" s="1"/>
      <c r="H100" s="1"/>
    </row>
    <row r="101" spans="1:8" ht="15.75" customHeight="1">
      <c r="A101" s="1"/>
      <c r="B101" s="1"/>
      <c r="C101" s="1"/>
      <c r="D101" s="1"/>
      <c r="E101" s="1"/>
      <c r="F101" s="1"/>
      <c r="G101" s="1"/>
      <c r="H101" s="1"/>
    </row>
    <row r="102" spans="1:8" ht="15.75" customHeight="1">
      <c r="A102" s="1"/>
      <c r="B102" s="1"/>
      <c r="C102" s="1"/>
      <c r="D102" s="1"/>
      <c r="E102" s="1"/>
      <c r="F102" s="1"/>
      <c r="G102" s="1"/>
      <c r="H102" s="1"/>
    </row>
    <row r="103" spans="1:8" ht="15.75" customHeight="1">
      <c r="A103" s="1"/>
      <c r="B103" s="1"/>
      <c r="C103" s="1"/>
      <c r="D103" s="1"/>
      <c r="E103" s="1"/>
      <c r="F103" s="1"/>
      <c r="G103" s="1"/>
      <c r="H103" s="1"/>
    </row>
    <row r="104" spans="1:8" ht="15.75" customHeight="1">
      <c r="A104" s="1"/>
      <c r="B104" s="1"/>
      <c r="C104" s="1"/>
      <c r="D104" s="1"/>
      <c r="E104" s="1"/>
      <c r="F104" s="1"/>
      <c r="G104" s="1"/>
      <c r="H104" s="1"/>
    </row>
    <row r="105" spans="1:8" ht="15.75" customHeight="1">
      <c r="A105" s="1"/>
      <c r="B105" s="1"/>
      <c r="C105" s="1"/>
      <c r="D105" s="1"/>
      <c r="E105" s="1"/>
      <c r="F105" s="1"/>
      <c r="G105" s="1"/>
      <c r="H105" s="1"/>
    </row>
    <row r="106" spans="1:8" ht="15.75" customHeight="1">
      <c r="A106" s="1"/>
      <c r="B106" s="1"/>
      <c r="C106" s="1"/>
      <c r="D106" s="1"/>
      <c r="E106" s="1"/>
      <c r="F106" s="1"/>
      <c r="G106" s="1"/>
      <c r="H106" s="1"/>
    </row>
    <row r="107" spans="1:8" ht="15.75" customHeight="1">
      <c r="A107" s="1"/>
      <c r="B107" s="1"/>
      <c r="C107" s="1"/>
      <c r="D107" s="1"/>
      <c r="E107" s="1"/>
      <c r="F107" s="1"/>
      <c r="G107" s="1"/>
      <c r="H107" s="1"/>
    </row>
    <row r="108" spans="1:8" ht="15.75" customHeight="1">
      <c r="A108" s="1"/>
      <c r="B108" s="1"/>
      <c r="C108" s="1"/>
      <c r="D108" s="1"/>
      <c r="E108" s="1"/>
      <c r="F108" s="1"/>
      <c r="G108" s="1"/>
      <c r="H108" s="1"/>
    </row>
    <row r="109" spans="1:8" ht="15.75" customHeight="1">
      <c r="A109" s="1"/>
      <c r="B109" s="1"/>
      <c r="C109" s="1"/>
      <c r="D109" s="1"/>
      <c r="E109" s="1"/>
      <c r="F109" s="1"/>
      <c r="G109" s="1"/>
      <c r="H109" s="1"/>
    </row>
    <row r="110" spans="1:8" ht="15.75" customHeight="1">
      <c r="A110" s="1"/>
      <c r="B110" s="1"/>
      <c r="C110" s="1"/>
      <c r="D110" s="1"/>
      <c r="E110" s="1"/>
      <c r="F110" s="1"/>
      <c r="G110" s="1"/>
      <c r="H110" s="1"/>
    </row>
    <row r="111" spans="1:8" ht="15.75" customHeight="1">
      <c r="A111" s="1"/>
      <c r="B111" s="1"/>
      <c r="C111" s="1"/>
      <c r="D111" s="1"/>
      <c r="E111" s="1"/>
      <c r="F111" s="1"/>
      <c r="G111" s="1"/>
      <c r="H111" s="1"/>
    </row>
    <row r="112" spans="1:8" ht="15.75" customHeight="1">
      <c r="A112" s="1"/>
      <c r="B112" s="1"/>
      <c r="C112" s="1"/>
      <c r="D112" s="1"/>
      <c r="E112" s="1"/>
      <c r="F112" s="1"/>
      <c r="G112" s="1"/>
      <c r="H112" s="1"/>
    </row>
    <row r="113" spans="1:8" ht="15.75" customHeight="1">
      <c r="A113" s="1"/>
      <c r="B113" s="1"/>
      <c r="C113" s="1"/>
      <c r="D113" s="1"/>
      <c r="E113" s="1"/>
      <c r="F113" s="1"/>
      <c r="G113" s="1"/>
      <c r="H113" s="1"/>
    </row>
    <row r="114" spans="1:8" ht="15.75" customHeight="1">
      <c r="A114" s="1"/>
      <c r="B114" s="1"/>
      <c r="C114" s="1"/>
      <c r="D114" s="1"/>
      <c r="E114" s="1"/>
      <c r="F114" s="1"/>
      <c r="G114" s="1"/>
      <c r="H114" s="1"/>
    </row>
    <row r="115" spans="1:8" ht="15.75" customHeight="1">
      <c r="A115" s="1"/>
      <c r="B115" s="1"/>
      <c r="C115" s="1"/>
      <c r="D115" s="1"/>
      <c r="E115" s="1"/>
      <c r="F115" s="1"/>
      <c r="G115" s="1"/>
      <c r="H115" s="1"/>
    </row>
    <row r="116" spans="1:8" ht="15.75" customHeight="1">
      <c r="A116" s="1"/>
      <c r="B116" s="1"/>
      <c r="C116" s="1"/>
      <c r="D116" s="1"/>
      <c r="E116" s="1"/>
      <c r="F116" s="1"/>
      <c r="G116" s="1"/>
      <c r="H116" s="1"/>
    </row>
    <row r="117" spans="1:8" ht="15.75" customHeight="1">
      <c r="A117" s="1"/>
      <c r="B117" s="1"/>
      <c r="C117" s="1"/>
      <c r="D117" s="1"/>
      <c r="E117" s="1"/>
      <c r="F117" s="1"/>
      <c r="G117" s="1"/>
      <c r="H117" s="1"/>
    </row>
    <row r="118" spans="1:8" ht="15.75" customHeight="1">
      <c r="A118" s="1"/>
      <c r="B118" s="1"/>
      <c r="C118" s="1"/>
      <c r="D118" s="1"/>
      <c r="E118" s="1"/>
      <c r="F118" s="1"/>
      <c r="G118" s="1"/>
      <c r="H118" s="1"/>
    </row>
    <row r="119" spans="1:8" ht="15.75" customHeight="1">
      <c r="A119" s="1"/>
      <c r="B119" s="1"/>
      <c r="C119" s="1"/>
      <c r="D119" s="1"/>
      <c r="E119" s="1"/>
      <c r="F119" s="1"/>
      <c r="G119" s="1"/>
      <c r="H119" s="1"/>
    </row>
    <row r="120" spans="1:8" ht="15.75" customHeight="1">
      <c r="A120" s="1"/>
      <c r="B120" s="1"/>
      <c r="C120" s="1"/>
      <c r="D120" s="1"/>
      <c r="E120" s="1"/>
      <c r="F120" s="1"/>
      <c r="G120" s="1"/>
      <c r="H120" s="1"/>
    </row>
    <row r="121" spans="1:8" ht="15.75" customHeight="1">
      <c r="A121" s="1"/>
      <c r="B121" s="1"/>
      <c r="C121" s="1"/>
      <c r="D121" s="1"/>
      <c r="E121" s="1"/>
      <c r="F121" s="1"/>
      <c r="G121" s="1"/>
      <c r="H121" s="1"/>
    </row>
    <row r="122" spans="1:8" ht="15.75" customHeight="1">
      <c r="A122" s="1"/>
      <c r="B122" s="1"/>
      <c r="C122" s="1"/>
      <c r="D122" s="1"/>
      <c r="E122" s="1"/>
      <c r="F122" s="1"/>
      <c r="G122" s="1"/>
      <c r="H122" s="1"/>
    </row>
    <row r="123" spans="1:8" ht="15.75" customHeight="1">
      <c r="A123" s="1"/>
      <c r="B123" s="1"/>
      <c r="C123" s="1"/>
      <c r="D123" s="1"/>
      <c r="E123" s="1"/>
      <c r="F123" s="1"/>
      <c r="G123" s="1"/>
      <c r="H123" s="1"/>
    </row>
    <row r="124" spans="1:8" ht="15.75" customHeight="1">
      <c r="A124" s="1"/>
      <c r="B124" s="1"/>
      <c r="C124" s="1"/>
      <c r="D124" s="1"/>
      <c r="E124" s="1"/>
      <c r="F124" s="1"/>
      <c r="G124" s="1"/>
      <c r="H124" s="1"/>
    </row>
    <row r="125" spans="1:8" ht="15.75" customHeight="1">
      <c r="A125" s="1"/>
      <c r="B125" s="1"/>
      <c r="C125" s="1"/>
      <c r="D125" s="1"/>
      <c r="E125" s="1"/>
      <c r="F125" s="1"/>
      <c r="G125" s="1"/>
      <c r="H125" s="1"/>
    </row>
    <row r="126" spans="1:8" ht="15.75" customHeight="1">
      <c r="A126" s="1"/>
      <c r="B126" s="1"/>
      <c r="C126" s="1"/>
      <c r="D126" s="1"/>
      <c r="E126" s="1"/>
      <c r="F126" s="1"/>
      <c r="G126" s="1"/>
      <c r="H126" s="1"/>
    </row>
    <row r="127" spans="1:8" ht="15.75" customHeight="1">
      <c r="A127" s="1"/>
      <c r="B127" s="1"/>
      <c r="C127" s="1"/>
      <c r="D127" s="1"/>
      <c r="E127" s="1"/>
      <c r="F127" s="1"/>
      <c r="G127" s="1"/>
      <c r="H127" s="1"/>
    </row>
    <row r="128" spans="1:8" ht="15.75" customHeight="1">
      <c r="A128" s="1"/>
      <c r="B128" s="1"/>
      <c r="C128" s="1"/>
      <c r="D128" s="1"/>
      <c r="E128" s="1"/>
      <c r="F128" s="1"/>
      <c r="G128" s="1"/>
      <c r="H128" s="1"/>
    </row>
    <row r="129" spans="1:8" ht="15.75" customHeight="1">
      <c r="A129" s="1"/>
      <c r="B129" s="1"/>
      <c r="C129" s="1"/>
      <c r="D129" s="1"/>
      <c r="E129" s="1"/>
      <c r="F129" s="1"/>
      <c r="G129" s="1"/>
      <c r="H129" s="1"/>
    </row>
    <row r="130" spans="1:8" ht="15.75" customHeight="1">
      <c r="A130" s="1"/>
      <c r="B130" s="1"/>
      <c r="C130" s="1"/>
      <c r="D130" s="1"/>
      <c r="E130" s="1"/>
      <c r="F130" s="1"/>
      <c r="G130" s="1"/>
      <c r="H130" s="1"/>
    </row>
    <row r="131" spans="1:8" ht="15.75" customHeight="1">
      <c r="A131" s="1"/>
      <c r="B131" s="1"/>
      <c r="C131" s="1"/>
      <c r="D131" s="1"/>
      <c r="E131" s="1"/>
      <c r="F131" s="1"/>
      <c r="G131" s="1"/>
      <c r="H131" s="1"/>
    </row>
    <row r="132" spans="1:8" ht="15.75" customHeight="1">
      <c r="A132" s="1"/>
      <c r="B132" s="1"/>
      <c r="C132" s="1"/>
      <c r="D132" s="1"/>
      <c r="E132" s="1"/>
      <c r="F132" s="1"/>
      <c r="G132" s="1"/>
      <c r="H132" s="1"/>
    </row>
    <row r="133" spans="1:8" ht="15.75" customHeight="1">
      <c r="A133" s="1"/>
      <c r="B133" s="1"/>
      <c r="C133" s="1"/>
      <c r="D133" s="1"/>
      <c r="E133" s="1"/>
      <c r="F133" s="1"/>
      <c r="G133" s="1"/>
      <c r="H133" s="1"/>
    </row>
    <row r="134" spans="1:8" ht="15.75" customHeight="1">
      <c r="A134" s="1"/>
      <c r="B134" s="1"/>
      <c r="C134" s="1"/>
      <c r="D134" s="1"/>
      <c r="E134" s="1"/>
      <c r="F134" s="1"/>
      <c r="G134" s="1"/>
      <c r="H134" s="1"/>
    </row>
    <row r="135" spans="1:8" ht="15.75" customHeight="1">
      <c r="A135" s="1"/>
      <c r="B135" s="1"/>
      <c r="C135" s="1"/>
      <c r="D135" s="1"/>
      <c r="E135" s="1"/>
      <c r="F135" s="1"/>
      <c r="G135" s="1"/>
      <c r="H135" s="1"/>
    </row>
    <row r="136" spans="1:8" ht="15.75" customHeight="1">
      <c r="A136" s="1"/>
      <c r="B136" s="1"/>
      <c r="C136" s="1"/>
      <c r="D136" s="1"/>
      <c r="E136" s="1"/>
      <c r="F136" s="1"/>
      <c r="G136" s="1"/>
      <c r="H136" s="1"/>
    </row>
    <row r="137" spans="1:8" ht="15.75" customHeight="1">
      <c r="A137" s="1"/>
      <c r="B137" s="1"/>
      <c r="C137" s="1"/>
      <c r="D137" s="1"/>
      <c r="E137" s="1"/>
      <c r="F137" s="1"/>
      <c r="G137" s="1"/>
      <c r="H137" s="1"/>
    </row>
    <row r="138" spans="1:8" ht="15.75" customHeight="1">
      <c r="A138" s="1"/>
      <c r="B138" s="1"/>
      <c r="C138" s="1"/>
      <c r="D138" s="1"/>
      <c r="E138" s="1"/>
      <c r="F138" s="1"/>
      <c r="G138" s="1"/>
      <c r="H138" s="1"/>
    </row>
    <row r="139" spans="1:8" ht="15.75" customHeight="1">
      <c r="A139" s="1"/>
      <c r="B139" s="1"/>
      <c r="C139" s="1"/>
      <c r="D139" s="1"/>
      <c r="E139" s="1"/>
      <c r="F139" s="1"/>
      <c r="G139" s="1"/>
      <c r="H139" s="1"/>
    </row>
    <row r="140" spans="1:8" ht="15.75" customHeight="1">
      <c r="A140" s="1"/>
      <c r="B140" s="1"/>
      <c r="C140" s="1"/>
      <c r="D140" s="1"/>
      <c r="E140" s="1"/>
      <c r="F140" s="1"/>
      <c r="G140" s="1"/>
      <c r="H140" s="1"/>
    </row>
    <row r="141" spans="1:8" ht="15.75" customHeight="1">
      <c r="A141" s="1"/>
      <c r="B141" s="1"/>
      <c r="C141" s="1"/>
      <c r="D141" s="1"/>
      <c r="E141" s="1"/>
      <c r="F141" s="1"/>
      <c r="G141" s="1"/>
      <c r="H141" s="1"/>
    </row>
    <row r="142" spans="1:8" ht="15.75" customHeight="1">
      <c r="A142" s="1"/>
      <c r="B142" s="1"/>
      <c r="C142" s="1"/>
      <c r="D142" s="1"/>
      <c r="E142" s="1"/>
      <c r="F142" s="1"/>
      <c r="G142" s="1"/>
      <c r="H142" s="1"/>
    </row>
    <row r="143" spans="1:8" ht="15.75" customHeight="1">
      <c r="A143" s="1"/>
      <c r="B143" s="1"/>
      <c r="C143" s="1"/>
      <c r="D143" s="1"/>
      <c r="E143" s="1"/>
      <c r="F143" s="1"/>
      <c r="G143" s="1"/>
      <c r="H143" s="1"/>
    </row>
    <row r="144" spans="1:8" ht="15.75" customHeight="1">
      <c r="A144" s="1"/>
      <c r="B144" s="1"/>
      <c r="C144" s="1"/>
      <c r="D144" s="1"/>
      <c r="E144" s="1"/>
      <c r="F144" s="1"/>
      <c r="G144" s="1"/>
      <c r="H144" s="1"/>
    </row>
    <row r="145" spans="1:8" ht="15.75" customHeight="1">
      <c r="A145" s="1"/>
      <c r="B145" s="1"/>
      <c r="C145" s="1"/>
      <c r="D145" s="1"/>
      <c r="E145" s="1"/>
      <c r="F145" s="1"/>
      <c r="G145" s="1"/>
      <c r="H145" s="1"/>
    </row>
    <row r="146" spans="1:8" ht="15.75" customHeight="1">
      <c r="A146" s="1"/>
      <c r="B146" s="1"/>
      <c r="C146" s="1"/>
      <c r="D146" s="1"/>
      <c r="E146" s="1"/>
      <c r="F146" s="1"/>
      <c r="G146" s="1"/>
      <c r="H146" s="1"/>
    </row>
    <row r="147" spans="1:8" ht="15.75" customHeight="1">
      <c r="A147" s="1"/>
      <c r="B147" s="1"/>
      <c r="C147" s="1"/>
      <c r="D147" s="1"/>
      <c r="E147" s="1"/>
      <c r="F147" s="1"/>
      <c r="G147" s="1"/>
      <c r="H147" s="1"/>
    </row>
    <row r="148" spans="1:8" ht="15.75" customHeight="1">
      <c r="A148" s="1"/>
      <c r="B148" s="1"/>
      <c r="C148" s="1"/>
      <c r="D148" s="1"/>
      <c r="E148" s="1"/>
      <c r="F148" s="1"/>
      <c r="G148" s="1"/>
      <c r="H148" s="1"/>
    </row>
    <row r="149" spans="1:8" ht="15.75" customHeight="1">
      <c r="A149" s="1"/>
      <c r="B149" s="1"/>
      <c r="C149" s="1"/>
      <c r="D149" s="1"/>
      <c r="E149" s="1"/>
      <c r="F149" s="1"/>
      <c r="G149" s="1"/>
      <c r="H149" s="1"/>
    </row>
    <row r="150" spans="1:8" ht="15.75" customHeight="1">
      <c r="A150" s="1"/>
      <c r="B150" s="1"/>
      <c r="C150" s="1"/>
      <c r="D150" s="1"/>
      <c r="E150" s="1"/>
      <c r="F150" s="1"/>
      <c r="G150" s="1"/>
      <c r="H150" s="1"/>
    </row>
    <row r="151" spans="1:8" ht="15.75" customHeight="1">
      <c r="A151" s="1"/>
      <c r="B151" s="1"/>
      <c r="C151" s="1"/>
      <c r="D151" s="1"/>
      <c r="E151" s="1"/>
      <c r="F151" s="1"/>
      <c r="G151" s="1"/>
      <c r="H151" s="1"/>
    </row>
    <row r="152" spans="1:8" ht="15.75" customHeight="1">
      <c r="A152" s="1"/>
      <c r="B152" s="1"/>
      <c r="C152" s="1"/>
      <c r="D152" s="1"/>
      <c r="E152" s="1"/>
      <c r="F152" s="1"/>
      <c r="G152" s="1"/>
      <c r="H152" s="1"/>
    </row>
    <row r="153" spans="1:8" ht="15.75" customHeight="1">
      <c r="A153" s="1"/>
      <c r="B153" s="1"/>
      <c r="C153" s="1"/>
      <c r="D153" s="1"/>
      <c r="E153" s="1"/>
      <c r="F153" s="1"/>
      <c r="G153" s="1"/>
      <c r="H153" s="1"/>
    </row>
    <row r="154" spans="1:8" ht="15.75" customHeight="1">
      <c r="A154" s="1"/>
      <c r="B154" s="1"/>
      <c r="C154" s="1"/>
      <c r="D154" s="1"/>
      <c r="E154" s="1"/>
      <c r="F154" s="1"/>
      <c r="G154" s="1"/>
      <c r="H154" s="1"/>
    </row>
    <row r="155" spans="1:8" ht="15.75" customHeight="1">
      <c r="A155" s="1"/>
      <c r="B155" s="1"/>
      <c r="C155" s="1"/>
      <c r="D155" s="1"/>
      <c r="E155" s="1"/>
      <c r="F155" s="1"/>
      <c r="G155" s="1"/>
      <c r="H155" s="1"/>
    </row>
    <row r="156" spans="1:8" ht="15.75" customHeight="1">
      <c r="A156" s="1"/>
      <c r="B156" s="1"/>
      <c r="C156" s="1"/>
      <c r="D156" s="1"/>
      <c r="E156" s="1"/>
      <c r="F156" s="1"/>
      <c r="G156" s="1"/>
      <c r="H156" s="1"/>
    </row>
    <row r="157" spans="1:8" ht="15.75" customHeight="1">
      <c r="A157" s="1"/>
      <c r="B157" s="1"/>
      <c r="C157" s="1"/>
      <c r="D157" s="1"/>
      <c r="E157" s="1"/>
      <c r="F157" s="1"/>
      <c r="G157" s="1"/>
      <c r="H157" s="1"/>
    </row>
    <row r="158" spans="1:8" ht="15.75" customHeight="1">
      <c r="A158" s="1"/>
      <c r="B158" s="1"/>
      <c r="C158" s="1"/>
      <c r="D158" s="1"/>
      <c r="E158" s="1"/>
      <c r="F158" s="1"/>
      <c r="G158" s="1"/>
      <c r="H158" s="1"/>
    </row>
    <row r="159" spans="1:8" ht="15.75" customHeight="1">
      <c r="A159" s="1"/>
      <c r="B159" s="1"/>
      <c r="C159" s="1"/>
      <c r="D159" s="1"/>
      <c r="E159" s="1"/>
      <c r="F159" s="1"/>
      <c r="G159" s="1"/>
      <c r="H159" s="1"/>
    </row>
    <row r="160" spans="1:8" ht="15.75" customHeight="1">
      <c r="A160" s="1"/>
      <c r="B160" s="1"/>
      <c r="C160" s="1"/>
      <c r="D160" s="1"/>
      <c r="E160" s="1"/>
      <c r="F160" s="1"/>
      <c r="G160" s="1"/>
      <c r="H160" s="1"/>
    </row>
    <row r="161" spans="1:8" ht="15.75" customHeight="1">
      <c r="A161" s="1"/>
      <c r="B161" s="1"/>
      <c r="C161" s="1"/>
      <c r="D161" s="1"/>
      <c r="E161" s="1"/>
      <c r="F161" s="1"/>
      <c r="G161" s="1"/>
      <c r="H161" s="1"/>
    </row>
    <row r="162" spans="1:8" ht="15.75" customHeight="1">
      <c r="A162" s="1"/>
      <c r="B162" s="1"/>
      <c r="C162" s="1"/>
      <c r="D162" s="1"/>
      <c r="E162" s="1"/>
      <c r="F162" s="1"/>
      <c r="G162" s="1"/>
      <c r="H162" s="1"/>
    </row>
    <row r="163" spans="1:8" ht="15.75" customHeight="1">
      <c r="A163" s="1"/>
      <c r="B163" s="1"/>
      <c r="C163" s="1"/>
      <c r="D163" s="1"/>
      <c r="E163" s="1"/>
      <c r="F163" s="1"/>
      <c r="G163" s="1"/>
      <c r="H163" s="1"/>
    </row>
    <row r="164" spans="1:8" ht="15.75" customHeight="1">
      <c r="A164" s="1"/>
      <c r="B164" s="1"/>
      <c r="C164" s="1"/>
      <c r="D164" s="1"/>
      <c r="E164" s="1"/>
      <c r="F164" s="1"/>
      <c r="G164" s="1"/>
      <c r="H164" s="1"/>
    </row>
    <row r="165" spans="1:8" ht="15.75" customHeight="1">
      <c r="A165" s="1"/>
      <c r="B165" s="1"/>
      <c r="C165" s="1"/>
      <c r="D165" s="1"/>
      <c r="E165" s="1"/>
      <c r="F165" s="1"/>
      <c r="G165" s="1"/>
      <c r="H165" s="1"/>
    </row>
    <row r="166" spans="1:8" ht="15.75" customHeight="1">
      <c r="A166" s="1"/>
      <c r="B166" s="1"/>
      <c r="C166" s="1"/>
      <c r="D166" s="1"/>
      <c r="E166" s="1"/>
      <c r="F166" s="1"/>
      <c r="G166" s="1"/>
      <c r="H166" s="1"/>
    </row>
    <row r="167" spans="1:8" ht="15.75" customHeight="1">
      <c r="A167" s="1"/>
      <c r="B167" s="1"/>
      <c r="C167" s="1"/>
      <c r="D167" s="1"/>
      <c r="E167" s="1"/>
      <c r="F167" s="1"/>
      <c r="G167" s="1"/>
      <c r="H167" s="1"/>
    </row>
    <row r="168" spans="1:8" ht="15.75" customHeight="1">
      <c r="A168" s="1"/>
      <c r="B168" s="1"/>
      <c r="C168" s="1"/>
      <c r="D168" s="1"/>
      <c r="E168" s="1"/>
      <c r="F168" s="1"/>
      <c r="G168" s="1"/>
      <c r="H168" s="1"/>
    </row>
    <row r="169" spans="1:8" ht="15.75" customHeight="1">
      <c r="A169" s="1"/>
      <c r="B169" s="1"/>
      <c r="C169" s="1"/>
      <c r="D169" s="1"/>
      <c r="E169" s="1"/>
      <c r="F169" s="1"/>
      <c r="G169" s="1"/>
      <c r="H169" s="1"/>
    </row>
    <row r="170" spans="1:8" ht="15.75" customHeight="1">
      <c r="A170" s="1"/>
      <c r="B170" s="1"/>
      <c r="C170" s="1"/>
      <c r="D170" s="1"/>
      <c r="E170" s="1"/>
      <c r="F170" s="1"/>
      <c r="G170" s="1"/>
      <c r="H170" s="1"/>
    </row>
    <row r="171" spans="1:8" ht="15.75" customHeight="1">
      <c r="A171" s="1"/>
      <c r="B171" s="1"/>
      <c r="C171" s="1"/>
      <c r="D171" s="1"/>
      <c r="E171" s="1"/>
      <c r="F171" s="1"/>
      <c r="G171" s="1"/>
      <c r="H171" s="1"/>
    </row>
    <row r="172" spans="1:8" ht="15.75" customHeight="1">
      <c r="A172" s="1"/>
      <c r="B172" s="1"/>
      <c r="C172" s="1"/>
      <c r="D172" s="1"/>
      <c r="E172" s="1"/>
      <c r="F172" s="1"/>
      <c r="G172" s="1"/>
      <c r="H172" s="1"/>
    </row>
    <row r="173" spans="1:8" ht="15.75" customHeight="1">
      <c r="A173" s="1"/>
      <c r="B173" s="1"/>
      <c r="C173" s="1"/>
      <c r="D173" s="1"/>
      <c r="E173" s="1"/>
      <c r="F173" s="1"/>
      <c r="G173" s="1"/>
      <c r="H173" s="1"/>
    </row>
    <row r="174" spans="1:8" ht="15.75" customHeight="1">
      <c r="A174" s="1"/>
      <c r="B174" s="1"/>
      <c r="C174" s="1"/>
      <c r="D174" s="1"/>
      <c r="E174" s="1"/>
      <c r="F174" s="1"/>
      <c r="G174" s="1"/>
      <c r="H174" s="1"/>
    </row>
    <row r="175" spans="1:8" ht="15.75" customHeight="1">
      <c r="A175" s="1"/>
      <c r="B175" s="1"/>
      <c r="C175" s="1"/>
      <c r="D175" s="1"/>
      <c r="E175" s="1"/>
      <c r="F175" s="1"/>
      <c r="G175" s="1"/>
      <c r="H175" s="1"/>
    </row>
    <row r="176" spans="1:8" ht="15.75" customHeight="1">
      <c r="A176" s="1"/>
      <c r="B176" s="1"/>
      <c r="C176" s="1"/>
      <c r="D176" s="1"/>
      <c r="E176" s="1"/>
      <c r="F176" s="1"/>
      <c r="G176" s="1"/>
      <c r="H176" s="1"/>
    </row>
    <row r="177" spans="1:8" ht="15.75" customHeight="1">
      <c r="A177" s="1"/>
      <c r="B177" s="1"/>
      <c r="C177" s="1"/>
      <c r="D177" s="1"/>
      <c r="E177" s="1"/>
      <c r="F177" s="1"/>
      <c r="G177" s="1"/>
      <c r="H177" s="1"/>
    </row>
    <row r="178" spans="1:8" ht="15.75" customHeight="1">
      <c r="A178" s="1"/>
      <c r="B178" s="1"/>
      <c r="C178" s="1"/>
      <c r="D178" s="1"/>
      <c r="E178" s="1"/>
      <c r="F178" s="1"/>
      <c r="G178" s="1"/>
      <c r="H178" s="1"/>
    </row>
    <row r="179" spans="1:8" ht="15.75" customHeight="1">
      <c r="A179" s="1"/>
      <c r="B179" s="1"/>
      <c r="C179" s="1"/>
      <c r="D179" s="1"/>
      <c r="E179" s="1"/>
      <c r="F179" s="1"/>
      <c r="G179" s="1"/>
      <c r="H179" s="1"/>
    </row>
    <row r="180" spans="1:8" ht="15.75" customHeight="1">
      <c r="A180" s="1"/>
      <c r="B180" s="1"/>
      <c r="C180" s="1"/>
      <c r="D180" s="1"/>
      <c r="E180" s="1"/>
      <c r="F180" s="1"/>
      <c r="G180" s="1"/>
      <c r="H180" s="1"/>
    </row>
    <row r="181" spans="1:8" ht="15.75" customHeight="1">
      <c r="A181" s="1"/>
      <c r="B181" s="1"/>
      <c r="C181" s="1"/>
      <c r="D181" s="1"/>
      <c r="E181" s="1"/>
      <c r="F181" s="1"/>
      <c r="G181" s="1"/>
      <c r="H181" s="1"/>
    </row>
    <row r="182" spans="1:8" ht="15.75" customHeight="1">
      <c r="A182" s="1"/>
      <c r="B182" s="1"/>
      <c r="C182" s="1"/>
      <c r="D182" s="1"/>
      <c r="E182" s="1"/>
      <c r="F182" s="1"/>
      <c r="G182" s="1"/>
      <c r="H182" s="1"/>
    </row>
    <row r="183" spans="1:8" ht="15.75" customHeight="1">
      <c r="A183" s="1"/>
      <c r="B183" s="1"/>
      <c r="C183" s="1"/>
      <c r="D183" s="1"/>
      <c r="E183" s="1"/>
      <c r="F183" s="1"/>
      <c r="G183" s="1"/>
      <c r="H183" s="1"/>
    </row>
    <row r="184" spans="1:8" ht="15.75" customHeight="1">
      <c r="A184" s="1"/>
      <c r="B184" s="1"/>
      <c r="C184" s="1"/>
      <c r="D184" s="1"/>
      <c r="E184" s="1"/>
      <c r="F184" s="1"/>
      <c r="G184" s="1"/>
      <c r="H184" s="1"/>
    </row>
    <row r="185" spans="1:8" ht="15.75" customHeight="1">
      <c r="A185" s="1"/>
      <c r="B185" s="1"/>
      <c r="C185" s="1"/>
      <c r="D185" s="1"/>
      <c r="E185" s="1"/>
      <c r="F185" s="1"/>
      <c r="G185" s="1"/>
      <c r="H185" s="1"/>
    </row>
    <row r="186" spans="1:8" ht="15.75" customHeight="1">
      <c r="A186" s="1"/>
      <c r="B186" s="1"/>
      <c r="C186" s="1"/>
      <c r="D186" s="1"/>
      <c r="E186" s="1"/>
      <c r="F186" s="1"/>
      <c r="G186" s="1"/>
      <c r="H186" s="1"/>
    </row>
    <row r="187" spans="1:8" ht="15.75" customHeight="1">
      <c r="A187" s="1"/>
      <c r="B187" s="1"/>
      <c r="C187" s="1"/>
      <c r="D187" s="1"/>
      <c r="E187" s="1"/>
      <c r="F187" s="1"/>
      <c r="G187" s="1"/>
      <c r="H187" s="1"/>
    </row>
    <row r="188" spans="1:8" ht="15.75" customHeight="1">
      <c r="A188" s="1"/>
      <c r="B188" s="1"/>
      <c r="C188" s="1"/>
      <c r="D188" s="1"/>
      <c r="E188" s="1"/>
      <c r="F188" s="1"/>
      <c r="G188" s="1"/>
      <c r="H188" s="1"/>
    </row>
    <row r="189" spans="1:8" ht="15.75" customHeight="1">
      <c r="A189" s="1"/>
      <c r="B189" s="1"/>
      <c r="C189" s="1"/>
      <c r="D189" s="1"/>
      <c r="E189" s="1"/>
      <c r="F189" s="1"/>
      <c r="G189" s="1"/>
      <c r="H189" s="1"/>
    </row>
    <row r="190" spans="1:8" ht="15.75" customHeight="1">
      <c r="A190" s="1"/>
      <c r="B190" s="1"/>
      <c r="C190" s="1"/>
      <c r="D190" s="1"/>
      <c r="E190" s="1"/>
      <c r="F190" s="1"/>
      <c r="G190" s="1"/>
      <c r="H190" s="1"/>
    </row>
    <row r="191" spans="1:8" ht="15.75" customHeight="1">
      <c r="A191" s="1"/>
      <c r="B191" s="1"/>
      <c r="C191" s="1"/>
      <c r="D191" s="1"/>
      <c r="E191" s="1"/>
      <c r="F191" s="1"/>
      <c r="G191" s="1"/>
      <c r="H191" s="1"/>
    </row>
    <row r="192" spans="1:8" ht="15.75" customHeight="1">
      <c r="A192" s="1"/>
      <c r="B192" s="1"/>
      <c r="C192" s="1"/>
      <c r="D192" s="1"/>
      <c r="E192" s="1"/>
      <c r="F192" s="1"/>
      <c r="G192" s="1"/>
      <c r="H192" s="1"/>
    </row>
    <row r="193" spans="1:8" ht="15.75" customHeight="1">
      <c r="A193" s="1"/>
      <c r="B193" s="1"/>
      <c r="C193" s="1"/>
      <c r="D193" s="1"/>
      <c r="E193" s="1"/>
      <c r="F193" s="1"/>
      <c r="G193" s="1"/>
      <c r="H193" s="1"/>
    </row>
    <row r="194" spans="1:8" ht="15.75" customHeight="1">
      <c r="A194" s="1"/>
      <c r="B194" s="1"/>
      <c r="C194" s="1"/>
      <c r="D194" s="1"/>
      <c r="E194" s="1"/>
      <c r="F194" s="1"/>
      <c r="G194" s="1"/>
      <c r="H194" s="1"/>
    </row>
    <row r="195" spans="1:8" ht="15.75" customHeight="1">
      <c r="A195" s="1"/>
      <c r="B195" s="1"/>
      <c r="C195" s="1"/>
      <c r="D195" s="1"/>
      <c r="E195" s="1"/>
      <c r="F195" s="1"/>
      <c r="G195" s="1"/>
      <c r="H195" s="1"/>
    </row>
    <row r="196" spans="1:8" ht="15.75" customHeight="1">
      <c r="A196" s="1"/>
      <c r="B196" s="1"/>
      <c r="C196" s="1"/>
      <c r="D196" s="1"/>
      <c r="E196" s="1"/>
      <c r="F196" s="1"/>
      <c r="G196" s="1"/>
      <c r="H196" s="1"/>
    </row>
    <row r="197" spans="1:8" ht="15.75" customHeight="1">
      <c r="A197" s="1"/>
      <c r="B197" s="1"/>
      <c r="C197" s="1"/>
      <c r="D197" s="1"/>
      <c r="E197" s="1"/>
      <c r="F197" s="1"/>
      <c r="G197" s="1"/>
      <c r="H197" s="1"/>
    </row>
    <row r="198" spans="1:8" ht="15.75" customHeight="1">
      <c r="A198" s="1"/>
      <c r="B198" s="1"/>
      <c r="C198" s="1"/>
      <c r="D198" s="1"/>
      <c r="E198" s="1"/>
      <c r="F198" s="1"/>
      <c r="G198" s="1"/>
      <c r="H198" s="1"/>
    </row>
    <row r="199" spans="1:8" ht="15.75" customHeight="1">
      <c r="A199" s="1"/>
      <c r="B199" s="1"/>
      <c r="C199" s="1"/>
      <c r="D199" s="1"/>
      <c r="E199" s="1"/>
      <c r="F199" s="1"/>
      <c r="G199" s="1"/>
      <c r="H199" s="1"/>
    </row>
    <row r="200" spans="1:8" ht="15.75" customHeight="1">
      <c r="A200" s="1"/>
      <c r="B200" s="1"/>
      <c r="C200" s="1"/>
      <c r="D200" s="1"/>
      <c r="E200" s="1"/>
      <c r="F200" s="1"/>
      <c r="G200" s="1"/>
      <c r="H200" s="1"/>
    </row>
    <row r="201" spans="1:8" ht="15.75" customHeight="1">
      <c r="A201" s="1"/>
      <c r="B201" s="1"/>
      <c r="C201" s="1"/>
      <c r="D201" s="1"/>
      <c r="E201" s="1"/>
      <c r="F201" s="1"/>
      <c r="G201" s="1"/>
      <c r="H201" s="1"/>
    </row>
    <row r="202" spans="1:8" ht="15.75" customHeight="1">
      <c r="A202" s="1"/>
      <c r="B202" s="1"/>
      <c r="C202" s="1"/>
      <c r="D202" s="1"/>
      <c r="E202" s="1"/>
      <c r="F202" s="1"/>
      <c r="G202" s="1"/>
      <c r="H202" s="1"/>
    </row>
    <row r="203" spans="1:8" ht="15.75" customHeight="1">
      <c r="A203" s="1"/>
      <c r="B203" s="1"/>
      <c r="C203" s="1"/>
      <c r="D203" s="1"/>
      <c r="E203" s="1"/>
      <c r="F203" s="1"/>
      <c r="G203" s="1"/>
      <c r="H203" s="1"/>
    </row>
    <row r="204" spans="1:8" ht="15.75" customHeight="1">
      <c r="A204" s="1"/>
      <c r="B204" s="1"/>
      <c r="C204" s="1"/>
      <c r="D204" s="1"/>
      <c r="E204" s="1"/>
      <c r="F204" s="1"/>
      <c r="G204" s="1"/>
      <c r="H204" s="1"/>
    </row>
    <row r="205" spans="1:8" ht="15.75" customHeight="1">
      <c r="A205" s="1"/>
      <c r="B205" s="1"/>
      <c r="C205" s="1"/>
      <c r="D205" s="1"/>
      <c r="E205" s="1"/>
      <c r="F205" s="1"/>
      <c r="G205" s="1"/>
      <c r="H205" s="1"/>
    </row>
    <row r="206" spans="1:8" ht="15.75" customHeight="1">
      <c r="A206" s="1"/>
      <c r="B206" s="1"/>
      <c r="C206" s="1"/>
      <c r="D206" s="1"/>
      <c r="E206" s="1"/>
      <c r="F206" s="1"/>
      <c r="G206" s="1"/>
      <c r="H206" s="1"/>
    </row>
    <row r="207" spans="1:8" ht="15.75" customHeight="1">
      <c r="A207" s="1"/>
      <c r="B207" s="1"/>
      <c r="C207" s="1"/>
      <c r="D207" s="1"/>
      <c r="E207" s="1"/>
      <c r="F207" s="1"/>
      <c r="G207" s="1"/>
      <c r="H207" s="1"/>
    </row>
    <row r="208" spans="1:8" ht="15.75" customHeight="1">
      <c r="A208" s="1"/>
      <c r="B208" s="1"/>
      <c r="C208" s="1"/>
      <c r="D208" s="1"/>
      <c r="E208" s="1"/>
      <c r="F208" s="1"/>
      <c r="G208" s="1"/>
      <c r="H208" s="1"/>
    </row>
    <row r="209" spans="1:8" ht="15.75" customHeight="1">
      <c r="A209" s="1"/>
      <c r="B209" s="1"/>
      <c r="C209" s="1"/>
      <c r="D209" s="1"/>
      <c r="E209" s="1"/>
      <c r="F209" s="1"/>
      <c r="G209" s="1"/>
      <c r="H209" s="1"/>
    </row>
    <row r="210" spans="1:8" ht="15.75" customHeight="1">
      <c r="A210" s="1"/>
      <c r="B210" s="1"/>
      <c r="C210" s="1"/>
      <c r="D210" s="1"/>
      <c r="E210" s="1"/>
      <c r="F210" s="1"/>
      <c r="G210" s="1"/>
      <c r="H210" s="1"/>
    </row>
    <row r="211" spans="1:8" ht="15.75" customHeight="1">
      <c r="A211" s="1"/>
      <c r="B211" s="1"/>
      <c r="C211" s="1"/>
      <c r="D211" s="1"/>
      <c r="E211" s="1"/>
      <c r="F211" s="1"/>
      <c r="G211" s="1"/>
      <c r="H211" s="1"/>
    </row>
    <row r="212" spans="1:8" ht="15.75" customHeight="1">
      <c r="A212" s="1"/>
      <c r="B212" s="1"/>
      <c r="C212" s="1"/>
      <c r="D212" s="1"/>
      <c r="E212" s="1"/>
      <c r="F212" s="1"/>
      <c r="G212" s="1"/>
      <c r="H212" s="1"/>
    </row>
    <row r="213" spans="1:8" ht="15.75" customHeight="1">
      <c r="A213" s="1"/>
      <c r="B213" s="1"/>
      <c r="C213" s="1"/>
      <c r="D213" s="1"/>
      <c r="E213" s="1"/>
      <c r="F213" s="1"/>
      <c r="G213" s="1"/>
      <c r="H213" s="1"/>
    </row>
    <row r="214" spans="1:8" ht="15.75" customHeight="1">
      <c r="A214" s="1"/>
      <c r="B214" s="1"/>
      <c r="C214" s="1"/>
      <c r="D214" s="1"/>
      <c r="E214" s="1"/>
      <c r="F214" s="1"/>
      <c r="G214" s="1"/>
      <c r="H214" s="1"/>
    </row>
    <row r="215" spans="1:8" ht="15.75" customHeight="1">
      <c r="A215" s="1"/>
      <c r="B215" s="1"/>
      <c r="C215" s="1"/>
      <c r="D215" s="1"/>
      <c r="E215" s="1"/>
      <c r="F215" s="1"/>
      <c r="G215" s="1"/>
      <c r="H215" s="1"/>
    </row>
    <row r="216" spans="1:8" ht="15.75" customHeight="1">
      <c r="A216" s="1"/>
      <c r="B216" s="1"/>
      <c r="C216" s="1"/>
      <c r="D216" s="1"/>
      <c r="E216" s="1"/>
      <c r="F216" s="1"/>
      <c r="G216" s="1"/>
      <c r="H216" s="1"/>
    </row>
    <row r="217" spans="1:8" ht="15.75" customHeight="1">
      <c r="A217" s="1"/>
      <c r="B217" s="1"/>
      <c r="C217" s="1"/>
      <c r="D217" s="1"/>
      <c r="E217" s="1"/>
      <c r="F217" s="1"/>
      <c r="G217" s="1"/>
      <c r="H217" s="1"/>
    </row>
    <row r="218" spans="1:8" ht="15.75" customHeight="1">
      <c r="A218" s="1"/>
      <c r="B218" s="1"/>
      <c r="C218" s="1"/>
      <c r="D218" s="1"/>
      <c r="E218" s="1"/>
      <c r="F218" s="1"/>
      <c r="G218" s="1"/>
      <c r="H218" s="1"/>
    </row>
    <row r="219" spans="1:8" ht="15.75" customHeight="1">
      <c r="A219" s="1"/>
      <c r="B219" s="1"/>
      <c r="C219" s="1"/>
      <c r="D219" s="1"/>
      <c r="E219" s="1"/>
      <c r="F219" s="1"/>
      <c r="G219" s="1"/>
      <c r="H219" s="1"/>
    </row>
    <row r="220" spans="1:8" ht="15.75" customHeight="1">
      <c r="A220" s="1"/>
      <c r="B220" s="1"/>
      <c r="C220" s="1"/>
      <c r="D220" s="1"/>
      <c r="E220" s="1"/>
      <c r="F220" s="1"/>
      <c r="G220" s="1"/>
      <c r="H220" s="1"/>
    </row>
    <row r="221" spans="1:8" ht="15.75" customHeight="1">
      <c r="A221" s="1"/>
      <c r="B221" s="1"/>
      <c r="C221" s="1"/>
      <c r="D221" s="1"/>
      <c r="E221" s="1"/>
      <c r="F221" s="1"/>
      <c r="G221" s="1"/>
      <c r="H221" s="1"/>
    </row>
    <row r="222" spans="1:8" ht="15.75" customHeight="1">
      <c r="A222" s="1"/>
      <c r="B222" s="1"/>
      <c r="C222" s="1"/>
      <c r="D222" s="1"/>
      <c r="E222" s="1"/>
      <c r="F222" s="1"/>
      <c r="G222" s="1"/>
      <c r="H222" s="1"/>
    </row>
    <row r="223" spans="1:8" ht="15.75" customHeight="1">
      <c r="A223" s="1"/>
      <c r="B223" s="1"/>
      <c r="C223" s="1"/>
      <c r="D223" s="1"/>
      <c r="E223" s="1"/>
      <c r="F223" s="1"/>
      <c r="G223" s="1"/>
      <c r="H223" s="1"/>
    </row>
    <row r="224" spans="1:8" ht="15.75" customHeight="1">
      <c r="A224" s="1"/>
      <c r="B224" s="1"/>
      <c r="C224" s="1"/>
      <c r="D224" s="1"/>
      <c r="E224" s="1"/>
      <c r="F224" s="1"/>
      <c r="G224" s="1"/>
      <c r="H224" s="1"/>
    </row>
    <row r="225" spans="1:8" ht="15.75" customHeight="1">
      <c r="A225" s="1"/>
      <c r="B225" s="1"/>
      <c r="C225" s="1"/>
      <c r="D225" s="1"/>
      <c r="E225" s="1"/>
      <c r="F225" s="1"/>
      <c r="G225" s="1"/>
      <c r="H225" s="1"/>
    </row>
    <row r="226" spans="1:8" ht="15.75" customHeight="1">
      <c r="A226" s="1"/>
      <c r="B226" s="1"/>
      <c r="C226" s="1"/>
      <c r="D226" s="1"/>
      <c r="E226" s="1"/>
      <c r="F226" s="1"/>
      <c r="G226" s="1"/>
      <c r="H226" s="1"/>
    </row>
    <row r="227" spans="1:8" ht="15.75" customHeight="1">
      <c r="A227" s="1"/>
      <c r="B227" s="1"/>
      <c r="C227" s="1"/>
      <c r="D227" s="1"/>
      <c r="E227" s="1"/>
      <c r="F227" s="1"/>
      <c r="G227" s="1"/>
      <c r="H227" s="1"/>
    </row>
    <row r="228" spans="1:8" ht="15.75" customHeight="1">
      <c r="A228" s="1"/>
      <c r="B228" s="1"/>
      <c r="C228" s="1"/>
      <c r="D228" s="1"/>
      <c r="E228" s="1"/>
      <c r="F228" s="1"/>
      <c r="G228" s="1"/>
      <c r="H228" s="1"/>
    </row>
    <row r="229" spans="1:8" ht="15.75" customHeight="1">
      <c r="A229" s="1"/>
      <c r="B229" s="1"/>
      <c r="C229" s="1"/>
      <c r="D229" s="1"/>
      <c r="E229" s="1"/>
      <c r="F229" s="1"/>
      <c r="G229" s="1"/>
      <c r="H229" s="1"/>
    </row>
    <row r="230" spans="1:8" ht="15.75" customHeight="1">
      <c r="A230" s="1"/>
      <c r="B230" s="1"/>
      <c r="C230" s="1"/>
      <c r="D230" s="1"/>
      <c r="E230" s="1"/>
      <c r="F230" s="1"/>
      <c r="G230" s="1"/>
      <c r="H230" s="1"/>
    </row>
    <row r="231" spans="1:8" ht="15.75" customHeight="1">
      <c r="A231" s="1"/>
      <c r="B231" s="1"/>
      <c r="C231" s="1"/>
      <c r="D231" s="1"/>
      <c r="E231" s="1"/>
      <c r="F231" s="1"/>
      <c r="G231" s="1"/>
      <c r="H231" s="1"/>
    </row>
    <row r="232" spans="1:8" ht="15.75" customHeight="1">
      <c r="A232" s="1"/>
      <c r="B232" s="1"/>
      <c r="C232" s="1"/>
      <c r="D232" s="1"/>
      <c r="E232" s="1"/>
      <c r="F232" s="1"/>
      <c r="G232" s="1"/>
      <c r="H232" s="1"/>
    </row>
    <row r="233" spans="1:8" ht="15.75" customHeight="1">
      <c r="A233" s="1"/>
      <c r="B233" s="1"/>
      <c r="C233" s="1"/>
      <c r="D233" s="1"/>
      <c r="E233" s="1"/>
      <c r="F233" s="1"/>
      <c r="G233" s="1"/>
      <c r="H233" s="1"/>
    </row>
    <row r="234" spans="1:8" ht="15.75" customHeight="1">
      <c r="A234" s="1"/>
      <c r="B234" s="1"/>
      <c r="C234" s="1"/>
      <c r="D234" s="1"/>
      <c r="E234" s="1"/>
      <c r="F234" s="1"/>
      <c r="G234" s="1"/>
      <c r="H234" s="1"/>
    </row>
    <row r="235" spans="1:8" ht="15.75" customHeight="1">
      <c r="A235" s="1"/>
      <c r="B235" s="1"/>
      <c r="C235" s="1"/>
      <c r="D235" s="1"/>
      <c r="E235" s="1"/>
      <c r="F235" s="1"/>
      <c r="G235" s="1"/>
      <c r="H235" s="1"/>
    </row>
    <row r="236" spans="1:8" ht="15.75" customHeight="1">
      <c r="A236" s="1"/>
      <c r="B236" s="1"/>
      <c r="C236" s="1"/>
      <c r="D236" s="1"/>
      <c r="E236" s="1"/>
      <c r="F236" s="1"/>
      <c r="G236" s="1"/>
      <c r="H236" s="1"/>
    </row>
    <row r="237" spans="1:8" ht="15.75" customHeight="1">
      <c r="A237" s="1"/>
      <c r="B237" s="1"/>
      <c r="C237" s="1"/>
      <c r="D237" s="1"/>
      <c r="E237" s="1"/>
      <c r="F237" s="1"/>
      <c r="G237" s="1"/>
      <c r="H237" s="1"/>
    </row>
    <row r="238" spans="1:8" ht="15.75" customHeight="1">
      <c r="A238" s="1"/>
      <c r="B238" s="1"/>
      <c r="C238" s="1"/>
      <c r="D238" s="1"/>
      <c r="E238" s="1"/>
      <c r="F238" s="1"/>
      <c r="G238" s="1"/>
      <c r="H238" s="1"/>
    </row>
    <row r="239" spans="1:8" ht="15.75" customHeight="1">
      <c r="A239" s="1"/>
      <c r="B239" s="1"/>
      <c r="C239" s="1"/>
      <c r="D239" s="1"/>
      <c r="E239" s="1"/>
      <c r="F239" s="1"/>
      <c r="G239" s="1"/>
      <c r="H239" s="1"/>
    </row>
    <row r="240" spans="1:8" ht="15.75" customHeight="1">
      <c r="A240" s="1"/>
      <c r="B240" s="1"/>
      <c r="C240" s="1"/>
      <c r="D240" s="1"/>
      <c r="E240" s="1"/>
      <c r="F240" s="1"/>
      <c r="G240" s="1"/>
      <c r="H240" s="1"/>
    </row>
    <row r="241" spans="1:8" ht="15.75" customHeight="1">
      <c r="A241" s="1"/>
      <c r="B241" s="1"/>
      <c r="C241" s="1"/>
      <c r="D241" s="1"/>
      <c r="E241" s="1"/>
      <c r="F241" s="1"/>
      <c r="G241" s="1"/>
      <c r="H241" s="1"/>
    </row>
    <row r="242" spans="1:8" ht="15.75" customHeight="1">
      <c r="A242" s="1"/>
      <c r="B242" s="1"/>
      <c r="C242" s="1"/>
      <c r="D242" s="1"/>
      <c r="E242" s="1"/>
      <c r="F242" s="1"/>
      <c r="G242" s="1"/>
      <c r="H242" s="1"/>
    </row>
    <row r="243" spans="1:8" ht="15.75" customHeight="1">
      <c r="A243" s="1"/>
      <c r="B243" s="1"/>
      <c r="C243" s="1"/>
      <c r="D243" s="1"/>
      <c r="E243" s="1"/>
      <c r="F243" s="1"/>
      <c r="G243" s="1"/>
      <c r="H243" s="1"/>
    </row>
    <row r="244" spans="1:8" ht="15.75" customHeight="1">
      <c r="A244" s="1"/>
      <c r="B244" s="1"/>
      <c r="C244" s="1"/>
      <c r="D244" s="1"/>
      <c r="E244" s="1"/>
      <c r="F244" s="1"/>
      <c r="G244" s="1"/>
      <c r="H244" s="1"/>
    </row>
    <row r="245" spans="1:8" ht="15.75" customHeight="1">
      <c r="A245" s="1"/>
      <c r="B245" s="1"/>
      <c r="C245" s="1"/>
      <c r="D245" s="1"/>
      <c r="E245" s="1"/>
      <c r="F245" s="1"/>
      <c r="G245" s="1"/>
      <c r="H245" s="1"/>
    </row>
    <row r="246" spans="1:8" ht="15.75" customHeight="1">
      <c r="A246" s="1"/>
      <c r="B246" s="1"/>
      <c r="C246" s="1"/>
      <c r="D246" s="1"/>
      <c r="E246" s="1"/>
      <c r="F246" s="1"/>
      <c r="G246" s="1"/>
      <c r="H246" s="1"/>
    </row>
    <row r="247" spans="1:8" ht="15.75" customHeight="1">
      <c r="A247" s="1"/>
      <c r="B247" s="1"/>
      <c r="C247" s="1"/>
      <c r="D247" s="1"/>
      <c r="E247" s="1"/>
      <c r="F247" s="1"/>
      <c r="G247" s="1"/>
      <c r="H247" s="1"/>
    </row>
    <row r="248" spans="1:8" ht="15.75" customHeight="1">
      <c r="A248" s="1"/>
      <c r="B248" s="1"/>
      <c r="C248" s="1"/>
      <c r="D248" s="1"/>
      <c r="E248" s="1"/>
      <c r="F248" s="1"/>
      <c r="G248" s="1"/>
      <c r="H248" s="1"/>
    </row>
    <row r="249" spans="1:8" ht="15.75" customHeight="1">
      <c r="A249" s="1"/>
      <c r="B249" s="1"/>
      <c r="C249" s="1"/>
      <c r="D249" s="1"/>
      <c r="E249" s="1"/>
      <c r="F249" s="1"/>
      <c r="G249" s="1"/>
      <c r="H249" s="1"/>
    </row>
    <row r="250" spans="1:8" ht="15.75" customHeight="1">
      <c r="A250" s="1"/>
      <c r="B250" s="1"/>
      <c r="C250" s="1"/>
      <c r="D250" s="1"/>
      <c r="E250" s="1"/>
      <c r="F250" s="1"/>
      <c r="G250" s="1"/>
      <c r="H250" s="1"/>
    </row>
    <row r="251" spans="1:8" ht="15.75" customHeight="1">
      <c r="A251" s="1"/>
      <c r="B251" s="1"/>
      <c r="C251" s="1"/>
      <c r="D251" s="1"/>
      <c r="E251" s="1"/>
      <c r="F251" s="1"/>
      <c r="G251" s="1"/>
      <c r="H251" s="1"/>
    </row>
    <row r="252" spans="1:8" ht="15.75" customHeight="1">
      <c r="A252" s="1"/>
      <c r="B252" s="1"/>
      <c r="C252" s="1"/>
      <c r="D252" s="1"/>
      <c r="E252" s="1"/>
      <c r="F252" s="1"/>
      <c r="G252" s="1"/>
      <c r="H252" s="1"/>
    </row>
    <row r="253" spans="1:8" ht="15.75" customHeight="1">
      <c r="A253" s="1"/>
      <c r="B253" s="1"/>
      <c r="C253" s="1"/>
      <c r="D253" s="1"/>
      <c r="E253" s="1"/>
      <c r="F253" s="1"/>
      <c r="G253" s="1"/>
      <c r="H253" s="1"/>
    </row>
    <row r="254" spans="1:8" ht="15.75" customHeight="1">
      <c r="A254" s="1"/>
      <c r="B254" s="1"/>
      <c r="C254" s="1"/>
      <c r="D254" s="1"/>
      <c r="E254" s="1"/>
      <c r="F254" s="1"/>
      <c r="G254" s="1"/>
      <c r="H254" s="1"/>
    </row>
    <row r="255" spans="1:8" ht="15.75" customHeight="1">
      <c r="A255" s="1"/>
      <c r="B255" s="1"/>
      <c r="C255" s="1"/>
      <c r="D255" s="1"/>
      <c r="E255" s="1"/>
      <c r="F255" s="1"/>
      <c r="G255" s="1"/>
      <c r="H255" s="1"/>
    </row>
    <row r="256" spans="1:8" ht="15.75" customHeight="1">
      <c r="A256" s="1"/>
      <c r="B256" s="1"/>
      <c r="C256" s="1"/>
      <c r="D256" s="1"/>
      <c r="E256" s="1"/>
      <c r="F256" s="1"/>
      <c r="G256" s="1"/>
      <c r="H256" s="1"/>
    </row>
    <row r="257" spans="1:8" ht="15.75" customHeight="1">
      <c r="A257" s="1"/>
      <c r="B257" s="1"/>
      <c r="C257" s="1"/>
      <c r="D257" s="1"/>
      <c r="E257" s="1"/>
      <c r="F257" s="1"/>
      <c r="G257" s="1"/>
      <c r="H257" s="1"/>
    </row>
    <row r="258" spans="1:8" ht="15.75" customHeight="1">
      <c r="A258" s="1"/>
      <c r="B258" s="1"/>
      <c r="C258" s="1"/>
      <c r="D258" s="1"/>
      <c r="E258" s="1"/>
      <c r="F258" s="1"/>
      <c r="G258" s="1"/>
      <c r="H258" s="1"/>
    </row>
    <row r="259" spans="1:8" ht="15.75" customHeight="1">
      <c r="A259" s="1"/>
      <c r="B259" s="1"/>
      <c r="C259" s="1"/>
      <c r="D259" s="1"/>
      <c r="E259" s="1"/>
      <c r="F259" s="1"/>
      <c r="G259" s="1"/>
      <c r="H259" s="1"/>
    </row>
    <row r="260" spans="1:8" ht="15.75" customHeight="1">
      <c r="A260" s="1"/>
      <c r="B260" s="1"/>
      <c r="C260" s="1"/>
      <c r="D260" s="1"/>
      <c r="E260" s="1"/>
      <c r="F260" s="1"/>
      <c r="G260" s="1"/>
      <c r="H260" s="1"/>
    </row>
    <row r="261" spans="1:8" ht="15.75" customHeight="1">
      <c r="A261" s="1"/>
      <c r="B261" s="1"/>
      <c r="C261" s="1"/>
      <c r="D261" s="1"/>
      <c r="E261" s="1"/>
      <c r="F261" s="1"/>
      <c r="G261" s="1"/>
      <c r="H261" s="1"/>
    </row>
    <row r="262" spans="1:8" ht="15.75" customHeight="1">
      <c r="A262" s="1"/>
      <c r="B262" s="1"/>
      <c r="C262" s="1"/>
      <c r="D262" s="1"/>
      <c r="E262" s="1"/>
      <c r="F262" s="1"/>
      <c r="G262" s="1"/>
      <c r="H262" s="1"/>
    </row>
    <row r="263" spans="1:8" ht="15.75" customHeight="1">
      <c r="A263" s="1"/>
      <c r="B263" s="1"/>
      <c r="C263" s="1"/>
      <c r="D263" s="1"/>
      <c r="E263" s="1"/>
      <c r="F263" s="1"/>
      <c r="G263" s="1"/>
      <c r="H263" s="1"/>
    </row>
    <row r="264" spans="1:8" ht="15.75" customHeight="1">
      <c r="A264" s="1"/>
      <c r="B264" s="1"/>
      <c r="C264" s="1"/>
      <c r="D264" s="1"/>
      <c r="E264" s="1"/>
      <c r="F264" s="1"/>
      <c r="G264" s="1"/>
      <c r="H264" s="1"/>
    </row>
    <row r="265" spans="1:8" ht="15.75" customHeight="1">
      <c r="A265" s="1"/>
      <c r="B265" s="1"/>
      <c r="C265" s="1"/>
      <c r="D265" s="1"/>
      <c r="E265" s="1"/>
      <c r="F265" s="1"/>
      <c r="G265" s="1"/>
      <c r="H265" s="1"/>
    </row>
    <row r="266" spans="1:8" ht="15.75" customHeight="1">
      <c r="A266" s="1"/>
      <c r="B266" s="1"/>
      <c r="C266" s="1"/>
      <c r="D266" s="1"/>
      <c r="E266" s="1"/>
      <c r="F266" s="1"/>
      <c r="G266" s="1"/>
      <c r="H266" s="1"/>
    </row>
    <row r="267" spans="1:8" ht="15.75" customHeight="1">
      <c r="A267" s="1"/>
      <c r="B267" s="1"/>
      <c r="C267" s="1"/>
      <c r="D267" s="1"/>
      <c r="E267" s="1"/>
      <c r="F267" s="1"/>
      <c r="G267" s="1"/>
      <c r="H267" s="1"/>
    </row>
    <row r="268" spans="1:8" ht="15.75" customHeight="1">
      <c r="A268" s="1"/>
      <c r="B268" s="1"/>
      <c r="C268" s="1"/>
      <c r="D268" s="1"/>
      <c r="E268" s="1"/>
      <c r="F268" s="1"/>
      <c r="G268" s="1"/>
      <c r="H268" s="1"/>
    </row>
    <row r="269" spans="1:8" ht="15.75" customHeight="1">
      <c r="A269" s="1"/>
      <c r="B269" s="1"/>
      <c r="C269" s="1"/>
      <c r="D269" s="1"/>
      <c r="E269" s="1"/>
      <c r="F269" s="1"/>
      <c r="G269" s="1"/>
      <c r="H269" s="1"/>
    </row>
    <row r="270" spans="1:8" ht="15.75" customHeight="1">
      <c r="A270" s="1"/>
      <c r="B270" s="1"/>
      <c r="C270" s="1"/>
      <c r="D270" s="1"/>
      <c r="E270" s="1"/>
      <c r="F270" s="1"/>
      <c r="G270" s="1"/>
      <c r="H270" s="1"/>
    </row>
    <row r="271" spans="1:8" ht="15.75" customHeight="1">
      <c r="A271" s="1"/>
      <c r="B271" s="1"/>
      <c r="C271" s="1"/>
      <c r="D271" s="1"/>
      <c r="E271" s="1"/>
      <c r="F271" s="1"/>
      <c r="G271" s="1"/>
      <c r="H271" s="1"/>
    </row>
    <row r="272" spans="1:8" ht="15.75" customHeight="1">
      <c r="A272" s="1"/>
      <c r="B272" s="1"/>
      <c r="C272" s="1"/>
      <c r="D272" s="1"/>
      <c r="E272" s="1"/>
      <c r="F272" s="1"/>
      <c r="G272" s="1"/>
      <c r="H272" s="1"/>
    </row>
    <row r="273" spans="1:8" ht="15.75" customHeight="1">
      <c r="A273" s="1"/>
      <c r="B273" s="1"/>
      <c r="C273" s="1"/>
      <c r="D273" s="1"/>
      <c r="E273" s="1"/>
      <c r="F273" s="1"/>
      <c r="G273" s="1"/>
      <c r="H273" s="1"/>
    </row>
    <row r="274" spans="1:8" ht="15.75" customHeight="1">
      <c r="A274" s="1"/>
      <c r="B274" s="1"/>
      <c r="C274" s="1"/>
      <c r="D274" s="1"/>
      <c r="E274" s="1"/>
      <c r="F274" s="1"/>
      <c r="G274" s="1"/>
      <c r="H274" s="1"/>
    </row>
    <row r="275" spans="1:8" ht="15.75" customHeight="1">
      <c r="A275" s="1"/>
      <c r="B275" s="1"/>
      <c r="C275" s="1"/>
      <c r="D275" s="1"/>
      <c r="E275" s="1"/>
      <c r="F275" s="1"/>
      <c r="G275" s="1"/>
      <c r="H275" s="1"/>
    </row>
    <row r="276" spans="1:8" ht="15.75" customHeight="1">
      <c r="A276" s="1"/>
      <c r="B276" s="1"/>
      <c r="C276" s="1"/>
      <c r="D276" s="1"/>
      <c r="E276" s="1"/>
      <c r="F276" s="1"/>
      <c r="G276" s="1"/>
      <c r="H276" s="1"/>
    </row>
    <row r="277" spans="1:8" ht="15.75" customHeight="1">
      <c r="A277" s="1"/>
      <c r="B277" s="1"/>
      <c r="C277" s="1"/>
      <c r="D277" s="1"/>
      <c r="E277" s="1"/>
      <c r="F277" s="1"/>
      <c r="G277" s="1"/>
      <c r="H277" s="1"/>
    </row>
    <row r="278" spans="1:8" ht="15.75" customHeight="1">
      <c r="A278" s="1"/>
      <c r="B278" s="1"/>
      <c r="C278" s="1"/>
      <c r="D278" s="1"/>
      <c r="E278" s="1"/>
      <c r="F278" s="1"/>
      <c r="G278" s="1"/>
      <c r="H278" s="1"/>
    </row>
    <row r="279" spans="1:8" ht="15.75" customHeight="1">
      <c r="A279" s="1"/>
      <c r="B279" s="1"/>
      <c r="C279" s="1"/>
      <c r="D279" s="1"/>
      <c r="E279" s="1"/>
      <c r="F279" s="1"/>
      <c r="G279" s="1"/>
      <c r="H279" s="1"/>
    </row>
    <row r="280" spans="1:8" ht="15.75" customHeight="1">
      <c r="A280" s="1"/>
      <c r="B280" s="1"/>
      <c r="C280" s="1"/>
      <c r="D280" s="1"/>
      <c r="E280" s="1"/>
      <c r="F280" s="1"/>
      <c r="G280" s="1"/>
      <c r="H280" s="1"/>
    </row>
    <row r="281" spans="1:8" ht="15.75" customHeight="1">
      <c r="A281" s="1"/>
      <c r="B281" s="1"/>
      <c r="C281" s="1"/>
      <c r="D281" s="1"/>
      <c r="E281" s="1"/>
      <c r="F281" s="1"/>
      <c r="G281" s="1"/>
      <c r="H281" s="1"/>
    </row>
    <row r="282" spans="1:8" ht="15.75" customHeight="1">
      <c r="A282" s="1"/>
      <c r="B282" s="1"/>
      <c r="C282" s="1"/>
      <c r="D282" s="1"/>
      <c r="E282" s="1"/>
      <c r="F282" s="1"/>
      <c r="G282" s="1"/>
      <c r="H282" s="1"/>
    </row>
    <row r="283" spans="1:8" ht="15.75" customHeight="1">
      <c r="A283" s="1"/>
      <c r="B283" s="1"/>
      <c r="C283" s="1"/>
      <c r="D283" s="1"/>
      <c r="E283" s="1"/>
      <c r="F283" s="1"/>
      <c r="G283" s="1"/>
      <c r="H283" s="1"/>
    </row>
    <row r="284" spans="1:8" ht="15.75" customHeight="1">
      <c r="A284" s="1"/>
      <c r="B284" s="1"/>
      <c r="C284" s="1"/>
      <c r="D284" s="1"/>
      <c r="E284" s="1"/>
      <c r="F284" s="1"/>
      <c r="G284" s="1"/>
      <c r="H284" s="1"/>
    </row>
    <row r="285" spans="1:8" ht="15.75" customHeight="1">
      <c r="A285" s="1"/>
      <c r="B285" s="1"/>
      <c r="C285" s="1"/>
      <c r="D285" s="1"/>
      <c r="E285" s="1"/>
      <c r="F285" s="1"/>
      <c r="G285" s="1"/>
      <c r="H285" s="1"/>
    </row>
    <row r="286" spans="1:8" ht="15.75" customHeight="1">
      <c r="A286" s="1"/>
      <c r="B286" s="1"/>
      <c r="C286" s="1"/>
      <c r="D286" s="1"/>
      <c r="E286" s="1"/>
      <c r="F286" s="1"/>
      <c r="G286" s="1"/>
      <c r="H286" s="1"/>
    </row>
    <row r="287" spans="1:8" ht="15.75" customHeight="1">
      <c r="A287" s="1"/>
      <c r="B287" s="1"/>
      <c r="C287" s="1"/>
      <c r="D287" s="1"/>
      <c r="E287" s="1"/>
      <c r="F287" s="1"/>
      <c r="G287" s="1"/>
      <c r="H287" s="1"/>
    </row>
    <row r="288" spans="1:8" ht="15.75" customHeight="1">
      <c r="A288" s="1"/>
      <c r="B288" s="1"/>
      <c r="C288" s="1"/>
      <c r="D288" s="1"/>
      <c r="E288" s="1"/>
      <c r="F288" s="1"/>
      <c r="G288" s="1"/>
      <c r="H288" s="1"/>
    </row>
    <row r="289" spans="1:8" ht="15.75" customHeight="1">
      <c r="A289" s="1"/>
      <c r="B289" s="1"/>
      <c r="C289" s="1"/>
      <c r="D289" s="1"/>
      <c r="E289" s="1"/>
      <c r="F289" s="1"/>
      <c r="G289" s="1"/>
      <c r="H289" s="1"/>
    </row>
    <row r="290" spans="1:8" ht="15.75" customHeight="1">
      <c r="A290" s="1"/>
      <c r="B290" s="1"/>
      <c r="C290" s="1"/>
      <c r="D290" s="1"/>
      <c r="E290" s="1"/>
      <c r="F290" s="1"/>
      <c r="G290" s="1"/>
      <c r="H290" s="1"/>
    </row>
    <row r="291" spans="1:8" ht="15.75" customHeight="1">
      <c r="A291" s="1"/>
      <c r="B291" s="1"/>
      <c r="C291" s="1"/>
      <c r="D291" s="1"/>
      <c r="E291" s="1"/>
      <c r="F291" s="1"/>
      <c r="G291" s="1"/>
      <c r="H291" s="1"/>
    </row>
    <row r="292" spans="1:8" ht="15.75" customHeight="1">
      <c r="A292" s="1"/>
      <c r="B292" s="1"/>
      <c r="C292" s="1"/>
      <c r="D292" s="1"/>
      <c r="E292" s="1"/>
      <c r="F292" s="1"/>
      <c r="G292" s="1"/>
      <c r="H292" s="1"/>
    </row>
    <row r="293" spans="1:8" ht="15.75" customHeight="1">
      <c r="A293" s="1"/>
      <c r="B293" s="1"/>
      <c r="C293" s="1"/>
      <c r="D293" s="1"/>
      <c r="E293" s="1"/>
      <c r="F293" s="1"/>
      <c r="G293" s="1"/>
      <c r="H293" s="1"/>
    </row>
    <row r="294" spans="1:8" ht="15.75" customHeight="1">
      <c r="A294" s="1"/>
      <c r="B294" s="1"/>
      <c r="C294" s="1"/>
      <c r="D294" s="1"/>
      <c r="E294" s="1"/>
      <c r="F294" s="1"/>
      <c r="G294" s="1"/>
      <c r="H294" s="1"/>
    </row>
    <row r="295" spans="1:8" ht="15.75" customHeight="1">
      <c r="A295" s="1"/>
      <c r="B295" s="1"/>
      <c r="C295" s="1"/>
      <c r="D295" s="1"/>
      <c r="E295" s="1"/>
      <c r="F295" s="1"/>
      <c r="G295" s="1"/>
      <c r="H295" s="1"/>
    </row>
    <row r="296" spans="1:8" ht="15.75" customHeight="1">
      <c r="A296" s="1"/>
      <c r="B296" s="1"/>
      <c r="C296" s="1"/>
      <c r="D296" s="1"/>
      <c r="E296" s="1"/>
      <c r="F296" s="1"/>
      <c r="G296" s="1"/>
      <c r="H296" s="1"/>
    </row>
    <row r="297" spans="1:8" ht="15.75" customHeight="1">
      <c r="A297" s="1"/>
      <c r="B297" s="1"/>
      <c r="C297" s="1"/>
      <c r="D297" s="1"/>
      <c r="E297" s="1"/>
      <c r="F297" s="1"/>
      <c r="G297" s="1"/>
      <c r="H297" s="1"/>
    </row>
    <row r="298" spans="1:8" ht="15.75" customHeight="1">
      <c r="A298" s="1"/>
      <c r="B298" s="1"/>
      <c r="C298" s="1"/>
      <c r="D298" s="1"/>
      <c r="E298" s="1"/>
      <c r="F298" s="1"/>
      <c r="G298" s="1"/>
      <c r="H298" s="1"/>
    </row>
    <row r="299" spans="1:8" ht="15.75" customHeight="1">
      <c r="A299" s="1"/>
      <c r="B299" s="1"/>
      <c r="C299" s="1"/>
      <c r="D299" s="1"/>
      <c r="E299" s="1"/>
      <c r="F299" s="1"/>
      <c r="G299" s="1"/>
      <c r="H299" s="1"/>
    </row>
    <row r="300" spans="1:8" ht="15.75" customHeight="1">
      <c r="A300" s="1"/>
      <c r="B300" s="1"/>
      <c r="C300" s="1"/>
      <c r="D300" s="1"/>
      <c r="E300" s="1"/>
      <c r="F300" s="1"/>
      <c r="G300" s="1"/>
      <c r="H300" s="1"/>
    </row>
    <row r="301" spans="1:8" ht="15.75" customHeight="1">
      <c r="A301" s="1"/>
      <c r="B301" s="1"/>
      <c r="C301" s="1"/>
      <c r="D301" s="1"/>
      <c r="E301" s="1"/>
      <c r="F301" s="1"/>
      <c r="G301" s="1"/>
      <c r="H301" s="1"/>
    </row>
    <row r="302" spans="1:8" ht="15.75" customHeight="1">
      <c r="A302" s="1"/>
      <c r="B302" s="1"/>
      <c r="C302" s="1"/>
      <c r="D302" s="1"/>
      <c r="E302" s="1"/>
      <c r="F302" s="1"/>
      <c r="G302" s="1"/>
      <c r="H302" s="1"/>
    </row>
    <row r="303" spans="1:8" ht="15.75" customHeight="1">
      <c r="A303" s="1"/>
      <c r="B303" s="1"/>
      <c r="C303" s="1"/>
      <c r="D303" s="1"/>
      <c r="E303" s="1"/>
      <c r="F303" s="1"/>
      <c r="G303" s="1"/>
      <c r="H303" s="1"/>
    </row>
    <row r="304" spans="1:8" ht="15.75" customHeight="1">
      <c r="A304" s="1"/>
      <c r="B304" s="1"/>
      <c r="C304" s="1"/>
      <c r="D304" s="1"/>
      <c r="E304" s="1"/>
      <c r="F304" s="1"/>
      <c r="G304" s="1"/>
      <c r="H304" s="1"/>
    </row>
    <row r="305" spans="1:8" ht="15.75" customHeight="1">
      <c r="A305" s="1"/>
      <c r="B305" s="1"/>
      <c r="C305" s="1"/>
      <c r="D305" s="1"/>
      <c r="E305" s="1"/>
      <c r="F305" s="1"/>
      <c r="G305" s="1"/>
      <c r="H305" s="1"/>
    </row>
    <row r="306" spans="1:8" ht="15.75" customHeight="1">
      <c r="A306" s="1"/>
      <c r="B306" s="1"/>
      <c r="C306" s="1"/>
      <c r="D306" s="1"/>
      <c r="E306" s="1"/>
      <c r="F306" s="1"/>
      <c r="G306" s="1"/>
      <c r="H306" s="1"/>
    </row>
    <row r="307" spans="1:8" ht="15.75" customHeight="1">
      <c r="A307" s="1"/>
      <c r="B307" s="1"/>
      <c r="C307" s="1"/>
      <c r="D307" s="1"/>
      <c r="E307" s="1"/>
      <c r="F307" s="1"/>
      <c r="G307" s="1"/>
      <c r="H307" s="1"/>
    </row>
    <row r="308" spans="1:8" ht="15.75" customHeight="1">
      <c r="A308" s="1"/>
      <c r="B308" s="1"/>
      <c r="C308" s="1"/>
      <c r="D308" s="1"/>
      <c r="E308" s="1"/>
      <c r="F308" s="1"/>
      <c r="G308" s="1"/>
      <c r="H308" s="1"/>
    </row>
    <row r="309" spans="1:8" ht="15.75" customHeight="1">
      <c r="A309" s="1"/>
      <c r="B309" s="1"/>
      <c r="C309" s="1"/>
      <c r="D309" s="1"/>
      <c r="E309" s="1"/>
      <c r="F309" s="1"/>
      <c r="G309" s="1"/>
      <c r="H309" s="1"/>
    </row>
    <row r="310" spans="1:8" ht="15.75" customHeight="1">
      <c r="A310" s="1"/>
      <c r="B310" s="1"/>
      <c r="C310" s="1"/>
      <c r="D310" s="1"/>
      <c r="E310" s="1"/>
      <c r="F310" s="1"/>
      <c r="G310" s="1"/>
      <c r="H310" s="1"/>
    </row>
    <row r="311" spans="1:8" ht="15.75" customHeight="1">
      <c r="A311" s="1"/>
      <c r="B311" s="1"/>
      <c r="C311" s="1"/>
      <c r="D311" s="1"/>
      <c r="E311" s="1"/>
      <c r="F311" s="1"/>
      <c r="G311" s="1"/>
      <c r="H311" s="1"/>
    </row>
    <row r="312" spans="1:8" ht="15.75" customHeight="1">
      <c r="A312" s="1"/>
      <c r="B312" s="1"/>
      <c r="C312" s="1"/>
      <c r="D312" s="1"/>
      <c r="E312" s="1"/>
      <c r="F312" s="1"/>
      <c r="G312" s="1"/>
      <c r="H312" s="1"/>
    </row>
    <row r="313" spans="1:8" ht="15.75" customHeight="1">
      <c r="A313" s="1"/>
      <c r="B313" s="1"/>
      <c r="C313" s="1"/>
      <c r="D313" s="1"/>
      <c r="E313" s="1"/>
      <c r="F313" s="1"/>
      <c r="G313" s="1"/>
      <c r="H313" s="1"/>
    </row>
    <row r="314" spans="1:8" ht="15.75" customHeight="1">
      <c r="A314" s="1"/>
      <c r="B314" s="1"/>
      <c r="C314" s="1"/>
      <c r="D314" s="1"/>
      <c r="E314" s="1"/>
      <c r="F314" s="1"/>
      <c r="G314" s="1"/>
      <c r="H314" s="1"/>
    </row>
    <row r="315" spans="1:8" ht="15.75" customHeight="1">
      <c r="A315" s="1"/>
      <c r="B315" s="1"/>
      <c r="C315" s="1"/>
      <c r="D315" s="1"/>
      <c r="E315" s="1"/>
      <c r="F315" s="1"/>
      <c r="G315" s="1"/>
      <c r="H315" s="1"/>
    </row>
    <row r="316" spans="1:8" ht="15.75" customHeight="1">
      <c r="A316" s="1"/>
      <c r="B316" s="1"/>
      <c r="C316" s="1"/>
      <c r="D316" s="1"/>
      <c r="E316" s="1"/>
      <c r="F316" s="1"/>
      <c r="G316" s="1"/>
      <c r="H316" s="1"/>
    </row>
    <row r="317" spans="1:8" ht="15.75" customHeight="1">
      <c r="A317" s="1"/>
      <c r="B317" s="1"/>
      <c r="C317" s="1"/>
      <c r="D317" s="1"/>
      <c r="E317" s="1"/>
      <c r="F317" s="1"/>
      <c r="G317" s="1"/>
      <c r="H317" s="1"/>
    </row>
    <row r="318" spans="1:8" ht="15.75" customHeight="1">
      <c r="A318" s="1"/>
      <c r="B318" s="1"/>
      <c r="C318" s="1"/>
      <c r="D318" s="1"/>
      <c r="E318" s="1"/>
      <c r="F318" s="1"/>
      <c r="G318" s="1"/>
      <c r="H318" s="1"/>
    </row>
    <row r="319" spans="1:8" ht="15.75" customHeight="1">
      <c r="A319" s="1"/>
      <c r="B319" s="1"/>
      <c r="C319" s="1"/>
      <c r="D319" s="1"/>
      <c r="E319" s="1"/>
      <c r="F319" s="1"/>
      <c r="G319" s="1"/>
      <c r="H319" s="1"/>
    </row>
    <row r="320" spans="1:8" ht="15.75" customHeight="1">
      <c r="A320" s="1"/>
      <c r="B320" s="1"/>
      <c r="C320" s="1"/>
      <c r="D320" s="1"/>
      <c r="E320" s="1"/>
      <c r="F320" s="1"/>
      <c r="G320" s="1"/>
      <c r="H320" s="1"/>
    </row>
    <row r="321" spans="1:8" ht="15.75" customHeight="1">
      <c r="A321" s="1"/>
      <c r="B321" s="1"/>
      <c r="C321" s="1"/>
      <c r="D321" s="1"/>
      <c r="E321" s="1"/>
      <c r="F321" s="1"/>
      <c r="G321" s="1"/>
      <c r="H321" s="1"/>
    </row>
    <row r="322" spans="1:8" ht="15.75" customHeight="1">
      <c r="A322" s="1"/>
      <c r="B322" s="1"/>
      <c r="C322" s="1"/>
      <c r="D322" s="1"/>
      <c r="E322" s="1"/>
      <c r="F322" s="1"/>
      <c r="G322" s="1"/>
      <c r="H322" s="1"/>
    </row>
    <row r="323" spans="1:8" ht="15.75" customHeight="1">
      <c r="A323" s="1"/>
      <c r="B323" s="1"/>
      <c r="C323" s="1"/>
      <c r="D323" s="1"/>
      <c r="E323" s="1"/>
      <c r="F323" s="1"/>
      <c r="G323" s="1"/>
      <c r="H323" s="1"/>
    </row>
    <row r="324" spans="1:8" ht="15.75" customHeight="1">
      <c r="A324" s="1"/>
      <c r="B324" s="1"/>
      <c r="C324" s="1"/>
      <c r="D324" s="1"/>
      <c r="E324" s="1"/>
      <c r="F324" s="1"/>
      <c r="G324" s="1"/>
      <c r="H324" s="1"/>
    </row>
    <row r="325" spans="1:8" ht="15.75" customHeight="1">
      <c r="A325" s="1"/>
      <c r="B325" s="1"/>
      <c r="C325" s="1"/>
      <c r="D325" s="1"/>
      <c r="E325" s="1"/>
      <c r="F325" s="1"/>
      <c r="G325" s="1"/>
      <c r="H325" s="1"/>
    </row>
    <row r="326" spans="1:8" ht="15.75" customHeight="1">
      <c r="A326" s="1"/>
      <c r="B326" s="1"/>
      <c r="C326" s="1"/>
      <c r="D326" s="1"/>
      <c r="E326" s="1"/>
      <c r="F326" s="1"/>
      <c r="G326" s="1"/>
      <c r="H326" s="1"/>
    </row>
    <row r="327" spans="1:8" ht="15.75" customHeight="1">
      <c r="A327" s="1"/>
      <c r="B327" s="1"/>
      <c r="C327" s="1"/>
      <c r="D327" s="1"/>
      <c r="E327" s="1"/>
      <c r="F327" s="1"/>
      <c r="G327" s="1"/>
      <c r="H327" s="1"/>
    </row>
    <row r="328" spans="1:8" ht="15.75" customHeight="1">
      <c r="A328" s="1"/>
      <c r="B328" s="1"/>
      <c r="C328" s="1"/>
      <c r="D328" s="1"/>
      <c r="E328" s="1"/>
      <c r="F328" s="1"/>
      <c r="G328" s="1"/>
      <c r="H328" s="1"/>
    </row>
    <row r="329" spans="1:8" ht="15.75" customHeight="1">
      <c r="A329" s="1"/>
      <c r="B329" s="1"/>
      <c r="C329" s="1"/>
      <c r="D329" s="1"/>
      <c r="E329" s="1"/>
      <c r="F329" s="1"/>
      <c r="G329" s="1"/>
      <c r="H329" s="1"/>
    </row>
    <row r="330" spans="1:8" ht="15.75" customHeight="1">
      <c r="A330" s="1"/>
      <c r="B330" s="1"/>
      <c r="C330" s="1"/>
      <c r="D330" s="1"/>
      <c r="E330" s="1"/>
      <c r="F330" s="1"/>
      <c r="G330" s="1"/>
      <c r="H330" s="1"/>
    </row>
    <row r="331" spans="1:8" ht="15.75" customHeight="1">
      <c r="A331" s="1"/>
      <c r="B331" s="1"/>
      <c r="C331" s="1"/>
      <c r="D331" s="1"/>
      <c r="E331" s="1"/>
      <c r="F331" s="1"/>
      <c r="G331" s="1"/>
      <c r="H331" s="1"/>
    </row>
    <row r="332" spans="1:8" ht="15.75" customHeight="1">
      <c r="A332" s="1"/>
      <c r="B332" s="1"/>
      <c r="C332" s="1"/>
      <c r="D332" s="1"/>
      <c r="E332" s="1"/>
      <c r="F332" s="1"/>
      <c r="G332" s="1"/>
      <c r="H332" s="1"/>
    </row>
    <row r="333" spans="1:8" ht="15.75" customHeight="1">
      <c r="A333" s="1"/>
      <c r="B333" s="1"/>
      <c r="C333" s="1"/>
      <c r="D333" s="1"/>
      <c r="E333" s="1"/>
      <c r="F333" s="1"/>
      <c r="G333" s="1"/>
      <c r="H333" s="1"/>
    </row>
    <row r="334" spans="1:8" ht="15.75" customHeight="1">
      <c r="A334" s="1"/>
      <c r="B334" s="1"/>
      <c r="C334" s="1"/>
      <c r="D334" s="1"/>
      <c r="E334" s="1"/>
      <c r="F334" s="1"/>
      <c r="G334" s="1"/>
      <c r="H334" s="1"/>
    </row>
    <row r="335" spans="1:8" ht="15.75" customHeight="1">
      <c r="A335" s="1"/>
      <c r="B335" s="1"/>
      <c r="C335" s="1"/>
      <c r="D335" s="1"/>
      <c r="E335" s="1"/>
      <c r="F335" s="1"/>
      <c r="G335" s="1"/>
      <c r="H335" s="1"/>
    </row>
    <row r="336" spans="1:8" ht="15.75" customHeight="1">
      <c r="A336" s="1"/>
      <c r="B336" s="1"/>
      <c r="C336" s="1"/>
      <c r="D336" s="1"/>
      <c r="E336" s="1"/>
      <c r="F336" s="1"/>
      <c r="G336" s="1"/>
      <c r="H336" s="1"/>
    </row>
    <row r="337" spans="1:8" ht="15.75" customHeight="1">
      <c r="A337" s="1"/>
      <c r="B337" s="1"/>
      <c r="C337" s="1"/>
      <c r="D337" s="1"/>
      <c r="E337" s="1"/>
      <c r="F337" s="1"/>
      <c r="G337" s="1"/>
      <c r="H337" s="1"/>
    </row>
    <row r="338" spans="1:8" ht="15.75" customHeight="1">
      <c r="A338" s="1"/>
      <c r="B338" s="1"/>
      <c r="C338" s="1"/>
      <c r="D338" s="1"/>
      <c r="E338" s="1"/>
      <c r="F338" s="1"/>
      <c r="G338" s="1"/>
      <c r="H338" s="1"/>
    </row>
    <row r="339" spans="1:8" ht="15.75" customHeight="1">
      <c r="A339" s="1"/>
      <c r="B339" s="1"/>
      <c r="C339" s="1"/>
      <c r="D339" s="1"/>
      <c r="E339" s="1"/>
      <c r="F339" s="1"/>
      <c r="G339" s="1"/>
      <c r="H339" s="1"/>
    </row>
    <row r="340" spans="1:8" ht="15.75" customHeight="1">
      <c r="A340" s="1"/>
      <c r="B340" s="1"/>
      <c r="C340" s="1"/>
      <c r="D340" s="1"/>
      <c r="E340" s="1"/>
      <c r="F340" s="1"/>
      <c r="G340" s="1"/>
      <c r="H340" s="1"/>
    </row>
    <row r="341" spans="1:8" ht="15.75" customHeight="1">
      <c r="A341" s="1"/>
      <c r="B341" s="1"/>
      <c r="C341" s="1"/>
      <c r="D341" s="1"/>
      <c r="E341" s="1"/>
      <c r="F341" s="1"/>
      <c r="G341" s="1"/>
      <c r="H341" s="1"/>
    </row>
    <row r="342" spans="1:8" ht="15.75" customHeight="1">
      <c r="A342" s="1"/>
      <c r="B342" s="1"/>
      <c r="C342" s="1"/>
      <c r="D342" s="1"/>
      <c r="E342" s="1"/>
      <c r="F342" s="1"/>
      <c r="G342" s="1"/>
      <c r="H342" s="1"/>
    </row>
    <row r="343" spans="1:8" ht="15.75" customHeight="1">
      <c r="A343" s="1"/>
      <c r="B343" s="1"/>
      <c r="C343" s="1"/>
      <c r="D343" s="1"/>
      <c r="E343" s="1"/>
      <c r="F343" s="1"/>
      <c r="G343" s="1"/>
      <c r="H343" s="1"/>
    </row>
    <row r="344" spans="1:8" ht="15.75" customHeight="1">
      <c r="A344" s="1"/>
      <c r="B344" s="1"/>
      <c r="C344" s="1"/>
      <c r="D344" s="1"/>
      <c r="E344" s="1"/>
      <c r="F344" s="1"/>
      <c r="G344" s="1"/>
      <c r="H344" s="1"/>
    </row>
    <row r="345" spans="1:8" ht="15.75" customHeight="1">
      <c r="A345" s="1"/>
      <c r="B345" s="1"/>
      <c r="C345" s="1"/>
      <c r="D345" s="1"/>
      <c r="E345" s="1"/>
      <c r="F345" s="1"/>
      <c r="G345" s="1"/>
      <c r="H345" s="1"/>
    </row>
    <row r="346" spans="1:8" ht="15.75" customHeight="1">
      <c r="A346" s="1"/>
      <c r="B346" s="1"/>
      <c r="C346" s="1"/>
      <c r="D346" s="1"/>
      <c r="E346" s="1"/>
      <c r="F346" s="1"/>
      <c r="G346" s="1"/>
      <c r="H346" s="1"/>
    </row>
    <row r="347" spans="1:8" ht="15.75" customHeight="1">
      <c r="A347" s="1"/>
      <c r="B347" s="1"/>
      <c r="C347" s="1"/>
      <c r="D347" s="1"/>
      <c r="E347" s="1"/>
      <c r="F347" s="1"/>
      <c r="G347" s="1"/>
      <c r="H347" s="1"/>
    </row>
    <row r="348" spans="1:8" ht="15.75" customHeight="1">
      <c r="A348" s="1"/>
      <c r="B348" s="1"/>
      <c r="C348" s="1"/>
      <c r="D348" s="1"/>
      <c r="E348" s="1"/>
      <c r="F348" s="1"/>
      <c r="G348" s="1"/>
      <c r="H348" s="1"/>
    </row>
    <row r="349" spans="1:8" ht="15.75" customHeight="1">
      <c r="A349" s="1"/>
      <c r="B349" s="1"/>
      <c r="C349" s="1"/>
      <c r="D349" s="1"/>
      <c r="E349" s="1"/>
      <c r="F349" s="1"/>
      <c r="G349" s="1"/>
      <c r="H349" s="1"/>
    </row>
    <row r="350" spans="1:8" ht="15.75" customHeight="1">
      <c r="A350" s="1"/>
      <c r="B350" s="1"/>
      <c r="C350" s="1"/>
      <c r="D350" s="1"/>
      <c r="E350" s="1"/>
      <c r="F350" s="1"/>
      <c r="G350" s="1"/>
      <c r="H350" s="1"/>
    </row>
    <row r="351" spans="1:8" ht="15.75" customHeight="1">
      <c r="A351" s="1"/>
      <c r="B351" s="1"/>
      <c r="C351" s="1"/>
      <c r="D351" s="1"/>
      <c r="E351" s="1"/>
      <c r="F351" s="1"/>
      <c r="G351" s="1"/>
      <c r="H351" s="1"/>
    </row>
    <row r="352" spans="1:8" ht="15.75" customHeight="1">
      <c r="A352" s="1"/>
      <c r="B352" s="1"/>
      <c r="C352" s="1"/>
      <c r="D352" s="1"/>
      <c r="E352" s="1"/>
      <c r="F352" s="1"/>
      <c r="G352" s="1"/>
      <c r="H352" s="1"/>
    </row>
    <row r="353" spans="1:8" ht="15.75" customHeight="1">
      <c r="A353" s="1"/>
      <c r="B353" s="1"/>
      <c r="C353" s="1"/>
      <c r="D353" s="1"/>
      <c r="E353" s="1"/>
      <c r="F353" s="1"/>
      <c r="G353" s="1"/>
      <c r="H353" s="1"/>
    </row>
    <row r="354" spans="1:8" ht="15.75" customHeight="1">
      <c r="A354" s="1"/>
      <c r="B354" s="1"/>
      <c r="C354" s="1"/>
      <c r="D354" s="1"/>
      <c r="E354" s="1"/>
      <c r="F354" s="1"/>
      <c r="G354" s="1"/>
      <c r="H354" s="1"/>
    </row>
    <row r="355" spans="1:8" ht="15.75" customHeight="1">
      <c r="A355" s="1"/>
      <c r="B355" s="1"/>
      <c r="C355" s="1"/>
      <c r="D355" s="1"/>
      <c r="E355" s="1"/>
      <c r="F355" s="1"/>
      <c r="G355" s="1"/>
      <c r="H355" s="1"/>
    </row>
    <row r="356" spans="1:8" ht="15.75" customHeight="1">
      <c r="A356" s="1"/>
      <c r="B356" s="1"/>
      <c r="C356" s="1"/>
      <c r="D356" s="1"/>
      <c r="E356" s="1"/>
      <c r="F356" s="1"/>
      <c r="G356" s="1"/>
      <c r="H356" s="1"/>
    </row>
    <row r="357" spans="1:8" ht="15.75" customHeight="1">
      <c r="A357" s="1"/>
      <c r="B357" s="1"/>
      <c r="C357" s="1"/>
      <c r="D357" s="1"/>
      <c r="E357" s="1"/>
      <c r="F357" s="1"/>
      <c r="G357" s="1"/>
      <c r="H357" s="1"/>
    </row>
    <row r="358" spans="1:8" ht="15.75" customHeight="1">
      <c r="A358" s="1"/>
      <c r="B358" s="1"/>
      <c r="C358" s="1"/>
      <c r="D358" s="1"/>
      <c r="E358" s="1"/>
      <c r="F358" s="1"/>
      <c r="G358" s="1"/>
      <c r="H358" s="1"/>
    </row>
    <row r="359" spans="1:8" ht="15.75" customHeight="1">
      <c r="A359" s="1"/>
      <c r="B359" s="1"/>
      <c r="C359" s="1"/>
      <c r="D359" s="1"/>
      <c r="E359" s="1"/>
      <c r="F359" s="1"/>
      <c r="G359" s="1"/>
      <c r="H359" s="1"/>
    </row>
    <row r="360" spans="1:8" ht="15.75" customHeight="1">
      <c r="A360" s="1"/>
      <c r="B360" s="1"/>
      <c r="C360" s="1"/>
      <c r="D360" s="1"/>
      <c r="E360" s="1"/>
      <c r="F360" s="1"/>
      <c r="G360" s="1"/>
      <c r="H360" s="1"/>
    </row>
    <row r="361" spans="1:8" ht="15.75" customHeight="1">
      <c r="A361" s="1"/>
      <c r="B361" s="1"/>
      <c r="C361" s="1"/>
      <c r="D361" s="1"/>
      <c r="E361" s="1"/>
      <c r="F361" s="1"/>
      <c r="G361" s="1"/>
      <c r="H361" s="1"/>
    </row>
    <row r="362" spans="1:8" ht="15.75" customHeight="1">
      <c r="A362" s="1"/>
      <c r="B362" s="1"/>
      <c r="C362" s="1"/>
      <c r="D362" s="1"/>
      <c r="E362" s="1"/>
      <c r="F362" s="1"/>
      <c r="G362" s="1"/>
      <c r="H362" s="1"/>
    </row>
    <row r="363" spans="1:8" ht="15.75" customHeight="1">
      <c r="A363" s="1"/>
      <c r="B363" s="1"/>
      <c r="C363" s="1"/>
      <c r="D363" s="1"/>
      <c r="E363" s="1"/>
      <c r="F363" s="1"/>
      <c r="G363" s="1"/>
      <c r="H363" s="1"/>
    </row>
    <row r="364" spans="1:8" ht="15.75" customHeight="1">
      <c r="A364" s="1"/>
      <c r="B364" s="1"/>
      <c r="C364" s="1"/>
      <c r="D364" s="1"/>
      <c r="E364" s="1"/>
      <c r="F364" s="1"/>
      <c r="G364" s="1"/>
      <c r="H364" s="1"/>
    </row>
    <row r="365" spans="1:8" ht="15.75" customHeight="1">
      <c r="A365" s="1"/>
      <c r="B365" s="1"/>
      <c r="C365" s="1"/>
      <c r="D365" s="1"/>
      <c r="E365" s="1"/>
      <c r="F365" s="1"/>
      <c r="G365" s="1"/>
      <c r="H365" s="1"/>
    </row>
    <row r="366" spans="1:8" ht="15.75" customHeight="1">
      <c r="A366" s="1"/>
      <c r="B366" s="1"/>
      <c r="C366" s="1"/>
      <c r="D366" s="1"/>
      <c r="E366" s="1"/>
      <c r="F366" s="1"/>
      <c r="G366" s="1"/>
      <c r="H366" s="1"/>
    </row>
    <row r="367" spans="1:8" ht="15.75" customHeight="1">
      <c r="A367" s="1"/>
      <c r="B367" s="1"/>
      <c r="C367" s="1"/>
      <c r="D367" s="1"/>
      <c r="E367" s="1"/>
      <c r="F367" s="1"/>
      <c r="G367" s="1"/>
      <c r="H367" s="1"/>
    </row>
    <row r="368" spans="1:8" ht="15.75" customHeight="1">
      <c r="A368" s="1"/>
      <c r="B368" s="1"/>
      <c r="C368" s="1"/>
      <c r="D368" s="1"/>
      <c r="E368" s="1"/>
      <c r="F368" s="1"/>
      <c r="G368" s="1"/>
      <c r="H368" s="1"/>
    </row>
    <row r="369" spans="1:8" ht="15.75" customHeight="1">
      <c r="A369" s="1"/>
      <c r="B369" s="1"/>
      <c r="C369" s="1"/>
      <c r="D369" s="1"/>
      <c r="E369" s="1"/>
      <c r="F369" s="1"/>
      <c r="G369" s="1"/>
      <c r="H369" s="1"/>
    </row>
    <row r="370" spans="1:8" ht="15.75" customHeight="1">
      <c r="A370" s="1"/>
      <c r="B370" s="1"/>
      <c r="C370" s="1"/>
      <c r="D370" s="1"/>
      <c r="E370" s="1"/>
      <c r="F370" s="1"/>
      <c r="G370" s="1"/>
      <c r="H370" s="1"/>
    </row>
    <row r="371" spans="1:8" ht="15.75" customHeight="1">
      <c r="A371" s="1"/>
      <c r="B371" s="1"/>
      <c r="C371" s="1"/>
      <c r="D371" s="1"/>
      <c r="E371" s="1"/>
      <c r="F371" s="1"/>
      <c r="G371" s="1"/>
      <c r="H371" s="1"/>
    </row>
    <row r="372" spans="1:8" ht="15.75" customHeight="1">
      <c r="A372" s="1"/>
      <c r="B372" s="1"/>
      <c r="C372" s="1"/>
      <c r="D372" s="1"/>
      <c r="E372" s="1"/>
      <c r="F372" s="1"/>
      <c r="G372" s="1"/>
      <c r="H372" s="1"/>
    </row>
    <row r="373" spans="1:8" ht="15.75" customHeight="1">
      <c r="A373" s="1"/>
      <c r="B373" s="1"/>
      <c r="C373" s="1"/>
      <c r="D373" s="1"/>
      <c r="E373" s="1"/>
      <c r="F373" s="1"/>
      <c r="G373" s="1"/>
      <c r="H373" s="1"/>
    </row>
    <row r="374" spans="1:8" ht="15.75" customHeight="1">
      <c r="A374" s="1"/>
      <c r="B374" s="1"/>
      <c r="C374" s="1"/>
      <c r="D374" s="1"/>
      <c r="E374" s="1"/>
      <c r="F374" s="1"/>
      <c r="G374" s="1"/>
      <c r="H374" s="1"/>
    </row>
    <row r="375" spans="1:8" ht="15.75" customHeight="1">
      <c r="A375" s="1"/>
      <c r="B375" s="1"/>
      <c r="C375" s="1"/>
      <c r="D375" s="1"/>
      <c r="E375" s="1"/>
      <c r="F375" s="1"/>
      <c r="G375" s="1"/>
      <c r="H375" s="1"/>
    </row>
    <row r="376" spans="1:8" ht="15.75" customHeight="1">
      <c r="A376" s="1"/>
      <c r="B376" s="1"/>
      <c r="C376" s="1"/>
      <c r="D376" s="1"/>
      <c r="E376" s="1"/>
      <c r="F376" s="1"/>
      <c r="G376" s="1"/>
      <c r="H376" s="1"/>
    </row>
    <row r="377" spans="1:8" ht="15.75" customHeight="1">
      <c r="A377" s="1"/>
      <c r="B377" s="1"/>
      <c r="C377" s="1"/>
      <c r="D377" s="1"/>
      <c r="E377" s="1"/>
      <c r="F377" s="1"/>
      <c r="G377" s="1"/>
      <c r="H377" s="1"/>
    </row>
    <row r="378" spans="1:8" ht="15.75" customHeight="1">
      <c r="A378" s="1"/>
      <c r="B378" s="1"/>
      <c r="C378" s="1"/>
      <c r="D378" s="1"/>
      <c r="E378" s="1"/>
      <c r="F378" s="1"/>
      <c r="G378" s="1"/>
      <c r="H378" s="1"/>
    </row>
    <row r="379" spans="1:8" ht="15.75" customHeight="1">
      <c r="A379" s="1"/>
      <c r="B379" s="1"/>
      <c r="C379" s="1"/>
      <c r="D379" s="1"/>
      <c r="E379" s="1"/>
      <c r="F379" s="1"/>
      <c r="G379" s="1"/>
      <c r="H379" s="1"/>
    </row>
    <row r="380" spans="1:8" ht="15.75" customHeight="1">
      <c r="A380" s="1"/>
      <c r="B380" s="1"/>
      <c r="C380" s="1"/>
      <c r="D380" s="1"/>
      <c r="E380" s="1"/>
      <c r="F380" s="1"/>
      <c r="G380" s="1"/>
      <c r="H380" s="1"/>
    </row>
    <row r="381" spans="1:8" ht="15.75" customHeight="1">
      <c r="A381" s="1"/>
      <c r="B381" s="1"/>
      <c r="C381" s="1"/>
      <c r="D381" s="1"/>
      <c r="E381" s="1"/>
      <c r="F381" s="1"/>
      <c r="G381" s="1"/>
      <c r="H381" s="1"/>
    </row>
    <row r="382" spans="1:8" ht="15.75" customHeight="1">
      <c r="A382" s="1"/>
      <c r="B382" s="1"/>
      <c r="C382" s="1"/>
      <c r="D382" s="1"/>
      <c r="E382" s="1"/>
      <c r="F382" s="1"/>
      <c r="G382" s="1"/>
      <c r="H382" s="1"/>
    </row>
    <row r="383" spans="1:8" ht="15.75" customHeight="1">
      <c r="A383" s="1"/>
      <c r="B383" s="1"/>
      <c r="C383" s="1"/>
      <c r="D383" s="1"/>
      <c r="E383" s="1"/>
      <c r="F383" s="1"/>
      <c r="G383" s="1"/>
      <c r="H383" s="1"/>
    </row>
    <row r="384" spans="1:8" ht="15.75" customHeight="1">
      <c r="A384" s="1"/>
      <c r="B384" s="1"/>
      <c r="C384" s="1"/>
      <c r="D384" s="1"/>
      <c r="E384" s="1"/>
      <c r="F384" s="1"/>
      <c r="G384" s="1"/>
      <c r="H384" s="1"/>
    </row>
    <row r="385" spans="1:8" ht="15.75" customHeight="1">
      <c r="A385" s="1"/>
      <c r="B385" s="1"/>
      <c r="C385" s="1"/>
      <c r="D385" s="1"/>
      <c r="E385" s="1"/>
      <c r="F385" s="1"/>
      <c r="G385" s="1"/>
      <c r="H385" s="1"/>
    </row>
    <row r="386" spans="1:8" ht="15.75" customHeight="1">
      <c r="A386" s="1"/>
      <c r="B386" s="1"/>
      <c r="C386" s="1"/>
      <c r="D386" s="1"/>
      <c r="E386" s="1"/>
      <c r="F386" s="1"/>
      <c r="G386" s="1"/>
      <c r="H386" s="1"/>
    </row>
    <row r="387" spans="1:8" ht="15.75" customHeight="1">
      <c r="A387" s="1"/>
      <c r="B387" s="1"/>
      <c r="C387" s="1"/>
      <c r="D387" s="1"/>
      <c r="E387" s="1"/>
      <c r="F387" s="1"/>
      <c r="G387" s="1"/>
      <c r="H387" s="1"/>
    </row>
    <row r="388" spans="1:8" ht="15.75" customHeight="1">
      <c r="A388" s="1"/>
      <c r="B388" s="1"/>
      <c r="C388" s="1"/>
      <c r="D388" s="1"/>
      <c r="E388" s="1"/>
      <c r="F388" s="1"/>
      <c r="G388" s="1"/>
      <c r="H388" s="1"/>
    </row>
    <row r="389" spans="1:8" ht="15.75" customHeight="1">
      <c r="A389" s="1"/>
      <c r="B389" s="1"/>
      <c r="C389" s="1"/>
      <c r="D389" s="1"/>
      <c r="E389" s="1"/>
      <c r="F389" s="1"/>
      <c r="G389" s="1"/>
      <c r="H389" s="1"/>
    </row>
    <row r="390" spans="1:8" ht="15.75" customHeight="1">
      <c r="A390" s="1"/>
      <c r="B390" s="1"/>
      <c r="C390" s="1"/>
      <c r="D390" s="1"/>
      <c r="E390" s="1"/>
      <c r="F390" s="1"/>
      <c r="G390" s="1"/>
      <c r="H390" s="1"/>
    </row>
    <row r="391" spans="1:8" ht="15.75" customHeight="1">
      <c r="A391" s="1"/>
      <c r="B391" s="1"/>
      <c r="C391" s="1"/>
      <c r="D391" s="1"/>
      <c r="E391" s="1"/>
      <c r="F391" s="1"/>
      <c r="G391" s="1"/>
      <c r="H391" s="1"/>
    </row>
    <row r="392" spans="1:8" ht="15.75" customHeight="1">
      <c r="A392" s="1"/>
      <c r="B392" s="1"/>
      <c r="C392" s="1"/>
      <c r="D392" s="1"/>
      <c r="E392" s="1"/>
      <c r="F392" s="1"/>
      <c r="G392" s="1"/>
      <c r="H392" s="1"/>
    </row>
    <row r="393" spans="1:8" ht="15.75" customHeight="1">
      <c r="A393" s="1"/>
      <c r="B393" s="1"/>
      <c r="C393" s="1"/>
      <c r="D393" s="1"/>
      <c r="E393" s="1"/>
      <c r="F393" s="1"/>
      <c r="G393" s="1"/>
      <c r="H393" s="1"/>
    </row>
    <row r="394" spans="1:8" ht="15.75" customHeight="1">
      <c r="A394" s="1"/>
      <c r="B394" s="1"/>
      <c r="C394" s="1"/>
      <c r="D394" s="1"/>
      <c r="E394" s="1"/>
      <c r="F394" s="1"/>
      <c r="G394" s="1"/>
      <c r="H394" s="1"/>
    </row>
    <row r="395" spans="1:8" ht="15.75" customHeight="1">
      <c r="A395" s="1"/>
      <c r="B395" s="1"/>
      <c r="C395" s="1"/>
      <c r="D395" s="1"/>
      <c r="E395" s="1"/>
      <c r="F395" s="1"/>
      <c r="G395" s="1"/>
      <c r="H395" s="1"/>
    </row>
    <row r="396" spans="1:8" ht="15.75" customHeight="1">
      <c r="A396" s="1"/>
      <c r="B396" s="1"/>
      <c r="C396" s="1"/>
      <c r="D396" s="1"/>
      <c r="E396" s="1"/>
      <c r="F396" s="1"/>
      <c r="G396" s="1"/>
      <c r="H396" s="1"/>
    </row>
    <row r="397" spans="1:8" ht="15.75" customHeight="1">
      <c r="A397" s="1"/>
      <c r="B397" s="1"/>
      <c r="C397" s="1"/>
      <c r="D397" s="1"/>
      <c r="E397" s="1"/>
      <c r="F397" s="1"/>
      <c r="G397" s="1"/>
      <c r="H397" s="1"/>
    </row>
    <row r="398" spans="1:8" ht="15.75" customHeight="1">
      <c r="A398" s="1"/>
      <c r="B398" s="1"/>
      <c r="C398" s="1"/>
      <c r="D398" s="1"/>
      <c r="E398" s="1"/>
      <c r="F398" s="1"/>
      <c r="G398" s="1"/>
      <c r="H398" s="1"/>
    </row>
    <row r="399" spans="1:8" ht="15.75" customHeight="1">
      <c r="A399" s="1"/>
      <c r="B399" s="1"/>
      <c r="C399" s="1"/>
      <c r="D399" s="1"/>
      <c r="E399" s="1"/>
      <c r="F399" s="1"/>
      <c r="G399" s="1"/>
      <c r="H399" s="1"/>
    </row>
    <row r="400" spans="1:8" ht="15.75" customHeight="1">
      <c r="A400" s="1"/>
      <c r="B400" s="1"/>
      <c r="C400" s="1"/>
      <c r="D400" s="1"/>
      <c r="E400" s="1"/>
      <c r="F400" s="1"/>
      <c r="G400" s="1"/>
      <c r="H400" s="1"/>
    </row>
    <row r="401" spans="1:8" ht="15.75" customHeight="1">
      <c r="A401" s="1"/>
      <c r="B401" s="1"/>
      <c r="C401" s="1"/>
      <c r="D401" s="1"/>
      <c r="E401" s="1"/>
      <c r="F401" s="1"/>
      <c r="G401" s="1"/>
      <c r="H401" s="1"/>
    </row>
    <row r="402" spans="1:8" ht="15.75" customHeight="1">
      <c r="A402" s="1"/>
      <c r="B402" s="1"/>
      <c r="C402" s="1"/>
      <c r="D402" s="1"/>
      <c r="E402" s="1"/>
      <c r="F402" s="1"/>
      <c r="G402" s="1"/>
      <c r="H402" s="1"/>
    </row>
    <row r="403" spans="1:8" ht="15.75" customHeight="1">
      <c r="A403" s="1"/>
      <c r="B403" s="1"/>
      <c r="C403" s="1"/>
      <c r="D403" s="1"/>
      <c r="E403" s="1"/>
      <c r="F403" s="1"/>
      <c r="G403" s="1"/>
      <c r="H403" s="1"/>
    </row>
    <row r="404" spans="1:8" ht="15.75" customHeight="1">
      <c r="A404" s="1"/>
      <c r="B404" s="1"/>
      <c r="C404" s="1"/>
      <c r="D404" s="1"/>
      <c r="E404" s="1"/>
      <c r="F404" s="1"/>
      <c r="G404" s="1"/>
      <c r="H404" s="1"/>
    </row>
    <row r="405" spans="1:8" ht="15.75" customHeight="1">
      <c r="A405" s="1"/>
      <c r="B405" s="1"/>
      <c r="C405" s="1"/>
      <c r="D405" s="1"/>
      <c r="E405" s="1"/>
      <c r="F405" s="1"/>
      <c r="G405" s="1"/>
      <c r="H405" s="1"/>
    </row>
    <row r="406" spans="1:8" ht="15.75" customHeight="1">
      <c r="A406" s="1"/>
      <c r="B406" s="1"/>
      <c r="C406" s="1"/>
      <c r="D406" s="1"/>
      <c r="E406" s="1"/>
      <c r="F406" s="1"/>
      <c r="G406" s="1"/>
      <c r="H406" s="1"/>
    </row>
    <row r="407" spans="1:8" ht="15.75" customHeight="1">
      <c r="A407" s="1"/>
      <c r="B407" s="1"/>
      <c r="C407" s="1"/>
      <c r="D407" s="1"/>
      <c r="E407" s="1"/>
      <c r="F407" s="1"/>
      <c r="G407" s="1"/>
      <c r="H407" s="1"/>
    </row>
    <row r="408" spans="1:8" ht="15.75" customHeight="1">
      <c r="A408" s="1"/>
      <c r="B408" s="1"/>
      <c r="C408" s="1"/>
      <c r="D408" s="1"/>
      <c r="E408" s="1"/>
      <c r="F408" s="1"/>
      <c r="G408" s="1"/>
      <c r="H408" s="1"/>
    </row>
    <row r="409" spans="1:8" ht="15.75" customHeight="1">
      <c r="A409" s="1"/>
      <c r="B409" s="1"/>
      <c r="C409" s="1"/>
      <c r="D409" s="1"/>
      <c r="E409" s="1"/>
      <c r="F409" s="1"/>
      <c r="G409" s="1"/>
      <c r="H409" s="1"/>
    </row>
    <row r="410" spans="1:8" ht="15.75" customHeight="1">
      <c r="A410" s="1"/>
      <c r="B410" s="1"/>
      <c r="C410" s="1"/>
      <c r="D410" s="1"/>
      <c r="E410" s="1"/>
      <c r="F410" s="1"/>
      <c r="G410" s="1"/>
      <c r="H410" s="1"/>
    </row>
    <row r="411" spans="1:8" ht="15.75" customHeight="1">
      <c r="A411" s="1"/>
      <c r="B411" s="1"/>
      <c r="C411" s="1"/>
      <c r="D411" s="1"/>
      <c r="E411" s="1"/>
      <c r="F411" s="1"/>
      <c r="G411" s="1"/>
      <c r="H411" s="1"/>
    </row>
    <row r="412" spans="1:8" ht="15.75" customHeight="1">
      <c r="A412" s="1"/>
      <c r="B412" s="1"/>
      <c r="C412" s="1"/>
      <c r="D412" s="1"/>
      <c r="E412" s="1"/>
      <c r="F412" s="1"/>
      <c r="G412" s="1"/>
      <c r="H412" s="1"/>
    </row>
    <row r="413" spans="1:8" ht="15.75" customHeight="1">
      <c r="A413" s="1"/>
      <c r="B413" s="1"/>
      <c r="C413" s="1"/>
      <c r="D413" s="1"/>
      <c r="E413" s="1"/>
      <c r="F413" s="1"/>
      <c r="G413" s="1"/>
      <c r="H413" s="1"/>
    </row>
    <row r="414" spans="1:8" ht="15.75" customHeight="1">
      <c r="A414" s="1"/>
      <c r="B414" s="1"/>
      <c r="C414" s="1"/>
      <c r="D414" s="1"/>
      <c r="E414" s="1"/>
      <c r="F414" s="1"/>
      <c r="G414" s="1"/>
      <c r="H414" s="1"/>
    </row>
    <row r="415" spans="1:8" ht="15.75" customHeight="1">
      <c r="A415" s="1"/>
      <c r="B415" s="1"/>
      <c r="C415" s="1"/>
      <c r="D415" s="1"/>
      <c r="E415" s="1"/>
      <c r="F415" s="1"/>
      <c r="G415" s="1"/>
      <c r="H415" s="1"/>
    </row>
    <row r="416" spans="1:8" ht="15.75" customHeight="1">
      <c r="A416" s="1"/>
      <c r="B416" s="1"/>
      <c r="C416" s="1"/>
      <c r="D416" s="1"/>
      <c r="E416" s="1"/>
      <c r="F416" s="1"/>
      <c r="G416" s="1"/>
      <c r="H416" s="1"/>
    </row>
    <row r="417" spans="1:8" ht="15.75" customHeight="1">
      <c r="A417" s="1"/>
      <c r="B417" s="1"/>
      <c r="C417" s="1"/>
      <c r="D417" s="1"/>
      <c r="E417" s="1"/>
      <c r="F417" s="1"/>
      <c r="G417" s="1"/>
      <c r="H417" s="1"/>
    </row>
    <row r="418" spans="1:8" ht="15.75" customHeight="1">
      <c r="A418" s="1"/>
      <c r="B418" s="1"/>
      <c r="C418" s="1"/>
      <c r="D418" s="1"/>
      <c r="E418" s="1"/>
      <c r="F418" s="1"/>
      <c r="G418" s="1"/>
      <c r="H418" s="1"/>
    </row>
    <row r="419" spans="1:8" ht="15.75" customHeight="1">
      <c r="A419" s="1"/>
      <c r="B419" s="1"/>
      <c r="C419" s="1"/>
      <c r="D419" s="1"/>
      <c r="E419" s="1"/>
      <c r="F419" s="1"/>
      <c r="G419" s="1"/>
      <c r="H419" s="1"/>
    </row>
    <row r="420" spans="1:8" ht="15.75" customHeight="1">
      <c r="A420" s="1"/>
      <c r="B420" s="1"/>
      <c r="C420" s="1"/>
      <c r="D420" s="1"/>
      <c r="E420" s="1"/>
      <c r="F420" s="1"/>
      <c r="G420" s="1"/>
      <c r="H420" s="1"/>
    </row>
    <row r="421" spans="1:8" ht="15.75" customHeight="1">
      <c r="A421" s="1"/>
      <c r="B421" s="1"/>
      <c r="C421" s="1"/>
      <c r="D421" s="1"/>
      <c r="E421" s="1"/>
      <c r="F421" s="1"/>
      <c r="G421" s="1"/>
      <c r="H421" s="1"/>
    </row>
    <row r="422" spans="1:8" ht="15.75" customHeight="1">
      <c r="A422" s="1"/>
      <c r="B422" s="1"/>
      <c r="C422" s="1"/>
      <c r="D422" s="1"/>
      <c r="E422" s="1"/>
      <c r="F422" s="1"/>
      <c r="G422" s="1"/>
      <c r="H422" s="1"/>
    </row>
    <row r="423" spans="1:8" ht="15.75" customHeight="1">
      <c r="A423" s="1"/>
      <c r="B423" s="1"/>
      <c r="C423" s="1"/>
      <c r="D423" s="1"/>
      <c r="E423" s="1"/>
      <c r="F423" s="1"/>
      <c r="G423" s="1"/>
      <c r="H423" s="1"/>
    </row>
    <row r="424" spans="1:8" ht="15.75" customHeight="1">
      <c r="A424" s="1"/>
      <c r="B424" s="1"/>
      <c r="C424" s="1"/>
      <c r="D424" s="1"/>
      <c r="E424" s="1"/>
      <c r="F424" s="1"/>
      <c r="G424" s="1"/>
      <c r="H424" s="1"/>
    </row>
    <row r="425" spans="1:8" ht="15.75" customHeight="1">
      <c r="A425" s="1"/>
      <c r="B425" s="1"/>
      <c r="C425" s="1"/>
      <c r="D425" s="1"/>
      <c r="E425" s="1"/>
      <c r="F425" s="1"/>
      <c r="G425" s="1"/>
      <c r="H425" s="1"/>
    </row>
    <row r="426" spans="1:8" ht="15.75" customHeight="1">
      <c r="A426" s="1"/>
      <c r="B426" s="1"/>
      <c r="C426" s="1"/>
      <c r="D426" s="1"/>
      <c r="E426" s="1"/>
      <c r="F426" s="1"/>
      <c r="G426" s="1"/>
      <c r="H426" s="1"/>
    </row>
    <row r="427" spans="1:8" ht="15.75" customHeight="1">
      <c r="A427" s="1"/>
      <c r="B427" s="1"/>
      <c r="C427" s="1"/>
      <c r="D427" s="1"/>
      <c r="E427" s="1"/>
      <c r="F427" s="1"/>
      <c r="G427" s="1"/>
      <c r="H427" s="1"/>
    </row>
    <row r="428" spans="1:8" ht="15.75" customHeight="1">
      <c r="A428" s="1"/>
      <c r="B428" s="1"/>
      <c r="C428" s="1"/>
      <c r="D428" s="1"/>
      <c r="E428" s="1"/>
      <c r="F428" s="1"/>
      <c r="G428" s="1"/>
      <c r="H428" s="1"/>
    </row>
    <row r="429" spans="1:8" ht="15.75" customHeight="1">
      <c r="A429" s="1"/>
      <c r="B429" s="1"/>
      <c r="C429" s="1"/>
      <c r="D429" s="1"/>
      <c r="E429" s="1"/>
      <c r="F429" s="1"/>
      <c r="G429" s="1"/>
      <c r="H429" s="1"/>
    </row>
    <row r="430" spans="1:8" ht="15.75" customHeight="1">
      <c r="A430" s="1"/>
      <c r="B430" s="1"/>
      <c r="C430" s="1"/>
      <c r="D430" s="1"/>
      <c r="E430" s="1"/>
      <c r="F430" s="1"/>
      <c r="G430" s="1"/>
      <c r="H430" s="1"/>
    </row>
    <row r="431" spans="1:8" ht="15.75" customHeight="1">
      <c r="A431" s="1"/>
      <c r="B431" s="1"/>
      <c r="C431" s="1"/>
      <c r="D431" s="1"/>
      <c r="E431" s="1"/>
      <c r="F431" s="1"/>
      <c r="G431" s="1"/>
      <c r="H431" s="1"/>
    </row>
    <row r="432" spans="1:8" ht="15.75" customHeight="1">
      <c r="A432" s="1"/>
      <c r="B432" s="1"/>
      <c r="C432" s="1"/>
      <c r="D432" s="1"/>
      <c r="E432" s="1"/>
      <c r="F432" s="1"/>
      <c r="G432" s="1"/>
      <c r="H432" s="1"/>
    </row>
    <row r="433" spans="1:8" ht="15.75" customHeight="1">
      <c r="A433" s="1"/>
      <c r="B433" s="1"/>
      <c r="C433" s="1"/>
      <c r="D433" s="1"/>
      <c r="E433" s="1"/>
      <c r="F433" s="1"/>
      <c r="G433" s="1"/>
      <c r="H433" s="1"/>
    </row>
    <row r="434" spans="1:8" ht="15.75" customHeight="1">
      <c r="A434" s="1"/>
      <c r="B434" s="1"/>
      <c r="C434" s="1"/>
      <c r="D434" s="1"/>
      <c r="E434" s="1"/>
      <c r="F434" s="1"/>
      <c r="G434" s="1"/>
      <c r="H434" s="1"/>
    </row>
    <row r="435" spans="1:8" ht="15.75" customHeight="1">
      <c r="A435" s="1"/>
      <c r="B435" s="1"/>
      <c r="C435" s="1"/>
      <c r="D435" s="1"/>
      <c r="E435" s="1"/>
      <c r="F435" s="1"/>
      <c r="G435" s="1"/>
      <c r="H435" s="1"/>
    </row>
    <row r="436" spans="1:8" ht="15.75" customHeight="1">
      <c r="A436" s="1"/>
      <c r="B436" s="1"/>
      <c r="C436" s="1"/>
      <c r="D436" s="1"/>
      <c r="E436" s="1"/>
      <c r="F436" s="1"/>
      <c r="G436" s="1"/>
      <c r="H436" s="1"/>
    </row>
    <row r="437" spans="1:8" ht="15.75" customHeight="1">
      <c r="A437" s="1"/>
      <c r="B437" s="1"/>
      <c r="C437" s="1"/>
      <c r="D437" s="1"/>
      <c r="E437" s="1"/>
      <c r="F437" s="1"/>
      <c r="G437" s="1"/>
      <c r="H437" s="1"/>
    </row>
    <row r="438" spans="1:8" ht="15.75" customHeight="1">
      <c r="A438" s="1"/>
      <c r="B438" s="1"/>
      <c r="C438" s="1"/>
      <c r="D438" s="1"/>
      <c r="E438" s="1"/>
      <c r="F438" s="1"/>
      <c r="G438" s="1"/>
      <c r="H438" s="1"/>
    </row>
    <row r="439" spans="1:8" ht="15.75" customHeight="1">
      <c r="A439" s="1"/>
      <c r="B439" s="1"/>
      <c r="C439" s="1"/>
      <c r="D439" s="1"/>
      <c r="E439" s="1"/>
      <c r="F439" s="1"/>
      <c r="G439" s="1"/>
      <c r="H439" s="1"/>
    </row>
    <row r="440" spans="1:8" ht="15.75" customHeight="1">
      <c r="A440" s="1"/>
      <c r="B440" s="1"/>
      <c r="C440" s="1"/>
      <c r="D440" s="1"/>
      <c r="E440" s="1"/>
      <c r="F440" s="1"/>
      <c r="G440" s="1"/>
      <c r="H440" s="1"/>
    </row>
    <row r="441" spans="1:8" ht="15.75" customHeight="1">
      <c r="A441" s="1"/>
      <c r="B441" s="1"/>
      <c r="C441" s="1"/>
      <c r="D441" s="1"/>
      <c r="E441" s="1"/>
      <c r="F441" s="1"/>
      <c r="G441" s="1"/>
      <c r="H441" s="1"/>
    </row>
    <row r="442" spans="1:8" ht="15.75" customHeight="1">
      <c r="A442" s="1"/>
      <c r="B442" s="1"/>
      <c r="C442" s="1"/>
      <c r="D442" s="1"/>
      <c r="E442" s="1"/>
      <c r="F442" s="1"/>
      <c r="G442" s="1"/>
      <c r="H442" s="1"/>
    </row>
    <row r="443" spans="1:8" ht="15.75" customHeight="1">
      <c r="A443" s="1"/>
      <c r="B443" s="1"/>
      <c r="C443" s="1"/>
      <c r="D443" s="1"/>
      <c r="E443" s="1"/>
      <c r="F443" s="1"/>
      <c r="G443" s="1"/>
      <c r="H443" s="1"/>
    </row>
    <row r="444" spans="1:8" ht="15.75" customHeight="1">
      <c r="A444" s="1"/>
      <c r="B444" s="1"/>
      <c r="C444" s="1"/>
      <c r="D444" s="1"/>
      <c r="E444" s="1"/>
      <c r="F444" s="1"/>
      <c r="G444" s="1"/>
      <c r="H444" s="1"/>
    </row>
    <row r="445" spans="1:8" ht="15.75" customHeight="1">
      <c r="A445" s="1"/>
      <c r="B445" s="1"/>
      <c r="C445" s="1"/>
      <c r="D445" s="1"/>
      <c r="E445" s="1"/>
      <c r="F445" s="1"/>
      <c r="G445" s="1"/>
      <c r="H445" s="1"/>
    </row>
    <row r="446" spans="1:8" ht="15.75" customHeight="1">
      <c r="A446" s="1"/>
      <c r="B446" s="1"/>
      <c r="C446" s="1"/>
      <c r="D446" s="1"/>
      <c r="E446" s="1"/>
      <c r="F446" s="1"/>
      <c r="G446" s="1"/>
      <c r="H446" s="1"/>
    </row>
    <row r="447" spans="1:8" ht="15.75" customHeight="1">
      <c r="A447" s="1"/>
      <c r="B447" s="1"/>
      <c r="C447" s="1"/>
      <c r="D447" s="1"/>
      <c r="E447" s="1"/>
      <c r="F447" s="1"/>
      <c r="G447" s="1"/>
      <c r="H447" s="1"/>
    </row>
    <row r="448" spans="1:8" ht="15.75" customHeight="1">
      <c r="A448" s="1"/>
      <c r="B448" s="1"/>
      <c r="C448" s="1"/>
      <c r="D448" s="1"/>
      <c r="E448" s="1"/>
      <c r="F448" s="1"/>
      <c r="G448" s="1"/>
      <c r="H448" s="1"/>
    </row>
    <row r="449" spans="1:8" ht="15.75" customHeight="1">
      <c r="A449" s="1"/>
      <c r="B449" s="1"/>
      <c r="C449" s="1"/>
      <c r="D449" s="1"/>
      <c r="E449" s="1"/>
      <c r="F449" s="1"/>
      <c r="G449" s="1"/>
      <c r="H449" s="1"/>
    </row>
    <row r="450" spans="1:8" ht="15.75" customHeight="1">
      <c r="A450" s="1"/>
      <c r="B450" s="1"/>
      <c r="C450" s="1"/>
      <c r="D450" s="1"/>
      <c r="E450" s="1"/>
      <c r="F450" s="1"/>
      <c r="G450" s="1"/>
      <c r="H450" s="1"/>
    </row>
    <row r="451" spans="1:8" ht="15.75" customHeight="1">
      <c r="A451" s="1"/>
      <c r="B451" s="1"/>
      <c r="C451" s="1"/>
      <c r="D451" s="1"/>
      <c r="E451" s="1"/>
      <c r="F451" s="1"/>
      <c r="G451" s="1"/>
      <c r="H451" s="1"/>
    </row>
    <row r="452" spans="1:8" ht="15.75" customHeight="1">
      <c r="A452" s="1"/>
      <c r="B452" s="1"/>
      <c r="C452" s="1"/>
      <c r="D452" s="1"/>
      <c r="E452" s="1"/>
      <c r="F452" s="1"/>
      <c r="G452" s="1"/>
      <c r="H452" s="1"/>
    </row>
    <row r="453" spans="1:8" ht="15.75" customHeight="1">
      <c r="A453" s="1"/>
      <c r="B453" s="1"/>
      <c r="C453" s="1"/>
      <c r="D453" s="1"/>
      <c r="E453" s="1"/>
      <c r="F453" s="1"/>
      <c r="G453" s="1"/>
      <c r="H453" s="1"/>
    </row>
    <row r="454" spans="1:8" ht="15.75" customHeight="1">
      <c r="A454" s="1"/>
      <c r="B454" s="1"/>
      <c r="C454" s="1"/>
      <c r="D454" s="1"/>
      <c r="E454" s="1"/>
      <c r="F454" s="1"/>
      <c r="G454" s="1"/>
      <c r="H454" s="1"/>
    </row>
    <row r="455" spans="1:8" ht="15.75" customHeight="1">
      <c r="A455" s="1"/>
      <c r="B455" s="1"/>
      <c r="C455" s="1"/>
      <c r="D455" s="1"/>
      <c r="E455" s="1"/>
      <c r="F455" s="1"/>
      <c r="G455" s="1"/>
      <c r="H455" s="1"/>
    </row>
    <row r="456" spans="1:8" ht="15.75" customHeight="1">
      <c r="A456" s="1"/>
      <c r="B456" s="1"/>
      <c r="C456" s="1"/>
      <c r="D456" s="1"/>
      <c r="E456" s="1"/>
      <c r="F456" s="1"/>
      <c r="G456" s="1"/>
      <c r="H456" s="1"/>
    </row>
    <row r="457" spans="1:8" ht="15.75" customHeight="1">
      <c r="A457" s="1"/>
      <c r="B457" s="1"/>
      <c r="C457" s="1"/>
      <c r="D457" s="1"/>
      <c r="E457" s="1"/>
      <c r="F457" s="1"/>
      <c r="G457" s="1"/>
      <c r="H457" s="1"/>
    </row>
    <row r="458" spans="1:8" ht="15.75" customHeight="1">
      <c r="A458" s="1"/>
      <c r="B458" s="1"/>
      <c r="C458" s="1"/>
      <c r="D458" s="1"/>
      <c r="E458" s="1"/>
      <c r="F458" s="1"/>
      <c r="G458" s="1"/>
      <c r="H458" s="1"/>
    </row>
    <row r="459" spans="1:8" ht="15.75" customHeight="1">
      <c r="A459" s="1"/>
      <c r="B459" s="1"/>
      <c r="C459" s="1"/>
      <c r="D459" s="1"/>
      <c r="E459" s="1"/>
      <c r="F459" s="1"/>
      <c r="G459" s="1"/>
      <c r="H459" s="1"/>
    </row>
    <row r="460" spans="1:8" ht="15.75" customHeight="1">
      <c r="A460" s="1"/>
      <c r="B460" s="1"/>
      <c r="C460" s="1"/>
      <c r="D460" s="1"/>
      <c r="E460" s="1"/>
      <c r="F460" s="1"/>
      <c r="G460" s="1"/>
      <c r="H460" s="1"/>
    </row>
    <row r="461" spans="1:8" ht="15.75" customHeight="1">
      <c r="A461" s="1"/>
      <c r="B461" s="1"/>
      <c r="C461" s="1"/>
      <c r="D461" s="1"/>
      <c r="E461" s="1"/>
      <c r="F461" s="1"/>
      <c r="G461" s="1"/>
      <c r="H461" s="1"/>
    </row>
    <row r="462" spans="1:8" ht="15.75" customHeight="1">
      <c r="A462" s="1"/>
      <c r="B462" s="1"/>
      <c r="C462" s="1"/>
      <c r="D462" s="1"/>
      <c r="E462" s="1"/>
      <c r="F462" s="1"/>
      <c r="G462" s="1"/>
      <c r="H462" s="1"/>
    </row>
    <row r="463" spans="1:8" ht="15.75" customHeight="1">
      <c r="A463" s="1"/>
      <c r="B463" s="1"/>
      <c r="C463" s="1"/>
      <c r="D463" s="1"/>
      <c r="E463" s="1"/>
      <c r="F463" s="1"/>
      <c r="G463" s="1"/>
      <c r="H463" s="1"/>
    </row>
    <row r="464" spans="1:8" ht="15.75" customHeight="1">
      <c r="A464" s="1"/>
      <c r="B464" s="1"/>
      <c r="C464" s="1"/>
      <c r="D464" s="1"/>
      <c r="E464" s="1"/>
      <c r="F464" s="1"/>
      <c r="G464" s="1"/>
      <c r="H464" s="1"/>
    </row>
    <row r="465" spans="1:8" ht="15.75" customHeight="1">
      <c r="A465" s="1"/>
      <c r="B465" s="1"/>
      <c r="C465" s="1"/>
      <c r="D465" s="1"/>
      <c r="E465" s="1"/>
      <c r="F465" s="1"/>
      <c r="G465" s="1"/>
      <c r="H465" s="1"/>
    </row>
    <row r="466" spans="1:8" ht="15.75" customHeight="1">
      <c r="A466" s="1"/>
      <c r="B466" s="1"/>
      <c r="C466" s="1"/>
      <c r="D466" s="1"/>
      <c r="E466" s="1"/>
      <c r="F466" s="1"/>
      <c r="G466" s="1"/>
      <c r="H466" s="1"/>
    </row>
    <row r="467" spans="1:8" ht="15.75" customHeight="1">
      <c r="A467" s="1"/>
      <c r="B467" s="1"/>
      <c r="C467" s="1"/>
      <c r="D467" s="1"/>
      <c r="E467" s="1"/>
      <c r="F467" s="1"/>
      <c r="G467" s="1"/>
      <c r="H467" s="1"/>
    </row>
    <row r="468" spans="1:8" ht="15.75" customHeight="1">
      <c r="A468" s="1"/>
      <c r="B468" s="1"/>
      <c r="C468" s="1"/>
      <c r="D468" s="1"/>
      <c r="E468" s="1"/>
      <c r="F468" s="1"/>
      <c r="G468" s="1"/>
      <c r="H468" s="1"/>
    </row>
    <row r="469" spans="1:8" ht="15.75" customHeight="1">
      <c r="A469" s="1"/>
      <c r="B469" s="1"/>
      <c r="C469" s="1"/>
      <c r="D469" s="1"/>
      <c r="E469" s="1"/>
      <c r="F469" s="1"/>
      <c r="G469" s="1"/>
      <c r="H469" s="1"/>
    </row>
    <row r="470" spans="1:8" ht="15.75" customHeight="1">
      <c r="A470" s="1"/>
      <c r="B470" s="1"/>
      <c r="C470" s="1"/>
      <c r="D470" s="1"/>
      <c r="E470" s="1"/>
      <c r="F470" s="1"/>
      <c r="G470" s="1"/>
      <c r="H470" s="1"/>
    </row>
    <row r="471" spans="1:8" ht="15.75" customHeight="1">
      <c r="A471" s="1"/>
      <c r="B471" s="1"/>
      <c r="C471" s="1"/>
      <c r="D471" s="1"/>
      <c r="E471" s="1"/>
      <c r="F471" s="1"/>
      <c r="G471" s="1"/>
      <c r="H471" s="1"/>
    </row>
    <row r="472" spans="1:8" ht="15.75" customHeight="1">
      <c r="A472" s="1"/>
      <c r="B472" s="1"/>
      <c r="C472" s="1"/>
      <c r="D472" s="1"/>
      <c r="E472" s="1"/>
      <c r="F472" s="1"/>
      <c r="G472" s="1"/>
      <c r="H472" s="1"/>
    </row>
    <row r="473" spans="1:8" ht="15.75" customHeight="1">
      <c r="A473" s="1"/>
      <c r="B473" s="1"/>
      <c r="C473" s="1"/>
      <c r="D473" s="1"/>
      <c r="E473" s="1"/>
      <c r="F473" s="1"/>
      <c r="G473" s="1"/>
      <c r="H473" s="1"/>
    </row>
    <row r="474" spans="1:8" ht="15.75" customHeight="1">
      <c r="A474" s="1"/>
      <c r="B474" s="1"/>
      <c r="C474" s="1"/>
      <c r="D474" s="1"/>
      <c r="E474" s="1"/>
      <c r="F474" s="1"/>
      <c r="G474" s="1"/>
      <c r="H474" s="1"/>
    </row>
    <row r="475" spans="1:8" ht="15.75" customHeight="1">
      <c r="A475" s="1"/>
      <c r="B475" s="1"/>
      <c r="C475" s="1"/>
      <c r="D475" s="1"/>
      <c r="E475" s="1"/>
      <c r="F475" s="1"/>
      <c r="G475" s="1"/>
      <c r="H475" s="1"/>
    </row>
    <row r="476" spans="1:8" ht="15.75" customHeight="1">
      <c r="A476" s="1"/>
      <c r="B476" s="1"/>
      <c r="C476" s="1"/>
      <c r="D476" s="1"/>
      <c r="E476" s="1"/>
      <c r="F476" s="1"/>
      <c r="G476" s="1"/>
      <c r="H476" s="1"/>
    </row>
    <row r="477" spans="1:8" ht="15.75" customHeight="1">
      <c r="A477" s="1"/>
      <c r="B477" s="1"/>
      <c r="C477" s="1"/>
      <c r="D477" s="1"/>
      <c r="E477" s="1"/>
      <c r="F477" s="1"/>
      <c r="G477" s="1"/>
      <c r="H477" s="1"/>
    </row>
    <row r="478" spans="1:8" ht="15.75" customHeight="1">
      <c r="A478" s="1"/>
      <c r="B478" s="1"/>
      <c r="C478" s="1"/>
      <c r="D478" s="1"/>
      <c r="E478" s="1"/>
      <c r="F478" s="1"/>
      <c r="G478" s="1"/>
      <c r="H478" s="1"/>
    </row>
    <row r="479" spans="1:8" ht="15.75" customHeight="1">
      <c r="A479" s="1"/>
      <c r="B479" s="1"/>
      <c r="C479" s="1"/>
      <c r="D479" s="1"/>
      <c r="E479" s="1"/>
      <c r="F479" s="1"/>
      <c r="G479" s="1"/>
      <c r="H479" s="1"/>
    </row>
    <row r="480" spans="1:8" ht="15.75" customHeight="1">
      <c r="A480" s="1"/>
      <c r="B480" s="1"/>
      <c r="C480" s="1"/>
      <c r="D480" s="1"/>
      <c r="E480" s="1"/>
      <c r="F480" s="1"/>
      <c r="G480" s="1"/>
      <c r="H480" s="1"/>
    </row>
    <row r="481" spans="1:8" ht="15.75" customHeight="1">
      <c r="A481" s="1"/>
      <c r="B481" s="1"/>
      <c r="C481" s="1"/>
      <c r="D481" s="1"/>
      <c r="E481" s="1"/>
      <c r="F481" s="1"/>
      <c r="G481" s="1"/>
      <c r="H481" s="1"/>
    </row>
    <row r="482" spans="1:8" ht="15.75" customHeight="1">
      <c r="A482" s="1"/>
      <c r="B482" s="1"/>
      <c r="C482" s="1"/>
      <c r="D482" s="1"/>
      <c r="E482" s="1"/>
      <c r="F482" s="1"/>
      <c r="G482" s="1"/>
      <c r="H482" s="1"/>
    </row>
    <row r="483" spans="1:8" ht="15.75" customHeight="1">
      <c r="A483" s="1"/>
      <c r="B483" s="1"/>
      <c r="C483" s="1"/>
      <c r="D483" s="1"/>
      <c r="E483" s="1"/>
      <c r="F483" s="1"/>
      <c r="G483" s="1"/>
      <c r="H483" s="1"/>
    </row>
    <row r="484" spans="1:8" ht="15.75" customHeight="1">
      <c r="A484" s="1"/>
      <c r="B484" s="1"/>
      <c r="C484" s="1"/>
      <c r="D484" s="1"/>
      <c r="E484" s="1"/>
      <c r="F484" s="1"/>
      <c r="G484" s="1"/>
      <c r="H484" s="1"/>
    </row>
    <row r="485" spans="1:8" ht="15.75" customHeight="1">
      <c r="A485" s="1"/>
      <c r="B485" s="1"/>
      <c r="C485" s="1"/>
      <c r="D485" s="1"/>
      <c r="E485" s="1"/>
      <c r="F485" s="1"/>
      <c r="G485" s="1"/>
      <c r="H485" s="1"/>
    </row>
    <row r="486" spans="1:8" ht="15.75" customHeight="1">
      <c r="A486" s="1"/>
      <c r="B486" s="1"/>
      <c r="C486" s="1"/>
      <c r="D486" s="1"/>
      <c r="E486" s="1"/>
      <c r="F486" s="1"/>
      <c r="G486" s="1"/>
      <c r="H486" s="1"/>
    </row>
    <row r="487" spans="1:8" ht="15.75" customHeight="1">
      <c r="A487" s="1"/>
      <c r="B487" s="1"/>
      <c r="C487" s="1"/>
      <c r="D487" s="1"/>
      <c r="E487" s="1"/>
      <c r="F487" s="1"/>
      <c r="G487" s="1"/>
      <c r="H487" s="1"/>
    </row>
    <row r="488" spans="1:8" ht="15.75" customHeight="1">
      <c r="A488" s="1"/>
      <c r="B488" s="1"/>
      <c r="C488" s="1"/>
      <c r="D488" s="1"/>
      <c r="E488" s="1"/>
      <c r="F488" s="1"/>
      <c r="G488" s="1"/>
      <c r="H488" s="1"/>
    </row>
    <row r="489" spans="1:8" ht="15.75" customHeight="1">
      <c r="A489" s="1"/>
      <c r="B489" s="1"/>
      <c r="C489" s="1"/>
      <c r="D489" s="1"/>
      <c r="E489" s="1"/>
      <c r="F489" s="1"/>
      <c r="G489" s="1"/>
      <c r="H489" s="1"/>
    </row>
    <row r="490" spans="1:8" ht="15.75" customHeight="1">
      <c r="A490" s="1"/>
      <c r="B490" s="1"/>
      <c r="C490" s="1"/>
      <c r="D490" s="1"/>
      <c r="E490" s="1"/>
      <c r="F490" s="1"/>
      <c r="G490" s="1"/>
      <c r="H490" s="1"/>
    </row>
    <row r="491" spans="1:8" ht="15.75" customHeight="1">
      <c r="A491" s="1"/>
      <c r="B491" s="1"/>
      <c r="C491" s="1"/>
      <c r="D491" s="1"/>
      <c r="E491" s="1"/>
      <c r="F491" s="1"/>
      <c r="G491" s="1"/>
      <c r="H491" s="1"/>
    </row>
    <row r="492" spans="1:8" ht="15.75" customHeight="1">
      <c r="A492" s="1"/>
      <c r="B492" s="1"/>
      <c r="C492" s="1"/>
      <c r="D492" s="1"/>
      <c r="E492" s="1"/>
      <c r="F492" s="1"/>
      <c r="G492" s="1"/>
      <c r="H492" s="1"/>
    </row>
    <row r="493" spans="1:8" ht="15.75" customHeight="1">
      <c r="A493" s="1"/>
      <c r="B493" s="1"/>
      <c r="C493" s="1"/>
      <c r="D493" s="1"/>
      <c r="E493" s="1"/>
      <c r="F493" s="1"/>
      <c r="G493" s="1"/>
      <c r="H493" s="1"/>
    </row>
    <row r="494" spans="1:8" ht="15.75" customHeight="1">
      <c r="A494" s="1"/>
      <c r="B494" s="1"/>
      <c r="C494" s="1"/>
      <c r="D494" s="1"/>
      <c r="E494" s="1"/>
      <c r="F494" s="1"/>
      <c r="G494" s="1"/>
      <c r="H494" s="1"/>
    </row>
    <row r="495" spans="1:8" ht="15.75" customHeight="1">
      <c r="A495" s="1"/>
      <c r="B495" s="1"/>
      <c r="C495" s="1"/>
      <c r="D495" s="1"/>
      <c r="E495" s="1"/>
      <c r="F495" s="1"/>
      <c r="G495" s="1"/>
      <c r="H495" s="1"/>
    </row>
    <row r="496" spans="1:8" ht="15.75" customHeight="1">
      <c r="A496" s="1"/>
      <c r="B496" s="1"/>
      <c r="C496" s="1"/>
      <c r="D496" s="1"/>
      <c r="E496" s="1"/>
      <c r="F496" s="1"/>
      <c r="G496" s="1"/>
      <c r="H496" s="1"/>
    </row>
    <row r="497" spans="1:8" ht="15.75" customHeight="1">
      <c r="A497" s="1"/>
      <c r="B497" s="1"/>
      <c r="C497" s="1"/>
      <c r="D497" s="1"/>
      <c r="E497" s="1"/>
      <c r="F497" s="1"/>
      <c r="G497" s="1"/>
      <c r="H497" s="1"/>
    </row>
    <row r="498" spans="1:8" ht="15.75" customHeight="1">
      <c r="A498" s="1"/>
      <c r="B498" s="1"/>
      <c r="C498" s="1"/>
      <c r="D498" s="1"/>
      <c r="E498" s="1"/>
      <c r="F498" s="1"/>
      <c r="G498" s="1"/>
      <c r="H498" s="1"/>
    </row>
    <row r="499" spans="1:8" ht="15.75" customHeight="1">
      <c r="A499" s="1"/>
      <c r="B499" s="1"/>
      <c r="C499" s="1"/>
      <c r="D499" s="1"/>
      <c r="E499" s="1"/>
      <c r="F499" s="1"/>
      <c r="G499" s="1"/>
      <c r="H499" s="1"/>
    </row>
    <row r="500" spans="1:8" ht="15.75" customHeight="1">
      <c r="A500" s="1"/>
      <c r="B500" s="1"/>
      <c r="C500" s="1"/>
      <c r="D500" s="1"/>
      <c r="E500" s="1"/>
      <c r="F500" s="1"/>
      <c r="G500" s="1"/>
      <c r="H500" s="1"/>
    </row>
    <row r="501" spans="1:8" ht="15.75" customHeight="1">
      <c r="A501" s="1"/>
      <c r="B501" s="1"/>
      <c r="C501" s="1"/>
      <c r="D501" s="1"/>
      <c r="E501" s="1"/>
      <c r="F501" s="1"/>
      <c r="G501" s="1"/>
      <c r="H501" s="1"/>
    </row>
    <row r="502" spans="1:8" ht="15.75" customHeight="1">
      <c r="A502" s="1"/>
      <c r="B502" s="1"/>
      <c r="C502" s="1"/>
      <c r="D502" s="1"/>
      <c r="E502" s="1"/>
      <c r="F502" s="1"/>
      <c r="G502" s="1"/>
      <c r="H502" s="1"/>
    </row>
    <row r="503" spans="1:8" ht="15.75" customHeight="1">
      <c r="A503" s="1"/>
      <c r="B503" s="1"/>
      <c r="C503" s="1"/>
      <c r="D503" s="1"/>
      <c r="E503" s="1"/>
      <c r="F503" s="1"/>
      <c r="G503" s="1"/>
      <c r="H503" s="1"/>
    </row>
    <row r="504" spans="1:8" ht="15.75" customHeight="1">
      <c r="A504" s="1"/>
      <c r="B504" s="1"/>
      <c r="C504" s="1"/>
      <c r="D504" s="1"/>
      <c r="E504" s="1"/>
      <c r="F504" s="1"/>
      <c r="G504" s="1"/>
      <c r="H504" s="1"/>
    </row>
    <row r="505" spans="1:8" ht="15.75" customHeight="1">
      <c r="A505" s="1"/>
      <c r="B505" s="1"/>
      <c r="C505" s="1"/>
      <c r="D505" s="1"/>
      <c r="E505" s="1"/>
      <c r="F505" s="1"/>
      <c r="G505" s="1"/>
      <c r="H505" s="1"/>
    </row>
    <row r="506" spans="1:8" ht="15.75" customHeight="1">
      <c r="A506" s="1"/>
      <c r="B506" s="1"/>
      <c r="C506" s="1"/>
      <c r="D506" s="1"/>
      <c r="E506" s="1"/>
      <c r="F506" s="1"/>
      <c r="G506" s="1"/>
      <c r="H506" s="1"/>
    </row>
    <row r="507" spans="1:8" ht="15.75" customHeight="1">
      <c r="A507" s="1"/>
      <c r="B507" s="1"/>
      <c r="C507" s="1"/>
      <c r="D507" s="1"/>
      <c r="E507" s="1"/>
      <c r="F507" s="1"/>
      <c r="G507" s="1"/>
      <c r="H507" s="1"/>
    </row>
    <row r="508" spans="1:8" ht="15.75" customHeight="1">
      <c r="A508" s="1"/>
      <c r="B508" s="1"/>
      <c r="C508" s="1"/>
      <c r="D508" s="1"/>
      <c r="E508" s="1"/>
      <c r="F508" s="1"/>
      <c r="G508" s="1"/>
      <c r="H508" s="1"/>
    </row>
    <row r="509" spans="1:8" ht="15.75" customHeight="1">
      <c r="A509" s="1"/>
      <c r="B509" s="1"/>
      <c r="C509" s="1"/>
      <c r="D509" s="1"/>
      <c r="E509" s="1"/>
      <c r="F509" s="1"/>
      <c r="G509" s="1"/>
      <c r="H509" s="1"/>
    </row>
    <row r="510" spans="1:8" ht="15.75" customHeight="1">
      <c r="A510" s="1"/>
      <c r="B510" s="1"/>
      <c r="C510" s="1"/>
      <c r="D510" s="1"/>
      <c r="E510" s="1"/>
      <c r="F510" s="1"/>
      <c r="G510" s="1"/>
      <c r="H510" s="1"/>
    </row>
    <row r="511" spans="1:8" ht="15.75" customHeight="1">
      <c r="A511" s="1"/>
      <c r="B511" s="1"/>
      <c r="C511" s="1"/>
      <c r="D511" s="1"/>
      <c r="E511" s="1"/>
      <c r="F511" s="1"/>
      <c r="G511" s="1"/>
      <c r="H511" s="1"/>
    </row>
    <row r="512" spans="1:8" ht="15.75" customHeight="1">
      <c r="A512" s="1"/>
      <c r="B512" s="1"/>
      <c r="C512" s="1"/>
      <c r="D512" s="1"/>
      <c r="E512" s="1"/>
      <c r="F512" s="1"/>
      <c r="G512" s="1"/>
      <c r="H512" s="1"/>
    </row>
    <row r="513" spans="1:8" ht="15.75" customHeight="1">
      <c r="A513" s="1"/>
      <c r="B513" s="1"/>
      <c r="C513" s="1"/>
      <c r="D513" s="1"/>
      <c r="E513" s="1"/>
      <c r="F513" s="1"/>
      <c r="G513" s="1"/>
      <c r="H513" s="1"/>
    </row>
    <row r="514" spans="1:8" ht="15.75" customHeight="1">
      <c r="A514" s="1"/>
      <c r="B514" s="1"/>
      <c r="C514" s="1"/>
      <c r="D514" s="1"/>
      <c r="E514" s="1"/>
      <c r="F514" s="1"/>
      <c r="G514" s="1"/>
      <c r="H514" s="1"/>
    </row>
    <row r="515" spans="1:8" ht="15.75" customHeight="1">
      <c r="A515" s="1"/>
      <c r="B515" s="1"/>
      <c r="C515" s="1"/>
      <c r="D515" s="1"/>
      <c r="E515" s="1"/>
      <c r="F515" s="1"/>
      <c r="G515" s="1"/>
      <c r="H515" s="1"/>
    </row>
    <row r="516" spans="1:8" ht="15.75" customHeight="1">
      <c r="A516" s="1"/>
      <c r="B516" s="1"/>
      <c r="C516" s="1"/>
      <c r="D516" s="1"/>
      <c r="E516" s="1"/>
      <c r="F516" s="1"/>
      <c r="G516" s="1"/>
      <c r="H516" s="1"/>
    </row>
    <row r="517" spans="1:8" ht="15.75" customHeight="1">
      <c r="A517" s="1"/>
      <c r="B517" s="1"/>
      <c r="C517" s="1"/>
      <c r="D517" s="1"/>
      <c r="E517" s="1"/>
      <c r="F517" s="1"/>
      <c r="G517" s="1"/>
      <c r="H517" s="1"/>
    </row>
    <row r="518" spans="1:8" ht="15.75" customHeight="1">
      <c r="A518" s="1"/>
      <c r="B518" s="1"/>
      <c r="C518" s="1"/>
      <c r="D518" s="1"/>
      <c r="E518" s="1"/>
      <c r="F518" s="1"/>
      <c r="G518" s="1"/>
      <c r="H518" s="1"/>
    </row>
    <row r="519" spans="1:8" ht="15.75" customHeight="1">
      <c r="A519" s="1"/>
      <c r="B519" s="1"/>
      <c r="C519" s="1"/>
      <c r="D519" s="1"/>
      <c r="E519" s="1"/>
      <c r="F519" s="1"/>
      <c r="G519" s="1"/>
      <c r="H519" s="1"/>
    </row>
    <row r="520" spans="1:8" ht="15.75" customHeight="1">
      <c r="A520" s="1"/>
      <c r="B520" s="1"/>
      <c r="C520" s="1"/>
      <c r="D520" s="1"/>
      <c r="E520" s="1"/>
      <c r="F520" s="1"/>
      <c r="G520" s="1"/>
      <c r="H520" s="1"/>
    </row>
    <row r="521" spans="1:8" ht="15.75" customHeight="1">
      <c r="A521" s="1"/>
      <c r="B521" s="1"/>
      <c r="C521" s="1"/>
      <c r="D521" s="1"/>
      <c r="E521" s="1"/>
      <c r="F521" s="1"/>
      <c r="G521" s="1"/>
      <c r="H521" s="1"/>
    </row>
    <row r="522" spans="1:8" ht="15.75" customHeight="1">
      <c r="A522" s="1"/>
      <c r="B522" s="1"/>
      <c r="C522" s="1"/>
      <c r="D522" s="1"/>
      <c r="E522" s="1"/>
      <c r="F522" s="1"/>
      <c r="G522" s="1"/>
      <c r="H522" s="1"/>
    </row>
    <row r="523" spans="1:8" ht="15.75" customHeight="1">
      <c r="A523" s="1"/>
      <c r="B523" s="1"/>
      <c r="C523" s="1"/>
      <c r="D523" s="1"/>
      <c r="E523" s="1"/>
      <c r="F523" s="1"/>
      <c r="G523" s="1"/>
      <c r="H523" s="1"/>
    </row>
    <row r="524" spans="1:8" ht="15.75" customHeight="1">
      <c r="A524" s="1"/>
      <c r="B524" s="1"/>
      <c r="C524" s="1"/>
      <c r="D524" s="1"/>
      <c r="E524" s="1"/>
      <c r="F524" s="1"/>
      <c r="G524" s="1"/>
      <c r="H524" s="1"/>
    </row>
    <row r="525" spans="1:8" ht="15.75" customHeight="1">
      <c r="A525" s="1"/>
      <c r="B525" s="1"/>
      <c r="C525" s="1"/>
      <c r="D525" s="1"/>
      <c r="E525" s="1"/>
      <c r="F525" s="1"/>
      <c r="G525" s="1"/>
      <c r="H525" s="1"/>
    </row>
    <row r="526" spans="1:8" ht="15.75" customHeight="1">
      <c r="A526" s="1"/>
      <c r="B526" s="1"/>
      <c r="C526" s="1"/>
      <c r="D526" s="1"/>
      <c r="E526" s="1"/>
      <c r="F526" s="1"/>
      <c r="G526" s="1"/>
      <c r="H526" s="1"/>
    </row>
    <row r="527" spans="1:8" ht="15.75" customHeight="1">
      <c r="A527" s="1"/>
      <c r="B527" s="1"/>
      <c r="C527" s="1"/>
      <c r="D527" s="1"/>
      <c r="E527" s="1"/>
      <c r="F527" s="1"/>
      <c r="G527" s="1"/>
      <c r="H527" s="1"/>
    </row>
    <row r="528" spans="1:8" ht="15.75" customHeight="1">
      <c r="A528" s="1"/>
      <c r="B528" s="1"/>
      <c r="C528" s="1"/>
      <c r="D528" s="1"/>
      <c r="E528" s="1"/>
      <c r="F528" s="1"/>
      <c r="G528" s="1"/>
      <c r="H528" s="1"/>
    </row>
    <row r="529" spans="1:8" ht="15.75" customHeight="1">
      <c r="A529" s="1"/>
      <c r="B529" s="1"/>
      <c r="C529" s="1"/>
      <c r="D529" s="1"/>
      <c r="E529" s="1"/>
      <c r="F529" s="1"/>
      <c r="G529" s="1"/>
      <c r="H529" s="1"/>
    </row>
    <row r="530" spans="1:8" ht="15.75" customHeight="1">
      <c r="A530" s="1"/>
      <c r="B530" s="1"/>
      <c r="C530" s="1"/>
      <c r="D530" s="1"/>
      <c r="E530" s="1"/>
      <c r="F530" s="1"/>
      <c r="G530" s="1"/>
      <c r="H530" s="1"/>
    </row>
    <row r="531" spans="1:8" ht="15.75" customHeight="1">
      <c r="A531" s="1"/>
      <c r="B531" s="1"/>
      <c r="C531" s="1"/>
      <c r="D531" s="1"/>
      <c r="E531" s="1"/>
      <c r="F531" s="1"/>
      <c r="G531" s="1"/>
      <c r="H531" s="1"/>
    </row>
    <row r="532" spans="1:8" ht="15.75" customHeight="1">
      <c r="A532" s="1"/>
      <c r="B532" s="1"/>
      <c r="C532" s="1"/>
      <c r="D532" s="1"/>
      <c r="E532" s="1"/>
      <c r="F532" s="1"/>
      <c r="G532" s="1"/>
      <c r="H532" s="1"/>
    </row>
    <row r="533" spans="1:8" ht="15.75" customHeight="1">
      <c r="A533" s="1"/>
      <c r="B533" s="1"/>
      <c r="C533" s="1"/>
      <c r="D533" s="1"/>
      <c r="E533" s="1"/>
      <c r="F533" s="1"/>
      <c r="G533" s="1"/>
      <c r="H533" s="1"/>
    </row>
    <row r="534" spans="1:8" ht="15.75" customHeight="1">
      <c r="A534" s="1"/>
      <c r="B534" s="1"/>
      <c r="C534" s="1"/>
      <c r="D534" s="1"/>
      <c r="E534" s="1"/>
      <c r="F534" s="1"/>
      <c r="G534" s="1"/>
      <c r="H534" s="1"/>
    </row>
    <row r="535" spans="1:8" ht="15.75" customHeight="1">
      <c r="A535" s="1"/>
      <c r="B535" s="1"/>
      <c r="C535" s="1"/>
      <c r="D535" s="1"/>
      <c r="E535" s="1"/>
      <c r="F535" s="1"/>
      <c r="G535" s="1"/>
      <c r="H535" s="1"/>
    </row>
    <row r="536" spans="1:8" ht="15.75" customHeight="1">
      <c r="A536" s="1"/>
      <c r="B536" s="1"/>
      <c r="C536" s="1"/>
      <c r="D536" s="1"/>
      <c r="E536" s="1"/>
      <c r="F536" s="1"/>
      <c r="G536" s="1"/>
      <c r="H536" s="1"/>
    </row>
    <row r="537" spans="1:8" ht="15.75" customHeight="1">
      <c r="A537" s="1"/>
      <c r="B537" s="1"/>
      <c r="C537" s="1"/>
      <c r="D537" s="1"/>
      <c r="E537" s="1"/>
      <c r="F537" s="1"/>
      <c r="G537" s="1"/>
      <c r="H537" s="1"/>
    </row>
    <row r="538" spans="1:8" ht="15.75" customHeight="1">
      <c r="A538" s="1"/>
      <c r="B538" s="1"/>
      <c r="C538" s="1"/>
      <c r="D538" s="1"/>
      <c r="E538" s="1"/>
      <c r="F538" s="1"/>
      <c r="G538" s="1"/>
      <c r="H538" s="1"/>
    </row>
    <row r="539" spans="1:8" ht="15.75" customHeight="1">
      <c r="A539" s="1"/>
      <c r="B539" s="1"/>
      <c r="C539" s="1"/>
      <c r="D539" s="1"/>
      <c r="E539" s="1"/>
      <c r="F539" s="1"/>
      <c r="G539" s="1"/>
      <c r="H539" s="1"/>
    </row>
    <row r="540" spans="1:8" ht="15.75" customHeight="1">
      <c r="A540" s="1"/>
      <c r="B540" s="1"/>
      <c r="C540" s="1"/>
      <c r="D540" s="1"/>
      <c r="E540" s="1"/>
      <c r="F540" s="1"/>
      <c r="G540" s="1"/>
      <c r="H540" s="1"/>
    </row>
    <row r="541" spans="1:8" ht="15.75" customHeight="1">
      <c r="A541" s="1"/>
      <c r="B541" s="1"/>
      <c r="C541" s="1"/>
      <c r="D541" s="1"/>
      <c r="E541" s="1"/>
      <c r="F541" s="1"/>
      <c r="G541" s="1"/>
      <c r="H541" s="1"/>
    </row>
    <row r="542" spans="1:8" ht="15.75" customHeight="1">
      <c r="A542" s="1"/>
      <c r="B542" s="1"/>
      <c r="C542" s="1"/>
      <c r="D542" s="1"/>
      <c r="E542" s="1"/>
      <c r="F542" s="1"/>
      <c r="G542" s="1"/>
      <c r="H542" s="1"/>
    </row>
    <row r="543" spans="1:8" ht="15.75" customHeight="1">
      <c r="A543" s="1"/>
      <c r="B543" s="1"/>
      <c r="C543" s="1"/>
      <c r="D543" s="1"/>
      <c r="E543" s="1"/>
      <c r="F543" s="1"/>
      <c r="G543" s="1"/>
      <c r="H543" s="1"/>
    </row>
    <row r="544" spans="1:8" ht="15.75" customHeight="1">
      <c r="A544" s="1"/>
      <c r="B544" s="1"/>
      <c r="C544" s="1"/>
      <c r="D544" s="1"/>
      <c r="E544" s="1"/>
      <c r="F544" s="1"/>
      <c r="G544" s="1"/>
      <c r="H544" s="1"/>
    </row>
    <row r="545" spans="1:8" ht="15.75" customHeight="1">
      <c r="A545" s="1"/>
      <c r="B545" s="1"/>
      <c r="C545" s="1"/>
      <c r="D545" s="1"/>
      <c r="E545" s="1"/>
      <c r="F545" s="1"/>
      <c r="G545" s="1"/>
      <c r="H545" s="1"/>
    </row>
    <row r="546" spans="1:8" ht="15.75" customHeight="1">
      <c r="A546" s="1"/>
      <c r="B546" s="1"/>
      <c r="C546" s="1"/>
      <c r="D546" s="1"/>
      <c r="E546" s="1"/>
      <c r="F546" s="1"/>
      <c r="G546" s="1"/>
      <c r="H546" s="1"/>
    </row>
    <row r="547" spans="1:8" ht="15.75" customHeight="1">
      <c r="A547" s="1"/>
      <c r="B547" s="1"/>
      <c r="C547" s="1"/>
      <c r="D547" s="1"/>
      <c r="E547" s="1"/>
      <c r="F547" s="1"/>
      <c r="G547" s="1"/>
      <c r="H547" s="1"/>
    </row>
    <row r="548" spans="1:8" ht="15.75" customHeight="1">
      <c r="A548" s="1"/>
      <c r="B548" s="1"/>
      <c r="C548" s="1"/>
      <c r="D548" s="1"/>
      <c r="E548" s="1"/>
      <c r="F548" s="1"/>
      <c r="G548" s="1"/>
      <c r="H548" s="1"/>
    </row>
    <row r="549" spans="1:8" ht="15.75" customHeight="1">
      <c r="A549" s="1"/>
      <c r="B549" s="1"/>
      <c r="C549" s="1"/>
      <c r="D549" s="1"/>
      <c r="E549" s="1"/>
      <c r="F549" s="1"/>
      <c r="G549" s="1"/>
      <c r="H549" s="1"/>
    </row>
    <row r="550" spans="1:8" ht="15.75" customHeight="1">
      <c r="A550" s="1"/>
      <c r="B550" s="1"/>
      <c r="C550" s="1"/>
      <c r="D550" s="1"/>
      <c r="E550" s="1"/>
      <c r="F550" s="1"/>
      <c r="G550" s="1"/>
      <c r="H550" s="1"/>
    </row>
    <row r="551" spans="1:8" ht="15.75" customHeight="1">
      <c r="A551" s="1"/>
      <c r="B551" s="1"/>
      <c r="C551" s="1"/>
      <c r="D551" s="1"/>
      <c r="E551" s="1"/>
      <c r="F551" s="1"/>
      <c r="G551" s="1"/>
      <c r="H551" s="1"/>
    </row>
    <row r="552" spans="1:8" ht="15.75" customHeight="1">
      <c r="A552" s="1"/>
      <c r="B552" s="1"/>
      <c r="C552" s="1"/>
      <c r="D552" s="1"/>
      <c r="E552" s="1"/>
      <c r="F552" s="1"/>
      <c r="G552" s="1"/>
      <c r="H552" s="1"/>
    </row>
    <row r="553" spans="1:8" ht="15.75" customHeight="1">
      <c r="A553" s="1"/>
      <c r="B553" s="1"/>
      <c r="C553" s="1"/>
      <c r="D553" s="1"/>
      <c r="E553" s="1"/>
      <c r="F553" s="1"/>
      <c r="G553" s="1"/>
      <c r="H553" s="1"/>
    </row>
    <row r="554" spans="1:8" ht="15.75" customHeight="1">
      <c r="A554" s="1"/>
      <c r="B554" s="1"/>
      <c r="C554" s="1"/>
      <c r="D554" s="1"/>
      <c r="E554" s="1"/>
      <c r="F554" s="1"/>
      <c r="G554" s="1"/>
      <c r="H554" s="1"/>
    </row>
    <row r="555" spans="1:8" ht="15.75" customHeight="1">
      <c r="A555" s="1"/>
      <c r="B555" s="1"/>
      <c r="C555" s="1"/>
      <c r="D555" s="1"/>
      <c r="E555" s="1"/>
      <c r="F555" s="1"/>
      <c r="G555" s="1"/>
      <c r="H555" s="1"/>
    </row>
    <row r="556" spans="1:8" ht="15.75" customHeight="1">
      <c r="A556" s="1"/>
      <c r="B556" s="1"/>
      <c r="C556" s="1"/>
      <c r="D556" s="1"/>
      <c r="E556" s="1"/>
      <c r="F556" s="1"/>
      <c r="G556" s="1"/>
      <c r="H556" s="1"/>
    </row>
    <row r="557" spans="1:8" ht="15.75" customHeight="1">
      <c r="A557" s="1"/>
      <c r="B557" s="1"/>
      <c r="C557" s="1"/>
      <c r="D557" s="1"/>
      <c r="E557" s="1"/>
      <c r="F557" s="1"/>
      <c r="G557" s="1"/>
      <c r="H557" s="1"/>
    </row>
    <row r="558" spans="1:8" ht="15.75" customHeight="1">
      <c r="A558" s="1"/>
      <c r="B558" s="1"/>
      <c r="C558" s="1"/>
      <c r="D558" s="1"/>
      <c r="E558" s="1"/>
      <c r="F558" s="1"/>
      <c r="G558" s="1"/>
      <c r="H558" s="1"/>
    </row>
    <row r="559" spans="1:8" ht="15.75" customHeight="1">
      <c r="A559" s="1"/>
      <c r="B559" s="1"/>
      <c r="C559" s="1"/>
      <c r="D559" s="1"/>
      <c r="E559" s="1"/>
      <c r="F559" s="1"/>
      <c r="G559" s="1"/>
      <c r="H559" s="1"/>
    </row>
    <row r="560" spans="1:8" ht="15.75" customHeight="1">
      <c r="A560" s="1"/>
      <c r="B560" s="1"/>
      <c r="C560" s="1"/>
      <c r="D560" s="1"/>
      <c r="E560" s="1"/>
      <c r="F560" s="1"/>
      <c r="G560" s="1"/>
      <c r="H560" s="1"/>
    </row>
    <row r="561" spans="1:8" ht="15.75" customHeight="1">
      <c r="A561" s="1"/>
      <c r="B561" s="1"/>
      <c r="C561" s="1"/>
      <c r="D561" s="1"/>
      <c r="E561" s="1"/>
      <c r="F561" s="1"/>
      <c r="G561" s="1"/>
      <c r="H561" s="1"/>
    </row>
    <row r="562" spans="1:8" ht="15.75" customHeight="1">
      <c r="A562" s="1"/>
      <c r="B562" s="1"/>
      <c r="C562" s="1"/>
      <c r="D562" s="1"/>
      <c r="E562" s="1"/>
      <c r="F562" s="1"/>
      <c r="G562" s="1"/>
      <c r="H562" s="1"/>
    </row>
    <row r="563" spans="1:8" ht="15.75" customHeight="1">
      <c r="A563" s="1"/>
      <c r="B563" s="1"/>
      <c r="C563" s="1"/>
      <c r="D563" s="1"/>
      <c r="E563" s="1"/>
      <c r="F563" s="1"/>
      <c r="G563" s="1"/>
      <c r="H563" s="1"/>
    </row>
    <row r="564" spans="1:8" ht="15.75" customHeight="1">
      <c r="A564" s="1"/>
      <c r="B564" s="1"/>
      <c r="C564" s="1"/>
      <c r="D564" s="1"/>
      <c r="E564" s="1"/>
      <c r="F564" s="1"/>
      <c r="G564" s="1"/>
      <c r="H564" s="1"/>
    </row>
    <row r="565" spans="1:8" ht="15.75" customHeight="1">
      <c r="A565" s="1"/>
      <c r="B565" s="1"/>
      <c r="C565" s="1"/>
      <c r="D565" s="1"/>
      <c r="E565" s="1"/>
      <c r="F565" s="1"/>
      <c r="G565" s="1"/>
      <c r="H565" s="1"/>
    </row>
    <row r="566" spans="1:8" ht="15.75" customHeight="1">
      <c r="A566" s="1"/>
      <c r="B566" s="1"/>
      <c r="C566" s="1"/>
      <c r="D566" s="1"/>
      <c r="E566" s="1"/>
      <c r="F566" s="1"/>
      <c r="G566" s="1"/>
      <c r="H566" s="1"/>
    </row>
    <row r="567" spans="1:8" ht="15.75" customHeight="1">
      <c r="A567" s="1"/>
      <c r="B567" s="1"/>
      <c r="C567" s="1"/>
      <c r="D567" s="1"/>
      <c r="E567" s="1"/>
      <c r="F567" s="1"/>
      <c r="G567" s="1"/>
      <c r="H567" s="1"/>
    </row>
    <row r="568" spans="1:8" ht="15.75" customHeight="1">
      <c r="A568" s="1"/>
      <c r="B568" s="1"/>
      <c r="C568" s="1"/>
      <c r="D568" s="1"/>
      <c r="E568" s="1"/>
      <c r="F568" s="1"/>
      <c r="G568" s="1"/>
      <c r="H568" s="1"/>
    </row>
    <row r="569" spans="1:8" ht="15.75" customHeight="1">
      <c r="A569" s="1"/>
      <c r="B569" s="1"/>
      <c r="C569" s="1"/>
      <c r="D569" s="1"/>
      <c r="E569" s="1"/>
      <c r="F569" s="1"/>
      <c r="G569" s="1"/>
      <c r="H569" s="1"/>
    </row>
    <row r="570" spans="1:8" ht="15.75" customHeight="1">
      <c r="A570" s="1"/>
      <c r="B570" s="1"/>
      <c r="C570" s="1"/>
      <c r="D570" s="1"/>
      <c r="E570" s="1"/>
      <c r="F570" s="1"/>
      <c r="G570" s="1"/>
      <c r="H570" s="1"/>
    </row>
    <row r="571" spans="1:8" ht="15.75" customHeight="1">
      <c r="A571" s="1"/>
      <c r="B571" s="1"/>
      <c r="C571" s="1"/>
      <c r="D571" s="1"/>
      <c r="E571" s="1"/>
      <c r="F571" s="1"/>
      <c r="G571" s="1"/>
      <c r="H571" s="1"/>
    </row>
    <row r="572" spans="1:8" ht="15.75" customHeight="1">
      <c r="A572" s="1"/>
      <c r="B572" s="1"/>
      <c r="C572" s="1"/>
      <c r="D572" s="1"/>
      <c r="E572" s="1"/>
      <c r="F572" s="1"/>
      <c r="G572" s="1"/>
      <c r="H572" s="1"/>
    </row>
    <row r="573" spans="1:8" ht="15.75" customHeight="1">
      <c r="A573" s="1"/>
      <c r="B573" s="1"/>
      <c r="C573" s="1"/>
      <c r="D573" s="1"/>
      <c r="E573" s="1"/>
      <c r="F573" s="1"/>
      <c r="G573" s="1"/>
      <c r="H573" s="1"/>
    </row>
    <row r="574" spans="1:8" ht="15.75" customHeight="1">
      <c r="A574" s="1"/>
      <c r="B574" s="1"/>
      <c r="C574" s="1"/>
      <c r="D574" s="1"/>
      <c r="E574" s="1"/>
      <c r="F574" s="1"/>
      <c r="G574" s="1"/>
      <c r="H574" s="1"/>
    </row>
    <row r="575" spans="1:8" ht="15.75" customHeight="1">
      <c r="A575" s="1"/>
      <c r="B575" s="1"/>
      <c r="C575" s="1"/>
      <c r="D575" s="1"/>
      <c r="E575" s="1"/>
      <c r="F575" s="1"/>
      <c r="G575" s="1"/>
      <c r="H575" s="1"/>
    </row>
    <row r="576" spans="1:8" ht="15.75" customHeight="1">
      <c r="A576" s="1"/>
      <c r="B576" s="1"/>
      <c r="C576" s="1"/>
      <c r="D576" s="1"/>
      <c r="E576" s="1"/>
      <c r="F576" s="1"/>
      <c r="G576" s="1"/>
      <c r="H576" s="1"/>
    </row>
    <row r="577" spans="1:8" ht="15.75" customHeight="1">
      <c r="A577" s="1"/>
      <c r="B577" s="1"/>
      <c r="C577" s="1"/>
      <c r="D577" s="1"/>
      <c r="E577" s="1"/>
      <c r="F577" s="1"/>
      <c r="G577" s="1"/>
      <c r="H577" s="1"/>
    </row>
    <row r="578" spans="1:8" ht="15.75" customHeight="1">
      <c r="A578" s="1"/>
      <c r="B578" s="1"/>
      <c r="C578" s="1"/>
      <c r="D578" s="1"/>
      <c r="E578" s="1"/>
      <c r="F578" s="1"/>
      <c r="G578" s="1"/>
      <c r="H578" s="1"/>
    </row>
    <row r="579" spans="1:8" ht="15.75" customHeight="1">
      <c r="A579" s="1"/>
      <c r="B579" s="1"/>
      <c r="C579" s="1"/>
      <c r="D579" s="1"/>
      <c r="E579" s="1"/>
      <c r="F579" s="1"/>
      <c r="G579" s="1"/>
      <c r="H579" s="1"/>
    </row>
    <row r="580" spans="1:8" ht="15.75" customHeight="1">
      <c r="A580" s="1"/>
      <c r="B580" s="1"/>
      <c r="C580" s="1"/>
      <c r="D580" s="1"/>
      <c r="E580" s="1"/>
      <c r="F580" s="1"/>
      <c r="G580" s="1"/>
      <c r="H580" s="1"/>
    </row>
    <row r="581" spans="1:8" ht="15.75" customHeight="1">
      <c r="A581" s="1"/>
      <c r="B581" s="1"/>
      <c r="C581" s="1"/>
      <c r="D581" s="1"/>
      <c r="E581" s="1"/>
      <c r="F581" s="1"/>
      <c r="G581" s="1"/>
      <c r="H581" s="1"/>
    </row>
    <row r="582" spans="1:8" ht="15.75" customHeight="1">
      <c r="A582" s="1"/>
      <c r="B582" s="1"/>
      <c r="C582" s="1"/>
      <c r="D582" s="1"/>
      <c r="E582" s="1"/>
      <c r="F582" s="1"/>
      <c r="G582" s="1"/>
      <c r="H582" s="1"/>
    </row>
    <row r="583" spans="1:8" ht="15.75" customHeight="1">
      <c r="A583" s="1"/>
      <c r="B583" s="1"/>
      <c r="C583" s="1"/>
      <c r="D583" s="1"/>
      <c r="E583" s="1"/>
      <c r="F583" s="1"/>
      <c r="G583" s="1"/>
      <c r="H583" s="1"/>
    </row>
    <row r="584" spans="1:8" ht="15.75" customHeight="1">
      <c r="A584" s="1"/>
      <c r="B584" s="1"/>
      <c r="C584" s="1"/>
      <c r="D584" s="1"/>
      <c r="E584" s="1"/>
      <c r="F584" s="1"/>
      <c r="G584" s="1"/>
      <c r="H584" s="1"/>
    </row>
    <row r="585" spans="1:8" ht="15.75" customHeight="1">
      <c r="A585" s="1"/>
      <c r="B585" s="1"/>
      <c r="C585" s="1"/>
      <c r="D585" s="1"/>
      <c r="E585" s="1"/>
      <c r="F585" s="1"/>
      <c r="G585" s="1"/>
      <c r="H585" s="1"/>
    </row>
    <row r="586" spans="1:8" ht="15.75" customHeight="1">
      <c r="A586" s="1"/>
      <c r="B586" s="1"/>
      <c r="C586" s="1"/>
      <c r="D586" s="1"/>
      <c r="E586" s="1"/>
      <c r="F586" s="1"/>
      <c r="G586" s="1"/>
      <c r="H586" s="1"/>
    </row>
    <row r="587" spans="1:8" ht="15.75" customHeight="1">
      <c r="A587" s="1"/>
      <c r="B587" s="1"/>
      <c r="C587" s="1"/>
      <c r="D587" s="1"/>
      <c r="E587" s="1"/>
      <c r="F587" s="1"/>
      <c r="G587" s="1"/>
      <c r="H587" s="1"/>
    </row>
    <row r="588" spans="1:8" ht="15.75" customHeight="1">
      <c r="A588" s="1"/>
      <c r="B588" s="1"/>
      <c r="C588" s="1"/>
      <c r="D588" s="1"/>
      <c r="E588" s="1"/>
      <c r="F588" s="1"/>
      <c r="G588" s="1"/>
      <c r="H588" s="1"/>
    </row>
    <row r="589" spans="1:8" ht="15.75" customHeight="1">
      <c r="A589" s="1"/>
      <c r="B589" s="1"/>
      <c r="C589" s="1"/>
      <c r="D589" s="1"/>
      <c r="E589" s="1"/>
      <c r="F589" s="1"/>
      <c r="G589" s="1"/>
      <c r="H589" s="1"/>
    </row>
    <row r="590" spans="1:8" ht="15.75" customHeight="1">
      <c r="A590" s="1"/>
      <c r="B590" s="1"/>
      <c r="C590" s="1"/>
      <c r="D590" s="1"/>
      <c r="E590" s="1"/>
      <c r="F590" s="1"/>
      <c r="G590" s="1"/>
      <c r="H590" s="1"/>
    </row>
    <row r="591" spans="1:8" ht="15.75" customHeight="1">
      <c r="A591" s="1"/>
      <c r="B591" s="1"/>
      <c r="C591" s="1"/>
      <c r="D591" s="1"/>
      <c r="E591" s="1"/>
      <c r="F591" s="1"/>
      <c r="G591" s="1"/>
      <c r="H591" s="1"/>
    </row>
    <row r="592" spans="1:8" ht="15.75" customHeight="1">
      <c r="A592" s="1"/>
      <c r="B592" s="1"/>
      <c r="C592" s="1"/>
      <c r="D592" s="1"/>
      <c r="E592" s="1"/>
      <c r="F592" s="1"/>
      <c r="G592" s="1"/>
      <c r="H592" s="1"/>
    </row>
    <row r="593" spans="1:8" ht="15.75" customHeight="1">
      <c r="A593" s="1"/>
      <c r="B593" s="1"/>
      <c r="C593" s="1"/>
      <c r="D593" s="1"/>
      <c r="E593" s="1"/>
      <c r="F593" s="1"/>
      <c r="G593" s="1"/>
      <c r="H593" s="1"/>
    </row>
    <row r="594" spans="1:8" ht="15.75" customHeight="1">
      <c r="A594" s="1"/>
      <c r="B594" s="1"/>
      <c r="C594" s="1"/>
      <c r="D594" s="1"/>
      <c r="E594" s="1"/>
      <c r="F594" s="1"/>
      <c r="G594" s="1"/>
      <c r="H594" s="1"/>
    </row>
    <row r="595" spans="1:8" ht="15.75" customHeight="1">
      <c r="A595" s="1"/>
      <c r="B595" s="1"/>
      <c r="C595" s="1"/>
      <c r="D595" s="1"/>
      <c r="E595" s="1"/>
      <c r="F595" s="1"/>
      <c r="G595" s="1"/>
      <c r="H595" s="1"/>
    </row>
    <row r="596" spans="1:8" ht="15.75" customHeight="1">
      <c r="A596" s="1"/>
      <c r="B596" s="1"/>
      <c r="C596" s="1"/>
      <c r="D596" s="1"/>
      <c r="E596" s="1"/>
      <c r="F596" s="1"/>
      <c r="G596" s="1"/>
      <c r="H596" s="1"/>
    </row>
    <row r="597" spans="1:8" ht="15.75" customHeight="1">
      <c r="A597" s="1"/>
      <c r="B597" s="1"/>
      <c r="C597" s="1"/>
      <c r="D597" s="1"/>
      <c r="E597" s="1"/>
      <c r="F597" s="1"/>
      <c r="G597" s="1"/>
      <c r="H597" s="1"/>
    </row>
    <row r="598" spans="1:8" ht="15.75" customHeight="1">
      <c r="A598" s="1"/>
      <c r="B598" s="1"/>
      <c r="C598" s="1"/>
      <c r="D598" s="1"/>
      <c r="E598" s="1"/>
      <c r="F598" s="1"/>
      <c r="G598" s="1"/>
      <c r="H598" s="1"/>
    </row>
    <row r="599" spans="1:8" ht="15.75" customHeight="1">
      <c r="A599" s="1"/>
      <c r="B599" s="1"/>
      <c r="C599" s="1"/>
      <c r="D599" s="1"/>
      <c r="E599" s="1"/>
      <c r="F599" s="1"/>
      <c r="G599" s="1"/>
      <c r="H599" s="1"/>
    </row>
    <row r="600" spans="1:8" ht="15.75" customHeight="1">
      <c r="A600" s="1"/>
      <c r="B600" s="1"/>
      <c r="C600" s="1"/>
      <c r="D600" s="1"/>
      <c r="E600" s="1"/>
      <c r="F600" s="1"/>
      <c r="G600" s="1"/>
      <c r="H600" s="1"/>
    </row>
    <row r="601" spans="1:8" ht="15.75" customHeight="1">
      <c r="A601" s="1"/>
      <c r="B601" s="1"/>
      <c r="C601" s="1"/>
      <c r="D601" s="1"/>
      <c r="E601" s="1"/>
      <c r="F601" s="1"/>
      <c r="G601" s="1"/>
      <c r="H601" s="1"/>
    </row>
    <row r="602" spans="1:8" ht="15.75" customHeight="1">
      <c r="A602" s="1"/>
      <c r="B602" s="1"/>
      <c r="C602" s="1"/>
      <c r="D602" s="1"/>
      <c r="E602" s="1"/>
      <c r="F602" s="1"/>
      <c r="G602" s="1"/>
      <c r="H602" s="1"/>
    </row>
    <row r="603" spans="1:8" ht="15.75" customHeight="1">
      <c r="A603" s="1"/>
      <c r="B603" s="1"/>
      <c r="C603" s="1"/>
      <c r="D603" s="1"/>
      <c r="E603" s="1"/>
      <c r="F603" s="1"/>
      <c r="G603" s="1"/>
      <c r="H603" s="1"/>
    </row>
    <row r="604" spans="1:8" ht="15.75" customHeight="1">
      <c r="A604" s="1"/>
      <c r="B604" s="1"/>
      <c r="C604" s="1"/>
      <c r="D604" s="1"/>
      <c r="E604" s="1"/>
      <c r="F604" s="1"/>
      <c r="G604" s="1"/>
      <c r="H604" s="1"/>
    </row>
    <row r="605" spans="1:8" ht="15.75" customHeight="1">
      <c r="A605" s="1"/>
      <c r="B605" s="1"/>
      <c r="C605" s="1"/>
      <c r="D605" s="1"/>
      <c r="E605" s="1"/>
      <c r="F605" s="1"/>
      <c r="G605" s="1"/>
      <c r="H605" s="1"/>
    </row>
    <row r="606" spans="1:8" ht="15.75" customHeight="1">
      <c r="A606" s="1"/>
      <c r="B606" s="1"/>
      <c r="C606" s="1"/>
      <c r="D606" s="1"/>
      <c r="E606" s="1"/>
      <c r="F606" s="1"/>
      <c r="G606" s="1"/>
      <c r="H606" s="1"/>
    </row>
    <row r="607" spans="1:8" ht="15.75" customHeight="1">
      <c r="A607" s="1"/>
      <c r="B607" s="1"/>
      <c r="C607" s="1"/>
      <c r="D607" s="1"/>
      <c r="E607" s="1"/>
      <c r="F607" s="1"/>
      <c r="G607" s="1"/>
      <c r="H607" s="1"/>
    </row>
    <row r="608" spans="1:8" ht="15.75" customHeight="1">
      <c r="A608" s="1"/>
      <c r="B608" s="1"/>
      <c r="C608" s="1"/>
      <c r="D608" s="1"/>
      <c r="E608" s="1"/>
      <c r="F608" s="1"/>
      <c r="G608" s="1"/>
      <c r="H608" s="1"/>
    </row>
    <row r="609" spans="1:8" ht="15.75" customHeight="1">
      <c r="A609" s="1"/>
      <c r="B609" s="1"/>
      <c r="C609" s="1"/>
      <c r="D609" s="1"/>
      <c r="E609" s="1"/>
      <c r="F609" s="1"/>
      <c r="G609" s="1"/>
      <c r="H609" s="1"/>
    </row>
    <row r="610" spans="1:8" ht="15.75" customHeight="1">
      <c r="A610" s="1"/>
      <c r="B610" s="1"/>
      <c r="C610" s="1"/>
      <c r="D610" s="1"/>
      <c r="E610" s="1"/>
      <c r="F610" s="1"/>
      <c r="G610" s="1"/>
      <c r="H610" s="1"/>
    </row>
    <row r="611" spans="1:8" ht="15.75" customHeight="1">
      <c r="A611" s="1"/>
      <c r="B611" s="1"/>
      <c r="C611" s="1"/>
      <c r="D611" s="1"/>
      <c r="E611" s="1"/>
      <c r="F611" s="1"/>
      <c r="G611" s="1"/>
      <c r="H611" s="1"/>
    </row>
    <row r="612" spans="1:8" ht="15.75" customHeight="1">
      <c r="A612" s="1"/>
      <c r="B612" s="1"/>
      <c r="C612" s="1"/>
      <c r="D612" s="1"/>
      <c r="E612" s="1"/>
      <c r="F612" s="1"/>
      <c r="G612" s="1"/>
      <c r="H612" s="1"/>
    </row>
    <row r="613" spans="1:8" ht="15.75" customHeight="1">
      <c r="A613" s="1"/>
      <c r="B613" s="1"/>
      <c r="C613" s="1"/>
      <c r="D613" s="1"/>
      <c r="E613" s="1"/>
      <c r="F613" s="1"/>
      <c r="G613" s="1"/>
      <c r="H613" s="1"/>
    </row>
    <row r="614" spans="1:8" ht="15.75" customHeight="1">
      <c r="A614" s="1"/>
      <c r="B614" s="1"/>
      <c r="C614" s="1"/>
      <c r="D614" s="1"/>
      <c r="E614" s="1"/>
      <c r="F614" s="1"/>
      <c r="G614" s="1"/>
      <c r="H614" s="1"/>
    </row>
    <row r="615" spans="1:8" ht="15.75" customHeight="1">
      <c r="A615" s="1"/>
      <c r="B615" s="1"/>
      <c r="C615" s="1"/>
      <c r="D615" s="1"/>
      <c r="E615" s="1"/>
      <c r="F615" s="1"/>
      <c r="G615" s="1"/>
      <c r="H615" s="1"/>
    </row>
    <row r="616" spans="1:8" ht="15.75" customHeight="1">
      <c r="A616" s="1"/>
      <c r="B616" s="1"/>
      <c r="C616" s="1"/>
      <c r="D616" s="1"/>
      <c r="E616" s="1"/>
      <c r="F616" s="1"/>
      <c r="G616" s="1"/>
      <c r="H616" s="1"/>
    </row>
    <row r="617" spans="1:8" ht="15.75" customHeight="1">
      <c r="A617" s="1"/>
      <c r="B617" s="1"/>
      <c r="C617" s="1"/>
      <c r="D617" s="1"/>
      <c r="E617" s="1"/>
      <c r="F617" s="1"/>
      <c r="G617" s="1"/>
      <c r="H617" s="1"/>
    </row>
    <row r="618" spans="1:8" ht="15.75" customHeight="1">
      <c r="A618" s="1"/>
      <c r="B618" s="1"/>
      <c r="C618" s="1"/>
      <c r="D618" s="1"/>
      <c r="E618" s="1"/>
      <c r="F618" s="1"/>
      <c r="G618" s="1"/>
      <c r="H618" s="1"/>
    </row>
    <row r="619" spans="1:8" ht="15.75" customHeight="1">
      <c r="A619" s="1"/>
      <c r="B619" s="1"/>
      <c r="C619" s="1"/>
      <c r="D619" s="1"/>
      <c r="E619" s="1"/>
      <c r="F619" s="1"/>
      <c r="G619" s="1"/>
      <c r="H619" s="1"/>
    </row>
    <row r="620" spans="1:8" ht="15.75" customHeight="1">
      <c r="A620" s="1"/>
      <c r="B620" s="1"/>
      <c r="C620" s="1"/>
      <c r="D620" s="1"/>
      <c r="E620" s="1"/>
      <c r="F620" s="1"/>
      <c r="G620" s="1"/>
      <c r="H620" s="1"/>
    </row>
    <row r="621" spans="1:8" ht="15.75" customHeight="1">
      <c r="A621" s="1"/>
      <c r="B621" s="1"/>
      <c r="C621" s="1"/>
      <c r="D621" s="1"/>
      <c r="E621" s="1"/>
      <c r="F621" s="1"/>
      <c r="G621" s="1"/>
      <c r="H621" s="1"/>
    </row>
    <row r="622" spans="1:8" ht="15.75" customHeight="1">
      <c r="A622" s="1"/>
      <c r="B622" s="1"/>
      <c r="C622" s="1"/>
      <c r="D622" s="1"/>
      <c r="E622" s="1"/>
      <c r="F622" s="1"/>
      <c r="G622" s="1"/>
      <c r="H622" s="1"/>
    </row>
    <row r="623" spans="1:8" ht="15.75" customHeight="1">
      <c r="A623" s="1"/>
      <c r="B623" s="1"/>
      <c r="C623" s="1"/>
      <c r="D623" s="1"/>
      <c r="E623" s="1"/>
      <c r="F623" s="1"/>
      <c r="G623" s="1"/>
      <c r="H623" s="1"/>
    </row>
    <row r="624" spans="1:8" ht="15.75" customHeight="1">
      <c r="A624" s="1"/>
      <c r="B624" s="1"/>
      <c r="C624" s="1"/>
      <c r="D624" s="1"/>
      <c r="E624" s="1"/>
      <c r="F624" s="1"/>
      <c r="G624" s="1"/>
      <c r="H624" s="1"/>
    </row>
    <row r="625" spans="1:8" ht="15.75" customHeight="1">
      <c r="A625" s="1"/>
      <c r="B625" s="1"/>
      <c r="C625" s="1"/>
      <c r="D625" s="1"/>
      <c r="E625" s="1"/>
      <c r="F625" s="1"/>
      <c r="G625" s="1"/>
      <c r="H625" s="1"/>
    </row>
    <row r="626" spans="1:8" ht="15.75" customHeight="1">
      <c r="A626" s="1"/>
      <c r="B626" s="1"/>
      <c r="C626" s="1"/>
      <c r="D626" s="1"/>
      <c r="E626" s="1"/>
      <c r="F626" s="1"/>
      <c r="G626" s="1"/>
      <c r="H626" s="1"/>
    </row>
    <row r="627" spans="1:8" ht="15.75" customHeight="1">
      <c r="A627" s="1"/>
      <c r="B627" s="1"/>
      <c r="C627" s="1"/>
      <c r="D627" s="1"/>
      <c r="E627" s="1"/>
      <c r="F627" s="1"/>
      <c r="G627" s="1"/>
      <c r="H627" s="1"/>
    </row>
    <row r="628" spans="1:8" ht="15.75" customHeight="1">
      <c r="A628" s="1"/>
      <c r="B628" s="1"/>
      <c r="C628" s="1"/>
      <c r="D628" s="1"/>
      <c r="E628" s="1"/>
      <c r="F628" s="1"/>
      <c r="G628" s="1"/>
      <c r="H628" s="1"/>
    </row>
    <row r="629" spans="1:8" ht="15.75" customHeight="1">
      <c r="A629" s="1"/>
      <c r="B629" s="1"/>
      <c r="C629" s="1"/>
      <c r="D629" s="1"/>
      <c r="E629" s="1"/>
      <c r="F629" s="1"/>
      <c r="G629" s="1"/>
      <c r="H629" s="1"/>
    </row>
    <row r="630" spans="1:8" ht="15.75" customHeight="1">
      <c r="A630" s="1"/>
      <c r="B630" s="1"/>
      <c r="C630" s="1"/>
      <c r="D630" s="1"/>
      <c r="E630" s="1"/>
      <c r="F630" s="1"/>
      <c r="G630" s="1"/>
      <c r="H630" s="1"/>
    </row>
    <row r="631" spans="1:8" ht="15.75" customHeight="1">
      <c r="A631" s="1"/>
      <c r="B631" s="1"/>
      <c r="C631" s="1"/>
      <c r="D631" s="1"/>
      <c r="E631" s="1"/>
      <c r="F631" s="1"/>
      <c r="G631" s="1"/>
      <c r="H631" s="1"/>
    </row>
    <row r="632" spans="1:8" ht="15.75" customHeight="1">
      <c r="A632" s="1"/>
      <c r="B632" s="1"/>
      <c r="C632" s="1"/>
      <c r="D632" s="1"/>
      <c r="E632" s="1"/>
      <c r="F632" s="1"/>
      <c r="G632" s="1"/>
      <c r="H632" s="1"/>
    </row>
    <row r="633" spans="1:8" ht="15.75" customHeight="1">
      <c r="A633" s="1"/>
      <c r="B633" s="1"/>
      <c r="C633" s="1"/>
      <c r="D633" s="1"/>
      <c r="E633" s="1"/>
      <c r="F633" s="1"/>
      <c r="G633" s="1"/>
      <c r="H633" s="1"/>
    </row>
    <row r="634" spans="1:8" ht="15.75" customHeight="1">
      <c r="A634" s="1"/>
      <c r="B634" s="1"/>
      <c r="C634" s="1"/>
      <c r="D634" s="1"/>
      <c r="E634" s="1"/>
      <c r="F634" s="1"/>
      <c r="G634" s="1"/>
      <c r="H634" s="1"/>
    </row>
    <row r="635" spans="1:8" ht="15.75" customHeight="1">
      <c r="A635" s="1"/>
      <c r="B635" s="1"/>
      <c r="C635" s="1"/>
      <c r="D635" s="1"/>
      <c r="E635" s="1"/>
      <c r="F635" s="1"/>
      <c r="G635" s="1"/>
      <c r="H635" s="1"/>
    </row>
    <row r="636" spans="1:8" ht="15.75" customHeight="1">
      <c r="A636" s="1"/>
      <c r="B636" s="1"/>
      <c r="C636" s="1"/>
      <c r="D636" s="1"/>
      <c r="E636" s="1"/>
      <c r="F636" s="1"/>
      <c r="G636" s="1"/>
      <c r="H636" s="1"/>
    </row>
    <row r="637" spans="1:8" ht="15.75" customHeight="1">
      <c r="A637" s="1"/>
      <c r="B637" s="1"/>
      <c r="C637" s="1"/>
      <c r="D637" s="1"/>
      <c r="E637" s="1"/>
      <c r="F637" s="1"/>
      <c r="G637" s="1"/>
      <c r="H637" s="1"/>
    </row>
    <row r="638" spans="1:8" ht="15.75" customHeight="1">
      <c r="A638" s="1"/>
      <c r="B638" s="1"/>
      <c r="C638" s="1"/>
      <c r="D638" s="1"/>
      <c r="E638" s="1"/>
      <c r="F638" s="1"/>
      <c r="G638" s="1"/>
      <c r="H638" s="1"/>
    </row>
    <row r="639" spans="1:8" ht="15.75" customHeight="1">
      <c r="A639" s="1"/>
      <c r="B639" s="1"/>
      <c r="C639" s="1"/>
      <c r="D639" s="1"/>
      <c r="E639" s="1"/>
      <c r="F639" s="1"/>
      <c r="G639" s="1"/>
      <c r="H639" s="1"/>
    </row>
    <row r="640" spans="1:8" ht="15.75" customHeight="1">
      <c r="A640" s="1"/>
      <c r="B640" s="1"/>
      <c r="C640" s="1"/>
      <c r="D640" s="1"/>
      <c r="E640" s="1"/>
      <c r="F640" s="1"/>
      <c r="G640" s="1"/>
      <c r="H640" s="1"/>
    </row>
    <row r="641" spans="1:8" ht="15.75" customHeight="1">
      <c r="A641" s="1"/>
      <c r="B641" s="1"/>
      <c r="C641" s="1"/>
      <c r="D641" s="1"/>
      <c r="E641" s="1"/>
      <c r="F641" s="1"/>
      <c r="G641" s="1"/>
      <c r="H641" s="1"/>
    </row>
    <row r="642" spans="1:8" ht="15.75" customHeight="1">
      <c r="A642" s="1"/>
      <c r="B642" s="1"/>
      <c r="C642" s="1"/>
      <c r="D642" s="1"/>
      <c r="E642" s="1"/>
      <c r="F642" s="1"/>
      <c r="G642" s="1"/>
      <c r="H642" s="1"/>
    </row>
    <row r="643" spans="1:8" ht="15.75" customHeight="1">
      <c r="A643" s="1"/>
      <c r="B643" s="1"/>
      <c r="C643" s="1"/>
      <c r="D643" s="1"/>
      <c r="E643" s="1"/>
      <c r="F643" s="1"/>
      <c r="G643" s="1"/>
      <c r="H643" s="1"/>
    </row>
    <row r="644" spans="1:8" ht="15.75" customHeight="1">
      <c r="A644" s="1"/>
      <c r="B644" s="1"/>
      <c r="C644" s="1"/>
      <c r="D644" s="1"/>
      <c r="E644" s="1"/>
      <c r="F644" s="1"/>
      <c r="G644" s="1"/>
      <c r="H644" s="1"/>
    </row>
    <row r="645" spans="1:8" ht="15.75" customHeight="1">
      <c r="A645" s="1"/>
      <c r="B645" s="1"/>
      <c r="C645" s="1"/>
      <c r="D645" s="1"/>
      <c r="E645" s="1"/>
      <c r="F645" s="1"/>
      <c r="G645" s="1"/>
      <c r="H645" s="1"/>
    </row>
    <row r="646" spans="1:8" ht="15.75" customHeight="1">
      <c r="A646" s="1"/>
      <c r="B646" s="1"/>
      <c r="C646" s="1"/>
      <c r="D646" s="1"/>
      <c r="E646" s="1"/>
      <c r="F646" s="1"/>
      <c r="G646" s="1"/>
      <c r="H646" s="1"/>
    </row>
    <row r="647" spans="1:8" ht="15.75" customHeight="1">
      <c r="A647" s="1"/>
      <c r="B647" s="1"/>
      <c r="C647" s="1"/>
      <c r="D647" s="1"/>
      <c r="E647" s="1"/>
      <c r="F647" s="1"/>
      <c r="G647" s="1"/>
      <c r="H647" s="1"/>
    </row>
    <row r="648" spans="1:8" ht="15.75" customHeight="1">
      <c r="A648" s="1"/>
      <c r="B648" s="1"/>
      <c r="C648" s="1"/>
      <c r="D648" s="1"/>
      <c r="E648" s="1"/>
      <c r="F648" s="1"/>
      <c r="G648" s="1"/>
      <c r="H648" s="1"/>
    </row>
    <row r="649" spans="1:8" ht="15.75" customHeight="1">
      <c r="A649" s="1"/>
      <c r="B649" s="1"/>
      <c r="C649" s="1"/>
      <c r="D649" s="1"/>
      <c r="E649" s="1"/>
      <c r="F649" s="1"/>
      <c r="G649" s="1"/>
      <c r="H649" s="1"/>
    </row>
    <row r="650" spans="1:8" ht="15.75" customHeight="1">
      <c r="A650" s="1"/>
      <c r="B650" s="1"/>
      <c r="C650" s="1"/>
      <c r="D650" s="1"/>
      <c r="E650" s="1"/>
      <c r="F650" s="1"/>
      <c r="G650" s="1"/>
      <c r="H650" s="1"/>
    </row>
    <row r="651" spans="1:8" ht="15.75" customHeight="1">
      <c r="A651" s="1"/>
      <c r="B651" s="1"/>
      <c r="C651" s="1"/>
      <c r="D651" s="1"/>
      <c r="E651" s="1"/>
      <c r="F651" s="1"/>
      <c r="G651" s="1"/>
      <c r="H651" s="1"/>
    </row>
    <row r="652" spans="1:8" ht="15.75" customHeight="1">
      <c r="A652" s="1"/>
      <c r="B652" s="1"/>
      <c r="C652" s="1"/>
      <c r="D652" s="1"/>
      <c r="E652" s="1"/>
      <c r="F652" s="1"/>
      <c r="G652" s="1"/>
      <c r="H652" s="1"/>
    </row>
    <row r="653" spans="1:8" ht="15.75" customHeight="1">
      <c r="A653" s="1"/>
      <c r="B653" s="1"/>
      <c r="C653" s="1"/>
      <c r="D653" s="1"/>
      <c r="E653" s="1"/>
      <c r="F653" s="1"/>
      <c r="G653" s="1"/>
      <c r="H653" s="1"/>
    </row>
    <row r="654" spans="1:8" ht="15.75" customHeight="1">
      <c r="A654" s="1"/>
      <c r="B654" s="1"/>
      <c r="C654" s="1"/>
      <c r="D654" s="1"/>
      <c r="E654" s="1"/>
      <c r="F654" s="1"/>
      <c r="G654" s="1"/>
      <c r="H654" s="1"/>
    </row>
    <row r="655" spans="1:8" ht="15.75" customHeight="1">
      <c r="A655" s="1"/>
      <c r="B655" s="1"/>
      <c r="C655" s="1"/>
      <c r="D655" s="1"/>
      <c r="E655" s="1"/>
      <c r="F655" s="1"/>
      <c r="G655" s="1"/>
      <c r="H655" s="1"/>
    </row>
    <row r="656" spans="1:8" ht="15.75" customHeight="1">
      <c r="A656" s="1"/>
      <c r="B656" s="1"/>
      <c r="C656" s="1"/>
      <c r="D656" s="1"/>
      <c r="E656" s="1"/>
      <c r="F656" s="1"/>
      <c r="G656" s="1"/>
      <c r="H656" s="1"/>
    </row>
    <row r="657" spans="1:8" ht="15.75" customHeight="1">
      <c r="A657" s="1"/>
      <c r="B657" s="1"/>
      <c r="C657" s="1"/>
      <c r="D657" s="1"/>
      <c r="E657" s="1"/>
      <c r="F657" s="1"/>
      <c r="G657" s="1"/>
      <c r="H657" s="1"/>
    </row>
    <row r="658" spans="1:8" ht="15.75" customHeight="1">
      <c r="A658" s="1"/>
      <c r="B658" s="1"/>
      <c r="C658" s="1"/>
      <c r="D658" s="1"/>
      <c r="E658" s="1"/>
      <c r="F658" s="1"/>
      <c r="G658" s="1"/>
      <c r="H658" s="1"/>
    </row>
    <row r="659" spans="1:8" ht="15.75" customHeight="1">
      <c r="A659" s="1"/>
      <c r="B659" s="1"/>
      <c r="C659" s="1"/>
      <c r="D659" s="1"/>
      <c r="E659" s="1"/>
      <c r="F659" s="1"/>
      <c r="G659" s="1"/>
      <c r="H659" s="1"/>
    </row>
    <row r="660" spans="1:8" ht="15.75" customHeight="1">
      <c r="A660" s="1"/>
      <c r="B660" s="1"/>
      <c r="C660" s="1"/>
      <c r="D660" s="1"/>
      <c r="E660" s="1"/>
      <c r="F660" s="1"/>
      <c r="G660" s="1"/>
      <c r="H660" s="1"/>
    </row>
    <row r="661" spans="1:8" ht="15.75" customHeight="1">
      <c r="A661" s="1"/>
      <c r="B661" s="1"/>
      <c r="C661" s="1"/>
      <c r="D661" s="1"/>
      <c r="E661" s="1"/>
      <c r="F661" s="1"/>
      <c r="G661" s="1"/>
      <c r="H661" s="1"/>
    </row>
    <row r="662" spans="1:8" ht="15.75" customHeight="1">
      <c r="A662" s="1"/>
      <c r="B662" s="1"/>
      <c r="C662" s="1"/>
      <c r="D662" s="1"/>
      <c r="E662" s="1"/>
      <c r="F662" s="1"/>
      <c r="G662" s="1"/>
      <c r="H662" s="1"/>
    </row>
    <row r="663" spans="1:8" ht="15.75" customHeight="1">
      <c r="A663" s="1"/>
      <c r="B663" s="1"/>
      <c r="C663" s="1"/>
      <c r="D663" s="1"/>
      <c r="E663" s="1"/>
      <c r="F663" s="1"/>
      <c r="G663" s="1"/>
      <c r="H663" s="1"/>
    </row>
    <row r="664" spans="1:8" ht="15.75" customHeight="1">
      <c r="A664" s="1"/>
      <c r="B664" s="1"/>
      <c r="C664" s="1"/>
      <c r="D664" s="1"/>
      <c r="E664" s="1"/>
      <c r="F664" s="1"/>
      <c r="G664" s="1"/>
      <c r="H664" s="1"/>
    </row>
    <row r="665" spans="1:8" ht="15.75" customHeight="1">
      <c r="A665" s="1"/>
      <c r="B665" s="1"/>
      <c r="C665" s="1"/>
      <c r="D665" s="1"/>
      <c r="E665" s="1"/>
      <c r="F665" s="1"/>
      <c r="G665" s="1"/>
      <c r="H665" s="1"/>
    </row>
    <row r="666" spans="1:8" ht="15.75" customHeight="1">
      <c r="A666" s="1"/>
      <c r="B666" s="1"/>
      <c r="C666" s="1"/>
      <c r="D666" s="1"/>
      <c r="E666" s="1"/>
      <c r="F666" s="1"/>
      <c r="G666" s="1"/>
      <c r="H666" s="1"/>
    </row>
    <row r="667" spans="1:8" ht="15.75" customHeight="1">
      <c r="A667" s="1"/>
      <c r="B667" s="1"/>
      <c r="C667" s="1"/>
      <c r="D667" s="1"/>
      <c r="E667" s="1"/>
      <c r="F667" s="1"/>
      <c r="G667" s="1"/>
      <c r="H667" s="1"/>
    </row>
    <row r="668" spans="1:8" ht="15.75" customHeight="1">
      <c r="A668" s="1"/>
      <c r="B668" s="1"/>
      <c r="C668" s="1"/>
      <c r="D668" s="1"/>
      <c r="E668" s="1"/>
      <c r="F668" s="1"/>
      <c r="G668" s="1"/>
      <c r="H668" s="1"/>
    </row>
    <row r="669" spans="1:8" ht="15.75" customHeight="1">
      <c r="A669" s="1"/>
      <c r="B669" s="1"/>
      <c r="C669" s="1"/>
      <c r="D669" s="1"/>
      <c r="E669" s="1"/>
      <c r="F669" s="1"/>
      <c r="G669" s="1"/>
      <c r="H669" s="1"/>
    </row>
    <row r="670" spans="1:8" ht="15.75" customHeight="1">
      <c r="A670" s="1"/>
      <c r="B670" s="1"/>
      <c r="C670" s="1"/>
      <c r="D670" s="1"/>
      <c r="E670" s="1"/>
      <c r="F670" s="1"/>
      <c r="G670" s="1"/>
      <c r="H670" s="1"/>
    </row>
    <row r="671" spans="1:8" ht="15.75" customHeight="1">
      <c r="A671" s="1"/>
      <c r="B671" s="1"/>
      <c r="C671" s="1"/>
      <c r="D671" s="1"/>
      <c r="E671" s="1"/>
      <c r="F671" s="1"/>
      <c r="G671" s="1"/>
      <c r="H671" s="1"/>
    </row>
    <row r="672" spans="1:8" ht="15.75" customHeight="1">
      <c r="A672" s="1"/>
      <c r="B672" s="1"/>
      <c r="C672" s="1"/>
      <c r="D672" s="1"/>
      <c r="E672" s="1"/>
      <c r="F672" s="1"/>
      <c r="G672" s="1"/>
      <c r="H672" s="1"/>
    </row>
    <row r="673" spans="1:8" ht="15.75" customHeight="1">
      <c r="A673" s="1"/>
      <c r="B673" s="1"/>
      <c r="C673" s="1"/>
      <c r="D673" s="1"/>
      <c r="E673" s="1"/>
      <c r="F673" s="1"/>
      <c r="G673" s="1"/>
      <c r="H673" s="1"/>
    </row>
    <row r="674" spans="1:8" ht="15.75" customHeight="1">
      <c r="A674" s="1"/>
      <c r="B674" s="1"/>
      <c r="C674" s="1"/>
      <c r="D674" s="1"/>
      <c r="E674" s="1"/>
      <c r="F674" s="1"/>
      <c r="G674" s="1"/>
      <c r="H674" s="1"/>
    </row>
    <row r="675" spans="1:8" ht="15.75" customHeight="1">
      <c r="A675" s="1"/>
      <c r="B675" s="1"/>
      <c r="C675" s="1"/>
      <c r="D675" s="1"/>
      <c r="E675" s="1"/>
      <c r="F675" s="1"/>
      <c r="G675" s="1"/>
      <c r="H675" s="1"/>
    </row>
    <row r="676" spans="1:8" ht="15.75" customHeight="1">
      <c r="A676" s="1"/>
      <c r="B676" s="1"/>
      <c r="C676" s="1"/>
      <c r="D676" s="1"/>
      <c r="E676" s="1"/>
      <c r="F676" s="1"/>
      <c r="G676" s="1"/>
      <c r="H676" s="1"/>
    </row>
    <row r="677" spans="1:8" ht="15.75" customHeight="1">
      <c r="A677" s="1"/>
      <c r="B677" s="1"/>
      <c r="C677" s="1"/>
      <c r="D677" s="1"/>
      <c r="E677" s="1"/>
      <c r="F677" s="1"/>
      <c r="G677" s="1"/>
      <c r="H677" s="1"/>
    </row>
    <row r="678" spans="1:8" ht="15.75" customHeight="1">
      <c r="A678" s="1"/>
      <c r="B678" s="1"/>
      <c r="C678" s="1"/>
      <c r="D678" s="1"/>
      <c r="E678" s="1"/>
      <c r="F678" s="1"/>
      <c r="G678" s="1"/>
      <c r="H678" s="1"/>
    </row>
    <row r="679" spans="1:8" ht="15.75" customHeight="1">
      <c r="A679" s="1"/>
      <c r="B679" s="1"/>
      <c r="C679" s="1"/>
      <c r="D679" s="1"/>
      <c r="E679" s="1"/>
      <c r="F679" s="1"/>
      <c r="G679" s="1"/>
      <c r="H679" s="1"/>
    </row>
    <row r="680" spans="1:8" ht="15.75" customHeight="1">
      <c r="A680" s="1"/>
      <c r="B680" s="1"/>
      <c r="C680" s="1"/>
      <c r="D680" s="1"/>
      <c r="E680" s="1"/>
      <c r="F680" s="1"/>
      <c r="G680" s="1"/>
      <c r="H680" s="1"/>
    </row>
    <row r="681" spans="1:8" ht="15.75" customHeight="1">
      <c r="A681" s="1"/>
      <c r="B681" s="1"/>
      <c r="C681" s="1"/>
      <c r="D681" s="1"/>
      <c r="E681" s="1"/>
      <c r="F681" s="1"/>
      <c r="G681" s="1"/>
      <c r="H681" s="1"/>
    </row>
    <row r="682" spans="1:8" ht="15.75" customHeight="1">
      <c r="A682" s="1"/>
      <c r="B682" s="1"/>
      <c r="C682" s="1"/>
      <c r="D682" s="1"/>
      <c r="E682" s="1"/>
      <c r="F682" s="1"/>
      <c r="G682" s="1"/>
      <c r="H682" s="1"/>
    </row>
    <row r="683" spans="1:8" ht="15.75" customHeight="1">
      <c r="A683" s="1"/>
      <c r="B683" s="1"/>
      <c r="C683" s="1"/>
      <c r="D683" s="1"/>
      <c r="E683" s="1"/>
      <c r="F683" s="1"/>
      <c r="G683" s="1"/>
      <c r="H683" s="1"/>
    </row>
    <row r="684" spans="1:8" ht="15.75" customHeight="1">
      <c r="A684" s="1"/>
      <c r="B684" s="1"/>
      <c r="C684" s="1"/>
      <c r="D684" s="1"/>
      <c r="E684" s="1"/>
      <c r="F684" s="1"/>
      <c r="G684" s="1"/>
      <c r="H684" s="1"/>
    </row>
    <row r="685" spans="1:8" ht="15.75" customHeight="1">
      <c r="A685" s="1"/>
      <c r="B685" s="1"/>
      <c r="C685" s="1"/>
      <c r="D685" s="1"/>
      <c r="E685" s="1"/>
      <c r="F685" s="1"/>
      <c r="G685" s="1"/>
      <c r="H685" s="1"/>
    </row>
    <row r="686" spans="1:8" ht="15.75" customHeight="1">
      <c r="A686" s="1"/>
      <c r="B686" s="1"/>
      <c r="C686" s="1"/>
      <c r="D686" s="1"/>
      <c r="E686" s="1"/>
      <c r="F686" s="1"/>
      <c r="G686" s="1"/>
      <c r="H686" s="1"/>
    </row>
    <row r="687" spans="1:8" ht="15.75" customHeight="1">
      <c r="A687" s="1"/>
      <c r="B687" s="1"/>
      <c r="C687" s="1"/>
      <c r="D687" s="1"/>
      <c r="E687" s="1"/>
      <c r="F687" s="1"/>
      <c r="G687" s="1"/>
      <c r="H687" s="1"/>
    </row>
    <row r="688" spans="1:8" ht="15.75" customHeight="1">
      <c r="A688" s="1"/>
      <c r="B688" s="1"/>
      <c r="C688" s="1"/>
      <c r="D688" s="1"/>
      <c r="E688" s="1"/>
      <c r="F688" s="1"/>
      <c r="G688" s="1"/>
      <c r="H688" s="1"/>
    </row>
    <row r="689" spans="1:8" ht="15.75" customHeight="1">
      <c r="A689" s="1"/>
      <c r="B689" s="1"/>
      <c r="C689" s="1"/>
      <c r="D689" s="1"/>
      <c r="E689" s="1"/>
      <c r="F689" s="1"/>
      <c r="G689" s="1"/>
      <c r="H689" s="1"/>
    </row>
    <row r="690" spans="1:8" ht="15.75" customHeight="1">
      <c r="A690" s="1"/>
      <c r="B690" s="1"/>
      <c r="C690" s="1"/>
      <c r="D690" s="1"/>
      <c r="E690" s="1"/>
      <c r="F690" s="1"/>
      <c r="G690" s="1"/>
      <c r="H690" s="1"/>
    </row>
    <row r="691" spans="1:8" ht="15.75" customHeight="1">
      <c r="A691" s="1"/>
      <c r="B691" s="1"/>
      <c r="C691" s="1"/>
      <c r="D691" s="1"/>
      <c r="E691" s="1"/>
      <c r="F691" s="1"/>
      <c r="G691" s="1"/>
      <c r="H691" s="1"/>
    </row>
    <row r="692" spans="1:8" ht="15.75" customHeight="1">
      <c r="A692" s="1"/>
      <c r="B692" s="1"/>
      <c r="C692" s="1"/>
      <c r="D692" s="1"/>
      <c r="E692" s="1"/>
      <c r="F692" s="1"/>
      <c r="G692" s="1"/>
      <c r="H692" s="1"/>
    </row>
    <row r="693" spans="1:8" ht="15.75" customHeight="1">
      <c r="A693" s="1"/>
      <c r="B693" s="1"/>
      <c r="C693" s="1"/>
      <c r="D693" s="1"/>
      <c r="E693" s="1"/>
      <c r="F693" s="1"/>
      <c r="G693" s="1"/>
      <c r="H693" s="1"/>
    </row>
    <row r="694" spans="1:8" ht="15.75" customHeight="1">
      <c r="A694" s="1"/>
      <c r="B694" s="1"/>
      <c r="C694" s="1"/>
      <c r="D694" s="1"/>
      <c r="E694" s="1"/>
      <c r="F694" s="1"/>
      <c r="G694" s="1"/>
      <c r="H694" s="1"/>
    </row>
    <row r="695" spans="1:8" ht="15.75" customHeight="1">
      <c r="A695" s="1"/>
      <c r="B695" s="1"/>
      <c r="C695" s="1"/>
      <c r="D695" s="1"/>
      <c r="E695" s="1"/>
      <c r="F695" s="1"/>
      <c r="G695" s="1"/>
      <c r="H695" s="1"/>
    </row>
    <row r="696" spans="1:8" ht="15.75" customHeight="1">
      <c r="A696" s="1"/>
      <c r="B696" s="1"/>
      <c r="C696" s="1"/>
      <c r="D696" s="1"/>
      <c r="E696" s="1"/>
      <c r="F696" s="1"/>
      <c r="G696" s="1"/>
      <c r="H696" s="1"/>
    </row>
    <row r="697" spans="1:8" ht="15.75" customHeight="1">
      <c r="A697" s="1"/>
      <c r="B697" s="1"/>
      <c r="C697" s="1"/>
      <c r="D697" s="1"/>
      <c r="E697" s="1"/>
      <c r="F697" s="1"/>
      <c r="G697" s="1"/>
      <c r="H697" s="1"/>
    </row>
    <row r="698" spans="1:8" ht="15.75" customHeight="1">
      <c r="A698" s="1"/>
      <c r="B698" s="1"/>
      <c r="C698" s="1"/>
      <c r="D698" s="1"/>
      <c r="E698" s="1"/>
      <c r="F698" s="1"/>
      <c r="G698" s="1"/>
      <c r="H698" s="1"/>
    </row>
    <row r="699" spans="1:8" ht="15.75" customHeight="1">
      <c r="A699" s="1"/>
      <c r="B699" s="1"/>
      <c r="C699" s="1"/>
      <c r="D699" s="1"/>
      <c r="E699" s="1"/>
      <c r="F699" s="1"/>
      <c r="G699" s="1"/>
      <c r="H699" s="1"/>
    </row>
    <row r="700" spans="1:8" ht="15.75" customHeight="1">
      <c r="A700" s="1"/>
      <c r="B700" s="1"/>
      <c r="C700" s="1"/>
      <c r="D700" s="1"/>
      <c r="E700" s="1"/>
      <c r="F700" s="1"/>
      <c r="G700" s="1"/>
      <c r="H700" s="1"/>
    </row>
    <row r="701" spans="1:8" ht="15.75" customHeight="1">
      <c r="A701" s="1"/>
      <c r="B701" s="1"/>
      <c r="C701" s="1"/>
      <c r="D701" s="1"/>
      <c r="E701" s="1"/>
      <c r="F701" s="1"/>
      <c r="G701" s="1"/>
      <c r="H701" s="1"/>
    </row>
    <row r="702" spans="1:8" ht="15.75" customHeight="1">
      <c r="A702" s="1"/>
      <c r="B702" s="1"/>
      <c r="C702" s="1"/>
      <c r="D702" s="1"/>
      <c r="E702" s="1"/>
      <c r="F702" s="1"/>
      <c r="G702" s="1"/>
      <c r="H702" s="1"/>
    </row>
    <row r="703" spans="1:8" ht="15.75" customHeight="1">
      <c r="A703" s="1"/>
      <c r="B703" s="1"/>
      <c r="C703" s="1"/>
      <c r="D703" s="1"/>
      <c r="E703" s="1"/>
      <c r="F703" s="1"/>
      <c r="G703" s="1"/>
      <c r="H703" s="1"/>
    </row>
    <row r="704" spans="1:8" ht="15.75" customHeight="1">
      <c r="A704" s="1"/>
      <c r="B704" s="1"/>
      <c r="C704" s="1"/>
      <c r="D704" s="1"/>
      <c r="E704" s="1"/>
      <c r="F704" s="1"/>
      <c r="G704" s="1"/>
      <c r="H704" s="1"/>
    </row>
    <row r="705" spans="1:8" ht="15.75" customHeight="1">
      <c r="A705" s="1"/>
      <c r="B705" s="1"/>
      <c r="C705" s="1"/>
      <c r="D705" s="1"/>
      <c r="E705" s="1"/>
      <c r="F705" s="1"/>
      <c r="G705" s="1"/>
      <c r="H705" s="1"/>
    </row>
    <row r="706" spans="1:8" ht="15.75" customHeight="1">
      <c r="A706" s="1"/>
      <c r="B706" s="1"/>
      <c r="C706" s="1"/>
      <c r="D706" s="1"/>
      <c r="E706" s="1"/>
      <c r="F706" s="1"/>
      <c r="G706" s="1"/>
      <c r="H706" s="1"/>
    </row>
    <row r="707" spans="1:8" ht="15.75" customHeight="1">
      <c r="A707" s="1"/>
      <c r="B707" s="1"/>
      <c r="C707" s="1"/>
      <c r="D707" s="1"/>
      <c r="E707" s="1"/>
      <c r="F707" s="1"/>
      <c r="G707" s="1"/>
      <c r="H707" s="1"/>
    </row>
    <row r="708" spans="1:8" ht="15.75" customHeight="1">
      <c r="A708" s="1"/>
      <c r="B708" s="1"/>
      <c r="C708" s="1"/>
      <c r="D708" s="1"/>
      <c r="E708" s="1"/>
      <c r="F708" s="1"/>
      <c r="G708" s="1"/>
      <c r="H708" s="1"/>
    </row>
    <row r="709" spans="1:8" ht="15.75" customHeight="1">
      <c r="A709" s="1"/>
      <c r="B709" s="1"/>
      <c r="C709" s="1"/>
      <c r="D709" s="1"/>
      <c r="E709" s="1"/>
      <c r="F709" s="1"/>
      <c r="G709" s="1"/>
      <c r="H709" s="1"/>
    </row>
    <row r="710" spans="1:8" ht="15.75" customHeight="1">
      <c r="A710" s="1"/>
      <c r="B710" s="1"/>
      <c r="C710" s="1"/>
      <c r="D710" s="1"/>
      <c r="E710" s="1"/>
      <c r="F710" s="1"/>
      <c r="G710" s="1"/>
      <c r="H710" s="1"/>
    </row>
    <row r="711" spans="1:8" ht="15.75" customHeight="1">
      <c r="A711" s="1"/>
      <c r="B711" s="1"/>
      <c r="C711" s="1"/>
      <c r="D711" s="1"/>
      <c r="E711" s="1"/>
      <c r="F711" s="1"/>
      <c r="G711" s="1"/>
      <c r="H711" s="1"/>
    </row>
    <row r="712" spans="1:8" ht="15.75" customHeight="1">
      <c r="A712" s="1"/>
      <c r="B712" s="1"/>
      <c r="C712" s="1"/>
      <c r="D712" s="1"/>
      <c r="E712" s="1"/>
      <c r="F712" s="1"/>
      <c r="G712" s="1"/>
      <c r="H712" s="1"/>
    </row>
    <row r="713" spans="1:8" ht="15.75" customHeight="1">
      <c r="A713" s="1"/>
      <c r="B713" s="1"/>
      <c r="C713" s="1"/>
      <c r="D713" s="1"/>
      <c r="E713" s="1"/>
      <c r="F713" s="1"/>
      <c r="G713" s="1"/>
      <c r="H713" s="1"/>
    </row>
    <row r="714" spans="1:8" ht="15.75" customHeight="1">
      <c r="A714" s="1"/>
      <c r="B714" s="1"/>
      <c r="C714" s="1"/>
      <c r="D714" s="1"/>
      <c r="E714" s="1"/>
      <c r="F714" s="1"/>
      <c r="G714" s="1"/>
      <c r="H714" s="1"/>
    </row>
    <row r="715" spans="1:8" ht="15.75" customHeight="1">
      <c r="A715" s="1"/>
      <c r="B715" s="1"/>
      <c r="C715" s="1"/>
      <c r="D715" s="1"/>
      <c r="E715" s="1"/>
      <c r="F715" s="1"/>
      <c r="G715" s="1"/>
      <c r="H715" s="1"/>
    </row>
    <row r="716" spans="1:8" ht="15.75" customHeight="1">
      <c r="A716" s="1"/>
      <c r="B716" s="1"/>
      <c r="C716" s="1"/>
      <c r="D716" s="1"/>
      <c r="E716" s="1"/>
      <c r="F716" s="1"/>
      <c r="G716" s="1"/>
      <c r="H716" s="1"/>
    </row>
    <row r="717" spans="1:8" ht="15.75" customHeight="1">
      <c r="A717" s="1"/>
      <c r="B717" s="1"/>
      <c r="C717" s="1"/>
      <c r="D717" s="1"/>
      <c r="E717" s="1"/>
      <c r="F717" s="1"/>
      <c r="G717" s="1"/>
      <c r="H717" s="1"/>
    </row>
    <row r="718" spans="1:8" ht="15.75" customHeight="1">
      <c r="A718" s="1"/>
      <c r="B718" s="1"/>
      <c r="C718" s="1"/>
      <c r="D718" s="1"/>
      <c r="E718" s="1"/>
      <c r="F718" s="1"/>
      <c r="G718" s="1"/>
      <c r="H718" s="1"/>
    </row>
    <row r="719" spans="1:8" ht="15.75" customHeight="1">
      <c r="A719" s="1"/>
      <c r="B719" s="1"/>
      <c r="C719" s="1"/>
      <c r="D719" s="1"/>
      <c r="E719" s="1"/>
      <c r="F719" s="1"/>
      <c r="G719" s="1"/>
      <c r="H719" s="1"/>
    </row>
    <row r="720" spans="1:8" ht="15.75" customHeight="1">
      <c r="A720" s="1"/>
      <c r="B720" s="1"/>
      <c r="C720" s="1"/>
      <c r="D720" s="1"/>
      <c r="E720" s="1"/>
      <c r="F720" s="1"/>
      <c r="G720" s="1"/>
      <c r="H720" s="1"/>
    </row>
    <row r="721" spans="1:8" ht="15.75" customHeight="1">
      <c r="A721" s="1"/>
      <c r="B721" s="1"/>
      <c r="C721" s="1"/>
      <c r="D721" s="1"/>
      <c r="E721" s="1"/>
      <c r="F721" s="1"/>
      <c r="G721" s="1"/>
      <c r="H721" s="1"/>
    </row>
    <row r="722" spans="1:8" ht="15.75" customHeight="1">
      <c r="A722" s="1"/>
      <c r="B722" s="1"/>
      <c r="C722" s="1"/>
      <c r="D722" s="1"/>
      <c r="E722" s="1"/>
      <c r="F722" s="1"/>
      <c r="G722" s="1"/>
      <c r="H722" s="1"/>
    </row>
    <row r="723" spans="1:8" ht="15.75" customHeight="1">
      <c r="A723" s="1"/>
      <c r="B723" s="1"/>
      <c r="C723" s="1"/>
      <c r="D723" s="1"/>
      <c r="E723" s="1"/>
      <c r="F723" s="1"/>
      <c r="G723" s="1"/>
      <c r="H723" s="1"/>
    </row>
    <row r="724" spans="1:8" ht="15.75" customHeight="1">
      <c r="A724" s="1"/>
      <c r="B724" s="1"/>
      <c r="C724" s="1"/>
      <c r="D724" s="1"/>
      <c r="E724" s="1"/>
      <c r="F724" s="1"/>
      <c r="G724" s="1"/>
      <c r="H724" s="1"/>
    </row>
    <row r="725" spans="1:8" ht="15.75" customHeight="1">
      <c r="A725" s="1"/>
      <c r="B725" s="1"/>
      <c r="C725" s="1"/>
      <c r="D725" s="1"/>
      <c r="E725" s="1"/>
      <c r="F725" s="1"/>
      <c r="G725" s="1"/>
      <c r="H725" s="1"/>
    </row>
    <row r="726" spans="1:8" ht="15.75" customHeight="1">
      <c r="A726" s="1"/>
      <c r="B726" s="1"/>
      <c r="C726" s="1"/>
      <c r="D726" s="1"/>
      <c r="E726" s="1"/>
      <c r="F726" s="1"/>
      <c r="G726" s="1"/>
      <c r="H726" s="1"/>
    </row>
    <row r="727" spans="1:8" ht="15.75" customHeight="1">
      <c r="A727" s="1"/>
      <c r="B727" s="1"/>
      <c r="C727" s="1"/>
      <c r="D727" s="1"/>
      <c r="E727" s="1"/>
      <c r="F727" s="1"/>
      <c r="G727" s="1"/>
      <c r="H727" s="1"/>
    </row>
    <row r="728" spans="1:8" ht="15.75" customHeight="1">
      <c r="A728" s="1"/>
      <c r="B728" s="1"/>
      <c r="C728" s="1"/>
      <c r="D728" s="1"/>
      <c r="E728" s="1"/>
      <c r="F728" s="1"/>
      <c r="G728" s="1"/>
      <c r="H728" s="1"/>
    </row>
    <row r="729" spans="1:8" ht="15.75" customHeight="1">
      <c r="A729" s="1"/>
      <c r="B729" s="1"/>
      <c r="C729" s="1"/>
      <c r="D729" s="1"/>
      <c r="E729" s="1"/>
      <c r="F729" s="1"/>
      <c r="G729" s="1"/>
      <c r="H729" s="1"/>
    </row>
    <row r="730" spans="1:8" ht="15.75" customHeight="1">
      <c r="A730" s="1"/>
      <c r="B730" s="1"/>
      <c r="C730" s="1"/>
      <c r="D730" s="1"/>
      <c r="E730" s="1"/>
      <c r="F730" s="1"/>
      <c r="G730" s="1"/>
      <c r="H730" s="1"/>
    </row>
    <row r="731" spans="1:8" ht="15.75" customHeight="1">
      <c r="A731" s="1"/>
      <c r="B731" s="1"/>
      <c r="C731" s="1"/>
      <c r="D731" s="1"/>
      <c r="E731" s="1"/>
      <c r="F731" s="1"/>
      <c r="G731" s="1"/>
      <c r="H731" s="1"/>
    </row>
    <row r="732" spans="1:8" ht="15.75" customHeight="1">
      <c r="A732" s="1"/>
      <c r="B732" s="1"/>
      <c r="C732" s="1"/>
      <c r="D732" s="1"/>
      <c r="E732" s="1"/>
      <c r="F732" s="1"/>
      <c r="G732" s="1"/>
      <c r="H732" s="1"/>
    </row>
    <row r="733" spans="1:8" ht="15.75" customHeight="1">
      <c r="A733" s="1"/>
      <c r="B733" s="1"/>
      <c r="C733" s="1"/>
      <c r="D733" s="1"/>
      <c r="E733" s="1"/>
      <c r="F733" s="1"/>
      <c r="G733" s="1"/>
      <c r="H733" s="1"/>
    </row>
    <row r="734" spans="1:8" ht="15.75" customHeight="1">
      <c r="A734" s="1"/>
      <c r="B734" s="1"/>
      <c r="C734" s="1"/>
      <c r="D734" s="1"/>
      <c r="E734" s="1"/>
      <c r="F734" s="1"/>
      <c r="G734" s="1"/>
      <c r="H734" s="1"/>
    </row>
    <row r="735" spans="1:8" ht="15.75" customHeight="1">
      <c r="A735" s="1"/>
      <c r="B735" s="1"/>
      <c r="C735" s="1"/>
      <c r="D735" s="1"/>
      <c r="E735" s="1"/>
      <c r="F735" s="1"/>
      <c r="G735" s="1"/>
      <c r="H735" s="1"/>
    </row>
    <row r="736" spans="1:8" ht="15.75" customHeight="1">
      <c r="A736" s="1"/>
      <c r="B736" s="1"/>
      <c r="C736" s="1"/>
      <c r="D736" s="1"/>
      <c r="E736" s="1"/>
      <c r="F736" s="1"/>
      <c r="G736" s="1"/>
      <c r="H736" s="1"/>
    </row>
    <row r="737" spans="1:8" ht="15.75" customHeight="1">
      <c r="A737" s="1"/>
      <c r="B737" s="1"/>
      <c r="C737" s="1"/>
      <c r="D737" s="1"/>
      <c r="E737" s="1"/>
      <c r="F737" s="1"/>
      <c r="G737" s="1"/>
      <c r="H737" s="1"/>
    </row>
    <row r="738" spans="1:8" ht="15.75" customHeight="1">
      <c r="A738" s="1"/>
      <c r="B738" s="1"/>
      <c r="C738" s="1"/>
      <c r="D738" s="1"/>
      <c r="E738" s="1"/>
      <c r="F738" s="1"/>
      <c r="G738" s="1"/>
      <c r="H738" s="1"/>
    </row>
    <row r="739" spans="1:8" ht="15.75" customHeight="1">
      <c r="A739" s="1"/>
      <c r="B739" s="1"/>
      <c r="C739" s="1"/>
      <c r="D739" s="1"/>
      <c r="E739" s="1"/>
      <c r="F739" s="1"/>
      <c r="G739" s="1"/>
      <c r="H739" s="1"/>
    </row>
    <row r="740" spans="1:8" ht="15.75" customHeight="1">
      <c r="A740" s="1"/>
      <c r="B740" s="1"/>
      <c r="C740" s="1"/>
      <c r="D740" s="1"/>
      <c r="E740" s="1"/>
      <c r="F740" s="1"/>
      <c r="G740" s="1"/>
      <c r="H740" s="1"/>
    </row>
    <row r="741" spans="1:8" ht="15.75" customHeight="1">
      <c r="A741" s="1"/>
      <c r="B741" s="1"/>
      <c r="C741" s="1"/>
      <c r="D741" s="1"/>
      <c r="E741" s="1"/>
      <c r="F741" s="1"/>
      <c r="G741" s="1"/>
      <c r="H741" s="1"/>
    </row>
    <row r="742" spans="1:8" ht="15.75" customHeight="1">
      <c r="A742" s="1"/>
      <c r="B742" s="1"/>
      <c r="C742" s="1"/>
      <c r="D742" s="1"/>
      <c r="E742" s="1"/>
      <c r="F742" s="1"/>
      <c r="G742" s="1"/>
      <c r="H742" s="1"/>
    </row>
    <row r="743" spans="1:8" ht="15.75" customHeight="1">
      <c r="A743" s="1"/>
      <c r="B743" s="1"/>
      <c r="C743" s="1"/>
      <c r="D743" s="1"/>
      <c r="E743" s="1"/>
      <c r="F743" s="1"/>
      <c r="G743" s="1"/>
      <c r="H743" s="1"/>
    </row>
    <row r="744" spans="1:8" ht="15.75" customHeight="1">
      <c r="A744" s="1"/>
      <c r="B744" s="1"/>
      <c r="C744" s="1"/>
      <c r="D744" s="1"/>
      <c r="E744" s="1"/>
      <c r="F744" s="1"/>
      <c r="G744" s="1"/>
      <c r="H744" s="1"/>
    </row>
    <row r="745" spans="1:8" ht="15.75" customHeight="1">
      <c r="A745" s="1"/>
      <c r="B745" s="1"/>
      <c r="C745" s="1"/>
      <c r="D745" s="1"/>
      <c r="E745" s="1"/>
      <c r="F745" s="1"/>
      <c r="G745" s="1"/>
      <c r="H745" s="1"/>
    </row>
    <row r="746" spans="1:8" ht="15.75" customHeight="1">
      <c r="A746" s="1"/>
      <c r="B746" s="1"/>
      <c r="C746" s="1"/>
      <c r="D746" s="1"/>
      <c r="E746" s="1"/>
      <c r="F746" s="1"/>
      <c r="G746" s="1"/>
      <c r="H746" s="1"/>
    </row>
    <row r="747" spans="1:8" ht="15.75" customHeight="1">
      <c r="A747" s="1"/>
      <c r="B747" s="1"/>
      <c r="C747" s="1"/>
      <c r="D747" s="1"/>
      <c r="E747" s="1"/>
      <c r="F747" s="1"/>
      <c r="G747" s="1"/>
      <c r="H747" s="1"/>
    </row>
    <row r="748" spans="1:8" ht="15.75" customHeight="1">
      <c r="A748" s="1"/>
      <c r="B748" s="1"/>
      <c r="C748" s="1"/>
      <c r="D748" s="1"/>
      <c r="E748" s="1"/>
      <c r="F748" s="1"/>
      <c r="G748" s="1"/>
      <c r="H748" s="1"/>
    </row>
    <row r="749" spans="1:8" ht="15.75" customHeight="1">
      <c r="A749" s="1"/>
      <c r="B749" s="1"/>
      <c r="C749" s="1"/>
      <c r="D749" s="1"/>
      <c r="E749" s="1"/>
      <c r="F749" s="1"/>
      <c r="G749" s="1"/>
      <c r="H749" s="1"/>
    </row>
    <row r="750" spans="1:8" ht="15.75" customHeight="1">
      <c r="A750" s="1"/>
      <c r="B750" s="1"/>
      <c r="C750" s="1"/>
      <c r="D750" s="1"/>
      <c r="E750" s="1"/>
      <c r="F750" s="1"/>
      <c r="G750" s="1"/>
      <c r="H750" s="1"/>
    </row>
    <row r="751" spans="1:8" ht="15.75" customHeight="1">
      <c r="A751" s="1"/>
      <c r="B751" s="1"/>
      <c r="C751" s="1"/>
      <c r="D751" s="1"/>
      <c r="E751" s="1"/>
      <c r="F751" s="1"/>
      <c r="G751" s="1"/>
      <c r="H751" s="1"/>
    </row>
    <row r="752" spans="1:8" ht="15.75" customHeight="1">
      <c r="A752" s="1"/>
      <c r="B752" s="1"/>
      <c r="C752" s="1"/>
      <c r="D752" s="1"/>
      <c r="E752" s="1"/>
      <c r="F752" s="1"/>
      <c r="G752" s="1"/>
      <c r="H752" s="1"/>
    </row>
    <row r="753" spans="1:8" ht="15.75" customHeight="1">
      <c r="A753" s="1"/>
      <c r="B753" s="1"/>
      <c r="C753" s="1"/>
      <c r="D753" s="1"/>
      <c r="E753" s="1"/>
      <c r="F753" s="1"/>
      <c r="G753" s="1"/>
      <c r="H753" s="1"/>
    </row>
    <row r="754" spans="1:8" ht="15.75" customHeight="1">
      <c r="A754" s="1"/>
      <c r="B754" s="1"/>
      <c r="C754" s="1"/>
      <c r="D754" s="1"/>
      <c r="E754" s="1"/>
      <c r="F754" s="1"/>
      <c r="G754" s="1"/>
      <c r="H754" s="1"/>
    </row>
    <row r="755" spans="1:8" ht="15.75" customHeight="1">
      <c r="A755" s="1"/>
      <c r="B755" s="1"/>
      <c r="C755" s="1"/>
      <c r="D755" s="1"/>
      <c r="E755" s="1"/>
      <c r="F755" s="1"/>
      <c r="G755" s="1"/>
      <c r="H755" s="1"/>
    </row>
    <row r="756" spans="1:8" ht="15.75" customHeight="1">
      <c r="A756" s="1"/>
      <c r="B756" s="1"/>
      <c r="C756" s="1"/>
      <c r="D756" s="1"/>
      <c r="E756" s="1"/>
      <c r="F756" s="1"/>
      <c r="G756" s="1"/>
      <c r="H756" s="1"/>
    </row>
    <row r="757" spans="1:8" ht="15.75" customHeight="1">
      <c r="A757" s="1"/>
      <c r="B757" s="1"/>
      <c r="C757" s="1"/>
      <c r="D757" s="1"/>
      <c r="E757" s="1"/>
      <c r="F757" s="1"/>
      <c r="G757" s="1"/>
      <c r="H757" s="1"/>
    </row>
    <row r="758" spans="1:8" ht="15.75" customHeight="1">
      <c r="A758" s="1"/>
      <c r="B758" s="1"/>
      <c r="C758" s="1"/>
      <c r="D758" s="1"/>
      <c r="E758" s="1"/>
      <c r="F758" s="1"/>
      <c r="G758" s="1"/>
      <c r="H758" s="1"/>
    </row>
    <row r="759" spans="1:8" ht="15.75" customHeight="1">
      <c r="A759" s="1"/>
      <c r="B759" s="1"/>
      <c r="C759" s="1"/>
      <c r="D759" s="1"/>
      <c r="E759" s="1"/>
      <c r="F759" s="1"/>
      <c r="G759" s="1"/>
      <c r="H759" s="1"/>
    </row>
    <row r="760" spans="1:8" ht="15.75" customHeight="1">
      <c r="A760" s="1"/>
      <c r="B760" s="1"/>
      <c r="C760" s="1"/>
      <c r="D760" s="1"/>
      <c r="E760" s="1"/>
      <c r="F760" s="1"/>
      <c r="G760" s="1"/>
      <c r="H760" s="1"/>
    </row>
    <row r="761" spans="1:8" ht="15.75" customHeight="1">
      <c r="A761" s="1"/>
      <c r="B761" s="1"/>
      <c r="C761" s="1"/>
      <c r="D761" s="1"/>
      <c r="E761" s="1"/>
      <c r="F761" s="1"/>
      <c r="G761" s="1"/>
      <c r="H761" s="1"/>
    </row>
    <row r="762" spans="1:8" ht="15.75" customHeight="1">
      <c r="A762" s="1"/>
      <c r="B762" s="1"/>
      <c r="C762" s="1"/>
      <c r="D762" s="1"/>
      <c r="E762" s="1"/>
      <c r="F762" s="1"/>
      <c r="G762" s="1"/>
      <c r="H762" s="1"/>
    </row>
    <row r="763" spans="1:8" ht="15.75" customHeight="1">
      <c r="A763" s="1"/>
      <c r="B763" s="1"/>
      <c r="C763" s="1"/>
      <c r="D763" s="1"/>
      <c r="E763" s="1"/>
      <c r="F763" s="1"/>
      <c r="G763" s="1"/>
      <c r="H763" s="1"/>
    </row>
    <row r="764" spans="1:8" ht="15.75" customHeight="1">
      <c r="A764" s="1"/>
      <c r="B764" s="1"/>
      <c r="C764" s="1"/>
      <c r="D764" s="1"/>
      <c r="E764" s="1"/>
      <c r="F764" s="1"/>
      <c r="G764" s="1"/>
      <c r="H764" s="1"/>
    </row>
    <row r="765" spans="1:8" ht="15.75" customHeight="1">
      <c r="A765" s="1"/>
      <c r="B765" s="1"/>
      <c r="C765" s="1"/>
      <c r="D765" s="1"/>
      <c r="E765" s="1"/>
      <c r="F765" s="1"/>
      <c r="G765" s="1"/>
      <c r="H765" s="1"/>
    </row>
    <row r="766" spans="1:8" ht="15.75" customHeight="1">
      <c r="A766" s="1"/>
      <c r="B766" s="1"/>
      <c r="C766" s="1"/>
      <c r="D766" s="1"/>
      <c r="E766" s="1"/>
      <c r="F766" s="1"/>
      <c r="G766" s="1"/>
      <c r="H766" s="1"/>
    </row>
    <row r="767" spans="1:8" ht="15.75" customHeight="1">
      <c r="A767" s="1"/>
      <c r="B767" s="1"/>
      <c r="C767" s="1"/>
      <c r="D767" s="1"/>
      <c r="E767" s="1"/>
      <c r="F767" s="1"/>
      <c r="G767" s="1"/>
      <c r="H767" s="1"/>
    </row>
    <row r="768" spans="1:8" ht="15.75" customHeight="1">
      <c r="A768" s="1"/>
      <c r="B768" s="1"/>
      <c r="C768" s="1"/>
      <c r="D768" s="1"/>
      <c r="E768" s="1"/>
      <c r="F768" s="1"/>
      <c r="G768" s="1"/>
      <c r="H768" s="1"/>
    </row>
    <row r="769" spans="1:8" ht="15.75" customHeight="1">
      <c r="A769" s="1"/>
      <c r="B769" s="1"/>
      <c r="C769" s="1"/>
      <c r="D769" s="1"/>
      <c r="E769" s="1"/>
      <c r="F769" s="1"/>
      <c r="G769" s="1"/>
      <c r="H769" s="1"/>
    </row>
    <row r="770" spans="1:8" ht="15.75" customHeight="1">
      <c r="A770" s="1"/>
      <c r="B770" s="1"/>
      <c r="C770" s="1"/>
      <c r="D770" s="1"/>
      <c r="E770" s="1"/>
      <c r="F770" s="1"/>
      <c r="G770" s="1"/>
      <c r="H770" s="1"/>
    </row>
    <row r="771" spans="1:8" ht="15.75" customHeight="1">
      <c r="A771" s="1"/>
      <c r="B771" s="1"/>
      <c r="C771" s="1"/>
      <c r="D771" s="1"/>
      <c r="E771" s="1"/>
      <c r="F771" s="1"/>
      <c r="G771" s="1"/>
      <c r="H771" s="1"/>
    </row>
    <row r="772" spans="1:8" ht="15.75" customHeight="1">
      <c r="A772" s="1"/>
      <c r="B772" s="1"/>
      <c r="C772" s="1"/>
      <c r="D772" s="1"/>
      <c r="E772" s="1"/>
      <c r="F772" s="1"/>
      <c r="G772" s="1"/>
      <c r="H772" s="1"/>
    </row>
    <row r="773" spans="1:8" ht="15.75" customHeight="1">
      <c r="A773" s="1"/>
      <c r="B773" s="1"/>
      <c r="C773" s="1"/>
      <c r="D773" s="1"/>
      <c r="E773" s="1"/>
      <c r="F773" s="1"/>
      <c r="G773" s="1"/>
      <c r="H773" s="1"/>
    </row>
    <row r="774" spans="1:8" ht="15.75" customHeight="1">
      <c r="A774" s="1"/>
      <c r="B774" s="1"/>
      <c r="C774" s="1"/>
      <c r="D774" s="1"/>
      <c r="E774" s="1"/>
      <c r="F774" s="1"/>
      <c r="G774" s="1"/>
      <c r="H774" s="1"/>
    </row>
    <row r="775" spans="1:8" ht="15.75" customHeight="1">
      <c r="A775" s="1"/>
      <c r="B775" s="1"/>
      <c r="C775" s="1"/>
      <c r="D775" s="1"/>
      <c r="E775" s="1"/>
      <c r="F775" s="1"/>
      <c r="G775" s="1"/>
      <c r="H775" s="1"/>
    </row>
    <row r="776" spans="1:8" ht="15.75" customHeight="1">
      <c r="A776" s="1"/>
      <c r="B776" s="1"/>
      <c r="C776" s="1"/>
      <c r="D776" s="1"/>
      <c r="E776" s="1"/>
      <c r="F776" s="1"/>
      <c r="G776" s="1"/>
      <c r="H776" s="1"/>
    </row>
    <row r="777" spans="1:8" ht="15.75" customHeight="1">
      <c r="A777" s="1"/>
      <c r="B777" s="1"/>
      <c r="C777" s="1"/>
      <c r="D777" s="1"/>
      <c r="E777" s="1"/>
      <c r="F777" s="1"/>
      <c r="G777" s="1"/>
      <c r="H777" s="1"/>
    </row>
    <row r="778" spans="1:8" ht="15.75" customHeight="1">
      <c r="A778" s="1"/>
      <c r="B778" s="1"/>
      <c r="C778" s="1"/>
      <c r="D778" s="1"/>
      <c r="E778" s="1"/>
      <c r="F778" s="1"/>
      <c r="G778" s="1"/>
      <c r="H778" s="1"/>
    </row>
    <row r="779" spans="1:8" ht="15.75" customHeight="1">
      <c r="A779" s="1"/>
      <c r="B779" s="1"/>
      <c r="C779" s="1"/>
      <c r="D779" s="1"/>
      <c r="E779" s="1"/>
      <c r="F779" s="1"/>
      <c r="G779" s="1"/>
      <c r="H779" s="1"/>
    </row>
    <row r="780" spans="1:8" ht="15.75" customHeight="1">
      <c r="A780" s="1"/>
      <c r="B780" s="1"/>
      <c r="C780" s="1"/>
      <c r="D780" s="1"/>
      <c r="E780" s="1"/>
      <c r="F780" s="1"/>
      <c r="G780" s="1"/>
      <c r="H780" s="1"/>
    </row>
    <row r="781" spans="1:8" ht="15.75" customHeight="1">
      <c r="A781" s="1"/>
      <c r="B781" s="1"/>
      <c r="C781" s="1"/>
      <c r="D781" s="1"/>
      <c r="E781" s="1"/>
      <c r="F781" s="1"/>
      <c r="G781" s="1"/>
      <c r="H781" s="1"/>
    </row>
    <row r="782" spans="1:8" ht="15.75" customHeight="1">
      <c r="A782" s="1"/>
      <c r="B782" s="1"/>
      <c r="C782" s="1"/>
      <c r="D782" s="1"/>
      <c r="E782" s="1"/>
      <c r="F782" s="1"/>
      <c r="G782" s="1"/>
      <c r="H782" s="1"/>
    </row>
    <row r="783" spans="1:8" ht="15.75" customHeight="1">
      <c r="A783" s="1"/>
      <c r="B783" s="1"/>
      <c r="C783" s="1"/>
      <c r="D783" s="1"/>
      <c r="E783" s="1"/>
      <c r="F783" s="1"/>
      <c r="G783" s="1"/>
      <c r="H783" s="1"/>
    </row>
    <row r="784" spans="1:8" ht="15.75" customHeight="1">
      <c r="A784" s="1"/>
      <c r="B784" s="1"/>
      <c r="C784" s="1"/>
      <c r="D784" s="1"/>
      <c r="E784" s="1"/>
      <c r="F784" s="1"/>
      <c r="G784" s="1"/>
      <c r="H784" s="1"/>
    </row>
    <row r="785" spans="1:8" ht="15.75" customHeight="1">
      <c r="A785" s="1"/>
      <c r="B785" s="1"/>
      <c r="C785" s="1"/>
      <c r="D785" s="1"/>
      <c r="E785" s="1"/>
      <c r="F785" s="1"/>
      <c r="G785" s="1"/>
      <c r="H785" s="1"/>
    </row>
    <row r="786" spans="1:8" ht="15.75" customHeight="1">
      <c r="A786" s="1"/>
      <c r="B786" s="1"/>
      <c r="C786" s="1"/>
      <c r="D786" s="1"/>
      <c r="E786" s="1"/>
      <c r="F786" s="1"/>
      <c r="G786" s="1"/>
      <c r="H786" s="1"/>
    </row>
    <row r="787" spans="1:8" ht="15.75" customHeight="1">
      <c r="A787" s="1"/>
      <c r="B787" s="1"/>
      <c r="C787" s="1"/>
      <c r="D787" s="1"/>
      <c r="E787" s="1"/>
      <c r="F787" s="1"/>
      <c r="G787" s="1"/>
      <c r="H787" s="1"/>
    </row>
    <row r="788" spans="1:8" ht="15.75" customHeight="1">
      <c r="A788" s="1"/>
      <c r="B788" s="1"/>
      <c r="C788" s="1"/>
      <c r="D788" s="1"/>
      <c r="E788" s="1"/>
      <c r="F788" s="1"/>
      <c r="G788" s="1"/>
      <c r="H788" s="1"/>
    </row>
    <row r="789" spans="1:8" ht="15.75" customHeight="1">
      <c r="A789" s="1"/>
      <c r="B789" s="1"/>
      <c r="C789" s="1"/>
      <c r="D789" s="1"/>
      <c r="E789" s="1"/>
      <c r="F789" s="1"/>
      <c r="G789" s="1"/>
      <c r="H789" s="1"/>
    </row>
    <row r="790" spans="1:8" ht="15.75" customHeight="1">
      <c r="A790" s="1"/>
      <c r="B790" s="1"/>
      <c r="C790" s="1"/>
      <c r="D790" s="1"/>
      <c r="E790" s="1"/>
      <c r="F790" s="1"/>
      <c r="G790" s="1"/>
      <c r="H790" s="1"/>
    </row>
    <row r="791" spans="1:8" ht="15.75" customHeight="1">
      <c r="A791" s="1"/>
      <c r="B791" s="1"/>
      <c r="C791" s="1"/>
      <c r="D791" s="1"/>
      <c r="E791" s="1"/>
      <c r="F791" s="1"/>
      <c r="G791" s="1"/>
      <c r="H791" s="1"/>
    </row>
    <row r="792" spans="1:8" ht="15.75" customHeight="1">
      <c r="A792" s="1"/>
      <c r="B792" s="1"/>
      <c r="C792" s="1"/>
      <c r="D792" s="1"/>
      <c r="E792" s="1"/>
      <c r="F792" s="1"/>
      <c r="G792" s="1"/>
      <c r="H792" s="1"/>
    </row>
    <row r="793" spans="1:8" ht="15.75" customHeight="1">
      <c r="A793" s="1"/>
      <c r="B793" s="1"/>
      <c r="C793" s="1"/>
      <c r="D793" s="1"/>
      <c r="E793" s="1"/>
      <c r="F793" s="1"/>
      <c r="G793" s="1"/>
      <c r="H793" s="1"/>
    </row>
    <row r="794" spans="1:8" ht="15.75" customHeight="1">
      <c r="A794" s="1"/>
      <c r="B794" s="1"/>
      <c r="C794" s="1"/>
      <c r="D794" s="1"/>
      <c r="E794" s="1"/>
      <c r="F794" s="1"/>
      <c r="G794" s="1"/>
      <c r="H794" s="1"/>
    </row>
    <row r="795" spans="1:8" ht="15.75" customHeight="1">
      <c r="A795" s="1"/>
      <c r="B795" s="1"/>
      <c r="C795" s="1"/>
      <c r="D795" s="1"/>
      <c r="E795" s="1"/>
      <c r="F795" s="1"/>
      <c r="G795" s="1"/>
      <c r="H795" s="1"/>
    </row>
    <row r="796" spans="1:8" ht="15.75" customHeight="1">
      <c r="A796" s="1"/>
      <c r="B796" s="1"/>
      <c r="C796" s="1"/>
      <c r="D796" s="1"/>
      <c r="E796" s="1"/>
      <c r="F796" s="1"/>
      <c r="G796" s="1"/>
      <c r="H796" s="1"/>
    </row>
    <row r="797" spans="1:8" ht="15.75" customHeight="1">
      <c r="A797" s="1"/>
      <c r="B797" s="1"/>
      <c r="C797" s="1"/>
      <c r="D797" s="1"/>
      <c r="E797" s="1"/>
      <c r="F797" s="1"/>
      <c r="G797" s="1"/>
      <c r="H797" s="1"/>
    </row>
    <row r="798" spans="1:8" ht="15.75" customHeight="1">
      <c r="A798" s="1"/>
      <c r="B798" s="1"/>
      <c r="C798" s="1"/>
      <c r="D798" s="1"/>
      <c r="E798" s="1"/>
      <c r="F798" s="1"/>
      <c r="G798" s="1"/>
      <c r="H798" s="1"/>
    </row>
    <row r="799" spans="1:8" ht="15.75" customHeight="1">
      <c r="A799" s="1"/>
      <c r="B799" s="1"/>
      <c r="C799" s="1"/>
      <c r="D799" s="1"/>
      <c r="E799" s="1"/>
      <c r="F799" s="1"/>
      <c r="G799" s="1"/>
      <c r="H799" s="1"/>
    </row>
    <row r="800" spans="1:8" ht="15.75" customHeight="1">
      <c r="A800" s="1"/>
      <c r="B800" s="1"/>
      <c r="C800" s="1"/>
      <c r="D800" s="1"/>
      <c r="E800" s="1"/>
      <c r="F800" s="1"/>
      <c r="G800" s="1"/>
      <c r="H800" s="1"/>
    </row>
    <row r="801" spans="1:8" ht="15.75" customHeight="1">
      <c r="A801" s="1"/>
      <c r="B801" s="1"/>
      <c r="C801" s="1"/>
      <c r="D801" s="1"/>
      <c r="E801" s="1"/>
      <c r="F801" s="1"/>
      <c r="G801" s="1"/>
      <c r="H801" s="1"/>
    </row>
    <row r="802" spans="1:8" ht="15.75" customHeight="1">
      <c r="A802" s="1"/>
      <c r="B802" s="1"/>
      <c r="C802" s="1"/>
      <c r="D802" s="1"/>
      <c r="E802" s="1"/>
      <c r="F802" s="1"/>
      <c r="G802" s="1"/>
      <c r="H802" s="1"/>
    </row>
    <row r="803" spans="1:8" ht="15.75" customHeight="1">
      <c r="A803" s="1"/>
      <c r="B803" s="1"/>
      <c r="C803" s="1"/>
      <c r="D803" s="1"/>
      <c r="E803" s="1"/>
      <c r="F803" s="1"/>
      <c r="G803" s="1"/>
      <c r="H803" s="1"/>
    </row>
    <row r="804" spans="1:8" ht="15.75" customHeight="1">
      <c r="A804" s="1"/>
      <c r="B804" s="1"/>
      <c r="C804" s="1"/>
      <c r="D804" s="1"/>
      <c r="E804" s="1"/>
      <c r="F804" s="1"/>
      <c r="G804" s="1"/>
      <c r="H804" s="1"/>
    </row>
    <row r="805" spans="1:8" ht="15.75" customHeight="1">
      <c r="A805" s="1"/>
      <c r="B805" s="1"/>
      <c r="C805" s="1"/>
      <c r="D805" s="1"/>
      <c r="E805" s="1"/>
      <c r="F805" s="1"/>
      <c r="G805" s="1"/>
      <c r="H805" s="1"/>
    </row>
    <row r="806" spans="1:8" ht="15.75" customHeight="1">
      <c r="A806" s="1"/>
      <c r="B806" s="1"/>
      <c r="C806" s="1"/>
      <c r="D806" s="1"/>
      <c r="E806" s="1"/>
      <c r="F806" s="1"/>
      <c r="G806" s="1"/>
      <c r="H806" s="1"/>
    </row>
    <row r="807" spans="1:8" ht="15.75" customHeight="1">
      <c r="A807" s="1"/>
      <c r="B807" s="1"/>
      <c r="C807" s="1"/>
      <c r="D807" s="1"/>
      <c r="E807" s="1"/>
      <c r="F807" s="1"/>
      <c r="G807" s="1"/>
      <c r="H807" s="1"/>
    </row>
    <row r="808" spans="1:8" ht="15.75" customHeight="1">
      <c r="A808" s="1"/>
      <c r="B808" s="1"/>
      <c r="C808" s="1"/>
      <c r="D808" s="1"/>
      <c r="E808" s="1"/>
      <c r="F808" s="1"/>
      <c r="G808" s="1"/>
      <c r="H808" s="1"/>
    </row>
    <row r="809" spans="1:8" ht="15.75" customHeight="1">
      <c r="A809" s="1"/>
      <c r="B809" s="1"/>
      <c r="C809" s="1"/>
      <c r="D809" s="1"/>
      <c r="E809" s="1"/>
      <c r="F809" s="1"/>
      <c r="G809" s="1"/>
      <c r="H809" s="1"/>
    </row>
    <row r="810" spans="1:8" ht="15.75" customHeight="1">
      <c r="A810" s="1"/>
      <c r="B810" s="1"/>
      <c r="C810" s="1"/>
      <c r="D810" s="1"/>
      <c r="E810" s="1"/>
      <c r="F810" s="1"/>
      <c r="G810" s="1"/>
      <c r="H810" s="1"/>
    </row>
    <row r="811" spans="1:8" ht="15.75" customHeight="1">
      <c r="A811" s="1"/>
      <c r="B811" s="1"/>
      <c r="C811" s="1"/>
      <c r="D811" s="1"/>
      <c r="E811" s="1"/>
      <c r="F811" s="1"/>
      <c r="G811" s="1"/>
      <c r="H811" s="1"/>
    </row>
    <row r="812" spans="1:8" ht="15.75" customHeight="1">
      <c r="A812" s="1"/>
      <c r="B812" s="1"/>
      <c r="C812" s="1"/>
      <c r="D812" s="1"/>
      <c r="E812" s="1"/>
      <c r="F812" s="1"/>
      <c r="G812" s="1"/>
      <c r="H812" s="1"/>
    </row>
    <row r="813" spans="1:8" ht="15.75" customHeight="1">
      <c r="A813" s="1"/>
      <c r="B813" s="1"/>
      <c r="C813" s="1"/>
      <c r="D813" s="1"/>
      <c r="E813" s="1"/>
      <c r="F813" s="1"/>
      <c r="G813" s="1"/>
      <c r="H813" s="1"/>
    </row>
    <row r="814" spans="1:8" ht="15.75" customHeight="1">
      <c r="A814" s="1"/>
      <c r="B814" s="1"/>
      <c r="C814" s="1"/>
      <c r="D814" s="1"/>
      <c r="E814" s="1"/>
      <c r="F814" s="1"/>
      <c r="G814" s="1"/>
      <c r="H814" s="1"/>
    </row>
    <row r="815" spans="1:8" ht="15.75" customHeight="1">
      <c r="A815" s="1"/>
      <c r="B815" s="1"/>
      <c r="C815" s="1"/>
      <c r="D815" s="1"/>
      <c r="E815" s="1"/>
      <c r="F815" s="1"/>
      <c r="G815" s="1"/>
      <c r="H815" s="1"/>
    </row>
    <row r="816" spans="1:8" ht="15.75" customHeight="1">
      <c r="A816" s="1"/>
      <c r="B816" s="1"/>
      <c r="C816" s="1"/>
      <c r="D816" s="1"/>
      <c r="E816" s="1"/>
      <c r="F816" s="1"/>
      <c r="G816" s="1"/>
      <c r="H816" s="1"/>
    </row>
    <row r="817" spans="1:8" ht="15.75" customHeight="1">
      <c r="A817" s="1"/>
      <c r="B817" s="1"/>
      <c r="C817" s="1"/>
      <c r="D817" s="1"/>
      <c r="E817" s="1"/>
      <c r="F817" s="1"/>
      <c r="G817" s="1"/>
      <c r="H817" s="1"/>
    </row>
    <row r="818" spans="1:8" ht="15.75" customHeight="1">
      <c r="A818" s="1"/>
      <c r="B818" s="1"/>
      <c r="C818" s="1"/>
      <c r="D818" s="1"/>
      <c r="E818" s="1"/>
      <c r="F818" s="1"/>
      <c r="G818" s="1"/>
      <c r="H818" s="1"/>
    </row>
    <row r="819" spans="1:8" ht="15.75" customHeight="1">
      <c r="A819" s="1"/>
      <c r="B819" s="1"/>
      <c r="C819" s="1"/>
      <c r="D819" s="1"/>
      <c r="E819" s="1"/>
      <c r="F819" s="1"/>
      <c r="G819" s="1"/>
      <c r="H819" s="1"/>
    </row>
    <row r="820" spans="1:8" ht="15.75" customHeight="1">
      <c r="A820" s="1"/>
      <c r="B820" s="1"/>
      <c r="C820" s="1"/>
      <c r="D820" s="1"/>
      <c r="E820" s="1"/>
      <c r="F820" s="1"/>
      <c r="G820" s="1"/>
      <c r="H820" s="1"/>
    </row>
    <row r="821" spans="1:8" ht="15.75" customHeight="1">
      <c r="A821" s="1"/>
      <c r="B821" s="1"/>
      <c r="C821" s="1"/>
      <c r="D821" s="1"/>
      <c r="E821" s="1"/>
      <c r="F821" s="1"/>
      <c r="G821" s="1"/>
      <c r="H821" s="1"/>
    </row>
    <row r="822" spans="1:8" ht="15.75" customHeight="1">
      <c r="A822" s="1"/>
      <c r="B822" s="1"/>
      <c r="C822" s="1"/>
      <c r="D822" s="1"/>
      <c r="E822" s="1"/>
      <c r="F822" s="1"/>
      <c r="G822" s="1"/>
      <c r="H822" s="1"/>
    </row>
    <row r="823" spans="1:8" ht="15.75" customHeight="1">
      <c r="A823" s="1"/>
      <c r="B823" s="1"/>
      <c r="C823" s="1"/>
      <c r="D823" s="1"/>
      <c r="E823" s="1"/>
      <c r="F823" s="1"/>
      <c r="G823" s="1"/>
      <c r="H823" s="1"/>
    </row>
    <row r="824" spans="1:8" ht="15.75" customHeight="1">
      <c r="A824" s="1"/>
      <c r="B824" s="1"/>
      <c r="C824" s="1"/>
      <c r="D824" s="1"/>
      <c r="E824" s="1"/>
      <c r="F824" s="1"/>
      <c r="G824" s="1"/>
      <c r="H824" s="1"/>
    </row>
    <row r="825" spans="1:8" ht="15.75" customHeight="1">
      <c r="A825" s="1"/>
      <c r="B825" s="1"/>
      <c r="C825" s="1"/>
      <c r="D825" s="1"/>
      <c r="E825" s="1"/>
      <c r="F825" s="1"/>
      <c r="G825" s="1"/>
      <c r="H825" s="1"/>
    </row>
    <row r="826" spans="1:8" ht="15.75" customHeight="1">
      <c r="A826" s="1"/>
      <c r="B826" s="1"/>
      <c r="C826" s="1"/>
      <c r="D826" s="1"/>
      <c r="E826" s="1"/>
      <c r="F826" s="1"/>
      <c r="G826" s="1"/>
      <c r="H826" s="1"/>
    </row>
    <row r="827" spans="1:8" ht="15.75" customHeight="1">
      <c r="A827" s="1"/>
      <c r="B827" s="1"/>
      <c r="C827" s="1"/>
      <c r="D827" s="1"/>
      <c r="E827" s="1"/>
      <c r="F827" s="1"/>
      <c r="G827" s="1"/>
      <c r="H827" s="1"/>
    </row>
    <row r="828" spans="1:8" ht="15.75" customHeight="1">
      <c r="A828" s="1"/>
      <c r="B828" s="1"/>
      <c r="C828" s="1"/>
      <c r="D828" s="1"/>
      <c r="E828" s="1"/>
      <c r="F828" s="1"/>
      <c r="G828" s="1"/>
      <c r="H828" s="1"/>
    </row>
    <row r="829" spans="1:8" ht="15.75" customHeight="1">
      <c r="A829" s="1"/>
      <c r="B829" s="1"/>
      <c r="C829" s="1"/>
      <c r="D829" s="1"/>
      <c r="E829" s="1"/>
      <c r="F829" s="1"/>
      <c r="G829" s="1"/>
      <c r="H829" s="1"/>
    </row>
    <row r="830" spans="1:8" ht="15.75" customHeight="1">
      <c r="A830" s="1"/>
      <c r="B830" s="1"/>
      <c r="C830" s="1"/>
      <c r="D830" s="1"/>
      <c r="E830" s="1"/>
      <c r="F830" s="1"/>
      <c r="G830" s="1"/>
      <c r="H830" s="1"/>
    </row>
    <row r="831" spans="1:8" ht="15.75" customHeight="1">
      <c r="A831" s="1"/>
      <c r="B831" s="1"/>
      <c r="C831" s="1"/>
      <c r="D831" s="1"/>
      <c r="E831" s="1"/>
      <c r="F831" s="1"/>
      <c r="G831" s="1"/>
      <c r="H831" s="1"/>
    </row>
    <row r="832" spans="1:8" ht="15.75" customHeight="1">
      <c r="A832" s="1"/>
      <c r="B832" s="1"/>
      <c r="C832" s="1"/>
      <c r="D832" s="1"/>
      <c r="E832" s="1"/>
      <c r="F832" s="1"/>
      <c r="G832" s="1"/>
      <c r="H832" s="1"/>
    </row>
    <row r="833" spans="1:8" ht="15.75" customHeight="1">
      <c r="A833" s="1"/>
      <c r="B833" s="1"/>
      <c r="C833" s="1"/>
      <c r="D833" s="1"/>
      <c r="E833" s="1"/>
      <c r="F833" s="1"/>
      <c r="G833" s="1"/>
      <c r="H833" s="1"/>
    </row>
    <row r="834" spans="1:8" ht="15.75" customHeight="1">
      <c r="A834" s="1"/>
      <c r="B834" s="1"/>
      <c r="C834" s="1"/>
      <c r="D834" s="1"/>
      <c r="E834" s="1"/>
      <c r="F834" s="1"/>
      <c r="G834" s="1"/>
      <c r="H834" s="1"/>
    </row>
    <row r="835" spans="1:8" ht="15.75" customHeight="1">
      <c r="A835" s="1"/>
      <c r="B835" s="1"/>
      <c r="C835" s="1"/>
      <c r="D835" s="1"/>
      <c r="E835" s="1"/>
      <c r="F835" s="1"/>
      <c r="G835" s="1"/>
      <c r="H835" s="1"/>
    </row>
    <row r="836" spans="1:8" ht="15.75" customHeight="1">
      <c r="A836" s="1"/>
      <c r="B836" s="1"/>
      <c r="C836" s="1"/>
      <c r="D836" s="1"/>
      <c r="E836" s="1"/>
      <c r="F836" s="1"/>
      <c r="G836" s="1"/>
      <c r="H836" s="1"/>
    </row>
    <row r="837" spans="1:8" ht="15.75" customHeight="1">
      <c r="A837" s="1"/>
      <c r="B837" s="1"/>
      <c r="C837" s="1"/>
      <c r="D837" s="1"/>
      <c r="E837" s="1"/>
      <c r="F837" s="1"/>
      <c r="G837" s="1"/>
      <c r="H837" s="1"/>
    </row>
    <row r="838" spans="1:8" ht="15.75" customHeight="1">
      <c r="A838" s="1"/>
      <c r="B838" s="1"/>
      <c r="C838" s="1"/>
      <c r="D838" s="1"/>
      <c r="E838" s="1"/>
      <c r="F838" s="1"/>
      <c r="G838" s="1"/>
      <c r="H838" s="1"/>
    </row>
    <row r="839" spans="1:8" ht="15.75" customHeight="1">
      <c r="A839" s="1"/>
      <c r="B839" s="1"/>
      <c r="C839" s="1"/>
      <c r="D839" s="1"/>
      <c r="E839" s="1"/>
      <c r="F839" s="1"/>
      <c r="G839" s="1"/>
      <c r="H839" s="1"/>
    </row>
    <row r="840" spans="1:8" ht="15.75" customHeight="1">
      <c r="A840" s="1"/>
      <c r="B840" s="1"/>
      <c r="C840" s="1"/>
      <c r="D840" s="1"/>
      <c r="E840" s="1"/>
      <c r="F840" s="1"/>
      <c r="G840" s="1"/>
      <c r="H840" s="1"/>
    </row>
    <row r="841" spans="1:8" ht="15.75" customHeight="1">
      <c r="A841" s="1"/>
      <c r="B841" s="1"/>
      <c r="C841" s="1"/>
      <c r="D841" s="1"/>
      <c r="E841" s="1"/>
      <c r="F841" s="1"/>
      <c r="G841" s="1"/>
      <c r="H841" s="1"/>
    </row>
    <row r="842" spans="1:8" ht="15.75" customHeight="1">
      <c r="A842" s="1"/>
      <c r="B842" s="1"/>
      <c r="C842" s="1"/>
      <c r="D842" s="1"/>
      <c r="E842" s="1"/>
      <c r="F842" s="1"/>
      <c r="G842" s="1"/>
      <c r="H842" s="1"/>
    </row>
    <row r="843" spans="1:8" ht="15.75" customHeight="1">
      <c r="A843" s="1"/>
      <c r="B843" s="1"/>
      <c r="C843" s="1"/>
      <c r="D843" s="1"/>
      <c r="E843" s="1"/>
      <c r="F843" s="1"/>
      <c r="G843" s="1"/>
      <c r="H843" s="1"/>
    </row>
    <row r="844" spans="1:8" ht="15.75" customHeight="1">
      <c r="A844" s="1"/>
      <c r="B844" s="1"/>
      <c r="C844" s="1"/>
      <c r="D844" s="1"/>
      <c r="E844" s="1"/>
      <c r="F844" s="1"/>
      <c r="G844" s="1"/>
      <c r="H844" s="1"/>
    </row>
    <row r="845" spans="1:8" ht="15.75" customHeight="1">
      <c r="A845" s="1"/>
      <c r="B845" s="1"/>
      <c r="C845" s="1"/>
      <c r="D845" s="1"/>
      <c r="E845" s="1"/>
      <c r="F845" s="1"/>
      <c r="G845" s="1"/>
      <c r="H845" s="1"/>
    </row>
    <row r="846" spans="1:8" ht="15.75" customHeight="1">
      <c r="A846" s="1"/>
      <c r="B846" s="1"/>
      <c r="C846" s="1"/>
      <c r="D846" s="1"/>
      <c r="E846" s="1"/>
      <c r="F846" s="1"/>
      <c r="G846" s="1"/>
      <c r="H846" s="1"/>
    </row>
    <row r="847" spans="1:8" ht="15.75" customHeight="1">
      <c r="A847" s="1"/>
      <c r="B847" s="1"/>
      <c r="C847" s="1"/>
      <c r="D847" s="1"/>
      <c r="E847" s="1"/>
      <c r="F847" s="1"/>
      <c r="G847" s="1"/>
      <c r="H847" s="1"/>
    </row>
    <row r="848" spans="1:8" ht="15.75" customHeight="1">
      <c r="A848" s="1"/>
      <c r="B848" s="1"/>
      <c r="C848" s="1"/>
      <c r="D848" s="1"/>
      <c r="E848" s="1"/>
      <c r="F848" s="1"/>
      <c r="G848" s="1"/>
      <c r="H848" s="1"/>
    </row>
    <row r="849" spans="1:8" ht="15.75" customHeight="1">
      <c r="A849" s="1"/>
      <c r="B849" s="1"/>
      <c r="C849" s="1"/>
      <c r="D849" s="1"/>
      <c r="E849" s="1"/>
      <c r="F849" s="1"/>
      <c r="G849" s="1"/>
      <c r="H849" s="1"/>
    </row>
    <row r="850" spans="1:8" ht="15.75" customHeight="1">
      <c r="A850" s="1"/>
      <c r="B850" s="1"/>
      <c r="C850" s="1"/>
      <c r="D850" s="1"/>
      <c r="E850" s="1"/>
      <c r="F850" s="1"/>
      <c r="G850" s="1"/>
      <c r="H850" s="1"/>
    </row>
    <row r="851" spans="1:8" ht="15.75" customHeight="1">
      <c r="A851" s="1"/>
      <c r="B851" s="1"/>
      <c r="C851" s="1"/>
      <c r="D851" s="1"/>
      <c r="E851" s="1"/>
      <c r="F851" s="1"/>
      <c r="G851" s="1"/>
      <c r="H851" s="1"/>
    </row>
    <row r="852" spans="1:8" ht="15.75" customHeight="1">
      <c r="A852" s="1"/>
      <c r="B852" s="1"/>
      <c r="C852" s="1"/>
      <c r="D852" s="1"/>
      <c r="E852" s="1"/>
      <c r="F852" s="1"/>
      <c r="G852" s="1"/>
      <c r="H852" s="1"/>
    </row>
    <row r="853" spans="1:8" ht="15.75" customHeight="1">
      <c r="A853" s="1"/>
      <c r="B853" s="1"/>
      <c r="C853" s="1"/>
      <c r="D853" s="1"/>
      <c r="E853" s="1"/>
      <c r="F853" s="1"/>
      <c r="G853" s="1"/>
      <c r="H853" s="1"/>
    </row>
    <row r="854" spans="1:8" ht="15.75" customHeight="1">
      <c r="A854" s="1"/>
      <c r="B854" s="1"/>
      <c r="C854" s="1"/>
      <c r="D854" s="1"/>
      <c r="E854" s="1"/>
      <c r="F854" s="1"/>
      <c r="G854" s="1"/>
      <c r="H854" s="1"/>
    </row>
    <row r="855" spans="1:8" ht="15.75" customHeight="1">
      <c r="A855" s="1"/>
      <c r="B855" s="1"/>
      <c r="C855" s="1"/>
      <c r="D855" s="1"/>
      <c r="E855" s="1"/>
      <c r="F855" s="1"/>
      <c r="G855" s="1"/>
      <c r="H855" s="1"/>
    </row>
    <row r="856" spans="1:8" ht="15.75" customHeight="1">
      <c r="A856" s="1"/>
      <c r="B856" s="1"/>
      <c r="C856" s="1"/>
      <c r="D856" s="1"/>
      <c r="E856" s="1"/>
      <c r="F856" s="1"/>
      <c r="G856" s="1"/>
      <c r="H856" s="1"/>
    </row>
    <row r="857" spans="1:8" ht="15.75" customHeight="1">
      <c r="A857" s="1"/>
      <c r="B857" s="1"/>
      <c r="C857" s="1"/>
      <c r="D857" s="1"/>
      <c r="E857" s="1"/>
      <c r="F857" s="1"/>
      <c r="G857" s="1"/>
      <c r="H857" s="1"/>
    </row>
    <row r="858" spans="1:8" ht="15.75" customHeight="1">
      <c r="A858" s="1"/>
      <c r="B858" s="1"/>
      <c r="C858" s="1"/>
      <c r="D858" s="1"/>
      <c r="E858" s="1"/>
      <c r="F858" s="1"/>
      <c r="G858" s="1"/>
      <c r="H858" s="1"/>
    </row>
    <row r="859" spans="1:8" ht="15.75" customHeight="1">
      <c r="A859" s="1"/>
      <c r="B859" s="1"/>
      <c r="C859" s="1"/>
      <c r="D859" s="1"/>
      <c r="E859" s="1"/>
      <c r="F859" s="1"/>
      <c r="G859" s="1"/>
      <c r="H859" s="1"/>
    </row>
    <row r="860" spans="1:8" ht="15.75" customHeight="1">
      <c r="A860" s="1"/>
      <c r="B860" s="1"/>
      <c r="C860" s="1"/>
      <c r="D860" s="1"/>
      <c r="E860" s="1"/>
      <c r="F860" s="1"/>
      <c r="G860" s="1"/>
      <c r="H860" s="1"/>
    </row>
    <row r="861" spans="1:8" ht="15.75" customHeight="1">
      <c r="A861" s="1"/>
      <c r="B861" s="1"/>
      <c r="C861" s="1"/>
      <c r="D861" s="1"/>
      <c r="E861" s="1"/>
      <c r="F861" s="1"/>
      <c r="G861" s="1"/>
      <c r="H861" s="1"/>
    </row>
    <row r="862" spans="1:8" ht="15.75" customHeight="1">
      <c r="A862" s="1"/>
      <c r="B862" s="1"/>
      <c r="C862" s="1"/>
      <c r="D862" s="1"/>
      <c r="E862" s="1"/>
      <c r="F862" s="1"/>
      <c r="G862" s="1"/>
      <c r="H862" s="1"/>
    </row>
    <row r="863" spans="1:8" ht="15.75" customHeight="1">
      <c r="A863" s="1"/>
      <c r="B863" s="1"/>
      <c r="C863" s="1"/>
      <c r="D863" s="1"/>
      <c r="E863" s="1"/>
      <c r="F863" s="1"/>
      <c r="G863" s="1"/>
      <c r="H863" s="1"/>
    </row>
    <row r="864" spans="1:8" ht="15.75" customHeight="1">
      <c r="A864" s="1"/>
      <c r="B864" s="1"/>
      <c r="C864" s="1"/>
      <c r="D864" s="1"/>
      <c r="E864" s="1"/>
      <c r="F864" s="1"/>
      <c r="G864" s="1"/>
      <c r="H864" s="1"/>
    </row>
    <row r="865" spans="1:8" ht="15.75" customHeight="1">
      <c r="A865" s="1"/>
      <c r="B865" s="1"/>
      <c r="C865" s="1"/>
      <c r="D865" s="1"/>
      <c r="E865" s="1"/>
      <c r="F865" s="1"/>
      <c r="G865" s="1"/>
      <c r="H865" s="1"/>
    </row>
    <row r="866" spans="1:8" ht="15.75" customHeight="1">
      <c r="A866" s="1"/>
      <c r="B866" s="1"/>
      <c r="C866" s="1"/>
      <c r="D866" s="1"/>
      <c r="E866" s="1"/>
      <c r="F866" s="1"/>
      <c r="G866" s="1"/>
      <c r="H866" s="1"/>
    </row>
    <row r="867" spans="1:8" ht="15.75" customHeight="1">
      <c r="A867" s="1"/>
      <c r="B867" s="1"/>
      <c r="C867" s="1"/>
      <c r="D867" s="1"/>
      <c r="E867" s="1"/>
      <c r="F867" s="1"/>
      <c r="G867" s="1"/>
      <c r="H867" s="1"/>
    </row>
    <row r="868" spans="1:8" ht="15.75" customHeight="1">
      <c r="A868" s="1"/>
      <c r="B868" s="1"/>
      <c r="C868" s="1"/>
      <c r="D868" s="1"/>
      <c r="E868" s="1"/>
      <c r="F868" s="1"/>
      <c r="G868" s="1"/>
      <c r="H868" s="1"/>
    </row>
    <row r="869" spans="1:8" ht="15.75" customHeight="1">
      <c r="A869" s="1"/>
      <c r="B869" s="1"/>
      <c r="C869" s="1"/>
      <c r="D869" s="1"/>
      <c r="E869" s="1"/>
      <c r="F869" s="1"/>
      <c r="G869" s="1"/>
      <c r="H869" s="1"/>
    </row>
    <row r="870" spans="1:8" ht="15.75" customHeight="1">
      <c r="A870" s="1"/>
      <c r="B870" s="1"/>
      <c r="C870" s="1"/>
      <c r="D870" s="1"/>
      <c r="E870" s="1"/>
      <c r="F870" s="1"/>
      <c r="G870" s="1"/>
      <c r="H870" s="1"/>
    </row>
    <row r="871" spans="1:8" ht="15.75" customHeight="1">
      <c r="A871" s="1"/>
      <c r="B871" s="1"/>
      <c r="C871" s="1"/>
      <c r="D871" s="1"/>
      <c r="E871" s="1"/>
      <c r="F871" s="1"/>
      <c r="G871" s="1"/>
      <c r="H871" s="1"/>
    </row>
    <row r="872" spans="1:8" ht="15.75" customHeight="1">
      <c r="A872" s="1"/>
      <c r="B872" s="1"/>
      <c r="C872" s="1"/>
      <c r="D872" s="1"/>
      <c r="E872" s="1"/>
      <c r="F872" s="1"/>
      <c r="G872" s="1"/>
      <c r="H872" s="1"/>
    </row>
    <row r="873" spans="1:8" ht="15.75" customHeight="1">
      <c r="A873" s="1"/>
      <c r="B873" s="1"/>
      <c r="C873" s="1"/>
      <c r="D873" s="1"/>
      <c r="E873" s="1"/>
      <c r="F873" s="1"/>
      <c r="G873" s="1"/>
      <c r="H873" s="1"/>
    </row>
    <row r="874" spans="1:8" ht="15.75" customHeight="1">
      <c r="A874" s="1"/>
      <c r="B874" s="1"/>
      <c r="C874" s="1"/>
      <c r="D874" s="1"/>
      <c r="E874" s="1"/>
      <c r="F874" s="1"/>
      <c r="G874" s="1"/>
      <c r="H874" s="1"/>
    </row>
    <row r="875" spans="1:8" ht="15.75" customHeight="1">
      <c r="A875" s="1"/>
      <c r="B875" s="1"/>
      <c r="C875" s="1"/>
      <c r="D875" s="1"/>
      <c r="E875" s="1"/>
      <c r="F875" s="1"/>
      <c r="G875" s="1"/>
      <c r="H875" s="1"/>
    </row>
    <row r="876" spans="1:8" ht="15.75" customHeight="1">
      <c r="A876" s="1"/>
      <c r="B876" s="1"/>
      <c r="C876" s="1"/>
      <c r="D876" s="1"/>
      <c r="E876" s="1"/>
      <c r="F876" s="1"/>
      <c r="G876" s="1"/>
      <c r="H876" s="1"/>
    </row>
    <row r="877" spans="1:8" ht="15.75" customHeight="1">
      <c r="A877" s="1"/>
      <c r="B877" s="1"/>
      <c r="C877" s="1"/>
      <c r="D877" s="1"/>
      <c r="E877" s="1"/>
      <c r="F877" s="1"/>
      <c r="G877" s="1"/>
      <c r="H877" s="1"/>
    </row>
    <row r="878" spans="1:8" ht="15.75" customHeight="1">
      <c r="A878" s="1"/>
      <c r="B878" s="1"/>
      <c r="C878" s="1"/>
      <c r="D878" s="1"/>
      <c r="E878" s="1"/>
      <c r="F878" s="1"/>
      <c r="G878" s="1"/>
      <c r="H878" s="1"/>
    </row>
    <row r="879" spans="1:8" ht="15.75" customHeight="1">
      <c r="A879" s="1"/>
      <c r="B879" s="1"/>
      <c r="C879" s="1"/>
      <c r="D879" s="1"/>
      <c r="E879" s="1"/>
      <c r="F879" s="1"/>
      <c r="G879" s="1"/>
      <c r="H879" s="1"/>
    </row>
    <row r="880" spans="1:8" ht="15.75" customHeight="1">
      <c r="A880" s="1"/>
      <c r="B880" s="1"/>
      <c r="C880" s="1"/>
      <c r="D880" s="1"/>
      <c r="E880" s="1"/>
      <c r="F880" s="1"/>
      <c r="G880" s="1"/>
      <c r="H880" s="1"/>
    </row>
    <row r="881" spans="1:8" ht="15.75" customHeight="1">
      <c r="A881" s="1"/>
      <c r="B881" s="1"/>
      <c r="C881" s="1"/>
      <c r="D881" s="1"/>
      <c r="E881" s="1"/>
      <c r="F881" s="1"/>
      <c r="G881" s="1"/>
      <c r="H881" s="1"/>
    </row>
    <row r="882" spans="1:8" ht="15.75" customHeight="1">
      <c r="A882" s="1"/>
      <c r="B882" s="1"/>
      <c r="C882" s="1"/>
      <c r="D882" s="1"/>
      <c r="E882" s="1"/>
      <c r="F882" s="1"/>
      <c r="G882" s="1"/>
      <c r="H882" s="1"/>
    </row>
    <row r="883" spans="1:8" ht="15.75" customHeight="1">
      <c r="A883" s="1"/>
      <c r="B883" s="1"/>
      <c r="C883" s="1"/>
      <c r="D883" s="1"/>
      <c r="E883" s="1"/>
      <c r="F883" s="1"/>
      <c r="G883" s="1"/>
      <c r="H883" s="1"/>
    </row>
    <row r="884" spans="1:8" ht="15.75" customHeight="1">
      <c r="A884" s="1"/>
      <c r="B884" s="1"/>
      <c r="C884" s="1"/>
      <c r="D884" s="1"/>
      <c r="E884" s="1"/>
      <c r="F884" s="1"/>
      <c r="G884" s="1"/>
      <c r="H884" s="1"/>
    </row>
    <row r="885" spans="1:8" ht="15.75" customHeight="1">
      <c r="A885" s="1"/>
      <c r="B885" s="1"/>
      <c r="C885" s="1"/>
      <c r="D885" s="1"/>
      <c r="E885" s="1"/>
      <c r="F885" s="1"/>
      <c r="G885" s="1"/>
      <c r="H885" s="1"/>
    </row>
    <row r="886" spans="1:8" ht="15.75" customHeight="1">
      <c r="A886" s="1"/>
      <c r="B886" s="1"/>
      <c r="C886" s="1"/>
      <c r="D886" s="1"/>
      <c r="E886" s="1"/>
      <c r="F886" s="1"/>
      <c r="G886" s="1"/>
      <c r="H886" s="1"/>
    </row>
    <row r="887" spans="1:8" ht="15.75" customHeight="1">
      <c r="A887" s="1"/>
      <c r="B887" s="1"/>
      <c r="C887" s="1"/>
      <c r="D887" s="1"/>
      <c r="E887" s="1"/>
      <c r="F887" s="1"/>
      <c r="G887" s="1"/>
      <c r="H887" s="1"/>
    </row>
    <row r="888" spans="1:8" ht="15.75" customHeight="1">
      <c r="A888" s="1"/>
      <c r="B888" s="1"/>
      <c r="C888" s="1"/>
      <c r="D888" s="1"/>
      <c r="E888" s="1"/>
      <c r="F888" s="1"/>
      <c r="G888" s="1"/>
      <c r="H888" s="1"/>
    </row>
    <row r="889" spans="1:8" ht="15.75" customHeight="1">
      <c r="A889" s="1"/>
      <c r="B889" s="1"/>
      <c r="C889" s="1"/>
      <c r="D889" s="1"/>
      <c r="E889" s="1"/>
      <c r="F889" s="1"/>
      <c r="G889" s="1"/>
      <c r="H889" s="1"/>
    </row>
    <row r="890" spans="1:8" ht="15.75" customHeight="1">
      <c r="A890" s="1"/>
      <c r="B890" s="1"/>
      <c r="C890" s="1"/>
      <c r="D890" s="1"/>
      <c r="E890" s="1"/>
      <c r="F890" s="1"/>
      <c r="G890" s="1"/>
      <c r="H890" s="1"/>
    </row>
    <row r="891" spans="1:8" ht="15.75" customHeight="1">
      <c r="A891" s="1"/>
      <c r="B891" s="1"/>
      <c r="C891" s="1"/>
      <c r="D891" s="1"/>
      <c r="E891" s="1"/>
      <c r="F891" s="1"/>
      <c r="G891" s="1"/>
      <c r="H891" s="1"/>
    </row>
    <row r="892" spans="1:8" ht="15.75" customHeight="1">
      <c r="A892" s="1"/>
      <c r="B892" s="1"/>
      <c r="C892" s="1"/>
      <c r="D892" s="1"/>
      <c r="E892" s="1"/>
      <c r="F892" s="1"/>
      <c r="G892" s="1"/>
      <c r="H892" s="1"/>
    </row>
    <row r="893" spans="1:8" ht="15.75" customHeight="1">
      <c r="A893" s="1"/>
      <c r="B893" s="1"/>
      <c r="C893" s="1"/>
      <c r="D893" s="1"/>
      <c r="E893" s="1"/>
      <c r="F893" s="1"/>
      <c r="G893" s="1"/>
      <c r="H893" s="1"/>
    </row>
    <row r="894" spans="1:8" ht="15.75" customHeight="1">
      <c r="A894" s="1"/>
      <c r="B894" s="1"/>
      <c r="C894" s="1"/>
      <c r="D894" s="1"/>
      <c r="E894" s="1"/>
      <c r="F894" s="1"/>
      <c r="G894" s="1"/>
      <c r="H894" s="1"/>
    </row>
    <row r="895" spans="1:8" ht="15.75" customHeight="1">
      <c r="A895" s="1"/>
      <c r="B895" s="1"/>
      <c r="C895" s="1"/>
      <c r="D895" s="1"/>
      <c r="E895" s="1"/>
      <c r="F895" s="1"/>
      <c r="G895" s="1"/>
      <c r="H895" s="1"/>
    </row>
    <row r="896" spans="1:8" ht="15.75" customHeight="1">
      <c r="A896" s="1"/>
      <c r="B896" s="1"/>
      <c r="C896" s="1"/>
      <c r="D896" s="1"/>
      <c r="E896" s="1"/>
      <c r="F896" s="1"/>
      <c r="G896" s="1"/>
      <c r="H896" s="1"/>
    </row>
    <row r="897" spans="1:8" ht="15.75" customHeight="1">
      <c r="A897" s="1"/>
      <c r="B897" s="1"/>
      <c r="C897" s="1"/>
      <c r="D897" s="1"/>
      <c r="E897" s="1"/>
      <c r="F897" s="1"/>
      <c r="G897" s="1"/>
      <c r="H897" s="1"/>
    </row>
    <row r="898" spans="1:8" ht="15.75" customHeight="1">
      <c r="A898" s="1"/>
      <c r="B898" s="1"/>
      <c r="C898" s="1"/>
      <c r="D898" s="1"/>
      <c r="E898" s="1"/>
      <c r="F898" s="1"/>
      <c r="G898" s="1"/>
      <c r="H898" s="1"/>
    </row>
    <row r="899" spans="1:8" ht="15.75" customHeight="1">
      <c r="A899" s="1"/>
      <c r="B899" s="1"/>
      <c r="C899" s="1"/>
      <c r="D899" s="1"/>
      <c r="E899" s="1"/>
      <c r="F899" s="1"/>
      <c r="G899" s="1"/>
      <c r="H899" s="1"/>
    </row>
    <row r="900" spans="1:8" ht="15.75" customHeight="1">
      <c r="A900" s="1"/>
      <c r="B900" s="1"/>
      <c r="C900" s="1"/>
      <c r="D900" s="1"/>
      <c r="E900" s="1"/>
      <c r="F900" s="1"/>
      <c r="G900" s="1"/>
      <c r="H900" s="1"/>
    </row>
    <row r="901" spans="1:8" ht="15.75" customHeight="1">
      <c r="A901" s="1"/>
      <c r="B901" s="1"/>
      <c r="C901" s="1"/>
      <c r="D901" s="1"/>
      <c r="E901" s="1"/>
      <c r="F901" s="1"/>
      <c r="G901" s="1"/>
      <c r="H901" s="1"/>
    </row>
    <row r="902" spans="1:8" ht="15.75" customHeight="1">
      <c r="A902" s="1"/>
      <c r="B902" s="1"/>
      <c r="C902" s="1"/>
      <c r="D902" s="1"/>
      <c r="E902" s="1"/>
      <c r="F902" s="1"/>
      <c r="G902" s="1"/>
      <c r="H902" s="1"/>
    </row>
    <row r="903" spans="1:8" ht="15.75" customHeight="1">
      <c r="A903" s="1"/>
      <c r="B903" s="1"/>
      <c r="C903" s="1"/>
      <c r="D903" s="1"/>
      <c r="E903" s="1"/>
      <c r="F903" s="1"/>
      <c r="G903" s="1"/>
      <c r="H903" s="1"/>
    </row>
    <row r="904" spans="1:8" ht="15.75" customHeight="1">
      <c r="A904" s="1"/>
      <c r="B904" s="1"/>
      <c r="C904" s="1"/>
      <c r="D904" s="1"/>
      <c r="E904" s="1"/>
      <c r="F904" s="1"/>
      <c r="G904" s="1"/>
      <c r="H904" s="1"/>
    </row>
    <row r="905" spans="1:8" ht="15.75" customHeight="1">
      <c r="A905" s="1"/>
      <c r="B905" s="1"/>
      <c r="C905" s="1"/>
      <c r="D905" s="1"/>
      <c r="E905" s="1"/>
      <c r="F905" s="1"/>
      <c r="G905" s="1"/>
      <c r="H905" s="1"/>
    </row>
    <row r="906" spans="1:8" ht="15.75" customHeight="1">
      <c r="A906" s="1"/>
      <c r="B906" s="1"/>
      <c r="C906" s="1"/>
      <c r="D906" s="1"/>
      <c r="E906" s="1"/>
      <c r="F906" s="1"/>
      <c r="G906" s="1"/>
      <c r="H906" s="1"/>
    </row>
    <row r="907" spans="1:8" ht="15.75" customHeight="1">
      <c r="A907" s="1"/>
      <c r="B907" s="1"/>
      <c r="C907" s="1"/>
      <c r="D907" s="1"/>
      <c r="E907" s="1"/>
      <c r="F907" s="1"/>
      <c r="G907" s="1"/>
      <c r="H907" s="1"/>
    </row>
    <row r="908" spans="1:8" ht="15.75" customHeight="1">
      <c r="A908" s="1"/>
      <c r="B908" s="1"/>
      <c r="C908" s="1"/>
      <c r="D908" s="1"/>
      <c r="E908" s="1"/>
      <c r="F908" s="1"/>
      <c r="G908" s="1"/>
      <c r="H908" s="1"/>
    </row>
    <row r="909" spans="1:8" ht="15.75" customHeight="1">
      <c r="A909" s="1"/>
      <c r="B909" s="1"/>
      <c r="C909" s="1"/>
      <c r="D909" s="1"/>
      <c r="E909" s="1"/>
      <c r="F909" s="1"/>
      <c r="G909" s="1"/>
      <c r="H909" s="1"/>
    </row>
    <row r="910" spans="1:8" ht="15.75" customHeight="1">
      <c r="A910" s="1"/>
      <c r="B910" s="1"/>
      <c r="C910" s="1"/>
      <c r="D910" s="1"/>
      <c r="E910" s="1"/>
      <c r="F910" s="1"/>
      <c r="G910" s="1"/>
      <c r="H910" s="1"/>
    </row>
    <row r="911" spans="1:8" ht="15.75" customHeight="1">
      <c r="A911" s="1"/>
      <c r="B911" s="1"/>
      <c r="C911" s="1"/>
      <c r="D911" s="1"/>
      <c r="E911" s="1"/>
      <c r="F911" s="1"/>
      <c r="G911" s="1"/>
      <c r="H911" s="1"/>
    </row>
    <row r="912" spans="1:8" ht="15.75" customHeight="1">
      <c r="A912" s="1"/>
      <c r="B912" s="1"/>
      <c r="C912" s="1"/>
      <c r="D912" s="1"/>
      <c r="E912" s="1"/>
      <c r="F912" s="1"/>
      <c r="G912" s="1"/>
      <c r="H912" s="1"/>
    </row>
    <row r="913" spans="1:8" ht="15.75" customHeight="1">
      <c r="A913" s="1"/>
      <c r="B913" s="1"/>
      <c r="C913" s="1"/>
      <c r="D913" s="1"/>
      <c r="E913" s="1"/>
      <c r="F913" s="1"/>
      <c r="G913" s="1"/>
      <c r="H913" s="1"/>
    </row>
    <row r="914" spans="1:8" ht="15.75" customHeight="1">
      <c r="A914" s="1"/>
      <c r="B914" s="1"/>
      <c r="C914" s="1"/>
      <c r="D914" s="1"/>
      <c r="E914" s="1"/>
      <c r="F914" s="1"/>
      <c r="G914" s="1"/>
      <c r="H914" s="1"/>
    </row>
    <row r="915" spans="1:8" ht="15.75" customHeight="1">
      <c r="A915" s="1"/>
      <c r="B915" s="1"/>
      <c r="C915" s="1"/>
      <c r="D915" s="1"/>
      <c r="E915" s="1"/>
      <c r="F915" s="1"/>
      <c r="G915" s="1"/>
      <c r="H915" s="1"/>
    </row>
    <row r="916" spans="1:8" ht="15.75" customHeight="1">
      <c r="A916" s="1"/>
      <c r="B916" s="1"/>
      <c r="C916" s="1"/>
      <c r="D916" s="1"/>
      <c r="E916" s="1"/>
      <c r="F916" s="1"/>
      <c r="G916" s="1"/>
      <c r="H916" s="1"/>
    </row>
    <row r="917" spans="1:8" ht="15.75" customHeight="1">
      <c r="A917" s="1"/>
      <c r="B917" s="1"/>
      <c r="C917" s="1"/>
      <c r="D917" s="1"/>
      <c r="E917" s="1"/>
      <c r="F917" s="1"/>
      <c r="G917" s="1"/>
      <c r="H917" s="1"/>
    </row>
    <row r="918" spans="1:8" ht="15.75" customHeight="1">
      <c r="A918" s="1"/>
      <c r="B918" s="1"/>
      <c r="C918" s="1"/>
      <c r="D918" s="1"/>
      <c r="E918" s="1"/>
      <c r="F918" s="1"/>
      <c r="G918" s="1"/>
      <c r="H918" s="1"/>
    </row>
    <row r="919" spans="1:8" ht="15.75" customHeight="1">
      <c r="A919" s="1"/>
      <c r="B919" s="1"/>
      <c r="C919" s="1"/>
      <c r="D919" s="1"/>
      <c r="E919" s="1"/>
      <c r="F919" s="1"/>
      <c r="G919" s="1"/>
      <c r="H919" s="1"/>
    </row>
    <row r="920" spans="1:8" ht="15.75" customHeight="1">
      <c r="A920" s="1"/>
      <c r="B920" s="1"/>
      <c r="C920" s="1"/>
      <c r="D920" s="1"/>
      <c r="E920" s="1"/>
      <c r="F920" s="1"/>
      <c r="G920" s="1"/>
      <c r="H920" s="1"/>
    </row>
    <row r="921" spans="1:8" ht="15.75" customHeight="1">
      <c r="A921" s="1"/>
      <c r="B921" s="1"/>
      <c r="C921" s="1"/>
      <c r="D921" s="1"/>
      <c r="E921" s="1"/>
      <c r="F921" s="1"/>
      <c r="G921" s="1"/>
      <c r="H921" s="1"/>
    </row>
    <row r="922" spans="1:8" ht="15.75" customHeight="1">
      <c r="A922" s="1"/>
      <c r="B922" s="1"/>
      <c r="C922" s="1"/>
      <c r="D922" s="1"/>
      <c r="E922" s="1"/>
      <c r="F922" s="1"/>
      <c r="G922" s="1"/>
      <c r="H922" s="1"/>
    </row>
    <row r="923" spans="1:8" ht="15.75" customHeight="1">
      <c r="A923" s="1"/>
      <c r="B923" s="1"/>
      <c r="C923" s="1"/>
      <c r="D923" s="1"/>
      <c r="E923" s="1"/>
      <c r="F923" s="1"/>
      <c r="G923" s="1"/>
      <c r="H923" s="1"/>
    </row>
    <row r="924" spans="1:8" ht="15.75" customHeight="1">
      <c r="A924" s="1"/>
      <c r="B924" s="1"/>
      <c r="C924" s="1"/>
      <c r="D924" s="1"/>
      <c r="E924" s="1"/>
      <c r="F924" s="1"/>
      <c r="G924" s="1"/>
      <c r="H924" s="1"/>
    </row>
    <row r="925" spans="1:8" ht="15.75" customHeight="1">
      <c r="A925" s="1"/>
      <c r="B925" s="1"/>
      <c r="C925" s="1"/>
      <c r="D925" s="1"/>
      <c r="E925" s="1"/>
      <c r="F925" s="1"/>
      <c r="G925" s="1"/>
      <c r="H925" s="1"/>
    </row>
    <row r="926" spans="1:8" ht="15.75" customHeight="1">
      <c r="A926" s="1"/>
      <c r="B926" s="1"/>
      <c r="C926" s="1"/>
      <c r="D926" s="1"/>
      <c r="E926" s="1"/>
      <c r="F926" s="1"/>
      <c r="G926" s="1"/>
      <c r="H926" s="1"/>
    </row>
    <row r="927" spans="1:8" ht="15.75" customHeight="1">
      <c r="A927" s="1"/>
      <c r="B927" s="1"/>
      <c r="C927" s="1"/>
      <c r="D927" s="1"/>
      <c r="E927" s="1"/>
      <c r="F927" s="1"/>
      <c r="G927" s="1"/>
      <c r="H927" s="1"/>
    </row>
    <row r="928" spans="1:8" ht="15.75" customHeight="1">
      <c r="A928" s="1"/>
      <c r="B928" s="1"/>
      <c r="C928" s="1"/>
      <c r="D928" s="1"/>
      <c r="E928" s="1"/>
      <c r="F928" s="1"/>
      <c r="G928" s="1"/>
      <c r="H928" s="1"/>
    </row>
    <row r="929" spans="1:8" ht="15.75" customHeight="1">
      <c r="A929" s="1"/>
      <c r="B929" s="1"/>
      <c r="C929" s="1"/>
      <c r="D929" s="1"/>
      <c r="E929" s="1"/>
      <c r="F929" s="1"/>
      <c r="G929" s="1"/>
      <c r="H929" s="1"/>
    </row>
    <row r="930" spans="1:8" ht="15.75" customHeight="1">
      <c r="A930" s="1"/>
      <c r="B930" s="1"/>
      <c r="C930" s="1"/>
      <c r="D930" s="1"/>
      <c r="E930" s="1"/>
      <c r="F930" s="1"/>
      <c r="G930" s="1"/>
      <c r="H930" s="1"/>
    </row>
    <row r="931" spans="1:8" ht="15.75" customHeight="1">
      <c r="A931" s="1"/>
      <c r="B931" s="1"/>
      <c r="C931" s="1"/>
      <c r="D931" s="1"/>
      <c r="E931" s="1"/>
      <c r="F931" s="1"/>
      <c r="G931" s="1"/>
      <c r="H931" s="1"/>
    </row>
    <row r="932" spans="1:8" ht="15.75" customHeight="1">
      <c r="A932" s="1"/>
      <c r="B932" s="1"/>
      <c r="C932" s="1"/>
      <c r="D932" s="1"/>
      <c r="E932" s="1"/>
      <c r="F932" s="1"/>
      <c r="G932" s="1"/>
      <c r="H932" s="1"/>
    </row>
    <row r="933" spans="1:8" ht="15.75" customHeight="1">
      <c r="A933" s="1"/>
      <c r="B933" s="1"/>
      <c r="C933" s="1"/>
      <c r="D933" s="1"/>
      <c r="E933" s="1"/>
      <c r="F933" s="1"/>
      <c r="G933" s="1"/>
      <c r="H933" s="1"/>
    </row>
    <row r="934" spans="1:8" ht="15.75" customHeight="1">
      <c r="A934" s="1"/>
      <c r="B934" s="1"/>
      <c r="C934" s="1"/>
      <c r="D934" s="1"/>
      <c r="E934" s="1"/>
      <c r="F934" s="1"/>
      <c r="G934" s="1"/>
      <c r="H934" s="1"/>
    </row>
    <row r="935" spans="1:8" ht="15.75" customHeight="1">
      <c r="A935" s="1"/>
      <c r="B935" s="1"/>
      <c r="C935" s="1"/>
      <c r="D935" s="1"/>
      <c r="E935" s="1"/>
      <c r="F935" s="1"/>
      <c r="G935" s="1"/>
      <c r="H935" s="1"/>
    </row>
    <row r="936" spans="1:8" ht="15.75" customHeight="1">
      <c r="A936" s="1"/>
      <c r="B936" s="1"/>
      <c r="C936" s="1"/>
      <c r="D936" s="1"/>
      <c r="E936" s="1"/>
      <c r="F936" s="1"/>
      <c r="G936" s="1"/>
      <c r="H936" s="1"/>
    </row>
    <row r="937" spans="1:8" ht="15.75" customHeight="1">
      <c r="A937" s="1"/>
      <c r="B937" s="1"/>
      <c r="C937" s="1"/>
      <c r="D937" s="1"/>
      <c r="E937" s="1"/>
      <c r="F937" s="1"/>
      <c r="G937" s="1"/>
      <c r="H937" s="1"/>
    </row>
    <row r="938" spans="1:8" ht="15.75" customHeight="1">
      <c r="A938" s="1"/>
      <c r="B938" s="1"/>
      <c r="C938" s="1"/>
      <c r="D938" s="1"/>
      <c r="E938" s="1"/>
      <c r="F938" s="1"/>
      <c r="G938" s="1"/>
      <c r="H938" s="1"/>
    </row>
    <row r="939" spans="1:8" ht="15.75" customHeight="1">
      <c r="A939" s="1"/>
      <c r="B939" s="1"/>
      <c r="C939" s="1"/>
      <c r="D939" s="1"/>
      <c r="E939" s="1"/>
      <c r="F939" s="1"/>
      <c r="G939" s="1"/>
      <c r="H939" s="1"/>
    </row>
    <row r="940" spans="1:8" ht="15.75" customHeight="1">
      <c r="A940" s="1"/>
      <c r="B940" s="1"/>
      <c r="C940" s="1"/>
      <c r="D940" s="1"/>
      <c r="E940" s="1"/>
      <c r="F940" s="1"/>
      <c r="G940" s="1"/>
      <c r="H940" s="1"/>
    </row>
    <row r="941" spans="1:8" ht="15.75" customHeight="1">
      <c r="A941" s="1"/>
      <c r="B941" s="1"/>
      <c r="C941" s="1"/>
      <c r="D941" s="1"/>
      <c r="E941" s="1"/>
      <c r="F941" s="1"/>
      <c r="G941" s="1"/>
      <c r="H941" s="1"/>
    </row>
    <row r="942" spans="1:8" ht="15.75" customHeight="1">
      <c r="A942" s="1"/>
      <c r="B942" s="1"/>
      <c r="C942" s="1"/>
      <c r="D942" s="1"/>
      <c r="E942" s="1"/>
      <c r="F942" s="1"/>
      <c r="G942" s="1"/>
      <c r="H942" s="1"/>
    </row>
    <row r="943" spans="1:8" ht="15.75" customHeight="1">
      <c r="A943" s="1"/>
      <c r="B943" s="1"/>
      <c r="C943" s="1"/>
      <c r="D943" s="1"/>
      <c r="E943" s="1"/>
      <c r="F943" s="1"/>
      <c r="G943" s="1"/>
      <c r="H943" s="1"/>
    </row>
    <row r="944" spans="1:8" ht="15.75" customHeight="1">
      <c r="A944" s="1"/>
      <c r="B944" s="1"/>
      <c r="C944" s="1"/>
      <c r="D944" s="1"/>
      <c r="E944" s="1"/>
      <c r="F944" s="1"/>
      <c r="G944" s="1"/>
      <c r="H944" s="1"/>
    </row>
    <row r="945" spans="1:8" ht="15.75" customHeight="1">
      <c r="A945" s="1"/>
      <c r="B945" s="1"/>
      <c r="C945" s="1"/>
      <c r="D945" s="1"/>
      <c r="E945" s="1"/>
      <c r="F945" s="1"/>
      <c r="G945" s="1"/>
      <c r="H945" s="1"/>
    </row>
    <row r="946" spans="1:8" ht="15.75" customHeight="1">
      <c r="A946" s="1"/>
      <c r="B946" s="1"/>
      <c r="C946" s="1"/>
      <c r="D946" s="1"/>
      <c r="E946" s="1"/>
      <c r="F946" s="1"/>
      <c r="G946" s="1"/>
      <c r="H946" s="1"/>
    </row>
    <row r="947" spans="1:8" ht="15.75" customHeight="1">
      <c r="A947" s="1"/>
      <c r="B947" s="1"/>
      <c r="C947" s="1"/>
      <c r="D947" s="1"/>
      <c r="E947" s="1"/>
      <c r="F947" s="1"/>
      <c r="G947" s="1"/>
      <c r="H947" s="1"/>
    </row>
    <row r="948" spans="1:8" ht="15.75" customHeight="1">
      <c r="A948" s="1"/>
      <c r="B948" s="1"/>
      <c r="C948" s="1"/>
      <c r="D948" s="1"/>
      <c r="E948" s="1"/>
      <c r="F948" s="1"/>
      <c r="G948" s="1"/>
      <c r="H948" s="1"/>
    </row>
    <row r="949" spans="1:8" ht="15.75" customHeight="1">
      <c r="A949" s="1"/>
      <c r="B949" s="1"/>
      <c r="C949" s="1"/>
      <c r="D949" s="1"/>
      <c r="E949" s="1"/>
      <c r="F949" s="1"/>
      <c r="G949" s="1"/>
      <c r="H949" s="1"/>
    </row>
    <row r="950" spans="1:8" ht="15.75" customHeight="1">
      <c r="A950" s="1"/>
      <c r="B950" s="1"/>
      <c r="C950" s="1"/>
      <c r="D950" s="1"/>
      <c r="E950" s="1"/>
      <c r="F950" s="1"/>
      <c r="G950" s="1"/>
      <c r="H950" s="1"/>
    </row>
    <row r="951" spans="1:8" ht="15.75" customHeight="1">
      <c r="A951" s="1"/>
      <c r="B951" s="1"/>
      <c r="C951" s="1"/>
      <c r="D951" s="1"/>
      <c r="E951" s="1"/>
      <c r="F951" s="1"/>
      <c r="G951" s="1"/>
      <c r="H951" s="1"/>
    </row>
    <row r="952" spans="1:8" ht="15.75" customHeight="1">
      <c r="A952" s="1"/>
      <c r="B952" s="1"/>
      <c r="C952" s="1"/>
      <c r="D952" s="1"/>
      <c r="E952" s="1"/>
      <c r="F952" s="1"/>
      <c r="G952" s="1"/>
      <c r="H952" s="1"/>
    </row>
    <row r="953" spans="1:8" ht="15.75" customHeight="1">
      <c r="A953" s="1"/>
      <c r="B953" s="1"/>
      <c r="C953" s="1"/>
      <c r="D953" s="1"/>
      <c r="E953" s="1"/>
      <c r="F953" s="1"/>
      <c r="G953" s="1"/>
      <c r="H953" s="1"/>
    </row>
    <row r="954" spans="1:8" ht="15.75" customHeight="1">
      <c r="A954" s="1"/>
      <c r="B954" s="1"/>
      <c r="C954" s="1"/>
      <c r="D954" s="1"/>
      <c r="E954" s="1"/>
      <c r="F954" s="1"/>
      <c r="G954" s="1"/>
      <c r="H954" s="1"/>
    </row>
    <row r="955" spans="1:8" ht="15.75" customHeight="1">
      <c r="A955" s="1"/>
      <c r="B955" s="1"/>
      <c r="C955" s="1"/>
      <c r="D955" s="1"/>
      <c r="E955" s="1"/>
      <c r="F955" s="1"/>
      <c r="G955" s="1"/>
      <c r="H955" s="1"/>
    </row>
    <row r="956" spans="1:8" ht="15.75" customHeight="1">
      <c r="A956" s="1"/>
      <c r="B956" s="1"/>
      <c r="C956" s="1"/>
      <c r="D956" s="1"/>
      <c r="E956" s="1"/>
      <c r="F956" s="1"/>
      <c r="G956" s="1"/>
      <c r="H956" s="1"/>
    </row>
    <row r="957" spans="1:8" ht="15.75" customHeight="1">
      <c r="A957" s="1"/>
      <c r="B957" s="1"/>
      <c r="C957" s="1"/>
      <c r="D957" s="1"/>
      <c r="E957" s="1"/>
      <c r="F957" s="1"/>
      <c r="G957" s="1"/>
      <c r="H957" s="1"/>
    </row>
    <row r="958" spans="1:8" ht="15.75" customHeight="1">
      <c r="A958" s="1"/>
      <c r="B958" s="1"/>
      <c r="C958" s="1"/>
      <c r="D958" s="1"/>
      <c r="E958" s="1"/>
      <c r="F958" s="1"/>
      <c r="G958" s="1"/>
      <c r="H958" s="1"/>
    </row>
    <row r="959" spans="1:8" ht="15.75" customHeight="1">
      <c r="A959" s="1"/>
      <c r="B959" s="1"/>
      <c r="C959" s="1"/>
      <c r="D959" s="1"/>
      <c r="E959" s="1"/>
      <c r="F959" s="1"/>
      <c r="G959" s="1"/>
      <c r="H959" s="1"/>
    </row>
    <row r="960" spans="1:8" ht="15.75" customHeight="1">
      <c r="A960" s="1"/>
      <c r="B960" s="1"/>
      <c r="C960" s="1"/>
      <c r="D960" s="1"/>
      <c r="E960" s="1"/>
      <c r="F960" s="1"/>
      <c r="G960" s="1"/>
      <c r="H960" s="1"/>
    </row>
    <row r="961" spans="1:8" ht="15.75" customHeight="1">
      <c r="A961" s="1"/>
      <c r="B961" s="1"/>
      <c r="C961" s="1"/>
      <c r="D961" s="1"/>
      <c r="E961" s="1"/>
      <c r="F961" s="1"/>
      <c r="G961" s="1"/>
      <c r="H961" s="1"/>
    </row>
    <row r="962" spans="1:8" ht="15.75" customHeight="1">
      <c r="A962" s="1"/>
      <c r="B962" s="1"/>
      <c r="C962" s="1"/>
      <c r="D962" s="1"/>
      <c r="E962" s="1"/>
      <c r="F962" s="1"/>
      <c r="G962" s="1"/>
      <c r="H962" s="1"/>
    </row>
    <row r="963" spans="1:8" ht="15.75" customHeight="1">
      <c r="A963" s="1"/>
      <c r="B963" s="1"/>
      <c r="C963" s="1"/>
      <c r="D963" s="1"/>
      <c r="E963" s="1"/>
      <c r="F963" s="1"/>
      <c r="G963" s="1"/>
      <c r="H963" s="1"/>
    </row>
    <row r="964" spans="1:8" ht="15.75" customHeight="1">
      <c r="A964" s="1"/>
      <c r="B964" s="1"/>
      <c r="C964" s="1"/>
      <c r="D964" s="1"/>
      <c r="E964" s="1"/>
      <c r="F964" s="1"/>
      <c r="G964" s="1"/>
      <c r="H964" s="1"/>
    </row>
    <row r="965" spans="1:8" ht="15.75" customHeight="1">
      <c r="A965" s="1"/>
      <c r="B965" s="1"/>
      <c r="C965" s="1"/>
      <c r="D965" s="1"/>
      <c r="E965" s="1"/>
      <c r="F965" s="1"/>
      <c r="G965" s="1"/>
      <c r="H965" s="1"/>
    </row>
    <row r="966" spans="1:8" ht="15.75" customHeight="1">
      <c r="A966" s="1"/>
      <c r="B966" s="1"/>
      <c r="C966" s="1"/>
      <c r="D966" s="1"/>
      <c r="E966" s="1"/>
      <c r="F966" s="1"/>
      <c r="G966" s="1"/>
      <c r="H966" s="1"/>
    </row>
    <row r="967" spans="1:8" ht="15.75" customHeight="1">
      <c r="A967" s="1"/>
      <c r="B967" s="1"/>
      <c r="C967" s="1"/>
      <c r="D967" s="1"/>
      <c r="E967" s="1"/>
      <c r="F967" s="1"/>
      <c r="G967" s="1"/>
      <c r="H967" s="1"/>
    </row>
    <row r="968" spans="1:8" ht="15.75" customHeight="1">
      <c r="A968" s="1"/>
      <c r="B968" s="1"/>
      <c r="C968" s="1"/>
      <c r="D968" s="1"/>
      <c r="E968" s="1"/>
      <c r="F968" s="1"/>
      <c r="G968" s="1"/>
      <c r="H968" s="1"/>
    </row>
    <row r="969" spans="1:8" ht="15.75" customHeight="1">
      <c r="A969" s="1"/>
      <c r="B969" s="1"/>
      <c r="C969" s="1"/>
      <c r="D969" s="1"/>
      <c r="E969" s="1"/>
      <c r="F969" s="1"/>
      <c r="G969" s="1"/>
      <c r="H969" s="1"/>
    </row>
    <row r="970" spans="1:8" ht="15.75" customHeight="1">
      <c r="A970" s="1"/>
      <c r="B970" s="1"/>
      <c r="C970" s="1"/>
      <c r="D970" s="1"/>
      <c r="E970" s="1"/>
      <c r="F970" s="1"/>
      <c r="G970" s="1"/>
      <c r="H970" s="1"/>
    </row>
    <row r="971" spans="1:8" ht="15.75" customHeight="1">
      <c r="A971" s="1"/>
      <c r="B971" s="1"/>
      <c r="C971" s="1"/>
      <c r="D971" s="1"/>
      <c r="E971" s="1"/>
      <c r="F971" s="1"/>
      <c r="G971" s="1"/>
      <c r="H971" s="1"/>
    </row>
    <row r="972" spans="1:8" ht="15.75" customHeight="1">
      <c r="A972" s="1"/>
      <c r="B972" s="1"/>
      <c r="C972" s="1"/>
      <c r="D972" s="1"/>
      <c r="E972" s="1"/>
      <c r="F972" s="1"/>
      <c r="G972" s="1"/>
      <c r="H972" s="1"/>
    </row>
    <row r="973" spans="1:8" ht="15.75" customHeight="1">
      <c r="A973" s="1"/>
      <c r="B973" s="1"/>
      <c r="C973" s="1"/>
      <c r="D973" s="1"/>
      <c r="E973" s="1"/>
      <c r="F973" s="1"/>
      <c r="G973" s="1"/>
      <c r="H973" s="1"/>
    </row>
    <row r="974" spans="1:8" ht="15.75" customHeight="1">
      <c r="A974" s="1"/>
      <c r="B974" s="1"/>
      <c r="C974" s="1"/>
      <c r="D974" s="1"/>
      <c r="E974" s="1"/>
      <c r="F974" s="1"/>
      <c r="G974" s="1"/>
      <c r="H974" s="1"/>
    </row>
    <row r="975" spans="1:8" ht="15.75" customHeight="1">
      <c r="A975" s="1"/>
      <c r="B975" s="1"/>
      <c r="C975" s="1"/>
      <c r="D975" s="1"/>
      <c r="E975" s="1"/>
      <c r="F975" s="1"/>
      <c r="G975" s="1"/>
      <c r="H975" s="1"/>
    </row>
    <row r="976" spans="1:8" ht="15.75" customHeight="1">
      <c r="A976" s="1"/>
      <c r="B976" s="1"/>
      <c r="C976" s="1"/>
      <c r="D976" s="1"/>
      <c r="E976" s="1"/>
      <c r="F976" s="1"/>
      <c r="G976" s="1"/>
      <c r="H976" s="1"/>
    </row>
    <row r="977" spans="1:8" ht="15.75" customHeight="1">
      <c r="A977" s="1"/>
      <c r="B977" s="1"/>
      <c r="C977" s="1"/>
      <c r="D977" s="1"/>
      <c r="E977" s="1"/>
      <c r="F977" s="1"/>
      <c r="G977" s="1"/>
      <c r="H977" s="1"/>
    </row>
    <row r="978" spans="1:8" ht="15.75" customHeight="1">
      <c r="A978" s="1"/>
      <c r="B978" s="1"/>
      <c r="C978" s="1"/>
      <c r="D978" s="1"/>
      <c r="E978" s="1"/>
      <c r="F978" s="1"/>
      <c r="G978" s="1"/>
      <c r="H978" s="1"/>
    </row>
    <row r="979" spans="1:8" ht="15.75" customHeight="1">
      <c r="A979" s="1"/>
      <c r="B979" s="1"/>
      <c r="C979" s="1"/>
      <c r="D979" s="1"/>
      <c r="E979" s="1"/>
      <c r="F979" s="1"/>
      <c r="G979" s="1"/>
      <c r="H979" s="1"/>
    </row>
    <row r="980" spans="1:8" ht="15.75" customHeight="1">
      <c r="A980" s="1"/>
      <c r="B980" s="1"/>
      <c r="C980" s="1"/>
      <c r="D980" s="1"/>
      <c r="E980" s="1"/>
      <c r="F980" s="1"/>
      <c r="G980" s="1"/>
      <c r="H980" s="1"/>
    </row>
    <row r="981" spans="1:8" ht="15.75" customHeight="1">
      <c r="A981" s="1"/>
      <c r="B981" s="1"/>
      <c r="C981" s="1"/>
      <c r="D981" s="1"/>
      <c r="E981" s="1"/>
      <c r="F981" s="1"/>
      <c r="G981" s="1"/>
      <c r="H981" s="1"/>
    </row>
    <row r="982" spans="1:8" ht="15.75" customHeight="1">
      <c r="A982" s="1"/>
      <c r="B982" s="1"/>
      <c r="C982" s="1"/>
      <c r="D982" s="1"/>
      <c r="E982" s="1"/>
      <c r="F982" s="1"/>
      <c r="G982" s="1"/>
      <c r="H982" s="1"/>
    </row>
    <row r="983" spans="1:8" ht="15.75" customHeight="1">
      <c r="A983" s="1"/>
      <c r="B983" s="1"/>
      <c r="C983" s="1"/>
      <c r="D983" s="1"/>
      <c r="E983" s="1"/>
      <c r="F983" s="1"/>
      <c r="G983" s="1"/>
      <c r="H983" s="1"/>
    </row>
    <row r="984" spans="1:8" ht="15.75" customHeight="1">
      <c r="A984" s="1"/>
      <c r="B984" s="1"/>
      <c r="C984" s="1"/>
      <c r="D984" s="1"/>
      <c r="E984" s="1"/>
      <c r="F984" s="1"/>
      <c r="G984" s="1"/>
      <c r="H984" s="1"/>
    </row>
    <row r="985" spans="1:8" ht="15.75" customHeight="1">
      <c r="A985" s="1"/>
      <c r="B985" s="1"/>
      <c r="C985" s="1"/>
      <c r="D985" s="1"/>
      <c r="E985" s="1"/>
      <c r="F985" s="1"/>
      <c r="G985" s="1"/>
      <c r="H985" s="1"/>
    </row>
    <row r="986" spans="1:8" ht="15.75" customHeight="1">
      <c r="A986" s="1"/>
      <c r="B986" s="1"/>
      <c r="C986" s="1"/>
      <c r="D986" s="1"/>
      <c r="E986" s="1"/>
      <c r="F986" s="1"/>
      <c r="G986" s="1"/>
      <c r="H986" s="1"/>
    </row>
    <row r="987" spans="1:8" ht="15.75" customHeight="1">
      <c r="A987" s="1"/>
      <c r="B987" s="1"/>
      <c r="C987" s="1"/>
      <c r="D987" s="1"/>
      <c r="E987" s="1"/>
      <c r="F987" s="1"/>
      <c r="G987" s="1"/>
      <c r="H987" s="1"/>
    </row>
    <row r="988" spans="1:8" ht="15.75" customHeight="1">
      <c r="A988" s="1"/>
      <c r="B988" s="1"/>
      <c r="C988" s="1"/>
      <c r="D988" s="1"/>
      <c r="E988" s="1"/>
      <c r="F988" s="1"/>
      <c r="G988" s="1"/>
      <c r="H988" s="1"/>
    </row>
    <row r="989" spans="1:8" ht="15.75" customHeight="1">
      <c r="A989" s="1"/>
      <c r="B989" s="1"/>
      <c r="C989" s="1"/>
      <c r="D989" s="1"/>
      <c r="E989" s="1"/>
      <c r="F989" s="1"/>
      <c r="G989" s="1"/>
      <c r="H989" s="1"/>
    </row>
    <row r="990" spans="1:8" ht="15.75" customHeight="1">
      <c r="A990" s="1"/>
      <c r="B990" s="1"/>
      <c r="C990" s="1"/>
      <c r="D990" s="1"/>
      <c r="E990" s="1"/>
      <c r="F990" s="1"/>
      <c r="G990" s="1"/>
      <c r="H990" s="1"/>
    </row>
    <row r="991" spans="1:8" ht="15.75" customHeight="1">
      <c r="A991" s="1"/>
      <c r="B991" s="1"/>
      <c r="C991" s="1"/>
      <c r="D991" s="1"/>
      <c r="E991" s="1"/>
      <c r="F991" s="1"/>
      <c r="G991" s="1"/>
      <c r="H991" s="1"/>
    </row>
    <row r="992" spans="1:8" ht="15.75" customHeight="1">
      <c r="A992" s="1"/>
      <c r="B992" s="1"/>
      <c r="C992" s="1"/>
      <c r="D992" s="1"/>
      <c r="E992" s="1"/>
      <c r="F992" s="1"/>
      <c r="G992" s="1"/>
      <c r="H992" s="1"/>
    </row>
    <row r="993" spans="1:8" ht="15.75" customHeight="1">
      <c r="A993" s="1"/>
      <c r="B993" s="1"/>
      <c r="C993" s="1"/>
      <c r="D993" s="1"/>
      <c r="E993" s="1"/>
      <c r="F993" s="1"/>
      <c r="G993" s="1"/>
      <c r="H993" s="1"/>
    </row>
    <row r="994" spans="1:8" ht="15.75" customHeight="1">
      <c r="A994" s="1"/>
      <c r="B994" s="1"/>
      <c r="C994" s="1"/>
      <c r="D994" s="1"/>
      <c r="E994" s="1"/>
      <c r="F994" s="1"/>
      <c r="G994" s="1"/>
      <c r="H994" s="1"/>
    </row>
    <row r="995" spans="1:8" ht="15.75" customHeight="1">
      <c r="A995" s="1"/>
      <c r="B995" s="1"/>
      <c r="C995" s="1"/>
      <c r="D995" s="1"/>
      <c r="E995" s="1"/>
      <c r="F995" s="1"/>
      <c r="G995" s="1"/>
      <c r="H995" s="1"/>
    </row>
    <row r="996" spans="1:8" ht="15.75" customHeight="1">
      <c r="A996" s="1"/>
      <c r="B996" s="1"/>
      <c r="C996" s="1"/>
      <c r="D996" s="1"/>
      <c r="E996" s="1"/>
      <c r="F996" s="1"/>
      <c r="G996" s="1"/>
      <c r="H996" s="1"/>
    </row>
    <row r="997" spans="1:8" ht="15.75" customHeight="1">
      <c r="A997" s="1"/>
      <c r="B997" s="1"/>
      <c r="C997" s="1"/>
      <c r="D997" s="1"/>
      <c r="E997" s="1"/>
      <c r="F997" s="1"/>
      <c r="G997" s="1"/>
      <c r="H997" s="1"/>
    </row>
    <row r="998" spans="1:8" ht="15.75" customHeight="1">
      <c r="A998" s="1"/>
      <c r="B998" s="1"/>
      <c r="C998" s="1"/>
      <c r="D998" s="1"/>
      <c r="E998" s="1"/>
      <c r="F998" s="1"/>
      <c r="G998" s="1"/>
      <c r="H998" s="1"/>
    </row>
    <row r="999" spans="1:8" ht="15.75" customHeight="1">
      <c r="A999" s="1"/>
      <c r="B999" s="1"/>
      <c r="C999" s="1"/>
      <c r="D999" s="1"/>
      <c r="E999" s="1"/>
      <c r="F999" s="1"/>
      <c r="G999" s="1"/>
      <c r="H999" s="1"/>
    </row>
    <row r="1000" spans="1:8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9">
    <mergeCell ref="B2:G2"/>
    <mergeCell ref="B3:G3"/>
    <mergeCell ref="B5:G5"/>
    <mergeCell ref="B15:G15"/>
    <mergeCell ref="B32:G32"/>
    <mergeCell ref="B33:C33"/>
    <mergeCell ref="D33:G33"/>
    <mergeCell ref="B37:C37"/>
    <mergeCell ref="B38:C38"/>
    <mergeCell ref="B39:C39"/>
    <mergeCell ref="D38:G38"/>
    <mergeCell ref="D39:G39"/>
    <mergeCell ref="B34:C34"/>
    <mergeCell ref="D34:G34"/>
    <mergeCell ref="B35:C35"/>
    <mergeCell ref="D35:G35"/>
    <mergeCell ref="B36:C36"/>
    <mergeCell ref="D36:G36"/>
    <mergeCell ref="D37:G37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D8B"/>
  </sheetPr>
  <dimension ref="A1:L1000"/>
  <sheetViews>
    <sheetView showGridLines="0" workbookViewId="0"/>
  </sheetViews>
  <sheetFormatPr defaultColWidth="14.44140625" defaultRowHeight="15" customHeight="1"/>
  <cols>
    <col min="1" max="1" width="3" customWidth="1"/>
    <col min="2" max="2" width="5" customWidth="1"/>
    <col min="3" max="3" width="13" customWidth="1"/>
    <col min="4" max="9" width="11" customWidth="1"/>
    <col min="10" max="11" width="20" customWidth="1"/>
    <col min="12" max="12" width="3" customWidth="1"/>
    <col min="13" max="26" width="8.6640625" customWidth="1"/>
  </cols>
  <sheetData>
    <row r="1" spans="1:12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5" customHeight="1">
      <c r="A2" s="1"/>
      <c r="B2" s="115" t="s">
        <v>351</v>
      </c>
      <c r="C2" s="86"/>
      <c r="D2" s="86"/>
      <c r="E2" s="86"/>
      <c r="F2" s="86"/>
      <c r="G2" s="86"/>
      <c r="H2" s="86"/>
      <c r="I2" s="86"/>
      <c r="J2" s="86"/>
      <c r="K2" s="88"/>
      <c r="L2" s="1"/>
    </row>
    <row r="3" spans="1:12" ht="18" customHeight="1">
      <c r="A3" s="1"/>
      <c r="B3" s="117" t="s">
        <v>352</v>
      </c>
      <c r="C3" s="86"/>
      <c r="D3" s="86"/>
      <c r="E3" s="86"/>
      <c r="F3" s="86"/>
      <c r="G3" s="86"/>
      <c r="H3" s="86"/>
      <c r="I3" s="86"/>
      <c r="J3" s="86"/>
      <c r="K3" s="88"/>
      <c r="L3" s="1"/>
    </row>
    <row r="4" spans="1:12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.75" customHeight="1">
      <c r="A5" s="1"/>
      <c r="B5" s="11" t="s">
        <v>243</v>
      </c>
      <c r="C5" s="11" t="s">
        <v>244</v>
      </c>
      <c r="D5" s="11" t="s">
        <v>31</v>
      </c>
      <c r="E5" s="11" t="s">
        <v>353</v>
      </c>
      <c r="F5" s="11" t="s">
        <v>354</v>
      </c>
      <c r="G5" s="11" t="s">
        <v>355</v>
      </c>
      <c r="H5" s="11" t="s">
        <v>356</v>
      </c>
      <c r="I5" s="11" t="s">
        <v>357</v>
      </c>
      <c r="J5" s="11" t="s">
        <v>358</v>
      </c>
      <c r="K5" s="11" t="s">
        <v>359</v>
      </c>
      <c r="L5" s="11" t="s">
        <v>360</v>
      </c>
    </row>
    <row r="6" spans="1:12" ht="18" customHeight="1">
      <c r="A6" s="1"/>
      <c r="B6" s="59">
        <f>IF(1&lt;='🌱 Configuração'!$F$55,1,"")</f>
        <v>1</v>
      </c>
      <c r="C6" s="60">
        <f>IF(1&lt;='🌱 Configuração'!$F$55,'🌱 Configuração'!$B$56+0,"")</f>
        <v>0</v>
      </c>
      <c r="D6" s="59" t="str">
        <f>IF(1&gt;'🌱 Configuração'!$F$55,"",IF('🌱 Configuração'!$B$56+0&lt;'🌱 Configuração'!$C$56,"🌱 Clone",IF('🌱 Configuração'!$B$56+0&lt;'🌱 Configuração'!$D$56,"🌿 Vega",IF('🌱 Configuração'!$B$56+0&lt;'🌱 Configuração'!$E$56,"🌸 Flora","🚿 Flush"))))</f>
        <v>🌱 Clone</v>
      </c>
      <c r="E6" s="59"/>
      <c r="F6" s="59"/>
      <c r="G6" s="59"/>
      <c r="H6" s="59"/>
      <c r="I6" s="59"/>
      <c r="J6" s="59"/>
      <c r="K6" s="59"/>
      <c r="L6" s="1" t="str">
        <f>IF(1&gt;'🌱 Configuração'!$F$55,"",IF(F6="","—",IF(F6&lt;22,"⚠️ Temp baixa",IF(F6&gt;29,"⚠️ Temp ALTA",IF(H6="","✅ OK",IF(H6&lt;5.5,"⚠️ pH baixo",IF(H6&gt;6.9,"⚠️ pH alto",IF(I6&gt;2.5,"⚠️ CE alta","✅ OK"))))))))</f>
        <v>—</v>
      </c>
    </row>
    <row r="7" spans="1:12" ht="18" customHeight="1">
      <c r="A7" s="1"/>
      <c r="B7" s="61">
        <f>IF(2&lt;='🌱 Configuração'!$F$55,2,"")</f>
        <v>2</v>
      </c>
      <c r="C7" s="62">
        <f>IF(2&lt;='🌱 Configuração'!$F$55,'🌱 Configuração'!$B$56+1,"")</f>
        <v>1</v>
      </c>
      <c r="D7" s="61" t="str">
        <f>IF(2&gt;'🌱 Configuração'!$F$55,"",IF('🌱 Configuração'!$B$56+1&lt;'🌱 Configuração'!$C$56,"🌱 Clone",IF('🌱 Configuração'!$B$56+1&lt;'🌱 Configuração'!$D$56,"🌿 Vega",IF('🌱 Configuração'!$B$56+1&lt;'🌱 Configuração'!$E$56,"🌸 Flora","🚿 Flush"))))</f>
        <v>🌱 Clone</v>
      </c>
      <c r="E7" s="61"/>
      <c r="F7" s="61"/>
      <c r="G7" s="61"/>
      <c r="H7" s="61"/>
      <c r="I7" s="61"/>
      <c r="J7" s="61"/>
      <c r="K7" s="61"/>
      <c r="L7" s="1" t="str">
        <f>IF(2&gt;'🌱 Configuração'!$F$55,"",IF(F7="","—",IF(F7&lt;22,"⚠️ Temp baixa",IF(F7&gt;29,"⚠️ Temp ALTA",IF(H7="","✅ OK",IF(H7&lt;5.5,"⚠️ pH baixo",IF(H7&gt;6.9,"⚠️ pH alto",IF(I7&gt;2.5,"⚠️ CE alta","✅ OK"))))))))</f>
        <v>—</v>
      </c>
    </row>
    <row r="8" spans="1:12" ht="18" customHeight="1">
      <c r="A8" s="1"/>
      <c r="B8" s="59">
        <f>IF(3&lt;='🌱 Configuração'!$F$55,3,"")</f>
        <v>3</v>
      </c>
      <c r="C8" s="60">
        <f>IF(3&lt;='🌱 Configuração'!$F$55,'🌱 Configuração'!$B$56+2,"")</f>
        <v>2</v>
      </c>
      <c r="D8" s="59" t="str">
        <f>IF(3&gt;'🌱 Configuração'!$F$55,"",IF('🌱 Configuração'!$B$56+2&lt;'🌱 Configuração'!$C$56,"🌱 Clone",IF('🌱 Configuração'!$B$56+2&lt;'🌱 Configuração'!$D$56,"🌿 Vega",IF('🌱 Configuração'!$B$56+2&lt;'🌱 Configuração'!$E$56,"🌸 Flora","🚿 Flush"))))</f>
        <v>🌱 Clone</v>
      </c>
      <c r="E8" s="59"/>
      <c r="F8" s="59"/>
      <c r="G8" s="59"/>
      <c r="H8" s="59"/>
      <c r="I8" s="59"/>
      <c r="J8" s="59"/>
      <c r="K8" s="59"/>
      <c r="L8" s="1" t="str">
        <f>IF(3&gt;'🌱 Configuração'!$F$55,"",IF(F8="","—",IF(F8&lt;22,"⚠️ Temp baixa",IF(F8&gt;29,"⚠️ Temp ALTA",IF(H8="","✅ OK",IF(H8&lt;5.5,"⚠️ pH baixo",IF(H8&gt;6.9,"⚠️ pH alto",IF(I8&gt;2.5,"⚠️ CE alta","✅ OK"))))))))</f>
        <v>—</v>
      </c>
    </row>
    <row r="9" spans="1:12" ht="18" customHeight="1">
      <c r="A9" s="1"/>
      <c r="B9" s="61">
        <f>IF(4&lt;='🌱 Configuração'!$F$55,4,"")</f>
        <v>4</v>
      </c>
      <c r="C9" s="62">
        <f>IF(4&lt;='🌱 Configuração'!$F$55,'🌱 Configuração'!$B$56+3,"")</f>
        <v>3</v>
      </c>
      <c r="D9" s="61" t="str">
        <f>IF(4&gt;'🌱 Configuração'!$F$55,"",IF('🌱 Configuração'!$B$56+3&lt;'🌱 Configuração'!$C$56,"🌱 Clone",IF('🌱 Configuração'!$B$56+3&lt;'🌱 Configuração'!$D$56,"🌿 Vega",IF('🌱 Configuração'!$B$56+3&lt;'🌱 Configuração'!$E$56,"🌸 Flora","🚿 Flush"))))</f>
        <v>🌱 Clone</v>
      </c>
      <c r="E9" s="61"/>
      <c r="F9" s="61"/>
      <c r="G9" s="61"/>
      <c r="H9" s="61"/>
      <c r="I9" s="61"/>
      <c r="J9" s="61"/>
      <c r="K9" s="61"/>
      <c r="L9" s="1" t="str">
        <f>IF(4&gt;'🌱 Configuração'!$F$55,"",IF(F9="","—",IF(F9&lt;22,"⚠️ Temp baixa",IF(F9&gt;29,"⚠️ Temp ALTA",IF(H9="","✅ OK",IF(H9&lt;5.5,"⚠️ pH baixo",IF(H9&gt;6.9,"⚠️ pH alto",IF(I9&gt;2.5,"⚠️ CE alta","✅ OK"))))))))</f>
        <v>—</v>
      </c>
    </row>
    <row r="10" spans="1:12" ht="18" customHeight="1">
      <c r="A10" s="1"/>
      <c r="B10" s="59">
        <f>IF(5&lt;='🌱 Configuração'!$F$55,5,"")</f>
        <v>5</v>
      </c>
      <c r="C10" s="60">
        <f>IF(5&lt;='🌱 Configuração'!$F$55,'🌱 Configuração'!$B$56+4,"")</f>
        <v>4</v>
      </c>
      <c r="D10" s="59" t="str">
        <f>IF(5&gt;'🌱 Configuração'!$F$55,"",IF('🌱 Configuração'!$B$56+4&lt;'🌱 Configuração'!$C$56,"🌱 Clone",IF('🌱 Configuração'!$B$56+4&lt;'🌱 Configuração'!$D$56,"🌿 Vega",IF('🌱 Configuração'!$B$56+4&lt;'🌱 Configuração'!$E$56,"🌸 Flora","🚿 Flush"))))</f>
        <v>🌱 Clone</v>
      </c>
      <c r="E10" s="59"/>
      <c r="F10" s="59"/>
      <c r="G10" s="59"/>
      <c r="H10" s="59"/>
      <c r="I10" s="59"/>
      <c r="J10" s="59"/>
      <c r="K10" s="59"/>
      <c r="L10" s="1" t="str">
        <f>IF(5&gt;'🌱 Configuração'!$F$55,"",IF(F10="","—",IF(F10&lt;22,"⚠️ Temp baixa",IF(F10&gt;29,"⚠️ Temp ALTA",IF(H10="","✅ OK",IF(H10&lt;5.5,"⚠️ pH baixo",IF(H10&gt;6.9,"⚠️ pH alto",IF(I10&gt;2.5,"⚠️ CE alta","✅ OK"))))))))</f>
        <v>—</v>
      </c>
    </row>
    <row r="11" spans="1:12" ht="18" customHeight="1">
      <c r="A11" s="1"/>
      <c r="B11" s="61">
        <f>IF(6&lt;='🌱 Configuração'!$F$55,6,"")</f>
        <v>6</v>
      </c>
      <c r="C11" s="62">
        <f>IF(6&lt;='🌱 Configuração'!$F$55,'🌱 Configuração'!$B$56+5,"")</f>
        <v>5</v>
      </c>
      <c r="D11" s="61" t="str">
        <f>IF(6&gt;'🌱 Configuração'!$F$55,"",IF('🌱 Configuração'!$B$56+5&lt;'🌱 Configuração'!$C$56,"🌱 Clone",IF('🌱 Configuração'!$B$56+5&lt;'🌱 Configuração'!$D$56,"🌿 Vega",IF('🌱 Configuração'!$B$56+5&lt;'🌱 Configuração'!$E$56,"🌸 Flora","🚿 Flush"))))</f>
        <v>🌱 Clone</v>
      </c>
      <c r="E11" s="61"/>
      <c r="F11" s="61"/>
      <c r="G11" s="61"/>
      <c r="H11" s="61"/>
      <c r="I11" s="61"/>
      <c r="J11" s="61"/>
      <c r="K11" s="61"/>
      <c r="L11" s="1" t="str">
        <f>IF(6&gt;'🌱 Configuração'!$F$55,"",IF(F11="","—",IF(F11&lt;22,"⚠️ Temp baixa",IF(F11&gt;29,"⚠️ Temp ALTA",IF(H11="","✅ OK",IF(H11&lt;5.5,"⚠️ pH baixo",IF(H11&gt;6.9,"⚠️ pH alto",IF(I11&gt;2.5,"⚠️ CE alta","✅ OK"))))))))</f>
        <v>—</v>
      </c>
    </row>
    <row r="12" spans="1:12" ht="18" customHeight="1">
      <c r="A12" s="1"/>
      <c r="B12" s="59">
        <f>IF(7&lt;='🌱 Configuração'!$F$55,7,"")</f>
        <v>7</v>
      </c>
      <c r="C12" s="60">
        <f>IF(7&lt;='🌱 Configuração'!$F$55,'🌱 Configuração'!$B$56+6,"")</f>
        <v>6</v>
      </c>
      <c r="D12" s="59" t="str">
        <f>IF(7&gt;'🌱 Configuração'!$F$55,"",IF('🌱 Configuração'!$B$56+6&lt;'🌱 Configuração'!$C$56,"🌱 Clone",IF('🌱 Configuração'!$B$56+6&lt;'🌱 Configuração'!$D$56,"🌿 Vega",IF('🌱 Configuração'!$B$56+6&lt;'🌱 Configuração'!$E$56,"🌸 Flora","🚿 Flush"))))</f>
        <v>🌱 Clone</v>
      </c>
      <c r="E12" s="59"/>
      <c r="F12" s="59"/>
      <c r="G12" s="59"/>
      <c r="H12" s="59"/>
      <c r="I12" s="59"/>
      <c r="J12" s="59"/>
      <c r="K12" s="59"/>
      <c r="L12" s="1" t="str">
        <f>IF(7&gt;'🌱 Configuração'!$F$55,"",IF(F12="","—",IF(F12&lt;22,"⚠️ Temp baixa",IF(F12&gt;29,"⚠️ Temp ALTA",IF(H12="","✅ OK",IF(H12&lt;5.5,"⚠️ pH baixo",IF(H12&gt;6.9,"⚠️ pH alto",IF(I12&gt;2.5,"⚠️ CE alta","✅ OK"))))))))</f>
        <v>—</v>
      </c>
    </row>
    <row r="13" spans="1:12" ht="18" customHeight="1">
      <c r="A13" s="1"/>
      <c r="B13" s="61">
        <f>IF(8&lt;='🌱 Configuração'!$F$55,8,"")</f>
        <v>8</v>
      </c>
      <c r="C13" s="62">
        <f>IF(8&lt;='🌱 Configuração'!$F$55,'🌱 Configuração'!$B$56+7,"")</f>
        <v>7</v>
      </c>
      <c r="D13" s="61" t="str">
        <f>IF(8&gt;'🌱 Configuração'!$F$55,"",IF('🌱 Configuração'!$B$56+7&lt;'🌱 Configuração'!$C$56,"🌱 Clone",IF('🌱 Configuração'!$B$56+7&lt;'🌱 Configuração'!$D$56,"🌿 Vega",IF('🌱 Configuração'!$B$56+7&lt;'🌱 Configuração'!$E$56,"🌸 Flora","🚿 Flush"))))</f>
        <v>🌱 Clone</v>
      </c>
      <c r="E13" s="61"/>
      <c r="F13" s="61"/>
      <c r="G13" s="61"/>
      <c r="H13" s="61"/>
      <c r="I13" s="61"/>
      <c r="J13" s="61"/>
      <c r="K13" s="61"/>
      <c r="L13" s="1" t="str">
        <f>IF(8&gt;'🌱 Configuração'!$F$55,"",IF(F13="","—",IF(F13&lt;22,"⚠️ Temp baixa",IF(F13&gt;29,"⚠️ Temp ALTA",IF(H13="","✅ OK",IF(H13&lt;5.5,"⚠️ pH baixo",IF(H13&gt;6.9,"⚠️ pH alto",IF(I13&gt;2.5,"⚠️ CE alta","✅ OK"))))))))</f>
        <v>—</v>
      </c>
    </row>
    <row r="14" spans="1:12" ht="18" customHeight="1">
      <c r="A14" s="1"/>
      <c r="B14" s="59">
        <f>IF(9&lt;='🌱 Configuração'!$F$55,9,"")</f>
        <v>9</v>
      </c>
      <c r="C14" s="60">
        <f>IF(9&lt;='🌱 Configuração'!$F$55,'🌱 Configuração'!$B$56+8,"")</f>
        <v>8</v>
      </c>
      <c r="D14" s="59" t="str">
        <f>IF(9&gt;'🌱 Configuração'!$F$55,"",IF('🌱 Configuração'!$B$56+8&lt;'🌱 Configuração'!$C$56,"🌱 Clone",IF('🌱 Configuração'!$B$56+8&lt;'🌱 Configuração'!$D$56,"🌿 Vega",IF('🌱 Configuração'!$B$56+8&lt;'🌱 Configuração'!$E$56,"🌸 Flora","🚿 Flush"))))</f>
        <v>🌱 Clone</v>
      </c>
      <c r="E14" s="59"/>
      <c r="F14" s="59"/>
      <c r="G14" s="59"/>
      <c r="H14" s="59"/>
      <c r="I14" s="59"/>
      <c r="J14" s="59"/>
      <c r="K14" s="59"/>
      <c r="L14" s="1" t="str">
        <f>IF(9&gt;'🌱 Configuração'!$F$55,"",IF(F14="","—",IF(F14&lt;22,"⚠️ Temp baixa",IF(F14&gt;29,"⚠️ Temp ALTA",IF(H14="","✅ OK",IF(H14&lt;5.5,"⚠️ pH baixo",IF(H14&gt;6.9,"⚠️ pH alto",IF(I14&gt;2.5,"⚠️ CE alta","✅ OK"))))))))</f>
        <v>—</v>
      </c>
    </row>
    <row r="15" spans="1:12" ht="18" customHeight="1">
      <c r="A15" s="1"/>
      <c r="B15" s="61">
        <f>IF(10&lt;='🌱 Configuração'!$F$55,10,"")</f>
        <v>10</v>
      </c>
      <c r="C15" s="62">
        <f>IF(10&lt;='🌱 Configuração'!$F$55,'🌱 Configuração'!$B$56+9,"")</f>
        <v>9</v>
      </c>
      <c r="D15" s="61" t="str">
        <f>IF(10&gt;'🌱 Configuração'!$F$55,"",IF('🌱 Configuração'!$B$56+9&lt;'🌱 Configuração'!$C$56,"🌱 Clone",IF('🌱 Configuração'!$B$56+9&lt;'🌱 Configuração'!$D$56,"🌿 Vega",IF('🌱 Configuração'!$B$56+9&lt;'🌱 Configuração'!$E$56,"🌸 Flora","🚿 Flush"))))</f>
        <v>🌱 Clone</v>
      </c>
      <c r="E15" s="61"/>
      <c r="F15" s="61"/>
      <c r="G15" s="61"/>
      <c r="H15" s="61"/>
      <c r="I15" s="61"/>
      <c r="J15" s="61"/>
      <c r="K15" s="61"/>
      <c r="L15" s="1" t="str">
        <f>IF(10&gt;'🌱 Configuração'!$F$55,"",IF(F15="","—",IF(F15&lt;22,"⚠️ Temp baixa",IF(F15&gt;29,"⚠️ Temp ALTA",IF(H15="","✅ OK",IF(H15&lt;5.5,"⚠️ pH baixo",IF(H15&gt;6.9,"⚠️ pH alto",IF(I15&gt;2.5,"⚠️ CE alta","✅ OK"))))))))</f>
        <v>—</v>
      </c>
    </row>
    <row r="16" spans="1:12" ht="18" customHeight="1">
      <c r="A16" s="1"/>
      <c r="B16" s="59">
        <f>IF(11&lt;='🌱 Configuração'!$F$55,11,"")</f>
        <v>11</v>
      </c>
      <c r="C16" s="60">
        <f>IF(11&lt;='🌱 Configuração'!$F$55,'🌱 Configuração'!$B$56+10,"")</f>
        <v>10</v>
      </c>
      <c r="D16" s="59" t="str">
        <f>IF(11&gt;'🌱 Configuração'!$F$55,"",IF('🌱 Configuração'!$B$56+10&lt;'🌱 Configuração'!$C$56,"🌱 Clone",IF('🌱 Configuração'!$B$56+10&lt;'🌱 Configuração'!$D$56,"🌿 Vega",IF('🌱 Configuração'!$B$56+10&lt;'🌱 Configuração'!$E$56,"🌸 Flora","🚿 Flush"))))</f>
        <v>🌱 Clone</v>
      </c>
      <c r="E16" s="59"/>
      <c r="F16" s="59"/>
      <c r="G16" s="59"/>
      <c r="H16" s="59"/>
      <c r="I16" s="59"/>
      <c r="J16" s="59"/>
      <c r="K16" s="59"/>
      <c r="L16" s="1" t="str">
        <f>IF(11&gt;'🌱 Configuração'!$F$55,"",IF(F16="","—",IF(F16&lt;22,"⚠️ Temp baixa",IF(F16&gt;29,"⚠️ Temp ALTA",IF(H16="","✅ OK",IF(H16&lt;5.5,"⚠️ pH baixo",IF(H16&gt;6.9,"⚠️ pH alto",IF(I16&gt;2.5,"⚠️ CE alta","✅ OK"))))))))</f>
        <v>—</v>
      </c>
    </row>
    <row r="17" spans="1:12" ht="18" customHeight="1">
      <c r="A17" s="1"/>
      <c r="B17" s="61">
        <f>IF(12&lt;='🌱 Configuração'!$F$55,12,"")</f>
        <v>12</v>
      </c>
      <c r="C17" s="62">
        <f>IF(12&lt;='🌱 Configuração'!$F$55,'🌱 Configuração'!$B$56+11,"")</f>
        <v>11</v>
      </c>
      <c r="D17" s="61" t="str">
        <f>IF(12&gt;'🌱 Configuração'!$F$55,"",IF('🌱 Configuração'!$B$56+11&lt;'🌱 Configuração'!$C$56,"🌱 Clone",IF('🌱 Configuração'!$B$56+11&lt;'🌱 Configuração'!$D$56,"🌿 Vega",IF('🌱 Configuração'!$B$56+11&lt;'🌱 Configuração'!$E$56,"🌸 Flora","🚿 Flush"))))</f>
        <v>🌱 Clone</v>
      </c>
      <c r="E17" s="61"/>
      <c r="F17" s="61"/>
      <c r="G17" s="61"/>
      <c r="H17" s="61"/>
      <c r="I17" s="61"/>
      <c r="J17" s="61"/>
      <c r="K17" s="61"/>
      <c r="L17" s="1" t="str">
        <f>IF(12&gt;'🌱 Configuração'!$F$55,"",IF(F17="","—",IF(F17&lt;22,"⚠️ Temp baixa",IF(F17&gt;29,"⚠️ Temp ALTA",IF(H17="","✅ OK",IF(H17&lt;5.5,"⚠️ pH baixo",IF(H17&gt;6.9,"⚠️ pH alto",IF(I17&gt;2.5,"⚠️ CE alta","✅ OK"))))))))</f>
        <v>—</v>
      </c>
    </row>
    <row r="18" spans="1:12" ht="18" customHeight="1">
      <c r="A18" s="1"/>
      <c r="B18" s="59">
        <f>IF(13&lt;='🌱 Configuração'!$F$55,13,"")</f>
        <v>13</v>
      </c>
      <c r="C18" s="60">
        <f>IF(13&lt;='🌱 Configuração'!$F$55,'🌱 Configuração'!$B$56+12,"")</f>
        <v>12</v>
      </c>
      <c r="D18" s="59" t="str">
        <f>IF(13&gt;'🌱 Configuração'!$F$55,"",IF('🌱 Configuração'!$B$56+12&lt;'🌱 Configuração'!$C$56,"🌱 Clone",IF('🌱 Configuração'!$B$56+12&lt;'🌱 Configuração'!$D$56,"🌿 Vega",IF('🌱 Configuração'!$B$56+12&lt;'🌱 Configuração'!$E$56,"🌸 Flora","🚿 Flush"))))</f>
        <v>🌱 Clone</v>
      </c>
      <c r="E18" s="59"/>
      <c r="F18" s="59"/>
      <c r="G18" s="59"/>
      <c r="H18" s="59"/>
      <c r="I18" s="59"/>
      <c r="J18" s="59"/>
      <c r="K18" s="59"/>
      <c r="L18" s="1" t="str">
        <f>IF(13&gt;'🌱 Configuração'!$F$55,"",IF(F18="","—",IF(F18&lt;22,"⚠️ Temp baixa",IF(F18&gt;29,"⚠️ Temp ALTA",IF(H18="","✅ OK",IF(H18&lt;5.5,"⚠️ pH baixo",IF(H18&gt;6.9,"⚠️ pH alto",IF(I18&gt;2.5,"⚠️ CE alta","✅ OK"))))))))</f>
        <v>—</v>
      </c>
    </row>
    <row r="19" spans="1:12" ht="18" customHeight="1">
      <c r="A19" s="1"/>
      <c r="B19" s="61">
        <f>IF(14&lt;='🌱 Configuração'!$F$55,14,"")</f>
        <v>14</v>
      </c>
      <c r="C19" s="62">
        <f>IF(14&lt;='🌱 Configuração'!$F$55,'🌱 Configuração'!$B$56+13,"")</f>
        <v>13</v>
      </c>
      <c r="D19" s="61" t="str">
        <f>IF(14&gt;'🌱 Configuração'!$F$55,"",IF('🌱 Configuração'!$B$56+13&lt;'🌱 Configuração'!$C$56,"🌱 Clone",IF('🌱 Configuração'!$B$56+13&lt;'🌱 Configuração'!$D$56,"🌿 Vega",IF('🌱 Configuração'!$B$56+13&lt;'🌱 Configuração'!$E$56,"🌸 Flora","🚿 Flush"))))</f>
        <v>🌱 Clone</v>
      </c>
      <c r="E19" s="61"/>
      <c r="F19" s="61"/>
      <c r="G19" s="61"/>
      <c r="H19" s="61"/>
      <c r="I19" s="61"/>
      <c r="J19" s="61"/>
      <c r="K19" s="61"/>
      <c r="L19" s="1" t="str">
        <f>IF(14&gt;'🌱 Configuração'!$F$55,"",IF(F19="","—",IF(F19&lt;22,"⚠️ Temp baixa",IF(F19&gt;29,"⚠️ Temp ALTA",IF(H19="","✅ OK",IF(H19&lt;5.5,"⚠️ pH baixo",IF(H19&gt;6.9,"⚠️ pH alto",IF(I19&gt;2.5,"⚠️ CE alta","✅ OK"))))))))</f>
        <v>—</v>
      </c>
    </row>
    <row r="20" spans="1:12" ht="18" customHeight="1">
      <c r="A20" s="1"/>
      <c r="B20" s="59">
        <f>IF(15&lt;='🌱 Configuração'!$F$55,15,"")</f>
        <v>15</v>
      </c>
      <c r="C20" s="60">
        <f>IF(15&lt;='🌱 Configuração'!$F$55,'🌱 Configuração'!$B$56+14,"")</f>
        <v>14</v>
      </c>
      <c r="D20" s="59" t="str">
        <f>IF(15&gt;'🌱 Configuração'!$F$55,"",IF('🌱 Configuração'!$B$56+14&lt;'🌱 Configuração'!$C$56,"🌱 Clone",IF('🌱 Configuração'!$B$56+14&lt;'🌱 Configuração'!$D$56,"🌿 Vega",IF('🌱 Configuração'!$B$56+14&lt;'🌱 Configuração'!$E$56,"🌸 Flora","🚿 Flush"))))</f>
        <v>🌿 Vega</v>
      </c>
      <c r="E20" s="59"/>
      <c r="F20" s="59"/>
      <c r="G20" s="59"/>
      <c r="H20" s="59"/>
      <c r="I20" s="59"/>
      <c r="J20" s="59"/>
      <c r="K20" s="59"/>
      <c r="L20" s="1" t="str">
        <f>IF(15&gt;'🌱 Configuração'!$F$55,"",IF(F20="","—",IF(F20&lt;22,"⚠️ Temp baixa",IF(F20&gt;29,"⚠️ Temp ALTA",IF(H20="","✅ OK",IF(H20&lt;5.5,"⚠️ pH baixo",IF(H20&gt;6.9,"⚠️ pH alto",IF(I20&gt;2.5,"⚠️ CE alta","✅ OK"))))))))</f>
        <v>—</v>
      </c>
    </row>
    <row r="21" spans="1:12" ht="18" customHeight="1">
      <c r="A21" s="1"/>
      <c r="B21" s="61">
        <f>IF(16&lt;='🌱 Configuração'!$F$55,16,"")</f>
        <v>16</v>
      </c>
      <c r="C21" s="62">
        <f>IF(16&lt;='🌱 Configuração'!$F$55,'🌱 Configuração'!$B$56+15,"")</f>
        <v>15</v>
      </c>
      <c r="D21" s="61" t="str">
        <f>IF(16&gt;'🌱 Configuração'!$F$55,"",IF('🌱 Configuração'!$B$56+15&lt;'🌱 Configuração'!$C$56,"🌱 Clone",IF('🌱 Configuração'!$B$56+15&lt;'🌱 Configuração'!$D$56,"🌿 Vega",IF('🌱 Configuração'!$B$56+15&lt;'🌱 Configuração'!$E$56,"🌸 Flora","🚿 Flush"))))</f>
        <v>🌿 Vega</v>
      </c>
      <c r="E21" s="61"/>
      <c r="F21" s="61"/>
      <c r="G21" s="61"/>
      <c r="H21" s="61"/>
      <c r="I21" s="61"/>
      <c r="J21" s="61"/>
      <c r="K21" s="61"/>
      <c r="L21" s="1" t="str">
        <f>IF(16&gt;'🌱 Configuração'!$F$55,"",IF(F21="","—",IF(F21&lt;22,"⚠️ Temp baixa",IF(F21&gt;29,"⚠️ Temp ALTA",IF(H21="","✅ OK",IF(H21&lt;5.5,"⚠️ pH baixo",IF(H21&gt;6.9,"⚠️ pH alto",IF(I21&gt;2.5,"⚠️ CE alta","✅ OK"))))))))</f>
        <v>—</v>
      </c>
    </row>
    <row r="22" spans="1:12" ht="18" customHeight="1">
      <c r="A22" s="1"/>
      <c r="B22" s="59">
        <f>IF(17&lt;='🌱 Configuração'!$F$55,17,"")</f>
        <v>17</v>
      </c>
      <c r="C22" s="60">
        <f>IF(17&lt;='🌱 Configuração'!$F$55,'🌱 Configuração'!$B$56+16,"")</f>
        <v>16</v>
      </c>
      <c r="D22" s="59" t="str">
        <f>IF(17&gt;'🌱 Configuração'!$F$55,"",IF('🌱 Configuração'!$B$56+16&lt;'🌱 Configuração'!$C$56,"🌱 Clone",IF('🌱 Configuração'!$B$56+16&lt;'🌱 Configuração'!$D$56,"🌿 Vega",IF('🌱 Configuração'!$B$56+16&lt;'🌱 Configuração'!$E$56,"🌸 Flora","🚿 Flush"))))</f>
        <v>🌿 Vega</v>
      </c>
      <c r="E22" s="59"/>
      <c r="F22" s="59"/>
      <c r="G22" s="59"/>
      <c r="H22" s="59"/>
      <c r="I22" s="59"/>
      <c r="J22" s="59"/>
      <c r="K22" s="59"/>
      <c r="L22" s="1" t="str">
        <f>IF(17&gt;'🌱 Configuração'!$F$55,"",IF(F22="","—",IF(F22&lt;22,"⚠️ Temp baixa",IF(F22&gt;29,"⚠️ Temp ALTA",IF(H22="","✅ OK",IF(H22&lt;5.5,"⚠️ pH baixo",IF(H22&gt;6.9,"⚠️ pH alto",IF(I22&gt;2.5,"⚠️ CE alta","✅ OK"))))))))</f>
        <v>—</v>
      </c>
    </row>
    <row r="23" spans="1:12" ht="18" customHeight="1">
      <c r="A23" s="1"/>
      <c r="B23" s="61">
        <f>IF(18&lt;='🌱 Configuração'!$F$55,18,"")</f>
        <v>18</v>
      </c>
      <c r="C23" s="62">
        <f>IF(18&lt;='🌱 Configuração'!$F$55,'🌱 Configuração'!$B$56+17,"")</f>
        <v>17</v>
      </c>
      <c r="D23" s="61" t="str">
        <f>IF(18&gt;'🌱 Configuração'!$F$55,"",IF('🌱 Configuração'!$B$56+17&lt;'🌱 Configuração'!$C$56,"🌱 Clone",IF('🌱 Configuração'!$B$56+17&lt;'🌱 Configuração'!$D$56,"🌿 Vega",IF('🌱 Configuração'!$B$56+17&lt;'🌱 Configuração'!$E$56,"🌸 Flora","🚿 Flush"))))</f>
        <v>🌿 Vega</v>
      </c>
      <c r="E23" s="61"/>
      <c r="F23" s="61"/>
      <c r="G23" s="61"/>
      <c r="H23" s="61"/>
      <c r="I23" s="61"/>
      <c r="J23" s="61"/>
      <c r="K23" s="61"/>
      <c r="L23" s="1" t="str">
        <f>IF(18&gt;'🌱 Configuração'!$F$55,"",IF(F23="","—",IF(F23&lt;22,"⚠️ Temp baixa",IF(F23&gt;29,"⚠️ Temp ALTA",IF(H23="","✅ OK",IF(H23&lt;5.5,"⚠️ pH baixo",IF(H23&gt;6.9,"⚠️ pH alto",IF(I23&gt;2.5,"⚠️ CE alta","✅ OK"))))))))</f>
        <v>—</v>
      </c>
    </row>
    <row r="24" spans="1:12" ht="18" customHeight="1">
      <c r="A24" s="1"/>
      <c r="B24" s="59">
        <f>IF(19&lt;='🌱 Configuração'!$F$55,19,"")</f>
        <v>19</v>
      </c>
      <c r="C24" s="60">
        <f>IF(19&lt;='🌱 Configuração'!$F$55,'🌱 Configuração'!$B$56+18,"")</f>
        <v>18</v>
      </c>
      <c r="D24" s="59" t="str">
        <f>IF(19&gt;'🌱 Configuração'!$F$55,"",IF('🌱 Configuração'!$B$56+18&lt;'🌱 Configuração'!$C$56,"🌱 Clone",IF('🌱 Configuração'!$B$56+18&lt;'🌱 Configuração'!$D$56,"🌿 Vega",IF('🌱 Configuração'!$B$56+18&lt;'🌱 Configuração'!$E$56,"🌸 Flora","🚿 Flush"))))</f>
        <v>🌿 Vega</v>
      </c>
      <c r="E24" s="59"/>
      <c r="F24" s="59"/>
      <c r="G24" s="59"/>
      <c r="H24" s="59"/>
      <c r="I24" s="59"/>
      <c r="J24" s="59"/>
      <c r="K24" s="59"/>
      <c r="L24" s="1" t="str">
        <f>IF(19&gt;'🌱 Configuração'!$F$55,"",IF(F24="","—",IF(F24&lt;22,"⚠️ Temp baixa",IF(F24&gt;29,"⚠️ Temp ALTA",IF(H24="","✅ OK",IF(H24&lt;5.5,"⚠️ pH baixo",IF(H24&gt;6.9,"⚠️ pH alto",IF(I24&gt;2.5,"⚠️ CE alta","✅ OK"))))))))</f>
        <v>—</v>
      </c>
    </row>
    <row r="25" spans="1:12" ht="18" customHeight="1">
      <c r="A25" s="1"/>
      <c r="B25" s="61">
        <f>IF(20&lt;='🌱 Configuração'!$F$55,20,"")</f>
        <v>20</v>
      </c>
      <c r="C25" s="62">
        <f>IF(20&lt;='🌱 Configuração'!$F$55,'🌱 Configuração'!$B$56+19,"")</f>
        <v>19</v>
      </c>
      <c r="D25" s="61" t="str">
        <f>IF(20&gt;'🌱 Configuração'!$F$55,"",IF('🌱 Configuração'!$B$56+19&lt;'🌱 Configuração'!$C$56,"🌱 Clone",IF('🌱 Configuração'!$B$56+19&lt;'🌱 Configuração'!$D$56,"🌿 Vega",IF('🌱 Configuração'!$B$56+19&lt;'🌱 Configuração'!$E$56,"🌸 Flora","🚿 Flush"))))</f>
        <v>🌿 Vega</v>
      </c>
      <c r="E25" s="61"/>
      <c r="F25" s="61"/>
      <c r="G25" s="61"/>
      <c r="H25" s="61"/>
      <c r="I25" s="61"/>
      <c r="J25" s="61"/>
      <c r="K25" s="61"/>
      <c r="L25" s="1" t="str">
        <f>IF(20&gt;'🌱 Configuração'!$F$55,"",IF(F25="","—",IF(F25&lt;22,"⚠️ Temp baixa",IF(F25&gt;29,"⚠️ Temp ALTA",IF(H25="","✅ OK",IF(H25&lt;5.5,"⚠️ pH baixo",IF(H25&gt;6.9,"⚠️ pH alto",IF(I25&gt;2.5,"⚠️ CE alta","✅ OK"))))))))</f>
        <v>—</v>
      </c>
    </row>
    <row r="26" spans="1:12" ht="18" customHeight="1">
      <c r="A26" s="1"/>
      <c r="B26" s="59">
        <f>IF(21&lt;='🌱 Configuração'!$F$55,21,"")</f>
        <v>21</v>
      </c>
      <c r="C26" s="60">
        <f>IF(21&lt;='🌱 Configuração'!$F$55,'🌱 Configuração'!$B$56+20,"")</f>
        <v>20</v>
      </c>
      <c r="D26" s="59" t="str">
        <f>IF(21&gt;'🌱 Configuração'!$F$55,"",IF('🌱 Configuração'!$B$56+20&lt;'🌱 Configuração'!$C$56,"🌱 Clone",IF('🌱 Configuração'!$B$56+20&lt;'🌱 Configuração'!$D$56,"🌿 Vega",IF('🌱 Configuração'!$B$56+20&lt;'🌱 Configuração'!$E$56,"🌸 Flora","🚿 Flush"))))</f>
        <v>🌿 Vega</v>
      </c>
      <c r="E26" s="59"/>
      <c r="F26" s="59"/>
      <c r="G26" s="59"/>
      <c r="H26" s="59"/>
      <c r="I26" s="59"/>
      <c r="J26" s="59"/>
      <c r="K26" s="59"/>
      <c r="L26" s="1" t="str">
        <f>IF(21&gt;'🌱 Configuração'!$F$55,"",IF(F26="","—",IF(F26&lt;22,"⚠️ Temp baixa",IF(F26&gt;29,"⚠️ Temp ALTA",IF(H26="","✅ OK",IF(H26&lt;5.5,"⚠️ pH baixo",IF(H26&gt;6.9,"⚠️ pH alto",IF(I26&gt;2.5,"⚠️ CE alta","✅ OK"))))))))</f>
        <v>—</v>
      </c>
    </row>
    <row r="27" spans="1:12" ht="18" customHeight="1">
      <c r="A27" s="1"/>
      <c r="B27" s="61">
        <f>IF(22&lt;='🌱 Configuração'!$F$55,22,"")</f>
        <v>22</v>
      </c>
      <c r="C27" s="62">
        <f>IF(22&lt;='🌱 Configuração'!$F$55,'🌱 Configuração'!$B$56+21,"")</f>
        <v>21</v>
      </c>
      <c r="D27" s="61" t="str">
        <f>IF(22&gt;'🌱 Configuração'!$F$55,"",IF('🌱 Configuração'!$B$56+21&lt;'🌱 Configuração'!$C$56,"🌱 Clone",IF('🌱 Configuração'!$B$56+21&lt;'🌱 Configuração'!$D$56,"🌿 Vega",IF('🌱 Configuração'!$B$56+21&lt;'🌱 Configuração'!$E$56,"🌸 Flora","🚿 Flush"))))</f>
        <v>🌿 Vega</v>
      </c>
      <c r="E27" s="61"/>
      <c r="F27" s="61"/>
      <c r="G27" s="61"/>
      <c r="H27" s="61"/>
      <c r="I27" s="61"/>
      <c r="J27" s="61"/>
      <c r="K27" s="61"/>
      <c r="L27" s="1" t="str">
        <f>IF(22&gt;'🌱 Configuração'!$F$55,"",IF(F27="","—",IF(F27&lt;22,"⚠️ Temp baixa",IF(F27&gt;29,"⚠️ Temp ALTA",IF(H27="","✅ OK",IF(H27&lt;5.5,"⚠️ pH baixo",IF(H27&gt;6.9,"⚠️ pH alto",IF(I27&gt;2.5,"⚠️ CE alta","✅ OK"))))))))</f>
        <v>—</v>
      </c>
    </row>
    <row r="28" spans="1:12" ht="18" customHeight="1">
      <c r="A28" s="1"/>
      <c r="B28" s="59">
        <f>IF(23&lt;='🌱 Configuração'!$F$55,23,"")</f>
        <v>23</v>
      </c>
      <c r="C28" s="60">
        <f>IF(23&lt;='🌱 Configuração'!$F$55,'🌱 Configuração'!$B$56+22,"")</f>
        <v>22</v>
      </c>
      <c r="D28" s="59" t="str">
        <f>IF(23&gt;'🌱 Configuração'!$F$55,"",IF('🌱 Configuração'!$B$56+22&lt;'🌱 Configuração'!$C$56,"🌱 Clone",IF('🌱 Configuração'!$B$56+22&lt;'🌱 Configuração'!$D$56,"🌿 Vega",IF('🌱 Configuração'!$B$56+22&lt;'🌱 Configuração'!$E$56,"🌸 Flora","🚿 Flush"))))</f>
        <v>🌿 Vega</v>
      </c>
      <c r="E28" s="59"/>
      <c r="F28" s="59"/>
      <c r="G28" s="59"/>
      <c r="H28" s="59"/>
      <c r="I28" s="59"/>
      <c r="J28" s="59"/>
      <c r="K28" s="59"/>
      <c r="L28" s="1" t="str">
        <f>IF(23&gt;'🌱 Configuração'!$F$55,"",IF(F28="","—",IF(F28&lt;22,"⚠️ Temp baixa",IF(F28&gt;29,"⚠️ Temp ALTA",IF(H28="","✅ OK",IF(H28&lt;5.5,"⚠️ pH baixo",IF(H28&gt;6.9,"⚠️ pH alto",IF(I28&gt;2.5,"⚠️ CE alta","✅ OK"))))))))</f>
        <v>—</v>
      </c>
    </row>
    <row r="29" spans="1:12" ht="18" customHeight="1">
      <c r="A29" s="1"/>
      <c r="B29" s="61">
        <f>IF(24&lt;='🌱 Configuração'!$F$55,24,"")</f>
        <v>24</v>
      </c>
      <c r="C29" s="62">
        <f>IF(24&lt;='🌱 Configuração'!$F$55,'🌱 Configuração'!$B$56+23,"")</f>
        <v>23</v>
      </c>
      <c r="D29" s="61" t="str">
        <f>IF(24&gt;'🌱 Configuração'!$F$55,"",IF('🌱 Configuração'!$B$56+23&lt;'🌱 Configuração'!$C$56,"🌱 Clone",IF('🌱 Configuração'!$B$56+23&lt;'🌱 Configuração'!$D$56,"🌿 Vega",IF('🌱 Configuração'!$B$56+23&lt;'🌱 Configuração'!$E$56,"🌸 Flora","🚿 Flush"))))</f>
        <v>🌿 Vega</v>
      </c>
      <c r="E29" s="61"/>
      <c r="F29" s="61"/>
      <c r="G29" s="61"/>
      <c r="H29" s="61"/>
      <c r="I29" s="61"/>
      <c r="J29" s="61"/>
      <c r="K29" s="61"/>
      <c r="L29" s="1" t="str">
        <f>IF(24&gt;'🌱 Configuração'!$F$55,"",IF(F29="","—",IF(F29&lt;22,"⚠️ Temp baixa",IF(F29&gt;29,"⚠️ Temp ALTA",IF(H29="","✅ OK",IF(H29&lt;5.5,"⚠️ pH baixo",IF(H29&gt;6.9,"⚠️ pH alto",IF(I29&gt;2.5,"⚠️ CE alta","✅ OK"))))))))</f>
        <v>—</v>
      </c>
    </row>
    <row r="30" spans="1:12" ht="18" customHeight="1">
      <c r="A30" s="1"/>
      <c r="B30" s="59">
        <f>IF(25&lt;='🌱 Configuração'!$F$55,25,"")</f>
        <v>25</v>
      </c>
      <c r="C30" s="60">
        <f>IF(25&lt;='🌱 Configuração'!$F$55,'🌱 Configuração'!$B$56+24,"")</f>
        <v>24</v>
      </c>
      <c r="D30" s="59" t="str">
        <f>IF(25&gt;'🌱 Configuração'!$F$55,"",IF('🌱 Configuração'!$B$56+24&lt;'🌱 Configuração'!$C$56,"🌱 Clone",IF('🌱 Configuração'!$B$56+24&lt;'🌱 Configuração'!$D$56,"🌿 Vega",IF('🌱 Configuração'!$B$56+24&lt;'🌱 Configuração'!$E$56,"🌸 Flora","🚿 Flush"))))</f>
        <v>🌿 Vega</v>
      </c>
      <c r="E30" s="59"/>
      <c r="F30" s="59"/>
      <c r="G30" s="59"/>
      <c r="H30" s="59"/>
      <c r="I30" s="59"/>
      <c r="J30" s="59"/>
      <c r="K30" s="59"/>
      <c r="L30" s="1" t="str">
        <f>IF(25&gt;'🌱 Configuração'!$F$55,"",IF(F30="","—",IF(F30&lt;22,"⚠️ Temp baixa",IF(F30&gt;29,"⚠️ Temp ALTA",IF(H30="","✅ OK",IF(H30&lt;5.5,"⚠️ pH baixo",IF(H30&gt;6.9,"⚠️ pH alto",IF(I30&gt;2.5,"⚠️ CE alta","✅ OK"))))))))</f>
        <v>—</v>
      </c>
    </row>
    <row r="31" spans="1:12" ht="18" customHeight="1">
      <c r="A31" s="1"/>
      <c r="B31" s="61">
        <f>IF(26&lt;='🌱 Configuração'!$F$55,26,"")</f>
        <v>26</v>
      </c>
      <c r="C31" s="62">
        <f>IF(26&lt;='🌱 Configuração'!$F$55,'🌱 Configuração'!$B$56+25,"")</f>
        <v>25</v>
      </c>
      <c r="D31" s="61" t="str">
        <f>IF(26&gt;'🌱 Configuração'!$F$55,"",IF('🌱 Configuração'!$B$56+25&lt;'🌱 Configuração'!$C$56,"🌱 Clone",IF('🌱 Configuração'!$B$56+25&lt;'🌱 Configuração'!$D$56,"🌿 Vega",IF('🌱 Configuração'!$B$56+25&lt;'🌱 Configuração'!$E$56,"🌸 Flora","🚿 Flush"))))</f>
        <v>🌿 Vega</v>
      </c>
      <c r="E31" s="61"/>
      <c r="F31" s="61"/>
      <c r="G31" s="61"/>
      <c r="H31" s="61"/>
      <c r="I31" s="61"/>
      <c r="J31" s="61"/>
      <c r="K31" s="61"/>
      <c r="L31" s="1" t="str">
        <f>IF(26&gt;'🌱 Configuração'!$F$55,"",IF(F31="","—",IF(F31&lt;22,"⚠️ Temp baixa",IF(F31&gt;29,"⚠️ Temp ALTA",IF(H31="","✅ OK",IF(H31&lt;5.5,"⚠️ pH baixo",IF(H31&gt;6.9,"⚠️ pH alto",IF(I31&gt;2.5,"⚠️ CE alta","✅ OK"))))))))</f>
        <v>—</v>
      </c>
    </row>
    <row r="32" spans="1:12" ht="18" customHeight="1">
      <c r="A32" s="1"/>
      <c r="B32" s="59">
        <f>IF(27&lt;='🌱 Configuração'!$F$55,27,"")</f>
        <v>27</v>
      </c>
      <c r="C32" s="60">
        <f>IF(27&lt;='🌱 Configuração'!$F$55,'🌱 Configuração'!$B$56+26,"")</f>
        <v>26</v>
      </c>
      <c r="D32" s="59" t="str">
        <f>IF(27&gt;'🌱 Configuração'!$F$55,"",IF('🌱 Configuração'!$B$56+26&lt;'🌱 Configuração'!$C$56,"🌱 Clone",IF('🌱 Configuração'!$B$56+26&lt;'🌱 Configuração'!$D$56,"🌿 Vega",IF('🌱 Configuração'!$B$56+26&lt;'🌱 Configuração'!$E$56,"🌸 Flora","🚿 Flush"))))</f>
        <v>🌿 Vega</v>
      </c>
      <c r="E32" s="59"/>
      <c r="F32" s="59"/>
      <c r="G32" s="59"/>
      <c r="H32" s="59"/>
      <c r="I32" s="59"/>
      <c r="J32" s="59"/>
      <c r="K32" s="59"/>
      <c r="L32" s="1" t="str">
        <f>IF(27&gt;'🌱 Configuração'!$F$55,"",IF(F32="","—",IF(F32&lt;22,"⚠️ Temp baixa",IF(F32&gt;29,"⚠️ Temp ALTA",IF(H32="","✅ OK",IF(H32&lt;5.5,"⚠️ pH baixo",IF(H32&gt;6.9,"⚠️ pH alto",IF(I32&gt;2.5,"⚠️ CE alta","✅ OK"))))))))</f>
        <v>—</v>
      </c>
    </row>
    <row r="33" spans="1:12" ht="18" customHeight="1">
      <c r="A33" s="1"/>
      <c r="B33" s="61">
        <f>IF(28&lt;='🌱 Configuração'!$F$55,28,"")</f>
        <v>28</v>
      </c>
      <c r="C33" s="62">
        <f>IF(28&lt;='🌱 Configuração'!$F$55,'🌱 Configuração'!$B$56+27,"")</f>
        <v>27</v>
      </c>
      <c r="D33" s="61" t="str">
        <f>IF(28&gt;'🌱 Configuração'!$F$55,"",IF('🌱 Configuração'!$B$56+27&lt;'🌱 Configuração'!$C$56,"🌱 Clone",IF('🌱 Configuração'!$B$56+27&lt;'🌱 Configuração'!$D$56,"🌿 Vega",IF('🌱 Configuração'!$B$56+27&lt;'🌱 Configuração'!$E$56,"🌸 Flora","🚿 Flush"))))</f>
        <v>🌿 Vega</v>
      </c>
      <c r="E33" s="61"/>
      <c r="F33" s="61"/>
      <c r="G33" s="61"/>
      <c r="H33" s="61"/>
      <c r="I33" s="61"/>
      <c r="J33" s="61"/>
      <c r="K33" s="61"/>
      <c r="L33" s="1" t="str">
        <f>IF(28&gt;'🌱 Configuração'!$F$55,"",IF(F33="","—",IF(F33&lt;22,"⚠️ Temp baixa",IF(F33&gt;29,"⚠️ Temp ALTA",IF(H33="","✅ OK",IF(H33&lt;5.5,"⚠️ pH baixo",IF(H33&gt;6.9,"⚠️ pH alto",IF(I33&gt;2.5,"⚠️ CE alta","✅ OK"))))))))</f>
        <v>—</v>
      </c>
    </row>
    <row r="34" spans="1:12" ht="18" customHeight="1">
      <c r="A34" s="1"/>
      <c r="B34" s="59">
        <f>IF(29&lt;='🌱 Configuração'!$F$55,29,"")</f>
        <v>29</v>
      </c>
      <c r="C34" s="60">
        <f>IF(29&lt;='🌱 Configuração'!$F$55,'🌱 Configuração'!$B$56+28,"")</f>
        <v>28</v>
      </c>
      <c r="D34" s="59" t="str">
        <f>IF(29&gt;'🌱 Configuração'!$F$55,"",IF('🌱 Configuração'!$B$56+28&lt;'🌱 Configuração'!$C$56,"🌱 Clone",IF('🌱 Configuração'!$B$56+28&lt;'🌱 Configuração'!$D$56,"🌿 Vega",IF('🌱 Configuração'!$B$56+28&lt;'🌱 Configuração'!$E$56,"🌸 Flora","🚿 Flush"))))</f>
        <v>🌿 Vega</v>
      </c>
      <c r="E34" s="59"/>
      <c r="F34" s="59"/>
      <c r="G34" s="59"/>
      <c r="H34" s="59"/>
      <c r="I34" s="59"/>
      <c r="J34" s="59"/>
      <c r="K34" s="59"/>
      <c r="L34" s="1" t="str">
        <f>IF(29&gt;'🌱 Configuração'!$F$55,"",IF(F34="","—",IF(F34&lt;22,"⚠️ Temp baixa",IF(F34&gt;29,"⚠️ Temp ALTA",IF(H34="","✅ OK",IF(H34&lt;5.5,"⚠️ pH baixo",IF(H34&gt;6.9,"⚠️ pH alto",IF(I34&gt;2.5,"⚠️ CE alta","✅ OK"))))))))</f>
        <v>—</v>
      </c>
    </row>
    <row r="35" spans="1:12" ht="18" customHeight="1">
      <c r="A35" s="1"/>
      <c r="B35" s="61">
        <f>IF(30&lt;='🌱 Configuração'!$F$55,30,"")</f>
        <v>30</v>
      </c>
      <c r="C35" s="62">
        <f>IF(30&lt;='🌱 Configuração'!$F$55,'🌱 Configuração'!$B$56+29,"")</f>
        <v>29</v>
      </c>
      <c r="D35" s="61" t="str">
        <f>IF(30&gt;'🌱 Configuração'!$F$55,"",IF('🌱 Configuração'!$B$56+29&lt;'🌱 Configuração'!$C$56,"🌱 Clone",IF('🌱 Configuração'!$B$56+29&lt;'🌱 Configuração'!$D$56,"🌿 Vega",IF('🌱 Configuração'!$B$56+29&lt;'🌱 Configuração'!$E$56,"🌸 Flora","🚿 Flush"))))</f>
        <v>🌿 Vega</v>
      </c>
      <c r="E35" s="61"/>
      <c r="F35" s="61"/>
      <c r="G35" s="61"/>
      <c r="H35" s="61"/>
      <c r="I35" s="61"/>
      <c r="J35" s="61"/>
      <c r="K35" s="61"/>
      <c r="L35" s="1" t="str">
        <f>IF(30&gt;'🌱 Configuração'!$F$55,"",IF(F35="","—",IF(F35&lt;22,"⚠️ Temp baixa",IF(F35&gt;29,"⚠️ Temp ALTA",IF(H35="","✅ OK",IF(H35&lt;5.5,"⚠️ pH baixo",IF(H35&gt;6.9,"⚠️ pH alto",IF(I35&gt;2.5,"⚠️ CE alta","✅ OK"))))))))</f>
        <v>—</v>
      </c>
    </row>
    <row r="36" spans="1:12" ht="18" customHeight="1">
      <c r="A36" s="1"/>
      <c r="B36" s="59">
        <f>IF(31&lt;='🌱 Configuração'!$F$55,31,"")</f>
        <v>31</v>
      </c>
      <c r="C36" s="60">
        <f>IF(31&lt;='🌱 Configuração'!$F$55,'🌱 Configuração'!$B$56+30,"")</f>
        <v>30</v>
      </c>
      <c r="D36" s="59" t="str">
        <f>IF(31&gt;'🌱 Configuração'!$F$55,"",IF('🌱 Configuração'!$B$56+30&lt;'🌱 Configuração'!$C$56,"🌱 Clone",IF('🌱 Configuração'!$B$56+30&lt;'🌱 Configuração'!$D$56,"🌿 Vega",IF('🌱 Configuração'!$B$56+30&lt;'🌱 Configuração'!$E$56,"🌸 Flora","🚿 Flush"))))</f>
        <v>🌿 Vega</v>
      </c>
      <c r="E36" s="59"/>
      <c r="F36" s="59"/>
      <c r="G36" s="59"/>
      <c r="H36" s="59"/>
      <c r="I36" s="59"/>
      <c r="J36" s="59"/>
      <c r="K36" s="59"/>
      <c r="L36" s="1" t="str">
        <f>IF(31&gt;'🌱 Configuração'!$F$55,"",IF(F36="","—",IF(F36&lt;22,"⚠️ Temp baixa",IF(F36&gt;29,"⚠️ Temp ALTA",IF(H36="","✅ OK",IF(H36&lt;5.5,"⚠️ pH baixo",IF(H36&gt;6.9,"⚠️ pH alto",IF(I36&gt;2.5,"⚠️ CE alta","✅ OK"))))))))</f>
        <v>—</v>
      </c>
    </row>
    <row r="37" spans="1:12" ht="18" customHeight="1">
      <c r="A37" s="1"/>
      <c r="B37" s="61">
        <f>IF(32&lt;='🌱 Configuração'!$F$55,32,"")</f>
        <v>32</v>
      </c>
      <c r="C37" s="62">
        <f>IF(32&lt;='🌱 Configuração'!$F$55,'🌱 Configuração'!$B$56+31,"")</f>
        <v>31</v>
      </c>
      <c r="D37" s="61" t="str">
        <f>IF(32&gt;'🌱 Configuração'!$F$55,"",IF('🌱 Configuração'!$B$56+31&lt;'🌱 Configuração'!$C$56,"🌱 Clone",IF('🌱 Configuração'!$B$56+31&lt;'🌱 Configuração'!$D$56,"🌿 Vega",IF('🌱 Configuração'!$B$56+31&lt;'🌱 Configuração'!$E$56,"🌸 Flora","🚿 Flush"))))</f>
        <v>🌿 Vega</v>
      </c>
      <c r="E37" s="61"/>
      <c r="F37" s="61"/>
      <c r="G37" s="61"/>
      <c r="H37" s="61"/>
      <c r="I37" s="61"/>
      <c r="J37" s="61"/>
      <c r="K37" s="61"/>
      <c r="L37" s="1" t="str">
        <f>IF(32&gt;'🌱 Configuração'!$F$55,"",IF(F37="","—",IF(F37&lt;22,"⚠️ Temp baixa",IF(F37&gt;29,"⚠️ Temp ALTA",IF(H37="","✅ OK",IF(H37&lt;5.5,"⚠️ pH baixo",IF(H37&gt;6.9,"⚠️ pH alto",IF(I37&gt;2.5,"⚠️ CE alta","✅ OK"))))))))</f>
        <v>—</v>
      </c>
    </row>
    <row r="38" spans="1:12" ht="18" customHeight="1">
      <c r="A38" s="1"/>
      <c r="B38" s="59">
        <f>IF(33&lt;='🌱 Configuração'!$F$55,33,"")</f>
        <v>33</v>
      </c>
      <c r="C38" s="60">
        <f>IF(33&lt;='🌱 Configuração'!$F$55,'🌱 Configuração'!$B$56+32,"")</f>
        <v>32</v>
      </c>
      <c r="D38" s="59" t="str">
        <f>IF(33&gt;'🌱 Configuração'!$F$55,"",IF('🌱 Configuração'!$B$56+32&lt;'🌱 Configuração'!$C$56,"🌱 Clone",IF('🌱 Configuração'!$B$56+32&lt;'🌱 Configuração'!$D$56,"🌿 Vega",IF('🌱 Configuração'!$B$56+32&lt;'🌱 Configuração'!$E$56,"🌸 Flora","🚿 Flush"))))</f>
        <v>🌿 Vega</v>
      </c>
      <c r="E38" s="59"/>
      <c r="F38" s="59"/>
      <c r="G38" s="59"/>
      <c r="H38" s="59"/>
      <c r="I38" s="59"/>
      <c r="J38" s="59"/>
      <c r="K38" s="59"/>
      <c r="L38" s="1" t="str">
        <f>IF(33&gt;'🌱 Configuração'!$F$55,"",IF(F38="","—",IF(F38&lt;22,"⚠️ Temp baixa",IF(F38&gt;29,"⚠️ Temp ALTA",IF(H38="","✅ OK",IF(H38&lt;5.5,"⚠️ pH baixo",IF(H38&gt;6.9,"⚠️ pH alto",IF(I38&gt;2.5,"⚠️ CE alta","✅ OK"))))))))</f>
        <v>—</v>
      </c>
    </row>
    <row r="39" spans="1:12" ht="18" customHeight="1">
      <c r="A39" s="1"/>
      <c r="B39" s="61">
        <f>IF(34&lt;='🌱 Configuração'!$F$55,34,"")</f>
        <v>34</v>
      </c>
      <c r="C39" s="62">
        <f>IF(34&lt;='🌱 Configuração'!$F$55,'🌱 Configuração'!$B$56+33,"")</f>
        <v>33</v>
      </c>
      <c r="D39" s="61" t="str">
        <f>IF(34&gt;'🌱 Configuração'!$F$55,"",IF('🌱 Configuração'!$B$56+33&lt;'🌱 Configuração'!$C$56,"🌱 Clone",IF('🌱 Configuração'!$B$56+33&lt;'🌱 Configuração'!$D$56,"🌿 Vega",IF('🌱 Configuração'!$B$56+33&lt;'🌱 Configuração'!$E$56,"🌸 Flora","🚿 Flush"))))</f>
        <v>🌿 Vega</v>
      </c>
      <c r="E39" s="61"/>
      <c r="F39" s="61"/>
      <c r="G39" s="61"/>
      <c r="H39" s="61"/>
      <c r="I39" s="61"/>
      <c r="J39" s="61"/>
      <c r="K39" s="61"/>
      <c r="L39" s="1" t="str">
        <f>IF(34&gt;'🌱 Configuração'!$F$55,"",IF(F39="","—",IF(F39&lt;22,"⚠️ Temp baixa",IF(F39&gt;29,"⚠️ Temp ALTA",IF(H39="","✅ OK",IF(H39&lt;5.5,"⚠️ pH baixo",IF(H39&gt;6.9,"⚠️ pH alto",IF(I39&gt;2.5,"⚠️ CE alta","✅ OK"))))))))</f>
        <v>—</v>
      </c>
    </row>
    <row r="40" spans="1:12" ht="18" customHeight="1">
      <c r="A40" s="1"/>
      <c r="B40" s="59">
        <f>IF(35&lt;='🌱 Configuração'!$F$55,35,"")</f>
        <v>35</v>
      </c>
      <c r="C40" s="60">
        <f>IF(35&lt;='🌱 Configuração'!$F$55,'🌱 Configuração'!$B$56+34,"")</f>
        <v>34</v>
      </c>
      <c r="D40" s="59" t="str">
        <f>IF(35&gt;'🌱 Configuração'!$F$55,"",IF('🌱 Configuração'!$B$56+34&lt;'🌱 Configuração'!$C$56,"🌱 Clone",IF('🌱 Configuração'!$B$56+34&lt;'🌱 Configuração'!$D$56,"🌿 Vega",IF('🌱 Configuração'!$B$56+34&lt;'🌱 Configuração'!$E$56,"🌸 Flora","🚿 Flush"))))</f>
        <v>🌿 Vega</v>
      </c>
      <c r="E40" s="59"/>
      <c r="F40" s="59"/>
      <c r="G40" s="59"/>
      <c r="H40" s="59"/>
      <c r="I40" s="59"/>
      <c r="J40" s="59"/>
      <c r="K40" s="59"/>
      <c r="L40" s="1" t="str">
        <f>IF(35&gt;'🌱 Configuração'!$F$55,"",IF(F40="","—",IF(F40&lt;22,"⚠️ Temp baixa",IF(F40&gt;29,"⚠️ Temp ALTA",IF(H40="","✅ OK",IF(H40&lt;5.5,"⚠️ pH baixo",IF(H40&gt;6.9,"⚠️ pH alto",IF(I40&gt;2.5,"⚠️ CE alta","✅ OK"))))))))</f>
        <v>—</v>
      </c>
    </row>
    <row r="41" spans="1:12" ht="18" customHeight="1">
      <c r="A41" s="1"/>
      <c r="B41" s="61">
        <f>IF(36&lt;='🌱 Configuração'!$F$55,36,"")</f>
        <v>36</v>
      </c>
      <c r="C41" s="62">
        <f>IF(36&lt;='🌱 Configuração'!$F$55,'🌱 Configuração'!$B$56+35,"")</f>
        <v>35</v>
      </c>
      <c r="D41" s="61" t="str">
        <f>IF(36&gt;'🌱 Configuração'!$F$55,"",IF('🌱 Configuração'!$B$56+35&lt;'🌱 Configuração'!$C$56,"🌱 Clone",IF('🌱 Configuração'!$B$56+35&lt;'🌱 Configuração'!$D$56,"🌿 Vega",IF('🌱 Configuração'!$B$56+35&lt;'🌱 Configuração'!$E$56,"🌸 Flora","🚿 Flush"))))</f>
        <v>🌿 Vega</v>
      </c>
      <c r="E41" s="61"/>
      <c r="F41" s="61"/>
      <c r="G41" s="61"/>
      <c r="H41" s="61"/>
      <c r="I41" s="61"/>
      <c r="J41" s="61"/>
      <c r="K41" s="61"/>
      <c r="L41" s="1" t="str">
        <f>IF(36&gt;'🌱 Configuração'!$F$55,"",IF(F41="","—",IF(F41&lt;22,"⚠️ Temp baixa",IF(F41&gt;29,"⚠️ Temp ALTA",IF(H41="","✅ OK",IF(H41&lt;5.5,"⚠️ pH baixo",IF(H41&gt;6.9,"⚠️ pH alto",IF(I41&gt;2.5,"⚠️ CE alta","✅ OK"))))))))</f>
        <v>—</v>
      </c>
    </row>
    <row r="42" spans="1:12" ht="18" customHeight="1">
      <c r="A42" s="1"/>
      <c r="B42" s="59">
        <f>IF(37&lt;='🌱 Configuração'!$F$55,37,"")</f>
        <v>37</v>
      </c>
      <c r="C42" s="60">
        <f>IF(37&lt;='🌱 Configuração'!$F$55,'🌱 Configuração'!$B$56+36,"")</f>
        <v>36</v>
      </c>
      <c r="D42" s="59" t="str">
        <f>IF(37&gt;'🌱 Configuração'!$F$55,"",IF('🌱 Configuração'!$B$56+36&lt;'🌱 Configuração'!$C$56,"🌱 Clone",IF('🌱 Configuração'!$B$56+36&lt;'🌱 Configuração'!$D$56,"🌿 Vega",IF('🌱 Configuração'!$B$56+36&lt;'🌱 Configuração'!$E$56,"🌸 Flora","🚿 Flush"))))</f>
        <v>🌿 Vega</v>
      </c>
      <c r="E42" s="59"/>
      <c r="F42" s="59"/>
      <c r="G42" s="59"/>
      <c r="H42" s="59"/>
      <c r="I42" s="59"/>
      <c r="J42" s="59"/>
      <c r="K42" s="59"/>
      <c r="L42" s="1" t="str">
        <f>IF(37&gt;'🌱 Configuração'!$F$55,"",IF(F42="","—",IF(F42&lt;22,"⚠️ Temp baixa",IF(F42&gt;29,"⚠️ Temp ALTA",IF(H42="","✅ OK",IF(H42&lt;5.5,"⚠️ pH baixo",IF(H42&gt;6.9,"⚠️ pH alto",IF(I42&gt;2.5,"⚠️ CE alta","✅ OK"))))))))</f>
        <v>—</v>
      </c>
    </row>
    <row r="43" spans="1:12" ht="18" customHeight="1">
      <c r="A43" s="1"/>
      <c r="B43" s="61">
        <f>IF(38&lt;='🌱 Configuração'!$F$55,38,"")</f>
        <v>38</v>
      </c>
      <c r="C43" s="62">
        <f>IF(38&lt;='🌱 Configuração'!$F$55,'🌱 Configuração'!$B$56+37,"")</f>
        <v>37</v>
      </c>
      <c r="D43" s="61" t="str">
        <f>IF(38&gt;'🌱 Configuração'!$F$55,"",IF('🌱 Configuração'!$B$56+37&lt;'🌱 Configuração'!$C$56,"🌱 Clone",IF('🌱 Configuração'!$B$56+37&lt;'🌱 Configuração'!$D$56,"🌿 Vega",IF('🌱 Configuração'!$B$56+37&lt;'🌱 Configuração'!$E$56,"🌸 Flora","🚿 Flush"))))</f>
        <v>🌿 Vega</v>
      </c>
      <c r="E43" s="61"/>
      <c r="F43" s="61"/>
      <c r="G43" s="61"/>
      <c r="H43" s="61"/>
      <c r="I43" s="61"/>
      <c r="J43" s="61"/>
      <c r="K43" s="61"/>
      <c r="L43" s="1" t="str">
        <f>IF(38&gt;'🌱 Configuração'!$F$55,"",IF(F43="","—",IF(F43&lt;22,"⚠️ Temp baixa",IF(F43&gt;29,"⚠️ Temp ALTA",IF(H43="","✅ OK",IF(H43&lt;5.5,"⚠️ pH baixo",IF(H43&gt;6.9,"⚠️ pH alto",IF(I43&gt;2.5,"⚠️ CE alta","✅ OK"))))))))</f>
        <v>—</v>
      </c>
    </row>
    <row r="44" spans="1:12" ht="18" customHeight="1">
      <c r="A44" s="1"/>
      <c r="B44" s="59">
        <f>IF(39&lt;='🌱 Configuração'!$F$55,39,"")</f>
        <v>39</v>
      </c>
      <c r="C44" s="60">
        <f>IF(39&lt;='🌱 Configuração'!$F$55,'🌱 Configuração'!$B$56+38,"")</f>
        <v>38</v>
      </c>
      <c r="D44" s="59" t="str">
        <f>IF(39&gt;'🌱 Configuração'!$F$55,"",IF('🌱 Configuração'!$B$56+38&lt;'🌱 Configuração'!$C$56,"🌱 Clone",IF('🌱 Configuração'!$B$56+38&lt;'🌱 Configuração'!$D$56,"🌿 Vega",IF('🌱 Configuração'!$B$56+38&lt;'🌱 Configuração'!$E$56,"🌸 Flora","🚿 Flush"))))</f>
        <v>🌿 Vega</v>
      </c>
      <c r="E44" s="59"/>
      <c r="F44" s="59"/>
      <c r="G44" s="59"/>
      <c r="H44" s="59"/>
      <c r="I44" s="59"/>
      <c r="J44" s="59"/>
      <c r="K44" s="59"/>
      <c r="L44" s="1" t="str">
        <f>IF(39&gt;'🌱 Configuração'!$F$55,"",IF(F44="","—",IF(F44&lt;22,"⚠️ Temp baixa",IF(F44&gt;29,"⚠️ Temp ALTA",IF(H44="","✅ OK",IF(H44&lt;5.5,"⚠️ pH baixo",IF(H44&gt;6.9,"⚠️ pH alto",IF(I44&gt;2.5,"⚠️ CE alta","✅ OK"))))))))</f>
        <v>—</v>
      </c>
    </row>
    <row r="45" spans="1:12" ht="18" customHeight="1">
      <c r="A45" s="1"/>
      <c r="B45" s="61">
        <f>IF(40&lt;='🌱 Configuração'!$F$55,40,"")</f>
        <v>40</v>
      </c>
      <c r="C45" s="62">
        <f>IF(40&lt;='🌱 Configuração'!$F$55,'🌱 Configuração'!$B$56+39,"")</f>
        <v>39</v>
      </c>
      <c r="D45" s="61" t="str">
        <f>IF(40&gt;'🌱 Configuração'!$F$55,"",IF('🌱 Configuração'!$B$56+39&lt;'🌱 Configuração'!$C$56,"🌱 Clone",IF('🌱 Configuração'!$B$56+39&lt;'🌱 Configuração'!$D$56,"🌿 Vega",IF('🌱 Configuração'!$B$56+39&lt;'🌱 Configuração'!$E$56,"🌸 Flora","🚿 Flush"))))</f>
        <v>🌿 Vega</v>
      </c>
      <c r="E45" s="61"/>
      <c r="F45" s="61"/>
      <c r="G45" s="61"/>
      <c r="H45" s="61"/>
      <c r="I45" s="61"/>
      <c r="J45" s="61"/>
      <c r="K45" s="61"/>
      <c r="L45" s="1" t="str">
        <f>IF(40&gt;'🌱 Configuração'!$F$55,"",IF(F45="","—",IF(F45&lt;22,"⚠️ Temp baixa",IF(F45&gt;29,"⚠️ Temp ALTA",IF(H45="","✅ OK",IF(H45&lt;5.5,"⚠️ pH baixo",IF(H45&gt;6.9,"⚠️ pH alto",IF(I45&gt;2.5,"⚠️ CE alta","✅ OK"))))))))</f>
        <v>—</v>
      </c>
    </row>
    <row r="46" spans="1:12" ht="18" customHeight="1">
      <c r="A46" s="1"/>
      <c r="B46" s="59">
        <f>IF(41&lt;='🌱 Configuração'!$F$55,41,"")</f>
        <v>41</v>
      </c>
      <c r="C46" s="60">
        <f>IF(41&lt;='🌱 Configuração'!$F$55,'🌱 Configuração'!$B$56+40,"")</f>
        <v>40</v>
      </c>
      <c r="D46" s="59" t="str">
        <f>IF(41&gt;'🌱 Configuração'!$F$55,"",IF('🌱 Configuração'!$B$56+40&lt;'🌱 Configuração'!$C$56,"🌱 Clone",IF('🌱 Configuração'!$B$56+40&lt;'🌱 Configuração'!$D$56,"🌿 Vega",IF('🌱 Configuração'!$B$56+40&lt;'🌱 Configuração'!$E$56,"🌸 Flora","🚿 Flush"))))</f>
        <v>🌿 Vega</v>
      </c>
      <c r="E46" s="59"/>
      <c r="F46" s="59"/>
      <c r="G46" s="59"/>
      <c r="H46" s="59"/>
      <c r="I46" s="59"/>
      <c r="J46" s="59"/>
      <c r="K46" s="59"/>
      <c r="L46" s="1" t="str">
        <f>IF(41&gt;'🌱 Configuração'!$F$55,"",IF(F46="","—",IF(F46&lt;22,"⚠️ Temp baixa",IF(F46&gt;29,"⚠️ Temp ALTA",IF(H46="","✅ OK",IF(H46&lt;5.5,"⚠️ pH baixo",IF(H46&gt;6.9,"⚠️ pH alto",IF(I46&gt;2.5,"⚠️ CE alta","✅ OK"))))))))</f>
        <v>—</v>
      </c>
    </row>
    <row r="47" spans="1:12" ht="18" customHeight="1">
      <c r="A47" s="1"/>
      <c r="B47" s="61">
        <f>IF(42&lt;='🌱 Configuração'!$F$55,42,"")</f>
        <v>42</v>
      </c>
      <c r="C47" s="62">
        <f>IF(42&lt;='🌱 Configuração'!$F$55,'🌱 Configuração'!$B$56+41,"")</f>
        <v>41</v>
      </c>
      <c r="D47" s="61" t="str">
        <f>IF(42&gt;'🌱 Configuração'!$F$55,"",IF('🌱 Configuração'!$B$56+41&lt;'🌱 Configuração'!$C$56,"🌱 Clone",IF('🌱 Configuração'!$B$56+41&lt;'🌱 Configuração'!$D$56,"🌿 Vega",IF('🌱 Configuração'!$B$56+41&lt;'🌱 Configuração'!$E$56,"🌸 Flora","🚿 Flush"))))</f>
        <v>🌿 Vega</v>
      </c>
      <c r="E47" s="61"/>
      <c r="F47" s="61"/>
      <c r="G47" s="61"/>
      <c r="H47" s="61"/>
      <c r="I47" s="61"/>
      <c r="J47" s="61"/>
      <c r="K47" s="61"/>
      <c r="L47" s="1" t="str">
        <f>IF(42&gt;'🌱 Configuração'!$F$55,"",IF(F47="","—",IF(F47&lt;22,"⚠️ Temp baixa",IF(F47&gt;29,"⚠️ Temp ALTA",IF(H47="","✅ OK",IF(H47&lt;5.5,"⚠️ pH baixo",IF(H47&gt;6.9,"⚠️ pH alto",IF(I47&gt;2.5,"⚠️ CE alta","✅ OK"))))))))</f>
        <v>—</v>
      </c>
    </row>
    <row r="48" spans="1:12" ht="18" customHeight="1">
      <c r="A48" s="1"/>
      <c r="B48" s="59">
        <f>IF(43&lt;='🌱 Configuração'!$F$55,43,"")</f>
        <v>43</v>
      </c>
      <c r="C48" s="60">
        <f>IF(43&lt;='🌱 Configuração'!$F$55,'🌱 Configuração'!$B$56+42,"")</f>
        <v>42</v>
      </c>
      <c r="D48" s="59" t="str">
        <f>IF(43&gt;'🌱 Configuração'!$F$55,"",IF('🌱 Configuração'!$B$56+42&lt;'🌱 Configuração'!$C$56,"🌱 Clone",IF('🌱 Configuração'!$B$56+42&lt;'🌱 Configuração'!$D$56,"🌿 Vega",IF('🌱 Configuração'!$B$56+42&lt;'🌱 Configuração'!$E$56,"🌸 Flora","🚿 Flush"))))</f>
        <v>🌿 Vega</v>
      </c>
      <c r="E48" s="59"/>
      <c r="F48" s="59"/>
      <c r="G48" s="59"/>
      <c r="H48" s="59"/>
      <c r="I48" s="59"/>
      <c r="J48" s="59"/>
      <c r="K48" s="59"/>
      <c r="L48" s="1" t="str">
        <f>IF(43&gt;'🌱 Configuração'!$F$55,"",IF(F48="","—",IF(F48&lt;22,"⚠️ Temp baixa",IF(F48&gt;29,"⚠️ Temp ALTA",IF(H48="","✅ OK",IF(H48&lt;5.5,"⚠️ pH baixo",IF(H48&gt;6.9,"⚠️ pH alto",IF(I48&gt;2.5,"⚠️ CE alta","✅ OK"))))))))</f>
        <v>—</v>
      </c>
    </row>
    <row r="49" spans="1:12" ht="18" customHeight="1">
      <c r="A49" s="1"/>
      <c r="B49" s="61">
        <f>IF(44&lt;='🌱 Configuração'!$F$55,44,"")</f>
        <v>44</v>
      </c>
      <c r="C49" s="62">
        <f>IF(44&lt;='🌱 Configuração'!$F$55,'🌱 Configuração'!$B$56+43,"")</f>
        <v>43</v>
      </c>
      <c r="D49" s="61" t="str">
        <f>IF(44&gt;'🌱 Configuração'!$F$55,"",IF('🌱 Configuração'!$B$56+43&lt;'🌱 Configuração'!$C$56,"🌱 Clone",IF('🌱 Configuração'!$B$56+43&lt;'🌱 Configuração'!$D$56,"🌿 Vega",IF('🌱 Configuração'!$B$56+43&lt;'🌱 Configuração'!$E$56,"🌸 Flora","🚿 Flush"))))</f>
        <v>🌿 Vega</v>
      </c>
      <c r="E49" s="61"/>
      <c r="F49" s="61"/>
      <c r="G49" s="61"/>
      <c r="H49" s="61"/>
      <c r="I49" s="61"/>
      <c r="J49" s="61"/>
      <c r="K49" s="61"/>
      <c r="L49" s="1" t="str">
        <f>IF(44&gt;'🌱 Configuração'!$F$55,"",IF(F49="","—",IF(F49&lt;22,"⚠️ Temp baixa",IF(F49&gt;29,"⚠️ Temp ALTA",IF(H49="","✅ OK",IF(H49&lt;5.5,"⚠️ pH baixo",IF(H49&gt;6.9,"⚠️ pH alto",IF(I49&gt;2.5,"⚠️ CE alta","✅ OK"))))))))</f>
        <v>—</v>
      </c>
    </row>
    <row r="50" spans="1:12" ht="18" customHeight="1">
      <c r="A50" s="1"/>
      <c r="B50" s="59">
        <f>IF(45&lt;='🌱 Configuração'!$F$55,45,"")</f>
        <v>45</v>
      </c>
      <c r="C50" s="60">
        <f>IF(45&lt;='🌱 Configuração'!$F$55,'🌱 Configuração'!$B$56+44,"")</f>
        <v>44</v>
      </c>
      <c r="D50" s="59" t="str">
        <f>IF(45&gt;'🌱 Configuração'!$F$55,"",IF('🌱 Configuração'!$B$56+44&lt;'🌱 Configuração'!$C$56,"🌱 Clone",IF('🌱 Configuração'!$B$56+44&lt;'🌱 Configuração'!$D$56,"🌿 Vega",IF('🌱 Configuração'!$B$56+44&lt;'🌱 Configuração'!$E$56,"🌸 Flora","🚿 Flush"))))</f>
        <v>🌿 Vega</v>
      </c>
      <c r="E50" s="59"/>
      <c r="F50" s="59"/>
      <c r="G50" s="59"/>
      <c r="H50" s="59"/>
      <c r="I50" s="59"/>
      <c r="J50" s="59"/>
      <c r="K50" s="59"/>
      <c r="L50" s="1" t="str">
        <f>IF(45&gt;'🌱 Configuração'!$F$55,"",IF(F50="","—",IF(F50&lt;22,"⚠️ Temp baixa",IF(F50&gt;29,"⚠️ Temp ALTA",IF(H50="","✅ OK",IF(H50&lt;5.5,"⚠️ pH baixo",IF(H50&gt;6.9,"⚠️ pH alto",IF(I50&gt;2.5,"⚠️ CE alta","✅ OK"))))))))</f>
        <v>—</v>
      </c>
    </row>
    <row r="51" spans="1:12" ht="18" customHeight="1">
      <c r="A51" s="1"/>
      <c r="B51" s="61">
        <f>IF(46&lt;='🌱 Configuração'!$F$55,46,"")</f>
        <v>46</v>
      </c>
      <c r="C51" s="62">
        <f>IF(46&lt;='🌱 Configuração'!$F$55,'🌱 Configuração'!$B$56+45,"")</f>
        <v>45</v>
      </c>
      <c r="D51" s="61" t="str">
        <f>IF(46&gt;'🌱 Configuração'!$F$55,"",IF('🌱 Configuração'!$B$56+45&lt;'🌱 Configuração'!$C$56,"🌱 Clone",IF('🌱 Configuração'!$B$56+45&lt;'🌱 Configuração'!$D$56,"🌿 Vega",IF('🌱 Configuração'!$B$56+45&lt;'🌱 Configuração'!$E$56,"🌸 Flora","🚿 Flush"))))</f>
        <v>🌿 Vega</v>
      </c>
      <c r="E51" s="61"/>
      <c r="F51" s="61"/>
      <c r="G51" s="61"/>
      <c r="H51" s="61"/>
      <c r="I51" s="61"/>
      <c r="J51" s="61"/>
      <c r="K51" s="61"/>
      <c r="L51" s="1" t="str">
        <f>IF(46&gt;'🌱 Configuração'!$F$55,"",IF(F51="","—",IF(F51&lt;22,"⚠️ Temp baixa",IF(F51&gt;29,"⚠️ Temp ALTA",IF(H51="","✅ OK",IF(H51&lt;5.5,"⚠️ pH baixo",IF(H51&gt;6.9,"⚠️ pH alto",IF(I51&gt;2.5,"⚠️ CE alta","✅ OK"))))))))</f>
        <v>—</v>
      </c>
    </row>
    <row r="52" spans="1:12" ht="18" customHeight="1">
      <c r="A52" s="1"/>
      <c r="B52" s="59">
        <f>IF(47&lt;='🌱 Configuração'!$F$55,47,"")</f>
        <v>47</v>
      </c>
      <c r="C52" s="60">
        <f>IF(47&lt;='🌱 Configuração'!$F$55,'🌱 Configuração'!$B$56+46,"")</f>
        <v>46</v>
      </c>
      <c r="D52" s="59" t="str">
        <f>IF(47&gt;'🌱 Configuração'!$F$55,"",IF('🌱 Configuração'!$B$56+46&lt;'🌱 Configuração'!$C$56,"🌱 Clone",IF('🌱 Configuração'!$B$56+46&lt;'🌱 Configuração'!$D$56,"🌿 Vega",IF('🌱 Configuração'!$B$56+46&lt;'🌱 Configuração'!$E$56,"🌸 Flora","🚿 Flush"))))</f>
        <v>🌿 Vega</v>
      </c>
      <c r="E52" s="59"/>
      <c r="F52" s="59"/>
      <c r="G52" s="59"/>
      <c r="H52" s="59"/>
      <c r="I52" s="59"/>
      <c r="J52" s="59"/>
      <c r="K52" s="59"/>
      <c r="L52" s="1" t="str">
        <f>IF(47&gt;'🌱 Configuração'!$F$55,"",IF(F52="","—",IF(F52&lt;22,"⚠️ Temp baixa",IF(F52&gt;29,"⚠️ Temp ALTA",IF(H52="","✅ OK",IF(H52&lt;5.5,"⚠️ pH baixo",IF(H52&gt;6.9,"⚠️ pH alto",IF(I52&gt;2.5,"⚠️ CE alta","✅ OK"))))))))</f>
        <v>—</v>
      </c>
    </row>
    <row r="53" spans="1:12" ht="18" customHeight="1">
      <c r="A53" s="1"/>
      <c r="B53" s="61">
        <f>IF(48&lt;='🌱 Configuração'!$F$55,48,"")</f>
        <v>48</v>
      </c>
      <c r="C53" s="62">
        <f>IF(48&lt;='🌱 Configuração'!$F$55,'🌱 Configuração'!$B$56+47,"")</f>
        <v>47</v>
      </c>
      <c r="D53" s="61" t="str">
        <f>IF(48&gt;'🌱 Configuração'!$F$55,"",IF('🌱 Configuração'!$B$56+47&lt;'🌱 Configuração'!$C$56,"🌱 Clone",IF('🌱 Configuração'!$B$56+47&lt;'🌱 Configuração'!$D$56,"🌿 Vega",IF('🌱 Configuração'!$B$56+47&lt;'🌱 Configuração'!$E$56,"🌸 Flora","🚿 Flush"))))</f>
        <v>🌿 Vega</v>
      </c>
      <c r="E53" s="61"/>
      <c r="F53" s="61"/>
      <c r="G53" s="61"/>
      <c r="H53" s="61"/>
      <c r="I53" s="61"/>
      <c r="J53" s="61"/>
      <c r="K53" s="61"/>
      <c r="L53" s="1" t="str">
        <f>IF(48&gt;'🌱 Configuração'!$F$55,"",IF(F53="","—",IF(F53&lt;22,"⚠️ Temp baixa",IF(F53&gt;29,"⚠️ Temp ALTA",IF(H53="","✅ OK",IF(H53&lt;5.5,"⚠️ pH baixo",IF(H53&gt;6.9,"⚠️ pH alto",IF(I53&gt;2.5,"⚠️ CE alta","✅ OK"))))))))</f>
        <v>—</v>
      </c>
    </row>
    <row r="54" spans="1:12" ht="18" customHeight="1">
      <c r="A54" s="1"/>
      <c r="B54" s="59">
        <f>IF(49&lt;='🌱 Configuração'!$F$55,49,"")</f>
        <v>49</v>
      </c>
      <c r="C54" s="60">
        <f>IF(49&lt;='🌱 Configuração'!$F$55,'🌱 Configuração'!$B$56+48,"")</f>
        <v>48</v>
      </c>
      <c r="D54" s="59" t="str">
        <f>IF(49&gt;'🌱 Configuração'!$F$55,"",IF('🌱 Configuração'!$B$56+48&lt;'🌱 Configuração'!$C$56,"🌱 Clone",IF('🌱 Configuração'!$B$56+48&lt;'🌱 Configuração'!$D$56,"🌿 Vega",IF('🌱 Configuração'!$B$56+48&lt;'🌱 Configuração'!$E$56,"🌸 Flora","🚿 Flush"))))</f>
        <v>🌿 Vega</v>
      </c>
      <c r="E54" s="59"/>
      <c r="F54" s="59"/>
      <c r="G54" s="59"/>
      <c r="H54" s="59"/>
      <c r="I54" s="59"/>
      <c r="J54" s="59"/>
      <c r="K54" s="59"/>
      <c r="L54" s="1" t="str">
        <f>IF(49&gt;'🌱 Configuração'!$F$55,"",IF(F54="","—",IF(F54&lt;22,"⚠️ Temp baixa",IF(F54&gt;29,"⚠️ Temp ALTA",IF(H54="","✅ OK",IF(H54&lt;5.5,"⚠️ pH baixo",IF(H54&gt;6.9,"⚠️ pH alto",IF(I54&gt;2.5,"⚠️ CE alta","✅ OK"))))))))</f>
        <v>—</v>
      </c>
    </row>
    <row r="55" spans="1:12" ht="18" customHeight="1">
      <c r="A55" s="1"/>
      <c r="B55" s="61">
        <f>IF(50&lt;='🌱 Configuração'!$F$55,50,"")</f>
        <v>50</v>
      </c>
      <c r="C55" s="62">
        <f>IF(50&lt;='🌱 Configuração'!$F$55,'🌱 Configuração'!$B$56+49,"")</f>
        <v>49</v>
      </c>
      <c r="D55" s="61" t="str">
        <f>IF(50&gt;'🌱 Configuração'!$F$55,"",IF('🌱 Configuração'!$B$56+49&lt;'🌱 Configuração'!$C$56,"🌱 Clone",IF('🌱 Configuração'!$B$56+49&lt;'🌱 Configuração'!$D$56,"🌿 Vega",IF('🌱 Configuração'!$B$56+49&lt;'🌱 Configuração'!$E$56,"🌸 Flora","🚿 Flush"))))</f>
        <v>🌿 Vega</v>
      </c>
      <c r="E55" s="61"/>
      <c r="F55" s="61"/>
      <c r="G55" s="61"/>
      <c r="H55" s="61"/>
      <c r="I55" s="61"/>
      <c r="J55" s="61"/>
      <c r="K55" s="61"/>
      <c r="L55" s="1" t="str">
        <f>IF(50&gt;'🌱 Configuração'!$F$55,"",IF(F55="","—",IF(F55&lt;22,"⚠️ Temp baixa",IF(F55&gt;29,"⚠️ Temp ALTA",IF(H55="","✅ OK",IF(H55&lt;5.5,"⚠️ pH baixo",IF(H55&gt;6.9,"⚠️ pH alto",IF(I55&gt;2.5,"⚠️ CE alta","✅ OK"))))))))</f>
        <v>—</v>
      </c>
    </row>
    <row r="56" spans="1:12" ht="18" customHeight="1">
      <c r="A56" s="1"/>
      <c r="B56" s="59">
        <f>IF(51&lt;='🌱 Configuração'!$F$55,51,"")</f>
        <v>51</v>
      </c>
      <c r="C56" s="60">
        <f>IF(51&lt;='🌱 Configuração'!$F$55,'🌱 Configuração'!$B$56+50,"")</f>
        <v>50</v>
      </c>
      <c r="D56" s="59" t="str">
        <f>IF(51&gt;'🌱 Configuração'!$F$55,"",IF('🌱 Configuração'!$B$56+50&lt;'🌱 Configuração'!$C$56,"🌱 Clone",IF('🌱 Configuração'!$B$56+50&lt;'🌱 Configuração'!$D$56,"🌿 Vega",IF('🌱 Configuração'!$B$56+50&lt;'🌱 Configuração'!$E$56,"🌸 Flora","🚿 Flush"))))</f>
        <v>🌿 Vega</v>
      </c>
      <c r="E56" s="59"/>
      <c r="F56" s="59"/>
      <c r="G56" s="59"/>
      <c r="H56" s="59"/>
      <c r="I56" s="59"/>
      <c r="J56" s="59"/>
      <c r="K56" s="59"/>
      <c r="L56" s="1" t="str">
        <f>IF(51&gt;'🌱 Configuração'!$F$55,"",IF(F56="","—",IF(F56&lt;22,"⚠️ Temp baixa",IF(F56&gt;29,"⚠️ Temp ALTA",IF(H56="","✅ OK",IF(H56&lt;5.5,"⚠️ pH baixo",IF(H56&gt;6.9,"⚠️ pH alto",IF(I56&gt;2.5,"⚠️ CE alta","✅ OK"))))))))</f>
        <v>—</v>
      </c>
    </row>
    <row r="57" spans="1:12" ht="18" customHeight="1">
      <c r="A57" s="1"/>
      <c r="B57" s="61">
        <f>IF(52&lt;='🌱 Configuração'!$F$55,52,"")</f>
        <v>52</v>
      </c>
      <c r="C57" s="62">
        <f>IF(52&lt;='🌱 Configuração'!$F$55,'🌱 Configuração'!$B$56+51,"")</f>
        <v>51</v>
      </c>
      <c r="D57" s="61" t="str">
        <f>IF(52&gt;'🌱 Configuração'!$F$55,"",IF('🌱 Configuração'!$B$56+51&lt;'🌱 Configuração'!$C$56,"🌱 Clone",IF('🌱 Configuração'!$B$56+51&lt;'🌱 Configuração'!$D$56,"🌿 Vega",IF('🌱 Configuração'!$B$56+51&lt;'🌱 Configuração'!$E$56,"🌸 Flora","🚿 Flush"))))</f>
        <v>🌿 Vega</v>
      </c>
      <c r="E57" s="61"/>
      <c r="F57" s="61"/>
      <c r="G57" s="61"/>
      <c r="H57" s="61"/>
      <c r="I57" s="61"/>
      <c r="J57" s="61"/>
      <c r="K57" s="61"/>
      <c r="L57" s="1" t="str">
        <f>IF(52&gt;'🌱 Configuração'!$F$55,"",IF(F57="","—",IF(F57&lt;22,"⚠️ Temp baixa",IF(F57&gt;29,"⚠️ Temp ALTA",IF(H57="","✅ OK",IF(H57&lt;5.5,"⚠️ pH baixo",IF(H57&gt;6.9,"⚠️ pH alto",IF(I57&gt;2.5,"⚠️ CE alta","✅ OK"))))))))</f>
        <v>—</v>
      </c>
    </row>
    <row r="58" spans="1:12" ht="18" customHeight="1">
      <c r="A58" s="1"/>
      <c r="B58" s="59">
        <f>IF(53&lt;='🌱 Configuração'!$F$55,53,"")</f>
        <v>53</v>
      </c>
      <c r="C58" s="60">
        <f>IF(53&lt;='🌱 Configuração'!$F$55,'🌱 Configuração'!$B$56+52,"")</f>
        <v>52</v>
      </c>
      <c r="D58" s="59" t="str">
        <f>IF(53&gt;'🌱 Configuração'!$F$55,"",IF('🌱 Configuração'!$B$56+52&lt;'🌱 Configuração'!$C$56,"🌱 Clone",IF('🌱 Configuração'!$B$56+52&lt;'🌱 Configuração'!$D$56,"🌿 Vega",IF('🌱 Configuração'!$B$56+52&lt;'🌱 Configuração'!$E$56,"🌸 Flora","🚿 Flush"))))</f>
        <v>🌿 Vega</v>
      </c>
      <c r="E58" s="59"/>
      <c r="F58" s="59"/>
      <c r="G58" s="59"/>
      <c r="H58" s="59"/>
      <c r="I58" s="59"/>
      <c r="J58" s="59"/>
      <c r="K58" s="59"/>
      <c r="L58" s="1" t="str">
        <f>IF(53&gt;'🌱 Configuração'!$F$55,"",IF(F58="","—",IF(F58&lt;22,"⚠️ Temp baixa",IF(F58&gt;29,"⚠️ Temp ALTA",IF(H58="","✅ OK",IF(H58&lt;5.5,"⚠️ pH baixo",IF(H58&gt;6.9,"⚠️ pH alto",IF(I58&gt;2.5,"⚠️ CE alta","✅ OK"))))))))</f>
        <v>—</v>
      </c>
    </row>
    <row r="59" spans="1:12" ht="18" customHeight="1">
      <c r="A59" s="1"/>
      <c r="B59" s="61">
        <f>IF(54&lt;='🌱 Configuração'!$F$55,54,"")</f>
        <v>54</v>
      </c>
      <c r="C59" s="62">
        <f>IF(54&lt;='🌱 Configuração'!$F$55,'🌱 Configuração'!$B$56+53,"")</f>
        <v>53</v>
      </c>
      <c r="D59" s="61" t="str">
        <f>IF(54&gt;'🌱 Configuração'!$F$55,"",IF('🌱 Configuração'!$B$56+53&lt;'🌱 Configuração'!$C$56,"🌱 Clone",IF('🌱 Configuração'!$B$56+53&lt;'🌱 Configuração'!$D$56,"🌿 Vega",IF('🌱 Configuração'!$B$56+53&lt;'🌱 Configuração'!$E$56,"🌸 Flora","🚿 Flush"))))</f>
        <v>🌿 Vega</v>
      </c>
      <c r="E59" s="61"/>
      <c r="F59" s="61"/>
      <c r="G59" s="61"/>
      <c r="H59" s="61"/>
      <c r="I59" s="61"/>
      <c r="J59" s="61"/>
      <c r="K59" s="61"/>
      <c r="L59" s="1" t="str">
        <f>IF(54&gt;'🌱 Configuração'!$F$55,"",IF(F59="","—",IF(F59&lt;22,"⚠️ Temp baixa",IF(F59&gt;29,"⚠️ Temp ALTA",IF(H59="","✅ OK",IF(H59&lt;5.5,"⚠️ pH baixo",IF(H59&gt;6.9,"⚠️ pH alto",IF(I59&gt;2.5,"⚠️ CE alta","✅ OK"))))))))</f>
        <v>—</v>
      </c>
    </row>
    <row r="60" spans="1:12" ht="18" customHeight="1">
      <c r="A60" s="1"/>
      <c r="B60" s="59">
        <f>IF(55&lt;='🌱 Configuração'!$F$55,55,"")</f>
        <v>55</v>
      </c>
      <c r="C60" s="60">
        <f>IF(55&lt;='🌱 Configuração'!$F$55,'🌱 Configuração'!$B$56+54,"")</f>
        <v>54</v>
      </c>
      <c r="D60" s="59" t="str">
        <f>IF(55&gt;'🌱 Configuração'!$F$55,"",IF('🌱 Configuração'!$B$56+54&lt;'🌱 Configuração'!$C$56,"🌱 Clone",IF('🌱 Configuração'!$B$56+54&lt;'🌱 Configuração'!$D$56,"🌿 Vega",IF('🌱 Configuração'!$B$56+54&lt;'🌱 Configuração'!$E$56,"🌸 Flora","🚿 Flush"))))</f>
        <v>🌿 Vega</v>
      </c>
      <c r="E60" s="59"/>
      <c r="F60" s="59"/>
      <c r="G60" s="59"/>
      <c r="H60" s="59"/>
      <c r="I60" s="59"/>
      <c r="J60" s="59"/>
      <c r="K60" s="59"/>
      <c r="L60" s="1" t="str">
        <f>IF(55&gt;'🌱 Configuração'!$F$55,"",IF(F60="","—",IF(F60&lt;22,"⚠️ Temp baixa",IF(F60&gt;29,"⚠️ Temp ALTA",IF(H60="","✅ OK",IF(H60&lt;5.5,"⚠️ pH baixo",IF(H60&gt;6.9,"⚠️ pH alto",IF(I60&gt;2.5,"⚠️ CE alta","✅ OK"))))))))</f>
        <v>—</v>
      </c>
    </row>
    <row r="61" spans="1:12" ht="18" customHeight="1">
      <c r="A61" s="1"/>
      <c r="B61" s="61">
        <f>IF(56&lt;='🌱 Configuração'!$F$55,56,"")</f>
        <v>56</v>
      </c>
      <c r="C61" s="62">
        <f>IF(56&lt;='🌱 Configuração'!$F$55,'🌱 Configuração'!$B$56+55,"")</f>
        <v>55</v>
      </c>
      <c r="D61" s="61" t="str">
        <f>IF(56&gt;'🌱 Configuração'!$F$55,"",IF('🌱 Configuração'!$B$56+55&lt;'🌱 Configuração'!$C$56,"🌱 Clone",IF('🌱 Configuração'!$B$56+55&lt;'🌱 Configuração'!$D$56,"🌿 Vega",IF('🌱 Configuração'!$B$56+55&lt;'🌱 Configuração'!$E$56,"🌸 Flora","🚿 Flush"))))</f>
        <v>🌿 Vega</v>
      </c>
      <c r="E61" s="61"/>
      <c r="F61" s="61"/>
      <c r="G61" s="61"/>
      <c r="H61" s="61"/>
      <c r="I61" s="61"/>
      <c r="J61" s="61"/>
      <c r="K61" s="61"/>
      <c r="L61" s="1" t="str">
        <f>IF(56&gt;'🌱 Configuração'!$F$55,"",IF(F61="","—",IF(F61&lt;22,"⚠️ Temp baixa",IF(F61&gt;29,"⚠️ Temp ALTA",IF(H61="","✅ OK",IF(H61&lt;5.5,"⚠️ pH baixo",IF(H61&gt;6.9,"⚠️ pH alto",IF(I61&gt;2.5,"⚠️ CE alta","✅ OK"))))))))</f>
        <v>—</v>
      </c>
    </row>
    <row r="62" spans="1:12" ht="18" customHeight="1">
      <c r="A62" s="1"/>
      <c r="B62" s="59">
        <f>IF(57&lt;='🌱 Configuração'!$F$55,57,"")</f>
        <v>57</v>
      </c>
      <c r="C62" s="60">
        <f>IF(57&lt;='🌱 Configuração'!$F$55,'🌱 Configuração'!$B$56+56,"")</f>
        <v>56</v>
      </c>
      <c r="D62" s="59" t="str">
        <f>IF(57&gt;'🌱 Configuração'!$F$55,"",IF('🌱 Configuração'!$B$56+56&lt;'🌱 Configuração'!$C$56,"🌱 Clone",IF('🌱 Configuração'!$B$56+56&lt;'🌱 Configuração'!$D$56,"🌿 Vega",IF('🌱 Configuração'!$B$56+56&lt;'🌱 Configuração'!$E$56,"🌸 Flora","🚿 Flush"))))</f>
        <v>🌸 Flora</v>
      </c>
      <c r="E62" s="59"/>
      <c r="F62" s="59"/>
      <c r="G62" s="59"/>
      <c r="H62" s="59"/>
      <c r="I62" s="59"/>
      <c r="J62" s="59"/>
      <c r="K62" s="59"/>
      <c r="L62" s="1" t="str">
        <f>IF(57&gt;'🌱 Configuração'!$F$55,"",IF(F62="","—",IF(F62&lt;22,"⚠️ Temp baixa",IF(F62&gt;29,"⚠️ Temp ALTA",IF(H62="","✅ OK",IF(H62&lt;5.5,"⚠️ pH baixo",IF(H62&gt;6.9,"⚠️ pH alto",IF(I62&gt;2.5,"⚠️ CE alta","✅ OK"))))))))</f>
        <v>—</v>
      </c>
    </row>
    <row r="63" spans="1:12" ht="18" customHeight="1">
      <c r="A63" s="1"/>
      <c r="B63" s="61">
        <f>IF(58&lt;='🌱 Configuração'!$F$55,58,"")</f>
        <v>58</v>
      </c>
      <c r="C63" s="62">
        <f>IF(58&lt;='🌱 Configuração'!$F$55,'🌱 Configuração'!$B$56+57,"")</f>
        <v>57</v>
      </c>
      <c r="D63" s="61" t="str">
        <f>IF(58&gt;'🌱 Configuração'!$F$55,"",IF('🌱 Configuração'!$B$56+57&lt;'🌱 Configuração'!$C$56,"🌱 Clone",IF('🌱 Configuração'!$B$56+57&lt;'🌱 Configuração'!$D$56,"🌿 Vega",IF('🌱 Configuração'!$B$56+57&lt;'🌱 Configuração'!$E$56,"🌸 Flora","🚿 Flush"))))</f>
        <v>🌸 Flora</v>
      </c>
      <c r="E63" s="61"/>
      <c r="F63" s="61"/>
      <c r="G63" s="61"/>
      <c r="H63" s="61"/>
      <c r="I63" s="61"/>
      <c r="J63" s="61"/>
      <c r="K63" s="61"/>
      <c r="L63" s="1" t="str">
        <f>IF(58&gt;'🌱 Configuração'!$F$55,"",IF(F63="","—",IF(F63&lt;22,"⚠️ Temp baixa",IF(F63&gt;29,"⚠️ Temp ALTA",IF(H63="","✅ OK",IF(H63&lt;5.5,"⚠️ pH baixo",IF(H63&gt;6.9,"⚠️ pH alto",IF(I63&gt;2.5,"⚠️ CE alta","✅ OK"))))))))</f>
        <v>—</v>
      </c>
    </row>
    <row r="64" spans="1:12" ht="18" customHeight="1">
      <c r="A64" s="1"/>
      <c r="B64" s="59">
        <f>IF(59&lt;='🌱 Configuração'!$F$55,59,"")</f>
        <v>59</v>
      </c>
      <c r="C64" s="60">
        <f>IF(59&lt;='🌱 Configuração'!$F$55,'🌱 Configuração'!$B$56+58,"")</f>
        <v>58</v>
      </c>
      <c r="D64" s="59" t="str">
        <f>IF(59&gt;'🌱 Configuração'!$F$55,"",IF('🌱 Configuração'!$B$56+58&lt;'🌱 Configuração'!$C$56,"🌱 Clone",IF('🌱 Configuração'!$B$56+58&lt;'🌱 Configuração'!$D$56,"🌿 Vega",IF('🌱 Configuração'!$B$56+58&lt;'🌱 Configuração'!$E$56,"🌸 Flora","🚿 Flush"))))</f>
        <v>🌸 Flora</v>
      </c>
      <c r="E64" s="59"/>
      <c r="F64" s="59"/>
      <c r="G64" s="59"/>
      <c r="H64" s="59"/>
      <c r="I64" s="59"/>
      <c r="J64" s="59"/>
      <c r="K64" s="59"/>
      <c r="L64" s="1" t="str">
        <f>IF(59&gt;'🌱 Configuração'!$F$55,"",IF(F64="","—",IF(F64&lt;22,"⚠️ Temp baixa",IF(F64&gt;29,"⚠️ Temp ALTA",IF(H64="","✅ OK",IF(H64&lt;5.5,"⚠️ pH baixo",IF(H64&gt;6.9,"⚠️ pH alto",IF(I64&gt;2.5,"⚠️ CE alta","✅ OK"))))))))</f>
        <v>—</v>
      </c>
    </row>
    <row r="65" spans="1:12" ht="18" customHeight="1">
      <c r="A65" s="1"/>
      <c r="B65" s="61">
        <f>IF(60&lt;='🌱 Configuração'!$F$55,60,"")</f>
        <v>60</v>
      </c>
      <c r="C65" s="62">
        <f>IF(60&lt;='🌱 Configuração'!$F$55,'🌱 Configuração'!$B$56+59,"")</f>
        <v>59</v>
      </c>
      <c r="D65" s="61" t="str">
        <f>IF(60&gt;'🌱 Configuração'!$F$55,"",IF('🌱 Configuração'!$B$56+59&lt;'🌱 Configuração'!$C$56,"🌱 Clone",IF('🌱 Configuração'!$B$56+59&lt;'🌱 Configuração'!$D$56,"🌿 Vega",IF('🌱 Configuração'!$B$56+59&lt;'🌱 Configuração'!$E$56,"🌸 Flora","🚿 Flush"))))</f>
        <v>🌸 Flora</v>
      </c>
      <c r="E65" s="61"/>
      <c r="F65" s="61"/>
      <c r="G65" s="61"/>
      <c r="H65" s="61"/>
      <c r="I65" s="61"/>
      <c r="J65" s="61"/>
      <c r="K65" s="61"/>
      <c r="L65" s="1" t="str">
        <f>IF(60&gt;'🌱 Configuração'!$F$55,"",IF(F65="","—",IF(F65&lt;22,"⚠️ Temp baixa",IF(F65&gt;29,"⚠️ Temp ALTA",IF(H65="","✅ OK",IF(H65&lt;5.5,"⚠️ pH baixo",IF(H65&gt;6.9,"⚠️ pH alto",IF(I65&gt;2.5,"⚠️ CE alta","✅ OK"))))))))</f>
        <v>—</v>
      </c>
    </row>
    <row r="66" spans="1:12" ht="18" customHeight="1">
      <c r="A66" s="1"/>
      <c r="B66" s="59">
        <f>IF(61&lt;='🌱 Configuração'!$F$55,61,"")</f>
        <v>61</v>
      </c>
      <c r="C66" s="60">
        <f>IF(61&lt;='🌱 Configuração'!$F$55,'🌱 Configuração'!$B$56+60,"")</f>
        <v>60</v>
      </c>
      <c r="D66" s="59" t="str">
        <f>IF(61&gt;'🌱 Configuração'!$F$55,"",IF('🌱 Configuração'!$B$56+60&lt;'🌱 Configuração'!$C$56,"🌱 Clone",IF('🌱 Configuração'!$B$56+60&lt;'🌱 Configuração'!$D$56,"🌿 Vega",IF('🌱 Configuração'!$B$56+60&lt;'🌱 Configuração'!$E$56,"🌸 Flora","🚿 Flush"))))</f>
        <v>🌸 Flora</v>
      </c>
      <c r="E66" s="59"/>
      <c r="F66" s="59"/>
      <c r="G66" s="59"/>
      <c r="H66" s="59"/>
      <c r="I66" s="59"/>
      <c r="J66" s="59"/>
      <c r="K66" s="59"/>
      <c r="L66" s="1" t="str">
        <f>IF(61&gt;'🌱 Configuração'!$F$55,"",IF(F66="","—",IF(F66&lt;22,"⚠️ Temp baixa",IF(F66&gt;29,"⚠️ Temp ALTA",IF(H66="","✅ OK",IF(H66&lt;5.5,"⚠️ pH baixo",IF(H66&gt;6.9,"⚠️ pH alto",IF(I66&gt;2.5,"⚠️ CE alta","✅ OK"))))))))</f>
        <v>—</v>
      </c>
    </row>
    <row r="67" spans="1:12" ht="18" customHeight="1">
      <c r="A67" s="1"/>
      <c r="B67" s="61">
        <f>IF(62&lt;='🌱 Configuração'!$F$55,62,"")</f>
        <v>62</v>
      </c>
      <c r="C67" s="62">
        <f>IF(62&lt;='🌱 Configuração'!$F$55,'🌱 Configuração'!$B$56+61,"")</f>
        <v>61</v>
      </c>
      <c r="D67" s="61" t="str">
        <f>IF(62&gt;'🌱 Configuração'!$F$55,"",IF('🌱 Configuração'!$B$56+61&lt;'🌱 Configuração'!$C$56,"🌱 Clone",IF('🌱 Configuração'!$B$56+61&lt;'🌱 Configuração'!$D$56,"🌿 Vega",IF('🌱 Configuração'!$B$56+61&lt;'🌱 Configuração'!$E$56,"🌸 Flora","🚿 Flush"))))</f>
        <v>🌸 Flora</v>
      </c>
      <c r="E67" s="61"/>
      <c r="F67" s="61"/>
      <c r="G67" s="61"/>
      <c r="H67" s="61"/>
      <c r="I67" s="61"/>
      <c r="J67" s="61"/>
      <c r="K67" s="61"/>
      <c r="L67" s="1" t="str">
        <f>IF(62&gt;'🌱 Configuração'!$F$55,"",IF(F67="","—",IF(F67&lt;22,"⚠️ Temp baixa",IF(F67&gt;29,"⚠️ Temp ALTA",IF(H67="","✅ OK",IF(H67&lt;5.5,"⚠️ pH baixo",IF(H67&gt;6.9,"⚠️ pH alto",IF(I67&gt;2.5,"⚠️ CE alta","✅ OK"))))))))</f>
        <v>—</v>
      </c>
    </row>
    <row r="68" spans="1:12" ht="18" customHeight="1">
      <c r="A68" s="1"/>
      <c r="B68" s="59">
        <f>IF(63&lt;='🌱 Configuração'!$F$55,63,"")</f>
        <v>63</v>
      </c>
      <c r="C68" s="60">
        <f>IF(63&lt;='🌱 Configuração'!$F$55,'🌱 Configuração'!$B$56+62,"")</f>
        <v>62</v>
      </c>
      <c r="D68" s="59" t="str">
        <f>IF(63&gt;'🌱 Configuração'!$F$55,"",IF('🌱 Configuração'!$B$56+62&lt;'🌱 Configuração'!$C$56,"🌱 Clone",IF('🌱 Configuração'!$B$56+62&lt;'🌱 Configuração'!$D$56,"🌿 Vega",IF('🌱 Configuração'!$B$56+62&lt;'🌱 Configuração'!$E$56,"🌸 Flora","🚿 Flush"))))</f>
        <v>🌸 Flora</v>
      </c>
      <c r="E68" s="59"/>
      <c r="F68" s="59"/>
      <c r="G68" s="59"/>
      <c r="H68" s="59"/>
      <c r="I68" s="59"/>
      <c r="J68" s="59"/>
      <c r="K68" s="59"/>
      <c r="L68" s="1" t="str">
        <f>IF(63&gt;'🌱 Configuração'!$F$55,"",IF(F68="","—",IF(F68&lt;22,"⚠️ Temp baixa",IF(F68&gt;29,"⚠️ Temp ALTA",IF(H68="","✅ OK",IF(H68&lt;5.5,"⚠️ pH baixo",IF(H68&gt;6.9,"⚠️ pH alto",IF(I68&gt;2.5,"⚠️ CE alta","✅ OK"))))))))</f>
        <v>—</v>
      </c>
    </row>
    <row r="69" spans="1:12" ht="18" customHeight="1">
      <c r="A69" s="1"/>
      <c r="B69" s="61">
        <f>IF(64&lt;='🌱 Configuração'!$F$55,64,"")</f>
        <v>64</v>
      </c>
      <c r="C69" s="62">
        <f>IF(64&lt;='🌱 Configuração'!$F$55,'🌱 Configuração'!$B$56+63,"")</f>
        <v>63</v>
      </c>
      <c r="D69" s="61" t="str">
        <f>IF(64&gt;'🌱 Configuração'!$F$55,"",IF('🌱 Configuração'!$B$56+63&lt;'🌱 Configuração'!$C$56,"🌱 Clone",IF('🌱 Configuração'!$B$56+63&lt;'🌱 Configuração'!$D$56,"🌿 Vega",IF('🌱 Configuração'!$B$56+63&lt;'🌱 Configuração'!$E$56,"🌸 Flora","🚿 Flush"))))</f>
        <v>🌸 Flora</v>
      </c>
      <c r="E69" s="61"/>
      <c r="F69" s="61"/>
      <c r="G69" s="61"/>
      <c r="H69" s="61"/>
      <c r="I69" s="61"/>
      <c r="J69" s="61"/>
      <c r="K69" s="61"/>
      <c r="L69" s="1" t="str">
        <f>IF(64&gt;'🌱 Configuração'!$F$55,"",IF(F69="","—",IF(F69&lt;22,"⚠️ Temp baixa",IF(F69&gt;29,"⚠️ Temp ALTA",IF(H69="","✅ OK",IF(H69&lt;5.5,"⚠️ pH baixo",IF(H69&gt;6.9,"⚠️ pH alto",IF(I69&gt;2.5,"⚠️ CE alta","✅ OK"))))))))</f>
        <v>—</v>
      </c>
    </row>
    <row r="70" spans="1:12" ht="18" customHeight="1">
      <c r="A70" s="1"/>
      <c r="B70" s="59">
        <f>IF(65&lt;='🌱 Configuração'!$F$55,65,"")</f>
        <v>65</v>
      </c>
      <c r="C70" s="60">
        <f>IF(65&lt;='🌱 Configuração'!$F$55,'🌱 Configuração'!$B$56+64,"")</f>
        <v>64</v>
      </c>
      <c r="D70" s="59" t="str">
        <f>IF(65&gt;'🌱 Configuração'!$F$55,"",IF('🌱 Configuração'!$B$56+64&lt;'🌱 Configuração'!$C$56,"🌱 Clone",IF('🌱 Configuração'!$B$56+64&lt;'🌱 Configuração'!$D$56,"🌿 Vega",IF('🌱 Configuração'!$B$56+64&lt;'🌱 Configuração'!$E$56,"🌸 Flora","🚿 Flush"))))</f>
        <v>🌸 Flora</v>
      </c>
      <c r="E70" s="59"/>
      <c r="F70" s="59"/>
      <c r="G70" s="59"/>
      <c r="H70" s="59"/>
      <c r="I70" s="59"/>
      <c r="J70" s="59"/>
      <c r="K70" s="59"/>
      <c r="L70" s="1" t="str">
        <f>IF(65&gt;'🌱 Configuração'!$F$55,"",IF(F70="","—",IF(F70&lt;22,"⚠️ Temp baixa",IF(F70&gt;29,"⚠️ Temp ALTA",IF(H70="","✅ OK",IF(H70&lt;5.5,"⚠️ pH baixo",IF(H70&gt;6.9,"⚠️ pH alto",IF(I70&gt;2.5,"⚠️ CE alta","✅ OK"))))))))</f>
        <v>—</v>
      </c>
    </row>
    <row r="71" spans="1:12" ht="18" customHeight="1">
      <c r="A71" s="1"/>
      <c r="B71" s="61">
        <f>IF(66&lt;='🌱 Configuração'!$F$55,66,"")</f>
        <v>66</v>
      </c>
      <c r="C71" s="62">
        <f>IF(66&lt;='🌱 Configuração'!$F$55,'🌱 Configuração'!$B$56+65,"")</f>
        <v>65</v>
      </c>
      <c r="D71" s="61" t="str">
        <f>IF(66&gt;'🌱 Configuração'!$F$55,"",IF('🌱 Configuração'!$B$56+65&lt;'🌱 Configuração'!$C$56,"🌱 Clone",IF('🌱 Configuração'!$B$56+65&lt;'🌱 Configuração'!$D$56,"🌿 Vega",IF('🌱 Configuração'!$B$56+65&lt;'🌱 Configuração'!$E$56,"🌸 Flora","🚿 Flush"))))</f>
        <v>🌸 Flora</v>
      </c>
      <c r="E71" s="61"/>
      <c r="F71" s="61"/>
      <c r="G71" s="61"/>
      <c r="H71" s="61"/>
      <c r="I71" s="61"/>
      <c r="J71" s="61"/>
      <c r="K71" s="61"/>
      <c r="L71" s="1" t="str">
        <f>IF(66&gt;'🌱 Configuração'!$F$55,"",IF(F71="","—",IF(F71&lt;22,"⚠️ Temp baixa",IF(F71&gt;29,"⚠️ Temp ALTA",IF(H71="","✅ OK",IF(H71&lt;5.5,"⚠️ pH baixo",IF(H71&gt;6.9,"⚠️ pH alto",IF(I71&gt;2.5,"⚠️ CE alta","✅ OK"))))))))</f>
        <v>—</v>
      </c>
    </row>
    <row r="72" spans="1:12" ht="18" customHeight="1">
      <c r="A72" s="1"/>
      <c r="B72" s="59">
        <f>IF(67&lt;='🌱 Configuração'!$F$55,67,"")</f>
        <v>67</v>
      </c>
      <c r="C72" s="60">
        <f>IF(67&lt;='🌱 Configuração'!$F$55,'🌱 Configuração'!$B$56+66,"")</f>
        <v>66</v>
      </c>
      <c r="D72" s="59" t="str">
        <f>IF(67&gt;'🌱 Configuração'!$F$55,"",IF('🌱 Configuração'!$B$56+66&lt;'🌱 Configuração'!$C$56,"🌱 Clone",IF('🌱 Configuração'!$B$56+66&lt;'🌱 Configuração'!$D$56,"🌿 Vega",IF('🌱 Configuração'!$B$56+66&lt;'🌱 Configuração'!$E$56,"🌸 Flora","🚿 Flush"))))</f>
        <v>🌸 Flora</v>
      </c>
      <c r="E72" s="59"/>
      <c r="F72" s="59"/>
      <c r="G72" s="59"/>
      <c r="H72" s="59"/>
      <c r="I72" s="59"/>
      <c r="J72" s="59"/>
      <c r="K72" s="59"/>
      <c r="L72" s="1" t="str">
        <f>IF(67&gt;'🌱 Configuração'!$F$55,"",IF(F72="","—",IF(F72&lt;22,"⚠️ Temp baixa",IF(F72&gt;29,"⚠️ Temp ALTA",IF(H72="","✅ OK",IF(H72&lt;5.5,"⚠️ pH baixo",IF(H72&gt;6.9,"⚠️ pH alto",IF(I72&gt;2.5,"⚠️ CE alta","✅ OK"))))))))</f>
        <v>—</v>
      </c>
    </row>
    <row r="73" spans="1:12" ht="18" customHeight="1">
      <c r="A73" s="1"/>
      <c r="B73" s="61">
        <f>IF(68&lt;='🌱 Configuração'!$F$55,68,"")</f>
        <v>68</v>
      </c>
      <c r="C73" s="62">
        <f>IF(68&lt;='🌱 Configuração'!$F$55,'🌱 Configuração'!$B$56+67,"")</f>
        <v>67</v>
      </c>
      <c r="D73" s="61" t="str">
        <f>IF(68&gt;'🌱 Configuração'!$F$55,"",IF('🌱 Configuração'!$B$56+67&lt;'🌱 Configuração'!$C$56,"🌱 Clone",IF('🌱 Configuração'!$B$56+67&lt;'🌱 Configuração'!$D$56,"🌿 Vega",IF('🌱 Configuração'!$B$56+67&lt;'🌱 Configuração'!$E$56,"🌸 Flora","🚿 Flush"))))</f>
        <v>🌸 Flora</v>
      </c>
      <c r="E73" s="61"/>
      <c r="F73" s="61"/>
      <c r="G73" s="61"/>
      <c r="H73" s="61"/>
      <c r="I73" s="61"/>
      <c r="J73" s="61"/>
      <c r="K73" s="61"/>
      <c r="L73" s="1" t="str">
        <f>IF(68&gt;'🌱 Configuração'!$F$55,"",IF(F73="","—",IF(F73&lt;22,"⚠️ Temp baixa",IF(F73&gt;29,"⚠️ Temp ALTA",IF(H73="","✅ OK",IF(H73&lt;5.5,"⚠️ pH baixo",IF(H73&gt;6.9,"⚠️ pH alto",IF(I73&gt;2.5,"⚠️ CE alta","✅ OK"))))))))</f>
        <v>—</v>
      </c>
    </row>
    <row r="74" spans="1:12" ht="18" customHeight="1">
      <c r="A74" s="1"/>
      <c r="B74" s="59">
        <f>IF(69&lt;='🌱 Configuração'!$F$55,69,"")</f>
        <v>69</v>
      </c>
      <c r="C74" s="60">
        <f>IF(69&lt;='🌱 Configuração'!$F$55,'🌱 Configuração'!$B$56+68,"")</f>
        <v>68</v>
      </c>
      <c r="D74" s="59" t="str">
        <f>IF(69&gt;'🌱 Configuração'!$F$55,"",IF('🌱 Configuração'!$B$56+68&lt;'🌱 Configuração'!$C$56,"🌱 Clone",IF('🌱 Configuração'!$B$56+68&lt;'🌱 Configuração'!$D$56,"🌿 Vega",IF('🌱 Configuração'!$B$56+68&lt;'🌱 Configuração'!$E$56,"🌸 Flora","🚿 Flush"))))</f>
        <v>🌸 Flora</v>
      </c>
      <c r="E74" s="59"/>
      <c r="F74" s="59"/>
      <c r="G74" s="59"/>
      <c r="H74" s="59"/>
      <c r="I74" s="59"/>
      <c r="J74" s="59"/>
      <c r="K74" s="59"/>
      <c r="L74" s="1" t="str">
        <f>IF(69&gt;'🌱 Configuração'!$F$55,"",IF(F74="","—",IF(F74&lt;22,"⚠️ Temp baixa",IF(F74&gt;29,"⚠️ Temp ALTA",IF(H74="","✅ OK",IF(H74&lt;5.5,"⚠️ pH baixo",IF(H74&gt;6.9,"⚠️ pH alto",IF(I74&gt;2.5,"⚠️ CE alta","✅ OK"))))))))</f>
        <v>—</v>
      </c>
    </row>
    <row r="75" spans="1:12" ht="18" customHeight="1">
      <c r="A75" s="1"/>
      <c r="B75" s="61">
        <f>IF(70&lt;='🌱 Configuração'!$F$55,70,"")</f>
        <v>70</v>
      </c>
      <c r="C75" s="62">
        <f>IF(70&lt;='🌱 Configuração'!$F$55,'🌱 Configuração'!$B$56+69,"")</f>
        <v>69</v>
      </c>
      <c r="D75" s="61" t="str">
        <f>IF(70&gt;'🌱 Configuração'!$F$55,"",IF('🌱 Configuração'!$B$56+69&lt;'🌱 Configuração'!$C$56,"🌱 Clone",IF('🌱 Configuração'!$B$56+69&lt;'🌱 Configuração'!$D$56,"🌿 Vega",IF('🌱 Configuração'!$B$56+69&lt;'🌱 Configuração'!$E$56,"🌸 Flora","🚿 Flush"))))</f>
        <v>🌸 Flora</v>
      </c>
      <c r="E75" s="61"/>
      <c r="F75" s="61"/>
      <c r="G75" s="61"/>
      <c r="H75" s="61"/>
      <c r="I75" s="61"/>
      <c r="J75" s="61"/>
      <c r="K75" s="61"/>
      <c r="L75" s="1" t="str">
        <f>IF(70&gt;'🌱 Configuração'!$F$55,"",IF(F75="","—",IF(F75&lt;22,"⚠️ Temp baixa",IF(F75&gt;29,"⚠️ Temp ALTA",IF(H75="","✅ OK",IF(H75&lt;5.5,"⚠️ pH baixo",IF(H75&gt;6.9,"⚠️ pH alto",IF(I75&gt;2.5,"⚠️ CE alta","✅ OK"))))))))</f>
        <v>—</v>
      </c>
    </row>
    <row r="76" spans="1:12" ht="18" customHeight="1">
      <c r="A76" s="1"/>
      <c r="B76" s="59">
        <f>IF(71&lt;='🌱 Configuração'!$F$55,71,"")</f>
        <v>71</v>
      </c>
      <c r="C76" s="60">
        <f>IF(71&lt;='🌱 Configuração'!$F$55,'🌱 Configuração'!$B$56+70,"")</f>
        <v>70</v>
      </c>
      <c r="D76" s="59" t="str">
        <f>IF(71&gt;'🌱 Configuração'!$F$55,"",IF('🌱 Configuração'!$B$56+70&lt;'🌱 Configuração'!$C$56,"🌱 Clone",IF('🌱 Configuração'!$B$56+70&lt;'🌱 Configuração'!$D$56,"🌿 Vega",IF('🌱 Configuração'!$B$56+70&lt;'🌱 Configuração'!$E$56,"🌸 Flora","🚿 Flush"))))</f>
        <v>🌸 Flora</v>
      </c>
      <c r="E76" s="59"/>
      <c r="F76" s="59"/>
      <c r="G76" s="59"/>
      <c r="H76" s="59"/>
      <c r="I76" s="59"/>
      <c r="J76" s="59"/>
      <c r="K76" s="59"/>
      <c r="L76" s="1" t="str">
        <f>IF(71&gt;'🌱 Configuração'!$F$55,"",IF(F76="","—",IF(F76&lt;22,"⚠️ Temp baixa",IF(F76&gt;29,"⚠️ Temp ALTA",IF(H76="","✅ OK",IF(H76&lt;5.5,"⚠️ pH baixo",IF(H76&gt;6.9,"⚠️ pH alto",IF(I76&gt;2.5,"⚠️ CE alta","✅ OK"))))))))</f>
        <v>—</v>
      </c>
    </row>
    <row r="77" spans="1:12" ht="18" customHeight="1">
      <c r="A77" s="1"/>
      <c r="B77" s="61">
        <f>IF(72&lt;='🌱 Configuração'!$F$55,72,"")</f>
        <v>72</v>
      </c>
      <c r="C77" s="62">
        <f>IF(72&lt;='🌱 Configuração'!$F$55,'🌱 Configuração'!$B$56+71,"")</f>
        <v>71</v>
      </c>
      <c r="D77" s="61" t="str">
        <f>IF(72&gt;'🌱 Configuração'!$F$55,"",IF('🌱 Configuração'!$B$56+71&lt;'🌱 Configuração'!$C$56,"🌱 Clone",IF('🌱 Configuração'!$B$56+71&lt;'🌱 Configuração'!$D$56,"🌿 Vega",IF('🌱 Configuração'!$B$56+71&lt;'🌱 Configuração'!$E$56,"🌸 Flora","🚿 Flush"))))</f>
        <v>🌸 Flora</v>
      </c>
      <c r="E77" s="61"/>
      <c r="F77" s="61"/>
      <c r="G77" s="61"/>
      <c r="H77" s="61"/>
      <c r="I77" s="61"/>
      <c r="J77" s="61"/>
      <c r="K77" s="61"/>
      <c r="L77" s="1" t="str">
        <f>IF(72&gt;'🌱 Configuração'!$F$55,"",IF(F77="","—",IF(F77&lt;22,"⚠️ Temp baixa",IF(F77&gt;29,"⚠️ Temp ALTA",IF(H77="","✅ OK",IF(H77&lt;5.5,"⚠️ pH baixo",IF(H77&gt;6.9,"⚠️ pH alto",IF(I77&gt;2.5,"⚠️ CE alta","✅ OK"))))))))</f>
        <v>—</v>
      </c>
    </row>
    <row r="78" spans="1:12" ht="18" customHeight="1">
      <c r="A78" s="1"/>
      <c r="B78" s="59">
        <f>IF(73&lt;='🌱 Configuração'!$F$55,73,"")</f>
        <v>73</v>
      </c>
      <c r="C78" s="60">
        <f>IF(73&lt;='🌱 Configuração'!$F$55,'🌱 Configuração'!$B$56+72,"")</f>
        <v>72</v>
      </c>
      <c r="D78" s="59" t="str">
        <f>IF(73&gt;'🌱 Configuração'!$F$55,"",IF('🌱 Configuração'!$B$56+72&lt;'🌱 Configuração'!$C$56,"🌱 Clone",IF('🌱 Configuração'!$B$56+72&lt;'🌱 Configuração'!$D$56,"🌿 Vega",IF('🌱 Configuração'!$B$56+72&lt;'🌱 Configuração'!$E$56,"🌸 Flora","🚿 Flush"))))</f>
        <v>🌸 Flora</v>
      </c>
      <c r="E78" s="59"/>
      <c r="F78" s="59"/>
      <c r="G78" s="59"/>
      <c r="H78" s="59"/>
      <c r="I78" s="59"/>
      <c r="J78" s="59"/>
      <c r="K78" s="59"/>
      <c r="L78" s="1" t="str">
        <f>IF(73&gt;'🌱 Configuração'!$F$55,"",IF(F78="","—",IF(F78&lt;22,"⚠️ Temp baixa",IF(F78&gt;29,"⚠️ Temp ALTA",IF(H78="","✅ OK",IF(H78&lt;5.5,"⚠️ pH baixo",IF(H78&gt;6.9,"⚠️ pH alto",IF(I78&gt;2.5,"⚠️ CE alta","✅ OK"))))))))</f>
        <v>—</v>
      </c>
    </row>
    <row r="79" spans="1:12" ht="18" customHeight="1">
      <c r="A79" s="1"/>
      <c r="B79" s="61">
        <f>IF(74&lt;='🌱 Configuração'!$F$55,74,"")</f>
        <v>74</v>
      </c>
      <c r="C79" s="62">
        <f>IF(74&lt;='🌱 Configuração'!$F$55,'🌱 Configuração'!$B$56+73,"")</f>
        <v>73</v>
      </c>
      <c r="D79" s="61" t="str">
        <f>IF(74&gt;'🌱 Configuração'!$F$55,"",IF('🌱 Configuração'!$B$56+73&lt;'🌱 Configuração'!$C$56,"🌱 Clone",IF('🌱 Configuração'!$B$56+73&lt;'🌱 Configuração'!$D$56,"🌿 Vega",IF('🌱 Configuração'!$B$56+73&lt;'🌱 Configuração'!$E$56,"🌸 Flora","🚿 Flush"))))</f>
        <v>🌸 Flora</v>
      </c>
      <c r="E79" s="61"/>
      <c r="F79" s="61"/>
      <c r="G79" s="61"/>
      <c r="H79" s="61"/>
      <c r="I79" s="61"/>
      <c r="J79" s="61"/>
      <c r="K79" s="61"/>
      <c r="L79" s="1" t="str">
        <f>IF(74&gt;'🌱 Configuração'!$F$55,"",IF(F79="","—",IF(F79&lt;22,"⚠️ Temp baixa",IF(F79&gt;29,"⚠️ Temp ALTA",IF(H79="","✅ OK",IF(H79&lt;5.5,"⚠️ pH baixo",IF(H79&gt;6.9,"⚠️ pH alto",IF(I79&gt;2.5,"⚠️ CE alta","✅ OK"))))))))</f>
        <v>—</v>
      </c>
    </row>
    <row r="80" spans="1:12" ht="18" customHeight="1">
      <c r="A80" s="1"/>
      <c r="B80" s="59">
        <f>IF(75&lt;='🌱 Configuração'!$F$55,75,"")</f>
        <v>75</v>
      </c>
      <c r="C80" s="60">
        <f>IF(75&lt;='🌱 Configuração'!$F$55,'🌱 Configuração'!$B$56+74,"")</f>
        <v>74</v>
      </c>
      <c r="D80" s="59" t="str">
        <f>IF(75&gt;'🌱 Configuração'!$F$55,"",IF('🌱 Configuração'!$B$56+74&lt;'🌱 Configuração'!$C$56,"🌱 Clone",IF('🌱 Configuração'!$B$56+74&lt;'🌱 Configuração'!$D$56,"🌿 Vega",IF('🌱 Configuração'!$B$56+74&lt;'🌱 Configuração'!$E$56,"🌸 Flora","🚿 Flush"))))</f>
        <v>🌸 Flora</v>
      </c>
      <c r="E80" s="59"/>
      <c r="F80" s="59"/>
      <c r="G80" s="59"/>
      <c r="H80" s="59"/>
      <c r="I80" s="59"/>
      <c r="J80" s="59"/>
      <c r="K80" s="59"/>
      <c r="L80" s="1" t="str">
        <f>IF(75&gt;'🌱 Configuração'!$F$55,"",IF(F80="","—",IF(F80&lt;22,"⚠️ Temp baixa",IF(F80&gt;29,"⚠️ Temp ALTA",IF(H80="","✅ OK",IF(H80&lt;5.5,"⚠️ pH baixo",IF(H80&gt;6.9,"⚠️ pH alto",IF(I80&gt;2.5,"⚠️ CE alta","✅ OK"))))))))</f>
        <v>—</v>
      </c>
    </row>
    <row r="81" spans="1:12" ht="18" customHeight="1">
      <c r="A81" s="1"/>
      <c r="B81" s="61">
        <f>IF(76&lt;='🌱 Configuração'!$F$55,76,"")</f>
        <v>76</v>
      </c>
      <c r="C81" s="62">
        <f>IF(76&lt;='🌱 Configuração'!$F$55,'🌱 Configuração'!$B$56+75,"")</f>
        <v>75</v>
      </c>
      <c r="D81" s="61" t="str">
        <f>IF(76&gt;'🌱 Configuração'!$F$55,"",IF('🌱 Configuração'!$B$56+75&lt;'🌱 Configuração'!$C$56,"🌱 Clone",IF('🌱 Configuração'!$B$56+75&lt;'🌱 Configuração'!$D$56,"🌿 Vega",IF('🌱 Configuração'!$B$56+75&lt;'🌱 Configuração'!$E$56,"🌸 Flora","🚿 Flush"))))</f>
        <v>🌸 Flora</v>
      </c>
      <c r="E81" s="61"/>
      <c r="F81" s="61"/>
      <c r="G81" s="61"/>
      <c r="H81" s="61"/>
      <c r="I81" s="61"/>
      <c r="J81" s="61"/>
      <c r="K81" s="61"/>
      <c r="L81" s="1" t="str">
        <f>IF(76&gt;'🌱 Configuração'!$F$55,"",IF(F81="","—",IF(F81&lt;22,"⚠️ Temp baixa",IF(F81&gt;29,"⚠️ Temp ALTA",IF(H81="","✅ OK",IF(H81&lt;5.5,"⚠️ pH baixo",IF(H81&gt;6.9,"⚠️ pH alto",IF(I81&gt;2.5,"⚠️ CE alta","✅ OK"))))))))</f>
        <v>—</v>
      </c>
    </row>
    <row r="82" spans="1:12" ht="18" customHeight="1">
      <c r="A82" s="1"/>
      <c r="B82" s="59">
        <f>IF(77&lt;='🌱 Configuração'!$F$55,77,"")</f>
        <v>77</v>
      </c>
      <c r="C82" s="60">
        <f>IF(77&lt;='🌱 Configuração'!$F$55,'🌱 Configuração'!$B$56+76,"")</f>
        <v>76</v>
      </c>
      <c r="D82" s="59" t="str">
        <f>IF(77&gt;'🌱 Configuração'!$F$55,"",IF('🌱 Configuração'!$B$56+76&lt;'🌱 Configuração'!$C$56,"🌱 Clone",IF('🌱 Configuração'!$B$56+76&lt;'🌱 Configuração'!$D$56,"🌿 Vega",IF('🌱 Configuração'!$B$56+76&lt;'🌱 Configuração'!$E$56,"🌸 Flora","🚿 Flush"))))</f>
        <v>🌸 Flora</v>
      </c>
      <c r="E82" s="59"/>
      <c r="F82" s="59"/>
      <c r="G82" s="59"/>
      <c r="H82" s="59"/>
      <c r="I82" s="59"/>
      <c r="J82" s="59"/>
      <c r="K82" s="59"/>
      <c r="L82" s="1" t="str">
        <f>IF(77&gt;'🌱 Configuração'!$F$55,"",IF(F82="","—",IF(F82&lt;22,"⚠️ Temp baixa",IF(F82&gt;29,"⚠️ Temp ALTA",IF(H82="","✅ OK",IF(H82&lt;5.5,"⚠️ pH baixo",IF(H82&gt;6.9,"⚠️ pH alto",IF(I82&gt;2.5,"⚠️ CE alta","✅ OK"))))))))</f>
        <v>—</v>
      </c>
    </row>
    <row r="83" spans="1:12" ht="18" customHeight="1">
      <c r="A83" s="1"/>
      <c r="B83" s="61">
        <f>IF(78&lt;='🌱 Configuração'!$F$55,78,"")</f>
        <v>78</v>
      </c>
      <c r="C83" s="62">
        <f>IF(78&lt;='🌱 Configuração'!$F$55,'🌱 Configuração'!$B$56+77,"")</f>
        <v>77</v>
      </c>
      <c r="D83" s="61" t="str">
        <f>IF(78&gt;'🌱 Configuração'!$F$55,"",IF('🌱 Configuração'!$B$56+77&lt;'🌱 Configuração'!$C$56,"🌱 Clone",IF('🌱 Configuração'!$B$56+77&lt;'🌱 Configuração'!$D$56,"🌿 Vega",IF('🌱 Configuração'!$B$56+77&lt;'🌱 Configuração'!$E$56,"🌸 Flora","🚿 Flush"))))</f>
        <v>🌸 Flora</v>
      </c>
      <c r="E83" s="61"/>
      <c r="F83" s="61"/>
      <c r="G83" s="61"/>
      <c r="H83" s="61"/>
      <c r="I83" s="61"/>
      <c r="J83" s="61"/>
      <c r="K83" s="61"/>
      <c r="L83" s="1" t="str">
        <f>IF(78&gt;'🌱 Configuração'!$F$55,"",IF(F83="","—",IF(F83&lt;22,"⚠️ Temp baixa",IF(F83&gt;29,"⚠️ Temp ALTA",IF(H83="","✅ OK",IF(H83&lt;5.5,"⚠️ pH baixo",IF(H83&gt;6.9,"⚠️ pH alto",IF(I83&gt;2.5,"⚠️ CE alta","✅ OK"))))))))</f>
        <v>—</v>
      </c>
    </row>
    <row r="84" spans="1:12" ht="18" customHeight="1">
      <c r="A84" s="1"/>
      <c r="B84" s="59">
        <f>IF(79&lt;='🌱 Configuração'!$F$55,79,"")</f>
        <v>79</v>
      </c>
      <c r="C84" s="60">
        <f>IF(79&lt;='🌱 Configuração'!$F$55,'🌱 Configuração'!$B$56+78,"")</f>
        <v>78</v>
      </c>
      <c r="D84" s="59" t="str">
        <f>IF(79&gt;'🌱 Configuração'!$F$55,"",IF('🌱 Configuração'!$B$56+78&lt;'🌱 Configuração'!$C$56,"🌱 Clone",IF('🌱 Configuração'!$B$56+78&lt;'🌱 Configuração'!$D$56,"🌿 Vega",IF('🌱 Configuração'!$B$56+78&lt;'🌱 Configuração'!$E$56,"🌸 Flora","🚿 Flush"))))</f>
        <v>🌸 Flora</v>
      </c>
      <c r="E84" s="59"/>
      <c r="F84" s="59"/>
      <c r="G84" s="59"/>
      <c r="H84" s="59"/>
      <c r="I84" s="59"/>
      <c r="J84" s="59"/>
      <c r="K84" s="59"/>
      <c r="L84" s="1" t="str">
        <f>IF(79&gt;'🌱 Configuração'!$F$55,"",IF(F84="","—",IF(F84&lt;22,"⚠️ Temp baixa",IF(F84&gt;29,"⚠️ Temp ALTA",IF(H84="","✅ OK",IF(H84&lt;5.5,"⚠️ pH baixo",IF(H84&gt;6.9,"⚠️ pH alto",IF(I84&gt;2.5,"⚠️ CE alta","✅ OK"))))))))</f>
        <v>—</v>
      </c>
    </row>
    <row r="85" spans="1:12" ht="18" customHeight="1">
      <c r="A85" s="1"/>
      <c r="B85" s="61">
        <f>IF(80&lt;='🌱 Configuração'!$F$55,80,"")</f>
        <v>80</v>
      </c>
      <c r="C85" s="62">
        <f>IF(80&lt;='🌱 Configuração'!$F$55,'🌱 Configuração'!$B$56+79,"")</f>
        <v>79</v>
      </c>
      <c r="D85" s="61" t="str">
        <f>IF(80&gt;'🌱 Configuração'!$F$55,"",IF('🌱 Configuração'!$B$56+79&lt;'🌱 Configuração'!$C$56,"🌱 Clone",IF('🌱 Configuração'!$B$56+79&lt;'🌱 Configuração'!$D$56,"🌿 Vega",IF('🌱 Configuração'!$B$56+79&lt;'🌱 Configuração'!$E$56,"🌸 Flora","🚿 Flush"))))</f>
        <v>🌸 Flora</v>
      </c>
      <c r="E85" s="61"/>
      <c r="F85" s="61"/>
      <c r="G85" s="61"/>
      <c r="H85" s="61"/>
      <c r="I85" s="61"/>
      <c r="J85" s="61"/>
      <c r="K85" s="61"/>
      <c r="L85" s="1" t="str">
        <f>IF(80&gt;'🌱 Configuração'!$F$55,"",IF(F85="","—",IF(F85&lt;22,"⚠️ Temp baixa",IF(F85&gt;29,"⚠️ Temp ALTA",IF(H85="","✅ OK",IF(H85&lt;5.5,"⚠️ pH baixo",IF(H85&gt;6.9,"⚠️ pH alto",IF(I85&gt;2.5,"⚠️ CE alta","✅ OK"))))))))</f>
        <v>—</v>
      </c>
    </row>
    <row r="86" spans="1:12" ht="18" customHeight="1">
      <c r="A86" s="1"/>
      <c r="B86" s="59">
        <f>IF(81&lt;='🌱 Configuração'!$F$55,81,"")</f>
        <v>81</v>
      </c>
      <c r="C86" s="60">
        <f>IF(81&lt;='🌱 Configuração'!$F$55,'🌱 Configuração'!$B$56+80,"")</f>
        <v>80</v>
      </c>
      <c r="D86" s="59" t="str">
        <f>IF(81&gt;'🌱 Configuração'!$F$55,"",IF('🌱 Configuração'!$B$56+80&lt;'🌱 Configuração'!$C$56,"🌱 Clone",IF('🌱 Configuração'!$B$56+80&lt;'🌱 Configuração'!$D$56,"🌿 Vega",IF('🌱 Configuração'!$B$56+80&lt;'🌱 Configuração'!$E$56,"🌸 Flora","🚿 Flush"))))</f>
        <v>🌸 Flora</v>
      </c>
      <c r="E86" s="59"/>
      <c r="F86" s="59"/>
      <c r="G86" s="59"/>
      <c r="H86" s="59"/>
      <c r="I86" s="59"/>
      <c r="J86" s="59"/>
      <c r="K86" s="59"/>
      <c r="L86" s="1" t="str">
        <f>IF(81&gt;'🌱 Configuração'!$F$55,"",IF(F86="","—",IF(F86&lt;22,"⚠️ Temp baixa",IF(F86&gt;29,"⚠️ Temp ALTA",IF(H86="","✅ OK",IF(H86&lt;5.5,"⚠️ pH baixo",IF(H86&gt;6.9,"⚠️ pH alto",IF(I86&gt;2.5,"⚠️ CE alta","✅ OK"))))))))</f>
        <v>—</v>
      </c>
    </row>
    <row r="87" spans="1:12" ht="18" customHeight="1">
      <c r="A87" s="1"/>
      <c r="B87" s="61">
        <f>IF(82&lt;='🌱 Configuração'!$F$55,82,"")</f>
        <v>82</v>
      </c>
      <c r="C87" s="62">
        <f>IF(82&lt;='🌱 Configuração'!$F$55,'🌱 Configuração'!$B$56+81,"")</f>
        <v>81</v>
      </c>
      <c r="D87" s="61" t="str">
        <f>IF(82&gt;'🌱 Configuração'!$F$55,"",IF('🌱 Configuração'!$B$56+81&lt;'🌱 Configuração'!$C$56,"🌱 Clone",IF('🌱 Configuração'!$B$56+81&lt;'🌱 Configuração'!$D$56,"🌿 Vega",IF('🌱 Configuração'!$B$56+81&lt;'🌱 Configuração'!$E$56,"🌸 Flora","🚿 Flush"))))</f>
        <v>🌸 Flora</v>
      </c>
      <c r="E87" s="61"/>
      <c r="F87" s="61"/>
      <c r="G87" s="61"/>
      <c r="H87" s="61"/>
      <c r="I87" s="61"/>
      <c r="J87" s="61"/>
      <c r="K87" s="61"/>
      <c r="L87" s="1" t="str">
        <f>IF(82&gt;'🌱 Configuração'!$F$55,"",IF(F87="","—",IF(F87&lt;22,"⚠️ Temp baixa",IF(F87&gt;29,"⚠️ Temp ALTA",IF(H87="","✅ OK",IF(H87&lt;5.5,"⚠️ pH baixo",IF(H87&gt;6.9,"⚠️ pH alto",IF(I87&gt;2.5,"⚠️ CE alta","✅ OK"))))))))</f>
        <v>—</v>
      </c>
    </row>
    <row r="88" spans="1:12" ht="18" customHeight="1">
      <c r="A88" s="1"/>
      <c r="B88" s="59">
        <f>IF(83&lt;='🌱 Configuração'!$F$55,83,"")</f>
        <v>83</v>
      </c>
      <c r="C88" s="60">
        <f>IF(83&lt;='🌱 Configuração'!$F$55,'🌱 Configuração'!$B$56+82,"")</f>
        <v>82</v>
      </c>
      <c r="D88" s="59" t="str">
        <f>IF(83&gt;'🌱 Configuração'!$F$55,"",IF('🌱 Configuração'!$B$56+82&lt;'🌱 Configuração'!$C$56,"🌱 Clone",IF('🌱 Configuração'!$B$56+82&lt;'🌱 Configuração'!$D$56,"🌿 Vega",IF('🌱 Configuração'!$B$56+82&lt;'🌱 Configuração'!$E$56,"🌸 Flora","🚿 Flush"))))</f>
        <v>🌸 Flora</v>
      </c>
      <c r="E88" s="59"/>
      <c r="F88" s="59"/>
      <c r="G88" s="59"/>
      <c r="H88" s="59"/>
      <c r="I88" s="59"/>
      <c r="J88" s="59"/>
      <c r="K88" s="59"/>
      <c r="L88" s="1" t="str">
        <f>IF(83&gt;'🌱 Configuração'!$F$55,"",IF(F88="","—",IF(F88&lt;22,"⚠️ Temp baixa",IF(F88&gt;29,"⚠️ Temp ALTA",IF(H88="","✅ OK",IF(H88&lt;5.5,"⚠️ pH baixo",IF(H88&gt;6.9,"⚠️ pH alto",IF(I88&gt;2.5,"⚠️ CE alta","✅ OK"))))))))</f>
        <v>—</v>
      </c>
    </row>
    <row r="89" spans="1:12" ht="18" customHeight="1">
      <c r="A89" s="1"/>
      <c r="B89" s="61">
        <f>IF(84&lt;='🌱 Configuração'!$F$55,84,"")</f>
        <v>84</v>
      </c>
      <c r="C89" s="62">
        <f>IF(84&lt;='🌱 Configuração'!$F$55,'🌱 Configuração'!$B$56+83,"")</f>
        <v>83</v>
      </c>
      <c r="D89" s="61" t="str">
        <f>IF(84&gt;'🌱 Configuração'!$F$55,"",IF('🌱 Configuração'!$B$56+83&lt;'🌱 Configuração'!$C$56,"🌱 Clone",IF('🌱 Configuração'!$B$56+83&lt;'🌱 Configuração'!$D$56,"🌿 Vega",IF('🌱 Configuração'!$B$56+83&lt;'🌱 Configuração'!$E$56,"🌸 Flora","🚿 Flush"))))</f>
        <v>🌸 Flora</v>
      </c>
      <c r="E89" s="61"/>
      <c r="F89" s="61"/>
      <c r="G89" s="61"/>
      <c r="H89" s="61"/>
      <c r="I89" s="61"/>
      <c r="J89" s="61"/>
      <c r="K89" s="61"/>
      <c r="L89" s="1" t="str">
        <f>IF(84&gt;'🌱 Configuração'!$F$55,"",IF(F89="","—",IF(F89&lt;22,"⚠️ Temp baixa",IF(F89&gt;29,"⚠️ Temp ALTA",IF(H89="","✅ OK",IF(H89&lt;5.5,"⚠️ pH baixo",IF(H89&gt;6.9,"⚠️ pH alto",IF(I89&gt;2.5,"⚠️ CE alta","✅ OK"))))))))</f>
        <v>—</v>
      </c>
    </row>
    <row r="90" spans="1:12" ht="18" customHeight="1">
      <c r="A90" s="1"/>
      <c r="B90" s="59">
        <f>IF(85&lt;='🌱 Configuração'!$F$55,85,"")</f>
        <v>85</v>
      </c>
      <c r="C90" s="60">
        <f>IF(85&lt;='🌱 Configuração'!$F$55,'🌱 Configuração'!$B$56+84,"")</f>
        <v>84</v>
      </c>
      <c r="D90" s="59" t="str">
        <f>IF(85&gt;'🌱 Configuração'!$F$55,"",IF('🌱 Configuração'!$B$56+84&lt;'🌱 Configuração'!$C$56,"🌱 Clone",IF('🌱 Configuração'!$B$56+84&lt;'🌱 Configuração'!$D$56,"🌿 Vega",IF('🌱 Configuração'!$B$56+84&lt;'🌱 Configuração'!$E$56,"🌸 Flora","🚿 Flush"))))</f>
        <v>🌸 Flora</v>
      </c>
      <c r="E90" s="59"/>
      <c r="F90" s="59"/>
      <c r="G90" s="59"/>
      <c r="H90" s="59"/>
      <c r="I90" s="59"/>
      <c r="J90" s="59"/>
      <c r="K90" s="59"/>
      <c r="L90" s="1" t="str">
        <f>IF(85&gt;'🌱 Configuração'!$F$55,"",IF(F90="","—",IF(F90&lt;22,"⚠️ Temp baixa",IF(F90&gt;29,"⚠️ Temp ALTA",IF(H90="","✅ OK",IF(H90&lt;5.5,"⚠️ pH baixo",IF(H90&gt;6.9,"⚠️ pH alto",IF(I90&gt;2.5,"⚠️ CE alta","✅ OK"))))))))</f>
        <v>—</v>
      </c>
    </row>
    <row r="91" spans="1:12" ht="18" customHeight="1">
      <c r="A91" s="1"/>
      <c r="B91" s="61">
        <f>IF(86&lt;='🌱 Configuração'!$F$55,86,"")</f>
        <v>86</v>
      </c>
      <c r="C91" s="62">
        <f>IF(86&lt;='🌱 Configuração'!$F$55,'🌱 Configuração'!$B$56+85,"")</f>
        <v>85</v>
      </c>
      <c r="D91" s="61" t="str">
        <f>IF(86&gt;'🌱 Configuração'!$F$55,"",IF('🌱 Configuração'!$B$56+85&lt;'🌱 Configuração'!$C$56,"🌱 Clone",IF('🌱 Configuração'!$B$56+85&lt;'🌱 Configuração'!$D$56,"🌿 Vega",IF('🌱 Configuração'!$B$56+85&lt;'🌱 Configuração'!$E$56,"🌸 Flora","🚿 Flush"))))</f>
        <v>🌸 Flora</v>
      </c>
      <c r="E91" s="61"/>
      <c r="F91" s="61"/>
      <c r="G91" s="61"/>
      <c r="H91" s="61"/>
      <c r="I91" s="61"/>
      <c r="J91" s="61"/>
      <c r="K91" s="61"/>
      <c r="L91" s="1" t="str">
        <f>IF(86&gt;'🌱 Configuração'!$F$55,"",IF(F91="","—",IF(F91&lt;22,"⚠️ Temp baixa",IF(F91&gt;29,"⚠️ Temp ALTA",IF(H91="","✅ OK",IF(H91&lt;5.5,"⚠️ pH baixo",IF(H91&gt;6.9,"⚠️ pH alto",IF(I91&gt;2.5,"⚠️ CE alta","✅ OK"))))))))</f>
        <v>—</v>
      </c>
    </row>
    <row r="92" spans="1:12" ht="18" customHeight="1">
      <c r="A92" s="1"/>
      <c r="B92" s="59">
        <f>IF(87&lt;='🌱 Configuração'!$F$55,87,"")</f>
        <v>87</v>
      </c>
      <c r="C92" s="60">
        <f>IF(87&lt;='🌱 Configuração'!$F$55,'🌱 Configuração'!$B$56+86,"")</f>
        <v>86</v>
      </c>
      <c r="D92" s="59" t="str">
        <f>IF(87&gt;'🌱 Configuração'!$F$55,"",IF('🌱 Configuração'!$B$56+86&lt;'🌱 Configuração'!$C$56,"🌱 Clone",IF('🌱 Configuração'!$B$56+86&lt;'🌱 Configuração'!$D$56,"🌿 Vega",IF('🌱 Configuração'!$B$56+86&lt;'🌱 Configuração'!$E$56,"🌸 Flora","🚿 Flush"))))</f>
        <v>🌸 Flora</v>
      </c>
      <c r="E92" s="59"/>
      <c r="F92" s="59"/>
      <c r="G92" s="59"/>
      <c r="H92" s="59"/>
      <c r="I92" s="59"/>
      <c r="J92" s="59"/>
      <c r="K92" s="59"/>
      <c r="L92" s="1" t="str">
        <f>IF(87&gt;'🌱 Configuração'!$F$55,"",IF(F92="","—",IF(F92&lt;22,"⚠️ Temp baixa",IF(F92&gt;29,"⚠️ Temp ALTA",IF(H92="","✅ OK",IF(H92&lt;5.5,"⚠️ pH baixo",IF(H92&gt;6.9,"⚠️ pH alto",IF(I92&gt;2.5,"⚠️ CE alta","✅ OK"))))))))</f>
        <v>—</v>
      </c>
    </row>
    <row r="93" spans="1:12" ht="18" customHeight="1">
      <c r="A93" s="1"/>
      <c r="B93" s="61">
        <f>IF(88&lt;='🌱 Configuração'!$F$55,88,"")</f>
        <v>88</v>
      </c>
      <c r="C93" s="62">
        <f>IF(88&lt;='🌱 Configuração'!$F$55,'🌱 Configuração'!$B$56+87,"")</f>
        <v>87</v>
      </c>
      <c r="D93" s="61" t="str">
        <f>IF(88&gt;'🌱 Configuração'!$F$55,"",IF('🌱 Configuração'!$B$56+87&lt;'🌱 Configuração'!$C$56,"🌱 Clone",IF('🌱 Configuração'!$B$56+87&lt;'🌱 Configuração'!$D$56,"🌿 Vega",IF('🌱 Configuração'!$B$56+87&lt;'🌱 Configuração'!$E$56,"🌸 Flora","🚿 Flush"))))</f>
        <v>🌸 Flora</v>
      </c>
      <c r="E93" s="61"/>
      <c r="F93" s="61"/>
      <c r="G93" s="61"/>
      <c r="H93" s="61"/>
      <c r="I93" s="61"/>
      <c r="J93" s="61"/>
      <c r="K93" s="61"/>
      <c r="L93" s="1" t="str">
        <f>IF(88&gt;'🌱 Configuração'!$F$55,"",IF(F93="","—",IF(F93&lt;22,"⚠️ Temp baixa",IF(F93&gt;29,"⚠️ Temp ALTA",IF(H93="","✅ OK",IF(H93&lt;5.5,"⚠️ pH baixo",IF(H93&gt;6.9,"⚠️ pH alto",IF(I93&gt;2.5,"⚠️ CE alta","✅ OK"))))))))</f>
        <v>—</v>
      </c>
    </row>
    <row r="94" spans="1:12" ht="18" customHeight="1">
      <c r="A94" s="1"/>
      <c r="B94" s="59">
        <f>IF(89&lt;='🌱 Configuração'!$F$55,89,"")</f>
        <v>89</v>
      </c>
      <c r="C94" s="60">
        <f>IF(89&lt;='🌱 Configuração'!$F$55,'🌱 Configuração'!$B$56+88,"")</f>
        <v>88</v>
      </c>
      <c r="D94" s="59" t="str">
        <f>IF(89&gt;'🌱 Configuração'!$F$55,"",IF('🌱 Configuração'!$B$56+88&lt;'🌱 Configuração'!$C$56,"🌱 Clone",IF('🌱 Configuração'!$B$56+88&lt;'🌱 Configuração'!$D$56,"🌿 Vega",IF('🌱 Configuração'!$B$56+88&lt;'🌱 Configuração'!$E$56,"🌸 Flora","🚿 Flush"))))</f>
        <v>🌸 Flora</v>
      </c>
      <c r="E94" s="59"/>
      <c r="F94" s="59"/>
      <c r="G94" s="59"/>
      <c r="H94" s="59"/>
      <c r="I94" s="59"/>
      <c r="J94" s="59"/>
      <c r="K94" s="59"/>
      <c r="L94" s="1" t="str">
        <f>IF(89&gt;'🌱 Configuração'!$F$55,"",IF(F94="","—",IF(F94&lt;22,"⚠️ Temp baixa",IF(F94&gt;29,"⚠️ Temp ALTA",IF(H94="","✅ OK",IF(H94&lt;5.5,"⚠️ pH baixo",IF(H94&gt;6.9,"⚠️ pH alto",IF(I94&gt;2.5,"⚠️ CE alta","✅ OK"))))))))</f>
        <v>—</v>
      </c>
    </row>
    <row r="95" spans="1:12" ht="18" customHeight="1">
      <c r="A95" s="1"/>
      <c r="B95" s="61">
        <f>IF(90&lt;='🌱 Configuração'!$F$55,90,"")</f>
        <v>90</v>
      </c>
      <c r="C95" s="62">
        <f>IF(90&lt;='🌱 Configuração'!$F$55,'🌱 Configuração'!$B$56+89,"")</f>
        <v>89</v>
      </c>
      <c r="D95" s="61" t="str">
        <f>IF(90&gt;'🌱 Configuração'!$F$55,"",IF('🌱 Configuração'!$B$56+89&lt;'🌱 Configuração'!$C$56,"🌱 Clone",IF('🌱 Configuração'!$B$56+89&lt;'🌱 Configuração'!$D$56,"🌿 Vega",IF('🌱 Configuração'!$B$56+89&lt;'🌱 Configuração'!$E$56,"🌸 Flora","🚿 Flush"))))</f>
        <v>🌸 Flora</v>
      </c>
      <c r="E95" s="61"/>
      <c r="F95" s="61"/>
      <c r="G95" s="61"/>
      <c r="H95" s="61"/>
      <c r="I95" s="61"/>
      <c r="J95" s="61"/>
      <c r="K95" s="61"/>
      <c r="L95" s="1" t="str">
        <f>IF(90&gt;'🌱 Configuração'!$F$55,"",IF(F95="","—",IF(F95&lt;22,"⚠️ Temp baixa",IF(F95&gt;29,"⚠️ Temp ALTA",IF(H95="","✅ OK",IF(H95&lt;5.5,"⚠️ pH baixo",IF(H95&gt;6.9,"⚠️ pH alto",IF(I95&gt;2.5,"⚠️ CE alta","✅ OK"))))))))</f>
        <v>—</v>
      </c>
    </row>
    <row r="96" spans="1:12" ht="18" customHeight="1">
      <c r="A96" s="1"/>
      <c r="B96" s="59">
        <f>IF(91&lt;='🌱 Configuração'!$F$55,91,"")</f>
        <v>91</v>
      </c>
      <c r="C96" s="60">
        <f>IF(91&lt;='🌱 Configuração'!$F$55,'🌱 Configuração'!$B$56+90,"")</f>
        <v>90</v>
      </c>
      <c r="D96" s="59" t="str">
        <f>IF(91&gt;'🌱 Configuração'!$F$55,"",IF('🌱 Configuração'!$B$56+90&lt;'🌱 Configuração'!$C$56,"🌱 Clone",IF('🌱 Configuração'!$B$56+90&lt;'🌱 Configuração'!$D$56,"🌿 Vega",IF('🌱 Configuração'!$B$56+90&lt;'🌱 Configuração'!$E$56,"🌸 Flora","🚿 Flush"))))</f>
        <v>🌸 Flora</v>
      </c>
      <c r="E96" s="59"/>
      <c r="F96" s="59"/>
      <c r="G96" s="59"/>
      <c r="H96" s="59"/>
      <c r="I96" s="59"/>
      <c r="J96" s="59"/>
      <c r="K96" s="59"/>
      <c r="L96" s="1" t="str">
        <f>IF(91&gt;'🌱 Configuração'!$F$55,"",IF(F96="","—",IF(F96&lt;22,"⚠️ Temp baixa",IF(F96&gt;29,"⚠️ Temp ALTA",IF(H96="","✅ OK",IF(H96&lt;5.5,"⚠️ pH baixo",IF(H96&gt;6.9,"⚠️ pH alto",IF(I96&gt;2.5,"⚠️ CE alta","✅ OK"))))))))</f>
        <v>—</v>
      </c>
    </row>
    <row r="97" spans="1:12" ht="18" customHeight="1">
      <c r="A97" s="1"/>
      <c r="B97" s="61">
        <f>IF(92&lt;='🌱 Configuração'!$F$55,92,"")</f>
        <v>92</v>
      </c>
      <c r="C97" s="62">
        <f>IF(92&lt;='🌱 Configuração'!$F$55,'🌱 Configuração'!$B$56+91,"")</f>
        <v>91</v>
      </c>
      <c r="D97" s="61" t="str">
        <f>IF(92&gt;'🌱 Configuração'!$F$55,"",IF('🌱 Configuração'!$B$56+91&lt;'🌱 Configuração'!$C$56,"🌱 Clone",IF('🌱 Configuração'!$B$56+91&lt;'🌱 Configuração'!$D$56,"🌿 Vega",IF('🌱 Configuração'!$B$56+91&lt;'🌱 Configuração'!$E$56,"🌸 Flora","🚿 Flush"))))</f>
        <v>🌸 Flora</v>
      </c>
      <c r="E97" s="61"/>
      <c r="F97" s="61"/>
      <c r="G97" s="61"/>
      <c r="H97" s="61"/>
      <c r="I97" s="61"/>
      <c r="J97" s="61"/>
      <c r="K97" s="61"/>
      <c r="L97" s="1" t="str">
        <f>IF(92&gt;'🌱 Configuração'!$F$55,"",IF(F97="","—",IF(F97&lt;22,"⚠️ Temp baixa",IF(F97&gt;29,"⚠️ Temp ALTA",IF(H97="","✅ OK",IF(H97&lt;5.5,"⚠️ pH baixo",IF(H97&gt;6.9,"⚠️ pH alto",IF(I97&gt;2.5,"⚠️ CE alta","✅ OK"))))))))</f>
        <v>—</v>
      </c>
    </row>
    <row r="98" spans="1:12" ht="18" customHeight="1">
      <c r="A98" s="1"/>
      <c r="B98" s="59">
        <f>IF(93&lt;='🌱 Configuração'!$F$55,93,"")</f>
        <v>93</v>
      </c>
      <c r="C98" s="60">
        <f>IF(93&lt;='🌱 Configuração'!$F$55,'🌱 Configuração'!$B$56+92,"")</f>
        <v>92</v>
      </c>
      <c r="D98" s="59" t="str">
        <f>IF(93&gt;'🌱 Configuração'!$F$55,"",IF('🌱 Configuração'!$B$56+92&lt;'🌱 Configuração'!$C$56,"🌱 Clone",IF('🌱 Configuração'!$B$56+92&lt;'🌱 Configuração'!$D$56,"🌿 Vega",IF('🌱 Configuração'!$B$56+92&lt;'🌱 Configuração'!$E$56,"🌸 Flora","🚿 Flush"))))</f>
        <v>🌸 Flora</v>
      </c>
      <c r="E98" s="59"/>
      <c r="F98" s="59"/>
      <c r="G98" s="59"/>
      <c r="H98" s="59"/>
      <c r="I98" s="59"/>
      <c r="J98" s="59"/>
      <c r="K98" s="59"/>
      <c r="L98" s="1" t="str">
        <f>IF(93&gt;'🌱 Configuração'!$F$55,"",IF(F98="","—",IF(F98&lt;22,"⚠️ Temp baixa",IF(F98&gt;29,"⚠️ Temp ALTA",IF(H98="","✅ OK",IF(H98&lt;5.5,"⚠️ pH baixo",IF(H98&gt;6.9,"⚠️ pH alto",IF(I98&gt;2.5,"⚠️ CE alta","✅ OK"))))))))</f>
        <v>—</v>
      </c>
    </row>
    <row r="99" spans="1:12" ht="18" customHeight="1">
      <c r="A99" s="1"/>
      <c r="B99" s="61">
        <f>IF(94&lt;='🌱 Configuração'!$F$55,94,"")</f>
        <v>94</v>
      </c>
      <c r="C99" s="62">
        <f>IF(94&lt;='🌱 Configuração'!$F$55,'🌱 Configuração'!$B$56+93,"")</f>
        <v>93</v>
      </c>
      <c r="D99" s="61" t="str">
        <f>IF(94&gt;'🌱 Configuração'!$F$55,"",IF('🌱 Configuração'!$B$56+93&lt;'🌱 Configuração'!$C$56,"🌱 Clone",IF('🌱 Configuração'!$B$56+93&lt;'🌱 Configuração'!$D$56,"🌿 Vega",IF('🌱 Configuração'!$B$56+93&lt;'🌱 Configuração'!$E$56,"🌸 Flora","🚿 Flush"))))</f>
        <v>🌸 Flora</v>
      </c>
      <c r="E99" s="61"/>
      <c r="F99" s="61"/>
      <c r="G99" s="61"/>
      <c r="H99" s="61"/>
      <c r="I99" s="61"/>
      <c r="J99" s="61"/>
      <c r="K99" s="61"/>
      <c r="L99" s="1" t="str">
        <f>IF(94&gt;'🌱 Configuração'!$F$55,"",IF(F99="","—",IF(F99&lt;22,"⚠️ Temp baixa",IF(F99&gt;29,"⚠️ Temp ALTA",IF(H99="","✅ OK",IF(H99&lt;5.5,"⚠️ pH baixo",IF(H99&gt;6.9,"⚠️ pH alto",IF(I99&gt;2.5,"⚠️ CE alta","✅ OK"))))))))</f>
        <v>—</v>
      </c>
    </row>
    <row r="100" spans="1:12" ht="18" customHeight="1">
      <c r="A100" s="1"/>
      <c r="B100" s="59">
        <f>IF(95&lt;='🌱 Configuração'!$F$55,95,"")</f>
        <v>95</v>
      </c>
      <c r="C100" s="60">
        <f>IF(95&lt;='🌱 Configuração'!$F$55,'🌱 Configuração'!$B$56+94,"")</f>
        <v>94</v>
      </c>
      <c r="D100" s="59" t="str">
        <f>IF(95&gt;'🌱 Configuração'!$F$55,"",IF('🌱 Configuração'!$B$56+94&lt;'🌱 Configuração'!$C$56,"🌱 Clone",IF('🌱 Configuração'!$B$56+94&lt;'🌱 Configuração'!$D$56,"🌿 Vega",IF('🌱 Configuração'!$B$56+94&lt;'🌱 Configuração'!$E$56,"🌸 Flora","🚿 Flush"))))</f>
        <v>🌸 Flora</v>
      </c>
      <c r="E100" s="59"/>
      <c r="F100" s="59"/>
      <c r="G100" s="59"/>
      <c r="H100" s="59"/>
      <c r="I100" s="59"/>
      <c r="J100" s="59"/>
      <c r="K100" s="59"/>
      <c r="L100" s="1" t="str">
        <f>IF(95&gt;'🌱 Configuração'!$F$55,"",IF(F100="","—",IF(F100&lt;22,"⚠️ Temp baixa",IF(F100&gt;29,"⚠️ Temp ALTA",IF(H100="","✅ OK",IF(H100&lt;5.5,"⚠️ pH baixo",IF(H100&gt;6.9,"⚠️ pH alto",IF(I100&gt;2.5,"⚠️ CE alta","✅ OK"))))))))</f>
        <v>—</v>
      </c>
    </row>
    <row r="101" spans="1:12" ht="18" customHeight="1">
      <c r="A101" s="1"/>
      <c r="B101" s="61">
        <f>IF(96&lt;='🌱 Configuração'!$F$55,96,"")</f>
        <v>96</v>
      </c>
      <c r="C101" s="62">
        <f>IF(96&lt;='🌱 Configuração'!$F$55,'🌱 Configuração'!$B$56+95,"")</f>
        <v>95</v>
      </c>
      <c r="D101" s="61" t="str">
        <f>IF(96&gt;'🌱 Configuração'!$F$55,"",IF('🌱 Configuração'!$B$56+95&lt;'🌱 Configuração'!$C$56,"🌱 Clone",IF('🌱 Configuração'!$B$56+95&lt;'🌱 Configuração'!$D$56,"🌿 Vega",IF('🌱 Configuração'!$B$56+95&lt;'🌱 Configuração'!$E$56,"🌸 Flora","🚿 Flush"))))</f>
        <v>🌸 Flora</v>
      </c>
      <c r="E101" s="61"/>
      <c r="F101" s="61"/>
      <c r="G101" s="61"/>
      <c r="H101" s="61"/>
      <c r="I101" s="61"/>
      <c r="J101" s="61"/>
      <c r="K101" s="61"/>
      <c r="L101" s="1" t="str">
        <f>IF(96&gt;'🌱 Configuração'!$F$55,"",IF(F101="","—",IF(F101&lt;22,"⚠️ Temp baixa",IF(F101&gt;29,"⚠️ Temp ALTA",IF(H101="","✅ OK",IF(H101&lt;5.5,"⚠️ pH baixo",IF(H101&gt;6.9,"⚠️ pH alto",IF(I101&gt;2.5,"⚠️ CE alta","✅ OK"))))))))</f>
        <v>—</v>
      </c>
    </row>
    <row r="102" spans="1:12" ht="18" customHeight="1">
      <c r="A102" s="1"/>
      <c r="B102" s="59">
        <f>IF(97&lt;='🌱 Configuração'!$F$55,97,"")</f>
        <v>97</v>
      </c>
      <c r="C102" s="60">
        <f>IF(97&lt;='🌱 Configuração'!$F$55,'🌱 Configuração'!$B$56+96,"")</f>
        <v>96</v>
      </c>
      <c r="D102" s="59" t="str">
        <f>IF(97&gt;'🌱 Configuração'!$F$55,"",IF('🌱 Configuração'!$B$56+96&lt;'🌱 Configuração'!$C$56,"🌱 Clone",IF('🌱 Configuração'!$B$56+96&lt;'🌱 Configuração'!$D$56,"🌿 Vega",IF('🌱 Configuração'!$B$56+96&lt;'🌱 Configuração'!$E$56,"🌸 Flora","🚿 Flush"))))</f>
        <v>🌸 Flora</v>
      </c>
      <c r="E102" s="59"/>
      <c r="F102" s="59"/>
      <c r="G102" s="59"/>
      <c r="H102" s="59"/>
      <c r="I102" s="59"/>
      <c r="J102" s="59"/>
      <c r="K102" s="59"/>
      <c r="L102" s="1" t="str">
        <f>IF(97&gt;'🌱 Configuração'!$F$55,"",IF(F102="","—",IF(F102&lt;22,"⚠️ Temp baixa",IF(F102&gt;29,"⚠️ Temp ALTA",IF(H102="","✅ OK",IF(H102&lt;5.5,"⚠️ pH baixo",IF(H102&gt;6.9,"⚠️ pH alto",IF(I102&gt;2.5,"⚠️ CE alta","✅ OK"))))))))</f>
        <v>—</v>
      </c>
    </row>
    <row r="103" spans="1:12" ht="18" customHeight="1">
      <c r="A103" s="1"/>
      <c r="B103" s="61">
        <f>IF(98&lt;='🌱 Configuração'!$F$55,98,"")</f>
        <v>98</v>
      </c>
      <c r="C103" s="62">
        <f>IF(98&lt;='🌱 Configuração'!$F$55,'🌱 Configuração'!$B$56+97,"")</f>
        <v>97</v>
      </c>
      <c r="D103" s="61" t="str">
        <f>IF(98&gt;'🌱 Configuração'!$F$55,"",IF('🌱 Configuração'!$B$56+97&lt;'🌱 Configuração'!$C$56,"🌱 Clone",IF('🌱 Configuração'!$B$56+97&lt;'🌱 Configuração'!$D$56,"🌿 Vega",IF('🌱 Configuração'!$B$56+97&lt;'🌱 Configuração'!$E$56,"🌸 Flora","🚿 Flush"))))</f>
        <v>🌸 Flora</v>
      </c>
      <c r="E103" s="61"/>
      <c r="F103" s="61"/>
      <c r="G103" s="61"/>
      <c r="H103" s="61"/>
      <c r="I103" s="61"/>
      <c r="J103" s="61"/>
      <c r="K103" s="61"/>
      <c r="L103" s="1" t="str">
        <f>IF(98&gt;'🌱 Configuração'!$F$55,"",IF(F103="","—",IF(F103&lt;22,"⚠️ Temp baixa",IF(F103&gt;29,"⚠️ Temp ALTA",IF(H103="","✅ OK",IF(H103&lt;5.5,"⚠️ pH baixo",IF(H103&gt;6.9,"⚠️ pH alto",IF(I103&gt;2.5,"⚠️ CE alta","✅ OK"))))))))</f>
        <v>—</v>
      </c>
    </row>
    <row r="104" spans="1:12" ht="18" customHeight="1">
      <c r="A104" s="1"/>
      <c r="B104" s="59">
        <f>IF(99&lt;='🌱 Configuração'!$F$55,99,"")</f>
        <v>99</v>
      </c>
      <c r="C104" s="60">
        <f>IF(99&lt;='🌱 Configuração'!$F$55,'🌱 Configuração'!$B$56+98,"")</f>
        <v>98</v>
      </c>
      <c r="D104" s="59" t="str">
        <f>IF(99&gt;'🌱 Configuração'!$F$55,"",IF('🌱 Configuração'!$B$56+98&lt;'🌱 Configuração'!$C$56,"🌱 Clone",IF('🌱 Configuração'!$B$56+98&lt;'🌱 Configuração'!$D$56,"🌿 Vega",IF('🌱 Configuração'!$B$56+98&lt;'🌱 Configuração'!$E$56,"🌸 Flora","🚿 Flush"))))</f>
        <v>🌸 Flora</v>
      </c>
      <c r="E104" s="59"/>
      <c r="F104" s="59"/>
      <c r="G104" s="59"/>
      <c r="H104" s="59"/>
      <c r="I104" s="59"/>
      <c r="J104" s="59"/>
      <c r="K104" s="59"/>
      <c r="L104" s="1" t="str">
        <f>IF(99&gt;'🌱 Configuração'!$F$55,"",IF(F104="","—",IF(F104&lt;22,"⚠️ Temp baixa",IF(F104&gt;29,"⚠️ Temp ALTA",IF(H104="","✅ OK",IF(H104&lt;5.5,"⚠️ pH baixo",IF(H104&gt;6.9,"⚠️ pH alto",IF(I104&gt;2.5,"⚠️ CE alta","✅ OK"))))))))</f>
        <v>—</v>
      </c>
    </row>
    <row r="105" spans="1:12" ht="18" customHeight="1">
      <c r="A105" s="1"/>
      <c r="B105" s="61">
        <f>IF(100&lt;='🌱 Configuração'!$F$55,100,"")</f>
        <v>100</v>
      </c>
      <c r="C105" s="62">
        <f>IF(100&lt;='🌱 Configuração'!$F$55,'🌱 Configuração'!$B$56+99,"")</f>
        <v>99</v>
      </c>
      <c r="D105" s="61" t="str">
        <f>IF(100&gt;'🌱 Configuração'!$F$55,"",IF('🌱 Configuração'!$B$56+99&lt;'🌱 Configuração'!$C$56,"🌱 Clone",IF('🌱 Configuração'!$B$56+99&lt;'🌱 Configuração'!$D$56,"🌿 Vega",IF('🌱 Configuração'!$B$56+99&lt;'🌱 Configuração'!$E$56,"🌸 Flora","🚿 Flush"))))</f>
        <v>🌸 Flora</v>
      </c>
      <c r="E105" s="61"/>
      <c r="F105" s="61"/>
      <c r="G105" s="61"/>
      <c r="H105" s="61"/>
      <c r="I105" s="61"/>
      <c r="J105" s="61"/>
      <c r="K105" s="61"/>
      <c r="L105" s="1" t="str">
        <f>IF(100&gt;'🌱 Configuração'!$F$55,"",IF(F105="","—",IF(F105&lt;22,"⚠️ Temp baixa",IF(F105&gt;29,"⚠️ Temp ALTA",IF(H105="","✅ OK",IF(H105&lt;5.5,"⚠️ pH baixo",IF(H105&gt;6.9,"⚠️ pH alto",IF(I105&gt;2.5,"⚠️ CE alta","✅ OK"))))))))</f>
        <v>—</v>
      </c>
    </row>
    <row r="106" spans="1:12" ht="18" customHeight="1">
      <c r="A106" s="1"/>
      <c r="B106" s="59">
        <f>IF(101&lt;='🌱 Configuração'!$F$55,101,"")</f>
        <v>101</v>
      </c>
      <c r="C106" s="60">
        <f>IF(101&lt;='🌱 Configuração'!$F$55,'🌱 Configuração'!$B$56+100,"")</f>
        <v>100</v>
      </c>
      <c r="D106" s="59" t="str">
        <f>IF(101&gt;'🌱 Configuração'!$F$55,"",IF('🌱 Configuração'!$B$56+100&lt;'🌱 Configuração'!$C$56,"🌱 Clone",IF('🌱 Configuração'!$B$56+100&lt;'🌱 Configuração'!$D$56,"🌿 Vega",IF('🌱 Configuração'!$B$56+100&lt;'🌱 Configuração'!$E$56,"🌸 Flora","🚿 Flush"))))</f>
        <v>🌸 Flora</v>
      </c>
      <c r="E106" s="59"/>
      <c r="F106" s="59"/>
      <c r="G106" s="59"/>
      <c r="H106" s="59"/>
      <c r="I106" s="59"/>
      <c r="J106" s="59"/>
      <c r="K106" s="59"/>
      <c r="L106" s="1" t="str">
        <f>IF(101&gt;'🌱 Configuração'!$F$55,"",IF(F106="","—",IF(F106&lt;22,"⚠️ Temp baixa",IF(F106&gt;29,"⚠️ Temp ALTA",IF(H106="","✅ OK",IF(H106&lt;5.5,"⚠️ pH baixo",IF(H106&gt;6.9,"⚠️ pH alto",IF(I106&gt;2.5,"⚠️ CE alta","✅ OK"))))))))</f>
        <v>—</v>
      </c>
    </row>
    <row r="107" spans="1:12" ht="18" customHeight="1">
      <c r="A107" s="1"/>
      <c r="B107" s="61">
        <f>IF(102&lt;='🌱 Configuração'!$F$55,102,"")</f>
        <v>102</v>
      </c>
      <c r="C107" s="62">
        <f>IF(102&lt;='🌱 Configuração'!$F$55,'🌱 Configuração'!$B$56+101,"")</f>
        <v>101</v>
      </c>
      <c r="D107" s="61" t="str">
        <f>IF(102&gt;'🌱 Configuração'!$F$55,"",IF('🌱 Configuração'!$B$56+101&lt;'🌱 Configuração'!$C$56,"🌱 Clone",IF('🌱 Configuração'!$B$56+101&lt;'🌱 Configuração'!$D$56,"🌿 Vega",IF('🌱 Configuração'!$B$56+101&lt;'🌱 Configuração'!$E$56,"🌸 Flora","🚿 Flush"))))</f>
        <v>🌸 Flora</v>
      </c>
      <c r="E107" s="61"/>
      <c r="F107" s="61"/>
      <c r="G107" s="61"/>
      <c r="H107" s="61"/>
      <c r="I107" s="61"/>
      <c r="J107" s="61"/>
      <c r="K107" s="61"/>
      <c r="L107" s="1" t="str">
        <f>IF(102&gt;'🌱 Configuração'!$F$55,"",IF(F107="","—",IF(F107&lt;22,"⚠️ Temp baixa",IF(F107&gt;29,"⚠️ Temp ALTA",IF(H107="","✅ OK",IF(H107&lt;5.5,"⚠️ pH baixo",IF(H107&gt;6.9,"⚠️ pH alto",IF(I107&gt;2.5,"⚠️ CE alta","✅ OK"))))))))</f>
        <v>—</v>
      </c>
    </row>
    <row r="108" spans="1:12" ht="18" customHeight="1">
      <c r="A108" s="1"/>
      <c r="B108" s="59">
        <f>IF(103&lt;='🌱 Configuração'!$F$55,103,"")</f>
        <v>103</v>
      </c>
      <c r="C108" s="60">
        <f>IF(103&lt;='🌱 Configuração'!$F$55,'🌱 Configuração'!$B$56+102,"")</f>
        <v>102</v>
      </c>
      <c r="D108" s="59" t="str">
        <f>IF(103&gt;'🌱 Configuração'!$F$55,"",IF('🌱 Configuração'!$B$56+102&lt;'🌱 Configuração'!$C$56,"🌱 Clone",IF('🌱 Configuração'!$B$56+102&lt;'🌱 Configuração'!$D$56,"🌿 Vega",IF('🌱 Configuração'!$B$56+102&lt;'🌱 Configuração'!$E$56,"🌸 Flora","🚿 Flush"))))</f>
        <v>🌸 Flora</v>
      </c>
      <c r="E108" s="59"/>
      <c r="F108" s="59"/>
      <c r="G108" s="59"/>
      <c r="H108" s="59"/>
      <c r="I108" s="59"/>
      <c r="J108" s="59"/>
      <c r="K108" s="59"/>
      <c r="L108" s="1" t="str">
        <f>IF(103&gt;'🌱 Configuração'!$F$55,"",IF(F108="","—",IF(F108&lt;22,"⚠️ Temp baixa",IF(F108&gt;29,"⚠️ Temp ALTA",IF(H108="","✅ OK",IF(H108&lt;5.5,"⚠️ pH baixo",IF(H108&gt;6.9,"⚠️ pH alto",IF(I108&gt;2.5,"⚠️ CE alta","✅ OK"))))))))</f>
        <v>—</v>
      </c>
    </row>
    <row r="109" spans="1:12" ht="18" customHeight="1">
      <c r="A109" s="1"/>
      <c r="B109" s="61">
        <f>IF(104&lt;='🌱 Configuração'!$F$55,104,"")</f>
        <v>104</v>
      </c>
      <c r="C109" s="62">
        <f>IF(104&lt;='🌱 Configuração'!$F$55,'🌱 Configuração'!$B$56+103,"")</f>
        <v>103</v>
      </c>
      <c r="D109" s="61" t="str">
        <f>IF(104&gt;'🌱 Configuração'!$F$55,"",IF('🌱 Configuração'!$B$56+103&lt;'🌱 Configuração'!$C$56,"🌱 Clone",IF('🌱 Configuração'!$B$56+103&lt;'🌱 Configuração'!$D$56,"🌿 Vega",IF('🌱 Configuração'!$B$56+103&lt;'🌱 Configuração'!$E$56,"🌸 Flora","🚿 Flush"))))</f>
        <v>🌸 Flora</v>
      </c>
      <c r="E109" s="61"/>
      <c r="F109" s="61"/>
      <c r="G109" s="61"/>
      <c r="H109" s="61"/>
      <c r="I109" s="61"/>
      <c r="J109" s="61"/>
      <c r="K109" s="61"/>
      <c r="L109" s="1" t="str">
        <f>IF(104&gt;'🌱 Configuração'!$F$55,"",IF(F109="","—",IF(F109&lt;22,"⚠️ Temp baixa",IF(F109&gt;29,"⚠️ Temp ALTA",IF(H109="","✅ OK",IF(H109&lt;5.5,"⚠️ pH baixo",IF(H109&gt;6.9,"⚠️ pH alto",IF(I109&gt;2.5,"⚠️ CE alta","✅ OK"))))))))</f>
        <v>—</v>
      </c>
    </row>
    <row r="110" spans="1:12" ht="18" customHeight="1">
      <c r="A110" s="1"/>
      <c r="B110" s="59">
        <f>IF(105&lt;='🌱 Configuração'!$F$55,105,"")</f>
        <v>105</v>
      </c>
      <c r="C110" s="60">
        <f>IF(105&lt;='🌱 Configuração'!$F$55,'🌱 Configuração'!$B$56+104,"")</f>
        <v>104</v>
      </c>
      <c r="D110" s="59" t="str">
        <f>IF(105&gt;'🌱 Configuração'!$F$55,"",IF('🌱 Configuração'!$B$56+104&lt;'🌱 Configuração'!$C$56,"🌱 Clone",IF('🌱 Configuração'!$B$56+104&lt;'🌱 Configuração'!$D$56,"🌿 Vega",IF('🌱 Configuração'!$B$56+104&lt;'🌱 Configuração'!$E$56,"🌸 Flora","🚿 Flush"))))</f>
        <v>🌸 Flora</v>
      </c>
      <c r="E110" s="59"/>
      <c r="F110" s="59"/>
      <c r="G110" s="59"/>
      <c r="H110" s="59"/>
      <c r="I110" s="59"/>
      <c r="J110" s="59"/>
      <c r="K110" s="59"/>
      <c r="L110" s="1" t="str">
        <f>IF(105&gt;'🌱 Configuração'!$F$55,"",IF(F110="","—",IF(F110&lt;22,"⚠️ Temp baixa",IF(F110&gt;29,"⚠️ Temp ALTA",IF(H110="","✅ OK",IF(H110&lt;5.5,"⚠️ pH baixo",IF(H110&gt;6.9,"⚠️ pH alto",IF(I110&gt;2.5,"⚠️ CE alta","✅ OK"))))))))</f>
        <v>—</v>
      </c>
    </row>
    <row r="111" spans="1:12" ht="18" customHeight="1">
      <c r="A111" s="1"/>
      <c r="B111" s="61">
        <f>IF(106&lt;='🌱 Configuração'!$F$55,106,"")</f>
        <v>106</v>
      </c>
      <c r="C111" s="62">
        <f>IF(106&lt;='🌱 Configuração'!$F$55,'🌱 Configuração'!$B$56+105,"")</f>
        <v>105</v>
      </c>
      <c r="D111" s="61" t="str">
        <f>IF(106&gt;'🌱 Configuração'!$F$55,"",IF('🌱 Configuração'!$B$56+105&lt;'🌱 Configuração'!$C$56,"🌱 Clone",IF('🌱 Configuração'!$B$56+105&lt;'🌱 Configuração'!$D$56,"🌿 Vega",IF('🌱 Configuração'!$B$56+105&lt;'🌱 Configuração'!$E$56,"🌸 Flora","🚿 Flush"))))</f>
        <v>🌸 Flora</v>
      </c>
      <c r="E111" s="61"/>
      <c r="F111" s="61"/>
      <c r="G111" s="61"/>
      <c r="H111" s="61"/>
      <c r="I111" s="61"/>
      <c r="J111" s="61"/>
      <c r="K111" s="61"/>
      <c r="L111" s="1" t="str">
        <f>IF(106&gt;'🌱 Configuração'!$F$55,"",IF(F111="","—",IF(F111&lt;22,"⚠️ Temp baixa",IF(F111&gt;29,"⚠️ Temp ALTA",IF(H111="","✅ OK",IF(H111&lt;5.5,"⚠️ pH baixo",IF(H111&gt;6.9,"⚠️ pH alto",IF(I111&gt;2.5,"⚠️ CE alta","✅ OK"))))))))</f>
        <v>—</v>
      </c>
    </row>
    <row r="112" spans="1:12" ht="18" customHeight="1">
      <c r="A112" s="1"/>
      <c r="B112" s="59">
        <f>IF(107&lt;='🌱 Configuração'!$F$55,107,"")</f>
        <v>107</v>
      </c>
      <c r="C112" s="60">
        <f>IF(107&lt;='🌱 Configuração'!$F$55,'🌱 Configuração'!$B$56+106,"")</f>
        <v>106</v>
      </c>
      <c r="D112" s="59" t="str">
        <f>IF(107&gt;'🌱 Configuração'!$F$55,"",IF('🌱 Configuração'!$B$56+106&lt;'🌱 Configuração'!$C$56,"🌱 Clone",IF('🌱 Configuração'!$B$56+106&lt;'🌱 Configuração'!$D$56,"🌿 Vega",IF('🌱 Configuração'!$B$56+106&lt;'🌱 Configuração'!$E$56,"🌸 Flora","🚿 Flush"))))</f>
        <v>🌸 Flora</v>
      </c>
      <c r="E112" s="59"/>
      <c r="F112" s="59"/>
      <c r="G112" s="59"/>
      <c r="H112" s="59"/>
      <c r="I112" s="59"/>
      <c r="J112" s="59"/>
      <c r="K112" s="59"/>
      <c r="L112" s="1" t="str">
        <f>IF(107&gt;'🌱 Configuração'!$F$55,"",IF(F112="","—",IF(F112&lt;22,"⚠️ Temp baixa",IF(F112&gt;29,"⚠️ Temp ALTA",IF(H112="","✅ OK",IF(H112&lt;5.5,"⚠️ pH baixo",IF(H112&gt;6.9,"⚠️ pH alto",IF(I112&gt;2.5,"⚠️ CE alta","✅ OK"))))))))</f>
        <v>—</v>
      </c>
    </row>
    <row r="113" spans="1:12" ht="18" customHeight="1">
      <c r="A113" s="1"/>
      <c r="B113" s="61">
        <f>IF(108&lt;='🌱 Configuração'!$F$55,108,"")</f>
        <v>108</v>
      </c>
      <c r="C113" s="62">
        <f>IF(108&lt;='🌱 Configuração'!$F$55,'🌱 Configuração'!$B$56+107,"")</f>
        <v>107</v>
      </c>
      <c r="D113" s="61" t="str">
        <f>IF(108&gt;'🌱 Configuração'!$F$55,"",IF('🌱 Configuração'!$B$56+107&lt;'🌱 Configuração'!$C$56,"🌱 Clone",IF('🌱 Configuração'!$B$56+107&lt;'🌱 Configuração'!$D$56,"🌿 Vega",IF('🌱 Configuração'!$B$56+107&lt;'🌱 Configuração'!$E$56,"🌸 Flora","🚿 Flush"))))</f>
        <v>🌸 Flora</v>
      </c>
      <c r="E113" s="61"/>
      <c r="F113" s="61"/>
      <c r="G113" s="61"/>
      <c r="H113" s="61"/>
      <c r="I113" s="61"/>
      <c r="J113" s="61"/>
      <c r="K113" s="61"/>
      <c r="L113" s="1" t="str">
        <f>IF(108&gt;'🌱 Configuração'!$F$55,"",IF(F113="","—",IF(F113&lt;22,"⚠️ Temp baixa",IF(F113&gt;29,"⚠️ Temp ALTA",IF(H113="","✅ OK",IF(H113&lt;5.5,"⚠️ pH baixo",IF(H113&gt;6.9,"⚠️ pH alto",IF(I113&gt;2.5,"⚠️ CE alta","✅ OK"))))))))</f>
        <v>—</v>
      </c>
    </row>
    <row r="114" spans="1:12" ht="18" customHeight="1">
      <c r="A114" s="1"/>
      <c r="B114" s="59">
        <f>IF(109&lt;='🌱 Configuração'!$F$55,109,"")</f>
        <v>109</v>
      </c>
      <c r="C114" s="60">
        <f>IF(109&lt;='🌱 Configuração'!$F$55,'🌱 Configuração'!$B$56+108,"")</f>
        <v>108</v>
      </c>
      <c r="D114" s="59" t="str">
        <f>IF(109&gt;'🌱 Configuração'!$F$55,"",IF('🌱 Configuração'!$B$56+108&lt;'🌱 Configuração'!$C$56,"🌱 Clone",IF('🌱 Configuração'!$B$56+108&lt;'🌱 Configuração'!$D$56,"🌿 Vega",IF('🌱 Configuração'!$B$56+108&lt;'🌱 Configuração'!$E$56,"🌸 Flora","🚿 Flush"))))</f>
        <v>🌸 Flora</v>
      </c>
      <c r="E114" s="59"/>
      <c r="F114" s="59"/>
      <c r="G114" s="59"/>
      <c r="H114" s="59"/>
      <c r="I114" s="59"/>
      <c r="J114" s="59"/>
      <c r="K114" s="59"/>
      <c r="L114" s="1" t="str">
        <f>IF(109&gt;'🌱 Configuração'!$F$55,"",IF(F114="","—",IF(F114&lt;22,"⚠️ Temp baixa",IF(F114&gt;29,"⚠️ Temp ALTA",IF(H114="","✅ OK",IF(H114&lt;5.5,"⚠️ pH baixo",IF(H114&gt;6.9,"⚠️ pH alto",IF(I114&gt;2.5,"⚠️ CE alta","✅ OK"))))))))</f>
        <v>—</v>
      </c>
    </row>
    <row r="115" spans="1:12" ht="18" customHeight="1">
      <c r="A115" s="1"/>
      <c r="B115" s="61">
        <f>IF(110&lt;='🌱 Configuração'!$F$55,110,"")</f>
        <v>110</v>
      </c>
      <c r="C115" s="62">
        <f>IF(110&lt;='🌱 Configuração'!$F$55,'🌱 Configuração'!$B$56+109,"")</f>
        <v>109</v>
      </c>
      <c r="D115" s="61" t="str">
        <f>IF(110&gt;'🌱 Configuração'!$F$55,"",IF('🌱 Configuração'!$B$56+109&lt;'🌱 Configuração'!$C$56,"🌱 Clone",IF('🌱 Configuração'!$B$56+109&lt;'🌱 Configuração'!$D$56,"🌿 Vega",IF('🌱 Configuração'!$B$56+109&lt;'🌱 Configuração'!$E$56,"🌸 Flora","🚿 Flush"))))</f>
        <v>🌸 Flora</v>
      </c>
      <c r="E115" s="61"/>
      <c r="F115" s="61"/>
      <c r="G115" s="61"/>
      <c r="H115" s="61"/>
      <c r="I115" s="61"/>
      <c r="J115" s="61"/>
      <c r="K115" s="61"/>
      <c r="L115" s="1" t="str">
        <f>IF(110&gt;'🌱 Configuração'!$F$55,"",IF(F115="","—",IF(F115&lt;22,"⚠️ Temp baixa",IF(F115&gt;29,"⚠️ Temp ALTA",IF(H115="","✅ OK",IF(H115&lt;5.5,"⚠️ pH baixo",IF(H115&gt;6.9,"⚠️ pH alto",IF(I115&gt;2.5,"⚠️ CE alta","✅ OK"))))))))</f>
        <v>—</v>
      </c>
    </row>
    <row r="116" spans="1:12" ht="18" customHeight="1">
      <c r="A116" s="1"/>
      <c r="B116" s="59">
        <f>IF(111&lt;='🌱 Configuração'!$F$55,111,"")</f>
        <v>111</v>
      </c>
      <c r="C116" s="60">
        <f>IF(111&lt;='🌱 Configuração'!$F$55,'🌱 Configuração'!$B$56+110,"")</f>
        <v>110</v>
      </c>
      <c r="D116" s="59" t="str">
        <f>IF(111&gt;'🌱 Configuração'!$F$55,"",IF('🌱 Configuração'!$B$56+110&lt;'🌱 Configuração'!$C$56,"🌱 Clone",IF('🌱 Configuração'!$B$56+110&lt;'🌱 Configuração'!$D$56,"🌿 Vega",IF('🌱 Configuração'!$B$56+110&lt;'🌱 Configuração'!$E$56,"🌸 Flora","🚿 Flush"))))</f>
        <v>🌸 Flora</v>
      </c>
      <c r="E116" s="59"/>
      <c r="F116" s="59"/>
      <c r="G116" s="59"/>
      <c r="H116" s="59"/>
      <c r="I116" s="59"/>
      <c r="J116" s="59"/>
      <c r="K116" s="59"/>
      <c r="L116" s="1" t="str">
        <f>IF(111&gt;'🌱 Configuração'!$F$55,"",IF(F116="","—",IF(F116&lt;22,"⚠️ Temp baixa",IF(F116&gt;29,"⚠️ Temp ALTA",IF(H116="","✅ OK",IF(H116&lt;5.5,"⚠️ pH baixo",IF(H116&gt;6.9,"⚠️ pH alto",IF(I116&gt;2.5,"⚠️ CE alta","✅ OK"))))))))</f>
        <v>—</v>
      </c>
    </row>
    <row r="117" spans="1:12" ht="18" customHeight="1">
      <c r="A117" s="1"/>
      <c r="B117" s="61">
        <f>IF(112&lt;='🌱 Configuração'!$F$55,112,"")</f>
        <v>112</v>
      </c>
      <c r="C117" s="62">
        <f>IF(112&lt;='🌱 Configuração'!$F$55,'🌱 Configuração'!$B$56+111,"")</f>
        <v>111</v>
      </c>
      <c r="D117" s="61" t="str">
        <f>IF(112&gt;'🌱 Configuração'!$F$55,"",IF('🌱 Configuração'!$B$56+111&lt;'🌱 Configuração'!$C$56,"🌱 Clone",IF('🌱 Configuração'!$B$56+111&lt;'🌱 Configuração'!$D$56,"🌿 Vega",IF('🌱 Configuração'!$B$56+111&lt;'🌱 Configuração'!$E$56,"🌸 Flora","🚿 Flush"))))</f>
        <v>🌸 Flora</v>
      </c>
      <c r="E117" s="61"/>
      <c r="F117" s="61"/>
      <c r="G117" s="61"/>
      <c r="H117" s="61"/>
      <c r="I117" s="61"/>
      <c r="J117" s="61"/>
      <c r="K117" s="61"/>
      <c r="L117" s="1" t="str">
        <f>IF(112&gt;'🌱 Configuração'!$F$55,"",IF(F117="","—",IF(F117&lt;22,"⚠️ Temp baixa",IF(F117&gt;29,"⚠️ Temp ALTA",IF(H117="","✅ OK",IF(H117&lt;5.5,"⚠️ pH baixo",IF(H117&gt;6.9,"⚠️ pH alto",IF(I117&gt;2.5,"⚠️ CE alta","✅ OK"))))))))</f>
        <v>—</v>
      </c>
    </row>
    <row r="118" spans="1:12" ht="18" customHeight="1">
      <c r="A118" s="1"/>
      <c r="B118" s="59">
        <f>IF(113&lt;='🌱 Configuração'!$F$55,113,"")</f>
        <v>113</v>
      </c>
      <c r="C118" s="60">
        <f>IF(113&lt;='🌱 Configuração'!$F$55,'🌱 Configuração'!$B$56+112,"")</f>
        <v>112</v>
      </c>
      <c r="D118" s="59" t="str">
        <f>IF(113&gt;'🌱 Configuração'!$F$55,"",IF('🌱 Configuração'!$B$56+112&lt;'🌱 Configuração'!$C$56,"🌱 Clone",IF('🌱 Configuração'!$B$56+112&lt;'🌱 Configuração'!$D$56,"🌿 Vega",IF('🌱 Configuração'!$B$56+112&lt;'🌱 Configuração'!$E$56,"🌸 Flora","🚿 Flush"))))</f>
        <v>🌸 Flora</v>
      </c>
      <c r="E118" s="59"/>
      <c r="F118" s="59"/>
      <c r="G118" s="59"/>
      <c r="H118" s="59"/>
      <c r="I118" s="59"/>
      <c r="J118" s="59"/>
      <c r="K118" s="59"/>
      <c r="L118" s="1" t="str">
        <f>IF(113&gt;'🌱 Configuração'!$F$55,"",IF(F118="","—",IF(F118&lt;22,"⚠️ Temp baixa",IF(F118&gt;29,"⚠️ Temp ALTA",IF(H118="","✅ OK",IF(H118&lt;5.5,"⚠️ pH baixo",IF(H118&gt;6.9,"⚠️ pH alto",IF(I118&gt;2.5,"⚠️ CE alta","✅ OK"))))))))</f>
        <v>—</v>
      </c>
    </row>
    <row r="119" spans="1:12" ht="18" customHeight="1">
      <c r="A119" s="1"/>
      <c r="B119" s="61">
        <f>IF(114&lt;='🌱 Configuração'!$F$55,114,"")</f>
        <v>114</v>
      </c>
      <c r="C119" s="62">
        <f>IF(114&lt;='🌱 Configuração'!$F$55,'🌱 Configuração'!$B$56+113,"")</f>
        <v>113</v>
      </c>
      <c r="D119" s="61" t="str">
        <f>IF(114&gt;'🌱 Configuração'!$F$55,"",IF('🌱 Configuração'!$B$56+113&lt;'🌱 Configuração'!$C$56,"🌱 Clone",IF('🌱 Configuração'!$B$56+113&lt;'🌱 Configuração'!$D$56,"🌿 Vega",IF('🌱 Configuração'!$B$56+113&lt;'🌱 Configuração'!$E$56,"🌸 Flora","🚿 Flush"))))</f>
        <v>🌸 Flora</v>
      </c>
      <c r="E119" s="61"/>
      <c r="F119" s="61"/>
      <c r="G119" s="61"/>
      <c r="H119" s="61"/>
      <c r="I119" s="61"/>
      <c r="J119" s="61"/>
      <c r="K119" s="61"/>
      <c r="L119" s="1" t="str">
        <f>IF(114&gt;'🌱 Configuração'!$F$55,"",IF(F119="","—",IF(F119&lt;22,"⚠️ Temp baixa",IF(F119&gt;29,"⚠️ Temp ALTA",IF(H119="","✅ OK",IF(H119&lt;5.5,"⚠️ pH baixo",IF(H119&gt;6.9,"⚠️ pH alto",IF(I119&gt;2.5,"⚠️ CE alta","✅ OK"))))))))</f>
        <v>—</v>
      </c>
    </row>
    <row r="120" spans="1:12" ht="18" customHeight="1">
      <c r="A120" s="1"/>
      <c r="B120" s="59">
        <f>IF(115&lt;='🌱 Configuração'!$F$55,115,"")</f>
        <v>115</v>
      </c>
      <c r="C120" s="60">
        <f>IF(115&lt;='🌱 Configuração'!$F$55,'🌱 Configuração'!$B$56+114,"")</f>
        <v>114</v>
      </c>
      <c r="D120" s="59" t="str">
        <f>IF(115&gt;'🌱 Configuração'!$F$55,"",IF('🌱 Configuração'!$B$56+114&lt;'🌱 Configuração'!$C$56,"🌱 Clone",IF('🌱 Configuração'!$B$56+114&lt;'🌱 Configuração'!$D$56,"🌿 Vega",IF('🌱 Configuração'!$B$56+114&lt;'🌱 Configuração'!$E$56,"🌸 Flora","🚿 Flush"))))</f>
        <v>🌸 Flora</v>
      </c>
      <c r="E120" s="59"/>
      <c r="F120" s="59"/>
      <c r="G120" s="59"/>
      <c r="H120" s="59"/>
      <c r="I120" s="59"/>
      <c r="J120" s="59"/>
      <c r="K120" s="59"/>
      <c r="L120" s="1" t="str">
        <f>IF(115&gt;'🌱 Configuração'!$F$55,"",IF(F120="","—",IF(F120&lt;22,"⚠️ Temp baixa",IF(F120&gt;29,"⚠️ Temp ALTA",IF(H120="","✅ OK",IF(H120&lt;5.5,"⚠️ pH baixo",IF(H120&gt;6.9,"⚠️ pH alto",IF(I120&gt;2.5,"⚠️ CE alta","✅ OK"))))))))</f>
        <v>—</v>
      </c>
    </row>
    <row r="121" spans="1:12" ht="18" customHeight="1">
      <c r="A121" s="1"/>
      <c r="B121" s="61">
        <f>IF(116&lt;='🌱 Configuração'!$F$55,116,"")</f>
        <v>116</v>
      </c>
      <c r="C121" s="62">
        <f>IF(116&lt;='🌱 Configuração'!$F$55,'🌱 Configuração'!$B$56+115,"")</f>
        <v>115</v>
      </c>
      <c r="D121" s="61" t="str">
        <f>IF(116&gt;'🌱 Configuração'!$F$55,"",IF('🌱 Configuração'!$B$56+115&lt;'🌱 Configuração'!$C$56,"🌱 Clone",IF('🌱 Configuração'!$B$56+115&lt;'🌱 Configuração'!$D$56,"🌿 Vega",IF('🌱 Configuração'!$B$56+115&lt;'🌱 Configuração'!$E$56,"🌸 Flora","🚿 Flush"))))</f>
        <v>🌸 Flora</v>
      </c>
      <c r="E121" s="61"/>
      <c r="F121" s="61"/>
      <c r="G121" s="61"/>
      <c r="H121" s="61"/>
      <c r="I121" s="61"/>
      <c r="J121" s="61"/>
      <c r="K121" s="61"/>
      <c r="L121" s="1" t="str">
        <f>IF(116&gt;'🌱 Configuração'!$F$55,"",IF(F121="","—",IF(F121&lt;22,"⚠️ Temp baixa",IF(F121&gt;29,"⚠️ Temp ALTA",IF(H121="","✅ OK",IF(H121&lt;5.5,"⚠️ pH baixo",IF(H121&gt;6.9,"⚠️ pH alto",IF(I121&gt;2.5,"⚠️ CE alta","✅ OK"))))))))</f>
        <v>—</v>
      </c>
    </row>
    <row r="122" spans="1:12" ht="18" customHeight="1">
      <c r="A122" s="1"/>
      <c r="B122" s="59">
        <f>IF(117&lt;='🌱 Configuração'!$F$55,117,"")</f>
        <v>117</v>
      </c>
      <c r="C122" s="60">
        <f>IF(117&lt;='🌱 Configuração'!$F$55,'🌱 Configuração'!$B$56+116,"")</f>
        <v>116</v>
      </c>
      <c r="D122" s="59" t="str">
        <f>IF(117&gt;'🌱 Configuração'!$F$55,"",IF('🌱 Configuração'!$B$56+116&lt;'🌱 Configuração'!$C$56,"🌱 Clone",IF('🌱 Configuração'!$B$56+116&lt;'🌱 Configuração'!$D$56,"🌿 Vega",IF('🌱 Configuração'!$B$56+116&lt;'🌱 Configuração'!$E$56,"🌸 Flora","🚿 Flush"))))</f>
        <v>🌸 Flora</v>
      </c>
      <c r="E122" s="59"/>
      <c r="F122" s="59"/>
      <c r="G122" s="59"/>
      <c r="H122" s="59"/>
      <c r="I122" s="59"/>
      <c r="J122" s="59"/>
      <c r="K122" s="59"/>
      <c r="L122" s="1" t="str">
        <f>IF(117&gt;'🌱 Configuração'!$F$55,"",IF(F122="","—",IF(F122&lt;22,"⚠️ Temp baixa",IF(F122&gt;29,"⚠️ Temp ALTA",IF(H122="","✅ OK",IF(H122&lt;5.5,"⚠️ pH baixo",IF(H122&gt;6.9,"⚠️ pH alto",IF(I122&gt;2.5,"⚠️ CE alta","✅ OK"))))))))</f>
        <v>—</v>
      </c>
    </row>
    <row r="123" spans="1:12" ht="18" customHeight="1">
      <c r="A123" s="1"/>
      <c r="B123" s="61">
        <f>IF(118&lt;='🌱 Configuração'!$F$55,118,"")</f>
        <v>118</v>
      </c>
      <c r="C123" s="62">
        <f>IF(118&lt;='🌱 Configuração'!$F$55,'🌱 Configuração'!$B$56+117,"")</f>
        <v>117</v>
      </c>
      <c r="D123" s="61" t="str">
        <f>IF(118&gt;'🌱 Configuração'!$F$55,"",IF('🌱 Configuração'!$B$56+117&lt;'🌱 Configuração'!$C$56,"🌱 Clone",IF('🌱 Configuração'!$B$56+117&lt;'🌱 Configuração'!$D$56,"🌿 Vega",IF('🌱 Configuração'!$B$56+117&lt;'🌱 Configuração'!$E$56,"🌸 Flora","🚿 Flush"))))</f>
        <v>🌸 Flora</v>
      </c>
      <c r="E123" s="61"/>
      <c r="F123" s="61"/>
      <c r="G123" s="61"/>
      <c r="H123" s="61"/>
      <c r="I123" s="61"/>
      <c r="J123" s="61"/>
      <c r="K123" s="61"/>
      <c r="L123" s="1" t="str">
        <f>IF(118&gt;'🌱 Configuração'!$F$55,"",IF(F123="","—",IF(F123&lt;22,"⚠️ Temp baixa",IF(F123&gt;29,"⚠️ Temp ALTA",IF(H123="","✅ OK",IF(H123&lt;5.5,"⚠️ pH baixo",IF(H123&gt;6.9,"⚠️ pH alto",IF(I123&gt;2.5,"⚠️ CE alta","✅ OK"))))))))</f>
        <v>—</v>
      </c>
    </row>
    <row r="124" spans="1:12" ht="18" customHeight="1">
      <c r="A124" s="1"/>
      <c r="B124" s="59">
        <f>IF(119&lt;='🌱 Configuração'!$F$55,119,"")</f>
        <v>119</v>
      </c>
      <c r="C124" s="60">
        <f>IF(119&lt;='🌱 Configuração'!$F$55,'🌱 Configuração'!$B$56+118,"")</f>
        <v>118</v>
      </c>
      <c r="D124" s="59" t="str">
        <f>IF(119&gt;'🌱 Configuração'!$F$55,"",IF('🌱 Configuração'!$B$56+118&lt;'🌱 Configuração'!$C$56,"🌱 Clone",IF('🌱 Configuração'!$B$56+118&lt;'🌱 Configuração'!$D$56,"🌿 Vega",IF('🌱 Configuração'!$B$56+118&lt;'🌱 Configuração'!$E$56,"🌸 Flora","🚿 Flush"))))</f>
        <v>🌸 Flora</v>
      </c>
      <c r="E124" s="59"/>
      <c r="F124" s="59"/>
      <c r="G124" s="59"/>
      <c r="H124" s="59"/>
      <c r="I124" s="59"/>
      <c r="J124" s="59"/>
      <c r="K124" s="59"/>
      <c r="L124" s="1" t="str">
        <f>IF(119&gt;'🌱 Configuração'!$F$55,"",IF(F124="","—",IF(F124&lt;22,"⚠️ Temp baixa",IF(F124&gt;29,"⚠️ Temp ALTA",IF(H124="","✅ OK",IF(H124&lt;5.5,"⚠️ pH baixo",IF(H124&gt;6.9,"⚠️ pH alto",IF(I124&gt;2.5,"⚠️ CE alta","✅ OK"))))))))</f>
        <v>—</v>
      </c>
    </row>
    <row r="125" spans="1:12" ht="18" customHeight="1">
      <c r="A125" s="1"/>
      <c r="B125" s="61">
        <f>IF(120&lt;='🌱 Configuração'!$F$55,120,"")</f>
        <v>120</v>
      </c>
      <c r="C125" s="62">
        <f>IF(120&lt;='🌱 Configuração'!$F$55,'🌱 Configuração'!$B$56+119,"")</f>
        <v>119</v>
      </c>
      <c r="D125" s="61" t="str">
        <f>IF(120&gt;'🌱 Configuração'!$F$55,"",IF('🌱 Configuração'!$B$56+119&lt;'🌱 Configuração'!$C$56,"🌱 Clone",IF('🌱 Configuração'!$B$56+119&lt;'🌱 Configuração'!$D$56,"🌿 Vega",IF('🌱 Configuração'!$B$56+119&lt;'🌱 Configuração'!$E$56,"🌸 Flora","🚿 Flush"))))</f>
        <v>🚿 Flush</v>
      </c>
      <c r="E125" s="61"/>
      <c r="F125" s="61"/>
      <c r="G125" s="61"/>
      <c r="H125" s="61"/>
      <c r="I125" s="61"/>
      <c r="J125" s="61"/>
      <c r="K125" s="61"/>
      <c r="L125" s="1" t="str">
        <f>IF(120&gt;'🌱 Configuração'!$F$55,"",IF(F125="","—",IF(F125&lt;22,"⚠️ Temp baixa",IF(F125&gt;29,"⚠️ Temp ALTA",IF(H125="","✅ OK",IF(H125&lt;5.5,"⚠️ pH baixo",IF(H125&gt;6.9,"⚠️ pH alto",IF(I125&gt;2.5,"⚠️ CE alta","✅ OK"))))))))</f>
        <v>—</v>
      </c>
    </row>
    <row r="126" spans="1:12" ht="18" customHeight="1">
      <c r="A126" s="1"/>
      <c r="B126" s="59">
        <f>IF(121&lt;='🌱 Configuração'!$F$55,121,"")</f>
        <v>121</v>
      </c>
      <c r="C126" s="60">
        <f>IF(121&lt;='🌱 Configuração'!$F$55,'🌱 Configuração'!$B$56+120,"")</f>
        <v>120</v>
      </c>
      <c r="D126" s="59" t="str">
        <f>IF(121&gt;'🌱 Configuração'!$F$55,"",IF('🌱 Configuração'!$B$56+120&lt;'🌱 Configuração'!$C$56,"🌱 Clone",IF('🌱 Configuração'!$B$56+120&lt;'🌱 Configuração'!$D$56,"🌿 Vega",IF('🌱 Configuração'!$B$56+120&lt;'🌱 Configuração'!$E$56,"🌸 Flora","🚿 Flush"))))</f>
        <v>🚿 Flush</v>
      </c>
      <c r="E126" s="59"/>
      <c r="F126" s="59"/>
      <c r="G126" s="59"/>
      <c r="H126" s="59"/>
      <c r="I126" s="59"/>
      <c r="J126" s="59"/>
      <c r="K126" s="59"/>
      <c r="L126" s="1" t="str">
        <f>IF(121&gt;'🌱 Configuração'!$F$55,"",IF(F126="","—",IF(F126&lt;22,"⚠️ Temp baixa",IF(F126&gt;29,"⚠️ Temp ALTA",IF(H126="","✅ OK",IF(H126&lt;5.5,"⚠️ pH baixo",IF(H126&gt;6.9,"⚠️ pH alto",IF(I126&gt;2.5,"⚠️ CE alta","✅ OK"))))))))</f>
        <v>—</v>
      </c>
    </row>
    <row r="127" spans="1:12" ht="18" customHeight="1">
      <c r="A127" s="1"/>
      <c r="B127" s="61">
        <f>IF(122&lt;='🌱 Configuração'!$F$55,122,"")</f>
        <v>122</v>
      </c>
      <c r="C127" s="62">
        <f>IF(122&lt;='🌱 Configuração'!$F$55,'🌱 Configuração'!$B$56+121,"")</f>
        <v>121</v>
      </c>
      <c r="D127" s="61" t="str">
        <f>IF(122&gt;'🌱 Configuração'!$F$55,"",IF('🌱 Configuração'!$B$56+121&lt;'🌱 Configuração'!$C$56,"🌱 Clone",IF('🌱 Configuração'!$B$56+121&lt;'🌱 Configuração'!$D$56,"🌿 Vega",IF('🌱 Configuração'!$B$56+121&lt;'🌱 Configuração'!$E$56,"🌸 Flora","🚿 Flush"))))</f>
        <v>🚿 Flush</v>
      </c>
      <c r="E127" s="61"/>
      <c r="F127" s="61"/>
      <c r="G127" s="61"/>
      <c r="H127" s="61"/>
      <c r="I127" s="61"/>
      <c r="J127" s="61"/>
      <c r="K127" s="61"/>
      <c r="L127" s="1" t="str">
        <f>IF(122&gt;'🌱 Configuração'!$F$55,"",IF(F127="","—",IF(F127&lt;22,"⚠️ Temp baixa",IF(F127&gt;29,"⚠️ Temp ALTA",IF(H127="","✅ OK",IF(H127&lt;5.5,"⚠️ pH baixo",IF(H127&gt;6.9,"⚠️ pH alto",IF(I127&gt;2.5,"⚠️ CE alta","✅ OK"))))))))</f>
        <v>—</v>
      </c>
    </row>
    <row r="128" spans="1:12" ht="18" customHeight="1">
      <c r="A128" s="1"/>
      <c r="B128" s="59">
        <f>IF(123&lt;='🌱 Configuração'!$F$55,123,"")</f>
        <v>123</v>
      </c>
      <c r="C128" s="60">
        <f>IF(123&lt;='🌱 Configuração'!$F$55,'🌱 Configuração'!$B$56+122,"")</f>
        <v>122</v>
      </c>
      <c r="D128" s="59" t="str">
        <f>IF(123&gt;'🌱 Configuração'!$F$55,"",IF('🌱 Configuração'!$B$56+122&lt;'🌱 Configuração'!$C$56,"🌱 Clone",IF('🌱 Configuração'!$B$56+122&lt;'🌱 Configuração'!$D$56,"🌿 Vega",IF('🌱 Configuração'!$B$56+122&lt;'🌱 Configuração'!$E$56,"🌸 Flora","🚿 Flush"))))</f>
        <v>🚿 Flush</v>
      </c>
      <c r="E128" s="59"/>
      <c r="F128" s="59"/>
      <c r="G128" s="59"/>
      <c r="H128" s="59"/>
      <c r="I128" s="59"/>
      <c r="J128" s="59"/>
      <c r="K128" s="59"/>
      <c r="L128" s="1" t="str">
        <f>IF(123&gt;'🌱 Configuração'!$F$55,"",IF(F128="","—",IF(F128&lt;22,"⚠️ Temp baixa",IF(F128&gt;29,"⚠️ Temp ALTA",IF(H128="","✅ OK",IF(H128&lt;5.5,"⚠️ pH baixo",IF(H128&gt;6.9,"⚠️ pH alto",IF(I128&gt;2.5,"⚠️ CE alta","✅ OK"))))))))</f>
        <v>—</v>
      </c>
    </row>
    <row r="129" spans="1:12" ht="18" customHeight="1">
      <c r="A129" s="1"/>
      <c r="B129" s="61">
        <f>IF(124&lt;='🌱 Configuração'!$F$55,124,"")</f>
        <v>124</v>
      </c>
      <c r="C129" s="62">
        <f>IF(124&lt;='🌱 Configuração'!$F$55,'🌱 Configuração'!$B$56+123,"")</f>
        <v>123</v>
      </c>
      <c r="D129" s="61" t="str">
        <f>IF(124&gt;'🌱 Configuração'!$F$55,"",IF('🌱 Configuração'!$B$56+123&lt;'🌱 Configuração'!$C$56,"🌱 Clone",IF('🌱 Configuração'!$B$56+123&lt;'🌱 Configuração'!$D$56,"🌿 Vega",IF('🌱 Configuração'!$B$56+123&lt;'🌱 Configuração'!$E$56,"🌸 Flora","🚿 Flush"))))</f>
        <v>🚿 Flush</v>
      </c>
      <c r="E129" s="61"/>
      <c r="F129" s="61"/>
      <c r="G129" s="61"/>
      <c r="H129" s="61"/>
      <c r="I129" s="61"/>
      <c r="J129" s="61"/>
      <c r="K129" s="61"/>
      <c r="L129" s="1" t="str">
        <f>IF(124&gt;'🌱 Configuração'!$F$55,"",IF(F129="","—",IF(F129&lt;22,"⚠️ Temp baixa",IF(F129&gt;29,"⚠️ Temp ALTA",IF(H129="","✅ OK",IF(H129&lt;5.5,"⚠️ pH baixo",IF(H129&gt;6.9,"⚠️ pH alto",IF(I129&gt;2.5,"⚠️ CE alta","✅ OK"))))))))</f>
        <v>—</v>
      </c>
    </row>
    <row r="130" spans="1:12" ht="18" customHeight="1">
      <c r="A130" s="1"/>
      <c r="B130" s="59">
        <f>IF(125&lt;='🌱 Configuração'!$F$55,125,"")</f>
        <v>125</v>
      </c>
      <c r="C130" s="60">
        <f>IF(125&lt;='🌱 Configuração'!$F$55,'🌱 Configuração'!$B$56+124,"")</f>
        <v>124</v>
      </c>
      <c r="D130" s="59" t="str">
        <f>IF(125&gt;'🌱 Configuração'!$F$55,"",IF('🌱 Configuração'!$B$56+124&lt;'🌱 Configuração'!$C$56,"🌱 Clone",IF('🌱 Configuração'!$B$56+124&lt;'🌱 Configuração'!$D$56,"🌿 Vega",IF('🌱 Configuração'!$B$56+124&lt;'🌱 Configuração'!$E$56,"🌸 Flora","🚿 Flush"))))</f>
        <v>🚿 Flush</v>
      </c>
      <c r="E130" s="59"/>
      <c r="F130" s="59"/>
      <c r="G130" s="59"/>
      <c r="H130" s="59"/>
      <c r="I130" s="59"/>
      <c r="J130" s="59"/>
      <c r="K130" s="59"/>
      <c r="L130" s="1" t="str">
        <f>IF(125&gt;'🌱 Configuração'!$F$55,"",IF(F130="","—",IF(F130&lt;22,"⚠️ Temp baixa",IF(F130&gt;29,"⚠️ Temp ALTA",IF(H130="","✅ OK",IF(H130&lt;5.5,"⚠️ pH baixo",IF(H130&gt;6.9,"⚠️ pH alto",IF(I130&gt;2.5,"⚠️ CE alta","✅ OK"))))))))</f>
        <v>—</v>
      </c>
    </row>
    <row r="131" spans="1:12" ht="18" customHeight="1">
      <c r="A131" s="1"/>
      <c r="B131" s="61">
        <f>IF(126&lt;='🌱 Configuração'!$F$55,126,"")</f>
        <v>126</v>
      </c>
      <c r="C131" s="62">
        <f>IF(126&lt;='🌱 Configuração'!$F$55,'🌱 Configuração'!$B$56+125,"")</f>
        <v>125</v>
      </c>
      <c r="D131" s="61" t="str">
        <f>IF(126&gt;'🌱 Configuração'!$F$55,"",IF('🌱 Configuração'!$B$56+125&lt;'🌱 Configuração'!$C$56,"🌱 Clone",IF('🌱 Configuração'!$B$56+125&lt;'🌱 Configuração'!$D$56,"🌿 Vega",IF('🌱 Configuração'!$B$56+125&lt;'🌱 Configuração'!$E$56,"🌸 Flora","🚿 Flush"))))</f>
        <v>🚿 Flush</v>
      </c>
      <c r="E131" s="61"/>
      <c r="F131" s="61"/>
      <c r="G131" s="61"/>
      <c r="H131" s="61"/>
      <c r="I131" s="61"/>
      <c r="J131" s="61"/>
      <c r="K131" s="61"/>
      <c r="L131" s="1" t="str">
        <f>IF(126&gt;'🌱 Configuração'!$F$55,"",IF(F131="","—",IF(F131&lt;22,"⚠️ Temp baixa",IF(F131&gt;29,"⚠️ Temp ALTA",IF(H131="","✅ OK",IF(H131&lt;5.5,"⚠️ pH baixo",IF(H131&gt;6.9,"⚠️ pH alto",IF(I131&gt;2.5,"⚠️ CE alta","✅ OK"))))))))</f>
        <v>—</v>
      </c>
    </row>
    <row r="132" spans="1:12" ht="18" customHeight="1">
      <c r="A132" s="1"/>
      <c r="B132" s="59" t="str">
        <f>IF(127&lt;='🌱 Configuração'!$F$55,127,"")</f>
        <v/>
      </c>
      <c r="C132" s="60" t="str">
        <f>IF(127&lt;='🌱 Configuração'!$F$55,'🌱 Configuração'!$B$56+126,"")</f>
        <v/>
      </c>
      <c r="D132" s="59" t="str">
        <f>IF(127&gt;'🌱 Configuração'!$F$55,"",IF('🌱 Configuração'!$B$56+126&lt;'🌱 Configuração'!$C$56,"🌱 Clone",IF('🌱 Configuração'!$B$56+126&lt;'🌱 Configuração'!$D$56,"🌿 Vega",IF('🌱 Configuração'!$B$56+126&lt;'🌱 Configuração'!$E$56,"🌸 Flora","🚿 Flush"))))</f>
        <v/>
      </c>
      <c r="E132" s="59"/>
      <c r="F132" s="59"/>
      <c r="G132" s="59"/>
      <c r="H132" s="59"/>
      <c r="I132" s="59"/>
      <c r="J132" s="59"/>
      <c r="K132" s="59"/>
      <c r="L132" s="1" t="str">
        <f>IF(127&gt;'🌱 Configuração'!$F$55,"",IF(F132="","—",IF(F132&lt;22,"⚠️ Temp baixa",IF(F132&gt;29,"⚠️ Temp ALTA",IF(H132="","✅ OK",IF(H132&lt;5.5,"⚠️ pH baixo",IF(H132&gt;6.9,"⚠️ pH alto",IF(I132&gt;2.5,"⚠️ CE alta","✅ OK"))))))))</f>
        <v/>
      </c>
    </row>
    <row r="133" spans="1:12" ht="18" customHeight="1">
      <c r="A133" s="1"/>
      <c r="B133" s="61" t="str">
        <f>IF(128&lt;='🌱 Configuração'!$F$55,128,"")</f>
        <v/>
      </c>
      <c r="C133" s="62" t="str">
        <f>IF(128&lt;='🌱 Configuração'!$F$55,'🌱 Configuração'!$B$56+127,"")</f>
        <v/>
      </c>
      <c r="D133" s="61" t="str">
        <f>IF(128&gt;'🌱 Configuração'!$F$55,"",IF('🌱 Configuração'!$B$56+127&lt;'🌱 Configuração'!$C$56,"🌱 Clone",IF('🌱 Configuração'!$B$56+127&lt;'🌱 Configuração'!$D$56,"🌿 Vega",IF('🌱 Configuração'!$B$56+127&lt;'🌱 Configuração'!$E$56,"🌸 Flora","🚿 Flush"))))</f>
        <v/>
      </c>
      <c r="E133" s="61"/>
      <c r="F133" s="61"/>
      <c r="G133" s="61"/>
      <c r="H133" s="61"/>
      <c r="I133" s="61"/>
      <c r="J133" s="61"/>
      <c r="K133" s="61"/>
      <c r="L133" s="1" t="str">
        <f>IF(128&gt;'🌱 Configuração'!$F$55,"",IF(F133="","—",IF(F133&lt;22,"⚠️ Temp baixa",IF(F133&gt;29,"⚠️ Temp ALTA",IF(H133="","✅ OK",IF(H133&lt;5.5,"⚠️ pH baixo",IF(H133&gt;6.9,"⚠️ pH alto",IF(I133&gt;2.5,"⚠️ CE alta","✅ OK"))))))))</f>
        <v/>
      </c>
    </row>
    <row r="134" spans="1:12" ht="18" customHeight="1">
      <c r="A134" s="1"/>
      <c r="B134" s="59" t="str">
        <f>IF(129&lt;='🌱 Configuração'!$F$55,129,"")</f>
        <v/>
      </c>
      <c r="C134" s="60" t="str">
        <f>IF(129&lt;='🌱 Configuração'!$F$55,'🌱 Configuração'!$B$56+128,"")</f>
        <v/>
      </c>
      <c r="D134" s="59" t="str">
        <f>IF(129&gt;'🌱 Configuração'!$F$55,"",IF('🌱 Configuração'!$B$56+128&lt;'🌱 Configuração'!$C$56,"🌱 Clone",IF('🌱 Configuração'!$B$56+128&lt;'🌱 Configuração'!$D$56,"🌿 Vega",IF('🌱 Configuração'!$B$56+128&lt;'🌱 Configuração'!$E$56,"🌸 Flora","🚿 Flush"))))</f>
        <v/>
      </c>
      <c r="E134" s="59"/>
      <c r="F134" s="59"/>
      <c r="G134" s="59"/>
      <c r="H134" s="59"/>
      <c r="I134" s="59"/>
      <c r="J134" s="59"/>
      <c r="K134" s="59"/>
      <c r="L134" s="1" t="str">
        <f>IF(129&gt;'🌱 Configuração'!$F$55,"",IF(F134="","—",IF(F134&lt;22,"⚠️ Temp baixa",IF(F134&gt;29,"⚠️ Temp ALTA",IF(H134="","✅ OK",IF(H134&lt;5.5,"⚠️ pH baixo",IF(H134&gt;6.9,"⚠️ pH alto",IF(I134&gt;2.5,"⚠️ CE alta","✅ OK"))))))))</f>
        <v/>
      </c>
    </row>
    <row r="135" spans="1:12" ht="18" customHeight="1">
      <c r="A135" s="1"/>
      <c r="B135" s="61" t="str">
        <f>IF(130&lt;='🌱 Configuração'!$F$55,130,"")</f>
        <v/>
      </c>
      <c r="C135" s="62" t="str">
        <f>IF(130&lt;='🌱 Configuração'!$F$55,'🌱 Configuração'!$B$56+129,"")</f>
        <v/>
      </c>
      <c r="D135" s="61" t="str">
        <f>IF(130&gt;'🌱 Configuração'!$F$55,"",IF('🌱 Configuração'!$B$56+129&lt;'🌱 Configuração'!$C$56,"🌱 Clone",IF('🌱 Configuração'!$B$56+129&lt;'🌱 Configuração'!$D$56,"🌿 Vega",IF('🌱 Configuração'!$B$56+129&lt;'🌱 Configuração'!$E$56,"🌸 Flora","🚿 Flush"))))</f>
        <v/>
      </c>
      <c r="E135" s="61"/>
      <c r="F135" s="61"/>
      <c r="G135" s="61"/>
      <c r="H135" s="61"/>
      <c r="I135" s="61"/>
      <c r="J135" s="61"/>
      <c r="K135" s="61"/>
      <c r="L135" s="1" t="str">
        <f>IF(130&gt;'🌱 Configuração'!$F$55,"",IF(F135="","—",IF(F135&lt;22,"⚠️ Temp baixa",IF(F135&gt;29,"⚠️ Temp ALTA",IF(H135="","✅ OK",IF(H135&lt;5.5,"⚠️ pH baixo",IF(H135&gt;6.9,"⚠️ pH alto",IF(I135&gt;2.5,"⚠️ CE alta","✅ OK"))))))))</f>
        <v/>
      </c>
    </row>
    <row r="136" spans="1:12" ht="18" customHeight="1">
      <c r="A136" s="1"/>
      <c r="B136" s="59" t="str">
        <f>IF(131&lt;='🌱 Configuração'!$F$55,131,"")</f>
        <v/>
      </c>
      <c r="C136" s="60" t="str">
        <f>IF(131&lt;='🌱 Configuração'!$F$55,'🌱 Configuração'!$B$56+130,"")</f>
        <v/>
      </c>
      <c r="D136" s="59" t="str">
        <f>IF(131&gt;'🌱 Configuração'!$F$55,"",IF('🌱 Configuração'!$B$56+130&lt;'🌱 Configuração'!$C$56,"🌱 Clone",IF('🌱 Configuração'!$B$56+130&lt;'🌱 Configuração'!$D$56,"🌿 Vega",IF('🌱 Configuração'!$B$56+130&lt;'🌱 Configuração'!$E$56,"🌸 Flora","🚿 Flush"))))</f>
        <v/>
      </c>
      <c r="E136" s="59"/>
      <c r="F136" s="59"/>
      <c r="G136" s="59"/>
      <c r="H136" s="59"/>
      <c r="I136" s="59"/>
      <c r="J136" s="59"/>
      <c r="K136" s="59"/>
      <c r="L136" s="1" t="str">
        <f>IF(131&gt;'🌱 Configuração'!$F$55,"",IF(F136="","—",IF(F136&lt;22,"⚠️ Temp baixa",IF(F136&gt;29,"⚠️ Temp ALTA",IF(H136="","✅ OK",IF(H136&lt;5.5,"⚠️ pH baixo",IF(H136&gt;6.9,"⚠️ pH alto",IF(I136&gt;2.5,"⚠️ CE alta","✅ OK"))))))))</f>
        <v/>
      </c>
    </row>
    <row r="137" spans="1:12" ht="18" customHeight="1">
      <c r="A137" s="1"/>
      <c r="B137" s="61" t="str">
        <f>IF(132&lt;='🌱 Configuração'!$F$55,132,"")</f>
        <v/>
      </c>
      <c r="C137" s="62" t="str">
        <f>IF(132&lt;='🌱 Configuração'!$F$55,'🌱 Configuração'!$B$56+131,"")</f>
        <v/>
      </c>
      <c r="D137" s="61" t="str">
        <f>IF(132&gt;'🌱 Configuração'!$F$55,"",IF('🌱 Configuração'!$B$56+131&lt;'🌱 Configuração'!$C$56,"🌱 Clone",IF('🌱 Configuração'!$B$56+131&lt;'🌱 Configuração'!$D$56,"🌿 Vega",IF('🌱 Configuração'!$B$56+131&lt;'🌱 Configuração'!$E$56,"🌸 Flora","🚿 Flush"))))</f>
        <v/>
      </c>
      <c r="E137" s="61"/>
      <c r="F137" s="61"/>
      <c r="G137" s="61"/>
      <c r="H137" s="61"/>
      <c r="I137" s="61"/>
      <c r="J137" s="61"/>
      <c r="K137" s="61"/>
      <c r="L137" s="1" t="str">
        <f>IF(132&gt;'🌱 Configuração'!$F$55,"",IF(F137="","—",IF(F137&lt;22,"⚠️ Temp baixa",IF(F137&gt;29,"⚠️ Temp ALTA",IF(H137="","✅ OK",IF(H137&lt;5.5,"⚠️ pH baixo",IF(H137&gt;6.9,"⚠️ pH alto",IF(I137&gt;2.5,"⚠️ CE alta","✅ OK"))))))))</f>
        <v/>
      </c>
    </row>
    <row r="138" spans="1:12" ht="18" customHeight="1">
      <c r="A138" s="1"/>
      <c r="B138" s="59" t="str">
        <f>IF(133&lt;='🌱 Configuração'!$F$55,133,"")</f>
        <v/>
      </c>
      <c r="C138" s="60" t="str">
        <f>IF(133&lt;='🌱 Configuração'!$F$55,'🌱 Configuração'!$B$56+132,"")</f>
        <v/>
      </c>
      <c r="D138" s="59" t="str">
        <f>IF(133&gt;'🌱 Configuração'!$F$55,"",IF('🌱 Configuração'!$B$56+132&lt;'🌱 Configuração'!$C$56,"🌱 Clone",IF('🌱 Configuração'!$B$56+132&lt;'🌱 Configuração'!$D$56,"🌿 Vega",IF('🌱 Configuração'!$B$56+132&lt;'🌱 Configuração'!$E$56,"🌸 Flora","🚿 Flush"))))</f>
        <v/>
      </c>
      <c r="E138" s="59"/>
      <c r="F138" s="59"/>
      <c r="G138" s="59"/>
      <c r="H138" s="59"/>
      <c r="I138" s="59"/>
      <c r="J138" s="59"/>
      <c r="K138" s="59"/>
      <c r="L138" s="1" t="str">
        <f>IF(133&gt;'🌱 Configuração'!$F$55,"",IF(F138="","—",IF(F138&lt;22,"⚠️ Temp baixa",IF(F138&gt;29,"⚠️ Temp ALTA",IF(H138="","✅ OK",IF(H138&lt;5.5,"⚠️ pH baixo",IF(H138&gt;6.9,"⚠️ pH alto",IF(I138&gt;2.5,"⚠️ CE alta","✅ OK"))))))))</f>
        <v/>
      </c>
    </row>
    <row r="139" spans="1:12" ht="18" customHeight="1">
      <c r="A139" s="1"/>
      <c r="B139" s="61" t="str">
        <f>IF(134&lt;='🌱 Configuração'!$F$55,134,"")</f>
        <v/>
      </c>
      <c r="C139" s="62" t="str">
        <f>IF(134&lt;='🌱 Configuração'!$F$55,'🌱 Configuração'!$B$56+133,"")</f>
        <v/>
      </c>
      <c r="D139" s="61" t="str">
        <f>IF(134&gt;'🌱 Configuração'!$F$55,"",IF('🌱 Configuração'!$B$56+133&lt;'🌱 Configuração'!$C$56,"🌱 Clone",IF('🌱 Configuração'!$B$56+133&lt;'🌱 Configuração'!$D$56,"🌿 Vega",IF('🌱 Configuração'!$B$56+133&lt;'🌱 Configuração'!$E$56,"🌸 Flora","🚿 Flush"))))</f>
        <v/>
      </c>
      <c r="E139" s="61"/>
      <c r="F139" s="61"/>
      <c r="G139" s="61"/>
      <c r="H139" s="61"/>
      <c r="I139" s="61"/>
      <c r="J139" s="61"/>
      <c r="K139" s="61"/>
      <c r="L139" s="1" t="str">
        <f>IF(134&gt;'🌱 Configuração'!$F$55,"",IF(F139="","—",IF(F139&lt;22,"⚠️ Temp baixa",IF(F139&gt;29,"⚠️ Temp ALTA",IF(H139="","✅ OK",IF(H139&lt;5.5,"⚠️ pH baixo",IF(H139&gt;6.9,"⚠️ pH alto",IF(I139&gt;2.5,"⚠️ CE alta","✅ OK"))))))))</f>
        <v/>
      </c>
    </row>
    <row r="140" spans="1:12" ht="18" customHeight="1">
      <c r="A140" s="1"/>
      <c r="B140" s="59" t="str">
        <f>IF(135&lt;='🌱 Configuração'!$F$55,135,"")</f>
        <v/>
      </c>
      <c r="C140" s="60" t="str">
        <f>IF(135&lt;='🌱 Configuração'!$F$55,'🌱 Configuração'!$B$56+134,"")</f>
        <v/>
      </c>
      <c r="D140" s="59" t="str">
        <f>IF(135&gt;'🌱 Configuração'!$F$55,"",IF('🌱 Configuração'!$B$56+134&lt;'🌱 Configuração'!$C$56,"🌱 Clone",IF('🌱 Configuração'!$B$56+134&lt;'🌱 Configuração'!$D$56,"🌿 Vega",IF('🌱 Configuração'!$B$56+134&lt;'🌱 Configuração'!$E$56,"🌸 Flora","🚿 Flush"))))</f>
        <v/>
      </c>
      <c r="E140" s="59"/>
      <c r="F140" s="59"/>
      <c r="G140" s="59"/>
      <c r="H140" s="59"/>
      <c r="I140" s="59"/>
      <c r="J140" s="59"/>
      <c r="K140" s="59"/>
      <c r="L140" s="1" t="str">
        <f>IF(135&gt;'🌱 Configuração'!$F$55,"",IF(F140="","—",IF(F140&lt;22,"⚠️ Temp baixa",IF(F140&gt;29,"⚠️ Temp ALTA",IF(H140="","✅ OK",IF(H140&lt;5.5,"⚠️ pH baixo",IF(H140&gt;6.9,"⚠️ pH alto",IF(I140&gt;2.5,"⚠️ CE alta","✅ OK"))))))))</f>
        <v/>
      </c>
    </row>
    <row r="141" spans="1:12" ht="18" customHeight="1">
      <c r="A141" s="1"/>
      <c r="B141" s="61" t="str">
        <f>IF(136&lt;='🌱 Configuração'!$F$55,136,"")</f>
        <v/>
      </c>
      <c r="C141" s="62" t="str">
        <f>IF(136&lt;='🌱 Configuração'!$F$55,'🌱 Configuração'!$B$56+135,"")</f>
        <v/>
      </c>
      <c r="D141" s="61" t="str">
        <f>IF(136&gt;'🌱 Configuração'!$F$55,"",IF('🌱 Configuração'!$B$56+135&lt;'🌱 Configuração'!$C$56,"🌱 Clone",IF('🌱 Configuração'!$B$56+135&lt;'🌱 Configuração'!$D$56,"🌿 Vega",IF('🌱 Configuração'!$B$56+135&lt;'🌱 Configuração'!$E$56,"🌸 Flora","🚿 Flush"))))</f>
        <v/>
      </c>
      <c r="E141" s="61"/>
      <c r="F141" s="61"/>
      <c r="G141" s="61"/>
      <c r="H141" s="61"/>
      <c r="I141" s="61"/>
      <c r="J141" s="61"/>
      <c r="K141" s="61"/>
      <c r="L141" s="1" t="str">
        <f>IF(136&gt;'🌱 Configuração'!$F$55,"",IF(F141="","—",IF(F141&lt;22,"⚠️ Temp baixa",IF(F141&gt;29,"⚠️ Temp ALTA",IF(H141="","✅ OK",IF(H141&lt;5.5,"⚠️ pH baixo",IF(H141&gt;6.9,"⚠️ pH alto",IF(I141&gt;2.5,"⚠️ CE alta","✅ OK"))))))))</f>
        <v/>
      </c>
    </row>
    <row r="142" spans="1:12" ht="18" customHeight="1">
      <c r="A142" s="1"/>
      <c r="B142" s="59" t="str">
        <f>IF(137&lt;='🌱 Configuração'!$F$55,137,"")</f>
        <v/>
      </c>
      <c r="C142" s="60" t="str">
        <f>IF(137&lt;='🌱 Configuração'!$F$55,'🌱 Configuração'!$B$56+136,"")</f>
        <v/>
      </c>
      <c r="D142" s="59" t="str">
        <f>IF(137&gt;'🌱 Configuração'!$F$55,"",IF('🌱 Configuração'!$B$56+136&lt;'🌱 Configuração'!$C$56,"🌱 Clone",IF('🌱 Configuração'!$B$56+136&lt;'🌱 Configuração'!$D$56,"🌿 Vega",IF('🌱 Configuração'!$B$56+136&lt;'🌱 Configuração'!$E$56,"🌸 Flora","🚿 Flush"))))</f>
        <v/>
      </c>
      <c r="E142" s="59"/>
      <c r="F142" s="59"/>
      <c r="G142" s="59"/>
      <c r="H142" s="59"/>
      <c r="I142" s="59"/>
      <c r="J142" s="59"/>
      <c r="K142" s="59"/>
      <c r="L142" s="1" t="str">
        <f>IF(137&gt;'🌱 Configuração'!$F$55,"",IF(F142="","—",IF(F142&lt;22,"⚠️ Temp baixa",IF(F142&gt;29,"⚠️ Temp ALTA",IF(H142="","✅ OK",IF(H142&lt;5.5,"⚠️ pH baixo",IF(H142&gt;6.9,"⚠️ pH alto",IF(I142&gt;2.5,"⚠️ CE alta","✅ OK"))))))))</f>
        <v/>
      </c>
    </row>
    <row r="143" spans="1:12" ht="18" customHeight="1">
      <c r="A143" s="1"/>
      <c r="B143" s="61" t="str">
        <f>IF(138&lt;='🌱 Configuração'!$F$55,138,"")</f>
        <v/>
      </c>
      <c r="C143" s="62" t="str">
        <f>IF(138&lt;='🌱 Configuração'!$F$55,'🌱 Configuração'!$B$56+137,"")</f>
        <v/>
      </c>
      <c r="D143" s="61" t="str">
        <f>IF(138&gt;'🌱 Configuração'!$F$55,"",IF('🌱 Configuração'!$B$56+137&lt;'🌱 Configuração'!$C$56,"🌱 Clone",IF('🌱 Configuração'!$B$56+137&lt;'🌱 Configuração'!$D$56,"🌿 Vega",IF('🌱 Configuração'!$B$56+137&lt;'🌱 Configuração'!$E$56,"🌸 Flora","🚿 Flush"))))</f>
        <v/>
      </c>
      <c r="E143" s="61"/>
      <c r="F143" s="61"/>
      <c r="G143" s="61"/>
      <c r="H143" s="61"/>
      <c r="I143" s="61"/>
      <c r="J143" s="61"/>
      <c r="K143" s="61"/>
      <c r="L143" s="1" t="str">
        <f>IF(138&gt;'🌱 Configuração'!$F$55,"",IF(F143="","—",IF(F143&lt;22,"⚠️ Temp baixa",IF(F143&gt;29,"⚠️ Temp ALTA",IF(H143="","✅ OK",IF(H143&lt;5.5,"⚠️ pH baixo",IF(H143&gt;6.9,"⚠️ pH alto",IF(I143&gt;2.5,"⚠️ CE alta","✅ OK"))))))))</f>
        <v/>
      </c>
    </row>
    <row r="144" spans="1:12" ht="18" customHeight="1">
      <c r="A144" s="1"/>
      <c r="B144" s="59" t="str">
        <f>IF(139&lt;='🌱 Configuração'!$F$55,139,"")</f>
        <v/>
      </c>
      <c r="C144" s="60" t="str">
        <f>IF(139&lt;='🌱 Configuração'!$F$55,'🌱 Configuração'!$B$56+138,"")</f>
        <v/>
      </c>
      <c r="D144" s="59" t="str">
        <f>IF(139&gt;'🌱 Configuração'!$F$55,"",IF('🌱 Configuração'!$B$56+138&lt;'🌱 Configuração'!$C$56,"🌱 Clone",IF('🌱 Configuração'!$B$56+138&lt;'🌱 Configuração'!$D$56,"🌿 Vega",IF('🌱 Configuração'!$B$56+138&lt;'🌱 Configuração'!$E$56,"🌸 Flora","🚿 Flush"))))</f>
        <v/>
      </c>
      <c r="E144" s="59"/>
      <c r="F144" s="59"/>
      <c r="G144" s="59"/>
      <c r="H144" s="59"/>
      <c r="I144" s="59"/>
      <c r="J144" s="59"/>
      <c r="K144" s="59"/>
      <c r="L144" s="1" t="str">
        <f>IF(139&gt;'🌱 Configuração'!$F$55,"",IF(F144="","—",IF(F144&lt;22,"⚠️ Temp baixa",IF(F144&gt;29,"⚠️ Temp ALTA",IF(H144="","✅ OK",IF(H144&lt;5.5,"⚠️ pH baixo",IF(H144&gt;6.9,"⚠️ pH alto",IF(I144&gt;2.5,"⚠️ CE alta","✅ OK"))))))))</f>
        <v/>
      </c>
    </row>
    <row r="145" spans="1:12" ht="18" customHeight="1">
      <c r="A145" s="1"/>
      <c r="B145" s="61" t="str">
        <f>IF(140&lt;='🌱 Configuração'!$F$55,140,"")</f>
        <v/>
      </c>
      <c r="C145" s="62" t="str">
        <f>IF(140&lt;='🌱 Configuração'!$F$55,'🌱 Configuração'!$B$56+139,"")</f>
        <v/>
      </c>
      <c r="D145" s="61" t="str">
        <f>IF(140&gt;'🌱 Configuração'!$F$55,"",IF('🌱 Configuração'!$B$56+139&lt;'🌱 Configuração'!$C$56,"🌱 Clone",IF('🌱 Configuração'!$B$56+139&lt;'🌱 Configuração'!$D$56,"🌿 Vega",IF('🌱 Configuração'!$B$56+139&lt;'🌱 Configuração'!$E$56,"🌸 Flora","🚿 Flush"))))</f>
        <v/>
      </c>
      <c r="E145" s="61"/>
      <c r="F145" s="61"/>
      <c r="G145" s="61"/>
      <c r="H145" s="61"/>
      <c r="I145" s="61"/>
      <c r="J145" s="61"/>
      <c r="K145" s="61"/>
      <c r="L145" s="1" t="str">
        <f>IF(140&gt;'🌱 Configuração'!$F$55,"",IF(F145="","—",IF(F145&lt;22,"⚠️ Temp baixa",IF(F145&gt;29,"⚠️ Temp ALTA",IF(H145="","✅ OK",IF(H145&lt;5.5,"⚠️ pH baixo",IF(H145&gt;6.9,"⚠️ pH alto",IF(I145&gt;2.5,"⚠️ CE alta","✅ OK"))))))))</f>
        <v/>
      </c>
    </row>
    <row r="146" spans="1:12" ht="18" customHeight="1">
      <c r="A146" s="1"/>
      <c r="B146" s="59" t="str">
        <f>IF(141&lt;='🌱 Configuração'!$F$55,141,"")</f>
        <v/>
      </c>
      <c r="C146" s="60" t="str">
        <f>IF(141&lt;='🌱 Configuração'!$F$55,'🌱 Configuração'!$B$56+140,"")</f>
        <v/>
      </c>
      <c r="D146" s="59" t="str">
        <f>IF(141&gt;'🌱 Configuração'!$F$55,"",IF('🌱 Configuração'!$B$56+140&lt;'🌱 Configuração'!$C$56,"🌱 Clone",IF('🌱 Configuração'!$B$56+140&lt;'🌱 Configuração'!$D$56,"🌿 Vega",IF('🌱 Configuração'!$B$56+140&lt;'🌱 Configuração'!$E$56,"🌸 Flora","🚿 Flush"))))</f>
        <v/>
      </c>
      <c r="E146" s="59"/>
      <c r="F146" s="59"/>
      <c r="G146" s="59"/>
      <c r="H146" s="59"/>
      <c r="I146" s="59"/>
      <c r="J146" s="59"/>
      <c r="K146" s="59"/>
      <c r="L146" s="1" t="str">
        <f>IF(141&gt;'🌱 Configuração'!$F$55,"",IF(F146="","—",IF(F146&lt;22,"⚠️ Temp baixa",IF(F146&gt;29,"⚠️ Temp ALTA",IF(H146="","✅ OK",IF(H146&lt;5.5,"⚠️ pH baixo",IF(H146&gt;6.9,"⚠️ pH alto",IF(I146&gt;2.5,"⚠️ CE alta","✅ OK"))))))))</f>
        <v/>
      </c>
    </row>
    <row r="147" spans="1:12" ht="18" customHeight="1">
      <c r="A147" s="1"/>
      <c r="B147" s="61" t="str">
        <f>IF(142&lt;='🌱 Configuração'!$F$55,142,"")</f>
        <v/>
      </c>
      <c r="C147" s="62" t="str">
        <f>IF(142&lt;='🌱 Configuração'!$F$55,'🌱 Configuração'!$B$56+141,"")</f>
        <v/>
      </c>
      <c r="D147" s="61" t="str">
        <f>IF(142&gt;'🌱 Configuração'!$F$55,"",IF('🌱 Configuração'!$B$56+141&lt;'🌱 Configuração'!$C$56,"🌱 Clone",IF('🌱 Configuração'!$B$56+141&lt;'🌱 Configuração'!$D$56,"🌿 Vega",IF('🌱 Configuração'!$B$56+141&lt;'🌱 Configuração'!$E$56,"🌸 Flora","🚿 Flush"))))</f>
        <v/>
      </c>
      <c r="E147" s="61"/>
      <c r="F147" s="61"/>
      <c r="G147" s="61"/>
      <c r="H147" s="61"/>
      <c r="I147" s="61"/>
      <c r="J147" s="61"/>
      <c r="K147" s="61"/>
      <c r="L147" s="1" t="str">
        <f>IF(142&gt;'🌱 Configuração'!$F$55,"",IF(F147="","—",IF(F147&lt;22,"⚠️ Temp baixa",IF(F147&gt;29,"⚠️ Temp ALTA",IF(H147="","✅ OK",IF(H147&lt;5.5,"⚠️ pH baixo",IF(H147&gt;6.9,"⚠️ pH alto",IF(I147&gt;2.5,"⚠️ CE alta","✅ OK"))))))))</f>
        <v/>
      </c>
    </row>
    <row r="148" spans="1:12" ht="18" customHeight="1">
      <c r="A148" s="1"/>
      <c r="B148" s="59" t="str">
        <f>IF(143&lt;='🌱 Configuração'!$F$55,143,"")</f>
        <v/>
      </c>
      <c r="C148" s="60" t="str">
        <f>IF(143&lt;='🌱 Configuração'!$F$55,'🌱 Configuração'!$B$56+142,"")</f>
        <v/>
      </c>
      <c r="D148" s="59" t="str">
        <f>IF(143&gt;'🌱 Configuração'!$F$55,"",IF('🌱 Configuração'!$B$56+142&lt;'🌱 Configuração'!$C$56,"🌱 Clone",IF('🌱 Configuração'!$B$56+142&lt;'🌱 Configuração'!$D$56,"🌿 Vega",IF('🌱 Configuração'!$B$56+142&lt;'🌱 Configuração'!$E$56,"🌸 Flora","🚿 Flush"))))</f>
        <v/>
      </c>
      <c r="E148" s="59"/>
      <c r="F148" s="59"/>
      <c r="G148" s="59"/>
      <c r="H148" s="59"/>
      <c r="I148" s="59"/>
      <c r="J148" s="59"/>
      <c r="K148" s="59"/>
      <c r="L148" s="1" t="str">
        <f>IF(143&gt;'🌱 Configuração'!$F$55,"",IF(F148="","—",IF(F148&lt;22,"⚠️ Temp baixa",IF(F148&gt;29,"⚠️ Temp ALTA",IF(H148="","✅ OK",IF(H148&lt;5.5,"⚠️ pH baixo",IF(H148&gt;6.9,"⚠️ pH alto",IF(I148&gt;2.5,"⚠️ CE alta","✅ OK"))))))))</f>
        <v/>
      </c>
    </row>
    <row r="149" spans="1:12" ht="18" customHeight="1">
      <c r="A149" s="1"/>
      <c r="B149" s="61" t="str">
        <f>IF(144&lt;='🌱 Configuração'!$F$55,144,"")</f>
        <v/>
      </c>
      <c r="C149" s="62" t="str">
        <f>IF(144&lt;='🌱 Configuração'!$F$55,'🌱 Configuração'!$B$56+143,"")</f>
        <v/>
      </c>
      <c r="D149" s="61" t="str">
        <f>IF(144&gt;'🌱 Configuração'!$F$55,"",IF('🌱 Configuração'!$B$56+143&lt;'🌱 Configuração'!$C$56,"🌱 Clone",IF('🌱 Configuração'!$B$56+143&lt;'🌱 Configuração'!$D$56,"🌿 Vega",IF('🌱 Configuração'!$B$56+143&lt;'🌱 Configuração'!$E$56,"🌸 Flora","🚿 Flush"))))</f>
        <v/>
      </c>
      <c r="E149" s="61"/>
      <c r="F149" s="61"/>
      <c r="G149" s="61"/>
      <c r="H149" s="61"/>
      <c r="I149" s="61"/>
      <c r="J149" s="61"/>
      <c r="K149" s="61"/>
      <c r="L149" s="1" t="str">
        <f>IF(144&gt;'🌱 Configuração'!$F$55,"",IF(F149="","—",IF(F149&lt;22,"⚠️ Temp baixa",IF(F149&gt;29,"⚠️ Temp ALTA",IF(H149="","✅ OK",IF(H149&lt;5.5,"⚠️ pH baixo",IF(H149&gt;6.9,"⚠️ pH alto",IF(I149&gt;2.5,"⚠️ CE alta","✅ OK"))))))))</f>
        <v/>
      </c>
    </row>
    <row r="150" spans="1:12" ht="18" customHeight="1">
      <c r="A150" s="1"/>
      <c r="B150" s="59" t="str">
        <f>IF(145&lt;='🌱 Configuração'!$F$55,145,"")</f>
        <v/>
      </c>
      <c r="C150" s="60" t="str">
        <f>IF(145&lt;='🌱 Configuração'!$F$55,'🌱 Configuração'!$B$56+144,"")</f>
        <v/>
      </c>
      <c r="D150" s="59" t="str">
        <f>IF(145&gt;'🌱 Configuração'!$F$55,"",IF('🌱 Configuração'!$B$56+144&lt;'🌱 Configuração'!$C$56,"🌱 Clone",IF('🌱 Configuração'!$B$56+144&lt;'🌱 Configuração'!$D$56,"🌿 Vega",IF('🌱 Configuração'!$B$56+144&lt;'🌱 Configuração'!$E$56,"🌸 Flora","🚿 Flush"))))</f>
        <v/>
      </c>
      <c r="E150" s="59"/>
      <c r="F150" s="59"/>
      <c r="G150" s="59"/>
      <c r="H150" s="59"/>
      <c r="I150" s="59"/>
      <c r="J150" s="59"/>
      <c r="K150" s="59"/>
      <c r="L150" s="1" t="str">
        <f>IF(145&gt;'🌱 Configuração'!$F$55,"",IF(F150="","—",IF(F150&lt;22,"⚠️ Temp baixa",IF(F150&gt;29,"⚠️ Temp ALTA",IF(H150="","✅ OK",IF(H150&lt;5.5,"⚠️ pH baixo",IF(H150&gt;6.9,"⚠️ pH alto",IF(I150&gt;2.5,"⚠️ CE alta","✅ OK"))))))))</f>
        <v/>
      </c>
    </row>
    <row r="151" spans="1:12" ht="18" customHeight="1">
      <c r="A151" s="1"/>
      <c r="B151" s="61" t="str">
        <f>IF(146&lt;='🌱 Configuração'!$F$55,146,"")</f>
        <v/>
      </c>
      <c r="C151" s="62" t="str">
        <f>IF(146&lt;='🌱 Configuração'!$F$55,'🌱 Configuração'!$B$56+145,"")</f>
        <v/>
      </c>
      <c r="D151" s="61" t="str">
        <f>IF(146&gt;'🌱 Configuração'!$F$55,"",IF('🌱 Configuração'!$B$56+145&lt;'🌱 Configuração'!$C$56,"🌱 Clone",IF('🌱 Configuração'!$B$56+145&lt;'🌱 Configuração'!$D$56,"🌿 Vega",IF('🌱 Configuração'!$B$56+145&lt;'🌱 Configuração'!$E$56,"🌸 Flora","🚿 Flush"))))</f>
        <v/>
      </c>
      <c r="E151" s="61"/>
      <c r="F151" s="61"/>
      <c r="G151" s="61"/>
      <c r="H151" s="61"/>
      <c r="I151" s="61"/>
      <c r="J151" s="61"/>
      <c r="K151" s="61"/>
      <c r="L151" s="1" t="str">
        <f>IF(146&gt;'🌱 Configuração'!$F$55,"",IF(F151="","—",IF(F151&lt;22,"⚠️ Temp baixa",IF(F151&gt;29,"⚠️ Temp ALTA",IF(H151="","✅ OK",IF(H151&lt;5.5,"⚠️ pH baixo",IF(H151&gt;6.9,"⚠️ pH alto",IF(I151&gt;2.5,"⚠️ CE alta","✅ OK"))))))))</f>
        <v/>
      </c>
    </row>
    <row r="152" spans="1:12" ht="18" customHeight="1">
      <c r="A152" s="1"/>
      <c r="B152" s="59" t="str">
        <f>IF(147&lt;='🌱 Configuração'!$F$55,147,"")</f>
        <v/>
      </c>
      <c r="C152" s="60" t="str">
        <f>IF(147&lt;='🌱 Configuração'!$F$55,'🌱 Configuração'!$B$56+146,"")</f>
        <v/>
      </c>
      <c r="D152" s="59" t="str">
        <f>IF(147&gt;'🌱 Configuração'!$F$55,"",IF('🌱 Configuração'!$B$56+146&lt;'🌱 Configuração'!$C$56,"🌱 Clone",IF('🌱 Configuração'!$B$56+146&lt;'🌱 Configuração'!$D$56,"🌿 Vega",IF('🌱 Configuração'!$B$56+146&lt;'🌱 Configuração'!$E$56,"🌸 Flora","🚿 Flush"))))</f>
        <v/>
      </c>
      <c r="E152" s="59"/>
      <c r="F152" s="59"/>
      <c r="G152" s="59"/>
      <c r="H152" s="59"/>
      <c r="I152" s="59"/>
      <c r="J152" s="59"/>
      <c r="K152" s="59"/>
      <c r="L152" s="1" t="str">
        <f>IF(147&gt;'🌱 Configuração'!$F$55,"",IF(F152="","—",IF(F152&lt;22,"⚠️ Temp baixa",IF(F152&gt;29,"⚠️ Temp ALTA",IF(H152="","✅ OK",IF(H152&lt;5.5,"⚠️ pH baixo",IF(H152&gt;6.9,"⚠️ pH alto",IF(I152&gt;2.5,"⚠️ CE alta","✅ OK"))))))))</f>
        <v/>
      </c>
    </row>
    <row r="153" spans="1:12" ht="18" customHeight="1">
      <c r="A153" s="1"/>
      <c r="B153" s="61" t="str">
        <f>IF(148&lt;='🌱 Configuração'!$F$55,148,"")</f>
        <v/>
      </c>
      <c r="C153" s="62" t="str">
        <f>IF(148&lt;='🌱 Configuração'!$F$55,'🌱 Configuração'!$B$56+147,"")</f>
        <v/>
      </c>
      <c r="D153" s="61" t="str">
        <f>IF(148&gt;'🌱 Configuração'!$F$55,"",IF('🌱 Configuração'!$B$56+147&lt;'🌱 Configuração'!$C$56,"🌱 Clone",IF('🌱 Configuração'!$B$56+147&lt;'🌱 Configuração'!$D$56,"🌿 Vega",IF('🌱 Configuração'!$B$56+147&lt;'🌱 Configuração'!$E$56,"🌸 Flora","🚿 Flush"))))</f>
        <v/>
      </c>
      <c r="E153" s="61"/>
      <c r="F153" s="61"/>
      <c r="G153" s="61"/>
      <c r="H153" s="61"/>
      <c r="I153" s="61"/>
      <c r="J153" s="61"/>
      <c r="K153" s="61"/>
      <c r="L153" s="1" t="str">
        <f>IF(148&gt;'🌱 Configuração'!$F$55,"",IF(F153="","—",IF(F153&lt;22,"⚠️ Temp baixa",IF(F153&gt;29,"⚠️ Temp ALTA",IF(H153="","✅ OK",IF(H153&lt;5.5,"⚠️ pH baixo",IF(H153&gt;6.9,"⚠️ pH alto",IF(I153&gt;2.5,"⚠️ CE alta","✅ OK"))))))))</f>
        <v/>
      </c>
    </row>
    <row r="154" spans="1:12" ht="18" customHeight="1">
      <c r="A154" s="1"/>
      <c r="B154" s="59" t="str">
        <f>IF(149&lt;='🌱 Configuração'!$F$55,149,"")</f>
        <v/>
      </c>
      <c r="C154" s="60" t="str">
        <f>IF(149&lt;='🌱 Configuração'!$F$55,'🌱 Configuração'!$B$56+148,"")</f>
        <v/>
      </c>
      <c r="D154" s="59" t="str">
        <f>IF(149&gt;'🌱 Configuração'!$F$55,"",IF('🌱 Configuração'!$B$56+148&lt;'🌱 Configuração'!$C$56,"🌱 Clone",IF('🌱 Configuração'!$B$56+148&lt;'🌱 Configuração'!$D$56,"🌿 Vega",IF('🌱 Configuração'!$B$56+148&lt;'🌱 Configuração'!$E$56,"🌸 Flora","🚿 Flush"))))</f>
        <v/>
      </c>
      <c r="E154" s="59"/>
      <c r="F154" s="59"/>
      <c r="G154" s="59"/>
      <c r="H154" s="59"/>
      <c r="I154" s="59"/>
      <c r="J154" s="59"/>
      <c r="K154" s="59"/>
      <c r="L154" s="1" t="str">
        <f>IF(149&gt;'🌱 Configuração'!$F$55,"",IF(F154="","—",IF(F154&lt;22,"⚠️ Temp baixa",IF(F154&gt;29,"⚠️ Temp ALTA",IF(H154="","✅ OK",IF(H154&lt;5.5,"⚠️ pH baixo",IF(H154&gt;6.9,"⚠️ pH alto",IF(I154&gt;2.5,"⚠️ CE alta","✅ OK"))))))))</f>
        <v/>
      </c>
    </row>
    <row r="155" spans="1:12" ht="18" customHeight="1">
      <c r="A155" s="1"/>
      <c r="B155" s="61" t="str">
        <f>IF(150&lt;='🌱 Configuração'!$F$55,150,"")</f>
        <v/>
      </c>
      <c r="C155" s="62" t="str">
        <f>IF(150&lt;='🌱 Configuração'!$F$55,'🌱 Configuração'!$B$56+149,"")</f>
        <v/>
      </c>
      <c r="D155" s="61" t="str">
        <f>IF(150&gt;'🌱 Configuração'!$F$55,"",IF('🌱 Configuração'!$B$56+149&lt;'🌱 Configuração'!$C$56,"🌱 Clone",IF('🌱 Configuração'!$B$56+149&lt;'🌱 Configuração'!$D$56,"🌿 Vega",IF('🌱 Configuração'!$B$56+149&lt;'🌱 Configuração'!$E$56,"🌸 Flora","🚿 Flush"))))</f>
        <v/>
      </c>
      <c r="E155" s="61"/>
      <c r="F155" s="61"/>
      <c r="G155" s="61"/>
      <c r="H155" s="61"/>
      <c r="I155" s="61"/>
      <c r="J155" s="61"/>
      <c r="K155" s="61"/>
      <c r="L155" s="1" t="str">
        <f>IF(150&gt;'🌱 Configuração'!$F$55,"",IF(F155="","—",IF(F155&lt;22,"⚠️ Temp baixa",IF(F155&gt;29,"⚠️ Temp ALTA",IF(H155="","✅ OK",IF(H155&lt;5.5,"⚠️ pH baixo",IF(H155&gt;6.9,"⚠️ pH alto",IF(I155&gt;2.5,"⚠️ CE alta","✅ OK"))))))))</f>
        <v/>
      </c>
    </row>
    <row r="156" spans="1:12" ht="18" customHeight="1">
      <c r="A156" s="1"/>
      <c r="B156" s="59" t="str">
        <f>IF(151&lt;='🌱 Configuração'!$F$55,151,"")</f>
        <v/>
      </c>
      <c r="C156" s="60" t="str">
        <f>IF(151&lt;='🌱 Configuração'!$F$55,'🌱 Configuração'!$B$56+150,"")</f>
        <v/>
      </c>
      <c r="D156" s="59" t="str">
        <f>IF(151&gt;'🌱 Configuração'!$F$55,"",IF('🌱 Configuração'!$B$56+150&lt;'🌱 Configuração'!$C$56,"🌱 Clone",IF('🌱 Configuração'!$B$56+150&lt;'🌱 Configuração'!$D$56,"🌿 Vega",IF('🌱 Configuração'!$B$56+150&lt;'🌱 Configuração'!$E$56,"🌸 Flora","🚿 Flush"))))</f>
        <v/>
      </c>
      <c r="E156" s="59"/>
      <c r="F156" s="59"/>
      <c r="G156" s="59"/>
      <c r="H156" s="59"/>
      <c r="I156" s="59"/>
      <c r="J156" s="59"/>
      <c r="K156" s="59"/>
      <c r="L156" s="1" t="str">
        <f>IF(151&gt;'🌱 Configuração'!$F$55,"",IF(F156="","—",IF(F156&lt;22,"⚠️ Temp baixa",IF(F156&gt;29,"⚠️ Temp ALTA",IF(H156="","✅ OK",IF(H156&lt;5.5,"⚠️ pH baixo",IF(H156&gt;6.9,"⚠️ pH alto",IF(I156&gt;2.5,"⚠️ CE alta","✅ OK"))))))))</f>
        <v/>
      </c>
    </row>
    <row r="157" spans="1:12" ht="18" customHeight="1">
      <c r="A157" s="1"/>
      <c r="B157" s="61" t="str">
        <f>IF(152&lt;='🌱 Configuração'!$F$55,152,"")</f>
        <v/>
      </c>
      <c r="C157" s="62" t="str">
        <f>IF(152&lt;='🌱 Configuração'!$F$55,'🌱 Configuração'!$B$56+151,"")</f>
        <v/>
      </c>
      <c r="D157" s="61" t="str">
        <f>IF(152&gt;'🌱 Configuração'!$F$55,"",IF('🌱 Configuração'!$B$56+151&lt;'🌱 Configuração'!$C$56,"🌱 Clone",IF('🌱 Configuração'!$B$56+151&lt;'🌱 Configuração'!$D$56,"🌿 Vega",IF('🌱 Configuração'!$B$56+151&lt;'🌱 Configuração'!$E$56,"🌸 Flora","🚿 Flush"))))</f>
        <v/>
      </c>
      <c r="E157" s="61"/>
      <c r="F157" s="61"/>
      <c r="G157" s="61"/>
      <c r="H157" s="61"/>
      <c r="I157" s="61"/>
      <c r="J157" s="61"/>
      <c r="K157" s="61"/>
      <c r="L157" s="1" t="str">
        <f>IF(152&gt;'🌱 Configuração'!$F$55,"",IF(F157="","—",IF(F157&lt;22,"⚠️ Temp baixa",IF(F157&gt;29,"⚠️ Temp ALTA",IF(H157="","✅ OK",IF(H157&lt;5.5,"⚠️ pH baixo",IF(H157&gt;6.9,"⚠️ pH alto",IF(I157&gt;2.5,"⚠️ CE alta","✅ OK"))))))))</f>
        <v/>
      </c>
    </row>
    <row r="158" spans="1:12" ht="18" customHeight="1">
      <c r="A158" s="1"/>
      <c r="B158" s="59" t="str">
        <f>IF(153&lt;='🌱 Configuração'!$F$55,153,"")</f>
        <v/>
      </c>
      <c r="C158" s="60" t="str">
        <f>IF(153&lt;='🌱 Configuração'!$F$55,'🌱 Configuração'!$B$56+152,"")</f>
        <v/>
      </c>
      <c r="D158" s="59" t="str">
        <f>IF(153&gt;'🌱 Configuração'!$F$55,"",IF('🌱 Configuração'!$B$56+152&lt;'🌱 Configuração'!$C$56,"🌱 Clone",IF('🌱 Configuração'!$B$56+152&lt;'🌱 Configuração'!$D$56,"🌿 Vega",IF('🌱 Configuração'!$B$56+152&lt;'🌱 Configuração'!$E$56,"🌸 Flora","🚿 Flush"))))</f>
        <v/>
      </c>
      <c r="E158" s="59"/>
      <c r="F158" s="59"/>
      <c r="G158" s="59"/>
      <c r="H158" s="59"/>
      <c r="I158" s="59"/>
      <c r="J158" s="59"/>
      <c r="K158" s="59"/>
      <c r="L158" s="1" t="str">
        <f>IF(153&gt;'🌱 Configuração'!$F$55,"",IF(F158="","—",IF(F158&lt;22,"⚠️ Temp baixa",IF(F158&gt;29,"⚠️ Temp ALTA",IF(H158="","✅ OK",IF(H158&lt;5.5,"⚠️ pH baixo",IF(H158&gt;6.9,"⚠️ pH alto",IF(I158&gt;2.5,"⚠️ CE alta","✅ OK"))))))))</f>
        <v/>
      </c>
    </row>
    <row r="159" spans="1:12" ht="18" customHeight="1">
      <c r="A159" s="1"/>
      <c r="B159" s="61" t="str">
        <f>IF(154&lt;='🌱 Configuração'!$F$55,154,"")</f>
        <v/>
      </c>
      <c r="C159" s="62" t="str">
        <f>IF(154&lt;='🌱 Configuração'!$F$55,'🌱 Configuração'!$B$56+153,"")</f>
        <v/>
      </c>
      <c r="D159" s="61" t="str">
        <f>IF(154&gt;'🌱 Configuração'!$F$55,"",IF('🌱 Configuração'!$B$56+153&lt;'🌱 Configuração'!$C$56,"🌱 Clone",IF('🌱 Configuração'!$B$56+153&lt;'🌱 Configuração'!$D$56,"🌿 Vega",IF('🌱 Configuração'!$B$56+153&lt;'🌱 Configuração'!$E$56,"🌸 Flora","🚿 Flush"))))</f>
        <v/>
      </c>
      <c r="E159" s="61"/>
      <c r="F159" s="61"/>
      <c r="G159" s="61"/>
      <c r="H159" s="61"/>
      <c r="I159" s="61"/>
      <c r="J159" s="61"/>
      <c r="K159" s="61"/>
      <c r="L159" s="1" t="str">
        <f>IF(154&gt;'🌱 Configuração'!$F$55,"",IF(F159="","—",IF(F159&lt;22,"⚠️ Temp baixa",IF(F159&gt;29,"⚠️ Temp ALTA",IF(H159="","✅ OK",IF(H159&lt;5.5,"⚠️ pH baixo",IF(H159&gt;6.9,"⚠️ pH alto",IF(I159&gt;2.5,"⚠️ CE alta","✅ OK"))))))))</f>
        <v/>
      </c>
    </row>
    <row r="160" spans="1:12" ht="18" customHeight="1">
      <c r="A160" s="1"/>
      <c r="B160" s="59" t="str">
        <f>IF(155&lt;='🌱 Configuração'!$F$55,155,"")</f>
        <v/>
      </c>
      <c r="C160" s="60" t="str">
        <f>IF(155&lt;='🌱 Configuração'!$F$55,'🌱 Configuração'!$B$56+154,"")</f>
        <v/>
      </c>
      <c r="D160" s="59" t="str">
        <f>IF(155&gt;'🌱 Configuração'!$F$55,"",IF('🌱 Configuração'!$B$56+154&lt;'🌱 Configuração'!$C$56,"🌱 Clone",IF('🌱 Configuração'!$B$56+154&lt;'🌱 Configuração'!$D$56,"🌿 Vega",IF('🌱 Configuração'!$B$56+154&lt;'🌱 Configuração'!$E$56,"🌸 Flora","🚿 Flush"))))</f>
        <v/>
      </c>
      <c r="E160" s="59"/>
      <c r="F160" s="59"/>
      <c r="G160" s="59"/>
      <c r="H160" s="59"/>
      <c r="I160" s="59"/>
      <c r="J160" s="59"/>
      <c r="K160" s="59"/>
      <c r="L160" s="1" t="str">
        <f>IF(155&gt;'🌱 Configuração'!$F$55,"",IF(F160="","—",IF(F160&lt;22,"⚠️ Temp baixa",IF(F160&gt;29,"⚠️ Temp ALTA",IF(H160="","✅ OK",IF(H160&lt;5.5,"⚠️ pH baixo",IF(H160&gt;6.9,"⚠️ pH alto",IF(I160&gt;2.5,"⚠️ CE alta","✅ OK"))))))))</f>
        <v/>
      </c>
    </row>
    <row r="161" spans="1:12" ht="18" customHeight="1">
      <c r="A161" s="1"/>
      <c r="B161" s="61" t="str">
        <f>IF(156&lt;='🌱 Configuração'!$F$55,156,"")</f>
        <v/>
      </c>
      <c r="C161" s="62" t="str">
        <f>IF(156&lt;='🌱 Configuração'!$F$55,'🌱 Configuração'!$B$56+155,"")</f>
        <v/>
      </c>
      <c r="D161" s="61" t="str">
        <f>IF(156&gt;'🌱 Configuração'!$F$55,"",IF('🌱 Configuração'!$B$56+155&lt;'🌱 Configuração'!$C$56,"🌱 Clone",IF('🌱 Configuração'!$B$56+155&lt;'🌱 Configuração'!$D$56,"🌿 Vega",IF('🌱 Configuração'!$B$56+155&lt;'🌱 Configuração'!$E$56,"🌸 Flora","🚿 Flush"))))</f>
        <v/>
      </c>
      <c r="E161" s="61"/>
      <c r="F161" s="61"/>
      <c r="G161" s="61"/>
      <c r="H161" s="61"/>
      <c r="I161" s="61"/>
      <c r="J161" s="61"/>
      <c r="K161" s="61"/>
      <c r="L161" s="1" t="str">
        <f>IF(156&gt;'🌱 Configuração'!$F$55,"",IF(F161="","—",IF(F161&lt;22,"⚠️ Temp baixa",IF(F161&gt;29,"⚠️ Temp ALTA",IF(H161="","✅ OK",IF(H161&lt;5.5,"⚠️ pH baixo",IF(H161&gt;6.9,"⚠️ pH alto",IF(I161&gt;2.5,"⚠️ CE alta","✅ OK"))))))))</f>
        <v/>
      </c>
    </row>
    <row r="162" spans="1:12" ht="18" customHeight="1">
      <c r="A162" s="1"/>
      <c r="B162" s="59" t="str">
        <f>IF(157&lt;='🌱 Configuração'!$F$55,157,"")</f>
        <v/>
      </c>
      <c r="C162" s="60" t="str">
        <f>IF(157&lt;='🌱 Configuração'!$F$55,'🌱 Configuração'!$B$56+156,"")</f>
        <v/>
      </c>
      <c r="D162" s="59" t="str">
        <f>IF(157&gt;'🌱 Configuração'!$F$55,"",IF('🌱 Configuração'!$B$56+156&lt;'🌱 Configuração'!$C$56,"🌱 Clone",IF('🌱 Configuração'!$B$56+156&lt;'🌱 Configuração'!$D$56,"🌿 Vega",IF('🌱 Configuração'!$B$56+156&lt;'🌱 Configuração'!$E$56,"🌸 Flora","🚿 Flush"))))</f>
        <v/>
      </c>
      <c r="E162" s="59"/>
      <c r="F162" s="59"/>
      <c r="G162" s="59"/>
      <c r="H162" s="59"/>
      <c r="I162" s="59"/>
      <c r="J162" s="59"/>
      <c r="K162" s="59"/>
      <c r="L162" s="1" t="str">
        <f>IF(157&gt;'🌱 Configuração'!$F$55,"",IF(F162="","—",IF(F162&lt;22,"⚠️ Temp baixa",IF(F162&gt;29,"⚠️ Temp ALTA",IF(H162="","✅ OK",IF(H162&lt;5.5,"⚠️ pH baixo",IF(H162&gt;6.9,"⚠️ pH alto",IF(I162&gt;2.5,"⚠️ CE alta","✅ OK"))))))))</f>
        <v/>
      </c>
    </row>
    <row r="163" spans="1:12" ht="18" customHeight="1">
      <c r="A163" s="1"/>
      <c r="B163" s="61" t="str">
        <f>IF(158&lt;='🌱 Configuração'!$F$55,158,"")</f>
        <v/>
      </c>
      <c r="C163" s="62" t="str">
        <f>IF(158&lt;='🌱 Configuração'!$F$55,'🌱 Configuração'!$B$56+157,"")</f>
        <v/>
      </c>
      <c r="D163" s="61" t="str">
        <f>IF(158&gt;'🌱 Configuração'!$F$55,"",IF('🌱 Configuração'!$B$56+157&lt;'🌱 Configuração'!$C$56,"🌱 Clone",IF('🌱 Configuração'!$B$56+157&lt;'🌱 Configuração'!$D$56,"🌿 Vega",IF('🌱 Configuração'!$B$56+157&lt;'🌱 Configuração'!$E$56,"🌸 Flora","🚿 Flush"))))</f>
        <v/>
      </c>
      <c r="E163" s="61"/>
      <c r="F163" s="61"/>
      <c r="G163" s="61"/>
      <c r="H163" s="61"/>
      <c r="I163" s="61"/>
      <c r="J163" s="61"/>
      <c r="K163" s="61"/>
      <c r="L163" s="1" t="str">
        <f>IF(158&gt;'🌱 Configuração'!$F$55,"",IF(F163="","—",IF(F163&lt;22,"⚠️ Temp baixa",IF(F163&gt;29,"⚠️ Temp ALTA",IF(H163="","✅ OK",IF(H163&lt;5.5,"⚠️ pH baixo",IF(H163&gt;6.9,"⚠️ pH alto",IF(I163&gt;2.5,"⚠️ CE alta","✅ OK"))))))))</f>
        <v/>
      </c>
    </row>
    <row r="164" spans="1:12" ht="18" customHeight="1">
      <c r="A164" s="1"/>
      <c r="B164" s="59" t="str">
        <f>IF(159&lt;='🌱 Configuração'!$F$55,159,"")</f>
        <v/>
      </c>
      <c r="C164" s="60" t="str">
        <f>IF(159&lt;='🌱 Configuração'!$F$55,'🌱 Configuração'!$B$56+158,"")</f>
        <v/>
      </c>
      <c r="D164" s="59" t="str">
        <f>IF(159&gt;'🌱 Configuração'!$F$55,"",IF('🌱 Configuração'!$B$56+158&lt;'🌱 Configuração'!$C$56,"🌱 Clone",IF('🌱 Configuração'!$B$56+158&lt;'🌱 Configuração'!$D$56,"🌿 Vega",IF('🌱 Configuração'!$B$56+158&lt;'🌱 Configuração'!$E$56,"🌸 Flora","🚿 Flush"))))</f>
        <v/>
      </c>
      <c r="E164" s="59"/>
      <c r="F164" s="59"/>
      <c r="G164" s="59"/>
      <c r="H164" s="59"/>
      <c r="I164" s="59"/>
      <c r="J164" s="59"/>
      <c r="K164" s="59"/>
      <c r="L164" s="1" t="str">
        <f>IF(159&gt;'🌱 Configuração'!$F$55,"",IF(F164="","—",IF(F164&lt;22,"⚠️ Temp baixa",IF(F164&gt;29,"⚠️ Temp ALTA",IF(H164="","✅ OK",IF(H164&lt;5.5,"⚠️ pH baixo",IF(H164&gt;6.9,"⚠️ pH alto",IF(I164&gt;2.5,"⚠️ CE alta","✅ OK"))))))))</f>
        <v/>
      </c>
    </row>
    <row r="165" spans="1:12" ht="18" customHeight="1">
      <c r="A165" s="1"/>
      <c r="B165" s="61" t="str">
        <f>IF(160&lt;='🌱 Configuração'!$F$55,160,"")</f>
        <v/>
      </c>
      <c r="C165" s="62" t="str">
        <f>IF(160&lt;='🌱 Configuração'!$F$55,'🌱 Configuração'!$B$56+159,"")</f>
        <v/>
      </c>
      <c r="D165" s="61" t="str">
        <f>IF(160&gt;'🌱 Configuração'!$F$55,"",IF('🌱 Configuração'!$B$56+159&lt;'🌱 Configuração'!$C$56,"🌱 Clone",IF('🌱 Configuração'!$B$56+159&lt;'🌱 Configuração'!$D$56,"🌿 Vega",IF('🌱 Configuração'!$B$56+159&lt;'🌱 Configuração'!$E$56,"🌸 Flora","🚿 Flush"))))</f>
        <v/>
      </c>
      <c r="E165" s="61"/>
      <c r="F165" s="61"/>
      <c r="G165" s="61"/>
      <c r="H165" s="61"/>
      <c r="I165" s="61"/>
      <c r="J165" s="61"/>
      <c r="K165" s="61"/>
      <c r="L165" s="1" t="str">
        <f>IF(160&gt;'🌱 Configuração'!$F$55,"",IF(F165="","—",IF(F165&lt;22,"⚠️ Temp baixa",IF(F165&gt;29,"⚠️ Temp ALTA",IF(H165="","✅ OK",IF(H165&lt;5.5,"⚠️ pH baixo",IF(H165&gt;6.9,"⚠️ pH alto",IF(I165&gt;2.5,"⚠️ CE alta","✅ OK"))))))))</f>
        <v/>
      </c>
    </row>
    <row r="166" spans="1:12" ht="18" customHeight="1">
      <c r="A166" s="1"/>
      <c r="B166" s="59" t="str">
        <f>IF(161&lt;='🌱 Configuração'!$F$55,161,"")</f>
        <v/>
      </c>
      <c r="C166" s="60" t="str">
        <f>IF(161&lt;='🌱 Configuração'!$F$55,'🌱 Configuração'!$B$56+160,"")</f>
        <v/>
      </c>
      <c r="D166" s="59" t="str">
        <f>IF(161&gt;'🌱 Configuração'!$F$55,"",IF('🌱 Configuração'!$B$56+160&lt;'🌱 Configuração'!$C$56,"🌱 Clone",IF('🌱 Configuração'!$B$56+160&lt;'🌱 Configuração'!$D$56,"🌿 Vega",IF('🌱 Configuração'!$B$56+160&lt;'🌱 Configuração'!$E$56,"🌸 Flora","🚿 Flush"))))</f>
        <v/>
      </c>
      <c r="E166" s="59"/>
      <c r="F166" s="59"/>
      <c r="G166" s="59"/>
      <c r="H166" s="59"/>
      <c r="I166" s="59"/>
      <c r="J166" s="59"/>
      <c r="K166" s="59"/>
      <c r="L166" s="1" t="str">
        <f>IF(161&gt;'🌱 Configuração'!$F$55,"",IF(F166="","—",IF(F166&lt;22,"⚠️ Temp baixa",IF(F166&gt;29,"⚠️ Temp ALTA",IF(H166="","✅ OK",IF(H166&lt;5.5,"⚠️ pH baixo",IF(H166&gt;6.9,"⚠️ pH alto",IF(I166&gt;2.5,"⚠️ CE alta","✅ OK"))))))))</f>
        <v/>
      </c>
    </row>
    <row r="167" spans="1:12" ht="18" customHeight="1">
      <c r="A167" s="1"/>
      <c r="B167" s="61" t="str">
        <f>IF(162&lt;='🌱 Configuração'!$F$55,162,"")</f>
        <v/>
      </c>
      <c r="C167" s="62" t="str">
        <f>IF(162&lt;='🌱 Configuração'!$F$55,'🌱 Configuração'!$B$56+161,"")</f>
        <v/>
      </c>
      <c r="D167" s="61" t="str">
        <f>IF(162&gt;'🌱 Configuração'!$F$55,"",IF('🌱 Configuração'!$B$56+161&lt;'🌱 Configuração'!$C$56,"🌱 Clone",IF('🌱 Configuração'!$B$56+161&lt;'🌱 Configuração'!$D$56,"🌿 Vega",IF('🌱 Configuração'!$B$56+161&lt;'🌱 Configuração'!$E$56,"🌸 Flora","🚿 Flush"))))</f>
        <v/>
      </c>
      <c r="E167" s="61"/>
      <c r="F167" s="61"/>
      <c r="G167" s="61"/>
      <c r="H167" s="61"/>
      <c r="I167" s="61"/>
      <c r="J167" s="61"/>
      <c r="K167" s="61"/>
      <c r="L167" s="1" t="str">
        <f>IF(162&gt;'🌱 Configuração'!$F$55,"",IF(F167="","—",IF(F167&lt;22,"⚠️ Temp baixa",IF(F167&gt;29,"⚠️ Temp ALTA",IF(H167="","✅ OK",IF(H167&lt;5.5,"⚠️ pH baixo",IF(H167&gt;6.9,"⚠️ pH alto",IF(I167&gt;2.5,"⚠️ CE alta","✅ OK"))))))))</f>
        <v/>
      </c>
    </row>
    <row r="168" spans="1:12" ht="18" customHeight="1">
      <c r="A168" s="1"/>
      <c r="B168" s="59" t="str">
        <f>IF(163&lt;='🌱 Configuração'!$F$55,163,"")</f>
        <v/>
      </c>
      <c r="C168" s="60" t="str">
        <f>IF(163&lt;='🌱 Configuração'!$F$55,'🌱 Configuração'!$B$56+162,"")</f>
        <v/>
      </c>
      <c r="D168" s="59" t="str">
        <f>IF(163&gt;'🌱 Configuração'!$F$55,"",IF('🌱 Configuração'!$B$56+162&lt;'🌱 Configuração'!$C$56,"🌱 Clone",IF('🌱 Configuração'!$B$56+162&lt;'🌱 Configuração'!$D$56,"🌿 Vega",IF('🌱 Configuração'!$B$56+162&lt;'🌱 Configuração'!$E$56,"🌸 Flora","🚿 Flush"))))</f>
        <v/>
      </c>
      <c r="E168" s="59"/>
      <c r="F168" s="59"/>
      <c r="G168" s="59"/>
      <c r="H168" s="59"/>
      <c r="I168" s="59"/>
      <c r="J168" s="59"/>
      <c r="K168" s="59"/>
      <c r="L168" s="1" t="str">
        <f>IF(163&gt;'🌱 Configuração'!$F$55,"",IF(F168="","—",IF(F168&lt;22,"⚠️ Temp baixa",IF(F168&gt;29,"⚠️ Temp ALTA",IF(H168="","✅ OK",IF(H168&lt;5.5,"⚠️ pH baixo",IF(H168&gt;6.9,"⚠️ pH alto",IF(I168&gt;2.5,"⚠️ CE alta","✅ OK"))))))))</f>
        <v/>
      </c>
    </row>
    <row r="169" spans="1:12" ht="18" customHeight="1">
      <c r="A169" s="1"/>
      <c r="B169" s="61" t="str">
        <f>IF(164&lt;='🌱 Configuração'!$F$55,164,"")</f>
        <v/>
      </c>
      <c r="C169" s="62" t="str">
        <f>IF(164&lt;='🌱 Configuração'!$F$55,'🌱 Configuração'!$B$56+163,"")</f>
        <v/>
      </c>
      <c r="D169" s="61" t="str">
        <f>IF(164&gt;'🌱 Configuração'!$F$55,"",IF('🌱 Configuração'!$B$56+163&lt;'🌱 Configuração'!$C$56,"🌱 Clone",IF('🌱 Configuração'!$B$56+163&lt;'🌱 Configuração'!$D$56,"🌿 Vega",IF('🌱 Configuração'!$B$56+163&lt;'🌱 Configuração'!$E$56,"🌸 Flora","🚿 Flush"))))</f>
        <v/>
      </c>
      <c r="E169" s="61"/>
      <c r="F169" s="61"/>
      <c r="G169" s="61"/>
      <c r="H169" s="61"/>
      <c r="I169" s="61"/>
      <c r="J169" s="61"/>
      <c r="K169" s="61"/>
      <c r="L169" s="1" t="str">
        <f>IF(164&gt;'🌱 Configuração'!$F$55,"",IF(F169="","—",IF(F169&lt;22,"⚠️ Temp baixa",IF(F169&gt;29,"⚠️ Temp ALTA",IF(H169="","✅ OK",IF(H169&lt;5.5,"⚠️ pH baixo",IF(H169&gt;6.9,"⚠️ pH alto",IF(I169&gt;2.5,"⚠️ CE alta","✅ OK"))))))))</f>
        <v/>
      </c>
    </row>
    <row r="170" spans="1:12" ht="18" customHeight="1">
      <c r="A170" s="1"/>
      <c r="B170" s="59" t="str">
        <f>IF(165&lt;='🌱 Configuração'!$F$55,165,"")</f>
        <v/>
      </c>
      <c r="C170" s="60" t="str">
        <f>IF(165&lt;='🌱 Configuração'!$F$55,'🌱 Configuração'!$B$56+164,"")</f>
        <v/>
      </c>
      <c r="D170" s="59" t="str">
        <f>IF(165&gt;'🌱 Configuração'!$F$55,"",IF('🌱 Configuração'!$B$56+164&lt;'🌱 Configuração'!$C$56,"🌱 Clone",IF('🌱 Configuração'!$B$56+164&lt;'🌱 Configuração'!$D$56,"🌿 Vega",IF('🌱 Configuração'!$B$56+164&lt;'🌱 Configuração'!$E$56,"🌸 Flora","🚿 Flush"))))</f>
        <v/>
      </c>
      <c r="E170" s="59"/>
      <c r="F170" s="59"/>
      <c r="G170" s="59"/>
      <c r="H170" s="59"/>
      <c r="I170" s="59"/>
      <c r="J170" s="59"/>
      <c r="K170" s="59"/>
      <c r="L170" s="1" t="str">
        <f>IF(165&gt;'🌱 Configuração'!$F$55,"",IF(F170="","—",IF(F170&lt;22,"⚠️ Temp baixa",IF(F170&gt;29,"⚠️ Temp ALTA",IF(H170="","✅ OK",IF(H170&lt;5.5,"⚠️ pH baixo",IF(H170&gt;6.9,"⚠️ pH alto",IF(I170&gt;2.5,"⚠️ CE alta","✅ OK"))))))))</f>
        <v/>
      </c>
    </row>
    <row r="171" spans="1:12" ht="18" customHeight="1">
      <c r="A171" s="1"/>
      <c r="B171" s="61" t="str">
        <f>IF(166&lt;='🌱 Configuração'!$F$55,166,"")</f>
        <v/>
      </c>
      <c r="C171" s="62" t="str">
        <f>IF(166&lt;='🌱 Configuração'!$F$55,'🌱 Configuração'!$B$56+165,"")</f>
        <v/>
      </c>
      <c r="D171" s="61" t="str">
        <f>IF(166&gt;'🌱 Configuração'!$F$55,"",IF('🌱 Configuração'!$B$56+165&lt;'🌱 Configuração'!$C$56,"🌱 Clone",IF('🌱 Configuração'!$B$56+165&lt;'🌱 Configuração'!$D$56,"🌿 Vega",IF('🌱 Configuração'!$B$56+165&lt;'🌱 Configuração'!$E$56,"🌸 Flora","🚿 Flush"))))</f>
        <v/>
      </c>
      <c r="E171" s="61"/>
      <c r="F171" s="61"/>
      <c r="G171" s="61"/>
      <c r="H171" s="61"/>
      <c r="I171" s="61"/>
      <c r="J171" s="61"/>
      <c r="K171" s="61"/>
      <c r="L171" s="1" t="str">
        <f>IF(166&gt;'🌱 Configuração'!$F$55,"",IF(F171="","—",IF(F171&lt;22,"⚠️ Temp baixa",IF(F171&gt;29,"⚠️ Temp ALTA",IF(H171="","✅ OK",IF(H171&lt;5.5,"⚠️ pH baixo",IF(H171&gt;6.9,"⚠️ pH alto",IF(I171&gt;2.5,"⚠️ CE alta","✅ OK"))))))))</f>
        <v/>
      </c>
    </row>
    <row r="172" spans="1:12" ht="18" customHeight="1">
      <c r="A172" s="1"/>
      <c r="B172" s="59" t="str">
        <f>IF(167&lt;='🌱 Configuração'!$F$55,167,"")</f>
        <v/>
      </c>
      <c r="C172" s="60" t="str">
        <f>IF(167&lt;='🌱 Configuração'!$F$55,'🌱 Configuração'!$B$56+166,"")</f>
        <v/>
      </c>
      <c r="D172" s="59" t="str">
        <f>IF(167&gt;'🌱 Configuração'!$F$55,"",IF('🌱 Configuração'!$B$56+166&lt;'🌱 Configuração'!$C$56,"🌱 Clone",IF('🌱 Configuração'!$B$56+166&lt;'🌱 Configuração'!$D$56,"🌿 Vega",IF('🌱 Configuração'!$B$56+166&lt;'🌱 Configuração'!$E$56,"🌸 Flora","🚿 Flush"))))</f>
        <v/>
      </c>
      <c r="E172" s="59"/>
      <c r="F172" s="59"/>
      <c r="G172" s="59"/>
      <c r="H172" s="59"/>
      <c r="I172" s="59"/>
      <c r="J172" s="59"/>
      <c r="K172" s="59"/>
      <c r="L172" s="1" t="str">
        <f>IF(167&gt;'🌱 Configuração'!$F$55,"",IF(F172="","—",IF(F172&lt;22,"⚠️ Temp baixa",IF(F172&gt;29,"⚠️ Temp ALTA",IF(H172="","✅ OK",IF(H172&lt;5.5,"⚠️ pH baixo",IF(H172&gt;6.9,"⚠️ pH alto",IF(I172&gt;2.5,"⚠️ CE alta","✅ OK"))))))))</f>
        <v/>
      </c>
    </row>
    <row r="173" spans="1:12" ht="18" customHeight="1">
      <c r="A173" s="1"/>
      <c r="B173" s="61" t="str">
        <f>IF(168&lt;='🌱 Configuração'!$F$55,168,"")</f>
        <v/>
      </c>
      <c r="C173" s="62" t="str">
        <f>IF(168&lt;='🌱 Configuração'!$F$55,'🌱 Configuração'!$B$56+167,"")</f>
        <v/>
      </c>
      <c r="D173" s="61" t="str">
        <f>IF(168&gt;'🌱 Configuração'!$F$55,"",IF('🌱 Configuração'!$B$56+167&lt;'🌱 Configuração'!$C$56,"🌱 Clone",IF('🌱 Configuração'!$B$56+167&lt;'🌱 Configuração'!$D$56,"🌿 Vega",IF('🌱 Configuração'!$B$56+167&lt;'🌱 Configuração'!$E$56,"🌸 Flora","🚿 Flush"))))</f>
        <v/>
      </c>
      <c r="E173" s="61"/>
      <c r="F173" s="61"/>
      <c r="G173" s="61"/>
      <c r="H173" s="61"/>
      <c r="I173" s="61"/>
      <c r="J173" s="61"/>
      <c r="K173" s="61"/>
      <c r="L173" s="1" t="str">
        <f>IF(168&gt;'🌱 Configuração'!$F$55,"",IF(F173="","—",IF(F173&lt;22,"⚠️ Temp baixa",IF(F173&gt;29,"⚠️ Temp ALTA",IF(H173="","✅ OK",IF(H173&lt;5.5,"⚠️ pH baixo",IF(H173&gt;6.9,"⚠️ pH alto",IF(I173&gt;2.5,"⚠️ CE alta","✅ OK"))))))))</f>
        <v/>
      </c>
    </row>
    <row r="174" spans="1:12" ht="18" customHeight="1">
      <c r="A174" s="1"/>
      <c r="B174" s="59" t="str">
        <f>IF(169&lt;='🌱 Configuração'!$F$55,169,"")</f>
        <v/>
      </c>
      <c r="C174" s="60" t="str">
        <f>IF(169&lt;='🌱 Configuração'!$F$55,'🌱 Configuração'!$B$56+168,"")</f>
        <v/>
      </c>
      <c r="D174" s="59" t="str">
        <f>IF(169&gt;'🌱 Configuração'!$F$55,"",IF('🌱 Configuração'!$B$56+168&lt;'🌱 Configuração'!$C$56,"🌱 Clone",IF('🌱 Configuração'!$B$56+168&lt;'🌱 Configuração'!$D$56,"🌿 Vega",IF('🌱 Configuração'!$B$56+168&lt;'🌱 Configuração'!$E$56,"🌸 Flora","🚿 Flush"))))</f>
        <v/>
      </c>
      <c r="E174" s="59"/>
      <c r="F174" s="59"/>
      <c r="G174" s="59"/>
      <c r="H174" s="59"/>
      <c r="I174" s="59"/>
      <c r="J174" s="59"/>
      <c r="K174" s="59"/>
      <c r="L174" s="1" t="str">
        <f>IF(169&gt;'🌱 Configuração'!$F$55,"",IF(F174="","—",IF(F174&lt;22,"⚠️ Temp baixa",IF(F174&gt;29,"⚠️ Temp ALTA",IF(H174="","✅ OK",IF(H174&lt;5.5,"⚠️ pH baixo",IF(H174&gt;6.9,"⚠️ pH alto",IF(I174&gt;2.5,"⚠️ CE alta","✅ OK"))))))))</f>
        <v/>
      </c>
    </row>
    <row r="175" spans="1:12" ht="18" customHeight="1">
      <c r="A175" s="1"/>
      <c r="B175" s="61" t="str">
        <f>IF(170&lt;='🌱 Configuração'!$F$55,170,"")</f>
        <v/>
      </c>
      <c r="C175" s="62" t="str">
        <f>IF(170&lt;='🌱 Configuração'!$F$55,'🌱 Configuração'!$B$56+169,"")</f>
        <v/>
      </c>
      <c r="D175" s="61" t="str">
        <f>IF(170&gt;'🌱 Configuração'!$F$55,"",IF('🌱 Configuração'!$B$56+169&lt;'🌱 Configuração'!$C$56,"🌱 Clone",IF('🌱 Configuração'!$B$56+169&lt;'🌱 Configuração'!$D$56,"🌿 Vega",IF('🌱 Configuração'!$B$56+169&lt;'🌱 Configuração'!$E$56,"🌸 Flora","🚿 Flush"))))</f>
        <v/>
      </c>
      <c r="E175" s="61"/>
      <c r="F175" s="61"/>
      <c r="G175" s="61"/>
      <c r="H175" s="61"/>
      <c r="I175" s="61"/>
      <c r="J175" s="61"/>
      <c r="K175" s="61"/>
      <c r="L175" s="1" t="str">
        <f>IF(170&gt;'🌱 Configuração'!$F$55,"",IF(F175="","—",IF(F175&lt;22,"⚠️ Temp baixa",IF(F175&gt;29,"⚠️ Temp ALTA",IF(H175="","✅ OK",IF(H175&lt;5.5,"⚠️ pH baixo",IF(H175&gt;6.9,"⚠️ pH alto",IF(I175&gt;2.5,"⚠️ CE alta","✅ OK"))))))))</f>
        <v/>
      </c>
    </row>
    <row r="176" spans="1:12" ht="18" customHeight="1">
      <c r="A176" s="1"/>
      <c r="B176" s="59" t="str">
        <f>IF(171&lt;='🌱 Configuração'!$F$55,171,"")</f>
        <v/>
      </c>
      <c r="C176" s="60" t="str">
        <f>IF(171&lt;='🌱 Configuração'!$F$55,'🌱 Configuração'!$B$56+170,"")</f>
        <v/>
      </c>
      <c r="D176" s="59" t="str">
        <f>IF(171&gt;'🌱 Configuração'!$F$55,"",IF('🌱 Configuração'!$B$56+170&lt;'🌱 Configuração'!$C$56,"🌱 Clone",IF('🌱 Configuração'!$B$56+170&lt;'🌱 Configuração'!$D$56,"🌿 Vega",IF('🌱 Configuração'!$B$56+170&lt;'🌱 Configuração'!$E$56,"🌸 Flora","🚿 Flush"))))</f>
        <v/>
      </c>
      <c r="E176" s="59"/>
      <c r="F176" s="59"/>
      <c r="G176" s="59"/>
      <c r="H176" s="59"/>
      <c r="I176" s="59"/>
      <c r="J176" s="59"/>
      <c r="K176" s="59"/>
      <c r="L176" s="1" t="str">
        <f>IF(171&gt;'🌱 Configuração'!$F$55,"",IF(F176="","—",IF(F176&lt;22,"⚠️ Temp baixa",IF(F176&gt;29,"⚠️ Temp ALTA",IF(H176="","✅ OK",IF(H176&lt;5.5,"⚠️ pH baixo",IF(H176&gt;6.9,"⚠️ pH alto",IF(I176&gt;2.5,"⚠️ CE alta","✅ OK"))))))))</f>
        <v/>
      </c>
    </row>
    <row r="177" spans="1:12" ht="18" customHeight="1">
      <c r="A177" s="1"/>
      <c r="B177" s="61" t="str">
        <f>IF(172&lt;='🌱 Configuração'!$F$55,172,"")</f>
        <v/>
      </c>
      <c r="C177" s="62" t="str">
        <f>IF(172&lt;='🌱 Configuração'!$F$55,'🌱 Configuração'!$B$56+171,"")</f>
        <v/>
      </c>
      <c r="D177" s="61" t="str">
        <f>IF(172&gt;'🌱 Configuração'!$F$55,"",IF('🌱 Configuração'!$B$56+171&lt;'🌱 Configuração'!$C$56,"🌱 Clone",IF('🌱 Configuração'!$B$56+171&lt;'🌱 Configuração'!$D$56,"🌿 Vega",IF('🌱 Configuração'!$B$56+171&lt;'🌱 Configuração'!$E$56,"🌸 Flora","🚿 Flush"))))</f>
        <v/>
      </c>
      <c r="E177" s="61"/>
      <c r="F177" s="61"/>
      <c r="G177" s="61"/>
      <c r="H177" s="61"/>
      <c r="I177" s="61"/>
      <c r="J177" s="61"/>
      <c r="K177" s="61"/>
      <c r="L177" s="1" t="str">
        <f>IF(172&gt;'🌱 Configuração'!$F$55,"",IF(F177="","—",IF(F177&lt;22,"⚠️ Temp baixa",IF(F177&gt;29,"⚠️ Temp ALTA",IF(H177="","✅ OK",IF(H177&lt;5.5,"⚠️ pH baixo",IF(H177&gt;6.9,"⚠️ pH alto",IF(I177&gt;2.5,"⚠️ CE alta","✅ OK"))))))))</f>
        <v/>
      </c>
    </row>
    <row r="178" spans="1:12" ht="18" customHeight="1">
      <c r="A178" s="1"/>
      <c r="B178" s="59" t="str">
        <f>IF(173&lt;='🌱 Configuração'!$F$55,173,"")</f>
        <v/>
      </c>
      <c r="C178" s="60" t="str">
        <f>IF(173&lt;='🌱 Configuração'!$F$55,'🌱 Configuração'!$B$56+172,"")</f>
        <v/>
      </c>
      <c r="D178" s="59" t="str">
        <f>IF(173&gt;'🌱 Configuração'!$F$55,"",IF('🌱 Configuração'!$B$56+172&lt;'🌱 Configuração'!$C$56,"🌱 Clone",IF('🌱 Configuração'!$B$56+172&lt;'🌱 Configuração'!$D$56,"🌿 Vega",IF('🌱 Configuração'!$B$56+172&lt;'🌱 Configuração'!$E$56,"🌸 Flora","🚿 Flush"))))</f>
        <v/>
      </c>
      <c r="E178" s="59"/>
      <c r="F178" s="59"/>
      <c r="G178" s="59"/>
      <c r="H178" s="59"/>
      <c r="I178" s="59"/>
      <c r="J178" s="59"/>
      <c r="K178" s="59"/>
      <c r="L178" s="1" t="str">
        <f>IF(173&gt;'🌱 Configuração'!$F$55,"",IF(F178="","—",IF(F178&lt;22,"⚠️ Temp baixa",IF(F178&gt;29,"⚠️ Temp ALTA",IF(H178="","✅ OK",IF(H178&lt;5.5,"⚠️ pH baixo",IF(H178&gt;6.9,"⚠️ pH alto",IF(I178&gt;2.5,"⚠️ CE alta","✅ OK"))))))))</f>
        <v/>
      </c>
    </row>
    <row r="179" spans="1:12" ht="18" customHeight="1">
      <c r="A179" s="1"/>
      <c r="B179" s="61" t="str">
        <f>IF(174&lt;='🌱 Configuração'!$F$55,174,"")</f>
        <v/>
      </c>
      <c r="C179" s="62" t="str">
        <f>IF(174&lt;='🌱 Configuração'!$F$55,'🌱 Configuração'!$B$56+173,"")</f>
        <v/>
      </c>
      <c r="D179" s="61" t="str">
        <f>IF(174&gt;'🌱 Configuração'!$F$55,"",IF('🌱 Configuração'!$B$56+173&lt;'🌱 Configuração'!$C$56,"🌱 Clone",IF('🌱 Configuração'!$B$56+173&lt;'🌱 Configuração'!$D$56,"🌿 Vega",IF('🌱 Configuração'!$B$56+173&lt;'🌱 Configuração'!$E$56,"🌸 Flora","🚿 Flush"))))</f>
        <v/>
      </c>
      <c r="E179" s="61"/>
      <c r="F179" s="61"/>
      <c r="G179" s="61"/>
      <c r="H179" s="61"/>
      <c r="I179" s="61"/>
      <c r="J179" s="61"/>
      <c r="K179" s="61"/>
      <c r="L179" s="1" t="str">
        <f>IF(174&gt;'🌱 Configuração'!$F$55,"",IF(F179="","—",IF(F179&lt;22,"⚠️ Temp baixa",IF(F179&gt;29,"⚠️ Temp ALTA",IF(H179="","✅ OK",IF(H179&lt;5.5,"⚠️ pH baixo",IF(H179&gt;6.9,"⚠️ pH alto",IF(I179&gt;2.5,"⚠️ CE alta","✅ OK"))))))))</f>
        <v/>
      </c>
    </row>
    <row r="180" spans="1:12" ht="18" customHeight="1">
      <c r="A180" s="1"/>
      <c r="B180" s="59" t="str">
        <f>IF(175&lt;='🌱 Configuração'!$F$55,175,"")</f>
        <v/>
      </c>
      <c r="C180" s="60" t="str">
        <f>IF(175&lt;='🌱 Configuração'!$F$55,'🌱 Configuração'!$B$56+174,"")</f>
        <v/>
      </c>
      <c r="D180" s="59" t="str">
        <f>IF(175&gt;'🌱 Configuração'!$F$55,"",IF('🌱 Configuração'!$B$56+174&lt;'🌱 Configuração'!$C$56,"🌱 Clone",IF('🌱 Configuração'!$B$56+174&lt;'🌱 Configuração'!$D$56,"🌿 Vega",IF('🌱 Configuração'!$B$56+174&lt;'🌱 Configuração'!$E$56,"🌸 Flora","🚿 Flush"))))</f>
        <v/>
      </c>
      <c r="E180" s="59"/>
      <c r="F180" s="59"/>
      <c r="G180" s="59"/>
      <c r="H180" s="59"/>
      <c r="I180" s="59"/>
      <c r="J180" s="59"/>
      <c r="K180" s="59"/>
      <c r="L180" s="1" t="str">
        <f>IF(175&gt;'🌱 Configuração'!$F$55,"",IF(F180="","—",IF(F180&lt;22,"⚠️ Temp baixa",IF(F180&gt;29,"⚠️ Temp ALTA",IF(H180="","✅ OK",IF(H180&lt;5.5,"⚠️ pH baixo",IF(H180&gt;6.9,"⚠️ pH alto",IF(I180&gt;2.5,"⚠️ CE alta","✅ OK"))))))))</f>
        <v/>
      </c>
    </row>
    <row r="181" spans="1:12" ht="18" customHeight="1">
      <c r="A181" s="1"/>
      <c r="B181" s="61" t="str">
        <f>IF(176&lt;='🌱 Configuração'!$F$55,176,"")</f>
        <v/>
      </c>
      <c r="C181" s="62" t="str">
        <f>IF(176&lt;='🌱 Configuração'!$F$55,'🌱 Configuração'!$B$56+175,"")</f>
        <v/>
      </c>
      <c r="D181" s="61" t="str">
        <f>IF(176&gt;'🌱 Configuração'!$F$55,"",IF('🌱 Configuração'!$B$56+175&lt;'🌱 Configuração'!$C$56,"🌱 Clone",IF('🌱 Configuração'!$B$56+175&lt;'🌱 Configuração'!$D$56,"🌿 Vega",IF('🌱 Configuração'!$B$56+175&lt;'🌱 Configuração'!$E$56,"🌸 Flora","🚿 Flush"))))</f>
        <v/>
      </c>
      <c r="E181" s="61"/>
      <c r="F181" s="61"/>
      <c r="G181" s="61"/>
      <c r="H181" s="61"/>
      <c r="I181" s="61"/>
      <c r="J181" s="61"/>
      <c r="K181" s="61"/>
      <c r="L181" s="1" t="str">
        <f>IF(176&gt;'🌱 Configuração'!$F$55,"",IF(F181="","—",IF(F181&lt;22,"⚠️ Temp baixa",IF(F181&gt;29,"⚠️ Temp ALTA",IF(H181="","✅ OK",IF(H181&lt;5.5,"⚠️ pH baixo",IF(H181&gt;6.9,"⚠️ pH alto",IF(I181&gt;2.5,"⚠️ CE alta","✅ OK"))))))))</f>
        <v/>
      </c>
    </row>
    <row r="182" spans="1:12" ht="18" customHeight="1">
      <c r="A182" s="1"/>
      <c r="B182" s="59" t="str">
        <f>IF(177&lt;='🌱 Configuração'!$F$55,177,"")</f>
        <v/>
      </c>
      <c r="C182" s="60" t="str">
        <f>IF(177&lt;='🌱 Configuração'!$F$55,'🌱 Configuração'!$B$56+176,"")</f>
        <v/>
      </c>
      <c r="D182" s="59" t="str">
        <f>IF(177&gt;'🌱 Configuração'!$F$55,"",IF('🌱 Configuração'!$B$56+176&lt;'🌱 Configuração'!$C$56,"🌱 Clone",IF('🌱 Configuração'!$B$56+176&lt;'🌱 Configuração'!$D$56,"🌿 Vega",IF('🌱 Configuração'!$B$56+176&lt;'🌱 Configuração'!$E$56,"🌸 Flora","🚿 Flush"))))</f>
        <v/>
      </c>
      <c r="E182" s="59"/>
      <c r="F182" s="59"/>
      <c r="G182" s="59"/>
      <c r="H182" s="59"/>
      <c r="I182" s="59"/>
      <c r="J182" s="59"/>
      <c r="K182" s="59"/>
      <c r="L182" s="1" t="str">
        <f>IF(177&gt;'🌱 Configuração'!$F$55,"",IF(F182="","—",IF(F182&lt;22,"⚠️ Temp baixa",IF(F182&gt;29,"⚠️ Temp ALTA",IF(H182="","✅ OK",IF(H182&lt;5.5,"⚠️ pH baixo",IF(H182&gt;6.9,"⚠️ pH alto",IF(I182&gt;2.5,"⚠️ CE alta","✅ OK"))))))))</f>
        <v/>
      </c>
    </row>
    <row r="183" spans="1:12" ht="18" customHeight="1">
      <c r="A183" s="1"/>
      <c r="B183" s="61" t="str">
        <f>IF(178&lt;='🌱 Configuração'!$F$55,178,"")</f>
        <v/>
      </c>
      <c r="C183" s="62" t="str">
        <f>IF(178&lt;='🌱 Configuração'!$F$55,'🌱 Configuração'!$B$56+177,"")</f>
        <v/>
      </c>
      <c r="D183" s="61" t="str">
        <f>IF(178&gt;'🌱 Configuração'!$F$55,"",IF('🌱 Configuração'!$B$56+177&lt;'🌱 Configuração'!$C$56,"🌱 Clone",IF('🌱 Configuração'!$B$56+177&lt;'🌱 Configuração'!$D$56,"🌿 Vega",IF('🌱 Configuração'!$B$56+177&lt;'🌱 Configuração'!$E$56,"🌸 Flora","🚿 Flush"))))</f>
        <v/>
      </c>
      <c r="E183" s="61"/>
      <c r="F183" s="61"/>
      <c r="G183" s="61"/>
      <c r="H183" s="61"/>
      <c r="I183" s="61"/>
      <c r="J183" s="61"/>
      <c r="K183" s="61"/>
      <c r="L183" s="1" t="str">
        <f>IF(178&gt;'🌱 Configuração'!$F$55,"",IF(F183="","—",IF(F183&lt;22,"⚠️ Temp baixa",IF(F183&gt;29,"⚠️ Temp ALTA",IF(H183="","✅ OK",IF(H183&lt;5.5,"⚠️ pH baixo",IF(H183&gt;6.9,"⚠️ pH alto",IF(I183&gt;2.5,"⚠️ CE alta","✅ OK"))))))))</f>
        <v/>
      </c>
    </row>
    <row r="184" spans="1:12" ht="18" customHeight="1">
      <c r="A184" s="1"/>
      <c r="B184" s="59" t="str">
        <f>IF(179&lt;='🌱 Configuração'!$F$55,179,"")</f>
        <v/>
      </c>
      <c r="C184" s="60" t="str">
        <f>IF(179&lt;='🌱 Configuração'!$F$55,'🌱 Configuração'!$B$56+178,"")</f>
        <v/>
      </c>
      <c r="D184" s="59" t="str">
        <f>IF(179&gt;'🌱 Configuração'!$F$55,"",IF('🌱 Configuração'!$B$56+178&lt;'🌱 Configuração'!$C$56,"🌱 Clone",IF('🌱 Configuração'!$B$56+178&lt;'🌱 Configuração'!$D$56,"🌿 Vega",IF('🌱 Configuração'!$B$56+178&lt;'🌱 Configuração'!$E$56,"🌸 Flora","🚿 Flush"))))</f>
        <v/>
      </c>
      <c r="E184" s="59"/>
      <c r="F184" s="59"/>
      <c r="G184" s="59"/>
      <c r="H184" s="59"/>
      <c r="I184" s="59"/>
      <c r="J184" s="59"/>
      <c r="K184" s="59"/>
      <c r="L184" s="1" t="str">
        <f>IF(179&gt;'🌱 Configuração'!$F$55,"",IF(F184="","—",IF(F184&lt;22,"⚠️ Temp baixa",IF(F184&gt;29,"⚠️ Temp ALTA",IF(H184="","✅ OK",IF(H184&lt;5.5,"⚠️ pH baixo",IF(H184&gt;6.9,"⚠️ pH alto",IF(I184&gt;2.5,"⚠️ CE alta","✅ OK"))))))))</f>
        <v/>
      </c>
    </row>
    <row r="185" spans="1:12" ht="18" customHeight="1">
      <c r="A185" s="1"/>
      <c r="B185" s="61" t="str">
        <f>IF(180&lt;='🌱 Configuração'!$F$55,180,"")</f>
        <v/>
      </c>
      <c r="C185" s="62" t="str">
        <f>IF(180&lt;='🌱 Configuração'!$F$55,'🌱 Configuração'!$B$56+179,"")</f>
        <v/>
      </c>
      <c r="D185" s="61" t="str">
        <f>IF(180&gt;'🌱 Configuração'!$F$55,"",IF('🌱 Configuração'!$B$56+179&lt;'🌱 Configuração'!$C$56,"🌱 Clone",IF('🌱 Configuração'!$B$56+179&lt;'🌱 Configuração'!$D$56,"🌿 Vega",IF('🌱 Configuração'!$B$56+179&lt;'🌱 Configuração'!$E$56,"🌸 Flora","🚿 Flush"))))</f>
        <v/>
      </c>
      <c r="E185" s="61"/>
      <c r="F185" s="61"/>
      <c r="G185" s="61"/>
      <c r="H185" s="61"/>
      <c r="I185" s="61"/>
      <c r="J185" s="61"/>
      <c r="K185" s="61"/>
      <c r="L185" s="1" t="str">
        <f>IF(180&gt;'🌱 Configuração'!$F$55,"",IF(F185="","—",IF(F185&lt;22,"⚠️ Temp baixa",IF(F185&gt;29,"⚠️ Temp ALTA",IF(H185="","✅ OK",IF(H185&lt;5.5,"⚠️ pH baixo",IF(H185&gt;6.9,"⚠️ pH alto",IF(I185&gt;2.5,"⚠️ CE alta","✅ OK"))))))))</f>
        <v/>
      </c>
    </row>
    <row r="186" spans="1:12" ht="18" customHeight="1">
      <c r="A186" s="1"/>
      <c r="B186" s="59" t="str">
        <f>IF(181&lt;='🌱 Configuração'!$F$55,181,"")</f>
        <v/>
      </c>
      <c r="C186" s="60" t="str">
        <f>IF(181&lt;='🌱 Configuração'!$F$55,'🌱 Configuração'!$B$56+180,"")</f>
        <v/>
      </c>
      <c r="D186" s="59" t="str">
        <f>IF(181&gt;'🌱 Configuração'!$F$55,"",IF('🌱 Configuração'!$B$56+180&lt;'🌱 Configuração'!$C$56,"🌱 Clone",IF('🌱 Configuração'!$B$56+180&lt;'🌱 Configuração'!$D$56,"🌿 Vega",IF('🌱 Configuração'!$B$56+180&lt;'🌱 Configuração'!$E$56,"🌸 Flora","🚿 Flush"))))</f>
        <v/>
      </c>
      <c r="E186" s="59"/>
      <c r="F186" s="59"/>
      <c r="G186" s="59"/>
      <c r="H186" s="59"/>
      <c r="I186" s="59"/>
      <c r="J186" s="59"/>
      <c r="K186" s="59"/>
      <c r="L186" s="1" t="str">
        <f>IF(181&gt;'🌱 Configuração'!$F$55,"",IF(F186="","—",IF(F186&lt;22,"⚠️ Temp baixa",IF(F186&gt;29,"⚠️ Temp ALTA",IF(H186="","✅ OK",IF(H186&lt;5.5,"⚠️ pH baixo",IF(H186&gt;6.9,"⚠️ pH alto",IF(I186&gt;2.5,"⚠️ CE alta","✅ OK"))))))))</f>
        <v/>
      </c>
    </row>
    <row r="187" spans="1:12" ht="18" customHeight="1">
      <c r="A187" s="1"/>
      <c r="B187" s="61" t="str">
        <f>IF(182&lt;='🌱 Configuração'!$F$55,182,"")</f>
        <v/>
      </c>
      <c r="C187" s="62" t="str">
        <f>IF(182&lt;='🌱 Configuração'!$F$55,'🌱 Configuração'!$B$56+181,"")</f>
        <v/>
      </c>
      <c r="D187" s="61" t="str">
        <f>IF(182&gt;'🌱 Configuração'!$F$55,"",IF('🌱 Configuração'!$B$56+181&lt;'🌱 Configuração'!$C$56,"🌱 Clone",IF('🌱 Configuração'!$B$56+181&lt;'🌱 Configuração'!$D$56,"🌿 Vega",IF('🌱 Configuração'!$B$56+181&lt;'🌱 Configuração'!$E$56,"🌸 Flora","🚿 Flush"))))</f>
        <v/>
      </c>
      <c r="E187" s="61"/>
      <c r="F187" s="61"/>
      <c r="G187" s="61"/>
      <c r="H187" s="61"/>
      <c r="I187" s="61"/>
      <c r="J187" s="61"/>
      <c r="K187" s="61"/>
      <c r="L187" s="1" t="str">
        <f>IF(182&gt;'🌱 Configuração'!$F$55,"",IF(F187="","—",IF(F187&lt;22,"⚠️ Temp baixa",IF(F187&gt;29,"⚠️ Temp ALTA",IF(H187="","✅ OK",IF(H187&lt;5.5,"⚠️ pH baixo",IF(H187&gt;6.9,"⚠️ pH alto",IF(I187&gt;2.5,"⚠️ CE alta","✅ OK"))))))))</f>
        <v/>
      </c>
    </row>
    <row r="188" spans="1:12" ht="18" customHeight="1">
      <c r="A188" s="1"/>
      <c r="B188" s="59" t="str">
        <f>IF(183&lt;='🌱 Configuração'!$F$55,183,"")</f>
        <v/>
      </c>
      <c r="C188" s="60" t="str">
        <f>IF(183&lt;='🌱 Configuração'!$F$55,'🌱 Configuração'!$B$56+182,"")</f>
        <v/>
      </c>
      <c r="D188" s="59" t="str">
        <f>IF(183&gt;'🌱 Configuração'!$F$55,"",IF('🌱 Configuração'!$B$56+182&lt;'🌱 Configuração'!$C$56,"🌱 Clone",IF('🌱 Configuração'!$B$56+182&lt;'🌱 Configuração'!$D$56,"🌿 Vega",IF('🌱 Configuração'!$B$56+182&lt;'🌱 Configuração'!$E$56,"🌸 Flora","🚿 Flush"))))</f>
        <v/>
      </c>
      <c r="E188" s="59"/>
      <c r="F188" s="59"/>
      <c r="G188" s="59"/>
      <c r="H188" s="59"/>
      <c r="I188" s="59"/>
      <c r="J188" s="59"/>
      <c r="K188" s="59"/>
      <c r="L188" s="1" t="str">
        <f>IF(183&gt;'🌱 Configuração'!$F$55,"",IF(F188="","—",IF(F188&lt;22,"⚠️ Temp baixa",IF(F188&gt;29,"⚠️ Temp ALTA",IF(H188="","✅ OK",IF(H188&lt;5.5,"⚠️ pH baixo",IF(H188&gt;6.9,"⚠️ pH alto",IF(I188&gt;2.5,"⚠️ CE alta","✅ OK"))))))))</f>
        <v/>
      </c>
    </row>
    <row r="189" spans="1:12" ht="18" customHeight="1">
      <c r="A189" s="1"/>
      <c r="B189" s="61" t="str">
        <f>IF(184&lt;='🌱 Configuração'!$F$55,184,"")</f>
        <v/>
      </c>
      <c r="C189" s="62" t="str">
        <f>IF(184&lt;='🌱 Configuração'!$F$55,'🌱 Configuração'!$B$56+183,"")</f>
        <v/>
      </c>
      <c r="D189" s="61" t="str">
        <f>IF(184&gt;'🌱 Configuração'!$F$55,"",IF('🌱 Configuração'!$B$56+183&lt;'🌱 Configuração'!$C$56,"🌱 Clone",IF('🌱 Configuração'!$B$56+183&lt;'🌱 Configuração'!$D$56,"🌿 Vega",IF('🌱 Configuração'!$B$56+183&lt;'🌱 Configuração'!$E$56,"🌸 Flora","🚿 Flush"))))</f>
        <v/>
      </c>
      <c r="E189" s="61"/>
      <c r="F189" s="61"/>
      <c r="G189" s="61"/>
      <c r="H189" s="61"/>
      <c r="I189" s="61"/>
      <c r="J189" s="61"/>
      <c r="K189" s="61"/>
      <c r="L189" s="1" t="str">
        <f>IF(184&gt;'🌱 Configuração'!$F$55,"",IF(F189="","—",IF(F189&lt;22,"⚠️ Temp baixa",IF(F189&gt;29,"⚠️ Temp ALTA",IF(H189="","✅ OK",IF(H189&lt;5.5,"⚠️ pH baixo",IF(H189&gt;6.9,"⚠️ pH alto",IF(I189&gt;2.5,"⚠️ CE alta","✅ OK"))))))))</f>
        <v/>
      </c>
    </row>
    <row r="190" spans="1:12" ht="18" customHeight="1">
      <c r="A190" s="1"/>
      <c r="B190" s="59" t="str">
        <f>IF(185&lt;='🌱 Configuração'!$F$55,185,"")</f>
        <v/>
      </c>
      <c r="C190" s="60" t="str">
        <f>IF(185&lt;='🌱 Configuração'!$F$55,'🌱 Configuração'!$B$56+184,"")</f>
        <v/>
      </c>
      <c r="D190" s="59" t="str">
        <f>IF(185&gt;'🌱 Configuração'!$F$55,"",IF('🌱 Configuração'!$B$56+184&lt;'🌱 Configuração'!$C$56,"🌱 Clone",IF('🌱 Configuração'!$B$56+184&lt;'🌱 Configuração'!$D$56,"🌿 Vega",IF('🌱 Configuração'!$B$56+184&lt;'🌱 Configuração'!$E$56,"🌸 Flora","🚿 Flush"))))</f>
        <v/>
      </c>
      <c r="E190" s="59"/>
      <c r="F190" s="59"/>
      <c r="G190" s="59"/>
      <c r="H190" s="59"/>
      <c r="I190" s="59"/>
      <c r="J190" s="59"/>
      <c r="K190" s="59"/>
      <c r="L190" s="1" t="str">
        <f>IF(185&gt;'🌱 Configuração'!$F$55,"",IF(F190="","—",IF(F190&lt;22,"⚠️ Temp baixa",IF(F190&gt;29,"⚠️ Temp ALTA",IF(H190="","✅ OK",IF(H190&lt;5.5,"⚠️ pH baixo",IF(H190&gt;6.9,"⚠️ pH alto",IF(I190&gt;2.5,"⚠️ CE alta","✅ OK"))))))))</f>
        <v/>
      </c>
    </row>
    <row r="191" spans="1:12" ht="18" customHeight="1">
      <c r="A191" s="1"/>
      <c r="B191" s="61" t="str">
        <f>IF(186&lt;='🌱 Configuração'!$F$55,186,"")</f>
        <v/>
      </c>
      <c r="C191" s="62" t="str">
        <f>IF(186&lt;='🌱 Configuração'!$F$55,'🌱 Configuração'!$B$56+185,"")</f>
        <v/>
      </c>
      <c r="D191" s="61" t="str">
        <f>IF(186&gt;'🌱 Configuração'!$F$55,"",IF('🌱 Configuração'!$B$56+185&lt;'🌱 Configuração'!$C$56,"🌱 Clone",IF('🌱 Configuração'!$B$56+185&lt;'🌱 Configuração'!$D$56,"🌿 Vega",IF('🌱 Configuração'!$B$56+185&lt;'🌱 Configuração'!$E$56,"🌸 Flora","🚿 Flush"))))</f>
        <v/>
      </c>
      <c r="E191" s="61"/>
      <c r="F191" s="61"/>
      <c r="G191" s="61"/>
      <c r="H191" s="61"/>
      <c r="I191" s="61"/>
      <c r="J191" s="61"/>
      <c r="K191" s="61"/>
      <c r="L191" s="1" t="str">
        <f>IF(186&gt;'🌱 Configuração'!$F$55,"",IF(F191="","—",IF(F191&lt;22,"⚠️ Temp baixa",IF(F191&gt;29,"⚠️ Temp ALTA",IF(H191="","✅ OK",IF(H191&lt;5.5,"⚠️ pH baixo",IF(H191&gt;6.9,"⚠️ pH alto",IF(I191&gt;2.5,"⚠️ CE alta","✅ OK"))))))))</f>
        <v/>
      </c>
    </row>
    <row r="192" spans="1:12" ht="18" customHeight="1">
      <c r="A192" s="1"/>
      <c r="B192" s="59" t="str">
        <f>IF(187&lt;='🌱 Configuração'!$F$55,187,"")</f>
        <v/>
      </c>
      <c r="C192" s="60" t="str">
        <f>IF(187&lt;='🌱 Configuração'!$F$55,'🌱 Configuração'!$B$56+186,"")</f>
        <v/>
      </c>
      <c r="D192" s="59" t="str">
        <f>IF(187&gt;'🌱 Configuração'!$F$55,"",IF('🌱 Configuração'!$B$56+186&lt;'🌱 Configuração'!$C$56,"🌱 Clone",IF('🌱 Configuração'!$B$56+186&lt;'🌱 Configuração'!$D$56,"🌿 Vega",IF('🌱 Configuração'!$B$56+186&lt;'🌱 Configuração'!$E$56,"🌸 Flora","🚿 Flush"))))</f>
        <v/>
      </c>
      <c r="E192" s="59"/>
      <c r="F192" s="59"/>
      <c r="G192" s="59"/>
      <c r="H192" s="59"/>
      <c r="I192" s="59"/>
      <c r="J192" s="59"/>
      <c r="K192" s="59"/>
      <c r="L192" s="1" t="str">
        <f>IF(187&gt;'🌱 Configuração'!$F$55,"",IF(F192="","—",IF(F192&lt;22,"⚠️ Temp baixa",IF(F192&gt;29,"⚠️ Temp ALTA",IF(H192="","✅ OK",IF(H192&lt;5.5,"⚠️ pH baixo",IF(H192&gt;6.9,"⚠️ pH alto",IF(I192&gt;2.5,"⚠️ CE alta","✅ OK"))))))))</f>
        <v/>
      </c>
    </row>
    <row r="193" spans="1:12" ht="18" customHeight="1">
      <c r="A193" s="1"/>
      <c r="B193" s="61" t="str">
        <f>IF(188&lt;='🌱 Configuração'!$F$55,188,"")</f>
        <v/>
      </c>
      <c r="C193" s="62" t="str">
        <f>IF(188&lt;='🌱 Configuração'!$F$55,'🌱 Configuração'!$B$56+187,"")</f>
        <v/>
      </c>
      <c r="D193" s="61" t="str">
        <f>IF(188&gt;'🌱 Configuração'!$F$55,"",IF('🌱 Configuração'!$B$56+187&lt;'🌱 Configuração'!$C$56,"🌱 Clone",IF('🌱 Configuração'!$B$56+187&lt;'🌱 Configuração'!$D$56,"🌿 Vega",IF('🌱 Configuração'!$B$56+187&lt;'🌱 Configuração'!$E$56,"🌸 Flora","🚿 Flush"))))</f>
        <v/>
      </c>
      <c r="E193" s="61"/>
      <c r="F193" s="61"/>
      <c r="G193" s="61"/>
      <c r="H193" s="61"/>
      <c r="I193" s="61"/>
      <c r="J193" s="61"/>
      <c r="K193" s="61"/>
      <c r="L193" s="1" t="str">
        <f>IF(188&gt;'🌱 Configuração'!$F$55,"",IF(F193="","—",IF(F193&lt;22,"⚠️ Temp baixa",IF(F193&gt;29,"⚠️ Temp ALTA",IF(H193="","✅ OK",IF(H193&lt;5.5,"⚠️ pH baixo",IF(H193&gt;6.9,"⚠️ pH alto",IF(I193&gt;2.5,"⚠️ CE alta","✅ OK"))))))))</f>
        <v/>
      </c>
    </row>
    <row r="194" spans="1:12" ht="18" customHeight="1">
      <c r="A194" s="1"/>
      <c r="B194" s="59" t="str">
        <f>IF(189&lt;='🌱 Configuração'!$F$55,189,"")</f>
        <v/>
      </c>
      <c r="C194" s="60" t="str">
        <f>IF(189&lt;='🌱 Configuração'!$F$55,'🌱 Configuração'!$B$56+188,"")</f>
        <v/>
      </c>
      <c r="D194" s="59" t="str">
        <f>IF(189&gt;'🌱 Configuração'!$F$55,"",IF('🌱 Configuração'!$B$56+188&lt;'🌱 Configuração'!$C$56,"🌱 Clone",IF('🌱 Configuração'!$B$56+188&lt;'🌱 Configuração'!$D$56,"🌿 Vega",IF('🌱 Configuração'!$B$56+188&lt;'🌱 Configuração'!$E$56,"🌸 Flora","🚿 Flush"))))</f>
        <v/>
      </c>
      <c r="E194" s="59"/>
      <c r="F194" s="59"/>
      <c r="G194" s="59"/>
      <c r="H194" s="59"/>
      <c r="I194" s="59"/>
      <c r="J194" s="59"/>
      <c r="K194" s="59"/>
      <c r="L194" s="1" t="str">
        <f>IF(189&gt;'🌱 Configuração'!$F$55,"",IF(F194="","—",IF(F194&lt;22,"⚠️ Temp baixa",IF(F194&gt;29,"⚠️ Temp ALTA",IF(H194="","✅ OK",IF(H194&lt;5.5,"⚠️ pH baixo",IF(H194&gt;6.9,"⚠️ pH alto",IF(I194&gt;2.5,"⚠️ CE alta","✅ OK"))))))))</f>
        <v/>
      </c>
    </row>
    <row r="195" spans="1:12" ht="18" customHeight="1">
      <c r="A195" s="1"/>
      <c r="B195" s="61" t="str">
        <f>IF(190&lt;='🌱 Configuração'!$F$55,190,"")</f>
        <v/>
      </c>
      <c r="C195" s="62" t="str">
        <f>IF(190&lt;='🌱 Configuração'!$F$55,'🌱 Configuração'!$B$56+189,"")</f>
        <v/>
      </c>
      <c r="D195" s="61" t="str">
        <f>IF(190&gt;'🌱 Configuração'!$F$55,"",IF('🌱 Configuração'!$B$56+189&lt;'🌱 Configuração'!$C$56,"🌱 Clone",IF('🌱 Configuração'!$B$56+189&lt;'🌱 Configuração'!$D$56,"🌿 Vega",IF('🌱 Configuração'!$B$56+189&lt;'🌱 Configuração'!$E$56,"🌸 Flora","🚿 Flush"))))</f>
        <v/>
      </c>
      <c r="E195" s="61"/>
      <c r="F195" s="61"/>
      <c r="G195" s="61"/>
      <c r="H195" s="61"/>
      <c r="I195" s="61"/>
      <c r="J195" s="61"/>
      <c r="K195" s="61"/>
      <c r="L195" s="1" t="str">
        <f>IF(190&gt;'🌱 Configuração'!$F$55,"",IF(F195="","—",IF(F195&lt;22,"⚠️ Temp baixa",IF(F195&gt;29,"⚠️ Temp ALTA",IF(H195="","✅ OK",IF(H195&lt;5.5,"⚠️ pH baixo",IF(H195&gt;6.9,"⚠️ pH alto",IF(I195&gt;2.5,"⚠️ CE alta","✅ OK"))))))))</f>
        <v/>
      </c>
    </row>
    <row r="196" spans="1:12" ht="18" customHeight="1">
      <c r="A196" s="1"/>
      <c r="B196" s="59" t="str">
        <f>IF(191&lt;='🌱 Configuração'!$F$55,191,"")</f>
        <v/>
      </c>
      <c r="C196" s="60" t="str">
        <f>IF(191&lt;='🌱 Configuração'!$F$55,'🌱 Configuração'!$B$56+190,"")</f>
        <v/>
      </c>
      <c r="D196" s="59" t="str">
        <f>IF(191&gt;'🌱 Configuração'!$F$55,"",IF('🌱 Configuração'!$B$56+190&lt;'🌱 Configuração'!$C$56,"🌱 Clone",IF('🌱 Configuração'!$B$56+190&lt;'🌱 Configuração'!$D$56,"🌿 Vega",IF('🌱 Configuração'!$B$56+190&lt;'🌱 Configuração'!$E$56,"🌸 Flora","🚿 Flush"))))</f>
        <v/>
      </c>
      <c r="E196" s="59"/>
      <c r="F196" s="59"/>
      <c r="G196" s="59"/>
      <c r="H196" s="59"/>
      <c r="I196" s="59"/>
      <c r="J196" s="59"/>
      <c r="K196" s="59"/>
      <c r="L196" s="1" t="str">
        <f>IF(191&gt;'🌱 Configuração'!$F$55,"",IF(F196="","—",IF(F196&lt;22,"⚠️ Temp baixa",IF(F196&gt;29,"⚠️ Temp ALTA",IF(H196="","✅ OK",IF(H196&lt;5.5,"⚠️ pH baixo",IF(H196&gt;6.9,"⚠️ pH alto",IF(I196&gt;2.5,"⚠️ CE alta","✅ OK"))))))))</f>
        <v/>
      </c>
    </row>
    <row r="197" spans="1:12" ht="18" customHeight="1">
      <c r="A197" s="1"/>
      <c r="B197" s="61" t="str">
        <f>IF(192&lt;='🌱 Configuração'!$F$55,192,"")</f>
        <v/>
      </c>
      <c r="C197" s="62" t="str">
        <f>IF(192&lt;='🌱 Configuração'!$F$55,'🌱 Configuração'!$B$56+191,"")</f>
        <v/>
      </c>
      <c r="D197" s="61" t="str">
        <f>IF(192&gt;'🌱 Configuração'!$F$55,"",IF('🌱 Configuração'!$B$56+191&lt;'🌱 Configuração'!$C$56,"🌱 Clone",IF('🌱 Configuração'!$B$56+191&lt;'🌱 Configuração'!$D$56,"🌿 Vega",IF('🌱 Configuração'!$B$56+191&lt;'🌱 Configuração'!$E$56,"🌸 Flora","🚿 Flush"))))</f>
        <v/>
      </c>
      <c r="E197" s="61"/>
      <c r="F197" s="61"/>
      <c r="G197" s="61"/>
      <c r="H197" s="61"/>
      <c r="I197" s="61"/>
      <c r="J197" s="61"/>
      <c r="K197" s="61"/>
      <c r="L197" s="1" t="str">
        <f>IF(192&gt;'🌱 Configuração'!$F$55,"",IF(F197="","—",IF(F197&lt;22,"⚠️ Temp baixa",IF(F197&gt;29,"⚠️ Temp ALTA",IF(H197="","✅ OK",IF(H197&lt;5.5,"⚠️ pH baixo",IF(H197&gt;6.9,"⚠️ pH alto",IF(I197&gt;2.5,"⚠️ CE alta","✅ OK"))))))))</f>
        <v/>
      </c>
    </row>
    <row r="198" spans="1:12" ht="18" customHeight="1">
      <c r="A198" s="1"/>
      <c r="B198" s="59" t="str">
        <f>IF(193&lt;='🌱 Configuração'!$F$55,193,"")</f>
        <v/>
      </c>
      <c r="C198" s="60" t="str">
        <f>IF(193&lt;='🌱 Configuração'!$F$55,'🌱 Configuração'!$B$56+192,"")</f>
        <v/>
      </c>
      <c r="D198" s="59" t="str">
        <f>IF(193&gt;'🌱 Configuração'!$F$55,"",IF('🌱 Configuração'!$B$56+192&lt;'🌱 Configuração'!$C$56,"🌱 Clone",IF('🌱 Configuração'!$B$56+192&lt;'🌱 Configuração'!$D$56,"🌿 Vega",IF('🌱 Configuração'!$B$56+192&lt;'🌱 Configuração'!$E$56,"🌸 Flora","🚿 Flush"))))</f>
        <v/>
      </c>
      <c r="E198" s="59"/>
      <c r="F198" s="59"/>
      <c r="G198" s="59"/>
      <c r="H198" s="59"/>
      <c r="I198" s="59"/>
      <c r="J198" s="59"/>
      <c r="K198" s="59"/>
      <c r="L198" s="1" t="str">
        <f>IF(193&gt;'🌱 Configuração'!$F$55,"",IF(F198="","—",IF(F198&lt;22,"⚠️ Temp baixa",IF(F198&gt;29,"⚠️ Temp ALTA",IF(H198="","✅ OK",IF(H198&lt;5.5,"⚠️ pH baixo",IF(H198&gt;6.9,"⚠️ pH alto",IF(I198&gt;2.5,"⚠️ CE alta","✅ OK"))))))))</f>
        <v/>
      </c>
    </row>
    <row r="199" spans="1:12" ht="18" customHeight="1">
      <c r="A199" s="1"/>
      <c r="B199" s="61" t="str">
        <f>IF(194&lt;='🌱 Configuração'!$F$55,194,"")</f>
        <v/>
      </c>
      <c r="C199" s="62" t="str">
        <f>IF(194&lt;='🌱 Configuração'!$F$55,'🌱 Configuração'!$B$56+193,"")</f>
        <v/>
      </c>
      <c r="D199" s="61" t="str">
        <f>IF(194&gt;'🌱 Configuração'!$F$55,"",IF('🌱 Configuração'!$B$56+193&lt;'🌱 Configuração'!$C$56,"🌱 Clone",IF('🌱 Configuração'!$B$56+193&lt;'🌱 Configuração'!$D$56,"🌿 Vega",IF('🌱 Configuração'!$B$56+193&lt;'🌱 Configuração'!$E$56,"🌸 Flora","🚿 Flush"))))</f>
        <v/>
      </c>
      <c r="E199" s="61"/>
      <c r="F199" s="61"/>
      <c r="G199" s="61"/>
      <c r="H199" s="61"/>
      <c r="I199" s="61"/>
      <c r="J199" s="61"/>
      <c r="K199" s="61"/>
      <c r="L199" s="1" t="str">
        <f>IF(194&gt;'🌱 Configuração'!$F$55,"",IF(F199="","—",IF(F199&lt;22,"⚠️ Temp baixa",IF(F199&gt;29,"⚠️ Temp ALTA",IF(H199="","✅ OK",IF(H199&lt;5.5,"⚠️ pH baixo",IF(H199&gt;6.9,"⚠️ pH alto",IF(I199&gt;2.5,"⚠️ CE alta","✅ OK"))))))))</f>
        <v/>
      </c>
    </row>
    <row r="200" spans="1:12" ht="18" customHeight="1">
      <c r="A200" s="1"/>
      <c r="B200" s="59" t="str">
        <f>IF(195&lt;='🌱 Configuração'!$F$55,195,"")</f>
        <v/>
      </c>
      <c r="C200" s="60" t="str">
        <f>IF(195&lt;='🌱 Configuração'!$F$55,'🌱 Configuração'!$B$56+194,"")</f>
        <v/>
      </c>
      <c r="D200" s="59" t="str">
        <f>IF(195&gt;'🌱 Configuração'!$F$55,"",IF('🌱 Configuração'!$B$56+194&lt;'🌱 Configuração'!$C$56,"🌱 Clone",IF('🌱 Configuração'!$B$56+194&lt;'🌱 Configuração'!$D$56,"🌿 Vega",IF('🌱 Configuração'!$B$56+194&lt;'🌱 Configuração'!$E$56,"🌸 Flora","🚿 Flush"))))</f>
        <v/>
      </c>
      <c r="E200" s="59"/>
      <c r="F200" s="59"/>
      <c r="G200" s="59"/>
      <c r="H200" s="59"/>
      <c r="I200" s="59"/>
      <c r="J200" s="59"/>
      <c r="K200" s="59"/>
      <c r="L200" s="1" t="str">
        <f>IF(195&gt;'🌱 Configuração'!$F$55,"",IF(F200="","—",IF(F200&lt;22,"⚠️ Temp baixa",IF(F200&gt;29,"⚠️ Temp ALTA",IF(H200="","✅ OK",IF(H200&lt;5.5,"⚠️ pH baixo",IF(H200&gt;6.9,"⚠️ pH alto",IF(I200&gt;2.5,"⚠️ CE alta","✅ OK"))))))))</f>
        <v/>
      </c>
    </row>
    <row r="201" spans="1:12" ht="18" customHeight="1">
      <c r="A201" s="1"/>
      <c r="B201" s="61" t="str">
        <f>IF(196&lt;='🌱 Configuração'!$F$55,196,"")</f>
        <v/>
      </c>
      <c r="C201" s="62" t="str">
        <f>IF(196&lt;='🌱 Configuração'!$F$55,'🌱 Configuração'!$B$56+195,"")</f>
        <v/>
      </c>
      <c r="D201" s="61" t="str">
        <f>IF(196&gt;'🌱 Configuração'!$F$55,"",IF('🌱 Configuração'!$B$56+195&lt;'🌱 Configuração'!$C$56,"🌱 Clone",IF('🌱 Configuração'!$B$56+195&lt;'🌱 Configuração'!$D$56,"🌿 Vega",IF('🌱 Configuração'!$B$56+195&lt;'🌱 Configuração'!$E$56,"🌸 Flora","🚿 Flush"))))</f>
        <v/>
      </c>
      <c r="E201" s="61"/>
      <c r="F201" s="61"/>
      <c r="G201" s="61"/>
      <c r="H201" s="61"/>
      <c r="I201" s="61"/>
      <c r="J201" s="61"/>
      <c r="K201" s="61"/>
      <c r="L201" s="1" t="str">
        <f>IF(196&gt;'🌱 Configuração'!$F$55,"",IF(F201="","—",IF(F201&lt;22,"⚠️ Temp baixa",IF(F201&gt;29,"⚠️ Temp ALTA",IF(H201="","✅ OK",IF(H201&lt;5.5,"⚠️ pH baixo",IF(H201&gt;6.9,"⚠️ pH alto",IF(I201&gt;2.5,"⚠️ CE alta","✅ OK"))))))))</f>
        <v/>
      </c>
    </row>
    <row r="202" spans="1:12" ht="18" customHeight="1">
      <c r="A202" s="1"/>
      <c r="B202" s="59" t="str">
        <f>IF(197&lt;='🌱 Configuração'!$F$55,197,"")</f>
        <v/>
      </c>
      <c r="C202" s="60" t="str">
        <f>IF(197&lt;='🌱 Configuração'!$F$55,'🌱 Configuração'!$B$56+196,"")</f>
        <v/>
      </c>
      <c r="D202" s="59" t="str">
        <f>IF(197&gt;'🌱 Configuração'!$F$55,"",IF('🌱 Configuração'!$B$56+196&lt;'🌱 Configuração'!$C$56,"🌱 Clone",IF('🌱 Configuração'!$B$56+196&lt;'🌱 Configuração'!$D$56,"🌿 Vega",IF('🌱 Configuração'!$B$56+196&lt;'🌱 Configuração'!$E$56,"🌸 Flora","🚿 Flush"))))</f>
        <v/>
      </c>
      <c r="E202" s="59"/>
      <c r="F202" s="59"/>
      <c r="G202" s="59"/>
      <c r="H202" s="59"/>
      <c r="I202" s="59"/>
      <c r="J202" s="59"/>
      <c r="K202" s="59"/>
      <c r="L202" s="1" t="str">
        <f>IF(197&gt;'🌱 Configuração'!$F$55,"",IF(F202="","—",IF(F202&lt;22,"⚠️ Temp baixa",IF(F202&gt;29,"⚠️ Temp ALTA",IF(H202="","✅ OK",IF(H202&lt;5.5,"⚠️ pH baixo",IF(H202&gt;6.9,"⚠️ pH alto",IF(I202&gt;2.5,"⚠️ CE alta","✅ OK"))))))))</f>
        <v/>
      </c>
    </row>
    <row r="203" spans="1:12" ht="18" customHeight="1">
      <c r="A203" s="1"/>
      <c r="B203" s="61" t="str">
        <f>IF(198&lt;='🌱 Configuração'!$F$55,198,"")</f>
        <v/>
      </c>
      <c r="C203" s="62" t="str">
        <f>IF(198&lt;='🌱 Configuração'!$F$55,'🌱 Configuração'!$B$56+197,"")</f>
        <v/>
      </c>
      <c r="D203" s="61" t="str">
        <f>IF(198&gt;'🌱 Configuração'!$F$55,"",IF('🌱 Configuração'!$B$56+197&lt;'🌱 Configuração'!$C$56,"🌱 Clone",IF('🌱 Configuração'!$B$56+197&lt;'🌱 Configuração'!$D$56,"🌿 Vega",IF('🌱 Configuração'!$B$56+197&lt;'🌱 Configuração'!$E$56,"🌸 Flora","🚿 Flush"))))</f>
        <v/>
      </c>
      <c r="E203" s="61"/>
      <c r="F203" s="61"/>
      <c r="G203" s="61"/>
      <c r="H203" s="61"/>
      <c r="I203" s="61"/>
      <c r="J203" s="61"/>
      <c r="K203" s="61"/>
      <c r="L203" s="1" t="str">
        <f>IF(198&gt;'🌱 Configuração'!$F$55,"",IF(F203="","—",IF(F203&lt;22,"⚠️ Temp baixa",IF(F203&gt;29,"⚠️ Temp ALTA",IF(H203="","✅ OK",IF(H203&lt;5.5,"⚠️ pH baixo",IF(H203&gt;6.9,"⚠️ pH alto",IF(I203&gt;2.5,"⚠️ CE alta","✅ OK"))))))))</f>
        <v/>
      </c>
    </row>
    <row r="204" spans="1:12" ht="18" customHeight="1">
      <c r="A204" s="1"/>
      <c r="B204" s="59" t="str">
        <f>IF(199&lt;='🌱 Configuração'!$F$55,199,"")</f>
        <v/>
      </c>
      <c r="C204" s="60" t="str">
        <f>IF(199&lt;='🌱 Configuração'!$F$55,'🌱 Configuração'!$B$56+198,"")</f>
        <v/>
      </c>
      <c r="D204" s="59" t="str">
        <f>IF(199&gt;'🌱 Configuração'!$F$55,"",IF('🌱 Configuração'!$B$56+198&lt;'🌱 Configuração'!$C$56,"🌱 Clone",IF('🌱 Configuração'!$B$56+198&lt;'🌱 Configuração'!$D$56,"🌿 Vega",IF('🌱 Configuração'!$B$56+198&lt;'🌱 Configuração'!$E$56,"🌸 Flora","🚿 Flush"))))</f>
        <v/>
      </c>
      <c r="E204" s="59"/>
      <c r="F204" s="59"/>
      <c r="G204" s="59"/>
      <c r="H204" s="59"/>
      <c r="I204" s="59"/>
      <c r="J204" s="59"/>
      <c r="K204" s="59"/>
      <c r="L204" s="1" t="str">
        <f>IF(199&gt;'🌱 Configuração'!$F$55,"",IF(F204="","—",IF(F204&lt;22,"⚠️ Temp baixa",IF(F204&gt;29,"⚠️ Temp ALTA",IF(H204="","✅ OK",IF(H204&lt;5.5,"⚠️ pH baixo",IF(H204&gt;6.9,"⚠️ pH alto",IF(I204&gt;2.5,"⚠️ CE alta","✅ OK"))))))))</f>
        <v/>
      </c>
    </row>
    <row r="205" spans="1:12" ht="18" customHeight="1">
      <c r="A205" s="1"/>
      <c r="B205" s="61" t="str">
        <f>IF(200&lt;='🌱 Configuração'!$F$55,200,"")</f>
        <v/>
      </c>
      <c r="C205" s="62" t="str">
        <f>IF(200&lt;='🌱 Configuração'!$F$55,'🌱 Configuração'!$B$56+199,"")</f>
        <v/>
      </c>
      <c r="D205" s="61" t="str">
        <f>IF(200&gt;'🌱 Configuração'!$F$55,"",IF('🌱 Configuração'!$B$56+199&lt;'🌱 Configuração'!$C$56,"🌱 Clone",IF('🌱 Configuração'!$B$56+199&lt;'🌱 Configuração'!$D$56,"🌿 Vega",IF('🌱 Configuração'!$B$56+199&lt;'🌱 Configuração'!$E$56,"🌸 Flora","🚿 Flush"))))</f>
        <v/>
      </c>
      <c r="E205" s="61"/>
      <c r="F205" s="61"/>
      <c r="G205" s="61"/>
      <c r="H205" s="61"/>
      <c r="I205" s="61"/>
      <c r="J205" s="61"/>
      <c r="K205" s="61"/>
      <c r="L205" s="1" t="str">
        <f>IF(200&gt;'🌱 Configuração'!$F$55,"",IF(F205="","—",IF(F205&lt;22,"⚠️ Temp baixa",IF(F205&gt;29,"⚠️ Temp ALTA",IF(H205="","✅ OK",IF(H205&lt;5.5,"⚠️ pH baixo",IF(H205&gt;6.9,"⚠️ pH alto",IF(I205&gt;2.5,"⚠️ CE alta","✅ OK"))))))))</f>
        <v/>
      </c>
    </row>
    <row r="206" spans="1:1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2">
    <mergeCell ref="B2:K2"/>
    <mergeCell ref="B3:K3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166"/>
  </sheetPr>
  <dimension ref="A1:D1000"/>
  <sheetViews>
    <sheetView showGridLines="0" workbookViewId="0">
      <selection activeCell="L12" sqref="L12"/>
    </sheetView>
  </sheetViews>
  <sheetFormatPr defaultColWidth="14.44140625" defaultRowHeight="15" customHeight="1"/>
  <cols>
    <col min="1" max="1" width="3" customWidth="1"/>
    <col min="2" max="3" width="30" customWidth="1"/>
    <col min="4" max="4" width="3" customWidth="1"/>
    <col min="5" max="26" width="8.6640625" customWidth="1"/>
  </cols>
  <sheetData>
    <row r="1" spans="1:4" ht="14.4">
      <c r="A1" s="1"/>
      <c r="B1" s="1"/>
      <c r="C1" s="1"/>
      <c r="D1" s="1"/>
    </row>
    <row r="2" spans="1:4" ht="45" customHeight="1">
      <c r="A2" s="1"/>
      <c r="B2" s="115" t="s">
        <v>361</v>
      </c>
      <c r="C2" s="88"/>
      <c r="D2" s="1"/>
    </row>
    <row r="3" spans="1:4" ht="14.4">
      <c r="A3" s="1"/>
      <c r="B3" s="1"/>
      <c r="C3" s="1"/>
      <c r="D3" s="1"/>
    </row>
    <row r="4" spans="1:4" ht="27.75" customHeight="1">
      <c r="A4" s="1"/>
      <c r="B4" s="96" t="s">
        <v>362</v>
      </c>
      <c r="C4" s="88"/>
      <c r="D4" s="1"/>
    </row>
    <row r="5" spans="1:4" ht="21.75" customHeight="1">
      <c r="A5" s="1"/>
      <c r="B5" s="63" t="s">
        <v>363</v>
      </c>
      <c r="C5" s="63" t="s">
        <v>364</v>
      </c>
      <c r="D5" s="1"/>
    </row>
    <row r="6" spans="1:4" ht="19.5" customHeight="1">
      <c r="A6" s="1"/>
      <c r="B6" s="64" t="s">
        <v>365</v>
      </c>
      <c r="C6" s="65" t="s">
        <v>366</v>
      </c>
      <c r="D6" s="1"/>
    </row>
    <row r="7" spans="1:4" ht="19.5" customHeight="1">
      <c r="A7" s="1"/>
      <c r="B7" s="66" t="s">
        <v>367</v>
      </c>
      <c r="C7" s="67" t="s">
        <v>368</v>
      </c>
      <c r="D7" s="1"/>
    </row>
    <row r="8" spans="1:4" ht="19.5" customHeight="1">
      <c r="A8" s="1"/>
      <c r="B8" s="64" t="s">
        <v>369</v>
      </c>
      <c r="C8" s="65" t="s">
        <v>370</v>
      </c>
      <c r="D8" s="1"/>
    </row>
    <row r="9" spans="1:4" ht="19.5" customHeight="1">
      <c r="A9" s="1"/>
      <c r="B9" s="66" t="s">
        <v>299</v>
      </c>
      <c r="C9" s="67" t="s">
        <v>371</v>
      </c>
      <c r="D9" s="1"/>
    </row>
    <row r="10" spans="1:4" ht="14.4">
      <c r="A10" s="1"/>
      <c r="B10" s="1"/>
      <c r="C10" s="1"/>
      <c r="D10" s="1"/>
    </row>
    <row r="11" spans="1:4" ht="27.75" customHeight="1">
      <c r="A11" s="1"/>
      <c r="B11" s="96" t="s">
        <v>372</v>
      </c>
      <c r="C11" s="88"/>
      <c r="D11" s="1"/>
    </row>
    <row r="12" spans="1:4" ht="21.75" customHeight="1">
      <c r="A12" s="1"/>
      <c r="B12" s="63" t="s">
        <v>363</v>
      </c>
      <c r="C12" s="63" t="s">
        <v>364</v>
      </c>
      <c r="D12" s="1"/>
    </row>
    <row r="13" spans="1:4" ht="19.5" customHeight="1">
      <c r="A13" s="1"/>
      <c r="B13" s="64" t="s">
        <v>299</v>
      </c>
      <c r="C13" s="65" t="s">
        <v>373</v>
      </c>
      <c r="D13" s="1"/>
    </row>
    <row r="14" spans="1:4" ht="19.5" customHeight="1">
      <c r="A14" s="1"/>
      <c r="B14" s="66" t="s">
        <v>307</v>
      </c>
      <c r="C14" s="67" t="s">
        <v>374</v>
      </c>
      <c r="D14" s="1"/>
    </row>
    <row r="15" spans="1:4" ht="19.5" customHeight="1">
      <c r="A15" s="1"/>
      <c r="B15" s="64" t="s">
        <v>375</v>
      </c>
      <c r="C15" s="65" t="s">
        <v>376</v>
      </c>
      <c r="D15" s="1"/>
    </row>
    <row r="16" spans="1:4" ht="19.5" customHeight="1">
      <c r="A16" s="1"/>
      <c r="B16" s="66" t="s">
        <v>377</v>
      </c>
      <c r="C16" s="67" t="s">
        <v>378</v>
      </c>
      <c r="D16" s="1"/>
    </row>
    <row r="17" spans="1:4" ht="19.5" customHeight="1">
      <c r="A17" s="1"/>
      <c r="B17" s="64" t="s">
        <v>333</v>
      </c>
      <c r="C17" s="65" t="s">
        <v>379</v>
      </c>
      <c r="D17" s="1"/>
    </row>
    <row r="18" spans="1:4" ht="14.4">
      <c r="A18" s="1"/>
      <c r="B18" s="1"/>
      <c r="C18" s="1"/>
      <c r="D18" s="1"/>
    </row>
    <row r="19" spans="1:4" ht="27.75" customHeight="1">
      <c r="A19" s="1"/>
      <c r="B19" s="96" t="s">
        <v>380</v>
      </c>
      <c r="C19" s="88"/>
      <c r="D19" s="1"/>
    </row>
    <row r="20" spans="1:4" ht="21.75" customHeight="1">
      <c r="A20" s="1"/>
      <c r="B20" s="63" t="s">
        <v>363</v>
      </c>
      <c r="C20" s="63" t="s">
        <v>364</v>
      </c>
      <c r="D20" s="1"/>
    </row>
    <row r="21" spans="1:4" ht="19.5" customHeight="1">
      <c r="A21" s="1"/>
      <c r="B21" s="64" t="s">
        <v>381</v>
      </c>
      <c r="C21" s="65" t="s">
        <v>382</v>
      </c>
      <c r="D21" s="1"/>
    </row>
    <row r="22" spans="1:4" ht="19.5" customHeight="1">
      <c r="A22" s="1"/>
      <c r="B22" s="66" t="s">
        <v>383</v>
      </c>
      <c r="C22" s="67" t="s">
        <v>120</v>
      </c>
      <c r="D22" s="1"/>
    </row>
    <row r="23" spans="1:4" ht="19.5" customHeight="1">
      <c r="A23" s="1"/>
      <c r="B23" s="64" t="s">
        <v>384</v>
      </c>
      <c r="C23" s="65" t="s">
        <v>385</v>
      </c>
      <c r="D23" s="1"/>
    </row>
    <row r="24" spans="1:4" ht="19.5" customHeight="1">
      <c r="A24" s="1"/>
      <c r="B24" s="66" t="s">
        <v>386</v>
      </c>
      <c r="C24" s="67" t="s">
        <v>387</v>
      </c>
      <c r="D24" s="1"/>
    </row>
    <row r="25" spans="1:4" ht="15.75" customHeight="1">
      <c r="A25" s="1"/>
      <c r="B25" s="1"/>
      <c r="C25" s="1"/>
      <c r="D25" s="1"/>
    </row>
    <row r="26" spans="1:4" ht="27.75" customHeight="1">
      <c r="A26" s="1"/>
      <c r="B26" s="96" t="s">
        <v>388</v>
      </c>
      <c r="C26" s="88"/>
      <c r="D26" s="1"/>
    </row>
    <row r="27" spans="1:4" ht="21.75" customHeight="1">
      <c r="A27" s="1"/>
      <c r="B27" s="63" t="s">
        <v>363</v>
      </c>
      <c r="C27" s="63" t="s">
        <v>364</v>
      </c>
      <c r="D27" s="1"/>
    </row>
    <row r="28" spans="1:4" ht="19.5" customHeight="1">
      <c r="A28" s="1"/>
      <c r="B28" s="64" t="s">
        <v>299</v>
      </c>
      <c r="C28" s="65" t="s">
        <v>389</v>
      </c>
      <c r="D28" s="1"/>
    </row>
    <row r="29" spans="1:4" ht="19.5" customHeight="1">
      <c r="A29" s="1"/>
      <c r="B29" s="66" t="s">
        <v>390</v>
      </c>
      <c r="C29" s="67" t="s">
        <v>391</v>
      </c>
      <c r="D29" s="1"/>
    </row>
    <row r="30" spans="1:4" ht="19.5" customHeight="1">
      <c r="A30" s="1"/>
      <c r="B30" s="64" t="s">
        <v>392</v>
      </c>
      <c r="C30" s="65" t="s">
        <v>393</v>
      </c>
      <c r="D30" s="1"/>
    </row>
    <row r="31" spans="1:4" ht="19.5" customHeight="1">
      <c r="A31" s="1"/>
      <c r="B31" s="66" t="s">
        <v>394</v>
      </c>
      <c r="C31" s="67" t="s">
        <v>395</v>
      </c>
      <c r="D31" s="1"/>
    </row>
    <row r="32" spans="1:4" ht="19.5" customHeight="1">
      <c r="A32" s="1"/>
      <c r="B32" s="64" t="s">
        <v>396</v>
      </c>
      <c r="C32" s="65" t="s">
        <v>397</v>
      </c>
      <c r="D32" s="1"/>
    </row>
    <row r="33" spans="1:4" ht="19.5" customHeight="1">
      <c r="A33" s="1"/>
      <c r="B33" s="66" t="s">
        <v>333</v>
      </c>
      <c r="C33" s="67" t="s">
        <v>109</v>
      </c>
      <c r="D33" s="1"/>
    </row>
    <row r="34" spans="1:4" ht="15.75" customHeight="1">
      <c r="A34" s="1"/>
      <c r="B34" s="1"/>
      <c r="C34" s="1"/>
      <c r="D34" s="1"/>
    </row>
    <row r="35" spans="1:4" ht="27.75" customHeight="1">
      <c r="A35" s="1"/>
      <c r="B35" s="96" t="s">
        <v>398</v>
      </c>
      <c r="C35" s="88"/>
      <c r="D35" s="1"/>
    </row>
    <row r="36" spans="1:4" ht="21.75" customHeight="1">
      <c r="A36" s="1"/>
      <c r="B36" s="63" t="s">
        <v>363</v>
      </c>
      <c r="C36" s="63" t="s">
        <v>364</v>
      </c>
      <c r="D36" s="1"/>
    </row>
    <row r="37" spans="1:4" ht="19.5" customHeight="1">
      <c r="A37" s="1"/>
      <c r="B37" s="64" t="s">
        <v>399</v>
      </c>
      <c r="C37" s="65" t="s">
        <v>400</v>
      </c>
      <c r="D37" s="1"/>
    </row>
    <row r="38" spans="1:4" ht="19.5" customHeight="1">
      <c r="A38" s="1"/>
      <c r="B38" s="66" t="s">
        <v>401</v>
      </c>
      <c r="C38" s="67" t="s">
        <v>402</v>
      </c>
      <c r="D38" s="1"/>
    </row>
    <row r="39" spans="1:4" ht="19.5" customHeight="1">
      <c r="A39" s="1"/>
      <c r="B39" s="64" t="s">
        <v>403</v>
      </c>
      <c r="C39" s="65" t="s">
        <v>404</v>
      </c>
      <c r="D39" s="1"/>
    </row>
    <row r="40" spans="1:4" ht="19.5" customHeight="1">
      <c r="A40" s="1"/>
      <c r="B40" s="66" t="s">
        <v>405</v>
      </c>
      <c r="C40" s="67" t="s">
        <v>406</v>
      </c>
      <c r="D40" s="1"/>
    </row>
    <row r="41" spans="1:4" ht="19.5" customHeight="1">
      <c r="A41" s="1"/>
      <c r="B41" s="64" t="s">
        <v>407</v>
      </c>
      <c r="C41" s="65" t="s">
        <v>408</v>
      </c>
      <c r="D41" s="1"/>
    </row>
    <row r="42" spans="1:4" ht="15.75" customHeight="1">
      <c r="A42" s="1"/>
      <c r="B42" s="1"/>
      <c r="C42" s="1"/>
      <c r="D42" s="1"/>
    </row>
    <row r="43" spans="1:4" ht="27.75" customHeight="1">
      <c r="A43" s="1"/>
      <c r="B43" s="96" t="s">
        <v>409</v>
      </c>
      <c r="C43" s="88"/>
      <c r="D43" s="1"/>
    </row>
    <row r="44" spans="1:4" ht="21.75" customHeight="1">
      <c r="A44" s="1"/>
      <c r="B44" s="63" t="s">
        <v>363</v>
      </c>
      <c r="C44" s="63" t="s">
        <v>364</v>
      </c>
      <c r="D44" s="1"/>
    </row>
    <row r="45" spans="1:4" ht="19.5" customHeight="1">
      <c r="A45" s="1"/>
      <c r="B45" s="64" t="s">
        <v>299</v>
      </c>
      <c r="C45" s="65" t="s">
        <v>410</v>
      </c>
      <c r="D45" s="1"/>
    </row>
    <row r="46" spans="1:4" ht="19.5" customHeight="1">
      <c r="A46" s="1"/>
      <c r="B46" s="66" t="s">
        <v>411</v>
      </c>
      <c r="C46" s="67" t="s">
        <v>412</v>
      </c>
      <c r="D46" s="1"/>
    </row>
    <row r="47" spans="1:4" ht="19.5" customHeight="1">
      <c r="A47" s="1"/>
      <c r="B47" s="64" t="s">
        <v>321</v>
      </c>
      <c r="C47" s="65" t="s">
        <v>413</v>
      </c>
      <c r="D47" s="1"/>
    </row>
    <row r="48" spans="1:4" ht="19.5" customHeight="1">
      <c r="A48" s="1"/>
      <c r="B48" s="66" t="s">
        <v>414</v>
      </c>
      <c r="C48" s="67" t="s">
        <v>415</v>
      </c>
      <c r="D48" s="1"/>
    </row>
    <row r="49" spans="1:4" ht="15.75" customHeight="1">
      <c r="A49" s="1"/>
      <c r="B49" s="1"/>
      <c r="C49" s="1"/>
      <c r="D49" s="1"/>
    </row>
    <row r="50" spans="1:4" ht="27.75" customHeight="1">
      <c r="A50" s="1"/>
      <c r="B50" s="96" t="s">
        <v>416</v>
      </c>
      <c r="C50" s="88"/>
      <c r="D50" s="1"/>
    </row>
    <row r="51" spans="1:4" ht="21.75" customHeight="1">
      <c r="A51" s="1"/>
      <c r="B51" s="63" t="s">
        <v>363</v>
      </c>
      <c r="C51" s="63" t="s">
        <v>364</v>
      </c>
      <c r="D51" s="1"/>
    </row>
    <row r="52" spans="1:4" ht="19.5" customHeight="1">
      <c r="A52" s="1"/>
      <c r="B52" s="64" t="s">
        <v>417</v>
      </c>
      <c r="C52" s="65" t="s">
        <v>418</v>
      </c>
      <c r="D52" s="1"/>
    </row>
    <row r="53" spans="1:4" ht="19.5" customHeight="1">
      <c r="A53" s="1"/>
      <c r="B53" s="66" t="s">
        <v>419</v>
      </c>
      <c r="C53" s="67" t="s">
        <v>420</v>
      </c>
      <c r="D53" s="1"/>
    </row>
    <row r="54" spans="1:4" ht="19.5" customHeight="1">
      <c r="A54" s="1"/>
      <c r="B54" s="64" t="s">
        <v>421</v>
      </c>
      <c r="C54" s="65" t="s">
        <v>422</v>
      </c>
      <c r="D54" s="1"/>
    </row>
    <row r="55" spans="1:4" ht="19.5" customHeight="1">
      <c r="A55" s="1"/>
      <c r="B55" s="66" t="s">
        <v>423</v>
      </c>
      <c r="C55" s="67" t="s">
        <v>424</v>
      </c>
      <c r="D55" s="1"/>
    </row>
    <row r="56" spans="1:4" ht="19.5" customHeight="1">
      <c r="A56" s="1"/>
      <c r="B56" s="64" t="s">
        <v>425</v>
      </c>
      <c r="C56" s="65" t="s">
        <v>426</v>
      </c>
      <c r="D56" s="1"/>
    </row>
    <row r="57" spans="1:4" ht="15.75" customHeight="1">
      <c r="A57" s="1"/>
      <c r="B57" s="1"/>
      <c r="C57" s="1"/>
      <c r="D57" s="1"/>
    </row>
    <row r="58" spans="1:4" ht="15.75" customHeight="1">
      <c r="A58" s="1"/>
      <c r="B58" s="1"/>
      <c r="C58" s="1"/>
      <c r="D58" s="1"/>
    </row>
    <row r="59" spans="1:4" ht="15.75" customHeight="1">
      <c r="A59" s="1"/>
      <c r="B59" s="1"/>
      <c r="C59" s="1"/>
      <c r="D59" s="1"/>
    </row>
    <row r="60" spans="1:4" ht="15.75" customHeight="1">
      <c r="A60" s="1"/>
      <c r="B60" s="1"/>
      <c r="C60" s="1"/>
      <c r="D60" s="1"/>
    </row>
    <row r="61" spans="1:4" ht="15.75" customHeight="1">
      <c r="A61" s="1"/>
      <c r="B61" s="1"/>
      <c r="C61" s="1"/>
      <c r="D61" s="1"/>
    </row>
    <row r="62" spans="1:4" ht="15.75" customHeight="1">
      <c r="A62" s="1"/>
      <c r="B62" s="1"/>
      <c r="C62" s="1"/>
      <c r="D62" s="1"/>
    </row>
    <row r="63" spans="1:4" ht="15.75" customHeight="1">
      <c r="A63" s="1"/>
      <c r="B63" s="1"/>
      <c r="C63" s="1"/>
      <c r="D63" s="1"/>
    </row>
    <row r="64" spans="1:4" ht="15.75" customHeight="1">
      <c r="A64" s="1"/>
      <c r="B64" s="1"/>
      <c r="C64" s="1"/>
      <c r="D64" s="1"/>
    </row>
    <row r="65" spans="1:4" ht="15.75" customHeight="1">
      <c r="A65" s="1"/>
      <c r="B65" s="1"/>
      <c r="C65" s="1"/>
      <c r="D65" s="1"/>
    </row>
    <row r="66" spans="1:4" ht="15.75" customHeight="1">
      <c r="A66" s="1"/>
      <c r="B66" s="1"/>
      <c r="C66" s="1"/>
      <c r="D66" s="1"/>
    </row>
    <row r="67" spans="1:4" ht="15.75" customHeight="1">
      <c r="A67" s="1"/>
      <c r="B67" s="1"/>
      <c r="C67" s="1"/>
      <c r="D67" s="1"/>
    </row>
    <row r="68" spans="1:4" ht="15.75" customHeight="1">
      <c r="A68" s="1"/>
      <c r="B68" s="1"/>
      <c r="C68" s="1"/>
      <c r="D68" s="1"/>
    </row>
    <row r="69" spans="1:4" ht="15.75" customHeight="1">
      <c r="A69" s="1"/>
      <c r="B69" s="1"/>
      <c r="C69" s="1"/>
      <c r="D69" s="1"/>
    </row>
    <row r="70" spans="1:4" ht="15.75" customHeight="1">
      <c r="A70" s="1"/>
      <c r="B70" s="1"/>
      <c r="C70" s="1"/>
      <c r="D70" s="1"/>
    </row>
    <row r="71" spans="1:4" ht="15.75" customHeight="1">
      <c r="A71" s="1"/>
      <c r="B71" s="1"/>
      <c r="C71" s="1"/>
      <c r="D71" s="1"/>
    </row>
    <row r="72" spans="1:4" ht="15.75" customHeight="1">
      <c r="A72" s="1"/>
      <c r="B72" s="1"/>
      <c r="C72" s="1"/>
      <c r="D72" s="1"/>
    </row>
    <row r="73" spans="1:4" ht="15.75" customHeight="1">
      <c r="A73" s="1"/>
      <c r="B73" s="1"/>
      <c r="C73" s="1"/>
      <c r="D73" s="1"/>
    </row>
    <row r="74" spans="1:4" ht="15.75" customHeight="1">
      <c r="A74" s="1"/>
      <c r="B74" s="1"/>
      <c r="C74" s="1"/>
      <c r="D74" s="1"/>
    </row>
    <row r="75" spans="1:4" ht="15.75" customHeight="1">
      <c r="A75" s="1"/>
      <c r="B75" s="1"/>
      <c r="C75" s="1"/>
      <c r="D75" s="1"/>
    </row>
    <row r="76" spans="1:4" ht="15.75" customHeight="1">
      <c r="A76" s="1"/>
      <c r="B76" s="1"/>
      <c r="C76" s="1"/>
      <c r="D76" s="1"/>
    </row>
    <row r="77" spans="1:4" ht="15.75" customHeight="1">
      <c r="A77" s="1"/>
      <c r="B77" s="1"/>
      <c r="C77" s="1"/>
      <c r="D77" s="1"/>
    </row>
    <row r="78" spans="1:4" ht="15.75" customHeight="1">
      <c r="A78" s="1"/>
      <c r="B78" s="1"/>
      <c r="C78" s="1"/>
      <c r="D78" s="1"/>
    </row>
    <row r="79" spans="1:4" ht="15.75" customHeight="1">
      <c r="A79" s="1"/>
      <c r="B79" s="1"/>
      <c r="C79" s="1"/>
      <c r="D79" s="1"/>
    </row>
    <row r="80" spans="1:4" ht="15.75" customHeight="1">
      <c r="A80" s="1"/>
      <c r="B80" s="1"/>
      <c r="C80" s="1"/>
      <c r="D80" s="1"/>
    </row>
    <row r="81" spans="1:4" ht="15.75" customHeight="1">
      <c r="A81" s="1"/>
      <c r="B81" s="1"/>
      <c r="C81" s="1"/>
      <c r="D81" s="1"/>
    </row>
    <row r="82" spans="1:4" ht="15.75" customHeight="1">
      <c r="A82" s="1"/>
      <c r="B82" s="1"/>
      <c r="C82" s="1"/>
      <c r="D82" s="1"/>
    </row>
    <row r="83" spans="1:4" ht="15.75" customHeight="1">
      <c r="A83" s="1"/>
      <c r="B83" s="1"/>
      <c r="C83" s="1"/>
      <c r="D83" s="1"/>
    </row>
    <row r="84" spans="1:4" ht="15.75" customHeight="1">
      <c r="A84" s="1"/>
      <c r="B84" s="1"/>
      <c r="C84" s="1"/>
      <c r="D84" s="1"/>
    </row>
    <row r="85" spans="1:4" ht="15.75" customHeight="1">
      <c r="A85" s="1"/>
      <c r="B85" s="1"/>
      <c r="C85" s="1"/>
      <c r="D85" s="1"/>
    </row>
    <row r="86" spans="1:4" ht="15.75" customHeight="1">
      <c r="A86" s="1"/>
      <c r="B86" s="1"/>
      <c r="C86" s="1"/>
      <c r="D86" s="1"/>
    </row>
    <row r="87" spans="1:4" ht="15.75" customHeight="1">
      <c r="A87" s="1"/>
      <c r="B87" s="1"/>
      <c r="C87" s="1"/>
      <c r="D87" s="1"/>
    </row>
    <row r="88" spans="1:4" ht="15.75" customHeight="1">
      <c r="A88" s="1"/>
      <c r="B88" s="1"/>
      <c r="C88" s="1"/>
      <c r="D88" s="1"/>
    </row>
    <row r="89" spans="1:4" ht="15.75" customHeight="1">
      <c r="A89" s="1"/>
      <c r="B89" s="1"/>
      <c r="C89" s="1"/>
      <c r="D89" s="1"/>
    </row>
    <row r="90" spans="1:4" ht="15.75" customHeight="1">
      <c r="A90" s="1"/>
      <c r="B90" s="1"/>
      <c r="C90" s="1"/>
      <c r="D90" s="1"/>
    </row>
    <row r="91" spans="1:4" ht="15.75" customHeight="1">
      <c r="A91" s="1"/>
      <c r="B91" s="1"/>
      <c r="C91" s="1"/>
      <c r="D91" s="1"/>
    </row>
    <row r="92" spans="1:4" ht="15.75" customHeight="1">
      <c r="A92" s="1"/>
      <c r="B92" s="1"/>
      <c r="C92" s="1"/>
      <c r="D92" s="1"/>
    </row>
    <row r="93" spans="1:4" ht="15.75" customHeight="1">
      <c r="A93" s="1"/>
      <c r="B93" s="1"/>
      <c r="C93" s="1"/>
      <c r="D93" s="1"/>
    </row>
    <row r="94" spans="1:4" ht="15.75" customHeight="1">
      <c r="A94" s="1"/>
      <c r="B94" s="1"/>
      <c r="C94" s="1"/>
      <c r="D94" s="1"/>
    </row>
    <row r="95" spans="1:4" ht="15.75" customHeight="1">
      <c r="A95" s="1"/>
      <c r="B95" s="1"/>
      <c r="C95" s="1"/>
      <c r="D95" s="1"/>
    </row>
    <row r="96" spans="1:4" ht="15.75" customHeight="1">
      <c r="A96" s="1"/>
      <c r="B96" s="1"/>
      <c r="C96" s="1"/>
      <c r="D96" s="1"/>
    </row>
    <row r="97" spans="1:4" ht="15.75" customHeight="1">
      <c r="A97" s="1"/>
      <c r="B97" s="1"/>
      <c r="C97" s="1"/>
      <c r="D97" s="1"/>
    </row>
    <row r="98" spans="1:4" ht="15.75" customHeight="1">
      <c r="A98" s="1"/>
      <c r="B98" s="1"/>
      <c r="C98" s="1"/>
      <c r="D98" s="1"/>
    </row>
    <row r="99" spans="1:4" ht="15.75" customHeight="1">
      <c r="A99" s="1"/>
      <c r="B99" s="1"/>
      <c r="C99" s="1"/>
      <c r="D99" s="1"/>
    </row>
    <row r="100" spans="1:4" ht="15.75" customHeight="1">
      <c r="A100" s="1"/>
      <c r="B100" s="1"/>
      <c r="C100" s="1"/>
      <c r="D100" s="1"/>
    </row>
    <row r="101" spans="1:4" ht="15.75" customHeight="1">
      <c r="A101" s="1"/>
      <c r="B101" s="1"/>
      <c r="C101" s="1"/>
      <c r="D101" s="1"/>
    </row>
    <row r="102" spans="1:4" ht="15.75" customHeight="1">
      <c r="A102" s="1"/>
      <c r="B102" s="1"/>
      <c r="C102" s="1"/>
      <c r="D102" s="1"/>
    </row>
    <row r="103" spans="1:4" ht="15.75" customHeight="1">
      <c r="A103" s="1"/>
      <c r="B103" s="1"/>
      <c r="C103" s="1"/>
      <c r="D103" s="1"/>
    </row>
    <row r="104" spans="1:4" ht="15.75" customHeight="1">
      <c r="A104" s="1"/>
      <c r="B104" s="1"/>
      <c r="C104" s="1"/>
      <c r="D104" s="1"/>
    </row>
    <row r="105" spans="1:4" ht="15.75" customHeight="1">
      <c r="A105" s="1"/>
      <c r="B105" s="1"/>
      <c r="C105" s="1"/>
      <c r="D105" s="1"/>
    </row>
    <row r="106" spans="1:4" ht="15.75" customHeight="1">
      <c r="A106" s="1"/>
      <c r="B106" s="1"/>
      <c r="C106" s="1"/>
      <c r="D106" s="1"/>
    </row>
    <row r="107" spans="1:4" ht="15.75" customHeight="1">
      <c r="A107" s="1"/>
      <c r="B107" s="1"/>
      <c r="C107" s="1"/>
      <c r="D107" s="1"/>
    </row>
    <row r="108" spans="1:4" ht="15.75" customHeight="1">
      <c r="A108" s="1"/>
      <c r="B108" s="1"/>
      <c r="C108" s="1"/>
      <c r="D108" s="1"/>
    </row>
    <row r="109" spans="1:4" ht="15.75" customHeight="1">
      <c r="A109" s="1"/>
      <c r="B109" s="1"/>
      <c r="C109" s="1"/>
      <c r="D109" s="1"/>
    </row>
    <row r="110" spans="1:4" ht="15.75" customHeight="1">
      <c r="A110" s="1"/>
      <c r="B110" s="1"/>
      <c r="C110" s="1"/>
      <c r="D110" s="1"/>
    </row>
    <row r="111" spans="1:4" ht="15.75" customHeight="1">
      <c r="A111" s="1"/>
      <c r="B111" s="1"/>
      <c r="C111" s="1"/>
      <c r="D111" s="1"/>
    </row>
    <row r="112" spans="1:4" ht="15.75" customHeight="1">
      <c r="A112" s="1"/>
      <c r="B112" s="1"/>
      <c r="C112" s="1"/>
      <c r="D112" s="1"/>
    </row>
    <row r="113" spans="1:4" ht="15.75" customHeight="1">
      <c r="A113" s="1"/>
      <c r="B113" s="1"/>
      <c r="C113" s="1"/>
      <c r="D113" s="1"/>
    </row>
    <row r="114" spans="1:4" ht="15.75" customHeight="1">
      <c r="A114" s="1"/>
      <c r="B114" s="1"/>
      <c r="C114" s="1"/>
      <c r="D114" s="1"/>
    </row>
    <row r="115" spans="1:4" ht="15.75" customHeight="1">
      <c r="A115" s="1"/>
      <c r="B115" s="1"/>
      <c r="C115" s="1"/>
      <c r="D115" s="1"/>
    </row>
    <row r="116" spans="1:4" ht="15.75" customHeight="1">
      <c r="A116" s="1"/>
      <c r="B116" s="1"/>
      <c r="C116" s="1"/>
      <c r="D116" s="1"/>
    </row>
    <row r="117" spans="1:4" ht="15.75" customHeight="1">
      <c r="A117" s="1"/>
      <c r="B117" s="1"/>
      <c r="C117" s="1"/>
      <c r="D117" s="1"/>
    </row>
    <row r="118" spans="1:4" ht="15.75" customHeight="1">
      <c r="A118" s="1"/>
      <c r="B118" s="1"/>
      <c r="C118" s="1"/>
      <c r="D118" s="1"/>
    </row>
    <row r="119" spans="1:4" ht="15.75" customHeight="1">
      <c r="A119" s="1"/>
      <c r="B119" s="1"/>
      <c r="C119" s="1"/>
      <c r="D119" s="1"/>
    </row>
    <row r="120" spans="1:4" ht="15.75" customHeight="1">
      <c r="A120" s="1"/>
      <c r="B120" s="1"/>
      <c r="C120" s="1"/>
      <c r="D120" s="1"/>
    </row>
    <row r="121" spans="1:4" ht="15.75" customHeight="1">
      <c r="A121" s="1"/>
      <c r="B121" s="1"/>
      <c r="C121" s="1"/>
      <c r="D121" s="1"/>
    </row>
    <row r="122" spans="1:4" ht="15.75" customHeight="1">
      <c r="A122" s="1"/>
      <c r="B122" s="1"/>
      <c r="C122" s="1"/>
      <c r="D122" s="1"/>
    </row>
    <row r="123" spans="1:4" ht="15.75" customHeight="1">
      <c r="A123" s="1"/>
      <c r="B123" s="1"/>
      <c r="C123" s="1"/>
      <c r="D123" s="1"/>
    </row>
    <row r="124" spans="1:4" ht="15.75" customHeight="1">
      <c r="A124" s="1"/>
      <c r="B124" s="1"/>
      <c r="C124" s="1"/>
      <c r="D124" s="1"/>
    </row>
    <row r="125" spans="1:4" ht="15.75" customHeight="1">
      <c r="A125" s="1"/>
      <c r="B125" s="1"/>
      <c r="C125" s="1"/>
      <c r="D125" s="1"/>
    </row>
    <row r="126" spans="1:4" ht="15.75" customHeight="1">
      <c r="A126" s="1"/>
      <c r="B126" s="1"/>
      <c r="C126" s="1"/>
      <c r="D126" s="1"/>
    </row>
    <row r="127" spans="1:4" ht="15.75" customHeight="1">
      <c r="A127" s="1"/>
      <c r="B127" s="1"/>
      <c r="C127" s="1"/>
      <c r="D127" s="1"/>
    </row>
    <row r="128" spans="1:4" ht="15.75" customHeight="1">
      <c r="A128" s="1"/>
      <c r="B128" s="1"/>
      <c r="C128" s="1"/>
      <c r="D128" s="1"/>
    </row>
    <row r="129" spans="1:4" ht="15.75" customHeight="1">
      <c r="A129" s="1"/>
      <c r="B129" s="1"/>
      <c r="C129" s="1"/>
      <c r="D129" s="1"/>
    </row>
    <row r="130" spans="1:4" ht="15.75" customHeight="1">
      <c r="A130" s="1"/>
      <c r="B130" s="1"/>
      <c r="C130" s="1"/>
      <c r="D130" s="1"/>
    </row>
    <row r="131" spans="1:4" ht="15.75" customHeight="1">
      <c r="A131" s="1"/>
      <c r="B131" s="1"/>
      <c r="C131" s="1"/>
      <c r="D131" s="1"/>
    </row>
    <row r="132" spans="1:4" ht="15.75" customHeight="1">
      <c r="A132" s="1"/>
      <c r="B132" s="1"/>
      <c r="C132" s="1"/>
      <c r="D132" s="1"/>
    </row>
    <row r="133" spans="1:4" ht="15.75" customHeight="1">
      <c r="A133" s="1"/>
      <c r="B133" s="1"/>
      <c r="C133" s="1"/>
      <c r="D133" s="1"/>
    </row>
    <row r="134" spans="1:4" ht="15.75" customHeight="1">
      <c r="A134" s="1"/>
      <c r="B134" s="1"/>
      <c r="C134" s="1"/>
      <c r="D134" s="1"/>
    </row>
    <row r="135" spans="1:4" ht="15.75" customHeight="1">
      <c r="A135" s="1"/>
      <c r="B135" s="1"/>
      <c r="C135" s="1"/>
      <c r="D135" s="1"/>
    </row>
    <row r="136" spans="1:4" ht="15.75" customHeight="1">
      <c r="A136" s="1"/>
      <c r="B136" s="1"/>
      <c r="C136" s="1"/>
      <c r="D136" s="1"/>
    </row>
    <row r="137" spans="1:4" ht="15.75" customHeight="1">
      <c r="A137" s="1"/>
      <c r="B137" s="1"/>
      <c r="C137" s="1"/>
      <c r="D137" s="1"/>
    </row>
    <row r="138" spans="1:4" ht="15.75" customHeight="1">
      <c r="A138" s="1"/>
      <c r="B138" s="1"/>
      <c r="C138" s="1"/>
      <c r="D138" s="1"/>
    </row>
    <row r="139" spans="1:4" ht="15.75" customHeight="1">
      <c r="A139" s="1"/>
      <c r="B139" s="1"/>
      <c r="C139" s="1"/>
      <c r="D139" s="1"/>
    </row>
    <row r="140" spans="1:4" ht="15.75" customHeight="1">
      <c r="A140" s="1"/>
      <c r="B140" s="1"/>
      <c r="C140" s="1"/>
      <c r="D140" s="1"/>
    </row>
    <row r="141" spans="1:4" ht="15.75" customHeight="1">
      <c r="A141" s="1"/>
      <c r="B141" s="1"/>
      <c r="C141" s="1"/>
      <c r="D141" s="1"/>
    </row>
    <row r="142" spans="1:4" ht="15.75" customHeight="1">
      <c r="A142" s="1"/>
      <c r="B142" s="1"/>
      <c r="C142" s="1"/>
      <c r="D142" s="1"/>
    </row>
    <row r="143" spans="1:4" ht="15.75" customHeight="1">
      <c r="A143" s="1"/>
      <c r="B143" s="1"/>
      <c r="C143" s="1"/>
      <c r="D143" s="1"/>
    </row>
    <row r="144" spans="1:4" ht="15.75" customHeight="1">
      <c r="A144" s="1"/>
      <c r="B144" s="1"/>
      <c r="C144" s="1"/>
      <c r="D144" s="1"/>
    </row>
    <row r="145" spans="1:4" ht="15.75" customHeight="1">
      <c r="A145" s="1"/>
      <c r="B145" s="1"/>
      <c r="C145" s="1"/>
      <c r="D145" s="1"/>
    </row>
    <row r="146" spans="1:4" ht="15.75" customHeight="1">
      <c r="A146" s="1"/>
      <c r="B146" s="1"/>
      <c r="C146" s="1"/>
      <c r="D146" s="1"/>
    </row>
    <row r="147" spans="1:4" ht="15.75" customHeight="1">
      <c r="A147" s="1"/>
      <c r="B147" s="1"/>
      <c r="C147" s="1"/>
      <c r="D147" s="1"/>
    </row>
    <row r="148" spans="1:4" ht="15.75" customHeight="1">
      <c r="A148" s="1"/>
      <c r="B148" s="1"/>
      <c r="C148" s="1"/>
      <c r="D148" s="1"/>
    </row>
    <row r="149" spans="1:4" ht="15.75" customHeight="1">
      <c r="A149" s="1"/>
      <c r="B149" s="1"/>
      <c r="C149" s="1"/>
      <c r="D149" s="1"/>
    </row>
    <row r="150" spans="1:4" ht="15.75" customHeight="1">
      <c r="A150" s="1"/>
      <c r="B150" s="1"/>
      <c r="C150" s="1"/>
      <c r="D150" s="1"/>
    </row>
    <row r="151" spans="1:4" ht="15.75" customHeight="1">
      <c r="A151" s="1"/>
      <c r="B151" s="1"/>
      <c r="C151" s="1"/>
      <c r="D151" s="1"/>
    </row>
    <row r="152" spans="1:4" ht="15.75" customHeight="1">
      <c r="A152" s="1"/>
      <c r="B152" s="1"/>
      <c r="C152" s="1"/>
      <c r="D152" s="1"/>
    </row>
    <row r="153" spans="1:4" ht="15.75" customHeight="1">
      <c r="A153" s="1"/>
      <c r="B153" s="1"/>
      <c r="C153" s="1"/>
      <c r="D153" s="1"/>
    </row>
    <row r="154" spans="1:4" ht="15.75" customHeight="1">
      <c r="A154" s="1"/>
      <c r="B154" s="1"/>
      <c r="C154" s="1"/>
      <c r="D154" s="1"/>
    </row>
    <row r="155" spans="1:4" ht="15.75" customHeight="1">
      <c r="A155" s="1"/>
      <c r="B155" s="1"/>
      <c r="C155" s="1"/>
      <c r="D155" s="1"/>
    </row>
    <row r="156" spans="1:4" ht="15.75" customHeight="1">
      <c r="A156" s="1"/>
      <c r="B156" s="1"/>
      <c r="C156" s="1"/>
      <c r="D156" s="1"/>
    </row>
    <row r="157" spans="1:4" ht="15.75" customHeight="1">
      <c r="A157" s="1"/>
      <c r="B157" s="1"/>
      <c r="C157" s="1"/>
      <c r="D157" s="1"/>
    </row>
    <row r="158" spans="1:4" ht="15.75" customHeight="1">
      <c r="A158" s="1"/>
      <c r="B158" s="1"/>
      <c r="C158" s="1"/>
      <c r="D158" s="1"/>
    </row>
    <row r="159" spans="1:4" ht="15.75" customHeight="1">
      <c r="A159" s="1"/>
      <c r="B159" s="1"/>
      <c r="C159" s="1"/>
      <c r="D159" s="1"/>
    </row>
    <row r="160" spans="1:4" ht="15.75" customHeight="1">
      <c r="A160" s="1"/>
      <c r="B160" s="1"/>
      <c r="C160" s="1"/>
      <c r="D160" s="1"/>
    </row>
    <row r="161" spans="1:4" ht="15.75" customHeight="1">
      <c r="A161" s="1"/>
      <c r="B161" s="1"/>
      <c r="C161" s="1"/>
      <c r="D161" s="1"/>
    </row>
    <row r="162" spans="1:4" ht="15.75" customHeight="1">
      <c r="A162" s="1"/>
      <c r="B162" s="1"/>
      <c r="C162" s="1"/>
      <c r="D162" s="1"/>
    </row>
    <row r="163" spans="1:4" ht="15.75" customHeight="1">
      <c r="A163" s="1"/>
      <c r="B163" s="1"/>
      <c r="C163" s="1"/>
      <c r="D163" s="1"/>
    </row>
    <row r="164" spans="1:4" ht="15.75" customHeight="1">
      <c r="A164" s="1"/>
      <c r="B164" s="1"/>
      <c r="C164" s="1"/>
      <c r="D164" s="1"/>
    </row>
    <row r="165" spans="1:4" ht="15.75" customHeight="1">
      <c r="A165" s="1"/>
      <c r="B165" s="1"/>
      <c r="C165" s="1"/>
      <c r="D165" s="1"/>
    </row>
    <row r="166" spans="1:4" ht="15.75" customHeight="1">
      <c r="A166" s="1"/>
      <c r="B166" s="1"/>
      <c r="C166" s="1"/>
      <c r="D166" s="1"/>
    </row>
    <row r="167" spans="1:4" ht="15.75" customHeight="1">
      <c r="A167" s="1"/>
      <c r="B167" s="1"/>
      <c r="C167" s="1"/>
      <c r="D167" s="1"/>
    </row>
    <row r="168" spans="1:4" ht="15.75" customHeight="1">
      <c r="A168" s="1"/>
      <c r="B168" s="1"/>
      <c r="C168" s="1"/>
      <c r="D168" s="1"/>
    </row>
    <row r="169" spans="1:4" ht="15.75" customHeight="1">
      <c r="A169" s="1"/>
      <c r="B169" s="1"/>
      <c r="C169" s="1"/>
      <c r="D169" s="1"/>
    </row>
    <row r="170" spans="1:4" ht="15.75" customHeight="1">
      <c r="A170" s="1"/>
      <c r="B170" s="1"/>
      <c r="C170" s="1"/>
      <c r="D170" s="1"/>
    </row>
    <row r="171" spans="1:4" ht="15.75" customHeight="1">
      <c r="A171" s="1"/>
      <c r="B171" s="1"/>
      <c r="C171" s="1"/>
      <c r="D171" s="1"/>
    </row>
    <row r="172" spans="1:4" ht="15.75" customHeight="1">
      <c r="A172" s="1"/>
      <c r="B172" s="1"/>
      <c r="C172" s="1"/>
      <c r="D172" s="1"/>
    </row>
    <row r="173" spans="1:4" ht="15.75" customHeight="1">
      <c r="A173" s="1"/>
      <c r="B173" s="1"/>
      <c r="C173" s="1"/>
      <c r="D173" s="1"/>
    </row>
    <row r="174" spans="1:4" ht="15.75" customHeight="1">
      <c r="A174" s="1"/>
      <c r="B174" s="1"/>
      <c r="C174" s="1"/>
      <c r="D174" s="1"/>
    </row>
    <row r="175" spans="1:4" ht="15.75" customHeight="1">
      <c r="A175" s="1"/>
      <c r="B175" s="1"/>
      <c r="C175" s="1"/>
      <c r="D175" s="1"/>
    </row>
    <row r="176" spans="1:4" ht="15.75" customHeight="1">
      <c r="A176" s="1"/>
      <c r="B176" s="1"/>
      <c r="C176" s="1"/>
      <c r="D176" s="1"/>
    </row>
    <row r="177" spans="1:4" ht="15.75" customHeight="1">
      <c r="A177" s="1"/>
      <c r="B177" s="1"/>
      <c r="C177" s="1"/>
      <c r="D177" s="1"/>
    </row>
    <row r="178" spans="1:4" ht="15.75" customHeight="1">
      <c r="A178" s="1"/>
      <c r="B178" s="1"/>
      <c r="C178" s="1"/>
      <c r="D178" s="1"/>
    </row>
    <row r="179" spans="1:4" ht="15.75" customHeight="1">
      <c r="A179" s="1"/>
      <c r="B179" s="1"/>
      <c r="C179" s="1"/>
      <c r="D179" s="1"/>
    </row>
    <row r="180" spans="1:4" ht="15.75" customHeight="1">
      <c r="A180" s="1"/>
      <c r="B180" s="1"/>
      <c r="C180" s="1"/>
      <c r="D180" s="1"/>
    </row>
    <row r="181" spans="1:4" ht="15.75" customHeight="1">
      <c r="A181" s="1"/>
      <c r="B181" s="1"/>
      <c r="C181" s="1"/>
      <c r="D181" s="1"/>
    </row>
    <row r="182" spans="1:4" ht="15.75" customHeight="1">
      <c r="A182" s="1"/>
      <c r="B182" s="1"/>
      <c r="C182" s="1"/>
      <c r="D182" s="1"/>
    </row>
    <row r="183" spans="1:4" ht="15.75" customHeight="1">
      <c r="A183" s="1"/>
      <c r="B183" s="1"/>
      <c r="C183" s="1"/>
      <c r="D183" s="1"/>
    </row>
    <row r="184" spans="1:4" ht="15.75" customHeight="1">
      <c r="A184" s="1"/>
      <c r="B184" s="1"/>
      <c r="C184" s="1"/>
      <c r="D184" s="1"/>
    </row>
    <row r="185" spans="1:4" ht="15.75" customHeight="1">
      <c r="A185" s="1"/>
      <c r="B185" s="1"/>
      <c r="C185" s="1"/>
      <c r="D185" s="1"/>
    </row>
    <row r="186" spans="1:4" ht="15.75" customHeight="1">
      <c r="A186" s="1"/>
      <c r="B186" s="1"/>
      <c r="C186" s="1"/>
      <c r="D186" s="1"/>
    </row>
    <row r="187" spans="1:4" ht="15.75" customHeight="1">
      <c r="A187" s="1"/>
      <c r="B187" s="1"/>
      <c r="C187" s="1"/>
      <c r="D187" s="1"/>
    </row>
    <row r="188" spans="1:4" ht="15.75" customHeight="1">
      <c r="A188" s="1"/>
      <c r="B188" s="1"/>
      <c r="C188" s="1"/>
      <c r="D188" s="1"/>
    </row>
    <row r="189" spans="1:4" ht="15.75" customHeight="1">
      <c r="A189" s="1"/>
      <c r="B189" s="1"/>
      <c r="C189" s="1"/>
      <c r="D189" s="1"/>
    </row>
    <row r="190" spans="1:4" ht="15.75" customHeight="1">
      <c r="A190" s="1"/>
      <c r="B190" s="1"/>
      <c r="C190" s="1"/>
      <c r="D190" s="1"/>
    </row>
    <row r="191" spans="1:4" ht="15.75" customHeight="1">
      <c r="A191" s="1"/>
      <c r="B191" s="1"/>
      <c r="C191" s="1"/>
      <c r="D191" s="1"/>
    </row>
    <row r="192" spans="1:4" ht="15.75" customHeight="1">
      <c r="A192" s="1"/>
      <c r="B192" s="1"/>
      <c r="C192" s="1"/>
      <c r="D192" s="1"/>
    </row>
    <row r="193" spans="1:4" ht="15.75" customHeight="1">
      <c r="A193" s="1"/>
      <c r="B193" s="1"/>
      <c r="C193" s="1"/>
      <c r="D193" s="1"/>
    </row>
    <row r="194" spans="1:4" ht="15.75" customHeight="1">
      <c r="A194" s="1"/>
      <c r="B194" s="1"/>
      <c r="C194" s="1"/>
      <c r="D194" s="1"/>
    </row>
    <row r="195" spans="1:4" ht="15.75" customHeight="1">
      <c r="A195" s="1"/>
      <c r="B195" s="1"/>
      <c r="C195" s="1"/>
      <c r="D195" s="1"/>
    </row>
    <row r="196" spans="1:4" ht="15.75" customHeight="1">
      <c r="A196" s="1"/>
      <c r="B196" s="1"/>
      <c r="C196" s="1"/>
      <c r="D196" s="1"/>
    </row>
    <row r="197" spans="1:4" ht="15.75" customHeight="1">
      <c r="A197" s="1"/>
      <c r="B197" s="1"/>
      <c r="C197" s="1"/>
      <c r="D197" s="1"/>
    </row>
    <row r="198" spans="1:4" ht="15.75" customHeight="1">
      <c r="A198" s="1"/>
      <c r="B198" s="1"/>
      <c r="C198" s="1"/>
      <c r="D198" s="1"/>
    </row>
    <row r="199" spans="1:4" ht="15.75" customHeight="1">
      <c r="A199" s="1"/>
      <c r="B199" s="1"/>
      <c r="C199" s="1"/>
      <c r="D199" s="1"/>
    </row>
    <row r="200" spans="1:4" ht="15.75" customHeight="1">
      <c r="A200" s="1"/>
      <c r="B200" s="1"/>
      <c r="C200" s="1"/>
      <c r="D200" s="1"/>
    </row>
    <row r="201" spans="1:4" ht="15.75" customHeight="1">
      <c r="A201" s="1"/>
      <c r="B201" s="1"/>
      <c r="C201" s="1"/>
      <c r="D201" s="1"/>
    </row>
    <row r="202" spans="1:4" ht="15.75" customHeight="1">
      <c r="A202" s="1"/>
      <c r="B202" s="1"/>
      <c r="C202" s="1"/>
      <c r="D202" s="1"/>
    </row>
    <row r="203" spans="1:4" ht="15.75" customHeight="1">
      <c r="A203" s="1"/>
      <c r="B203" s="1"/>
      <c r="C203" s="1"/>
      <c r="D203" s="1"/>
    </row>
    <row r="204" spans="1:4" ht="15.75" customHeight="1">
      <c r="A204" s="1"/>
      <c r="B204" s="1"/>
      <c r="C204" s="1"/>
      <c r="D204" s="1"/>
    </row>
    <row r="205" spans="1:4" ht="15.75" customHeight="1">
      <c r="A205" s="1"/>
      <c r="B205" s="1"/>
      <c r="C205" s="1"/>
      <c r="D205" s="1"/>
    </row>
    <row r="206" spans="1:4" ht="15.75" customHeight="1">
      <c r="A206" s="1"/>
      <c r="B206" s="1"/>
      <c r="C206" s="1"/>
      <c r="D206" s="1"/>
    </row>
    <row r="207" spans="1:4" ht="15.75" customHeight="1">
      <c r="A207" s="1"/>
      <c r="B207" s="1"/>
      <c r="C207" s="1"/>
      <c r="D207" s="1"/>
    </row>
    <row r="208" spans="1:4" ht="15.75" customHeight="1">
      <c r="A208" s="1"/>
      <c r="B208" s="1"/>
      <c r="C208" s="1"/>
      <c r="D208" s="1"/>
    </row>
    <row r="209" spans="1:4" ht="15.75" customHeight="1">
      <c r="A209" s="1"/>
      <c r="B209" s="1"/>
      <c r="C209" s="1"/>
      <c r="D209" s="1"/>
    </row>
    <row r="210" spans="1:4" ht="15.75" customHeight="1">
      <c r="A210" s="1"/>
      <c r="B210" s="1"/>
      <c r="C210" s="1"/>
      <c r="D210" s="1"/>
    </row>
    <row r="211" spans="1:4" ht="15.75" customHeight="1">
      <c r="A211" s="1"/>
      <c r="B211" s="1"/>
      <c r="C211" s="1"/>
      <c r="D211" s="1"/>
    </row>
    <row r="212" spans="1:4" ht="15.75" customHeight="1">
      <c r="A212" s="1"/>
      <c r="B212" s="1"/>
      <c r="C212" s="1"/>
      <c r="D212" s="1"/>
    </row>
    <row r="213" spans="1:4" ht="15.75" customHeight="1">
      <c r="A213" s="1"/>
      <c r="B213" s="1"/>
      <c r="C213" s="1"/>
      <c r="D213" s="1"/>
    </row>
    <row r="214" spans="1:4" ht="15.75" customHeight="1">
      <c r="A214" s="1"/>
      <c r="B214" s="1"/>
      <c r="C214" s="1"/>
      <c r="D214" s="1"/>
    </row>
    <row r="215" spans="1:4" ht="15.75" customHeight="1">
      <c r="A215" s="1"/>
      <c r="B215" s="1"/>
      <c r="C215" s="1"/>
      <c r="D215" s="1"/>
    </row>
    <row r="216" spans="1:4" ht="15.75" customHeight="1">
      <c r="A216" s="1"/>
      <c r="B216" s="1"/>
      <c r="C216" s="1"/>
      <c r="D216" s="1"/>
    </row>
    <row r="217" spans="1:4" ht="15.75" customHeight="1">
      <c r="A217" s="1"/>
      <c r="B217" s="1"/>
      <c r="C217" s="1"/>
      <c r="D217" s="1"/>
    </row>
    <row r="218" spans="1:4" ht="15.75" customHeight="1">
      <c r="A218" s="1"/>
      <c r="B218" s="1"/>
      <c r="C218" s="1"/>
      <c r="D218" s="1"/>
    </row>
    <row r="219" spans="1:4" ht="15.75" customHeight="1">
      <c r="A219" s="1"/>
      <c r="B219" s="1"/>
      <c r="C219" s="1"/>
      <c r="D219" s="1"/>
    </row>
    <row r="220" spans="1:4" ht="15.75" customHeight="1">
      <c r="A220" s="1"/>
      <c r="B220" s="1"/>
      <c r="C220" s="1"/>
      <c r="D220" s="1"/>
    </row>
    <row r="221" spans="1:4" ht="15.75" customHeight="1">
      <c r="A221" s="1"/>
      <c r="B221" s="1"/>
      <c r="C221" s="1"/>
      <c r="D221" s="1"/>
    </row>
    <row r="222" spans="1:4" ht="15.75" customHeight="1">
      <c r="A222" s="1"/>
      <c r="B222" s="1"/>
      <c r="C222" s="1"/>
      <c r="D222" s="1"/>
    </row>
    <row r="223" spans="1:4" ht="15.75" customHeight="1">
      <c r="A223" s="1"/>
      <c r="B223" s="1"/>
      <c r="C223" s="1"/>
      <c r="D223" s="1"/>
    </row>
    <row r="224" spans="1:4" ht="15.75" customHeight="1">
      <c r="A224" s="1"/>
      <c r="B224" s="1"/>
      <c r="C224" s="1"/>
      <c r="D224" s="1"/>
    </row>
    <row r="225" spans="1:4" ht="15.75" customHeight="1">
      <c r="A225" s="1"/>
      <c r="B225" s="1"/>
      <c r="C225" s="1"/>
      <c r="D225" s="1"/>
    </row>
    <row r="226" spans="1:4" ht="15.75" customHeight="1">
      <c r="A226" s="1"/>
      <c r="B226" s="1"/>
      <c r="C226" s="1"/>
      <c r="D226" s="1"/>
    </row>
    <row r="227" spans="1:4" ht="15.75" customHeight="1">
      <c r="A227" s="1"/>
      <c r="B227" s="1"/>
      <c r="C227" s="1"/>
      <c r="D227" s="1"/>
    </row>
    <row r="228" spans="1:4" ht="15.75" customHeight="1">
      <c r="A228" s="1"/>
      <c r="B228" s="1"/>
      <c r="C228" s="1"/>
      <c r="D228" s="1"/>
    </row>
    <row r="229" spans="1:4" ht="15.75" customHeight="1">
      <c r="A229" s="1"/>
      <c r="B229" s="1"/>
      <c r="C229" s="1"/>
      <c r="D229" s="1"/>
    </row>
    <row r="230" spans="1:4" ht="15.75" customHeight="1">
      <c r="A230" s="1"/>
      <c r="B230" s="1"/>
      <c r="C230" s="1"/>
      <c r="D230" s="1"/>
    </row>
    <row r="231" spans="1:4" ht="15.75" customHeight="1">
      <c r="A231" s="1"/>
      <c r="B231" s="1"/>
      <c r="C231" s="1"/>
      <c r="D231" s="1"/>
    </row>
    <row r="232" spans="1:4" ht="15.75" customHeight="1">
      <c r="A232" s="1"/>
      <c r="B232" s="1"/>
      <c r="C232" s="1"/>
      <c r="D232" s="1"/>
    </row>
    <row r="233" spans="1:4" ht="15.75" customHeight="1">
      <c r="A233" s="1"/>
      <c r="B233" s="1"/>
      <c r="C233" s="1"/>
      <c r="D233" s="1"/>
    </row>
    <row r="234" spans="1:4" ht="15.75" customHeight="1">
      <c r="A234" s="1"/>
      <c r="B234" s="1"/>
      <c r="C234" s="1"/>
      <c r="D234" s="1"/>
    </row>
    <row r="235" spans="1:4" ht="15.75" customHeight="1">
      <c r="A235" s="1"/>
      <c r="B235" s="1"/>
      <c r="C235" s="1"/>
      <c r="D235" s="1"/>
    </row>
    <row r="236" spans="1:4" ht="15.75" customHeight="1">
      <c r="A236" s="1"/>
      <c r="B236" s="1"/>
      <c r="C236" s="1"/>
      <c r="D236" s="1"/>
    </row>
    <row r="237" spans="1:4" ht="15.75" customHeight="1">
      <c r="A237" s="1"/>
      <c r="B237" s="1"/>
      <c r="C237" s="1"/>
      <c r="D237" s="1"/>
    </row>
    <row r="238" spans="1:4" ht="15.75" customHeight="1">
      <c r="A238" s="1"/>
      <c r="B238" s="1"/>
      <c r="C238" s="1"/>
      <c r="D238" s="1"/>
    </row>
    <row r="239" spans="1:4" ht="15.75" customHeight="1">
      <c r="A239" s="1"/>
      <c r="B239" s="1"/>
      <c r="C239" s="1"/>
      <c r="D239" s="1"/>
    </row>
    <row r="240" spans="1:4" ht="15.75" customHeight="1">
      <c r="A240" s="1"/>
      <c r="B240" s="1"/>
      <c r="C240" s="1"/>
      <c r="D240" s="1"/>
    </row>
    <row r="241" spans="1:4" ht="15.75" customHeight="1">
      <c r="A241" s="1"/>
      <c r="B241" s="1"/>
      <c r="C241" s="1"/>
      <c r="D241" s="1"/>
    </row>
    <row r="242" spans="1:4" ht="15.75" customHeight="1">
      <c r="A242" s="1"/>
      <c r="B242" s="1"/>
      <c r="C242" s="1"/>
      <c r="D242" s="1"/>
    </row>
    <row r="243" spans="1:4" ht="15.75" customHeight="1">
      <c r="A243" s="1"/>
      <c r="B243" s="1"/>
      <c r="C243" s="1"/>
      <c r="D243" s="1"/>
    </row>
    <row r="244" spans="1:4" ht="15.75" customHeight="1">
      <c r="A244" s="1"/>
      <c r="B244" s="1"/>
      <c r="C244" s="1"/>
      <c r="D244" s="1"/>
    </row>
    <row r="245" spans="1:4" ht="15.75" customHeight="1">
      <c r="A245" s="1"/>
      <c r="B245" s="1"/>
      <c r="C245" s="1"/>
      <c r="D245" s="1"/>
    </row>
    <row r="246" spans="1:4" ht="15.75" customHeight="1">
      <c r="A246" s="1"/>
      <c r="B246" s="1"/>
      <c r="C246" s="1"/>
      <c r="D246" s="1"/>
    </row>
    <row r="247" spans="1:4" ht="15.75" customHeight="1">
      <c r="A247" s="1"/>
      <c r="B247" s="1"/>
      <c r="C247" s="1"/>
      <c r="D247" s="1"/>
    </row>
    <row r="248" spans="1:4" ht="15.75" customHeight="1">
      <c r="A248" s="1"/>
      <c r="B248" s="1"/>
      <c r="C248" s="1"/>
      <c r="D248" s="1"/>
    </row>
    <row r="249" spans="1:4" ht="15.75" customHeight="1">
      <c r="A249" s="1"/>
      <c r="B249" s="1"/>
      <c r="C249" s="1"/>
      <c r="D249" s="1"/>
    </row>
    <row r="250" spans="1:4" ht="15.75" customHeight="1">
      <c r="A250" s="1"/>
      <c r="B250" s="1"/>
      <c r="C250" s="1"/>
      <c r="D250" s="1"/>
    </row>
    <row r="251" spans="1:4" ht="15.75" customHeight="1">
      <c r="A251" s="1"/>
      <c r="B251" s="1"/>
      <c r="C251" s="1"/>
      <c r="D251" s="1"/>
    </row>
    <row r="252" spans="1:4" ht="15.75" customHeight="1">
      <c r="A252" s="1"/>
      <c r="B252" s="1"/>
      <c r="C252" s="1"/>
      <c r="D252" s="1"/>
    </row>
    <row r="253" spans="1:4" ht="15.75" customHeight="1">
      <c r="A253" s="1"/>
      <c r="B253" s="1"/>
      <c r="C253" s="1"/>
      <c r="D253" s="1"/>
    </row>
    <row r="254" spans="1:4" ht="15.75" customHeight="1">
      <c r="A254" s="1"/>
      <c r="B254" s="1"/>
      <c r="C254" s="1"/>
      <c r="D254" s="1"/>
    </row>
    <row r="255" spans="1:4" ht="15.75" customHeight="1">
      <c r="A255" s="1"/>
      <c r="B255" s="1"/>
      <c r="C255" s="1"/>
      <c r="D255" s="1"/>
    </row>
    <row r="256" spans="1:4" ht="15.75" customHeight="1">
      <c r="A256" s="1"/>
      <c r="B256" s="1"/>
      <c r="C256" s="1"/>
      <c r="D256" s="1"/>
    </row>
    <row r="257" spans="1:4" ht="15.75" customHeight="1">
      <c r="A257" s="1"/>
      <c r="B257" s="1"/>
      <c r="C257" s="1"/>
      <c r="D257" s="1"/>
    </row>
    <row r="258" spans="1:4" ht="15.75" customHeight="1">
      <c r="A258" s="1"/>
      <c r="B258" s="1"/>
      <c r="C258" s="1"/>
      <c r="D258" s="1"/>
    </row>
    <row r="259" spans="1:4" ht="15.75" customHeight="1">
      <c r="A259" s="1"/>
      <c r="B259" s="1"/>
      <c r="C259" s="1"/>
      <c r="D259" s="1"/>
    </row>
    <row r="260" spans="1:4" ht="15.75" customHeight="1">
      <c r="A260" s="1"/>
      <c r="B260" s="1"/>
      <c r="C260" s="1"/>
      <c r="D260" s="1"/>
    </row>
    <row r="261" spans="1:4" ht="15.75" customHeight="1">
      <c r="A261" s="1"/>
      <c r="B261" s="1"/>
      <c r="C261" s="1"/>
      <c r="D261" s="1"/>
    </row>
    <row r="262" spans="1:4" ht="15.75" customHeight="1">
      <c r="A262" s="1"/>
      <c r="B262" s="1"/>
      <c r="C262" s="1"/>
      <c r="D262" s="1"/>
    </row>
    <row r="263" spans="1:4" ht="15.75" customHeight="1">
      <c r="A263" s="1"/>
      <c r="B263" s="1"/>
      <c r="C263" s="1"/>
      <c r="D263" s="1"/>
    </row>
    <row r="264" spans="1:4" ht="15.75" customHeight="1">
      <c r="A264" s="1"/>
      <c r="B264" s="1"/>
      <c r="C264" s="1"/>
      <c r="D264" s="1"/>
    </row>
    <row r="265" spans="1:4" ht="15.75" customHeight="1">
      <c r="A265" s="1"/>
      <c r="B265" s="1"/>
      <c r="C265" s="1"/>
      <c r="D265" s="1"/>
    </row>
    <row r="266" spans="1:4" ht="15.75" customHeight="1">
      <c r="A266" s="1"/>
      <c r="B266" s="1"/>
      <c r="C266" s="1"/>
      <c r="D266" s="1"/>
    </row>
    <row r="267" spans="1:4" ht="15.75" customHeight="1">
      <c r="A267" s="1"/>
      <c r="B267" s="1"/>
      <c r="C267" s="1"/>
      <c r="D267" s="1"/>
    </row>
    <row r="268" spans="1:4" ht="15.75" customHeight="1">
      <c r="A268" s="1"/>
      <c r="B268" s="1"/>
      <c r="C268" s="1"/>
      <c r="D268" s="1"/>
    </row>
    <row r="269" spans="1:4" ht="15.75" customHeight="1">
      <c r="A269" s="1"/>
      <c r="B269" s="1"/>
      <c r="C269" s="1"/>
      <c r="D269" s="1"/>
    </row>
    <row r="270" spans="1:4" ht="15.75" customHeight="1">
      <c r="A270" s="1"/>
      <c r="B270" s="1"/>
      <c r="C270" s="1"/>
      <c r="D270" s="1"/>
    </row>
    <row r="271" spans="1:4" ht="15.75" customHeight="1">
      <c r="A271" s="1"/>
      <c r="B271" s="1"/>
      <c r="C271" s="1"/>
      <c r="D271" s="1"/>
    </row>
    <row r="272" spans="1:4" ht="15.75" customHeight="1">
      <c r="A272" s="1"/>
      <c r="B272" s="1"/>
      <c r="C272" s="1"/>
      <c r="D272" s="1"/>
    </row>
    <row r="273" spans="1:4" ht="15.75" customHeight="1">
      <c r="A273" s="1"/>
      <c r="B273" s="1"/>
      <c r="C273" s="1"/>
      <c r="D273" s="1"/>
    </row>
    <row r="274" spans="1:4" ht="15.75" customHeight="1">
      <c r="A274" s="1"/>
      <c r="B274" s="1"/>
      <c r="C274" s="1"/>
      <c r="D274" s="1"/>
    </row>
    <row r="275" spans="1:4" ht="15.75" customHeight="1">
      <c r="A275" s="1"/>
      <c r="B275" s="1"/>
      <c r="C275" s="1"/>
      <c r="D275" s="1"/>
    </row>
    <row r="276" spans="1:4" ht="15.75" customHeight="1">
      <c r="A276" s="1"/>
      <c r="B276" s="1"/>
      <c r="C276" s="1"/>
      <c r="D276" s="1"/>
    </row>
    <row r="277" spans="1:4" ht="15.75" customHeight="1">
      <c r="A277" s="1"/>
      <c r="B277" s="1"/>
      <c r="C277" s="1"/>
      <c r="D277" s="1"/>
    </row>
    <row r="278" spans="1:4" ht="15.75" customHeight="1">
      <c r="A278" s="1"/>
      <c r="B278" s="1"/>
      <c r="C278" s="1"/>
      <c r="D278" s="1"/>
    </row>
    <row r="279" spans="1:4" ht="15.75" customHeight="1">
      <c r="A279" s="1"/>
      <c r="B279" s="1"/>
      <c r="C279" s="1"/>
      <c r="D279" s="1"/>
    </row>
    <row r="280" spans="1:4" ht="15.75" customHeight="1">
      <c r="A280" s="1"/>
      <c r="B280" s="1"/>
      <c r="C280" s="1"/>
      <c r="D280" s="1"/>
    </row>
    <row r="281" spans="1:4" ht="15.75" customHeight="1">
      <c r="A281" s="1"/>
      <c r="B281" s="1"/>
      <c r="C281" s="1"/>
      <c r="D281" s="1"/>
    </row>
    <row r="282" spans="1:4" ht="15.75" customHeight="1">
      <c r="A282" s="1"/>
      <c r="B282" s="1"/>
      <c r="C282" s="1"/>
      <c r="D282" s="1"/>
    </row>
    <row r="283" spans="1:4" ht="15.75" customHeight="1">
      <c r="A283" s="1"/>
      <c r="B283" s="1"/>
      <c r="C283" s="1"/>
      <c r="D283" s="1"/>
    </row>
    <row r="284" spans="1:4" ht="15.75" customHeight="1">
      <c r="A284" s="1"/>
      <c r="B284" s="1"/>
      <c r="C284" s="1"/>
      <c r="D284" s="1"/>
    </row>
    <row r="285" spans="1:4" ht="15.75" customHeight="1">
      <c r="A285" s="1"/>
      <c r="B285" s="1"/>
      <c r="C285" s="1"/>
      <c r="D285" s="1"/>
    </row>
    <row r="286" spans="1:4" ht="15.75" customHeight="1">
      <c r="A286" s="1"/>
      <c r="B286" s="1"/>
      <c r="C286" s="1"/>
      <c r="D286" s="1"/>
    </row>
    <row r="287" spans="1:4" ht="15.75" customHeight="1">
      <c r="A287" s="1"/>
      <c r="B287" s="1"/>
      <c r="C287" s="1"/>
      <c r="D287" s="1"/>
    </row>
    <row r="288" spans="1:4" ht="15.75" customHeight="1">
      <c r="A288" s="1"/>
      <c r="B288" s="1"/>
      <c r="C288" s="1"/>
      <c r="D288" s="1"/>
    </row>
    <row r="289" spans="1:4" ht="15.75" customHeight="1">
      <c r="A289" s="1"/>
      <c r="B289" s="1"/>
      <c r="C289" s="1"/>
      <c r="D289" s="1"/>
    </row>
    <row r="290" spans="1:4" ht="15.75" customHeight="1">
      <c r="A290" s="1"/>
      <c r="B290" s="1"/>
      <c r="C290" s="1"/>
      <c r="D290" s="1"/>
    </row>
    <row r="291" spans="1:4" ht="15.75" customHeight="1">
      <c r="A291" s="1"/>
      <c r="B291" s="1"/>
      <c r="C291" s="1"/>
      <c r="D291" s="1"/>
    </row>
    <row r="292" spans="1:4" ht="15.75" customHeight="1">
      <c r="A292" s="1"/>
      <c r="B292" s="1"/>
      <c r="C292" s="1"/>
      <c r="D292" s="1"/>
    </row>
    <row r="293" spans="1:4" ht="15.75" customHeight="1">
      <c r="A293" s="1"/>
      <c r="B293" s="1"/>
      <c r="C293" s="1"/>
      <c r="D293" s="1"/>
    </row>
    <row r="294" spans="1:4" ht="15.75" customHeight="1">
      <c r="A294" s="1"/>
      <c r="B294" s="1"/>
      <c r="C294" s="1"/>
      <c r="D294" s="1"/>
    </row>
    <row r="295" spans="1:4" ht="15.75" customHeight="1">
      <c r="A295" s="1"/>
      <c r="B295" s="1"/>
      <c r="C295" s="1"/>
      <c r="D295" s="1"/>
    </row>
    <row r="296" spans="1:4" ht="15.75" customHeight="1">
      <c r="A296" s="1"/>
      <c r="B296" s="1"/>
      <c r="C296" s="1"/>
      <c r="D296" s="1"/>
    </row>
    <row r="297" spans="1:4" ht="15.75" customHeight="1">
      <c r="A297" s="1"/>
      <c r="B297" s="1"/>
      <c r="C297" s="1"/>
      <c r="D297" s="1"/>
    </row>
    <row r="298" spans="1:4" ht="15.75" customHeight="1">
      <c r="A298" s="1"/>
      <c r="B298" s="1"/>
      <c r="C298" s="1"/>
      <c r="D298" s="1"/>
    </row>
    <row r="299" spans="1:4" ht="15.75" customHeight="1">
      <c r="A299" s="1"/>
      <c r="B299" s="1"/>
      <c r="C299" s="1"/>
      <c r="D299" s="1"/>
    </row>
    <row r="300" spans="1:4" ht="15.75" customHeight="1">
      <c r="A300" s="1"/>
      <c r="B300" s="1"/>
      <c r="C300" s="1"/>
      <c r="D300" s="1"/>
    </row>
    <row r="301" spans="1:4" ht="15.75" customHeight="1">
      <c r="A301" s="1"/>
      <c r="B301" s="1"/>
      <c r="C301" s="1"/>
      <c r="D301" s="1"/>
    </row>
    <row r="302" spans="1:4" ht="15.75" customHeight="1">
      <c r="A302" s="1"/>
      <c r="B302" s="1"/>
      <c r="C302" s="1"/>
      <c r="D302" s="1"/>
    </row>
    <row r="303" spans="1:4" ht="15.75" customHeight="1">
      <c r="A303" s="1"/>
      <c r="B303" s="1"/>
      <c r="C303" s="1"/>
      <c r="D303" s="1"/>
    </row>
    <row r="304" spans="1:4" ht="15.75" customHeight="1">
      <c r="A304" s="1"/>
      <c r="B304" s="1"/>
      <c r="C304" s="1"/>
      <c r="D304" s="1"/>
    </row>
    <row r="305" spans="1:4" ht="15.75" customHeight="1">
      <c r="A305" s="1"/>
      <c r="B305" s="1"/>
      <c r="C305" s="1"/>
      <c r="D305" s="1"/>
    </row>
    <row r="306" spans="1:4" ht="15.75" customHeight="1">
      <c r="A306" s="1"/>
      <c r="B306" s="1"/>
      <c r="C306" s="1"/>
      <c r="D306" s="1"/>
    </row>
    <row r="307" spans="1:4" ht="15.75" customHeight="1">
      <c r="A307" s="1"/>
      <c r="B307" s="1"/>
      <c r="C307" s="1"/>
      <c r="D307" s="1"/>
    </row>
    <row r="308" spans="1:4" ht="15.75" customHeight="1">
      <c r="A308" s="1"/>
      <c r="B308" s="1"/>
      <c r="C308" s="1"/>
      <c r="D308" s="1"/>
    </row>
    <row r="309" spans="1:4" ht="15.75" customHeight="1">
      <c r="A309" s="1"/>
      <c r="B309" s="1"/>
      <c r="C309" s="1"/>
      <c r="D309" s="1"/>
    </row>
    <row r="310" spans="1:4" ht="15.75" customHeight="1">
      <c r="A310" s="1"/>
      <c r="B310" s="1"/>
      <c r="C310" s="1"/>
      <c r="D310" s="1"/>
    </row>
    <row r="311" spans="1:4" ht="15.75" customHeight="1">
      <c r="A311" s="1"/>
      <c r="B311" s="1"/>
      <c r="C311" s="1"/>
      <c r="D311" s="1"/>
    </row>
    <row r="312" spans="1:4" ht="15.75" customHeight="1">
      <c r="A312" s="1"/>
      <c r="B312" s="1"/>
      <c r="C312" s="1"/>
      <c r="D312" s="1"/>
    </row>
    <row r="313" spans="1:4" ht="15.75" customHeight="1">
      <c r="A313" s="1"/>
      <c r="B313" s="1"/>
      <c r="C313" s="1"/>
      <c r="D313" s="1"/>
    </row>
    <row r="314" spans="1:4" ht="15.75" customHeight="1">
      <c r="A314" s="1"/>
      <c r="B314" s="1"/>
      <c r="C314" s="1"/>
      <c r="D314" s="1"/>
    </row>
    <row r="315" spans="1:4" ht="15.75" customHeight="1">
      <c r="A315" s="1"/>
      <c r="B315" s="1"/>
      <c r="C315" s="1"/>
      <c r="D315" s="1"/>
    </row>
    <row r="316" spans="1:4" ht="15.75" customHeight="1">
      <c r="A316" s="1"/>
      <c r="B316" s="1"/>
      <c r="C316" s="1"/>
      <c r="D316" s="1"/>
    </row>
    <row r="317" spans="1:4" ht="15.75" customHeight="1">
      <c r="A317" s="1"/>
      <c r="B317" s="1"/>
      <c r="C317" s="1"/>
      <c r="D317" s="1"/>
    </row>
    <row r="318" spans="1:4" ht="15.75" customHeight="1">
      <c r="A318" s="1"/>
      <c r="B318" s="1"/>
      <c r="C318" s="1"/>
      <c r="D318" s="1"/>
    </row>
    <row r="319" spans="1:4" ht="15.75" customHeight="1">
      <c r="A319" s="1"/>
      <c r="B319" s="1"/>
      <c r="C319" s="1"/>
      <c r="D319" s="1"/>
    </row>
    <row r="320" spans="1:4" ht="15.75" customHeight="1">
      <c r="A320" s="1"/>
      <c r="B320" s="1"/>
      <c r="C320" s="1"/>
      <c r="D320" s="1"/>
    </row>
    <row r="321" spans="1:4" ht="15.75" customHeight="1">
      <c r="A321" s="1"/>
      <c r="B321" s="1"/>
      <c r="C321" s="1"/>
      <c r="D321" s="1"/>
    </row>
    <row r="322" spans="1:4" ht="15.75" customHeight="1">
      <c r="A322" s="1"/>
      <c r="B322" s="1"/>
      <c r="C322" s="1"/>
      <c r="D322" s="1"/>
    </row>
    <row r="323" spans="1:4" ht="15.75" customHeight="1">
      <c r="A323" s="1"/>
      <c r="B323" s="1"/>
      <c r="C323" s="1"/>
      <c r="D323" s="1"/>
    </row>
    <row r="324" spans="1:4" ht="15.75" customHeight="1">
      <c r="A324" s="1"/>
      <c r="B324" s="1"/>
      <c r="C324" s="1"/>
      <c r="D324" s="1"/>
    </row>
    <row r="325" spans="1:4" ht="15.75" customHeight="1">
      <c r="A325" s="1"/>
      <c r="B325" s="1"/>
      <c r="C325" s="1"/>
      <c r="D325" s="1"/>
    </row>
    <row r="326" spans="1:4" ht="15.75" customHeight="1">
      <c r="A326" s="1"/>
      <c r="B326" s="1"/>
      <c r="C326" s="1"/>
      <c r="D326" s="1"/>
    </row>
    <row r="327" spans="1:4" ht="15.75" customHeight="1">
      <c r="A327" s="1"/>
      <c r="B327" s="1"/>
      <c r="C327" s="1"/>
      <c r="D327" s="1"/>
    </row>
    <row r="328" spans="1:4" ht="15.75" customHeight="1">
      <c r="A328" s="1"/>
      <c r="B328" s="1"/>
      <c r="C328" s="1"/>
      <c r="D328" s="1"/>
    </row>
    <row r="329" spans="1:4" ht="15.75" customHeight="1">
      <c r="A329" s="1"/>
      <c r="B329" s="1"/>
      <c r="C329" s="1"/>
      <c r="D329" s="1"/>
    </row>
    <row r="330" spans="1:4" ht="15.75" customHeight="1">
      <c r="A330" s="1"/>
      <c r="B330" s="1"/>
      <c r="C330" s="1"/>
      <c r="D330" s="1"/>
    </row>
    <row r="331" spans="1:4" ht="15.75" customHeight="1">
      <c r="A331" s="1"/>
      <c r="B331" s="1"/>
      <c r="C331" s="1"/>
      <c r="D331" s="1"/>
    </row>
    <row r="332" spans="1:4" ht="15.75" customHeight="1">
      <c r="A332" s="1"/>
      <c r="B332" s="1"/>
      <c r="C332" s="1"/>
      <c r="D332" s="1"/>
    </row>
    <row r="333" spans="1:4" ht="15.75" customHeight="1">
      <c r="A333" s="1"/>
      <c r="B333" s="1"/>
      <c r="C333" s="1"/>
      <c r="D333" s="1"/>
    </row>
    <row r="334" spans="1:4" ht="15.75" customHeight="1">
      <c r="A334" s="1"/>
      <c r="B334" s="1"/>
      <c r="C334" s="1"/>
      <c r="D334" s="1"/>
    </row>
    <row r="335" spans="1:4" ht="15.75" customHeight="1">
      <c r="A335" s="1"/>
      <c r="B335" s="1"/>
      <c r="C335" s="1"/>
      <c r="D335" s="1"/>
    </row>
    <row r="336" spans="1:4" ht="15.75" customHeight="1">
      <c r="A336" s="1"/>
      <c r="B336" s="1"/>
      <c r="C336" s="1"/>
      <c r="D336" s="1"/>
    </row>
    <row r="337" spans="1:4" ht="15.75" customHeight="1">
      <c r="A337" s="1"/>
      <c r="B337" s="1"/>
      <c r="C337" s="1"/>
      <c r="D337" s="1"/>
    </row>
    <row r="338" spans="1:4" ht="15.75" customHeight="1">
      <c r="A338" s="1"/>
      <c r="B338" s="1"/>
      <c r="C338" s="1"/>
      <c r="D338" s="1"/>
    </row>
    <row r="339" spans="1:4" ht="15.75" customHeight="1">
      <c r="A339" s="1"/>
      <c r="B339" s="1"/>
      <c r="C339" s="1"/>
      <c r="D339" s="1"/>
    </row>
    <row r="340" spans="1:4" ht="15.75" customHeight="1">
      <c r="A340" s="1"/>
      <c r="B340" s="1"/>
      <c r="C340" s="1"/>
      <c r="D340" s="1"/>
    </row>
    <row r="341" spans="1:4" ht="15.75" customHeight="1">
      <c r="A341" s="1"/>
      <c r="B341" s="1"/>
      <c r="C341" s="1"/>
      <c r="D341" s="1"/>
    </row>
    <row r="342" spans="1:4" ht="15.75" customHeight="1">
      <c r="A342" s="1"/>
      <c r="B342" s="1"/>
      <c r="C342" s="1"/>
      <c r="D342" s="1"/>
    </row>
    <row r="343" spans="1:4" ht="15.75" customHeight="1">
      <c r="A343" s="1"/>
      <c r="B343" s="1"/>
      <c r="C343" s="1"/>
      <c r="D343" s="1"/>
    </row>
    <row r="344" spans="1:4" ht="15.75" customHeight="1">
      <c r="A344" s="1"/>
      <c r="B344" s="1"/>
      <c r="C344" s="1"/>
      <c r="D344" s="1"/>
    </row>
    <row r="345" spans="1:4" ht="15.75" customHeight="1">
      <c r="A345" s="1"/>
      <c r="B345" s="1"/>
      <c r="C345" s="1"/>
      <c r="D345" s="1"/>
    </row>
    <row r="346" spans="1:4" ht="15.75" customHeight="1">
      <c r="A346" s="1"/>
      <c r="B346" s="1"/>
      <c r="C346" s="1"/>
      <c r="D346" s="1"/>
    </row>
    <row r="347" spans="1:4" ht="15.75" customHeight="1">
      <c r="A347" s="1"/>
      <c r="B347" s="1"/>
      <c r="C347" s="1"/>
      <c r="D347" s="1"/>
    </row>
    <row r="348" spans="1:4" ht="15.75" customHeight="1">
      <c r="A348" s="1"/>
      <c r="B348" s="1"/>
      <c r="C348" s="1"/>
      <c r="D348" s="1"/>
    </row>
    <row r="349" spans="1:4" ht="15.75" customHeight="1">
      <c r="A349" s="1"/>
      <c r="B349" s="1"/>
      <c r="C349" s="1"/>
      <c r="D349" s="1"/>
    </row>
    <row r="350" spans="1:4" ht="15.75" customHeight="1">
      <c r="A350" s="1"/>
      <c r="B350" s="1"/>
      <c r="C350" s="1"/>
      <c r="D350" s="1"/>
    </row>
    <row r="351" spans="1:4" ht="15.75" customHeight="1">
      <c r="A351" s="1"/>
      <c r="B351" s="1"/>
      <c r="C351" s="1"/>
      <c r="D351" s="1"/>
    </row>
    <row r="352" spans="1:4" ht="15.75" customHeight="1">
      <c r="A352" s="1"/>
      <c r="B352" s="1"/>
      <c r="C352" s="1"/>
      <c r="D352" s="1"/>
    </row>
    <row r="353" spans="1:4" ht="15.75" customHeight="1">
      <c r="A353" s="1"/>
      <c r="B353" s="1"/>
      <c r="C353" s="1"/>
      <c r="D353" s="1"/>
    </row>
    <row r="354" spans="1:4" ht="15.75" customHeight="1">
      <c r="A354" s="1"/>
      <c r="B354" s="1"/>
      <c r="C354" s="1"/>
      <c r="D354" s="1"/>
    </row>
    <row r="355" spans="1:4" ht="15.75" customHeight="1">
      <c r="A355" s="1"/>
      <c r="B355" s="1"/>
      <c r="C355" s="1"/>
      <c r="D355" s="1"/>
    </row>
    <row r="356" spans="1:4" ht="15.75" customHeight="1">
      <c r="A356" s="1"/>
      <c r="B356" s="1"/>
      <c r="C356" s="1"/>
      <c r="D356" s="1"/>
    </row>
    <row r="357" spans="1:4" ht="15.75" customHeight="1">
      <c r="A357" s="1"/>
      <c r="B357" s="1"/>
      <c r="C357" s="1"/>
      <c r="D357" s="1"/>
    </row>
    <row r="358" spans="1:4" ht="15.75" customHeight="1">
      <c r="A358" s="1"/>
      <c r="B358" s="1"/>
      <c r="C358" s="1"/>
      <c r="D358" s="1"/>
    </row>
    <row r="359" spans="1:4" ht="15.75" customHeight="1">
      <c r="A359" s="1"/>
      <c r="B359" s="1"/>
      <c r="C359" s="1"/>
      <c r="D359" s="1"/>
    </row>
    <row r="360" spans="1:4" ht="15.75" customHeight="1">
      <c r="A360" s="1"/>
      <c r="B360" s="1"/>
      <c r="C360" s="1"/>
      <c r="D360" s="1"/>
    </row>
    <row r="361" spans="1:4" ht="15.75" customHeight="1">
      <c r="A361" s="1"/>
      <c r="B361" s="1"/>
      <c r="C361" s="1"/>
      <c r="D361" s="1"/>
    </row>
    <row r="362" spans="1:4" ht="15.75" customHeight="1">
      <c r="A362" s="1"/>
      <c r="B362" s="1"/>
      <c r="C362" s="1"/>
      <c r="D362" s="1"/>
    </row>
    <row r="363" spans="1:4" ht="15.75" customHeight="1">
      <c r="A363" s="1"/>
      <c r="B363" s="1"/>
      <c r="C363" s="1"/>
      <c r="D363" s="1"/>
    </row>
    <row r="364" spans="1:4" ht="15.75" customHeight="1">
      <c r="A364" s="1"/>
      <c r="B364" s="1"/>
      <c r="C364" s="1"/>
      <c r="D364" s="1"/>
    </row>
    <row r="365" spans="1:4" ht="15.75" customHeight="1">
      <c r="A365" s="1"/>
      <c r="B365" s="1"/>
      <c r="C365" s="1"/>
      <c r="D365" s="1"/>
    </row>
    <row r="366" spans="1:4" ht="15.75" customHeight="1">
      <c r="A366" s="1"/>
      <c r="B366" s="1"/>
      <c r="C366" s="1"/>
      <c r="D366" s="1"/>
    </row>
    <row r="367" spans="1:4" ht="15.75" customHeight="1">
      <c r="A367" s="1"/>
      <c r="B367" s="1"/>
      <c r="C367" s="1"/>
      <c r="D367" s="1"/>
    </row>
    <row r="368" spans="1:4" ht="15.75" customHeight="1">
      <c r="A368" s="1"/>
      <c r="B368" s="1"/>
      <c r="C368" s="1"/>
      <c r="D368" s="1"/>
    </row>
    <row r="369" spans="1:4" ht="15.75" customHeight="1">
      <c r="A369" s="1"/>
      <c r="B369" s="1"/>
      <c r="C369" s="1"/>
      <c r="D369" s="1"/>
    </row>
    <row r="370" spans="1:4" ht="15.75" customHeight="1">
      <c r="A370" s="1"/>
      <c r="B370" s="1"/>
      <c r="C370" s="1"/>
      <c r="D370" s="1"/>
    </row>
    <row r="371" spans="1:4" ht="15.75" customHeight="1">
      <c r="A371" s="1"/>
      <c r="B371" s="1"/>
      <c r="C371" s="1"/>
      <c r="D371" s="1"/>
    </row>
    <row r="372" spans="1:4" ht="15.75" customHeight="1">
      <c r="A372" s="1"/>
      <c r="B372" s="1"/>
      <c r="C372" s="1"/>
      <c r="D372" s="1"/>
    </row>
    <row r="373" spans="1:4" ht="15.75" customHeight="1">
      <c r="A373" s="1"/>
      <c r="B373" s="1"/>
      <c r="C373" s="1"/>
      <c r="D373" s="1"/>
    </row>
    <row r="374" spans="1:4" ht="15.75" customHeight="1">
      <c r="A374" s="1"/>
      <c r="B374" s="1"/>
      <c r="C374" s="1"/>
      <c r="D374" s="1"/>
    </row>
    <row r="375" spans="1:4" ht="15.75" customHeight="1">
      <c r="A375" s="1"/>
      <c r="B375" s="1"/>
      <c r="C375" s="1"/>
      <c r="D375" s="1"/>
    </row>
    <row r="376" spans="1:4" ht="15.75" customHeight="1">
      <c r="A376" s="1"/>
      <c r="B376" s="1"/>
      <c r="C376" s="1"/>
      <c r="D376" s="1"/>
    </row>
    <row r="377" spans="1:4" ht="15.75" customHeight="1">
      <c r="A377" s="1"/>
      <c r="B377" s="1"/>
      <c r="C377" s="1"/>
      <c r="D377" s="1"/>
    </row>
    <row r="378" spans="1:4" ht="15.75" customHeight="1">
      <c r="A378" s="1"/>
      <c r="B378" s="1"/>
      <c r="C378" s="1"/>
      <c r="D378" s="1"/>
    </row>
    <row r="379" spans="1:4" ht="15.75" customHeight="1">
      <c r="A379" s="1"/>
      <c r="B379" s="1"/>
      <c r="C379" s="1"/>
      <c r="D379" s="1"/>
    </row>
    <row r="380" spans="1:4" ht="15.75" customHeight="1">
      <c r="A380" s="1"/>
      <c r="B380" s="1"/>
      <c r="C380" s="1"/>
      <c r="D380" s="1"/>
    </row>
    <row r="381" spans="1:4" ht="15.75" customHeight="1">
      <c r="A381" s="1"/>
      <c r="B381" s="1"/>
      <c r="C381" s="1"/>
      <c r="D381" s="1"/>
    </row>
    <row r="382" spans="1:4" ht="15.75" customHeight="1">
      <c r="A382" s="1"/>
      <c r="B382" s="1"/>
      <c r="C382" s="1"/>
      <c r="D382" s="1"/>
    </row>
    <row r="383" spans="1:4" ht="15.75" customHeight="1">
      <c r="A383" s="1"/>
      <c r="B383" s="1"/>
      <c r="C383" s="1"/>
      <c r="D383" s="1"/>
    </row>
    <row r="384" spans="1:4" ht="15.75" customHeight="1">
      <c r="A384" s="1"/>
      <c r="B384" s="1"/>
      <c r="C384" s="1"/>
      <c r="D384" s="1"/>
    </row>
    <row r="385" spans="1:4" ht="15.75" customHeight="1">
      <c r="A385" s="1"/>
      <c r="B385" s="1"/>
      <c r="C385" s="1"/>
      <c r="D385" s="1"/>
    </row>
    <row r="386" spans="1:4" ht="15.75" customHeight="1">
      <c r="A386" s="1"/>
      <c r="B386" s="1"/>
      <c r="C386" s="1"/>
      <c r="D386" s="1"/>
    </row>
    <row r="387" spans="1:4" ht="15.75" customHeight="1">
      <c r="A387" s="1"/>
      <c r="B387" s="1"/>
      <c r="C387" s="1"/>
      <c r="D387" s="1"/>
    </row>
    <row r="388" spans="1:4" ht="15.75" customHeight="1">
      <c r="A388" s="1"/>
      <c r="B388" s="1"/>
      <c r="C388" s="1"/>
      <c r="D388" s="1"/>
    </row>
    <row r="389" spans="1:4" ht="15.75" customHeight="1">
      <c r="A389" s="1"/>
      <c r="B389" s="1"/>
      <c r="C389" s="1"/>
      <c r="D389" s="1"/>
    </row>
    <row r="390" spans="1:4" ht="15.75" customHeight="1">
      <c r="A390" s="1"/>
      <c r="B390" s="1"/>
      <c r="C390" s="1"/>
      <c r="D390" s="1"/>
    </row>
    <row r="391" spans="1:4" ht="15.75" customHeight="1">
      <c r="A391" s="1"/>
      <c r="B391" s="1"/>
      <c r="C391" s="1"/>
      <c r="D391" s="1"/>
    </row>
    <row r="392" spans="1:4" ht="15.75" customHeight="1">
      <c r="A392" s="1"/>
      <c r="B392" s="1"/>
      <c r="C392" s="1"/>
      <c r="D392" s="1"/>
    </row>
    <row r="393" spans="1:4" ht="15.75" customHeight="1">
      <c r="A393" s="1"/>
      <c r="B393" s="1"/>
      <c r="C393" s="1"/>
      <c r="D393" s="1"/>
    </row>
    <row r="394" spans="1:4" ht="15.75" customHeight="1">
      <c r="A394" s="1"/>
      <c r="B394" s="1"/>
      <c r="C394" s="1"/>
      <c r="D394" s="1"/>
    </row>
    <row r="395" spans="1:4" ht="15.75" customHeight="1">
      <c r="A395" s="1"/>
      <c r="B395" s="1"/>
      <c r="C395" s="1"/>
      <c r="D395" s="1"/>
    </row>
    <row r="396" spans="1:4" ht="15.75" customHeight="1">
      <c r="A396" s="1"/>
      <c r="B396" s="1"/>
      <c r="C396" s="1"/>
      <c r="D396" s="1"/>
    </row>
    <row r="397" spans="1:4" ht="15.75" customHeight="1">
      <c r="A397" s="1"/>
      <c r="B397" s="1"/>
      <c r="C397" s="1"/>
      <c r="D397" s="1"/>
    </row>
    <row r="398" spans="1:4" ht="15.75" customHeight="1">
      <c r="A398" s="1"/>
      <c r="B398" s="1"/>
      <c r="C398" s="1"/>
      <c r="D398" s="1"/>
    </row>
    <row r="399" spans="1:4" ht="15.75" customHeight="1">
      <c r="A399" s="1"/>
      <c r="B399" s="1"/>
      <c r="C399" s="1"/>
      <c r="D399" s="1"/>
    </row>
    <row r="400" spans="1:4" ht="15.75" customHeight="1">
      <c r="A400" s="1"/>
      <c r="B400" s="1"/>
      <c r="C400" s="1"/>
      <c r="D400" s="1"/>
    </row>
    <row r="401" spans="1:4" ht="15.75" customHeight="1">
      <c r="A401" s="1"/>
      <c r="B401" s="1"/>
      <c r="C401" s="1"/>
      <c r="D401" s="1"/>
    </row>
    <row r="402" spans="1:4" ht="15.75" customHeight="1">
      <c r="A402" s="1"/>
      <c r="B402" s="1"/>
      <c r="C402" s="1"/>
      <c r="D402" s="1"/>
    </row>
    <row r="403" spans="1:4" ht="15.75" customHeight="1">
      <c r="A403" s="1"/>
      <c r="B403" s="1"/>
      <c r="C403" s="1"/>
      <c r="D403" s="1"/>
    </row>
    <row r="404" spans="1:4" ht="15.75" customHeight="1">
      <c r="A404" s="1"/>
      <c r="B404" s="1"/>
      <c r="C404" s="1"/>
      <c r="D404" s="1"/>
    </row>
    <row r="405" spans="1:4" ht="15.75" customHeight="1">
      <c r="A405" s="1"/>
      <c r="B405" s="1"/>
      <c r="C405" s="1"/>
      <c r="D405" s="1"/>
    </row>
    <row r="406" spans="1:4" ht="15.75" customHeight="1">
      <c r="A406" s="1"/>
      <c r="B406" s="1"/>
      <c r="C406" s="1"/>
      <c r="D406" s="1"/>
    </row>
    <row r="407" spans="1:4" ht="15.75" customHeight="1">
      <c r="A407" s="1"/>
      <c r="B407" s="1"/>
      <c r="C407" s="1"/>
      <c r="D407" s="1"/>
    </row>
    <row r="408" spans="1:4" ht="15.75" customHeight="1">
      <c r="A408" s="1"/>
      <c r="B408" s="1"/>
      <c r="C408" s="1"/>
      <c r="D408" s="1"/>
    </row>
    <row r="409" spans="1:4" ht="15.75" customHeight="1">
      <c r="A409" s="1"/>
      <c r="B409" s="1"/>
      <c r="C409" s="1"/>
      <c r="D409" s="1"/>
    </row>
    <row r="410" spans="1:4" ht="15.75" customHeight="1">
      <c r="A410" s="1"/>
      <c r="B410" s="1"/>
      <c r="C410" s="1"/>
      <c r="D410" s="1"/>
    </row>
    <row r="411" spans="1:4" ht="15.75" customHeight="1">
      <c r="A411" s="1"/>
      <c r="B411" s="1"/>
      <c r="C411" s="1"/>
      <c r="D411" s="1"/>
    </row>
    <row r="412" spans="1:4" ht="15.75" customHeight="1">
      <c r="A412" s="1"/>
      <c r="B412" s="1"/>
      <c r="C412" s="1"/>
      <c r="D412" s="1"/>
    </row>
    <row r="413" spans="1:4" ht="15.75" customHeight="1">
      <c r="A413" s="1"/>
      <c r="B413" s="1"/>
      <c r="C413" s="1"/>
      <c r="D413" s="1"/>
    </row>
    <row r="414" spans="1:4" ht="15.75" customHeight="1">
      <c r="A414" s="1"/>
      <c r="B414" s="1"/>
      <c r="C414" s="1"/>
      <c r="D414" s="1"/>
    </row>
    <row r="415" spans="1:4" ht="15.75" customHeight="1">
      <c r="A415" s="1"/>
      <c r="B415" s="1"/>
      <c r="C415" s="1"/>
      <c r="D415" s="1"/>
    </row>
    <row r="416" spans="1:4" ht="15.75" customHeight="1">
      <c r="A416" s="1"/>
      <c r="B416" s="1"/>
      <c r="C416" s="1"/>
      <c r="D416" s="1"/>
    </row>
    <row r="417" spans="1:4" ht="15.75" customHeight="1">
      <c r="A417" s="1"/>
      <c r="B417" s="1"/>
      <c r="C417" s="1"/>
      <c r="D417" s="1"/>
    </row>
    <row r="418" spans="1:4" ht="15.75" customHeight="1">
      <c r="A418" s="1"/>
      <c r="B418" s="1"/>
      <c r="C418" s="1"/>
      <c r="D418" s="1"/>
    </row>
    <row r="419" spans="1:4" ht="15.75" customHeight="1">
      <c r="A419" s="1"/>
      <c r="B419" s="1"/>
      <c r="C419" s="1"/>
      <c r="D419" s="1"/>
    </row>
    <row r="420" spans="1:4" ht="15.75" customHeight="1">
      <c r="A420" s="1"/>
      <c r="B420" s="1"/>
      <c r="C420" s="1"/>
      <c r="D420" s="1"/>
    </row>
    <row r="421" spans="1:4" ht="15.75" customHeight="1">
      <c r="A421" s="1"/>
      <c r="B421" s="1"/>
      <c r="C421" s="1"/>
      <c r="D421" s="1"/>
    </row>
    <row r="422" spans="1:4" ht="15.75" customHeight="1">
      <c r="A422" s="1"/>
      <c r="B422" s="1"/>
      <c r="C422" s="1"/>
      <c r="D422" s="1"/>
    </row>
    <row r="423" spans="1:4" ht="15.75" customHeight="1">
      <c r="A423" s="1"/>
      <c r="B423" s="1"/>
      <c r="C423" s="1"/>
      <c r="D423" s="1"/>
    </row>
    <row r="424" spans="1:4" ht="15.75" customHeight="1">
      <c r="A424" s="1"/>
      <c r="B424" s="1"/>
      <c r="C424" s="1"/>
      <c r="D424" s="1"/>
    </row>
    <row r="425" spans="1:4" ht="15.75" customHeight="1">
      <c r="A425" s="1"/>
      <c r="B425" s="1"/>
      <c r="C425" s="1"/>
      <c r="D425" s="1"/>
    </row>
    <row r="426" spans="1:4" ht="15.75" customHeight="1">
      <c r="A426" s="1"/>
      <c r="B426" s="1"/>
      <c r="C426" s="1"/>
      <c r="D426" s="1"/>
    </row>
    <row r="427" spans="1:4" ht="15.75" customHeight="1">
      <c r="A427" s="1"/>
      <c r="B427" s="1"/>
      <c r="C427" s="1"/>
      <c r="D427" s="1"/>
    </row>
    <row r="428" spans="1:4" ht="15.75" customHeight="1">
      <c r="A428" s="1"/>
      <c r="B428" s="1"/>
      <c r="C428" s="1"/>
      <c r="D428" s="1"/>
    </row>
    <row r="429" spans="1:4" ht="15.75" customHeight="1">
      <c r="A429" s="1"/>
      <c r="B429" s="1"/>
      <c r="C429" s="1"/>
      <c r="D429" s="1"/>
    </row>
    <row r="430" spans="1:4" ht="15.75" customHeight="1">
      <c r="A430" s="1"/>
      <c r="B430" s="1"/>
      <c r="C430" s="1"/>
      <c r="D430" s="1"/>
    </row>
    <row r="431" spans="1:4" ht="15.75" customHeight="1">
      <c r="A431" s="1"/>
      <c r="B431" s="1"/>
      <c r="C431" s="1"/>
      <c r="D431" s="1"/>
    </row>
    <row r="432" spans="1:4" ht="15.75" customHeight="1">
      <c r="A432" s="1"/>
      <c r="B432" s="1"/>
      <c r="C432" s="1"/>
      <c r="D432" s="1"/>
    </row>
    <row r="433" spans="1:4" ht="15.75" customHeight="1">
      <c r="A433" s="1"/>
      <c r="B433" s="1"/>
      <c r="C433" s="1"/>
      <c r="D433" s="1"/>
    </row>
    <row r="434" spans="1:4" ht="15.75" customHeight="1">
      <c r="A434" s="1"/>
      <c r="B434" s="1"/>
      <c r="C434" s="1"/>
      <c r="D434" s="1"/>
    </row>
    <row r="435" spans="1:4" ht="15.75" customHeight="1">
      <c r="A435" s="1"/>
      <c r="B435" s="1"/>
      <c r="C435" s="1"/>
      <c r="D435" s="1"/>
    </row>
    <row r="436" spans="1:4" ht="15.75" customHeight="1">
      <c r="A436" s="1"/>
      <c r="B436" s="1"/>
      <c r="C436" s="1"/>
      <c r="D436" s="1"/>
    </row>
    <row r="437" spans="1:4" ht="15.75" customHeight="1">
      <c r="A437" s="1"/>
      <c r="B437" s="1"/>
      <c r="C437" s="1"/>
      <c r="D437" s="1"/>
    </row>
    <row r="438" spans="1:4" ht="15.75" customHeight="1">
      <c r="A438" s="1"/>
      <c r="B438" s="1"/>
      <c r="C438" s="1"/>
      <c r="D438" s="1"/>
    </row>
    <row r="439" spans="1:4" ht="15.75" customHeight="1">
      <c r="A439" s="1"/>
      <c r="B439" s="1"/>
      <c r="C439" s="1"/>
      <c r="D439" s="1"/>
    </row>
    <row r="440" spans="1:4" ht="15.75" customHeight="1">
      <c r="A440" s="1"/>
      <c r="B440" s="1"/>
      <c r="C440" s="1"/>
      <c r="D440" s="1"/>
    </row>
    <row r="441" spans="1:4" ht="15.75" customHeight="1">
      <c r="A441" s="1"/>
      <c r="B441" s="1"/>
      <c r="C441" s="1"/>
      <c r="D441" s="1"/>
    </row>
    <row r="442" spans="1:4" ht="15.75" customHeight="1">
      <c r="A442" s="1"/>
      <c r="B442" s="1"/>
      <c r="C442" s="1"/>
      <c r="D442" s="1"/>
    </row>
    <row r="443" spans="1:4" ht="15.75" customHeight="1">
      <c r="A443" s="1"/>
      <c r="B443" s="1"/>
      <c r="C443" s="1"/>
      <c r="D443" s="1"/>
    </row>
    <row r="444" spans="1:4" ht="15.75" customHeight="1">
      <c r="A444" s="1"/>
      <c r="B444" s="1"/>
      <c r="C444" s="1"/>
      <c r="D444" s="1"/>
    </row>
    <row r="445" spans="1:4" ht="15.75" customHeight="1">
      <c r="A445" s="1"/>
      <c r="B445" s="1"/>
      <c r="C445" s="1"/>
      <c r="D445" s="1"/>
    </row>
    <row r="446" spans="1:4" ht="15.75" customHeight="1">
      <c r="A446" s="1"/>
      <c r="B446" s="1"/>
      <c r="C446" s="1"/>
      <c r="D446" s="1"/>
    </row>
    <row r="447" spans="1:4" ht="15.75" customHeight="1">
      <c r="A447" s="1"/>
      <c r="B447" s="1"/>
      <c r="C447" s="1"/>
      <c r="D447" s="1"/>
    </row>
    <row r="448" spans="1:4" ht="15.75" customHeight="1">
      <c r="A448" s="1"/>
      <c r="B448" s="1"/>
      <c r="C448" s="1"/>
      <c r="D448" s="1"/>
    </row>
    <row r="449" spans="1:4" ht="15.75" customHeight="1">
      <c r="A449" s="1"/>
      <c r="B449" s="1"/>
      <c r="C449" s="1"/>
      <c r="D449" s="1"/>
    </row>
    <row r="450" spans="1:4" ht="15.75" customHeight="1">
      <c r="A450" s="1"/>
      <c r="B450" s="1"/>
      <c r="C450" s="1"/>
      <c r="D450" s="1"/>
    </row>
    <row r="451" spans="1:4" ht="15.75" customHeight="1">
      <c r="A451" s="1"/>
      <c r="B451" s="1"/>
      <c r="C451" s="1"/>
      <c r="D451" s="1"/>
    </row>
    <row r="452" spans="1:4" ht="15.75" customHeight="1">
      <c r="A452" s="1"/>
      <c r="B452" s="1"/>
      <c r="C452" s="1"/>
      <c r="D452" s="1"/>
    </row>
    <row r="453" spans="1:4" ht="15.75" customHeight="1">
      <c r="A453" s="1"/>
      <c r="B453" s="1"/>
      <c r="C453" s="1"/>
      <c r="D453" s="1"/>
    </row>
    <row r="454" spans="1:4" ht="15.75" customHeight="1">
      <c r="A454" s="1"/>
      <c r="B454" s="1"/>
      <c r="C454" s="1"/>
      <c r="D454" s="1"/>
    </row>
    <row r="455" spans="1:4" ht="15.75" customHeight="1">
      <c r="A455" s="1"/>
      <c r="B455" s="1"/>
      <c r="C455" s="1"/>
      <c r="D455" s="1"/>
    </row>
    <row r="456" spans="1:4" ht="15.75" customHeight="1">
      <c r="A456" s="1"/>
      <c r="B456" s="1"/>
      <c r="C456" s="1"/>
      <c r="D456" s="1"/>
    </row>
    <row r="457" spans="1:4" ht="15.75" customHeight="1">
      <c r="A457" s="1"/>
      <c r="B457" s="1"/>
      <c r="C457" s="1"/>
      <c r="D457" s="1"/>
    </row>
    <row r="458" spans="1:4" ht="15.75" customHeight="1">
      <c r="A458" s="1"/>
      <c r="B458" s="1"/>
      <c r="C458" s="1"/>
      <c r="D458" s="1"/>
    </row>
    <row r="459" spans="1:4" ht="15.75" customHeight="1">
      <c r="A459" s="1"/>
      <c r="B459" s="1"/>
      <c r="C459" s="1"/>
      <c r="D459" s="1"/>
    </row>
    <row r="460" spans="1:4" ht="15.75" customHeight="1">
      <c r="A460" s="1"/>
      <c r="B460" s="1"/>
      <c r="C460" s="1"/>
      <c r="D460" s="1"/>
    </row>
    <row r="461" spans="1:4" ht="15.75" customHeight="1">
      <c r="A461" s="1"/>
      <c r="B461" s="1"/>
      <c r="C461" s="1"/>
      <c r="D461" s="1"/>
    </row>
    <row r="462" spans="1:4" ht="15.75" customHeight="1">
      <c r="A462" s="1"/>
      <c r="B462" s="1"/>
      <c r="C462" s="1"/>
      <c r="D462" s="1"/>
    </row>
    <row r="463" spans="1:4" ht="15.75" customHeight="1">
      <c r="A463" s="1"/>
      <c r="B463" s="1"/>
      <c r="C463" s="1"/>
      <c r="D463" s="1"/>
    </row>
    <row r="464" spans="1:4" ht="15.75" customHeight="1">
      <c r="A464" s="1"/>
      <c r="B464" s="1"/>
      <c r="C464" s="1"/>
      <c r="D464" s="1"/>
    </row>
    <row r="465" spans="1:4" ht="15.75" customHeight="1">
      <c r="A465" s="1"/>
      <c r="B465" s="1"/>
      <c r="C465" s="1"/>
      <c r="D465" s="1"/>
    </row>
    <row r="466" spans="1:4" ht="15.75" customHeight="1">
      <c r="A466" s="1"/>
      <c r="B466" s="1"/>
      <c r="C466" s="1"/>
      <c r="D466" s="1"/>
    </row>
    <row r="467" spans="1:4" ht="15.75" customHeight="1">
      <c r="A467" s="1"/>
      <c r="B467" s="1"/>
      <c r="C467" s="1"/>
      <c r="D467" s="1"/>
    </row>
    <row r="468" spans="1:4" ht="15.75" customHeight="1">
      <c r="A468" s="1"/>
      <c r="B468" s="1"/>
      <c r="C468" s="1"/>
      <c r="D468" s="1"/>
    </row>
    <row r="469" spans="1:4" ht="15.75" customHeight="1">
      <c r="A469" s="1"/>
      <c r="B469" s="1"/>
      <c r="C469" s="1"/>
      <c r="D469" s="1"/>
    </row>
    <row r="470" spans="1:4" ht="15.75" customHeight="1">
      <c r="A470" s="1"/>
      <c r="B470" s="1"/>
      <c r="C470" s="1"/>
      <c r="D470" s="1"/>
    </row>
    <row r="471" spans="1:4" ht="15.75" customHeight="1">
      <c r="A471" s="1"/>
      <c r="B471" s="1"/>
      <c r="C471" s="1"/>
      <c r="D471" s="1"/>
    </row>
    <row r="472" spans="1:4" ht="15.75" customHeight="1">
      <c r="A472" s="1"/>
      <c r="B472" s="1"/>
      <c r="C472" s="1"/>
      <c r="D472" s="1"/>
    </row>
    <row r="473" spans="1:4" ht="15.75" customHeight="1">
      <c r="A473" s="1"/>
      <c r="B473" s="1"/>
      <c r="C473" s="1"/>
      <c r="D473" s="1"/>
    </row>
    <row r="474" spans="1:4" ht="15.75" customHeight="1">
      <c r="A474" s="1"/>
      <c r="B474" s="1"/>
      <c r="C474" s="1"/>
      <c r="D474" s="1"/>
    </row>
    <row r="475" spans="1:4" ht="15.75" customHeight="1">
      <c r="A475" s="1"/>
      <c r="B475" s="1"/>
      <c r="C475" s="1"/>
      <c r="D475" s="1"/>
    </row>
    <row r="476" spans="1:4" ht="15.75" customHeight="1">
      <c r="A476" s="1"/>
      <c r="B476" s="1"/>
      <c r="C476" s="1"/>
      <c r="D476" s="1"/>
    </row>
    <row r="477" spans="1:4" ht="15.75" customHeight="1">
      <c r="A477" s="1"/>
      <c r="B477" s="1"/>
      <c r="C477" s="1"/>
      <c r="D477" s="1"/>
    </row>
    <row r="478" spans="1:4" ht="15.75" customHeight="1">
      <c r="A478" s="1"/>
      <c r="B478" s="1"/>
      <c r="C478" s="1"/>
      <c r="D478" s="1"/>
    </row>
    <row r="479" spans="1:4" ht="15.75" customHeight="1">
      <c r="A479" s="1"/>
      <c r="B479" s="1"/>
      <c r="C479" s="1"/>
      <c r="D479" s="1"/>
    </row>
    <row r="480" spans="1:4" ht="15.75" customHeight="1">
      <c r="A480" s="1"/>
      <c r="B480" s="1"/>
      <c r="C480" s="1"/>
      <c r="D480" s="1"/>
    </row>
    <row r="481" spans="1:4" ht="15.75" customHeight="1">
      <c r="A481" s="1"/>
      <c r="B481" s="1"/>
      <c r="C481" s="1"/>
      <c r="D481" s="1"/>
    </row>
    <row r="482" spans="1:4" ht="15.75" customHeight="1">
      <c r="A482" s="1"/>
      <c r="B482" s="1"/>
      <c r="C482" s="1"/>
      <c r="D482" s="1"/>
    </row>
    <row r="483" spans="1:4" ht="15.75" customHeight="1">
      <c r="A483" s="1"/>
      <c r="B483" s="1"/>
      <c r="C483" s="1"/>
      <c r="D483" s="1"/>
    </row>
    <row r="484" spans="1:4" ht="15.75" customHeight="1">
      <c r="A484" s="1"/>
      <c r="B484" s="1"/>
      <c r="C484" s="1"/>
      <c r="D484" s="1"/>
    </row>
    <row r="485" spans="1:4" ht="15.75" customHeight="1">
      <c r="A485" s="1"/>
      <c r="B485" s="1"/>
      <c r="C485" s="1"/>
      <c r="D485" s="1"/>
    </row>
    <row r="486" spans="1:4" ht="15.75" customHeight="1">
      <c r="A486" s="1"/>
      <c r="B486" s="1"/>
      <c r="C486" s="1"/>
      <c r="D486" s="1"/>
    </row>
    <row r="487" spans="1:4" ht="15.75" customHeight="1">
      <c r="A487" s="1"/>
      <c r="B487" s="1"/>
      <c r="C487" s="1"/>
      <c r="D487" s="1"/>
    </row>
    <row r="488" spans="1:4" ht="15.75" customHeight="1">
      <c r="A488" s="1"/>
      <c r="B488" s="1"/>
      <c r="C488" s="1"/>
      <c r="D488" s="1"/>
    </row>
    <row r="489" spans="1:4" ht="15.75" customHeight="1">
      <c r="A489" s="1"/>
      <c r="B489" s="1"/>
      <c r="C489" s="1"/>
      <c r="D489" s="1"/>
    </row>
    <row r="490" spans="1:4" ht="15.75" customHeight="1">
      <c r="A490" s="1"/>
      <c r="B490" s="1"/>
      <c r="C490" s="1"/>
      <c r="D490" s="1"/>
    </row>
    <row r="491" spans="1:4" ht="15.75" customHeight="1">
      <c r="A491" s="1"/>
      <c r="B491" s="1"/>
      <c r="C491" s="1"/>
      <c r="D491" s="1"/>
    </row>
    <row r="492" spans="1:4" ht="15.75" customHeight="1">
      <c r="A492" s="1"/>
      <c r="B492" s="1"/>
      <c r="C492" s="1"/>
      <c r="D492" s="1"/>
    </row>
    <row r="493" spans="1:4" ht="15.75" customHeight="1">
      <c r="A493" s="1"/>
      <c r="B493" s="1"/>
      <c r="C493" s="1"/>
      <c r="D493" s="1"/>
    </row>
    <row r="494" spans="1:4" ht="15.75" customHeight="1">
      <c r="A494" s="1"/>
      <c r="B494" s="1"/>
      <c r="C494" s="1"/>
      <c r="D494" s="1"/>
    </row>
    <row r="495" spans="1:4" ht="15.75" customHeight="1">
      <c r="A495" s="1"/>
      <c r="B495" s="1"/>
      <c r="C495" s="1"/>
      <c r="D495" s="1"/>
    </row>
    <row r="496" spans="1:4" ht="15.75" customHeight="1">
      <c r="A496" s="1"/>
      <c r="B496" s="1"/>
      <c r="C496" s="1"/>
      <c r="D496" s="1"/>
    </row>
    <row r="497" spans="1:4" ht="15.75" customHeight="1">
      <c r="A497" s="1"/>
      <c r="B497" s="1"/>
      <c r="C497" s="1"/>
      <c r="D497" s="1"/>
    </row>
    <row r="498" spans="1:4" ht="15.75" customHeight="1">
      <c r="A498" s="1"/>
      <c r="B498" s="1"/>
      <c r="C498" s="1"/>
      <c r="D498" s="1"/>
    </row>
    <row r="499" spans="1:4" ht="15.75" customHeight="1">
      <c r="A499" s="1"/>
      <c r="B499" s="1"/>
      <c r="C499" s="1"/>
      <c r="D499" s="1"/>
    </row>
    <row r="500" spans="1:4" ht="15.75" customHeight="1">
      <c r="A500" s="1"/>
      <c r="B500" s="1"/>
      <c r="C500" s="1"/>
      <c r="D500" s="1"/>
    </row>
    <row r="501" spans="1:4" ht="15.75" customHeight="1">
      <c r="A501" s="1"/>
      <c r="B501" s="1"/>
      <c r="C501" s="1"/>
      <c r="D501" s="1"/>
    </row>
    <row r="502" spans="1:4" ht="15.75" customHeight="1">
      <c r="A502" s="1"/>
      <c r="B502" s="1"/>
      <c r="C502" s="1"/>
      <c r="D502" s="1"/>
    </row>
    <row r="503" spans="1:4" ht="15.75" customHeight="1">
      <c r="A503" s="1"/>
      <c r="B503" s="1"/>
      <c r="C503" s="1"/>
      <c r="D503" s="1"/>
    </row>
    <row r="504" spans="1:4" ht="15.75" customHeight="1">
      <c r="A504" s="1"/>
      <c r="B504" s="1"/>
      <c r="C504" s="1"/>
      <c r="D504" s="1"/>
    </row>
    <row r="505" spans="1:4" ht="15.75" customHeight="1">
      <c r="A505" s="1"/>
      <c r="B505" s="1"/>
      <c r="C505" s="1"/>
      <c r="D505" s="1"/>
    </row>
    <row r="506" spans="1:4" ht="15.75" customHeight="1">
      <c r="A506" s="1"/>
      <c r="B506" s="1"/>
      <c r="C506" s="1"/>
      <c r="D506" s="1"/>
    </row>
    <row r="507" spans="1:4" ht="15.75" customHeight="1">
      <c r="A507" s="1"/>
      <c r="B507" s="1"/>
      <c r="C507" s="1"/>
      <c r="D507" s="1"/>
    </row>
    <row r="508" spans="1:4" ht="15.75" customHeight="1">
      <c r="A508" s="1"/>
      <c r="B508" s="1"/>
      <c r="C508" s="1"/>
      <c r="D508" s="1"/>
    </row>
    <row r="509" spans="1:4" ht="15.75" customHeight="1">
      <c r="A509" s="1"/>
      <c r="B509" s="1"/>
      <c r="C509" s="1"/>
      <c r="D509" s="1"/>
    </row>
    <row r="510" spans="1:4" ht="15.75" customHeight="1">
      <c r="A510" s="1"/>
      <c r="B510" s="1"/>
      <c r="C510" s="1"/>
      <c r="D510" s="1"/>
    </row>
    <row r="511" spans="1:4" ht="15.75" customHeight="1">
      <c r="A511" s="1"/>
      <c r="B511" s="1"/>
      <c r="C511" s="1"/>
      <c r="D511" s="1"/>
    </row>
    <row r="512" spans="1:4" ht="15.75" customHeight="1">
      <c r="A512" s="1"/>
      <c r="B512" s="1"/>
      <c r="C512" s="1"/>
      <c r="D512" s="1"/>
    </row>
    <row r="513" spans="1:4" ht="15.75" customHeight="1">
      <c r="A513" s="1"/>
      <c r="B513" s="1"/>
      <c r="C513" s="1"/>
      <c r="D513" s="1"/>
    </row>
    <row r="514" spans="1:4" ht="15.75" customHeight="1">
      <c r="A514" s="1"/>
      <c r="B514" s="1"/>
      <c r="C514" s="1"/>
      <c r="D514" s="1"/>
    </row>
    <row r="515" spans="1:4" ht="15.75" customHeight="1">
      <c r="A515" s="1"/>
      <c r="B515" s="1"/>
      <c r="C515" s="1"/>
      <c r="D515" s="1"/>
    </row>
    <row r="516" spans="1:4" ht="15.75" customHeight="1">
      <c r="A516" s="1"/>
      <c r="B516" s="1"/>
      <c r="C516" s="1"/>
      <c r="D516" s="1"/>
    </row>
    <row r="517" spans="1:4" ht="15.75" customHeight="1">
      <c r="A517" s="1"/>
      <c r="B517" s="1"/>
      <c r="C517" s="1"/>
      <c r="D517" s="1"/>
    </row>
    <row r="518" spans="1:4" ht="15.75" customHeight="1">
      <c r="A518" s="1"/>
      <c r="B518" s="1"/>
      <c r="C518" s="1"/>
      <c r="D518" s="1"/>
    </row>
    <row r="519" spans="1:4" ht="15.75" customHeight="1">
      <c r="A519" s="1"/>
      <c r="B519" s="1"/>
      <c r="C519" s="1"/>
      <c r="D519" s="1"/>
    </row>
    <row r="520" spans="1:4" ht="15.75" customHeight="1">
      <c r="A520" s="1"/>
      <c r="B520" s="1"/>
      <c r="C520" s="1"/>
      <c r="D520" s="1"/>
    </row>
    <row r="521" spans="1:4" ht="15.75" customHeight="1">
      <c r="A521" s="1"/>
      <c r="B521" s="1"/>
      <c r="C521" s="1"/>
      <c r="D521" s="1"/>
    </row>
    <row r="522" spans="1:4" ht="15.75" customHeight="1">
      <c r="A522" s="1"/>
      <c r="B522" s="1"/>
      <c r="C522" s="1"/>
      <c r="D522" s="1"/>
    </row>
    <row r="523" spans="1:4" ht="15.75" customHeight="1">
      <c r="A523" s="1"/>
      <c r="B523" s="1"/>
      <c r="C523" s="1"/>
      <c r="D523" s="1"/>
    </row>
    <row r="524" spans="1:4" ht="15.75" customHeight="1">
      <c r="A524" s="1"/>
      <c r="B524" s="1"/>
      <c r="C524" s="1"/>
      <c r="D524" s="1"/>
    </row>
    <row r="525" spans="1:4" ht="15.75" customHeight="1">
      <c r="A525" s="1"/>
      <c r="B525" s="1"/>
      <c r="C525" s="1"/>
      <c r="D525" s="1"/>
    </row>
    <row r="526" spans="1:4" ht="15.75" customHeight="1">
      <c r="A526" s="1"/>
      <c r="B526" s="1"/>
      <c r="C526" s="1"/>
      <c r="D526" s="1"/>
    </row>
    <row r="527" spans="1:4" ht="15.75" customHeight="1">
      <c r="A527" s="1"/>
      <c r="B527" s="1"/>
      <c r="C527" s="1"/>
      <c r="D527" s="1"/>
    </row>
    <row r="528" spans="1:4" ht="15.75" customHeight="1">
      <c r="A528" s="1"/>
      <c r="B528" s="1"/>
      <c r="C528" s="1"/>
      <c r="D528" s="1"/>
    </row>
    <row r="529" spans="1:4" ht="15.75" customHeight="1">
      <c r="A529" s="1"/>
      <c r="B529" s="1"/>
      <c r="C529" s="1"/>
      <c r="D529" s="1"/>
    </row>
    <row r="530" spans="1:4" ht="15.75" customHeight="1">
      <c r="A530" s="1"/>
      <c r="B530" s="1"/>
      <c r="C530" s="1"/>
      <c r="D530" s="1"/>
    </row>
    <row r="531" spans="1:4" ht="15.75" customHeight="1">
      <c r="A531" s="1"/>
      <c r="B531" s="1"/>
      <c r="C531" s="1"/>
      <c r="D531" s="1"/>
    </row>
    <row r="532" spans="1:4" ht="15.75" customHeight="1">
      <c r="A532" s="1"/>
      <c r="B532" s="1"/>
      <c r="C532" s="1"/>
      <c r="D532" s="1"/>
    </row>
    <row r="533" spans="1:4" ht="15.75" customHeight="1">
      <c r="A533" s="1"/>
      <c r="B533" s="1"/>
      <c r="C533" s="1"/>
      <c r="D533" s="1"/>
    </row>
    <row r="534" spans="1:4" ht="15.75" customHeight="1">
      <c r="A534" s="1"/>
      <c r="B534" s="1"/>
      <c r="C534" s="1"/>
      <c r="D534" s="1"/>
    </row>
    <row r="535" spans="1:4" ht="15.75" customHeight="1">
      <c r="A535" s="1"/>
      <c r="B535" s="1"/>
      <c r="C535" s="1"/>
      <c r="D535" s="1"/>
    </row>
    <row r="536" spans="1:4" ht="15.75" customHeight="1">
      <c r="A536" s="1"/>
      <c r="B536" s="1"/>
      <c r="C536" s="1"/>
      <c r="D536" s="1"/>
    </row>
    <row r="537" spans="1:4" ht="15.75" customHeight="1">
      <c r="A537" s="1"/>
      <c r="B537" s="1"/>
      <c r="C537" s="1"/>
      <c r="D537" s="1"/>
    </row>
    <row r="538" spans="1:4" ht="15.75" customHeight="1">
      <c r="A538" s="1"/>
      <c r="B538" s="1"/>
      <c r="C538" s="1"/>
      <c r="D538" s="1"/>
    </row>
    <row r="539" spans="1:4" ht="15.75" customHeight="1">
      <c r="A539" s="1"/>
      <c r="B539" s="1"/>
      <c r="C539" s="1"/>
      <c r="D539" s="1"/>
    </row>
    <row r="540" spans="1:4" ht="15.75" customHeight="1">
      <c r="A540" s="1"/>
      <c r="B540" s="1"/>
      <c r="C540" s="1"/>
      <c r="D540" s="1"/>
    </row>
    <row r="541" spans="1:4" ht="15.75" customHeight="1">
      <c r="A541" s="1"/>
      <c r="B541" s="1"/>
      <c r="C541" s="1"/>
      <c r="D541" s="1"/>
    </row>
    <row r="542" spans="1:4" ht="15.75" customHeight="1">
      <c r="A542" s="1"/>
      <c r="B542" s="1"/>
      <c r="C542" s="1"/>
      <c r="D542" s="1"/>
    </row>
    <row r="543" spans="1:4" ht="15.75" customHeight="1">
      <c r="A543" s="1"/>
      <c r="B543" s="1"/>
      <c r="C543" s="1"/>
      <c r="D543" s="1"/>
    </row>
    <row r="544" spans="1:4" ht="15.75" customHeight="1">
      <c r="A544" s="1"/>
      <c r="B544" s="1"/>
      <c r="C544" s="1"/>
      <c r="D544" s="1"/>
    </row>
    <row r="545" spans="1:4" ht="15.75" customHeight="1">
      <c r="A545" s="1"/>
      <c r="B545" s="1"/>
      <c r="C545" s="1"/>
      <c r="D545" s="1"/>
    </row>
    <row r="546" spans="1:4" ht="15.75" customHeight="1">
      <c r="A546" s="1"/>
      <c r="B546" s="1"/>
      <c r="C546" s="1"/>
      <c r="D546" s="1"/>
    </row>
    <row r="547" spans="1:4" ht="15.75" customHeight="1">
      <c r="A547" s="1"/>
      <c r="B547" s="1"/>
      <c r="C547" s="1"/>
      <c r="D547" s="1"/>
    </row>
    <row r="548" spans="1:4" ht="15.75" customHeight="1">
      <c r="A548" s="1"/>
      <c r="B548" s="1"/>
      <c r="C548" s="1"/>
      <c r="D548" s="1"/>
    </row>
    <row r="549" spans="1:4" ht="15.75" customHeight="1">
      <c r="A549" s="1"/>
      <c r="B549" s="1"/>
      <c r="C549" s="1"/>
      <c r="D549" s="1"/>
    </row>
    <row r="550" spans="1:4" ht="15.75" customHeight="1">
      <c r="A550" s="1"/>
      <c r="B550" s="1"/>
      <c r="C550" s="1"/>
      <c r="D550" s="1"/>
    </row>
    <row r="551" spans="1:4" ht="15.75" customHeight="1">
      <c r="A551" s="1"/>
      <c r="B551" s="1"/>
      <c r="C551" s="1"/>
      <c r="D551" s="1"/>
    </row>
    <row r="552" spans="1:4" ht="15.75" customHeight="1">
      <c r="A552" s="1"/>
      <c r="B552" s="1"/>
      <c r="C552" s="1"/>
      <c r="D552" s="1"/>
    </row>
    <row r="553" spans="1:4" ht="15.75" customHeight="1">
      <c r="A553" s="1"/>
      <c r="B553" s="1"/>
      <c r="C553" s="1"/>
      <c r="D553" s="1"/>
    </row>
    <row r="554" spans="1:4" ht="15.75" customHeight="1">
      <c r="A554" s="1"/>
      <c r="B554" s="1"/>
      <c r="C554" s="1"/>
      <c r="D554" s="1"/>
    </row>
    <row r="555" spans="1:4" ht="15.75" customHeight="1">
      <c r="A555" s="1"/>
      <c r="B555" s="1"/>
      <c r="C555" s="1"/>
      <c r="D555" s="1"/>
    </row>
    <row r="556" spans="1:4" ht="15.75" customHeight="1">
      <c r="A556" s="1"/>
      <c r="B556" s="1"/>
      <c r="C556" s="1"/>
      <c r="D556" s="1"/>
    </row>
    <row r="557" spans="1:4" ht="15.75" customHeight="1">
      <c r="A557" s="1"/>
      <c r="B557" s="1"/>
      <c r="C557" s="1"/>
      <c r="D557" s="1"/>
    </row>
    <row r="558" spans="1:4" ht="15.75" customHeight="1">
      <c r="A558" s="1"/>
      <c r="B558" s="1"/>
      <c r="C558" s="1"/>
      <c r="D558" s="1"/>
    </row>
    <row r="559" spans="1:4" ht="15.75" customHeight="1">
      <c r="A559" s="1"/>
      <c r="B559" s="1"/>
      <c r="C559" s="1"/>
      <c r="D559" s="1"/>
    </row>
    <row r="560" spans="1:4" ht="15.75" customHeight="1">
      <c r="A560" s="1"/>
      <c r="B560" s="1"/>
      <c r="C560" s="1"/>
      <c r="D560" s="1"/>
    </row>
    <row r="561" spans="1:4" ht="15.75" customHeight="1">
      <c r="A561" s="1"/>
      <c r="B561" s="1"/>
      <c r="C561" s="1"/>
      <c r="D561" s="1"/>
    </row>
    <row r="562" spans="1:4" ht="15.75" customHeight="1">
      <c r="A562" s="1"/>
      <c r="B562" s="1"/>
      <c r="C562" s="1"/>
      <c r="D562" s="1"/>
    </row>
    <row r="563" spans="1:4" ht="15.75" customHeight="1">
      <c r="A563" s="1"/>
      <c r="B563" s="1"/>
      <c r="C563" s="1"/>
      <c r="D563" s="1"/>
    </row>
    <row r="564" spans="1:4" ht="15.75" customHeight="1">
      <c r="A564" s="1"/>
      <c r="B564" s="1"/>
      <c r="C564" s="1"/>
      <c r="D564" s="1"/>
    </row>
    <row r="565" spans="1:4" ht="15.75" customHeight="1">
      <c r="A565" s="1"/>
      <c r="B565" s="1"/>
      <c r="C565" s="1"/>
      <c r="D565" s="1"/>
    </row>
    <row r="566" spans="1:4" ht="15.75" customHeight="1">
      <c r="A566" s="1"/>
      <c r="B566" s="1"/>
      <c r="C566" s="1"/>
      <c r="D566" s="1"/>
    </row>
    <row r="567" spans="1:4" ht="15.75" customHeight="1">
      <c r="A567" s="1"/>
      <c r="B567" s="1"/>
      <c r="C567" s="1"/>
      <c r="D567" s="1"/>
    </row>
    <row r="568" spans="1:4" ht="15.75" customHeight="1">
      <c r="A568" s="1"/>
      <c r="B568" s="1"/>
      <c r="C568" s="1"/>
      <c r="D568" s="1"/>
    </row>
    <row r="569" spans="1:4" ht="15.75" customHeight="1">
      <c r="A569" s="1"/>
      <c r="B569" s="1"/>
      <c r="C569" s="1"/>
      <c r="D569" s="1"/>
    </row>
    <row r="570" spans="1:4" ht="15.75" customHeight="1">
      <c r="A570" s="1"/>
      <c r="B570" s="1"/>
      <c r="C570" s="1"/>
      <c r="D570" s="1"/>
    </row>
    <row r="571" spans="1:4" ht="15.75" customHeight="1">
      <c r="A571" s="1"/>
      <c r="B571" s="1"/>
      <c r="C571" s="1"/>
      <c r="D571" s="1"/>
    </row>
    <row r="572" spans="1:4" ht="15.75" customHeight="1">
      <c r="A572" s="1"/>
      <c r="B572" s="1"/>
      <c r="C572" s="1"/>
      <c r="D572" s="1"/>
    </row>
    <row r="573" spans="1:4" ht="15.75" customHeight="1">
      <c r="A573" s="1"/>
      <c r="B573" s="1"/>
      <c r="C573" s="1"/>
      <c r="D573" s="1"/>
    </row>
    <row r="574" spans="1:4" ht="15.75" customHeight="1">
      <c r="A574" s="1"/>
      <c r="B574" s="1"/>
      <c r="C574" s="1"/>
      <c r="D574" s="1"/>
    </row>
    <row r="575" spans="1:4" ht="15.75" customHeight="1">
      <c r="A575" s="1"/>
      <c r="B575" s="1"/>
      <c r="C575" s="1"/>
      <c r="D575" s="1"/>
    </row>
    <row r="576" spans="1:4" ht="15.75" customHeight="1">
      <c r="A576" s="1"/>
      <c r="B576" s="1"/>
      <c r="C576" s="1"/>
      <c r="D576" s="1"/>
    </row>
    <row r="577" spans="1:4" ht="15.75" customHeight="1">
      <c r="A577" s="1"/>
      <c r="B577" s="1"/>
      <c r="C577" s="1"/>
      <c r="D577" s="1"/>
    </row>
    <row r="578" spans="1:4" ht="15.75" customHeight="1">
      <c r="A578" s="1"/>
      <c r="B578" s="1"/>
      <c r="C578" s="1"/>
      <c r="D578" s="1"/>
    </row>
    <row r="579" spans="1:4" ht="15.75" customHeight="1">
      <c r="A579" s="1"/>
      <c r="B579" s="1"/>
      <c r="C579" s="1"/>
      <c r="D579" s="1"/>
    </row>
    <row r="580" spans="1:4" ht="15.75" customHeight="1">
      <c r="A580" s="1"/>
      <c r="B580" s="1"/>
      <c r="C580" s="1"/>
      <c r="D580" s="1"/>
    </row>
    <row r="581" spans="1:4" ht="15.75" customHeight="1">
      <c r="A581" s="1"/>
      <c r="B581" s="1"/>
      <c r="C581" s="1"/>
      <c r="D581" s="1"/>
    </row>
    <row r="582" spans="1:4" ht="15.75" customHeight="1">
      <c r="A582" s="1"/>
      <c r="B582" s="1"/>
      <c r="C582" s="1"/>
      <c r="D582" s="1"/>
    </row>
    <row r="583" spans="1:4" ht="15.75" customHeight="1">
      <c r="A583" s="1"/>
      <c r="B583" s="1"/>
      <c r="C583" s="1"/>
      <c r="D583" s="1"/>
    </row>
    <row r="584" spans="1:4" ht="15.75" customHeight="1">
      <c r="A584" s="1"/>
      <c r="B584" s="1"/>
      <c r="C584" s="1"/>
      <c r="D584" s="1"/>
    </row>
    <row r="585" spans="1:4" ht="15.75" customHeight="1">
      <c r="A585" s="1"/>
      <c r="B585" s="1"/>
      <c r="C585" s="1"/>
      <c r="D585" s="1"/>
    </row>
    <row r="586" spans="1:4" ht="15.75" customHeight="1">
      <c r="A586" s="1"/>
      <c r="B586" s="1"/>
      <c r="C586" s="1"/>
      <c r="D586" s="1"/>
    </row>
    <row r="587" spans="1:4" ht="15.75" customHeight="1">
      <c r="A587" s="1"/>
      <c r="B587" s="1"/>
      <c r="C587" s="1"/>
      <c r="D587" s="1"/>
    </row>
    <row r="588" spans="1:4" ht="15.75" customHeight="1">
      <c r="A588" s="1"/>
      <c r="B588" s="1"/>
      <c r="C588" s="1"/>
      <c r="D588" s="1"/>
    </row>
    <row r="589" spans="1:4" ht="15.75" customHeight="1">
      <c r="A589" s="1"/>
      <c r="B589" s="1"/>
      <c r="C589" s="1"/>
      <c r="D589" s="1"/>
    </row>
    <row r="590" spans="1:4" ht="15.75" customHeight="1">
      <c r="A590" s="1"/>
      <c r="B590" s="1"/>
      <c r="C590" s="1"/>
      <c r="D590" s="1"/>
    </row>
    <row r="591" spans="1:4" ht="15.75" customHeight="1">
      <c r="A591" s="1"/>
      <c r="B591" s="1"/>
      <c r="C591" s="1"/>
      <c r="D591" s="1"/>
    </row>
    <row r="592" spans="1:4" ht="15.75" customHeight="1">
      <c r="A592" s="1"/>
      <c r="B592" s="1"/>
      <c r="C592" s="1"/>
      <c r="D592" s="1"/>
    </row>
    <row r="593" spans="1:4" ht="15.75" customHeight="1">
      <c r="A593" s="1"/>
      <c r="B593" s="1"/>
      <c r="C593" s="1"/>
      <c r="D593" s="1"/>
    </row>
    <row r="594" spans="1:4" ht="15.75" customHeight="1">
      <c r="A594" s="1"/>
      <c r="B594" s="1"/>
      <c r="C594" s="1"/>
      <c r="D594" s="1"/>
    </row>
    <row r="595" spans="1:4" ht="15.75" customHeight="1">
      <c r="A595" s="1"/>
      <c r="B595" s="1"/>
      <c r="C595" s="1"/>
      <c r="D595" s="1"/>
    </row>
    <row r="596" spans="1:4" ht="15.75" customHeight="1">
      <c r="A596" s="1"/>
      <c r="B596" s="1"/>
      <c r="C596" s="1"/>
      <c r="D596" s="1"/>
    </row>
    <row r="597" spans="1:4" ht="15.75" customHeight="1">
      <c r="A597" s="1"/>
      <c r="B597" s="1"/>
      <c r="C597" s="1"/>
      <c r="D597" s="1"/>
    </row>
    <row r="598" spans="1:4" ht="15.75" customHeight="1">
      <c r="A598" s="1"/>
      <c r="B598" s="1"/>
      <c r="C598" s="1"/>
      <c r="D598" s="1"/>
    </row>
    <row r="599" spans="1:4" ht="15.75" customHeight="1">
      <c r="A599" s="1"/>
      <c r="B599" s="1"/>
      <c r="C599" s="1"/>
      <c r="D599" s="1"/>
    </row>
    <row r="600" spans="1:4" ht="15.75" customHeight="1">
      <c r="A600" s="1"/>
      <c r="B600" s="1"/>
      <c r="C600" s="1"/>
      <c r="D600" s="1"/>
    </row>
    <row r="601" spans="1:4" ht="15.75" customHeight="1">
      <c r="A601" s="1"/>
      <c r="B601" s="1"/>
      <c r="C601" s="1"/>
      <c r="D601" s="1"/>
    </row>
    <row r="602" spans="1:4" ht="15.75" customHeight="1">
      <c r="A602" s="1"/>
      <c r="B602" s="1"/>
      <c r="C602" s="1"/>
      <c r="D602" s="1"/>
    </row>
    <row r="603" spans="1:4" ht="15.75" customHeight="1">
      <c r="A603" s="1"/>
      <c r="B603" s="1"/>
      <c r="C603" s="1"/>
      <c r="D603" s="1"/>
    </row>
    <row r="604" spans="1:4" ht="15.75" customHeight="1">
      <c r="A604" s="1"/>
      <c r="B604" s="1"/>
      <c r="C604" s="1"/>
      <c r="D604" s="1"/>
    </row>
    <row r="605" spans="1:4" ht="15.75" customHeight="1">
      <c r="A605" s="1"/>
      <c r="B605" s="1"/>
      <c r="C605" s="1"/>
      <c r="D605" s="1"/>
    </row>
    <row r="606" spans="1:4" ht="15.75" customHeight="1">
      <c r="A606" s="1"/>
      <c r="B606" s="1"/>
      <c r="C606" s="1"/>
      <c r="D606" s="1"/>
    </row>
    <row r="607" spans="1:4" ht="15.75" customHeight="1">
      <c r="A607" s="1"/>
      <c r="B607" s="1"/>
      <c r="C607" s="1"/>
      <c r="D607" s="1"/>
    </row>
    <row r="608" spans="1:4" ht="15.75" customHeight="1">
      <c r="A608" s="1"/>
      <c r="B608" s="1"/>
      <c r="C608" s="1"/>
      <c r="D608" s="1"/>
    </row>
    <row r="609" spans="1:4" ht="15.75" customHeight="1">
      <c r="A609" s="1"/>
      <c r="B609" s="1"/>
      <c r="C609" s="1"/>
      <c r="D609" s="1"/>
    </row>
    <row r="610" spans="1:4" ht="15.75" customHeight="1">
      <c r="A610" s="1"/>
      <c r="B610" s="1"/>
      <c r="C610" s="1"/>
      <c r="D610" s="1"/>
    </row>
    <row r="611" spans="1:4" ht="15.75" customHeight="1">
      <c r="A611" s="1"/>
      <c r="B611" s="1"/>
      <c r="C611" s="1"/>
      <c r="D611" s="1"/>
    </row>
    <row r="612" spans="1:4" ht="15.75" customHeight="1">
      <c r="A612" s="1"/>
      <c r="B612" s="1"/>
      <c r="C612" s="1"/>
      <c r="D612" s="1"/>
    </row>
    <row r="613" spans="1:4" ht="15.75" customHeight="1">
      <c r="A613" s="1"/>
      <c r="B613" s="1"/>
      <c r="C613" s="1"/>
      <c r="D613" s="1"/>
    </row>
    <row r="614" spans="1:4" ht="15.75" customHeight="1">
      <c r="A614" s="1"/>
      <c r="B614" s="1"/>
      <c r="C614" s="1"/>
      <c r="D614" s="1"/>
    </row>
    <row r="615" spans="1:4" ht="15.75" customHeight="1">
      <c r="A615" s="1"/>
      <c r="B615" s="1"/>
      <c r="C615" s="1"/>
      <c r="D615" s="1"/>
    </row>
    <row r="616" spans="1:4" ht="15.75" customHeight="1">
      <c r="A616" s="1"/>
      <c r="B616" s="1"/>
      <c r="C616" s="1"/>
      <c r="D616" s="1"/>
    </row>
    <row r="617" spans="1:4" ht="15.75" customHeight="1">
      <c r="A617" s="1"/>
      <c r="B617" s="1"/>
      <c r="C617" s="1"/>
      <c r="D617" s="1"/>
    </row>
    <row r="618" spans="1:4" ht="15.75" customHeight="1">
      <c r="A618" s="1"/>
      <c r="B618" s="1"/>
      <c r="C618" s="1"/>
      <c r="D618" s="1"/>
    </row>
    <row r="619" spans="1:4" ht="15.75" customHeight="1">
      <c r="A619" s="1"/>
      <c r="B619" s="1"/>
      <c r="C619" s="1"/>
      <c r="D619" s="1"/>
    </row>
    <row r="620" spans="1:4" ht="15.75" customHeight="1">
      <c r="A620" s="1"/>
      <c r="B620" s="1"/>
      <c r="C620" s="1"/>
      <c r="D620" s="1"/>
    </row>
    <row r="621" spans="1:4" ht="15.75" customHeight="1">
      <c r="A621" s="1"/>
      <c r="B621" s="1"/>
      <c r="C621" s="1"/>
      <c r="D621" s="1"/>
    </row>
    <row r="622" spans="1:4" ht="15.75" customHeight="1">
      <c r="A622" s="1"/>
      <c r="B622" s="1"/>
      <c r="C622" s="1"/>
      <c r="D622" s="1"/>
    </row>
    <row r="623" spans="1:4" ht="15.75" customHeight="1">
      <c r="A623" s="1"/>
      <c r="B623" s="1"/>
      <c r="C623" s="1"/>
      <c r="D623" s="1"/>
    </row>
    <row r="624" spans="1:4" ht="15.75" customHeight="1">
      <c r="A624" s="1"/>
      <c r="B624" s="1"/>
      <c r="C624" s="1"/>
      <c r="D624" s="1"/>
    </row>
    <row r="625" spans="1:4" ht="15.75" customHeight="1">
      <c r="A625" s="1"/>
      <c r="B625" s="1"/>
      <c r="C625" s="1"/>
      <c r="D625" s="1"/>
    </row>
    <row r="626" spans="1:4" ht="15.75" customHeight="1">
      <c r="A626" s="1"/>
      <c r="B626" s="1"/>
      <c r="C626" s="1"/>
      <c r="D626" s="1"/>
    </row>
    <row r="627" spans="1:4" ht="15.75" customHeight="1">
      <c r="A627" s="1"/>
      <c r="B627" s="1"/>
      <c r="C627" s="1"/>
      <c r="D627" s="1"/>
    </row>
    <row r="628" spans="1:4" ht="15.75" customHeight="1">
      <c r="A628" s="1"/>
      <c r="B628" s="1"/>
      <c r="C628" s="1"/>
      <c r="D628" s="1"/>
    </row>
    <row r="629" spans="1:4" ht="15.75" customHeight="1">
      <c r="A629" s="1"/>
      <c r="B629" s="1"/>
      <c r="C629" s="1"/>
      <c r="D629" s="1"/>
    </row>
    <row r="630" spans="1:4" ht="15.75" customHeight="1">
      <c r="A630" s="1"/>
      <c r="B630" s="1"/>
      <c r="C630" s="1"/>
      <c r="D630" s="1"/>
    </row>
    <row r="631" spans="1:4" ht="15.75" customHeight="1">
      <c r="A631" s="1"/>
      <c r="B631" s="1"/>
      <c r="C631" s="1"/>
      <c r="D631" s="1"/>
    </row>
    <row r="632" spans="1:4" ht="15.75" customHeight="1">
      <c r="A632" s="1"/>
      <c r="B632" s="1"/>
      <c r="C632" s="1"/>
      <c r="D632" s="1"/>
    </row>
    <row r="633" spans="1:4" ht="15.75" customHeight="1">
      <c r="A633" s="1"/>
      <c r="B633" s="1"/>
      <c r="C633" s="1"/>
      <c r="D633" s="1"/>
    </row>
    <row r="634" spans="1:4" ht="15.75" customHeight="1">
      <c r="A634" s="1"/>
      <c r="B634" s="1"/>
      <c r="C634" s="1"/>
      <c r="D634" s="1"/>
    </row>
    <row r="635" spans="1:4" ht="15.75" customHeight="1">
      <c r="A635" s="1"/>
      <c r="B635" s="1"/>
      <c r="C635" s="1"/>
      <c r="D635" s="1"/>
    </row>
    <row r="636" spans="1:4" ht="15.75" customHeight="1">
      <c r="A636" s="1"/>
      <c r="B636" s="1"/>
      <c r="C636" s="1"/>
      <c r="D636" s="1"/>
    </row>
    <row r="637" spans="1:4" ht="15.75" customHeight="1">
      <c r="A637" s="1"/>
      <c r="B637" s="1"/>
      <c r="C637" s="1"/>
      <c r="D637" s="1"/>
    </row>
    <row r="638" spans="1:4" ht="15.75" customHeight="1">
      <c r="A638" s="1"/>
      <c r="B638" s="1"/>
      <c r="C638" s="1"/>
      <c r="D638" s="1"/>
    </row>
    <row r="639" spans="1:4" ht="15.75" customHeight="1">
      <c r="A639" s="1"/>
      <c r="B639" s="1"/>
      <c r="C639" s="1"/>
      <c r="D639" s="1"/>
    </row>
    <row r="640" spans="1:4" ht="15.75" customHeight="1">
      <c r="A640" s="1"/>
      <c r="B640" s="1"/>
      <c r="C640" s="1"/>
      <c r="D640" s="1"/>
    </row>
    <row r="641" spans="1:4" ht="15.75" customHeight="1">
      <c r="A641" s="1"/>
      <c r="B641" s="1"/>
      <c r="C641" s="1"/>
      <c r="D641" s="1"/>
    </row>
    <row r="642" spans="1:4" ht="15.75" customHeight="1">
      <c r="A642" s="1"/>
      <c r="B642" s="1"/>
      <c r="C642" s="1"/>
      <c r="D642" s="1"/>
    </row>
    <row r="643" spans="1:4" ht="15.75" customHeight="1">
      <c r="A643" s="1"/>
      <c r="B643" s="1"/>
      <c r="C643" s="1"/>
      <c r="D643" s="1"/>
    </row>
    <row r="644" spans="1:4" ht="15.75" customHeight="1">
      <c r="A644" s="1"/>
      <c r="B644" s="1"/>
      <c r="C644" s="1"/>
      <c r="D644" s="1"/>
    </row>
    <row r="645" spans="1:4" ht="15.75" customHeight="1">
      <c r="A645" s="1"/>
      <c r="B645" s="1"/>
      <c r="C645" s="1"/>
      <c r="D645" s="1"/>
    </row>
    <row r="646" spans="1:4" ht="15.75" customHeight="1">
      <c r="A646" s="1"/>
      <c r="B646" s="1"/>
      <c r="C646" s="1"/>
      <c r="D646" s="1"/>
    </row>
    <row r="647" spans="1:4" ht="15.75" customHeight="1">
      <c r="A647" s="1"/>
      <c r="B647" s="1"/>
      <c r="C647" s="1"/>
      <c r="D647" s="1"/>
    </row>
    <row r="648" spans="1:4" ht="15.75" customHeight="1">
      <c r="A648" s="1"/>
      <c r="B648" s="1"/>
      <c r="C648" s="1"/>
      <c r="D648" s="1"/>
    </row>
    <row r="649" spans="1:4" ht="15.75" customHeight="1">
      <c r="A649" s="1"/>
      <c r="B649" s="1"/>
      <c r="C649" s="1"/>
      <c r="D649" s="1"/>
    </row>
    <row r="650" spans="1:4" ht="15.75" customHeight="1">
      <c r="A650" s="1"/>
      <c r="B650" s="1"/>
      <c r="C650" s="1"/>
      <c r="D650" s="1"/>
    </row>
    <row r="651" spans="1:4" ht="15.75" customHeight="1">
      <c r="A651" s="1"/>
      <c r="B651" s="1"/>
      <c r="C651" s="1"/>
      <c r="D651" s="1"/>
    </row>
    <row r="652" spans="1:4" ht="15.75" customHeight="1">
      <c r="A652" s="1"/>
      <c r="B652" s="1"/>
      <c r="C652" s="1"/>
      <c r="D652" s="1"/>
    </row>
    <row r="653" spans="1:4" ht="15.75" customHeight="1">
      <c r="A653" s="1"/>
      <c r="B653" s="1"/>
      <c r="C653" s="1"/>
      <c r="D653" s="1"/>
    </row>
    <row r="654" spans="1:4" ht="15.75" customHeight="1">
      <c r="A654" s="1"/>
      <c r="B654" s="1"/>
      <c r="C654" s="1"/>
      <c r="D654" s="1"/>
    </row>
    <row r="655" spans="1:4" ht="15.75" customHeight="1">
      <c r="A655" s="1"/>
      <c r="B655" s="1"/>
      <c r="C655" s="1"/>
      <c r="D655" s="1"/>
    </row>
    <row r="656" spans="1:4" ht="15.75" customHeight="1">
      <c r="A656" s="1"/>
      <c r="B656" s="1"/>
      <c r="C656" s="1"/>
      <c r="D656" s="1"/>
    </row>
    <row r="657" spans="1:4" ht="15.75" customHeight="1">
      <c r="A657" s="1"/>
      <c r="B657" s="1"/>
      <c r="C657" s="1"/>
      <c r="D657" s="1"/>
    </row>
    <row r="658" spans="1:4" ht="15.75" customHeight="1">
      <c r="A658" s="1"/>
      <c r="B658" s="1"/>
      <c r="C658" s="1"/>
      <c r="D658" s="1"/>
    </row>
    <row r="659" spans="1:4" ht="15.75" customHeight="1">
      <c r="A659" s="1"/>
      <c r="B659" s="1"/>
      <c r="C659" s="1"/>
      <c r="D659" s="1"/>
    </row>
    <row r="660" spans="1:4" ht="15.75" customHeight="1">
      <c r="A660" s="1"/>
      <c r="B660" s="1"/>
      <c r="C660" s="1"/>
      <c r="D660" s="1"/>
    </row>
    <row r="661" spans="1:4" ht="15.75" customHeight="1">
      <c r="A661" s="1"/>
      <c r="B661" s="1"/>
      <c r="C661" s="1"/>
      <c r="D661" s="1"/>
    </row>
    <row r="662" spans="1:4" ht="15.75" customHeight="1">
      <c r="A662" s="1"/>
      <c r="B662" s="1"/>
      <c r="C662" s="1"/>
      <c r="D662" s="1"/>
    </row>
    <row r="663" spans="1:4" ht="15.75" customHeight="1">
      <c r="A663" s="1"/>
      <c r="B663" s="1"/>
      <c r="C663" s="1"/>
      <c r="D663" s="1"/>
    </row>
    <row r="664" spans="1:4" ht="15.75" customHeight="1">
      <c r="A664" s="1"/>
      <c r="B664" s="1"/>
      <c r="C664" s="1"/>
      <c r="D664" s="1"/>
    </row>
    <row r="665" spans="1:4" ht="15.75" customHeight="1">
      <c r="A665" s="1"/>
      <c r="B665" s="1"/>
      <c r="C665" s="1"/>
      <c r="D665" s="1"/>
    </row>
    <row r="666" spans="1:4" ht="15.75" customHeight="1">
      <c r="A666" s="1"/>
      <c r="B666" s="1"/>
      <c r="C666" s="1"/>
      <c r="D666" s="1"/>
    </row>
    <row r="667" spans="1:4" ht="15.75" customHeight="1">
      <c r="A667" s="1"/>
      <c r="B667" s="1"/>
      <c r="C667" s="1"/>
      <c r="D667" s="1"/>
    </row>
    <row r="668" spans="1:4" ht="15.75" customHeight="1">
      <c r="A668" s="1"/>
      <c r="B668" s="1"/>
      <c r="C668" s="1"/>
      <c r="D668" s="1"/>
    </row>
    <row r="669" spans="1:4" ht="15.75" customHeight="1">
      <c r="A669" s="1"/>
      <c r="B669" s="1"/>
      <c r="C669" s="1"/>
      <c r="D669" s="1"/>
    </row>
    <row r="670" spans="1:4" ht="15.75" customHeight="1">
      <c r="A670" s="1"/>
      <c r="B670" s="1"/>
      <c r="C670" s="1"/>
      <c r="D670" s="1"/>
    </row>
    <row r="671" spans="1:4" ht="15.75" customHeight="1">
      <c r="A671" s="1"/>
      <c r="B671" s="1"/>
      <c r="C671" s="1"/>
      <c r="D671" s="1"/>
    </row>
    <row r="672" spans="1:4" ht="15.75" customHeight="1">
      <c r="A672" s="1"/>
      <c r="B672" s="1"/>
      <c r="C672" s="1"/>
      <c r="D672" s="1"/>
    </row>
    <row r="673" spans="1:4" ht="15.75" customHeight="1">
      <c r="A673" s="1"/>
      <c r="B673" s="1"/>
      <c r="C673" s="1"/>
      <c r="D673" s="1"/>
    </row>
    <row r="674" spans="1:4" ht="15.75" customHeight="1">
      <c r="A674" s="1"/>
      <c r="B674" s="1"/>
      <c r="C674" s="1"/>
      <c r="D674" s="1"/>
    </row>
    <row r="675" spans="1:4" ht="15.75" customHeight="1">
      <c r="A675" s="1"/>
      <c r="B675" s="1"/>
      <c r="C675" s="1"/>
      <c r="D675" s="1"/>
    </row>
    <row r="676" spans="1:4" ht="15.75" customHeight="1">
      <c r="A676" s="1"/>
      <c r="B676" s="1"/>
      <c r="C676" s="1"/>
      <c r="D676" s="1"/>
    </row>
    <row r="677" spans="1:4" ht="15.75" customHeight="1">
      <c r="A677" s="1"/>
      <c r="B677" s="1"/>
      <c r="C677" s="1"/>
      <c r="D677" s="1"/>
    </row>
    <row r="678" spans="1:4" ht="15.75" customHeight="1">
      <c r="A678" s="1"/>
      <c r="B678" s="1"/>
      <c r="C678" s="1"/>
      <c r="D678" s="1"/>
    </row>
    <row r="679" spans="1:4" ht="15.75" customHeight="1">
      <c r="A679" s="1"/>
      <c r="B679" s="1"/>
      <c r="C679" s="1"/>
      <c r="D679" s="1"/>
    </row>
    <row r="680" spans="1:4" ht="15.75" customHeight="1">
      <c r="A680" s="1"/>
      <c r="B680" s="1"/>
      <c r="C680" s="1"/>
      <c r="D680" s="1"/>
    </row>
    <row r="681" spans="1:4" ht="15.75" customHeight="1">
      <c r="A681" s="1"/>
      <c r="B681" s="1"/>
      <c r="C681" s="1"/>
      <c r="D681" s="1"/>
    </row>
    <row r="682" spans="1:4" ht="15.75" customHeight="1">
      <c r="A682" s="1"/>
      <c r="B682" s="1"/>
      <c r="C682" s="1"/>
      <c r="D682" s="1"/>
    </row>
    <row r="683" spans="1:4" ht="15.75" customHeight="1">
      <c r="A683" s="1"/>
      <c r="B683" s="1"/>
      <c r="C683" s="1"/>
      <c r="D683" s="1"/>
    </row>
    <row r="684" spans="1:4" ht="15.75" customHeight="1">
      <c r="A684" s="1"/>
      <c r="B684" s="1"/>
      <c r="C684" s="1"/>
      <c r="D684" s="1"/>
    </row>
    <row r="685" spans="1:4" ht="15.75" customHeight="1">
      <c r="A685" s="1"/>
      <c r="B685" s="1"/>
      <c r="C685" s="1"/>
      <c r="D685" s="1"/>
    </row>
    <row r="686" spans="1:4" ht="15.75" customHeight="1">
      <c r="A686" s="1"/>
      <c r="B686" s="1"/>
      <c r="C686" s="1"/>
      <c r="D686" s="1"/>
    </row>
    <row r="687" spans="1:4" ht="15.75" customHeight="1">
      <c r="A687" s="1"/>
      <c r="B687" s="1"/>
      <c r="C687" s="1"/>
      <c r="D687" s="1"/>
    </row>
    <row r="688" spans="1:4" ht="15.75" customHeight="1">
      <c r="A688" s="1"/>
      <c r="B688" s="1"/>
      <c r="C688" s="1"/>
      <c r="D688" s="1"/>
    </row>
    <row r="689" spans="1:4" ht="15.75" customHeight="1">
      <c r="A689" s="1"/>
      <c r="B689" s="1"/>
      <c r="C689" s="1"/>
      <c r="D689" s="1"/>
    </row>
    <row r="690" spans="1:4" ht="15.75" customHeight="1">
      <c r="A690" s="1"/>
      <c r="B690" s="1"/>
      <c r="C690" s="1"/>
      <c r="D690" s="1"/>
    </row>
    <row r="691" spans="1:4" ht="15.75" customHeight="1">
      <c r="A691" s="1"/>
      <c r="B691" s="1"/>
      <c r="C691" s="1"/>
      <c r="D691" s="1"/>
    </row>
    <row r="692" spans="1:4" ht="15.75" customHeight="1">
      <c r="A692" s="1"/>
      <c r="B692" s="1"/>
      <c r="C692" s="1"/>
      <c r="D692" s="1"/>
    </row>
    <row r="693" spans="1:4" ht="15.75" customHeight="1">
      <c r="A693" s="1"/>
      <c r="B693" s="1"/>
      <c r="C693" s="1"/>
      <c r="D693" s="1"/>
    </row>
    <row r="694" spans="1:4" ht="15.75" customHeight="1">
      <c r="A694" s="1"/>
      <c r="B694" s="1"/>
      <c r="C694" s="1"/>
      <c r="D694" s="1"/>
    </row>
    <row r="695" spans="1:4" ht="15.75" customHeight="1">
      <c r="A695" s="1"/>
      <c r="B695" s="1"/>
      <c r="C695" s="1"/>
      <c r="D695" s="1"/>
    </row>
    <row r="696" spans="1:4" ht="15.75" customHeight="1">
      <c r="A696" s="1"/>
      <c r="B696" s="1"/>
      <c r="C696" s="1"/>
      <c r="D696" s="1"/>
    </row>
    <row r="697" spans="1:4" ht="15.75" customHeight="1">
      <c r="A697" s="1"/>
      <c r="B697" s="1"/>
      <c r="C697" s="1"/>
      <c r="D697" s="1"/>
    </row>
    <row r="698" spans="1:4" ht="15.75" customHeight="1">
      <c r="A698" s="1"/>
      <c r="B698" s="1"/>
      <c r="C698" s="1"/>
      <c r="D698" s="1"/>
    </row>
    <row r="699" spans="1:4" ht="15.75" customHeight="1">
      <c r="A699" s="1"/>
      <c r="B699" s="1"/>
      <c r="C699" s="1"/>
      <c r="D699" s="1"/>
    </row>
    <row r="700" spans="1:4" ht="15.75" customHeight="1">
      <c r="A700" s="1"/>
      <c r="B700" s="1"/>
      <c r="C700" s="1"/>
      <c r="D700" s="1"/>
    </row>
    <row r="701" spans="1:4" ht="15.75" customHeight="1">
      <c r="A701" s="1"/>
      <c r="B701" s="1"/>
      <c r="C701" s="1"/>
      <c r="D701" s="1"/>
    </row>
    <row r="702" spans="1:4" ht="15.75" customHeight="1">
      <c r="A702" s="1"/>
      <c r="B702" s="1"/>
      <c r="C702" s="1"/>
      <c r="D702" s="1"/>
    </row>
    <row r="703" spans="1:4" ht="15.75" customHeight="1">
      <c r="A703" s="1"/>
      <c r="B703" s="1"/>
      <c r="C703" s="1"/>
      <c r="D703" s="1"/>
    </row>
    <row r="704" spans="1:4" ht="15.75" customHeight="1">
      <c r="A704" s="1"/>
      <c r="B704" s="1"/>
      <c r="C704" s="1"/>
      <c r="D704" s="1"/>
    </row>
    <row r="705" spans="1:4" ht="15.75" customHeight="1">
      <c r="A705" s="1"/>
      <c r="B705" s="1"/>
      <c r="C705" s="1"/>
      <c r="D705" s="1"/>
    </row>
    <row r="706" spans="1:4" ht="15.75" customHeight="1">
      <c r="A706" s="1"/>
      <c r="B706" s="1"/>
      <c r="C706" s="1"/>
      <c r="D706" s="1"/>
    </row>
    <row r="707" spans="1:4" ht="15.75" customHeight="1">
      <c r="A707" s="1"/>
      <c r="B707" s="1"/>
      <c r="C707" s="1"/>
      <c r="D707" s="1"/>
    </row>
    <row r="708" spans="1:4" ht="15.75" customHeight="1">
      <c r="A708" s="1"/>
      <c r="B708" s="1"/>
      <c r="C708" s="1"/>
      <c r="D708" s="1"/>
    </row>
    <row r="709" spans="1:4" ht="15.75" customHeight="1">
      <c r="A709" s="1"/>
      <c r="B709" s="1"/>
      <c r="C709" s="1"/>
      <c r="D709" s="1"/>
    </row>
    <row r="710" spans="1:4" ht="15.75" customHeight="1">
      <c r="A710" s="1"/>
      <c r="B710" s="1"/>
      <c r="C710" s="1"/>
      <c r="D710" s="1"/>
    </row>
    <row r="711" spans="1:4" ht="15.75" customHeight="1">
      <c r="A711" s="1"/>
      <c r="B711" s="1"/>
      <c r="C711" s="1"/>
      <c r="D711" s="1"/>
    </row>
    <row r="712" spans="1:4" ht="15.75" customHeight="1">
      <c r="A712" s="1"/>
      <c r="B712" s="1"/>
      <c r="C712" s="1"/>
      <c r="D712" s="1"/>
    </row>
    <row r="713" spans="1:4" ht="15.75" customHeight="1">
      <c r="A713" s="1"/>
      <c r="B713" s="1"/>
      <c r="C713" s="1"/>
      <c r="D713" s="1"/>
    </row>
    <row r="714" spans="1:4" ht="15.75" customHeight="1">
      <c r="A714" s="1"/>
      <c r="B714" s="1"/>
      <c r="C714" s="1"/>
      <c r="D714" s="1"/>
    </row>
    <row r="715" spans="1:4" ht="15.75" customHeight="1">
      <c r="A715" s="1"/>
      <c r="B715" s="1"/>
      <c r="C715" s="1"/>
      <c r="D715" s="1"/>
    </row>
    <row r="716" spans="1:4" ht="15.75" customHeight="1">
      <c r="A716" s="1"/>
      <c r="B716" s="1"/>
      <c r="C716" s="1"/>
      <c r="D716" s="1"/>
    </row>
    <row r="717" spans="1:4" ht="15.75" customHeight="1">
      <c r="A717" s="1"/>
      <c r="B717" s="1"/>
      <c r="C717" s="1"/>
      <c r="D717" s="1"/>
    </row>
    <row r="718" spans="1:4" ht="15.75" customHeight="1">
      <c r="A718" s="1"/>
      <c r="B718" s="1"/>
      <c r="C718" s="1"/>
      <c r="D718" s="1"/>
    </row>
    <row r="719" spans="1:4" ht="15.75" customHeight="1">
      <c r="A719" s="1"/>
      <c r="B719" s="1"/>
      <c r="C719" s="1"/>
      <c r="D719" s="1"/>
    </row>
    <row r="720" spans="1:4" ht="15.75" customHeight="1">
      <c r="A720" s="1"/>
      <c r="B720" s="1"/>
      <c r="C720" s="1"/>
      <c r="D720" s="1"/>
    </row>
    <row r="721" spans="1:4" ht="15.75" customHeight="1">
      <c r="A721" s="1"/>
      <c r="B721" s="1"/>
      <c r="C721" s="1"/>
      <c r="D721" s="1"/>
    </row>
    <row r="722" spans="1:4" ht="15.75" customHeight="1">
      <c r="A722" s="1"/>
      <c r="B722" s="1"/>
      <c r="C722" s="1"/>
      <c r="D722" s="1"/>
    </row>
    <row r="723" spans="1:4" ht="15.75" customHeight="1">
      <c r="A723" s="1"/>
      <c r="B723" s="1"/>
      <c r="C723" s="1"/>
      <c r="D723" s="1"/>
    </row>
    <row r="724" spans="1:4" ht="15.75" customHeight="1">
      <c r="A724" s="1"/>
      <c r="B724" s="1"/>
      <c r="C724" s="1"/>
      <c r="D724" s="1"/>
    </row>
    <row r="725" spans="1:4" ht="15.75" customHeight="1">
      <c r="A725" s="1"/>
      <c r="B725" s="1"/>
      <c r="C725" s="1"/>
      <c r="D725" s="1"/>
    </row>
    <row r="726" spans="1:4" ht="15.75" customHeight="1">
      <c r="A726" s="1"/>
      <c r="B726" s="1"/>
      <c r="C726" s="1"/>
      <c r="D726" s="1"/>
    </row>
    <row r="727" spans="1:4" ht="15.75" customHeight="1">
      <c r="A727" s="1"/>
      <c r="B727" s="1"/>
      <c r="C727" s="1"/>
      <c r="D727" s="1"/>
    </row>
    <row r="728" spans="1:4" ht="15.75" customHeight="1">
      <c r="A728" s="1"/>
      <c r="B728" s="1"/>
      <c r="C728" s="1"/>
      <c r="D728" s="1"/>
    </row>
    <row r="729" spans="1:4" ht="15.75" customHeight="1">
      <c r="A729" s="1"/>
      <c r="B729" s="1"/>
      <c r="C729" s="1"/>
      <c r="D729" s="1"/>
    </row>
    <row r="730" spans="1:4" ht="15.75" customHeight="1">
      <c r="A730" s="1"/>
      <c r="B730" s="1"/>
      <c r="C730" s="1"/>
      <c r="D730" s="1"/>
    </row>
    <row r="731" spans="1:4" ht="15.75" customHeight="1">
      <c r="A731" s="1"/>
      <c r="B731" s="1"/>
      <c r="C731" s="1"/>
      <c r="D731" s="1"/>
    </row>
    <row r="732" spans="1:4" ht="15.75" customHeight="1">
      <c r="A732" s="1"/>
      <c r="B732" s="1"/>
      <c r="C732" s="1"/>
      <c r="D732" s="1"/>
    </row>
    <row r="733" spans="1:4" ht="15.75" customHeight="1">
      <c r="A733" s="1"/>
      <c r="B733" s="1"/>
      <c r="C733" s="1"/>
      <c r="D733" s="1"/>
    </row>
    <row r="734" spans="1:4" ht="15.75" customHeight="1">
      <c r="A734" s="1"/>
      <c r="B734" s="1"/>
      <c r="C734" s="1"/>
      <c r="D734" s="1"/>
    </row>
    <row r="735" spans="1:4" ht="15.75" customHeight="1">
      <c r="A735" s="1"/>
      <c r="B735" s="1"/>
      <c r="C735" s="1"/>
      <c r="D735" s="1"/>
    </row>
    <row r="736" spans="1:4" ht="15.75" customHeight="1">
      <c r="A736" s="1"/>
      <c r="B736" s="1"/>
      <c r="C736" s="1"/>
      <c r="D736" s="1"/>
    </row>
    <row r="737" spans="1:4" ht="15.75" customHeight="1">
      <c r="A737" s="1"/>
      <c r="B737" s="1"/>
      <c r="C737" s="1"/>
      <c r="D737" s="1"/>
    </row>
    <row r="738" spans="1:4" ht="15.75" customHeight="1">
      <c r="A738" s="1"/>
      <c r="B738" s="1"/>
      <c r="C738" s="1"/>
      <c r="D738" s="1"/>
    </row>
    <row r="739" spans="1:4" ht="15.75" customHeight="1">
      <c r="A739" s="1"/>
      <c r="B739" s="1"/>
      <c r="C739" s="1"/>
      <c r="D739" s="1"/>
    </row>
    <row r="740" spans="1:4" ht="15.75" customHeight="1">
      <c r="A740" s="1"/>
      <c r="B740" s="1"/>
      <c r="C740" s="1"/>
      <c r="D740" s="1"/>
    </row>
    <row r="741" spans="1:4" ht="15.75" customHeight="1">
      <c r="A741" s="1"/>
      <c r="B741" s="1"/>
      <c r="C741" s="1"/>
      <c r="D741" s="1"/>
    </row>
    <row r="742" spans="1:4" ht="15.75" customHeight="1">
      <c r="A742" s="1"/>
      <c r="B742" s="1"/>
      <c r="C742" s="1"/>
      <c r="D742" s="1"/>
    </row>
    <row r="743" spans="1:4" ht="15.75" customHeight="1">
      <c r="A743" s="1"/>
      <c r="B743" s="1"/>
      <c r="C743" s="1"/>
      <c r="D743" s="1"/>
    </row>
    <row r="744" spans="1:4" ht="15.75" customHeight="1">
      <c r="A744" s="1"/>
      <c r="B744" s="1"/>
      <c r="C744" s="1"/>
      <c r="D744" s="1"/>
    </row>
    <row r="745" spans="1:4" ht="15.75" customHeight="1">
      <c r="A745" s="1"/>
      <c r="B745" s="1"/>
      <c r="C745" s="1"/>
      <c r="D745" s="1"/>
    </row>
    <row r="746" spans="1:4" ht="15.75" customHeight="1">
      <c r="A746" s="1"/>
      <c r="B746" s="1"/>
      <c r="C746" s="1"/>
      <c r="D746" s="1"/>
    </row>
    <row r="747" spans="1:4" ht="15.75" customHeight="1">
      <c r="A747" s="1"/>
      <c r="B747" s="1"/>
      <c r="C747" s="1"/>
      <c r="D747" s="1"/>
    </row>
    <row r="748" spans="1:4" ht="15.75" customHeight="1">
      <c r="A748" s="1"/>
      <c r="B748" s="1"/>
      <c r="C748" s="1"/>
      <c r="D748" s="1"/>
    </row>
    <row r="749" spans="1:4" ht="15.75" customHeight="1">
      <c r="A749" s="1"/>
      <c r="B749" s="1"/>
      <c r="C749" s="1"/>
      <c r="D749" s="1"/>
    </row>
    <row r="750" spans="1:4" ht="15.75" customHeight="1">
      <c r="A750" s="1"/>
      <c r="B750" s="1"/>
      <c r="C750" s="1"/>
      <c r="D750" s="1"/>
    </row>
    <row r="751" spans="1:4" ht="15.75" customHeight="1">
      <c r="A751" s="1"/>
      <c r="B751" s="1"/>
      <c r="C751" s="1"/>
      <c r="D751" s="1"/>
    </row>
    <row r="752" spans="1:4" ht="15.75" customHeight="1">
      <c r="A752" s="1"/>
      <c r="B752" s="1"/>
      <c r="C752" s="1"/>
      <c r="D752" s="1"/>
    </row>
    <row r="753" spans="1:4" ht="15.75" customHeight="1">
      <c r="A753" s="1"/>
      <c r="B753" s="1"/>
      <c r="C753" s="1"/>
      <c r="D753" s="1"/>
    </row>
    <row r="754" spans="1:4" ht="15.75" customHeight="1">
      <c r="A754" s="1"/>
      <c r="B754" s="1"/>
      <c r="C754" s="1"/>
      <c r="D754" s="1"/>
    </row>
    <row r="755" spans="1:4" ht="15.75" customHeight="1">
      <c r="A755" s="1"/>
      <c r="B755" s="1"/>
      <c r="C755" s="1"/>
      <c r="D755" s="1"/>
    </row>
    <row r="756" spans="1:4" ht="15.75" customHeight="1">
      <c r="A756" s="1"/>
      <c r="B756" s="1"/>
      <c r="C756" s="1"/>
      <c r="D756" s="1"/>
    </row>
    <row r="757" spans="1:4" ht="15.75" customHeight="1">
      <c r="A757" s="1"/>
      <c r="B757" s="1"/>
      <c r="C757" s="1"/>
      <c r="D757" s="1"/>
    </row>
    <row r="758" spans="1:4" ht="15.75" customHeight="1">
      <c r="A758" s="1"/>
      <c r="B758" s="1"/>
      <c r="C758" s="1"/>
      <c r="D758" s="1"/>
    </row>
    <row r="759" spans="1:4" ht="15.75" customHeight="1">
      <c r="A759" s="1"/>
      <c r="B759" s="1"/>
      <c r="C759" s="1"/>
      <c r="D759" s="1"/>
    </row>
    <row r="760" spans="1:4" ht="15.75" customHeight="1">
      <c r="A760" s="1"/>
      <c r="B760" s="1"/>
      <c r="C760" s="1"/>
      <c r="D760" s="1"/>
    </row>
    <row r="761" spans="1:4" ht="15.75" customHeight="1">
      <c r="A761" s="1"/>
      <c r="B761" s="1"/>
      <c r="C761" s="1"/>
      <c r="D761" s="1"/>
    </row>
    <row r="762" spans="1:4" ht="15.75" customHeight="1">
      <c r="A762" s="1"/>
      <c r="B762" s="1"/>
      <c r="C762" s="1"/>
      <c r="D762" s="1"/>
    </row>
    <row r="763" spans="1:4" ht="15.75" customHeight="1">
      <c r="A763" s="1"/>
      <c r="B763" s="1"/>
      <c r="C763" s="1"/>
      <c r="D763" s="1"/>
    </row>
    <row r="764" spans="1:4" ht="15.75" customHeight="1">
      <c r="A764" s="1"/>
      <c r="B764" s="1"/>
      <c r="C764" s="1"/>
      <c r="D764" s="1"/>
    </row>
    <row r="765" spans="1:4" ht="15.75" customHeight="1">
      <c r="A765" s="1"/>
      <c r="B765" s="1"/>
      <c r="C765" s="1"/>
      <c r="D765" s="1"/>
    </row>
    <row r="766" spans="1:4" ht="15.75" customHeight="1">
      <c r="A766" s="1"/>
      <c r="B766" s="1"/>
      <c r="C766" s="1"/>
      <c r="D766" s="1"/>
    </row>
    <row r="767" spans="1:4" ht="15.75" customHeight="1">
      <c r="A767" s="1"/>
      <c r="B767" s="1"/>
      <c r="C767" s="1"/>
      <c r="D767" s="1"/>
    </row>
    <row r="768" spans="1:4" ht="15.75" customHeight="1">
      <c r="A768" s="1"/>
      <c r="B768" s="1"/>
      <c r="C768" s="1"/>
      <c r="D768" s="1"/>
    </row>
    <row r="769" spans="1:4" ht="15.75" customHeight="1">
      <c r="A769" s="1"/>
      <c r="B769" s="1"/>
      <c r="C769" s="1"/>
      <c r="D769" s="1"/>
    </row>
    <row r="770" spans="1:4" ht="15.75" customHeight="1">
      <c r="A770" s="1"/>
      <c r="B770" s="1"/>
      <c r="C770" s="1"/>
      <c r="D770" s="1"/>
    </row>
    <row r="771" spans="1:4" ht="15.75" customHeight="1">
      <c r="A771" s="1"/>
      <c r="B771" s="1"/>
      <c r="C771" s="1"/>
      <c r="D771" s="1"/>
    </row>
    <row r="772" spans="1:4" ht="15.75" customHeight="1">
      <c r="A772" s="1"/>
      <c r="B772" s="1"/>
      <c r="C772" s="1"/>
      <c r="D772" s="1"/>
    </row>
    <row r="773" spans="1:4" ht="15.75" customHeight="1">
      <c r="A773" s="1"/>
      <c r="B773" s="1"/>
      <c r="C773" s="1"/>
      <c r="D773" s="1"/>
    </row>
    <row r="774" spans="1:4" ht="15.75" customHeight="1">
      <c r="A774" s="1"/>
      <c r="B774" s="1"/>
      <c r="C774" s="1"/>
      <c r="D774" s="1"/>
    </row>
    <row r="775" spans="1:4" ht="15.75" customHeight="1">
      <c r="A775" s="1"/>
      <c r="B775" s="1"/>
      <c r="C775" s="1"/>
      <c r="D775" s="1"/>
    </row>
    <row r="776" spans="1:4" ht="15.75" customHeight="1">
      <c r="A776" s="1"/>
      <c r="B776" s="1"/>
      <c r="C776" s="1"/>
      <c r="D776" s="1"/>
    </row>
    <row r="777" spans="1:4" ht="15.75" customHeight="1">
      <c r="A777" s="1"/>
      <c r="B777" s="1"/>
      <c r="C777" s="1"/>
      <c r="D777" s="1"/>
    </row>
    <row r="778" spans="1:4" ht="15.75" customHeight="1">
      <c r="A778" s="1"/>
      <c r="B778" s="1"/>
      <c r="C778" s="1"/>
      <c r="D778" s="1"/>
    </row>
    <row r="779" spans="1:4" ht="15.75" customHeight="1">
      <c r="A779" s="1"/>
      <c r="B779" s="1"/>
      <c r="C779" s="1"/>
      <c r="D779" s="1"/>
    </row>
    <row r="780" spans="1:4" ht="15.75" customHeight="1">
      <c r="A780" s="1"/>
      <c r="B780" s="1"/>
      <c r="C780" s="1"/>
      <c r="D780" s="1"/>
    </row>
    <row r="781" spans="1:4" ht="15.75" customHeight="1">
      <c r="A781" s="1"/>
      <c r="B781" s="1"/>
      <c r="C781" s="1"/>
      <c r="D781" s="1"/>
    </row>
    <row r="782" spans="1:4" ht="15.75" customHeight="1">
      <c r="A782" s="1"/>
      <c r="B782" s="1"/>
      <c r="C782" s="1"/>
      <c r="D782" s="1"/>
    </row>
    <row r="783" spans="1:4" ht="15.75" customHeight="1">
      <c r="A783" s="1"/>
      <c r="B783" s="1"/>
      <c r="C783" s="1"/>
      <c r="D783" s="1"/>
    </row>
    <row r="784" spans="1:4" ht="15.75" customHeight="1">
      <c r="A784" s="1"/>
      <c r="B784" s="1"/>
      <c r="C784" s="1"/>
      <c r="D784" s="1"/>
    </row>
    <row r="785" spans="1:4" ht="15.75" customHeight="1">
      <c r="A785" s="1"/>
      <c r="B785" s="1"/>
      <c r="C785" s="1"/>
      <c r="D785" s="1"/>
    </row>
    <row r="786" spans="1:4" ht="15.75" customHeight="1">
      <c r="A786" s="1"/>
      <c r="B786" s="1"/>
      <c r="C786" s="1"/>
      <c r="D786" s="1"/>
    </row>
    <row r="787" spans="1:4" ht="15.75" customHeight="1">
      <c r="A787" s="1"/>
      <c r="B787" s="1"/>
      <c r="C787" s="1"/>
      <c r="D787" s="1"/>
    </row>
    <row r="788" spans="1:4" ht="15.75" customHeight="1">
      <c r="A788" s="1"/>
      <c r="B788" s="1"/>
      <c r="C788" s="1"/>
      <c r="D788" s="1"/>
    </row>
    <row r="789" spans="1:4" ht="15.75" customHeight="1">
      <c r="A789" s="1"/>
      <c r="B789" s="1"/>
      <c r="C789" s="1"/>
      <c r="D789" s="1"/>
    </row>
    <row r="790" spans="1:4" ht="15.75" customHeight="1">
      <c r="A790" s="1"/>
      <c r="B790" s="1"/>
      <c r="C790" s="1"/>
      <c r="D790" s="1"/>
    </row>
    <row r="791" spans="1:4" ht="15.75" customHeight="1">
      <c r="A791" s="1"/>
      <c r="B791" s="1"/>
      <c r="C791" s="1"/>
      <c r="D791" s="1"/>
    </row>
    <row r="792" spans="1:4" ht="15.75" customHeight="1">
      <c r="A792" s="1"/>
      <c r="B792" s="1"/>
      <c r="C792" s="1"/>
      <c r="D792" s="1"/>
    </row>
    <row r="793" spans="1:4" ht="15.75" customHeight="1">
      <c r="A793" s="1"/>
      <c r="B793" s="1"/>
      <c r="C793" s="1"/>
      <c r="D793" s="1"/>
    </row>
    <row r="794" spans="1:4" ht="15.75" customHeight="1">
      <c r="A794" s="1"/>
      <c r="B794" s="1"/>
      <c r="C794" s="1"/>
      <c r="D794" s="1"/>
    </row>
    <row r="795" spans="1:4" ht="15.75" customHeight="1">
      <c r="A795" s="1"/>
      <c r="B795" s="1"/>
      <c r="C795" s="1"/>
      <c r="D795" s="1"/>
    </row>
    <row r="796" spans="1:4" ht="15.75" customHeight="1">
      <c r="A796" s="1"/>
      <c r="B796" s="1"/>
      <c r="C796" s="1"/>
      <c r="D796" s="1"/>
    </row>
    <row r="797" spans="1:4" ht="15.75" customHeight="1">
      <c r="A797" s="1"/>
      <c r="B797" s="1"/>
      <c r="C797" s="1"/>
      <c r="D797" s="1"/>
    </row>
    <row r="798" spans="1:4" ht="15.75" customHeight="1">
      <c r="A798" s="1"/>
      <c r="B798" s="1"/>
      <c r="C798" s="1"/>
      <c r="D798" s="1"/>
    </row>
    <row r="799" spans="1:4" ht="15.75" customHeight="1">
      <c r="A799" s="1"/>
      <c r="B799" s="1"/>
      <c r="C799" s="1"/>
      <c r="D799" s="1"/>
    </row>
    <row r="800" spans="1:4" ht="15.75" customHeight="1">
      <c r="A800" s="1"/>
      <c r="B800" s="1"/>
      <c r="C800" s="1"/>
      <c r="D800" s="1"/>
    </row>
    <row r="801" spans="1:4" ht="15.75" customHeight="1">
      <c r="A801" s="1"/>
      <c r="B801" s="1"/>
      <c r="C801" s="1"/>
      <c r="D801" s="1"/>
    </row>
    <row r="802" spans="1:4" ht="15.75" customHeight="1">
      <c r="A802" s="1"/>
      <c r="B802" s="1"/>
      <c r="C802" s="1"/>
      <c r="D802" s="1"/>
    </row>
    <row r="803" spans="1:4" ht="15.75" customHeight="1">
      <c r="A803" s="1"/>
      <c r="B803" s="1"/>
      <c r="C803" s="1"/>
      <c r="D803" s="1"/>
    </row>
    <row r="804" spans="1:4" ht="15.75" customHeight="1">
      <c r="A804" s="1"/>
      <c r="B804" s="1"/>
      <c r="C804" s="1"/>
      <c r="D804" s="1"/>
    </row>
    <row r="805" spans="1:4" ht="15.75" customHeight="1">
      <c r="A805" s="1"/>
      <c r="B805" s="1"/>
      <c r="C805" s="1"/>
      <c r="D805" s="1"/>
    </row>
    <row r="806" spans="1:4" ht="15.75" customHeight="1">
      <c r="A806" s="1"/>
      <c r="B806" s="1"/>
      <c r="C806" s="1"/>
      <c r="D806" s="1"/>
    </row>
    <row r="807" spans="1:4" ht="15.75" customHeight="1">
      <c r="A807" s="1"/>
      <c r="B807" s="1"/>
      <c r="C807" s="1"/>
      <c r="D807" s="1"/>
    </row>
    <row r="808" spans="1:4" ht="15.75" customHeight="1">
      <c r="A808" s="1"/>
      <c r="B808" s="1"/>
      <c r="C808" s="1"/>
      <c r="D808" s="1"/>
    </row>
    <row r="809" spans="1:4" ht="15.75" customHeight="1">
      <c r="A809" s="1"/>
      <c r="B809" s="1"/>
      <c r="C809" s="1"/>
      <c r="D809" s="1"/>
    </row>
    <row r="810" spans="1:4" ht="15.75" customHeight="1">
      <c r="A810" s="1"/>
      <c r="B810" s="1"/>
      <c r="C810" s="1"/>
      <c r="D810" s="1"/>
    </row>
    <row r="811" spans="1:4" ht="15.75" customHeight="1">
      <c r="A811" s="1"/>
      <c r="B811" s="1"/>
      <c r="C811" s="1"/>
      <c r="D811" s="1"/>
    </row>
    <row r="812" spans="1:4" ht="15.75" customHeight="1">
      <c r="A812" s="1"/>
      <c r="B812" s="1"/>
      <c r="C812" s="1"/>
      <c r="D812" s="1"/>
    </row>
    <row r="813" spans="1:4" ht="15.75" customHeight="1">
      <c r="A813" s="1"/>
      <c r="B813" s="1"/>
      <c r="C813" s="1"/>
      <c r="D813" s="1"/>
    </row>
    <row r="814" spans="1:4" ht="15.75" customHeight="1">
      <c r="A814" s="1"/>
      <c r="B814" s="1"/>
      <c r="C814" s="1"/>
      <c r="D814" s="1"/>
    </row>
    <row r="815" spans="1:4" ht="15.75" customHeight="1">
      <c r="A815" s="1"/>
      <c r="B815" s="1"/>
      <c r="C815" s="1"/>
      <c r="D815" s="1"/>
    </row>
    <row r="816" spans="1:4" ht="15.75" customHeight="1">
      <c r="A816" s="1"/>
      <c r="B816" s="1"/>
      <c r="C816" s="1"/>
      <c r="D816" s="1"/>
    </row>
    <row r="817" spans="1:4" ht="15.75" customHeight="1">
      <c r="A817" s="1"/>
      <c r="B817" s="1"/>
      <c r="C817" s="1"/>
      <c r="D817" s="1"/>
    </row>
    <row r="818" spans="1:4" ht="15.75" customHeight="1">
      <c r="A818" s="1"/>
      <c r="B818" s="1"/>
      <c r="C818" s="1"/>
      <c r="D818" s="1"/>
    </row>
    <row r="819" spans="1:4" ht="15.75" customHeight="1">
      <c r="A819" s="1"/>
      <c r="B819" s="1"/>
      <c r="C819" s="1"/>
      <c r="D819" s="1"/>
    </row>
    <row r="820" spans="1:4" ht="15.75" customHeight="1">
      <c r="A820" s="1"/>
      <c r="B820" s="1"/>
      <c r="C820" s="1"/>
      <c r="D820" s="1"/>
    </row>
    <row r="821" spans="1:4" ht="15.75" customHeight="1">
      <c r="A821" s="1"/>
      <c r="B821" s="1"/>
      <c r="C821" s="1"/>
      <c r="D821" s="1"/>
    </row>
    <row r="822" spans="1:4" ht="15.75" customHeight="1">
      <c r="A822" s="1"/>
      <c r="B822" s="1"/>
      <c r="C822" s="1"/>
      <c r="D822" s="1"/>
    </row>
    <row r="823" spans="1:4" ht="15.75" customHeight="1">
      <c r="A823" s="1"/>
      <c r="B823" s="1"/>
      <c r="C823" s="1"/>
      <c r="D823" s="1"/>
    </row>
    <row r="824" spans="1:4" ht="15.75" customHeight="1">
      <c r="A824" s="1"/>
      <c r="B824" s="1"/>
      <c r="C824" s="1"/>
      <c r="D824" s="1"/>
    </row>
    <row r="825" spans="1:4" ht="15.75" customHeight="1">
      <c r="A825" s="1"/>
      <c r="B825" s="1"/>
      <c r="C825" s="1"/>
      <c r="D825" s="1"/>
    </row>
    <row r="826" spans="1:4" ht="15.75" customHeight="1">
      <c r="A826" s="1"/>
      <c r="B826" s="1"/>
      <c r="C826" s="1"/>
      <c r="D826" s="1"/>
    </row>
    <row r="827" spans="1:4" ht="15.75" customHeight="1">
      <c r="A827" s="1"/>
      <c r="B827" s="1"/>
      <c r="C827" s="1"/>
      <c r="D827" s="1"/>
    </row>
    <row r="828" spans="1:4" ht="15.75" customHeight="1">
      <c r="A828" s="1"/>
      <c r="B828" s="1"/>
      <c r="C828" s="1"/>
      <c r="D828" s="1"/>
    </row>
    <row r="829" spans="1:4" ht="15.75" customHeight="1">
      <c r="A829" s="1"/>
      <c r="B829" s="1"/>
      <c r="C829" s="1"/>
      <c r="D829" s="1"/>
    </row>
    <row r="830" spans="1:4" ht="15.75" customHeight="1">
      <c r="A830" s="1"/>
      <c r="B830" s="1"/>
      <c r="C830" s="1"/>
      <c r="D830" s="1"/>
    </row>
    <row r="831" spans="1:4" ht="15.75" customHeight="1">
      <c r="A831" s="1"/>
      <c r="B831" s="1"/>
      <c r="C831" s="1"/>
      <c r="D831" s="1"/>
    </row>
    <row r="832" spans="1:4" ht="15.75" customHeight="1">
      <c r="A832" s="1"/>
      <c r="B832" s="1"/>
      <c r="C832" s="1"/>
      <c r="D832" s="1"/>
    </row>
    <row r="833" spans="1:4" ht="15.75" customHeight="1">
      <c r="A833" s="1"/>
      <c r="B833" s="1"/>
      <c r="C833" s="1"/>
      <c r="D833" s="1"/>
    </row>
    <row r="834" spans="1:4" ht="15.75" customHeight="1">
      <c r="A834" s="1"/>
      <c r="B834" s="1"/>
      <c r="C834" s="1"/>
      <c r="D834" s="1"/>
    </row>
    <row r="835" spans="1:4" ht="15.75" customHeight="1">
      <c r="A835" s="1"/>
      <c r="B835" s="1"/>
      <c r="C835" s="1"/>
      <c r="D835" s="1"/>
    </row>
    <row r="836" spans="1:4" ht="15.75" customHeight="1">
      <c r="A836" s="1"/>
      <c r="B836" s="1"/>
      <c r="C836" s="1"/>
      <c r="D836" s="1"/>
    </row>
    <row r="837" spans="1:4" ht="15.75" customHeight="1">
      <c r="A837" s="1"/>
      <c r="B837" s="1"/>
      <c r="C837" s="1"/>
      <c r="D837" s="1"/>
    </row>
    <row r="838" spans="1:4" ht="15.75" customHeight="1">
      <c r="A838" s="1"/>
      <c r="B838" s="1"/>
      <c r="C838" s="1"/>
      <c r="D838" s="1"/>
    </row>
    <row r="839" spans="1:4" ht="15.75" customHeight="1">
      <c r="A839" s="1"/>
      <c r="B839" s="1"/>
      <c r="C839" s="1"/>
      <c r="D839" s="1"/>
    </row>
    <row r="840" spans="1:4" ht="15.75" customHeight="1">
      <c r="A840" s="1"/>
      <c r="B840" s="1"/>
      <c r="C840" s="1"/>
      <c r="D840" s="1"/>
    </row>
    <row r="841" spans="1:4" ht="15.75" customHeight="1">
      <c r="A841" s="1"/>
      <c r="B841" s="1"/>
      <c r="C841" s="1"/>
      <c r="D841" s="1"/>
    </row>
    <row r="842" spans="1:4" ht="15.75" customHeight="1">
      <c r="A842" s="1"/>
      <c r="B842" s="1"/>
      <c r="C842" s="1"/>
      <c r="D842" s="1"/>
    </row>
    <row r="843" spans="1:4" ht="15.75" customHeight="1">
      <c r="A843" s="1"/>
      <c r="B843" s="1"/>
      <c r="C843" s="1"/>
      <c r="D843" s="1"/>
    </row>
    <row r="844" spans="1:4" ht="15.75" customHeight="1">
      <c r="A844" s="1"/>
      <c r="B844" s="1"/>
      <c r="C844" s="1"/>
      <c r="D844" s="1"/>
    </row>
    <row r="845" spans="1:4" ht="15.75" customHeight="1">
      <c r="A845" s="1"/>
      <c r="B845" s="1"/>
      <c r="C845" s="1"/>
      <c r="D845" s="1"/>
    </row>
    <row r="846" spans="1:4" ht="15.75" customHeight="1">
      <c r="A846" s="1"/>
      <c r="B846" s="1"/>
      <c r="C846" s="1"/>
      <c r="D846" s="1"/>
    </row>
    <row r="847" spans="1:4" ht="15.75" customHeight="1">
      <c r="A847" s="1"/>
      <c r="B847" s="1"/>
      <c r="C847" s="1"/>
      <c r="D847" s="1"/>
    </row>
    <row r="848" spans="1:4" ht="15.75" customHeight="1">
      <c r="A848" s="1"/>
      <c r="B848" s="1"/>
      <c r="C848" s="1"/>
      <c r="D848" s="1"/>
    </row>
    <row r="849" spans="1:4" ht="15.75" customHeight="1">
      <c r="A849" s="1"/>
      <c r="B849" s="1"/>
      <c r="C849" s="1"/>
      <c r="D849" s="1"/>
    </row>
    <row r="850" spans="1:4" ht="15.75" customHeight="1">
      <c r="A850" s="1"/>
      <c r="B850" s="1"/>
      <c r="C850" s="1"/>
      <c r="D850" s="1"/>
    </row>
    <row r="851" spans="1:4" ht="15.75" customHeight="1">
      <c r="A851" s="1"/>
      <c r="B851" s="1"/>
      <c r="C851" s="1"/>
      <c r="D851" s="1"/>
    </row>
    <row r="852" spans="1:4" ht="15.75" customHeight="1">
      <c r="A852" s="1"/>
      <c r="B852" s="1"/>
      <c r="C852" s="1"/>
      <c r="D852" s="1"/>
    </row>
    <row r="853" spans="1:4" ht="15.75" customHeight="1">
      <c r="A853" s="1"/>
      <c r="B853" s="1"/>
      <c r="C853" s="1"/>
      <c r="D853" s="1"/>
    </row>
    <row r="854" spans="1:4" ht="15.75" customHeight="1">
      <c r="A854" s="1"/>
      <c r="B854" s="1"/>
      <c r="C854" s="1"/>
      <c r="D854" s="1"/>
    </row>
    <row r="855" spans="1:4" ht="15.75" customHeight="1">
      <c r="A855" s="1"/>
      <c r="B855" s="1"/>
      <c r="C855" s="1"/>
      <c r="D855" s="1"/>
    </row>
    <row r="856" spans="1:4" ht="15.75" customHeight="1">
      <c r="A856" s="1"/>
      <c r="B856" s="1"/>
      <c r="C856" s="1"/>
      <c r="D856" s="1"/>
    </row>
    <row r="857" spans="1:4" ht="15.75" customHeight="1">
      <c r="A857" s="1"/>
      <c r="B857" s="1"/>
      <c r="C857" s="1"/>
      <c r="D857" s="1"/>
    </row>
    <row r="858" spans="1:4" ht="15.75" customHeight="1">
      <c r="A858" s="1"/>
      <c r="B858" s="1"/>
      <c r="C858" s="1"/>
      <c r="D858" s="1"/>
    </row>
    <row r="859" spans="1:4" ht="15.75" customHeight="1">
      <c r="A859" s="1"/>
      <c r="B859" s="1"/>
      <c r="C859" s="1"/>
      <c r="D859" s="1"/>
    </row>
    <row r="860" spans="1:4" ht="15.75" customHeight="1">
      <c r="A860" s="1"/>
      <c r="B860" s="1"/>
      <c r="C860" s="1"/>
      <c r="D860" s="1"/>
    </row>
    <row r="861" spans="1:4" ht="15.75" customHeight="1">
      <c r="A861" s="1"/>
      <c r="B861" s="1"/>
      <c r="C861" s="1"/>
      <c r="D861" s="1"/>
    </row>
    <row r="862" spans="1:4" ht="15.75" customHeight="1">
      <c r="A862" s="1"/>
      <c r="B862" s="1"/>
      <c r="C862" s="1"/>
      <c r="D862" s="1"/>
    </row>
    <row r="863" spans="1:4" ht="15.75" customHeight="1">
      <c r="A863" s="1"/>
      <c r="B863" s="1"/>
      <c r="C863" s="1"/>
      <c r="D863" s="1"/>
    </row>
    <row r="864" spans="1:4" ht="15.75" customHeight="1">
      <c r="A864" s="1"/>
      <c r="B864" s="1"/>
      <c r="C864" s="1"/>
      <c r="D864" s="1"/>
    </row>
    <row r="865" spans="1:4" ht="15.75" customHeight="1">
      <c r="A865" s="1"/>
      <c r="B865" s="1"/>
      <c r="C865" s="1"/>
      <c r="D865" s="1"/>
    </row>
    <row r="866" spans="1:4" ht="15.75" customHeight="1">
      <c r="A866" s="1"/>
      <c r="B866" s="1"/>
      <c r="C866" s="1"/>
      <c r="D866" s="1"/>
    </row>
    <row r="867" spans="1:4" ht="15.75" customHeight="1">
      <c r="A867" s="1"/>
      <c r="B867" s="1"/>
      <c r="C867" s="1"/>
      <c r="D867" s="1"/>
    </row>
    <row r="868" spans="1:4" ht="15.75" customHeight="1">
      <c r="A868" s="1"/>
      <c r="B868" s="1"/>
      <c r="C868" s="1"/>
      <c r="D868" s="1"/>
    </row>
    <row r="869" spans="1:4" ht="15.75" customHeight="1">
      <c r="A869" s="1"/>
      <c r="B869" s="1"/>
      <c r="C869" s="1"/>
      <c r="D869" s="1"/>
    </row>
    <row r="870" spans="1:4" ht="15.75" customHeight="1">
      <c r="A870" s="1"/>
      <c r="B870" s="1"/>
      <c r="C870" s="1"/>
      <c r="D870" s="1"/>
    </row>
    <row r="871" spans="1:4" ht="15.75" customHeight="1">
      <c r="A871" s="1"/>
      <c r="B871" s="1"/>
      <c r="C871" s="1"/>
      <c r="D871" s="1"/>
    </row>
    <row r="872" spans="1:4" ht="15.75" customHeight="1">
      <c r="A872" s="1"/>
      <c r="B872" s="1"/>
      <c r="C872" s="1"/>
      <c r="D872" s="1"/>
    </row>
    <row r="873" spans="1:4" ht="15.75" customHeight="1">
      <c r="A873" s="1"/>
      <c r="B873" s="1"/>
      <c r="C873" s="1"/>
      <c r="D873" s="1"/>
    </row>
    <row r="874" spans="1:4" ht="15.75" customHeight="1">
      <c r="A874" s="1"/>
      <c r="B874" s="1"/>
      <c r="C874" s="1"/>
      <c r="D874" s="1"/>
    </row>
    <row r="875" spans="1:4" ht="15.75" customHeight="1">
      <c r="A875" s="1"/>
      <c r="B875" s="1"/>
      <c r="C875" s="1"/>
      <c r="D875" s="1"/>
    </row>
    <row r="876" spans="1:4" ht="15.75" customHeight="1">
      <c r="A876" s="1"/>
      <c r="B876" s="1"/>
      <c r="C876" s="1"/>
      <c r="D876" s="1"/>
    </row>
    <row r="877" spans="1:4" ht="15.75" customHeight="1">
      <c r="A877" s="1"/>
      <c r="B877" s="1"/>
      <c r="C877" s="1"/>
      <c r="D877" s="1"/>
    </row>
    <row r="878" spans="1:4" ht="15.75" customHeight="1">
      <c r="A878" s="1"/>
      <c r="B878" s="1"/>
      <c r="C878" s="1"/>
      <c r="D878" s="1"/>
    </row>
    <row r="879" spans="1:4" ht="15.75" customHeight="1">
      <c r="A879" s="1"/>
      <c r="B879" s="1"/>
      <c r="C879" s="1"/>
      <c r="D879" s="1"/>
    </row>
    <row r="880" spans="1:4" ht="15.75" customHeight="1">
      <c r="A880" s="1"/>
      <c r="B880" s="1"/>
      <c r="C880" s="1"/>
      <c r="D880" s="1"/>
    </row>
    <row r="881" spans="1:4" ht="15.75" customHeight="1">
      <c r="A881" s="1"/>
      <c r="B881" s="1"/>
      <c r="C881" s="1"/>
      <c r="D881" s="1"/>
    </row>
    <row r="882" spans="1:4" ht="15.75" customHeight="1">
      <c r="A882" s="1"/>
      <c r="B882" s="1"/>
      <c r="C882" s="1"/>
      <c r="D882" s="1"/>
    </row>
    <row r="883" spans="1:4" ht="15.75" customHeight="1">
      <c r="A883" s="1"/>
      <c r="B883" s="1"/>
      <c r="C883" s="1"/>
      <c r="D883" s="1"/>
    </row>
    <row r="884" spans="1:4" ht="15.75" customHeight="1">
      <c r="A884" s="1"/>
      <c r="B884" s="1"/>
      <c r="C884" s="1"/>
      <c r="D884" s="1"/>
    </row>
    <row r="885" spans="1:4" ht="15.75" customHeight="1">
      <c r="A885" s="1"/>
      <c r="B885" s="1"/>
      <c r="C885" s="1"/>
      <c r="D885" s="1"/>
    </row>
    <row r="886" spans="1:4" ht="15.75" customHeight="1">
      <c r="A886" s="1"/>
      <c r="B886" s="1"/>
      <c r="C886" s="1"/>
      <c r="D886" s="1"/>
    </row>
    <row r="887" spans="1:4" ht="15.75" customHeight="1">
      <c r="A887" s="1"/>
      <c r="B887" s="1"/>
      <c r="C887" s="1"/>
      <c r="D887" s="1"/>
    </row>
    <row r="888" spans="1:4" ht="15.75" customHeight="1">
      <c r="A888" s="1"/>
      <c r="B888" s="1"/>
      <c r="C888" s="1"/>
      <c r="D888" s="1"/>
    </row>
    <row r="889" spans="1:4" ht="15.75" customHeight="1">
      <c r="A889" s="1"/>
      <c r="B889" s="1"/>
      <c r="C889" s="1"/>
      <c r="D889" s="1"/>
    </row>
    <row r="890" spans="1:4" ht="15.75" customHeight="1">
      <c r="A890" s="1"/>
      <c r="B890" s="1"/>
      <c r="C890" s="1"/>
      <c r="D890" s="1"/>
    </row>
    <row r="891" spans="1:4" ht="15.75" customHeight="1">
      <c r="A891" s="1"/>
      <c r="B891" s="1"/>
      <c r="C891" s="1"/>
      <c r="D891" s="1"/>
    </row>
    <row r="892" spans="1:4" ht="15.75" customHeight="1">
      <c r="A892" s="1"/>
      <c r="B892" s="1"/>
      <c r="C892" s="1"/>
      <c r="D892" s="1"/>
    </row>
    <row r="893" spans="1:4" ht="15.75" customHeight="1">
      <c r="A893" s="1"/>
      <c r="B893" s="1"/>
      <c r="C893" s="1"/>
      <c r="D893" s="1"/>
    </row>
    <row r="894" spans="1:4" ht="15.75" customHeight="1">
      <c r="A894" s="1"/>
      <c r="B894" s="1"/>
      <c r="C894" s="1"/>
      <c r="D894" s="1"/>
    </row>
    <row r="895" spans="1:4" ht="15.75" customHeight="1">
      <c r="A895" s="1"/>
      <c r="B895" s="1"/>
      <c r="C895" s="1"/>
      <c r="D895" s="1"/>
    </row>
    <row r="896" spans="1:4" ht="15.75" customHeight="1">
      <c r="A896" s="1"/>
      <c r="B896" s="1"/>
      <c r="C896" s="1"/>
      <c r="D896" s="1"/>
    </row>
    <row r="897" spans="1:4" ht="15.75" customHeight="1">
      <c r="A897" s="1"/>
      <c r="B897" s="1"/>
      <c r="C897" s="1"/>
      <c r="D897" s="1"/>
    </row>
    <row r="898" spans="1:4" ht="15.75" customHeight="1">
      <c r="A898" s="1"/>
      <c r="B898" s="1"/>
      <c r="C898" s="1"/>
      <c r="D898" s="1"/>
    </row>
    <row r="899" spans="1:4" ht="15.75" customHeight="1">
      <c r="A899" s="1"/>
      <c r="B899" s="1"/>
      <c r="C899" s="1"/>
      <c r="D899" s="1"/>
    </row>
    <row r="900" spans="1:4" ht="15.75" customHeight="1">
      <c r="A900" s="1"/>
      <c r="B900" s="1"/>
      <c r="C900" s="1"/>
      <c r="D900" s="1"/>
    </row>
    <row r="901" spans="1:4" ht="15.75" customHeight="1">
      <c r="A901" s="1"/>
      <c r="B901" s="1"/>
      <c r="C901" s="1"/>
      <c r="D901" s="1"/>
    </row>
    <row r="902" spans="1:4" ht="15.75" customHeight="1">
      <c r="A902" s="1"/>
      <c r="B902" s="1"/>
      <c r="C902" s="1"/>
      <c r="D902" s="1"/>
    </row>
    <row r="903" spans="1:4" ht="15.75" customHeight="1">
      <c r="A903" s="1"/>
      <c r="B903" s="1"/>
      <c r="C903" s="1"/>
      <c r="D903" s="1"/>
    </row>
    <row r="904" spans="1:4" ht="15.75" customHeight="1">
      <c r="A904" s="1"/>
      <c r="B904" s="1"/>
      <c r="C904" s="1"/>
      <c r="D904" s="1"/>
    </row>
    <row r="905" spans="1:4" ht="15.75" customHeight="1">
      <c r="A905" s="1"/>
      <c r="B905" s="1"/>
      <c r="C905" s="1"/>
      <c r="D905" s="1"/>
    </row>
    <row r="906" spans="1:4" ht="15.75" customHeight="1">
      <c r="A906" s="1"/>
      <c r="B906" s="1"/>
      <c r="C906" s="1"/>
      <c r="D906" s="1"/>
    </row>
    <row r="907" spans="1:4" ht="15.75" customHeight="1">
      <c r="A907" s="1"/>
      <c r="B907" s="1"/>
      <c r="C907" s="1"/>
      <c r="D907" s="1"/>
    </row>
    <row r="908" spans="1:4" ht="15.75" customHeight="1">
      <c r="A908" s="1"/>
      <c r="B908" s="1"/>
      <c r="C908" s="1"/>
      <c r="D908" s="1"/>
    </row>
    <row r="909" spans="1:4" ht="15.75" customHeight="1">
      <c r="A909" s="1"/>
      <c r="B909" s="1"/>
      <c r="C909" s="1"/>
      <c r="D909" s="1"/>
    </row>
    <row r="910" spans="1:4" ht="15.75" customHeight="1">
      <c r="A910" s="1"/>
      <c r="B910" s="1"/>
      <c r="C910" s="1"/>
      <c r="D910" s="1"/>
    </row>
    <row r="911" spans="1:4" ht="15.75" customHeight="1">
      <c r="A911" s="1"/>
      <c r="B911" s="1"/>
      <c r="C911" s="1"/>
      <c r="D911" s="1"/>
    </row>
    <row r="912" spans="1:4" ht="15.75" customHeight="1">
      <c r="A912" s="1"/>
      <c r="B912" s="1"/>
      <c r="C912" s="1"/>
      <c r="D912" s="1"/>
    </row>
    <row r="913" spans="1:4" ht="15.75" customHeight="1">
      <c r="A913" s="1"/>
      <c r="B913" s="1"/>
      <c r="C913" s="1"/>
      <c r="D913" s="1"/>
    </row>
    <row r="914" spans="1:4" ht="15.75" customHeight="1">
      <c r="A914" s="1"/>
      <c r="B914" s="1"/>
      <c r="C914" s="1"/>
      <c r="D914" s="1"/>
    </row>
    <row r="915" spans="1:4" ht="15.75" customHeight="1">
      <c r="A915" s="1"/>
      <c r="B915" s="1"/>
      <c r="C915" s="1"/>
      <c r="D915" s="1"/>
    </row>
    <row r="916" spans="1:4" ht="15.75" customHeight="1">
      <c r="A916" s="1"/>
      <c r="B916" s="1"/>
      <c r="C916" s="1"/>
      <c r="D916" s="1"/>
    </row>
    <row r="917" spans="1:4" ht="15.75" customHeight="1">
      <c r="A917" s="1"/>
      <c r="B917" s="1"/>
      <c r="C917" s="1"/>
      <c r="D917" s="1"/>
    </row>
    <row r="918" spans="1:4" ht="15.75" customHeight="1">
      <c r="A918" s="1"/>
      <c r="B918" s="1"/>
      <c r="C918" s="1"/>
      <c r="D918" s="1"/>
    </row>
    <row r="919" spans="1:4" ht="15.75" customHeight="1">
      <c r="A919" s="1"/>
      <c r="B919" s="1"/>
      <c r="C919" s="1"/>
      <c r="D919" s="1"/>
    </row>
    <row r="920" spans="1:4" ht="15.75" customHeight="1">
      <c r="A920" s="1"/>
      <c r="B920" s="1"/>
      <c r="C920" s="1"/>
      <c r="D920" s="1"/>
    </row>
    <row r="921" spans="1:4" ht="15.75" customHeight="1">
      <c r="A921" s="1"/>
      <c r="B921" s="1"/>
      <c r="C921" s="1"/>
      <c r="D921" s="1"/>
    </row>
    <row r="922" spans="1:4" ht="15.75" customHeight="1">
      <c r="A922" s="1"/>
      <c r="B922" s="1"/>
      <c r="C922" s="1"/>
      <c r="D922" s="1"/>
    </row>
    <row r="923" spans="1:4" ht="15.75" customHeight="1">
      <c r="A923" s="1"/>
      <c r="B923" s="1"/>
      <c r="C923" s="1"/>
      <c r="D923" s="1"/>
    </row>
    <row r="924" spans="1:4" ht="15.75" customHeight="1">
      <c r="A924" s="1"/>
      <c r="B924" s="1"/>
      <c r="C924" s="1"/>
      <c r="D924" s="1"/>
    </row>
    <row r="925" spans="1:4" ht="15.75" customHeight="1">
      <c r="A925" s="1"/>
      <c r="B925" s="1"/>
      <c r="C925" s="1"/>
      <c r="D925" s="1"/>
    </row>
    <row r="926" spans="1:4" ht="15.75" customHeight="1">
      <c r="A926" s="1"/>
      <c r="B926" s="1"/>
      <c r="C926" s="1"/>
      <c r="D926" s="1"/>
    </row>
    <row r="927" spans="1:4" ht="15.75" customHeight="1">
      <c r="A927" s="1"/>
      <c r="B927" s="1"/>
      <c r="C927" s="1"/>
      <c r="D927" s="1"/>
    </row>
    <row r="928" spans="1:4" ht="15.75" customHeight="1">
      <c r="A928" s="1"/>
      <c r="B928" s="1"/>
      <c r="C928" s="1"/>
      <c r="D928" s="1"/>
    </row>
    <row r="929" spans="1:4" ht="15.75" customHeight="1">
      <c r="A929" s="1"/>
      <c r="B929" s="1"/>
      <c r="C929" s="1"/>
      <c r="D929" s="1"/>
    </row>
    <row r="930" spans="1:4" ht="15.75" customHeight="1">
      <c r="A930" s="1"/>
      <c r="B930" s="1"/>
      <c r="C930" s="1"/>
      <c r="D930" s="1"/>
    </row>
    <row r="931" spans="1:4" ht="15.75" customHeight="1">
      <c r="A931" s="1"/>
      <c r="B931" s="1"/>
      <c r="C931" s="1"/>
      <c r="D931" s="1"/>
    </row>
    <row r="932" spans="1:4" ht="15.75" customHeight="1">
      <c r="A932" s="1"/>
      <c r="B932" s="1"/>
      <c r="C932" s="1"/>
      <c r="D932" s="1"/>
    </row>
    <row r="933" spans="1:4" ht="15.75" customHeight="1">
      <c r="A933" s="1"/>
      <c r="B933" s="1"/>
      <c r="C933" s="1"/>
      <c r="D933" s="1"/>
    </row>
    <row r="934" spans="1:4" ht="15.75" customHeight="1">
      <c r="A934" s="1"/>
      <c r="B934" s="1"/>
      <c r="C934" s="1"/>
      <c r="D934" s="1"/>
    </row>
    <row r="935" spans="1:4" ht="15.75" customHeight="1">
      <c r="A935" s="1"/>
      <c r="B935" s="1"/>
      <c r="C935" s="1"/>
      <c r="D935" s="1"/>
    </row>
    <row r="936" spans="1:4" ht="15.75" customHeight="1">
      <c r="A936" s="1"/>
      <c r="B936" s="1"/>
      <c r="C936" s="1"/>
      <c r="D936" s="1"/>
    </row>
    <row r="937" spans="1:4" ht="15.75" customHeight="1">
      <c r="A937" s="1"/>
      <c r="B937" s="1"/>
      <c r="C937" s="1"/>
      <c r="D937" s="1"/>
    </row>
    <row r="938" spans="1:4" ht="15.75" customHeight="1">
      <c r="A938" s="1"/>
      <c r="B938" s="1"/>
      <c r="C938" s="1"/>
      <c r="D938" s="1"/>
    </row>
    <row r="939" spans="1:4" ht="15.75" customHeight="1">
      <c r="A939" s="1"/>
      <c r="B939" s="1"/>
      <c r="C939" s="1"/>
      <c r="D939" s="1"/>
    </row>
    <row r="940" spans="1:4" ht="15.75" customHeight="1">
      <c r="A940" s="1"/>
      <c r="B940" s="1"/>
      <c r="C940" s="1"/>
      <c r="D940" s="1"/>
    </row>
    <row r="941" spans="1:4" ht="15.75" customHeight="1">
      <c r="A941" s="1"/>
      <c r="B941" s="1"/>
      <c r="C941" s="1"/>
      <c r="D941" s="1"/>
    </row>
    <row r="942" spans="1:4" ht="15.75" customHeight="1">
      <c r="A942" s="1"/>
      <c r="B942" s="1"/>
      <c r="C942" s="1"/>
      <c r="D942" s="1"/>
    </row>
    <row r="943" spans="1:4" ht="15.75" customHeight="1">
      <c r="A943" s="1"/>
      <c r="B943" s="1"/>
      <c r="C943" s="1"/>
      <c r="D943" s="1"/>
    </row>
    <row r="944" spans="1:4" ht="15.75" customHeight="1">
      <c r="A944" s="1"/>
      <c r="B944" s="1"/>
      <c r="C944" s="1"/>
      <c r="D944" s="1"/>
    </row>
    <row r="945" spans="1:4" ht="15.75" customHeight="1">
      <c r="A945" s="1"/>
      <c r="B945" s="1"/>
      <c r="C945" s="1"/>
      <c r="D945" s="1"/>
    </row>
    <row r="946" spans="1:4" ht="15.75" customHeight="1">
      <c r="A946" s="1"/>
      <c r="B946" s="1"/>
      <c r="C946" s="1"/>
      <c r="D946" s="1"/>
    </row>
    <row r="947" spans="1:4" ht="15.75" customHeight="1">
      <c r="A947" s="1"/>
      <c r="B947" s="1"/>
      <c r="C947" s="1"/>
      <c r="D947" s="1"/>
    </row>
    <row r="948" spans="1:4" ht="15.75" customHeight="1">
      <c r="A948" s="1"/>
      <c r="B948" s="1"/>
      <c r="C948" s="1"/>
      <c r="D948" s="1"/>
    </row>
    <row r="949" spans="1:4" ht="15.75" customHeight="1">
      <c r="A949" s="1"/>
      <c r="B949" s="1"/>
      <c r="C949" s="1"/>
      <c r="D949" s="1"/>
    </row>
    <row r="950" spans="1:4" ht="15.75" customHeight="1">
      <c r="A950" s="1"/>
      <c r="B950" s="1"/>
      <c r="C950" s="1"/>
      <c r="D950" s="1"/>
    </row>
    <row r="951" spans="1:4" ht="15.75" customHeight="1">
      <c r="A951" s="1"/>
      <c r="B951" s="1"/>
      <c r="C951" s="1"/>
      <c r="D951" s="1"/>
    </row>
    <row r="952" spans="1:4" ht="15.75" customHeight="1">
      <c r="A952" s="1"/>
      <c r="B952" s="1"/>
      <c r="C952" s="1"/>
      <c r="D952" s="1"/>
    </row>
    <row r="953" spans="1:4" ht="15.75" customHeight="1">
      <c r="A953" s="1"/>
      <c r="B953" s="1"/>
      <c r="C953" s="1"/>
      <c r="D953" s="1"/>
    </row>
    <row r="954" spans="1:4" ht="15.75" customHeight="1">
      <c r="A954" s="1"/>
      <c r="B954" s="1"/>
      <c r="C954" s="1"/>
      <c r="D954" s="1"/>
    </row>
    <row r="955" spans="1:4" ht="15.75" customHeight="1">
      <c r="A955" s="1"/>
      <c r="B955" s="1"/>
      <c r="C955" s="1"/>
      <c r="D955" s="1"/>
    </row>
    <row r="956" spans="1:4" ht="15.75" customHeight="1">
      <c r="A956" s="1"/>
      <c r="B956" s="1"/>
      <c r="C956" s="1"/>
      <c r="D956" s="1"/>
    </row>
    <row r="957" spans="1:4" ht="15.75" customHeight="1">
      <c r="A957" s="1"/>
      <c r="B957" s="1"/>
      <c r="C957" s="1"/>
      <c r="D957" s="1"/>
    </row>
    <row r="958" spans="1:4" ht="15.75" customHeight="1">
      <c r="A958" s="1"/>
      <c r="B958" s="1"/>
      <c r="C958" s="1"/>
      <c r="D958" s="1"/>
    </row>
    <row r="959" spans="1:4" ht="15.75" customHeight="1">
      <c r="A959" s="1"/>
      <c r="B959" s="1"/>
      <c r="C959" s="1"/>
      <c r="D959" s="1"/>
    </row>
    <row r="960" spans="1:4" ht="15.75" customHeight="1">
      <c r="A960" s="1"/>
      <c r="B960" s="1"/>
      <c r="C960" s="1"/>
      <c r="D960" s="1"/>
    </row>
    <row r="961" spans="1:4" ht="15.75" customHeight="1">
      <c r="A961" s="1"/>
      <c r="B961" s="1"/>
      <c r="C961" s="1"/>
      <c r="D961" s="1"/>
    </row>
    <row r="962" spans="1:4" ht="15.75" customHeight="1">
      <c r="A962" s="1"/>
      <c r="B962" s="1"/>
      <c r="C962" s="1"/>
      <c r="D962" s="1"/>
    </row>
    <row r="963" spans="1:4" ht="15.75" customHeight="1">
      <c r="A963" s="1"/>
      <c r="B963" s="1"/>
      <c r="C963" s="1"/>
      <c r="D963" s="1"/>
    </row>
    <row r="964" spans="1:4" ht="15.75" customHeight="1">
      <c r="A964" s="1"/>
      <c r="B964" s="1"/>
      <c r="C964" s="1"/>
      <c r="D964" s="1"/>
    </row>
    <row r="965" spans="1:4" ht="15.75" customHeight="1">
      <c r="A965" s="1"/>
      <c r="B965" s="1"/>
      <c r="C965" s="1"/>
      <c r="D965" s="1"/>
    </row>
    <row r="966" spans="1:4" ht="15.75" customHeight="1">
      <c r="A966" s="1"/>
      <c r="B966" s="1"/>
      <c r="C966" s="1"/>
      <c r="D966" s="1"/>
    </row>
    <row r="967" spans="1:4" ht="15.75" customHeight="1">
      <c r="A967" s="1"/>
      <c r="B967" s="1"/>
      <c r="C967" s="1"/>
      <c r="D967" s="1"/>
    </row>
    <row r="968" spans="1:4" ht="15.75" customHeight="1">
      <c r="A968" s="1"/>
      <c r="B968" s="1"/>
      <c r="C968" s="1"/>
      <c r="D968" s="1"/>
    </row>
    <row r="969" spans="1:4" ht="15.75" customHeight="1">
      <c r="A969" s="1"/>
      <c r="B969" s="1"/>
      <c r="C969" s="1"/>
      <c r="D969" s="1"/>
    </row>
    <row r="970" spans="1:4" ht="15.75" customHeight="1">
      <c r="A970" s="1"/>
      <c r="B970" s="1"/>
      <c r="C970" s="1"/>
      <c r="D970" s="1"/>
    </row>
    <row r="971" spans="1:4" ht="15.75" customHeight="1">
      <c r="A971" s="1"/>
      <c r="B971" s="1"/>
      <c r="C971" s="1"/>
      <c r="D971" s="1"/>
    </row>
    <row r="972" spans="1:4" ht="15.75" customHeight="1">
      <c r="A972" s="1"/>
      <c r="B972" s="1"/>
      <c r="C972" s="1"/>
      <c r="D972" s="1"/>
    </row>
    <row r="973" spans="1:4" ht="15.75" customHeight="1">
      <c r="A973" s="1"/>
      <c r="B973" s="1"/>
      <c r="C973" s="1"/>
      <c r="D973" s="1"/>
    </row>
    <row r="974" spans="1:4" ht="15.75" customHeight="1">
      <c r="A974" s="1"/>
      <c r="B974" s="1"/>
      <c r="C974" s="1"/>
      <c r="D974" s="1"/>
    </row>
    <row r="975" spans="1:4" ht="15.75" customHeight="1">
      <c r="A975" s="1"/>
      <c r="B975" s="1"/>
      <c r="C975" s="1"/>
      <c r="D975" s="1"/>
    </row>
    <row r="976" spans="1:4" ht="15.75" customHeight="1">
      <c r="A976" s="1"/>
      <c r="B976" s="1"/>
      <c r="C976" s="1"/>
      <c r="D976" s="1"/>
    </row>
    <row r="977" spans="1:4" ht="15.75" customHeight="1">
      <c r="A977" s="1"/>
      <c r="B977" s="1"/>
      <c r="C977" s="1"/>
      <c r="D977" s="1"/>
    </row>
    <row r="978" spans="1:4" ht="15.75" customHeight="1">
      <c r="A978" s="1"/>
      <c r="B978" s="1"/>
      <c r="C978" s="1"/>
      <c r="D978" s="1"/>
    </row>
    <row r="979" spans="1:4" ht="15.75" customHeight="1">
      <c r="A979" s="1"/>
      <c r="B979" s="1"/>
      <c r="C979" s="1"/>
      <c r="D979" s="1"/>
    </row>
    <row r="980" spans="1:4" ht="15.75" customHeight="1">
      <c r="A980" s="1"/>
      <c r="B980" s="1"/>
      <c r="C980" s="1"/>
      <c r="D980" s="1"/>
    </row>
    <row r="981" spans="1:4" ht="15.75" customHeight="1">
      <c r="A981" s="1"/>
      <c r="B981" s="1"/>
      <c r="C981" s="1"/>
      <c r="D981" s="1"/>
    </row>
    <row r="982" spans="1:4" ht="15.75" customHeight="1">
      <c r="A982" s="1"/>
      <c r="B982" s="1"/>
      <c r="C982" s="1"/>
      <c r="D982" s="1"/>
    </row>
    <row r="983" spans="1:4" ht="15.75" customHeight="1">
      <c r="A983" s="1"/>
      <c r="B983" s="1"/>
      <c r="C983" s="1"/>
      <c r="D983" s="1"/>
    </row>
    <row r="984" spans="1:4" ht="15.75" customHeight="1">
      <c r="A984" s="1"/>
      <c r="B984" s="1"/>
      <c r="C984" s="1"/>
      <c r="D984" s="1"/>
    </row>
    <row r="985" spans="1:4" ht="15.75" customHeight="1">
      <c r="A985" s="1"/>
      <c r="B985" s="1"/>
      <c r="C985" s="1"/>
      <c r="D985" s="1"/>
    </row>
    <row r="986" spans="1:4" ht="15.75" customHeight="1">
      <c r="A986" s="1"/>
      <c r="B986" s="1"/>
      <c r="C986" s="1"/>
      <c r="D986" s="1"/>
    </row>
    <row r="987" spans="1:4" ht="15.75" customHeight="1">
      <c r="A987" s="1"/>
      <c r="B987" s="1"/>
      <c r="C987" s="1"/>
      <c r="D987" s="1"/>
    </row>
    <row r="988" spans="1:4" ht="15.75" customHeight="1">
      <c r="A988" s="1"/>
      <c r="B988" s="1"/>
      <c r="C988" s="1"/>
      <c r="D988" s="1"/>
    </row>
    <row r="989" spans="1:4" ht="15.75" customHeight="1">
      <c r="A989" s="1"/>
      <c r="B989" s="1"/>
      <c r="C989" s="1"/>
      <c r="D989" s="1"/>
    </row>
    <row r="990" spans="1:4" ht="15.75" customHeight="1">
      <c r="A990" s="1"/>
      <c r="B990" s="1"/>
      <c r="C990" s="1"/>
      <c r="D990" s="1"/>
    </row>
    <row r="991" spans="1:4" ht="15.75" customHeight="1">
      <c r="A991" s="1"/>
      <c r="B991" s="1"/>
      <c r="C991" s="1"/>
      <c r="D991" s="1"/>
    </row>
    <row r="992" spans="1:4" ht="15.75" customHeight="1">
      <c r="A992" s="1"/>
      <c r="B992" s="1"/>
      <c r="C992" s="1"/>
      <c r="D992" s="1"/>
    </row>
    <row r="993" spans="1:4" ht="15.75" customHeight="1">
      <c r="A993" s="1"/>
      <c r="B993" s="1"/>
      <c r="C993" s="1"/>
      <c r="D993" s="1"/>
    </row>
    <row r="994" spans="1:4" ht="15.75" customHeight="1">
      <c r="A994" s="1"/>
      <c r="B994" s="1"/>
      <c r="C994" s="1"/>
      <c r="D994" s="1"/>
    </row>
    <row r="995" spans="1:4" ht="15.75" customHeight="1">
      <c r="A995" s="1"/>
      <c r="B995" s="1"/>
      <c r="C995" s="1"/>
      <c r="D995" s="1"/>
    </row>
    <row r="996" spans="1:4" ht="15.75" customHeight="1">
      <c r="A996" s="1"/>
      <c r="B996" s="1"/>
      <c r="C996" s="1"/>
      <c r="D996" s="1"/>
    </row>
    <row r="997" spans="1:4" ht="15.75" customHeight="1">
      <c r="A997" s="1"/>
      <c r="B997" s="1"/>
      <c r="C997" s="1"/>
      <c r="D997" s="1"/>
    </row>
    <row r="998" spans="1:4" ht="15.75" customHeight="1">
      <c r="A998" s="1"/>
      <c r="B998" s="1"/>
      <c r="C998" s="1"/>
      <c r="D998" s="1"/>
    </row>
    <row r="999" spans="1:4" ht="15.75" customHeight="1">
      <c r="A999" s="1"/>
      <c r="B999" s="1"/>
      <c r="C999" s="1"/>
      <c r="D999" s="1"/>
    </row>
    <row r="1000" spans="1:4" ht="15.75" customHeight="1">
      <c r="A1000" s="1"/>
      <c r="B1000" s="1"/>
      <c r="C1000" s="1"/>
      <c r="D1000" s="1"/>
    </row>
  </sheetData>
  <mergeCells count="8">
    <mergeCell ref="B35:C35"/>
    <mergeCell ref="B43:C43"/>
    <mergeCell ref="B50:C50"/>
    <mergeCell ref="B2:C2"/>
    <mergeCell ref="B4:C4"/>
    <mergeCell ref="B11:C11"/>
    <mergeCell ref="B19:C19"/>
    <mergeCell ref="B26:C2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🌱 Configuração</vt:lpstr>
      <vt:lpstr>📅 Cronograma</vt:lpstr>
      <vt:lpstr>💊 Adubação</vt:lpstr>
      <vt:lpstr>🐛 MIP — Pragas</vt:lpstr>
      <vt:lpstr>📊 Diário</vt:lpstr>
      <vt:lpstr>📖 Guia Rápido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hudson</dc:creator>
  <cp:lastModifiedBy>lucio hudson</cp:lastModifiedBy>
  <dcterms:created xsi:type="dcterms:W3CDTF">2026-03-26T18:26:02Z</dcterms:created>
  <dcterms:modified xsi:type="dcterms:W3CDTF">2026-03-29T14:08:53Z</dcterms:modified>
</cp:coreProperties>
</file>