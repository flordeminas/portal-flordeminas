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tos\ZHC\website\assets\"/>
    </mc:Choice>
  </mc:AlternateContent>
  <bookViews>
    <workbookView xWindow="0" yWindow="0" windowWidth="23040" windowHeight="9192" tabRatio="500"/>
  </bookViews>
  <sheets>
    <sheet name="🌱 Configuração" sheetId="1" r:id="rId1"/>
    <sheet name="📅 Cronograma" sheetId="2" r:id="rId2"/>
    <sheet name="💊 Adubação" sheetId="3" r:id="rId3"/>
    <sheet name="🐛 MIP — Pragas" sheetId="4" r:id="rId4"/>
    <sheet name="📊 Diário" sheetId="5" r:id="rId5"/>
    <sheet name="📖 Guia Rápido" sheetId="6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" i="1" l="1"/>
  <c r="H18" i="1" s="1"/>
  <c r="E50" i="1"/>
  <c r="D50" i="1"/>
  <c r="C50" i="1"/>
  <c r="B50" i="1"/>
  <c r="F50" i="1" s="1"/>
  <c r="J21" i="1"/>
  <c r="D21" i="1"/>
  <c r="J20" i="1"/>
  <c r="D20" i="1"/>
  <c r="J19" i="1"/>
  <c r="D19" i="1"/>
  <c r="J18" i="1"/>
  <c r="D18" i="1"/>
  <c r="C51" i="1" l="1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B205" i="5"/>
  <c r="B201" i="5"/>
  <c r="B197" i="5"/>
  <c r="B193" i="5"/>
  <c r="B189" i="5"/>
  <c r="B185" i="5"/>
  <c r="B181" i="5"/>
  <c r="B177" i="5"/>
  <c r="B173" i="5"/>
  <c r="B169" i="5"/>
  <c r="B165" i="5"/>
  <c r="B161" i="5"/>
  <c r="B157" i="5"/>
  <c r="B153" i="5"/>
  <c r="B149" i="5"/>
  <c r="B145" i="5"/>
  <c r="B141" i="5"/>
  <c r="B137" i="5"/>
  <c r="B133" i="5"/>
  <c r="L131" i="5"/>
  <c r="B129" i="5"/>
  <c r="L127" i="5"/>
  <c r="B125" i="5"/>
  <c r="L123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204" i="5"/>
  <c r="B200" i="5"/>
  <c r="B196" i="5"/>
  <c r="B192" i="5"/>
  <c r="B188" i="5"/>
  <c r="B184" i="5"/>
  <c r="B180" i="5"/>
  <c r="B176" i="5"/>
  <c r="B172" i="5"/>
  <c r="B168" i="5"/>
  <c r="B164" i="5"/>
  <c r="B160" i="5"/>
  <c r="B156" i="5"/>
  <c r="B152" i="5"/>
  <c r="B148" i="5"/>
  <c r="B144" i="5"/>
  <c r="B140" i="5"/>
  <c r="B136" i="5"/>
  <c r="L132" i="5"/>
  <c r="B130" i="5"/>
  <c r="L128" i="5"/>
  <c r="B126" i="5"/>
  <c r="L124" i="5"/>
  <c r="B122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B203" i="5"/>
  <c r="B199" i="5"/>
  <c r="B195" i="5"/>
  <c r="B191" i="5"/>
  <c r="B187" i="5"/>
  <c r="B183" i="5"/>
  <c r="B179" i="5"/>
  <c r="B175" i="5"/>
  <c r="B171" i="5"/>
  <c r="B167" i="5"/>
  <c r="B163" i="5"/>
  <c r="B159" i="5"/>
  <c r="B155" i="5"/>
  <c r="B151" i="5"/>
  <c r="B147" i="5"/>
  <c r="B143" i="5"/>
  <c r="B139" i="5"/>
  <c r="B135" i="5"/>
  <c r="D132" i="5"/>
  <c r="B131" i="5"/>
  <c r="L129" i="5"/>
  <c r="B127" i="5"/>
  <c r="L125" i="5"/>
  <c r="B123" i="5"/>
  <c r="L121" i="5"/>
  <c r="B202" i="5"/>
  <c r="B186" i="5"/>
  <c r="B170" i="5"/>
  <c r="B154" i="5"/>
  <c r="B138" i="5"/>
  <c r="B124" i="5"/>
  <c r="C119" i="5"/>
  <c r="C115" i="5"/>
  <c r="C111" i="5"/>
  <c r="C107" i="5"/>
  <c r="C103" i="5"/>
  <c r="C99" i="5"/>
  <c r="C95" i="5"/>
  <c r="C91" i="5"/>
  <c r="C87" i="5"/>
  <c r="C83" i="5"/>
  <c r="C79" i="5"/>
  <c r="C75" i="5"/>
  <c r="C71" i="5"/>
  <c r="C67" i="5"/>
  <c r="C65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B198" i="5"/>
  <c r="B182" i="5"/>
  <c r="B166" i="5"/>
  <c r="B150" i="5"/>
  <c r="B134" i="5"/>
  <c r="B128" i="5"/>
  <c r="L122" i="5"/>
  <c r="C118" i="5"/>
  <c r="C114" i="5"/>
  <c r="C110" i="5"/>
  <c r="C106" i="5"/>
  <c r="C102" i="5"/>
  <c r="C98" i="5"/>
  <c r="C94" i="5"/>
  <c r="C90" i="5"/>
  <c r="C86" i="5"/>
  <c r="C82" i="5"/>
  <c r="C78" i="5"/>
  <c r="C74" i="5"/>
  <c r="C70" i="5"/>
  <c r="C66" i="5"/>
  <c r="L64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B194" i="5"/>
  <c r="B178" i="5"/>
  <c r="B162" i="5"/>
  <c r="B146" i="5"/>
  <c r="B132" i="5"/>
  <c r="L126" i="5"/>
  <c r="C117" i="5"/>
  <c r="C113" i="5"/>
  <c r="C109" i="5"/>
  <c r="C105" i="5"/>
  <c r="C101" i="5"/>
  <c r="C97" i="5"/>
  <c r="C93" i="5"/>
  <c r="C89" i="5"/>
  <c r="C85" i="5"/>
  <c r="C81" i="5"/>
  <c r="C77" i="5"/>
  <c r="C73" i="5"/>
  <c r="C69" i="5"/>
  <c r="L65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B190" i="5"/>
  <c r="L130" i="5"/>
  <c r="C112" i="5"/>
  <c r="C96" i="5"/>
  <c r="C80" i="5"/>
  <c r="B61" i="5"/>
  <c r="B57" i="5"/>
  <c r="B53" i="5"/>
  <c r="B49" i="5"/>
  <c r="B45" i="5"/>
  <c r="B41" i="5"/>
  <c r="B37" i="5"/>
  <c r="B33" i="5"/>
  <c r="B29" i="5"/>
  <c r="B25" i="5"/>
  <c r="B21" i="5"/>
  <c r="B17" i="5"/>
  <c r="B13" i="5"/>
  <c r="B9" i="5"/>
  <c r="E205" i="2"/>
  <c r="H204" i="2"/>
  <c r="D204" i="2"/>
  <c r="G203" i="2"/>
  <c r="C203" i="2"/>
  <c r="F202" i="2"/>
  <c r="B202" i="2"/>
  <c r="E201" i="2"/>
  <c r="H200" i="2"/>
  <c r="D200" i="2"/>
  <c r="G199" i="2"/>
  <c r="C199" i="2"/>
  <c r="F198" i="2"/>
  <c r="B198" i="2"/>
  <c r="E197" i="2"/>
  <c r="H196" i="2"/>
  <c r="D196" i="2"/>
  <c r="G195" i="2"/>
  <c r="C195" i="2"/>
  <c r="F194" i="2"/>
  <c r="B194" i="2"/>
  <c r="E193" i="2"/>
  <c r="H192" i="2"/>
  <c r="D192" i="2"/>
  <c r="G191" i="2"/>
  <c r="C191" i="2"/>
  <c r="F190" i="2"/>
  <c r="B190" i="2"/>
  <c r="E189" i="2"/>
  <c r="H188" i="2"/>
  <c r="D188" i="2"/>
  <c r="G187" i="2"/>
  <c r="C187" i="2"/>
  <c r="F186" i="2"/>
  <c r="B186" i="2"/>
  <c r="E185" i="2"/>
  <c r="H184" i="2"/>
  <c r="D184" i="2"/>
  <c r="G183" i="2"/>
  <c r="C183" i="2"/>
  <c r="F182" i="2"/>
  <c r="B182" i="2"/>
  <c r="E181" i="2"/>
  <c r="H180" i="2"/>
  <c r="D180" i="2"/>
  <c r="G179" i="2"/>
  <c r="C179" i="2"/>
  <c r="F178" i="2"/>
  <c r="B178" i="2"/>
  <c r="E177" i="2"/>
  <c r="H176" i="2"/>
  <c r="D176" i="2"/>
  <c r="G175" i="2"/>
  <c r="C175" i="2"/>
  <c r="F174" i="2"/>
  <c r="B174" i="2"/>
  <c r="E173" i="2"/>
  <c r="H172" i="2"/>
  <c r="D172" i="2"/>
  <c r="G171" i="2"/>
  <c r="C171" i="2"/>
  <c r="F170" i="2"/>
  <c r="B170" i="2"/>
  <c r="E169" i="2"/>
  <c r="H168" i="2"/>
  <c r="D168" i="2"/>
  <c r="G167" i="2"/>
  <c r="C167" i="2"/>
  <c r="F166" i="2"/>
  <c r="B166" i="2"/>
  <c r="E165" i="2"/>
  <c r="H164" i="2"/>
  <c r="D164" i="2"/>
  <c r="G163" i="2"/>
  <c r="C163" i="2"/>
  <c r="F162" i="2"/>
  <c r="B162" i="2"/>
  <c r="E161" i="2"/>
  <c r="H160" i="2"/>
  <c r="D160" i="2"/>
  <c r="G159" i="2"/>
  <c r="C159" i="2"/>
  <c r="F158" i="2"/>
  <c r="B158" i="2"/>
  <c r="E157" i="2"/>
  <c r="H156" i="2"/>
  <c r="D156" i="2"/>
  <c r="G155" i="2"/>
  <c r="C155" i="2"/>
  <c r="F154" i="2"/>
  <c r="B154" i="2"/>
  <c r="E153" i="2"/>
  <c r="H152" i="2"/>
  <c r="D152" i="2"/>
  <c r="G151" i="2"/>
  <c r="C151" i="2"/>
  <c r="F150" i="2"/>
  <c r="B150" i="2"/>
  <c r="E149" i="2"/>
  <c r="H148" i="2"/>
  <c r="D148" i="2"/>
  <c r="G147" i="2"/>
  <c r="C147" i="2"/>
  <c r="F146" i="2"/>
  <c r="B146" i="2"/>
  <c r="E145" i="2"/>
  <c r="H144" i="2"/>
  <c r="D144" i="2"/>
  <c r="G143" i="2"/>
  <c r="C143" i="2"/>
  <c r="F142" i="2"/>
  <c r="B142" i="2"/>
  <c r="E141" i="2"/>
  <c r="H140" i="2"/>
  <c r="D140" i="2"/>
  <c r="G139" i="2"/>
  <c r="C139" i="2"/>
  <c r="F138" i="2"/>
  <c r="B138" i="2"/>
  <c r="E137" i="2"/>
  <c r="H136" i="2"/>
  <c r="D136" i="2"/>
  <c r="G135" i="2"/>
  <c r="C135" i="2"/>
  <c r="F134" i="2"/>
  <c r="B134" i="2"/>
  <c r="E133" i="2"/>
  <c r="H132" i="2"/>
  <c r="B174" i="5"/>
  <c r="C108" i="5"/>
  <c r="C92" i="5"/>
  <c r="C76" i="5"/>
  <c r="C64" i="5"/>
  <c r="B60" i="5"/>
  <c r="B56" i="5"/>
  <c r="B52" i="5"/>
  <c r="B48" i="5"/>
  <c r="B44" i="5"/>
  <c r="B40" i="5"/>
  <c r="B36" i="5"/>
  <c r="B32" i="5"/>
  <c r="B28" i="5"/>
  <c r="B24" i="5"/>
  <c r="B20" i="5"/>
  <c r="B16" i="5"/>
  <c r="B12" i="5"/>
  <c r="B8" i="5"/>
  <c r="H205" i="2"/>
  <c r="D205" i="2"/>
  <c r="G204" i="2"/>
  <c r="C204" i="2"/>
  <c r="F203" i="2"/>
  <c r="B203" i="2"/>
  <c r="E202" i="2"/>
  <c r="H201" i="2"/>
  <c r="D201" i="2"/>
  <c r="G200" i="2"/>
  <c r="C200" i="2"/>
  <c r="F199" i="2"/>
  <c r="B199" i="2"/>
  <c r="E198" i="2"/>
  <c r="H197" i="2"/>
  <c r="D197" i="2"/>
  <c r="G196" i="2"/>
  <c r="C196" i="2"/>
  <c r="F195" i="2"/>
  <c r="B195" i="2"/>
  <c r="E194" i="2"/>
  <c r="H193" i="2"/>
  <c r="D193" i="2"/>
  <c r="G192" i="2"/>
  <c r="C192" i="2"/>
  <c r="F191" i="2"/>
  <c r="B191" i="2"/>
  <c r="E190" i="2"/>
  <c r="H189" i="2"/>
  <c r="D189" i="2"/>
  <c r="G188" i="2"/>
  <c r="C188" i="2"/>
  <c r="F187" i="2"/>
  <c r="B187" i="2"/>
  <c r="E186" i="2"/>
  <c r="H185" i="2"/>
  <c r="D185" i="2"/>
  <c r="G184" i="2"/>
  <c r="C184" i="2"/>
  <c r="F183" i="2"/>
  <c r="B183" i="2"/>
  <c r="E182" i="2"/>
  <c r="H181" i="2"/>
  <c r="D181" i="2"/>
  <c r="G180" i="2"/>
  <c r="C180" i="2"/>
  <c r="F179" i="2"/>
  <c r="B179" i="2"/>
  <c r="E178" i="2"/>
  <c r="H177" i="2"/>
  <c r="D177" i="2"/>
  <c r="G176" i="2"/>
  <c r="C176" i="2"/>
  <c r="F175" i="2"/>
  <c r="B175" i="2"/>
  <c r="E174" i="2"/>
  <c r="H173" i="2"/>
  <c r="D173" i="2"/>
  <c r="G172" i="2"/>
  <c r="C172" i="2"/>
  <c r="F171" i="2"/>
  <c r="B171" i="2"/>
  <c r="E170" i="2"/>
  <c r="H169" i="2"/>
  <c r="D169" i="2"/>
  <c r="G168" i="2"/>
  <c r="C168" i="2"/>
  <c r="F167" i="2"/>
  <c r="B167" i="2"/>
  <c r="E166" i="2"/>
  <c r="H165" i="2"/>
  <c r="D165" i="2"/>
  <c r="G164" i="2"/>
  <c r="C164" i="2"/>
  <c r="F163" i="2"/>
  <c r="B163" i="2"/>
  <c r="E162" i="2"/>
  <c r="H161" i="2"/>
  <c r="D161" i="2"/>
  <c r="G160" i="2"/>
  <c r="C160" i="2"/>
  <c r="F159" i="2"/>
  <c r="B159" i="2"/>
  <c r="E158" i="2"/>
  <c r="H157" i="2"/>
  <c r="D157" i="2"/>
  <c r="G156" i="2"/>
  <c r="C156" i="2"/>
  <c r="F155" i="2"/>
  <c r="B155" i="2"/>
  <c r="E154" i="2"/>
  <c r="H153" i="2"/>
  <c r="D153" i="2"/>
  <c r="G152" i="2"/>
  <c r="C152" i="2"/>
  <c r="F151" i="2"/>
  <c r="B151" i="2"/>
  <c r="E150" i="2"/>
  <c r="H149" i="2"/>
  <c r="D149" i="2"/>
  <c r="G148" i="2"/>
  <c r="C148" i="2"/>
  <c r="F147" i="2"/>
  <c r="B147" i="2"/>
  <c r="E146" i="2"/>
  <c r="H145" i="2"/>
  <c r="D145" i="2"/>
  <c r="G144" i="2"/>
  <c r="C144" i="2"/>
  <c r="F143" i="2"/>
  <c r="B143" i="2"/>
  <c r="E142" i="2"/>
  <c r="H141" i="2"/>
  <c r="D141" i="2"/>
  <c r="G140" i="2"/>
  <c r="C140" i="2"/>
  <c r="F139" i="2"/>
  <c r="B139" i="2"/>
  <c r="E138" i="2"/>
  <c r="H137" i="2"/>
  <c r="D137" i="2"/>
  <c r="G136" i="2"/>
  <c r="C136" i="2"/>
  <c r="F135" i="2"/>
  <c r="B135" i="2"/>
  <c r="E134" i="2"/>
  <c r="H133" i="2"/>
  <c r="D133" i="2"/>
  <c r="G132" i="2"/>
  <c r="C132" i="2"/>
  <c r="B131" i="2"/>
  <c r="C128" i="2"/>
  <c r="B127" i="2"/>
  <c r="B158" i="5"/>
  <c r="C120" i="5"/>
  <c r="C104" i="5"/>
  <c r="C88" i="5"/>
  <c r="C72" i="5"/>
  <c r="B63" i="5"/>
  <c r="B59" i="5"/>
  <c r="B55" i="5"/>
  <c r="B51" i="5"/>
  <c r="B47" i="5"/>
  <c r="B43" i="5"/>
  <c r="B39" i="5"/>
  <c r="B35" i="5"/>
  <c r="B31" i="5"/>
  <c r="B27" i="5"/>
  <c r="B23" i="5"/>
  <c r="B19" i="5"/>
  <c r="B15" i="5"/>
  <c r="B11" i="5"/>
  <c r="B7" i="5"/>
  <c r="G205" i="2"/>
  <c r="C205" i="2"/>
  <c r="F204" i="2"/>
  <c r="B204" i="2"/>
  <c r="E203" i="2"/>
  <c r="H202" i="2"/>
  <c r="D202" i="2"/>
  <c r="G201" i="2"/>
  <c r="C201" i="2"/>
  <c r="F200" i="2"/>
  <c r="B200" i="2"/>
  <c r="E199" i="2"/>
  <c r="H198" i="2"/>
  <c r="D198" i="2"/>
  <c r="G197" i="2"/>
  <c r="C197" i="2"/>
  <c r="F196" i="2"/>
  <c r="B196" i="2"/>
  <c r="E195" i="2"/>
  <c r="H194" i="2"/>
  <c r="D194" i="2"/>
  <c r="G193" i="2"/>
  <c r="C193" i="2"/>
  <c r="F192" i="2"/>
  <c r="B192" i="2"/>
  <c r="E191" i="2"/>
  <c r="H190" i="2"/>
  <c r="D190" i="2"/>
  <c r="G189" i="2"/>
  <c r="C189" i="2"/>
  <c r="F188" i="2"/>
  <c r="B188" i="2"/>
  <c r="E187" i="2"/>
  <c r="H186" i="2"/>
  <c r="D186" i="2"/>
  <c r="G185" i="2"/>
  <c r="C185" i="2"/>
  <c r="F184" i="2"/>
  <c r="B184" i="2"/>
  <c r="E183" i="2"/>
  <c r="H182" i="2"/>
  <c r="D182" i="2"/>
  <c r="G181" i="2"/>
  <c r="C181" i="2"/>
  <c r="F180" i="2"/>
  <c r="B180" i="2"/>
  <c r="E179" i="2"/>
  <c r="H178" i="2"/>
  <c r="D178" i="2"/>
  <c r="G177" i="2"/>
  <c r="C177" i="2"/>
  <c r="F176" i="2"/>
  <c r="B176" i="2"/>
  <c r="E175" i="2"/>
  <c r="H174" i="2"/>
  <c r="D174" i="2"/>
  <c r="G173" i="2"/>
  <c r="C173" i="2"/>
  <c r="F172" i="2"/>
  <c r="B172" i="2"/>
  <c r="E171" i="2"/>
  <c r="H170" i="2"/>
  <c r="D170" i="2"/>
  <c r="G169" i="2"/>
  <c r="C169" i="2"/>
  <c r="F168" i="2"/>
  <c r="B168" i="2"/>
  <c r="E167" i="2"/>
  <c r="H166" i="2"/>
  <c r="D166" i="2"/>
  <c r="G165" i="2"/>
  <c r="C165" i="2"/>
  <c r="F164" i="2"/>
  <c r="B164" i="2"/>
  <c r="E163" i="2"/>
  <c r="H162" i="2"/>
  <c r="D162" i="2"/>
  <c r="G161" i="2"/>
  <c r="C161" i="2"/>
  <c r="F160" i="2"/>
  <c r="B160" i="2"/>
  <c r="E159" i="2"/>
  <c r="H158" i="2"/>
  <c r="D158" i="2"/>
  <c r="G157" i="2"/>
  <c r="C157" i="2"/>
  <c r="F156" i="2"/>
  <c r="B156" i="2"/>
  <c r="E155" i="2"/>
  <c r="H154" i="2"/>
  <c r="D154" i="2"/>
  <c r="G153" i="2"/>
  <c r="C153" i="2"/>
  <c r="F152" i="2"/>
  <c r="B152" i="2"/>
  <c r="E151" i="2"/>
  <c r="H150" i="2"/>
  <c r="D150" i="2"/>
  <c r="G149" i="2"/>
  <c r="C149" i="2"/>
  <c r="F148" i="2"/>
  <c r="B148" i="2"/>
  <c r="E147" i="2"/>
  <c r="H146" i="2"/>
  <c r="D146" i="2"/>
  <c r="G145" i="2"/>
  <c r="C145" i="2"/>
  <c r="F144" i="2"/>
  <c r="B144" i="2"/>
  <c r="E143" i="2"/>
  <c r="H142" i="2"/>
  <c r="D142" i="2"/>
  <c r="G141" i="2"/>
  <c r="C141" i="2"/>
  <c r="F140" i="2"/>
  <c r="B140" i="2"/>
  <c r="E139" i="2"/>
  <c r="H138" i="2"/>
  <c r="D138" i="2"/>
  <c r="G137" i="2"/>
  <c r="C137" i="2"/>
  <c r="F136" i="2"/>
  <c r="B136" i="2"/>
  <c r="E135" i="2"/>
  <c r="H134" i="2"/>
  <c r="D134" i="2"/>
  <c r="G133" i="2"/>
  <c r="C133" i="2"/>
  <c r="F132" i="2"/>
  <c r="B132" i="2"/>
  <c r="C129" i="2"/>
  <c r="B128" i="2"/>
  <c r="C125" i="2"/>
  <c r="B142" i="5"/>
  <c r="C68" i="5"/>
  <c r="B50" i="5"/>
  <c r="B34" i="5"/>
  <c r="B18" i="5"/>
  <c r="B205" i="2"/>
  <c r="G202" i="2"/>
  <c r="E200" i="2"/>
  <c r="C198" i="2"/>
  <c r="H195" i="2"/>
  <c r="F193" i="2"/>
  <c r="D191" i="2"/>
  <c r="B189" i="2"/>
  <c r="G186" i="2"/>
  <c r="E184" i="2"/>
  <c r="C182" i="2"/>
  <c r="H179" i="2"/>
  <c r="F177" i="2"/>
  <c r="D175" i="2"/>
  <c r="B173" i="2"/>
  <c r="G170" i="2"/>
  <c r="E168" i="2"/>
  <c r="C166" i="2"/>
  <c r="H163" i="2"/>
  <c r="F161" i="2"/>
  <c r="D159" i="2"/>
  <c r="B157" i="2"/>
  <c r="G154" i="2"/>
  <c r="E152" i="2"/>
  <c r="C150" i="2"/>
  <c r="H147" i="2"/>
  <c r="F145" i="2"/>
  <c r="D143" i="2"/>
  <c r="B141" i="2"/>
  <c r="G138" i="2"/>
  <c r="E136" i="2"/>
  <c r="C134" i="2"/>
  <c r="D132" i="2"/>
  <c r="C131" i="2"/>
  <c r="B130" i="2"/>
  <c r="C123" i="2"/>
  <c r="B122" i="2"/>
  <c r="C119" i="2"/>
  <c r="B118" i="2"/>
  <c r="C115" i="2"/>
  <c r="B114" i="2"/>
  <c r="C111" i="2"/>
  <c r="B110" i="2"/>
  <c r="C107" i="2"/>
  <c r="B106" i="2"/>
  <c r="C103" i="2"/>
  <c r="B102" i="2"/>
  <c r="C99" i="2"/>
  <c r="B98" i="2"/>
  <c r="C95" i="2"/>
  <c r="B94" i="2"/>
  <c r="C91" i="2"/>
  <c r="B90" i="2"/>
  <c r="C87" i="2"/>
  <c r="B86" i="2"/>
  <c r="C83" i="2"/>
  <c r="B82" i="2"/>
  <c r="C79" i="2"/>
  <c r="B78" i="2"/>
  <c r="C75" i="2"/>
  <c r="B74" i="2"/>
  <c r="C71" i="2"/>
  <c r="B70" i="2"/>
  <c r="C67" i="2"/>
  <c r="B66" i="2"/>
  <c r="C63" i="2"/>
  <c r="B62" i="2"/>
  <c r="C59" i="2"/>
  <c r="B58" i="2"/>
  <c r="C55" i="2"/>
  <c r="B54" i="2"/>
  <c r="C116" i="5"/>
  <c r="B62" i="5"/>
  <c r="B46" i="5"/>
  <c r="B30" i="5"/>
  <c r="B14" i="5"/>
  <c r="E204" i="2"/>
  <c r="C202" i="2"/>
  <c r="H199" i="2"/>
  <c r="F197" i="2"/>
  <c r="D195" i="2"/>
  <c r="B193" i="2"/>
  <c r="G190" i="2"/>
  <c r="E188" i="2"/>
  <c r="C186" i="2"/>
  <c r="H183" i="2"/>
  <c r="F181" i="2"/>
  <c r="D179" i="2"/>
  <c r="B177" i="2"/>
  <c r="G174" i="2"/>
  <c r="E172" i="2"/>
  <c r="C170" i="2"/>
  <c r="H167" i="2"/>
  <c r="F165" i="2"/>
  <c r="D163" i="2"/>
  <c r="B161" i="2"/>
  <c r="G158" i="2"/>
  <c r="E156" i="2"/>
  <c r="C154" i="2"/>
  <c r="H151" i="2"/>
  <c r="F149" i="2"/>
  <c r="D147" i="2"/>
  <c r="B145" i="2"/>
  <c r="G142" i="2"/>
  <c r="E140" i="2"/>
  <c r="C138" i="2"/>
  <c r="H135" i="2"/>
  <c r="F133" i="2"/>
  <c r="C126" i="2"/>
  <c r="B125" i="2"/>
  <c r="C124" i="2"/>
  <c r="B123" i="2"/>
  <c r="C120" i="2"/>
  <c r="B119" i="2"/>
  <c r="C116" i="2"/>
  <c r="B115" i="2"/>
  <c r="C112" i="2"/>
  <c r="B111" i="2"/>
  <c r="C108" i="2"/>
  <c r="B107" i="2"/>
  <c r="C104" i="2"/>
  <c r="B103" i="2"/>
  <c r="C100" i="2"/>
  <c r="B99" i="2"/>
  <c r="C96" i="2"/>
  <c r="B95" i="2"/>
  <c r="C92" i="2"/>
  <c r="B91" i="2"/>
  <c r="C88" i="2"/>
  <c r="B87" i="2"/>
  <c r="C84" i="2"/>
  <c r="B83" i="2"/>
  <c r="C80" i="2"/>
  <c r="B79" i="2"/>
  <c r="C76" i="2"/>
  <c r="B75" i="2"/>
  <c r="C72" i="2"/>
  <c r="B71" i="2"/>
  <c r="C68" i="2"/>
  <c r="B67" i="2"/>
  <c r="C64" i="2"/>
  <c r="B63" i="2"/>
  <c r="C60" i="2"/>
  <c r="B59" i="2"/>
  <c r="C56" i="2"/>
  <c r="B55" i="2"/>
  <c r="C100" i="5"/>
  <c r="B58" i="5"/>
  <c r="B42" i="5"/>
  <c r="B26" i="5"/>
  <c r="B10" i="5"/>
  <c r="H203" i="2"/>
  <c r="F201" i="2"/>
  <c r="D199" i="2"/>
  <c r="B197" i="2"/>
  <c r="G194" i="2"/>
  <c r="E192" i="2"/>
  <c r="C190" i="2"/>
  <c r="H187" i="2"/>
  <c r="F185" i="2"/>
  <c r="D183" i="2"/>
  <c r="B181" i="2"/>
  <c r="G178" i="2"/>
  <c r="E176" i="2"/>
  <c r="C174" i="2"/>
  <c r="H171" i="2"/>
  <c r="F169" i="2"/>
  <c r="D167" i="2"/>
  <c r="B165" i="2"/>
  <c r="G162" i="2"/>
  <c r="E160" i="2"/>
  <c r="C158" i="2"/>
  <c r="H155" i="2"/>
  <c r="F153" i="2"/>
  <c r="D151" i="2"/>
  <c r="B149" i="2"/>
  <c r="G146" i="2"/>
  <c r="E144" i="2"/>
  <c r="C142" i="2"/>
  <c r="H139" i="2"/>
  <c r="F137" i="2"/>
  <c r="D135" i="2"/>
  <c r="B133" i="2"/>
  <c r="C127" i="2"/>
  <c r="B126" i="2"/>
  <c r="B124" i="2"/>
  <c r="C121" i="2"/>
  <c r="B120" i="2"/>
  <c r="C117" i="2"/>
  <c r="B116" i="2"/>
  <c r="C113" i="2"/>
  <c r="B112" i="2"/>
  <c r="C109" i="2"/>
  <c r="B108" i="2"/>
  <c r="C105" i="2"/>
  <c r="B104" i="2"/>
  <c r="C101" i="2"/>
  <c r="B100" i="2"/>
  <c r="C97" i="2"/>
  <c r="B96" i="2"/>
  <c r="C93" i="2"/>
  <c r="B92" i="2"/>
  <c r="C89" i="2"/>
  <c r="B88" i="2"/>
  <c r="C85" i="2"/>
  <c r="B84" i="2"/>
  <c r="C81" i="2"/>
  <c r="B80" i="2"/>
  <c r="C77" i="2"/>
  <c r="B76" i="2"/>
  <c r="C73" i="2"/>
  <c r="B72" i="2"/>
  <c r="C69" i="2"/>
  <c r="B68" i="2"/>
  <c r="C84" i="5"/>
  <c r="B6" i="5"/>
  <c r="B201" i="2"/>
  <c r="H191" i="2"/>
  <c r="G182" i="2"/>
  <c r="F173" i="2"/>
  <c r="E164" i="2"/>
  <c r="D155" i="2"/>
  <c r="C146" i="2"/>
  <c r="B137" i="2"/>
  <c r="C130" i="2"/>
  <c r="C118" i="2"/>
  <c r="B109" i="2"/>
  <c r="C102" i="2"/>
  <c r="B93" i="2"/>
  <c r="C86" i="2"/>
  <c r="B77" i="2"/>
  <c r="C70" i="2"/>
  <c r="C62" i="2"/>
  <c r="B61" i="2"/>
  <c r="C54" i="2"/>
  <c r="C52" i="2"/>
  <c r="B51" i="2"/>
  <c r="C48" i="2"/>
  <c r="B47" i="2"/>
  <c r="C44" i="2"/>
  <c r="B43" i="2"/>
  <c r="C40" i="2"/>
  <c r="B39" i="2"/>
  <c r="C36" i="2"/>
  <c r="B35" i="2"/>
  <c r="C32" i="2"/>
  <c r="B31" i="2"/>
  <c r="C28" i="2"/>
  <c r="B27" i="2"/>
  <c r="C24" i="2"/>
  <c r="B23" i="2"/>
  <c r="C20" i="2"/>
  <c r="B19" i="2"/>
  <c r="E18" i="2"/>
  <c r="D17" i="2"/>
  <c r="C16" i="2"/>
  <c r="B15" i="2"/>
  <c r="E14" i="2"/>
  <c r="D13" i="2"/>
  <c r="C12" i="2"/>
  <c r="B11" i="2"/>
  <c r="E10" i="2"/>
  <c r="H9" i="2"/>
  <c r="D9" i="2"/>
  <c r="C8" i="2"/>
  <c r="B7" i="2"/>
  <c r="E6" i="2"/>
  <c r="B54" i="5"/>
  <c r="G198" i="2"/>
  <c r="F189" i="2"/>
  <c r="E180" i="2"/>
  <c r="D171" i="2"/>
  <c r="C162" i="2"/>
  <c r="B153" i="2"/>
  <c r="H143" i="2"/>
  <c r="G134" i="2"/>
  <c r="B129" i="2"/>
  <c r="C122" i="2"/>
  <c r="B113" i="2"/>
  <c r="C106" i="2"/>
  <c r="B97" i="2"/>
  <c r="C90" i="2"/>
  <c r="B81" i="2"/>
  <c r="C74" i="2"/>
  <c r="C65" i="2"/>
  <c r="B64" i="2"/>
  <c r="C57" i="2"/>
  <c r="B56" i="2"/>
  <c r="C53" i="2"/>
  <c r="B52" i="2"/>
  <c r="C49" i="2"/>
  <c r="B48" i="2"/>
  <c r="C45" i="2"/>
  <c r="B44" i="2"/>
  <c r="C41" i="2"/>
  <c r="B40" i="2"/>
  <c r="C37" i="2"/>
  <c r="B36" i="2"/>
  <c r="C33" i="2"/>
  <c r="B32" i="2"/>
  <c r="C29" i="2"/>
  <c r="B28" i="2"/>
  <c r="C25" i="2"/>
  <c r="B24" i="2"/>
  <c r="C21" i="2"/>
  <c r="B20" i="2"/>
  <c r="E19" i="2"/>
  <c r="D18" i="2"/>
  <c r="C17" i="2"/>
  <c r="B16" i="2"/>
  <c r="E15" i="2"/>
  <c r="D14" i="2"/>
  <c r="G13" i="2"/>
  <c r="C13" i="2"/>
  <c r="B12" i="2"/>
  <c r="E11" i="2"/>
  <c r="D10" i="2"/>
  <c r="C9" i="2"/>
  <c r="B8" i="2"/>
  <c r="E7" i="2"/>
  <c r="H6" i="2"/>
  <c r="D6" i="2"/>
  <c r="B38" i="5"/>
  <c r="F205" i="2"/>
  <c r="E196" i="2"/>
  <c r="D187" i="2"/>
  <c r="C178" i="2"/>
  <c r="B169" i="2"/>
  <c r="H159" i="2"/>
  <c r="G150" i="2"/>
  <c r="F141" i="2"/>
  <c r="E132" i="2"/>
  <c r="B117" i="2"/>
  <c r="C110" i="2"/>
  <c r="B101" i="2"/>
  <c r="C94" i="2"/>
  <c r="B85" i="2"/>
  <c r="C78" i="2"/>
  <c r="B69" i="2"/>
  <c r="B65" i="2"/>
  <c r="C58" i="2"/>
  <c r="B57" i="2"/>
  <c r="B53" i="2"/>
  <c r="C50" i="2"/>
  <c r="B49" i="2"/>
  <c r="C46" i="2"/>
  <c r="B45" i="2"/>
  <c r="C42" i="2"/>
  <c r="B41" i="2"/>
  <c r="C38" i="2"/>
  <c r="B37" i="2"/>
  <c r="C34" i="2"/>
  <c r="B33" i="2"/>
  <c r="C30" i="2"/>
  <c r="B29" i="2"/>
  <c r="C26" i="2"/>
  <c r="B25" i="2"/>
  <c r="C22" i="2"/>
  <c r="B21" i="2"/>
  <c r="D19" i="2"/>
  <c r="C18" i="2"/>
  <c r="B17" i="2"/>
  <c r="E16" i="2"/>
  <c r="D15" i="2"/>
  <c r="C14" i="2"/>
  <c r="F13" i="2"/>
  <c r="B13" i="2"/>
  <c r="E12" i="2"/>
  <c r="D11" i="2"/>
  <c r="C10" i="2"/>
  <c r="B9" i="2"/>
  <c r="E8" i="2"/>
  <c r="D7" i="2"/>
  <c r="G6" i="2"/>
  <c r="C6" i="2"/>
  <c r="B34" i="2"/>
  <c r="B30" i="2"/>
  <c r="B22" i="5"/>
  <c r="D203" i="2"/>
  <c r="C194" i="2"/>
  <c r="B185" i="2"/>
  <c r="H175" i="2"/>
  <c r="G166" i="2"/>
  <c r="F157" i="2"/>
  <c r="E148" i="2"/>
  <c r="D139" i="2"/>
  <c r="B121" i="2"/>
  <c r="C114" i="2"/>
  <c r="B105" i="2"/>
  <c r="C98" i="2"/>
  <c r="B89" i="2"/>
  <c r="C82" i="2"/>
  <c r="B73" i="2"/>
  <c r="C66" i="2"/>
  <c r="C61" i="2"/>
  <c r="B60" i="2"/>
  <c r="C51" i="2"/>
  <c r="B50" i="2"/>
  <c r="C47" i="2"/>
  <c r="B46" i="2"/>
  <c r="C43" i="2"/>
  <c r="B42" i="2"/>
  <c r="C39" i="2"/>
  <c r="B38" i="2"/>
  <c r="C35" i="2"/>
  <c r="C31" i="2"/>
  <c r="C7" i="2"/>
  <c r="E9" i="2"/>
  <c r="B14" i="2"/>
  <c r="D16" i="2"/>
  <c r="H20" i="2"/>
  <c r="C23" i="2"/>
  <c r="C23" i="4"/>
  <c r="C19" i="4"/>
  <c r="C22" i="4"/>
  <c r="C20" i="4"/>
  <c r="C18" i="3"/>
  <c r="C14" i="3"/>
  <c r="C21" i="3"/>
  <c r="C17" i="3"/>
  <c r="C24" i="4"/>
  <c r="C20" i="3"/>
  <c r="C16" i="3"/>
  <c r="C21" i="4"/>
  <c r="C19" i="3"/>
  <c r="C15" i="3"/>
  <c r="H19" i="1"/>
  <c r="D51" i="1"/>
  <c r="E21" i="2" s="1"/>
  <c r="F19" i="1"/>
  <c r="B10" i="2"/>
  <c r="D12" i="2"/>
  <c r="C19" i="2"/>
  <c r="B26" i="2"/>
  <c r="B6" i="2"/>
  <c r="D8" i="2"/>
  <c r="C15" i="2"/>
  <c r="E17" i="2"/>
  <c r="B22" i="2"/>
  <c r="D24" i="2"/>
  <c r="F6" i="2"/>
  <c r="C11" i="2"/>
  <c r="E13" i="2"/>
  <c r="B18" i="2"/>
  <c r="C27" i="2"/>
  <c r="F18" i="1"/>
  <c r="C18" i="4"/>
  <c r="C7" i="3"/>
  <c r="C17" i="4"/>
  <c r="C10" i="3"/>
  <c r="C9" i="3"/>
  <c r="C8" i="3"/>
  <c r="D32" i="2" l="1"/>
  <c r="G34" i="2"/>
  <c r="E54" i="2"/>
  <c r="E61" i="2"/>
  <c r="D28" i="2"/>
  <c r="E25" i="2"/>
  <c r="E33" i="2"/>
  <c r="D36" i="2"/>
  <c r="E28" i="2"/>
  <c r="E32" i="2"/>
  <c r="D35" i="2"/>
  <c r="D39" i="2"/>
  <c r="E42" i="2"/>
  <c r="C27" i="4"/>
  <c r="C33" i="3"/>
  <c r="C30" i="4"/>
  <c r="C26" i="4"/>
  <c r="C36" i="3"/>
  <c r="C29" i="4"/>
  <c r="C28" i="4"/>
  <c r="C34" i="3"/>
  <c r="C29" i="3"/>
  <c r="C25" i="3"/>
  <c r="C25" i="4"/>
  <c r="C32" i="3"/>
  <c r="C28" i="3"/>
  <c r="C31" i="3"/>
  <c r="C27" i="3"/>
  <c r="C35" i="3"/>
  <c r="C30" i="3"/>
  <c r="C26" i="3"/>
  <c r="E51" i="1"/>
  <c r="H20" i="1"/>
  <c r="F20" i="1"/>
  <c r="D61" i="5"/>
  <c r="D57" i="5"/>
  <c r="D53" i="5"/>
  <c r="D49" i="5"/>
  <c r="D45" i="5"/>
  <c r="D41" i="5"/>
  <c r="D37" i="5"/>
  <c r="D33" i="5"/>
  <c r="D29" i="5"/>
  <c r="D25" i="5"/>
  <c r="D21" i="5"/>
  <c r="D60" i="5"/>
  <c r="D56" i="5"/>
  <c r="D52" i="5"/>
  <c r="D48" i="5"/>
  <c r="D44" i="5"/>
  <c r="D40" i="5"/>
  <c r="D36" i="5"/>
  <c r="D32" i="5"/>
  <c r="D28" i="5"/>
  <c r="D24" i="5"/>
  <c r="D20" i="5"/>
  <c r="E65" i="2"/>
  <c r="D56" i="2"/>
  <c r="F83" i="2"/>
  <c r="E58" i="2"/>
  <c r="F108" i="2"/>
  <c r="F57" i="2"/>
  <c r="D53" i="2"/>
  <c r="G48" i="2"/>
  <c r="E46" i="2"/>
  <c r="F39" i="2"/>
  <c r="D37" i="2"/>
  <c r="E30" i="2"/>
  <c r="D21" i="2"/>
  <c r="E59" i="2"/>
  <c r="E47" i="2"/>
  <c r="D38" i="2"/>
  <c r="E31" i="2"/>
  <c r="D22" i="2"/>
  <c r="E60" i="2"/>
  <c r="E52" i="2"/>
  <c r="D43" i="2"/>
  <c r="E36" i="2"/>
  <c r="D27" i="2"/>
  <c r="E20" i="2"/>
  <c r="D48" i="2"/>
  <c r="D127" i="5"/>
  <c r="D63" i="5"/>
  <c r="D59" i="5"/>
  <c r="D55" i="5"/>
  <c r="D51" i="5"/>
  <c r="D47" i="5"/>
  <c r="D43" i="5"/>
  <c r="D39" i="5"/>
  <c r="D35" i="5"/>
  <c r="D31" i="5"/>
  <c r="D27" i="5"/>
  <c r="D23" i="5"/>
  <c r="D126" i="2"/>
  <c r="F62" i="2"/>
  <c r="D60" i="2"/>
  <c r="G55" i="2"/>
  <c r="F103" i="2"/>
  <c r="F55" i="2"/>
  <c r="F112" i="2"/>
  <c r="E56" i="2"/>
  <c r="E50" i="2"/>
  <c r="D41" i="2"/>
  <c r="E34" i="2"/>
  <c r="F27" i="2"/>
  <c r="D25" i="2"/>
  <c r="G20" i="2"/>
  <c r="H62" i="2"/>
  <c r="D58" i="2"/>
  <c r="E51" i="2"/>
  <c r="D42" i="2"/>
  <c r="E35" i="2"/>
  <c r="D26" i="2"/>
  <c r="D59" i="2"/>
  <c r="G54" i="2"/>
  <c r="D47" i="2"/>
  <c r="E40" i="2"/>
  <c r="D31" i="2"/>
  <c r="E24" i="2"/>
  <c r="E55" i="2"/>
  <c r="D52" i="2"/>
  <c r="D78" i="5"/>
  <c r="D58" i="5"/>
  <c r="D54" i="5"/>
  <c r="D50" i="5"/>
  <c r="D46" i="5"/>
  <c r="D42" i="5"/>
  <c r="D38" i="5"/>
  <c r="D34" i="5"/>
  <c r="D30" i="5"/>
  <c r="D26" i="5"/>
  <c r="D22" i="5"/>
  <c r="E126" i="2"/>
  <c r="F98" i="2"/>
  <c r="F66" i="2"/>
  <c r="E57" i="2"/>
  <c r="D121" i="2"/>
  <c r="D89" i="2"/>
  <c r="D57" i="2"/>
  <c r="D98" i="2"/>
  <c r="D66" i="2"/>
  <c r="D55" i="2"/>
  <c r="F47" i="2"/>
  <c r="D45" i="2"/>
  <c r="E38" i="2"/>
  <c r="F31" i="2"/>
  <c r="D29" i="2"/>
  <c r="E22" i="2"/>
  <c r="F15" i="2"/>
  <c r="E45" i="2"/>
  <c r="F41" i="2"/>
  <c r="G114" i="2"/>
  <c r="E43" i="2"/>
  <c r="D50" i="2"/>
  <c r="E26" i="2"/>
  <c r="G18" i="2"/>
  <c r="F121" i="2"/>
  <c r="E23" i="2"/>
  <c r="E27" i="2"/>
  <c r="D30" i="2"/>
  <c r="D34" i="2"/>
  <c r="F48" i="2"/>
  <c r="D33" i="2"/>
  <c r="F97" i="2"/>
  <c r="F130" i="2"/>
  <c r="D61" i="2"/>
  <c r="D68" i="2"/>
  <c r="G27" i="2"/>
  <c r="D40" i="2"/>
  <c r="G30" i="2"/>
  <c r="E39" i="2"/>
  <c r="D46" i="2"/>
  <c r="G65" i="2"/>
  <c r="F34" i="2"/>
  <c r="E41" i="2"/>
  <c r="D44" i="2"/>
  <c r="E49" i="2"/>
  <c r="E53" i="2"/>
  <c r="E29" i="2"/>
  <c r="D20" i="2"/>
  <c r="G11" i="2"/>
  <c r="E37" i="2"/>
  <c r="D54" i="2"/>
  <c r="D23" i="2"/>
  <c r="E44" i="2"/>
  <c r="E48" i="2"/>
  <c r="D51" i="2"/>
  <c r="E112" i="2"/>
  <c r="F20" i="2"/>
  <c r="G41" i="2"/>
  <c r="F52" i="2"/>
  <c r="F19" i="2"/>
  <c r="G28" i="2"/>
  <c r="D49" i="2"/>
  <c r="D70" i="2"/>
  <c r="E95" i="2"/>
  <c r="G56" i="2"/>
  <c r="D77" i="2"/>
  <c r="G120" i="2"/>
  <c r="F54" i="2"/>
  <c r="E109" i="2"/>
  <c r="F118" i="2"/>
  <c r="D81" i="5" l="1"/>
  <c r="H125" i="2"/>
  <c r="D72" i="5"/>
  <c r="D125" i="5"/>
  <c r="F90" i="2"/>
  <c r="F58" i="2"/>
  <c r="D113" i="2"/>
  <c r="D97" i="2"/>
  <c r="D81" i="2"/>
  <c r="D65" i="2"/>
  <c r="D122" i="2"/>
  <c r="D106" i="2"/>
  <c r="D90" i="2"/>
  <c r="D74" i="2"/>
  <c r="F113" i="2"/>
  <c r="E108" i="2"/>
  <c r="F8" i="2"/>
  <c r="G38" i="2"/>
  <c r="G22" i="2"/>
  <c r="E84" i="2"/>
  <c r="D124" i="5"/>
  <c r="D107" i="5"/>
  <c r="D91" i="5"/>
  <c r="D75" i="5"/>
  <c r="D129" i="2"/>
  <c r="D124" i="2"/>
  <c r="D108" i="2"/>
  <c r="D92" i="2"/>
  <c r="D76" i="2"/>
  <c r="D117" i="2"/>
  <c r="D101" i="2"/>
  <c r="D85" i="2"/>
  <c r="D69" i="2"/>
  <c r="D128" i="2"/>
  <c r="D110" i="2"/>
  <c r="D94" i="2"/>
  <c r="D78" i="2"/>
  <c r="D111" i="2"/>
  <c r="G52" i="2"/>
  <c r="G36" i="2"/>
  <c r="G78" i="2"/>
  <c r="G53" i="2"/>
  <c r="G37" i="2"/>
  <c r="G21" i="2"/>
  <c r="E80" i="2"/>
  <c r="F49" i="2"/>
  <c r="F33" i="2"/>
  <c r="F17" i="2"/>
  <c r="F109" i="2"/>
  <c r="D128" i="5"/>
  <c r="D106" i="5"/>
  <c r="D90" i="5"/>
  <c r="D74" i="5"/>
  <c r="D130" i="2"/>
  <c r="E121" i="2"/>
  <c r="E105" i="2"/>
  <c r="E89" i="2"/>
  <c r="E73" i="2"/>
  <c r="G116" i="2"/>
  <c r="G100" i="2"/>
  <c r="G84" i="2"/>
  <c r="G68" i="2"/>
  <c r="G131" i="2"/>
  <c r="G109" i="2"/>
  <c r="G93" i="2"/>
  <c r="G77" i="2"/>
  <c r="G90" i="2"/>
  <c r="G70" i="2"/>
  <c r="F32" i="2"/>
  <c r="F63" i="2"/>
  <c r="G46" i="2"/>
  <c r="F30" i="2"/>
  <c r="D79" i="2"/>
  <c r="G97" i="2"/>
  <c r="E86" i="2"/>
  <c r="E93" i="2"/>
  <c r="D62" i="2"/>
  <c r="G9" i="2"/>
  <c r="F35" i="2"/>
  <c r="F120" i="2"/>
  <c r="D123" i="2"/>
  <c r="G23" i="2"/>
  <c r="G126" i="2"/>
  <c r="F60" i="2"/>
  <c r="G12" i="2"/>
  <c r="D120" i="5"/>
  <c r="E131" i="2"/>
  <c r="G83" i="2"/>
  <c r="G108" i="2"/>
  <c r="G92" i="2"/>
  <c r="G76" i="2"/>
  <c r="G60" i="2"/>
  <c r="G117" i="2"/>
  <c r="G101" i="2"/>
  <c r="G85" i="2"/>
  <c r="G69" i="2"/>
  <c r="E104" i="2"/>
  <c r="G32" i="2"/>
  <c r="G16" i="2"/>
  <c r="D99" i="2"/>
  <c r="F40" i="2"/>
  <c r="F24" i="2"/>
  <c r="D119" i="2"/>
  <c r="D75" i="2"/>
  <c r="G43" i="2"/>
  <c r="D119" i="5"/>
  <c r="D103" i="5"/>
  <c r="D87" i="5"/>
  <c r="D71" i="5"/>
  <c r="G124" i="2"/>
  <c r="G119" i="2"/>
  <c r="G103" i="2"/>
  <c r="G87" i="2"/>
  <c r="G71" i="2"/>
  <c r="G112" i="2"/>
  <c r="G96" i="2"/>
  <c r="G80" i="2"/>
  <c r="G64" i="2"/>
  <c r="G121" i="2"/>
  <c r="G105" i="2"/>
  <c r="G89" i="2"/>
  <c r="G73" i="2"/>
  <c r="G74" i="2"/>
  <c r="F11" i="2"/>
  <c r="F69" i="2"/>
  <c r="F12" i="2"/>
  <c r="D71" i="2"/>
  <c r="G10" i="2"/>
  <c r="E100" i="2"/>
  <c r="D118" i="5"/>
  <c r="D102" i="5"/>
  <c r="D86" i="5"/>
  <c r="D70" i="5"/>
  <c r="G125" i="2"/>
  <c r="D113" i="5"/>
  <c r="D104" i="5"/>
  <c r="F122" i="2"/>
  <c r="D72" i="2"/>
  <c r="F129" i="2"/>
  <c r="E106" i="2"/>
  <c r="E90" i="2"/>
  <c r="E74" i="2"/>
  <c r="E115" i="2"/>
  <c r="E99" i="2"/>
  <c r="E83" i="2"/>
  <c r="E67" i="2"/>
  <c r="D95" i="2"/>
  <c r="F7" i="2"/>
  <c r="G82" i="2"/>
  <c r="F45" i="2"/>
  <c r="F29" i="2"/>
  <c r="G102" i="2"/>
  <c r="F56" i="2"/>
  <c r="D126" i="5"/>
  <c r="D115" i="5"/>
  <c r="D99" i="5"/>
  <c r="D83" i="5"/>
  <c r="D67" i="5"/>
  <c r="D121" i="5"/>
  <c r="F128" i="2"/>
  <c r="E117" i="2"/>
  <c r="E101" i="2"/>
  <c r="E85" i="2"/>
  <c r="E69" i="2"/>
  <c r="E128" i="2"/>
  <c r="E110" i="2"/>
  <c r="E94" i="2"/>
  <c r="E78" i="2"/>
  <c r="E62" i="2"/>
  <c r="E119" i="2"/>
  <c r="E103" i="2"/>
  <c r="E87" i="2"/>
  <c r="E71" i="2"/>
  <c r="F65" i="2"/>
  <c r="F43" i="2"/>
  <c r="E124" i="2"/>
  <c r="F44" i="2"/>
  <c r="F28" i="2"/>
  <c r="G98" i="2"/>
  <c r="G42" i="2"/>
  <c r="G26" i="2"/>
  <c r="D131" i="2"/>
  <c r="D91" i="2"/>
  <c r="D130" i="5"/>
  <c r="D114" i="5"/>
  <c r="D98" i="5"/>
  <c r="D82" i="5"/>
  <c r="D66" i="5"/>
  <c r="G128" i="2"/>
  <c r="G127" i="2"/>
  <c r="D112" i="2"/>
  <c r="D96" i="2"/>
  <c r="D80" i="2"/>
  <c r="D64" i="2"/>
  <c r="F123" i="2"/>
  <c r="F107" i="2"/>
  <c r="F91" i="2"/>
  <c r="F75" i="2"/>
  <c r="F59" i="2"/>
  <c r="F116" i="2"/>
  <c r="F100" i="2"/>
  <c r="F84" i="2"/>
  <c r="F68" i="2"/>
  <c r="E72" i="2"/>
  <c r="F42" i="2"/>
  <c r="F125" i="2"/>
  <c r="F111" i="2"/>
  <c r="G94" i="2"/>
  <c r="G66" i="2"/>
  <c r="G39" i="2"/>
  <c r="F46" i="2"/>
  <c r="G7" i="2"/>
  <c r="E88" i="2"/>
  <c r="G47" i="2"/>
  <c r="E127" i="2"/>
  <c r="G104" i="2"/>
  <c r="D118" i="2"/>
  <c r="E96" i="2"/>
  <c r="F10" i="2"/>
  <c r="F85" i="2"/>
  <c r="E75" i="2"/>
  <c r="E107" i="2"/>
  <c r="E66" i="2"/>
  <c r="E98" i="2"/>
  <c r="D127" i="2"/>
  <c r="G75" i="2"/>
  <c r="G107" i="2"/>
  <c r="D94" i="5"/>
  <c r="D115" i="2"/>
  <c r="E120" i="2"/>
  <c r="F119" i="2"/>
  <c r="F78" i="2"/>
  <c r="F131" i="2"/>
  <c r="D79" i="5"/>
  <c r="G49" i="2"/>
  <c r="F23" i="2"/>
  <c r="G122" i="2"/>
  <c r="E129" i="2"/>
  <c r="F99" i="2"/>
  <c r="E97" i="2"/>
  <c r="D88" i="5"/>
  <c r="D97" i="5"/>
  <c r="D84" i="2"/>
  <c r="G113" i="2"/>
  <c r="D63" i="2"/>
  <c r="G45" i="2"/>
  <c r="F37" i="2"/>
  <c r="F14" i="2"/>
  <c r="D107" i="2"/>
  <c r="G63" i="2"/>
  <c r="E102" i="2"/>
  <c r="F104" i="2"/>
  <c r="D83" i="2"/>
  <c r="F26" i="2"/>
  <c r="F77" i="2"/>
  <c r="G19" i="2"/>
  <c r="G58" i="2"/>
  <c r="D87" i="2"/>
  <c r="G111" i="2"/>
  <c r="F95" i="2"/>
  <c r="F88" i="2"/>
  <c r="E92" i="2"/>
  <c r="G50" i="2"/>
  <c r="D86" i="2"/>
  <c r="E116" i="2"/>
  <c r="G24" i="2"/>
  <c r="G40" i="2"/>
  <c r="E64" i="2"/>
  <c r="D82" i="2"/>
  <c r="D114" i="2"/>
  <c r="D73" i="2"/>
  <c r="D105" i="2"/>
  <c r="F82" i="2"/>
  <c r="F114" i="2"/>
  <c r="D110" i="5"/>
  <c r="F64" i="2"/>
  <c r="F89" i="2"/>
  <c r="F80" i="2"/>
  <c r="F71" i="2"/>
  <c r="F94" i="2"/>
  <c r="D95" i="5"/>
  <c r="F50" i="2"/>
  <c r="F73" i="2"/>
  <c r="G33" i="2"/>
  <c r="F76" i="2"/>
  <c r="E122" i="2"/>
  <c r="D67" i="2"/>
  <c r="E68" i="2"/>
  <c r="G31" i="2"/>
  <c r="F22" i="2"/>
  <c r="G110" i="2"/>
  <c r="F61" i="2"/>
  <c r="G35" i="2"/>
  <c r="F102" i="2"/>
  <c r="E79" i="2"/>
  <c r="F25" i="2"/>
  <c r="G44" i="2"/>
  <c r="F81" i="2"/>
  <c r="E91" i="2"/>
  <c r="E123" i="2"/>
  <c r="E82" i="2"/>
  <c r="E114" i="2"/>
  <c r="G59" i="2"/>
  <c r="G91" i="2"/>
  <c r="G123" i="2"/>
  <c r="D62" i="5"/>
  <c r="D131" i="5"/>
  <c r="G118" i="2"/>
  <c r="F96" i="2"/>
  <c r="F87" i="2"/>
  <c r="F110" i="2"/>
  <c r="D111" i="5"/>
  <c r="F93" i="2"/>
  <c r="G17" i="2"/>
  <c r="F117" i="2"/>
  <c r="F92" i="2"/>
  <c r="F67" i="2"/>
  <c r="C31" i="4"/>
  <c r="C40" i="3"/>
  <c r="C41" i="3"/>
  <c r="F51" i="1"/>
  <c r="H106" i="2" s="1"/>
  <c r="H21" i="1"/>
  <c r="F21" i="1"/>
  <c r="G95" i="2"/>
  <c r="E70" i="2"/>
  <c r="F72" i="2"/>
  <c r="G8" i="2"/>
  <c r="F36" i="2"/>
  <c r="F16" i="2"/>
  <c r="F53" i="2"/>
  <c r="G86" i="2"/>
  <c r="G15" i="2"/>
  <c r="D100" i="2"/>
  <c r="G130" i="2"/>
  <c r="G72" i="2"/>
  <c r="G106" i="2"/>
  <c r="G57" i="2"/>
  <c r="F74" i="2"/>
  <c r="D88" i="2"/>
  <c r="G99" i="2"/>
  <c r="E113" i="2"/>
  <c r="E125" i="2"/>
  <c r="D125" i="2"/>
  <c r="D65" i="5"/>
  <c r="D76" i="5"/>
  <c r="D92" i="5"/>
  <c r="D108" i="5"/>
  <c r="D123" i="5"/>
  <c r="E130" i="2"/>
  <c r="D69" i="5"/>
  <c r="D85" i="5"/>
  <c r="D101" i="5"/>
  <c r="D117" i="5"/>
  <c r="F86" i="2"/>
  <c r="D109" i="2"/>
  <c r="F51" i="2"/>
  <c r="F101" i="2"/>
  <c r="G29" i="2"/>
  <c r="F105" i="2"/>
  <c r="F21" i="2"/>
  <c r="E63" i="2"/>
  <c r="G79" i="2"/>
  <c r="E118" i="2"/>
  <c r="G61" i="2"/>
  <c r="D104" i="2"/>
  <c r="G115" i="2"/>
  <c r="F124" i="2"/>
  <c r="F127" i="2"/>
  <c r="D64" i="5"/>
  <c r="D129" i="5"/>
  <c r="D80" i="5"/>
  <c r="D96" i="5"/>
  <c r="D112" i="5"/>
  <c r="D122" i="5"/>
  <c r="D73" i="5"/>
  <c r="D89" i="5"/>
  <c r="D105" i="5"/>
  <c r="E77" i="2"/>
  <c r="G88" i="2"/>
  <c r="D102" i="2"/>
  <c r="E76" i="2"/>
  <c r="G25" i="2"/>
  <c r="H75" i="2"/>
  <c r="G14" i="2"/>
  <c r="F38" i="2"/>
  <c r="F126" i="2"/>
  <c r="F70" i="2"/>
  <c r="E111" i="2"/>
  <c r="D103" i="2"/>
  <c r="F18" i="2"/>
  <c r="F115" i="2"/>
  <c r="G67" i="2"/>
  <c r="E81" i="2"/>
  <c r="F106" i="2"/>
  <c r="D120" i="2"/>
  <c r="D68" i="5"/>
  <c r="D84" i="5"/>
  <c r="D100" i="5"/>
  <c r="D116" i="5"/>
  <c r="G129" i="2"/>
  <c r="D77" i="5"/>
  <c r="D93" i="5"/>
  <c r="D109" i="5"/>
  <c r="D116" i="2"/>
  <c r="H56" i="2"/>
  <c r="F79" i="2"/>
  <c r="G81" i="2"/>
  <c r="H50" i="2"/>
  <c r="G62" i="2"/>
  <c r="F9" i="2"/>
  <c r="G51" i="2"/>
  <c r="D93" i="2"/>
  <c r="H90" i="2"/>
  <c r="H8" i="2" l="1"/>
  <c r="H21" i="2"/>
  <c r="H104" i="2"/>
  <c r="H129" i="2"/>
  <c r="H92" i="2"/>
  <c r="H101" i="2"/>
  <c r="H97" i="2"/>
  <c r="H58" i="2"/>
  <c r="H24" i="2"/>
  <c r="H22" i="1"/>
  <c r="F22" i="1"/>
  <c r="H67" i="2"/>
  <c r="H54" i="2"/>
  <c r="H26" i="2"/>
  <c r="H10" i="2"/>
  <c r="H111" i="2"/>
  <c r="H64" i="2"/>
  <c r="H73" i="2"/>
  <c r="H82" i="2"/>
  <c r="H83" i="2"/>
  <c r="H63" i="2"/>
  <c r="H35" i="2"/>
  <c r="H100" i="2"/>
  <c r="H61" i="2"/>
  <c r="H70" i="2"/>
  <c r="H59" i="2"/>
  <c r="H17" i="2"/>
  <c r="H16" i="2"/>
  <c r="H39" i="2"/>
  <c r="H37" i="2"/>
  <c r="H122" i="2"/>
  <c r="H72" i="2"/>
  <c r="H123" i="2"/>
  <c r="H28" i="2"/>
  <c r="H36" i="2"/>
  <c r="H88" i="2"/>
  <c r="H76" i="2"/>
  <c r="H85" i="2"/>
  <c r="H124" i="2"/>
  <c r="H110" i="2"/>
  <c r="H41" i="2"/>
  <c r="H47" i="2"/>
  <c r="H128" i="2"/>
  <c r="H112" i="2"/>
  <c r="H121" i="2"/>
  <c r="H57" i="2"/>
  <c r="H66" i="2"/>
  <c r="H32" i="2"/>
  <c r="H19" i="2"/>
  <c r="H84" i="2"/>
  <c r="H109" i="2"/>
  <c r="H118" i="2"/>
  <c r="H7" i="2"/>
  <c r="H43" i="2"/>
  <c r="H103" i="2"/>
  <c r="H60" i="2"/>
  <c r="H69" i="2"/>
  <c r="H94" i="2"/>
  <c r="H25" i="2"/>
  <c r="H71" i="2"/>
  <c r="H31" i="2"/>
  <c r="H52" i="2"/>
  <c r="H130" i="2"/>
  <c r="H96" i="2"/>
  <c r="H105" i="2"/>
  <c r="H114" i="2"/>
  <c r="H45" i="2"/>
  <c r="H46" i="2"/>
  <c r="H127" i="2"/>
  <c r="H68" i="2"/>
  <c r="H93" i="2"/>
  <c r="H102" i="2"/>
  <c r="H49" i="2"/>
  <c r="H23" i="2"/>
  <c r="H119" i="2"/>
  <c r="H11" i="2"/>
  <c r="H79" i="2"/>
  <c r="H34" i="2"/>
  <c r="H108" i="2"/>
  <c r="H117" i="2"/>
  <c r="H53" i="2"/>
  <c r="H78" i="2"/>
  <c r="H42" i="2"/>
  <c r="H91" i="2"/>
  <c r="H55" i="2"/>
  <c r="H15" i="2"/>
  <c r="H80" i="2"/>
  <c r="H89" i="2"/>
  <c r="H98" i="2"/>
  <c r="H29" i="2"/>
  <c r="H13" i="2"/>
  <c r="H87" i="2"/>
  <c r="H30" i="2"/>
  <c r="H14" i="2"/>
  <c r="H107" i="2"/>
  <c r="H51" i="2"/>
  <c r="H116" i="2"/>
  <c r="H131" i="2"/>
  <c r="H77" i="2"/>
  <c r="H86" i="2"/>
  <c r="H99" i="2"/>
  <c r="H33" i="2"/>
  <c r="H27" i="2"/>
  <c r="H115" i="2"/>
  <c r="H65" i="2"/>
  <c r="H18" i="2"/>
  <c r="H44" i="2"/>
  <c r="H95" i="2"/>
  <c r="H38" i="2"/>
  <c r="H81" i="2"/>
  <c r="H74" i="2"/>
  <c r="H120" i="2"/>
  <c r="H12" i="2"/>
  <c r="H22" i="2"/>
  <c r="H126" i="2"/>
  <c r="H40" i="2"/>
  <c r="H48" i="2"/>
  <c r="H113" i="2"/>
</calcChain>
</file>

<file path=xl/sharedStrings.xml><?xml version="1.0" encoding="utf-8"?>
<sst xmlns="http://schemas.openxmlformats.org/spreadsheetml/2006/main" count="569" uniqueCount="346">
  <si>
    <t>🌿  PLANILHA MESTRA DE CULTIVO  —  Cannabis Medicinal Indoor</t>
  </si>
  <si>
    <t>Configure abaixo. As durações em SEMANAS se propagam automaticamente por toda a planilha.</t>
  </si>
  <si>
    <t>⚙️  CONFIGURAÇÕES DO CULTIVO  —  preencha as células destacadas</t>
  </si>
  <si>
    <t>📅 Data Dia 1 (Clone)</t>
  </si>
  <si>
    <t>🌱 Semanas de Clone</t>
  </si>
  <si>
    <t>← sem (1–4)</t>
  </si>
  <si>
    <t>🌿 Strain / Cultivar</t>
  </si>
  <si>
    <t>Ex: Blue Dream, OG Kush</t>
  </si>
  <si>
    <t>🌿 Semanas de Vegetativo</t>
  </si>
  <si>
    <t>← sem (4–12)</t>
  </si>
  <si>
    <t>💡 Ambiente</t>
  </si>
  <si>
    <t>Indoor LED</t>
  </si>
  <si>
    <t>🌸 Semanas de Floração</t>
  </si>
  <si>
    <t>← sem (8–16)</t>
  </si>
  <si>
    <t>📐 Área de cultivo (m²)</t>
  </si>
  <si>
    <t>1.2</t>
  </si>
  <si>
    <t>🚿 Semanas de Flush</t>
  </si>
  <si>
    <t>← sem (1–2)</t>
  </si>
  <si>
    <t>🪴 Nº de Plantas</t>
  </si>
  <si>
    <t>4</t>
  </si>
  <si>
    <t>🌡️  PARÂMETROS AMBIENTAIS  (opcionais — para referência no diário)</t>
  </si>
  <si>
    <t>🔆 Horas de luz — Vega</t>
  </si>
  <si>
    <t>18</t>
  </si>
  <si>
    <t>🔆 Horas de luz — Flora</t>
  </si>
  <si>
    <t>12</t>
  </si>
  <si>
    <t>🌡️ Temperatura ideal (°C)</t>
  </si>
  <si>
    <t>24</t>
  </si>
  <si>
    <t>💧 Umidade Vega (%)</t>
  </si>
  <si>
    <t>65</t>
  </si>
  <si>
    <t>💧 Umidade Flora (%)</t>
  </si>
  <si>
    <t>50</t>
  </si>
  <si>
    <t>💧 Umidade Flora final (%)</t>
  </si>
  <si>
    <t>40</t>
  </si>
  <si>
    <t>📆  CALENDÁRIO DE FASES  (calculado automaticamente)</t>
  </si>
  <si>
    <t>Fase</t>
  </si>
  <si>
    <t>Semanas</t>
  </si>
  <si>
    <t>Início</t>
  </si>
  <si>
    <t>Fim</t>
  </si>
  <si>
    <t>Total dias</t>
  </si>
  <si>
    <t>🌱 CLONE</t>
  </si>
  <si>
    <t>🌿 VEGETATIVO</t>
  </si>
  <si>
    <t>🌸 FLORAÇÃO</t>
  </si>
  <si>
    <t>🚿 FLUSH</t>
  </si>
  <si>
    <t>✂️ COLHEITA</t>
  </si>
  <si>
    <t>"—"</t>
  </si>
  <si>
    <t>"1 dia"</t>
  </si>
  <si>
    <t>📌  COMO USAR  —  Altere as semanas (células amarelas) e toda a planilha se recalcula</t>
  </si>
  <si>
    <t>🟡 Célula amarela (data)</t>
  </si>
  <si>
    <t>Preencha a Data do Dia 1 do clone</t>
  </si>
  <si>
    <t>🟡 Células amarelas (sem)</t>
  </si>
  <si>
    <t>Escolha o nº de semanas de cada fase no dropdown</t>
  </si>
  <si>
    <t>📅 Aba Cronograma</t>
  </si>
  <si>
    <t>Gerado automaticamente — mostra apenas os dias do seu cultivo</t>
  </si>
  <si>
    <t>💊 Aba Adubação</t>
  </si>
  <si>
    <t>Datas calculadas por semana relativa à fase (Vega S1, Flora S3, etc.)</t>
  </si>
  <si>
    <t>🐛 Aba MIP</t>
  </si>
  <si>
    <t>Calendário de aplicações ajustado às fases configuradas</t>
  </si>
  <si>
    <t>📊 Aba Diário</t>
  </si>
  <si>
    <t>Linhas geradas conforme duração total configurada</t>
  </si>
  <si>
    <t>📅  CRONOGRAMA COMPLETO DO CULTIVO  —  Dinâmico por Semanas</t>
  </si>
  <si>
    <t>Calculado automaticamente. Linhas além do total configurado ficam em branco.</t>
  </si>
  <si>
    <t>Dia</t>
  </si>
  <si>
    <t>Data</t>
  </si>
  <si>
    <t>Semana</t>
  </si>
  <si>
    <t>Adubação</t>
  </si>
  <si>
    <t>MIP / Pragas</t>
  </si>
  <si>
    <t>Ação / Alerta</t>
  </si>
  <si>
    <t>💊  PROTOCOLO DE ADUBAÇÃO  —  Calculado por Semana Relativa à Fase</t>
  </si>
  <si>
    <t>As datas se ajustam automaticamente às semanas configuradas. EC e pH são alvos por semana.</t>
  </si>
  <si>
    <t>Data início</t>
  </si>
  <si>
    <t>Nutriente base</t>
  </si>
  <si>
    <t>Dose</t>
  </si>
  <si>
    <t>CalMag</t>
  </si>
  <si>
    <t>PK / Boost</t>
  </si>
  <si>
    <t>pH alvo</t>
  </si>
  <si>
    <t>EC alvo</t>
  </si>
  <si>
    <t>Observação</t>
  </si>
  <si>
    <t>S1</t>
  </si>
  <si>
    <t>Enraizador</t>
  </si>
  <si>
    <t>0.5 mL/L</t>
  </si>
  <si>
    <t>-</t>
  </si>
  <si>
    <t>5.8–6.0</t>
  </si>
  <si>
    <t>0.0–0.4</t>
  </si>
  <si>
    <t>Solo úmido — evitar encharcamento</t>
  </si>
  <si>
    <t>S2</t>
  </si>
  <si>
    <t>Biorrizas</t>
  </si>
  <si>
    <t>0.4</t>
  </si>
  <si>
    <t>Vitamina B1 (0.5 mL/L) fortalece raízes</t>
  </si>
  <si>
    <t>S3</t>
  </si>
  <si>
    <t>6.0</t>
  </si>
  <si>
    <t>Avaliar pegamento antes de ir pra vega</t>
  </si>
  <si>
    <t>S4</t>
  </si>
  <si>
    <t>Grow A+B ini</t>
  </si>
  <si>
    <t>0.6</t>
  </si>
  <si>
    <t>Clone pronto — transicionar para vega</t>
  </si>
  <si>
    <t>Grow A+B</t>
  </si>
  <si>
    <t>1 mL/L</t>
  </si>
  <si>
    <t>CalMag 0.5</t>
  </si>
  <si>
    <t>0.8</t>
  </si>
  <si>
    <t>Início suave — observar resposta</t>
  </si>
  <si>
    <t>2 mL/L</t>
  </si>
  <si>
    <t>CalMag 1</t>
  </si>
  <si>
    <t>6.1</t>
  </si>
  <si>
    <t>1.0</t>
  </si>
  <si>
    <t>LST / Topping se necessário</t>
  </si>
  <si>
    <t>3 mL/L</t>
  </si>
  <si>
    <t>Verificar pH run-off</t>
  </si>
  <si>
    <t>Enzimas</t>
  </si>
  <si>
    <t>6.2</t>
  </si>
  <si>
    <t>1.4</t>
  </si>
  <si>
    <t>Estrutura vegetativa boa?</t>
  </si>
  <si>
    <t>S5</t>
  </si>
  <si>
    <t>CalMag 1.5</t>
  </si>
  <si>
    <t>Biorrizas solo</t>
  </si>
  <si>
    <t>1.5</t>
  </si>
  <si>
    <t>Pré-transição floração</t>
  </si>
  <si>
    <t>S6</t>
  </si>
  <si>
    <t>Lollipopping — remover galhos baixos</t>
  </si>
  <si>
    <t>S7</t>
  </si>
  <si>
    <t>Bloom A+B</t>
  </si>
  <si>
    <t>PK 0.5</t>
  </si>
  <si>
    <t>Transição — iniciar Bloom</t>
  </si>
  <si>
    <t>S8</t>
  </si>
  <si>
    <t>Semana extra de vega antes de florar</t>
  </si>
  <si>
    <t>1.6</t>
  </si>
  <si>
    <t>Formação de pistils — não estressar</t>
  </si>
  <si>
    <t>1.7</t>
  </si>
  <si>
    <t>Início do enchimento</t>
  </si>
  <si>
    <t>4 mL/L</t>
  </si>
  <si>
    <t>PK 1 + Boost</t>
  </si>
  <si>
    <t>1.8</t>
  </si>
  <si>
    <t>Pico de P e K</t>
  </si>
  <si>
    <t>PK 1.5 + Boost</t>
  </si>
  <si>
    <t>2.0</t>
  </si>
  <si>
    <t>Máximo enchimento — monitorar mofo</t>
  </si>
  <si>
    <t>1.9</t>
  </si>
  <si>
    <t>Analisar tricomas com lupa</t>
  </si>
  <si>
    <t>PK 1 + Amino</t>
  </si>
  <si>
    <t>Umidade &lt; 45% — risco de Botrytis</t>
  </si>
  <si>
    <t>Boost + Amino</t>
  </si>
  <si>
    <t>Reduzir N — fase final maturação</t>
  </si>
  <si>
    <t>Pré-flush — últimos nutrientes</t>
  </si>
  <si>
    <t>S9</t>
  </si>
  <si>
    <t>Última semana — EC muito baixo</t>
  </si>
  <si>
    <t>S10</t>
  </si>
  <si>
    <t>Semana extra (sativa longa)</t>
  </si>
  <si>
    <t>S11</t>
  </si>
  <si>
    <t>Semana extra</t>
  </si>
  <si>
    <t>S12</t>
  </si>
  <si>
    <t>Água pura</t>
  </si>
  <si>
    <t>Enzimas 1 mL/L</t>
  </si>
  <si>
    <t>&lt; 0.3</t>
  </si>
  <si>
    <t>Lavar substrato — análise tricomas</t>
  </si>
  <si>
    <t>&lt; 0.2</t>
  </si>
  <si>
    <t>Tricomas âmbar? Avaliar colheita!</t>
  </si>
  <si>
    <t>🐛  MIP — CONTROLE INTEGRADO DE PRAGAS  (Preventivo)</t>
  </si>
  <si>
    <t>Protocolo preventivo — Datas calculadas automaticamente pelas fases configuradas. Sem foliar em floração avançada.</t>
  </si>
  <si>
    <t>🛡️  PRODUTOS RECOMENDADOS</t>
  </si>
  <si>
    <t>Produto</t>
  </si>
  <si>
    <t>Aplicação</t>
  </si>
  <si>
    <t>Alvo</t>
  </si>
  <si>
    <t>Frequência</t>
  </si>
  <si>
    <t>🌿 Óleo de Nim</t>
  </si>
  <si>
    <t>2–3 mL/L</t>
  </si>
  <si>
    <t>Foliar (clone/vega)
Solo (flora)</t>
  </si>
  <si>
    <t>Acaricida, inseticida, fungicida</t>
  </si>
  <si>
    <t>A cada 7 dias</t>
  </si>
  <si>
    <t>⚠️ NÃO usar em flora avançada (&gt; S3)</t>
  </si>
  <si>
    <t>🍄 Beauveria bassiana</t>
  </si>
  <si>
    <t>5–10 g/L</t>
  </si>
  <si>
    <t>Foliar e solo</t>
  </si>
  <si>
    <t>Fungo entomopatogênico — tripes, mosca branca</t>
  </si>
  <si>
    <t>A cada 14 dias</t>
  </si>
  <si>
    <t>Refrigerar após abrir</t>
  </si>
  <si>
    <t>🦠 Trichoderma harzianum</t>
  </si>
  <si>
    <t>2–5 g/L</t>
  </si>
  <si>
    <t>Solo / substrato</t>
  </si>
  <si>
    <t>Fungos do solo, Pythium, Fusarium</t>
  </si>
  <si>
    <t>A cada 21 dias</t>
  </si>
  <si>
    <t>Aplicar ao regar</t>
  </si>
  <si>
    <t>🌱 Extrato de Alho</t>
  </si>
  <si>
    <t>Foliar</t>
  </si>
  <si>
    <t>Repelente geral, ácaros, pulgões</t>
  </si>
  <si>
    <t>A cada 10 dias</t>
  </si>
  <si>
    <t>Combina com Nim</t>
  </si>
  <si>
    <t>🐞 Bacillus thuringiensis</t>
  </si>
  <si>
    <t>5 mL/L</t>
  </si>
  <si>
    <t>Lagartas, moscas fungosas</t>
  </si>
  <si>
    <t>Quando necessário</t>
  </si>
  <si>
    <t>Bioinseticida seletivo</t>
  </si>
  <si>
    <t>🟡 Calda Sulfocálcica</t>
  </si>
  <si>
    <t>1–3%</t>
  </si>
  <si>
    <t>Foliar (clone/vega)
Solo preventivo</t>
  </si>
  <si>
    <t>Acaricida, fungicida — ácaros, oídio, escamas</t>
  </si>
  <si>
    <t>A cada 14–21 dias</t>
  </si>
  <si>
    <t>⚠️ Não misturar com Nim. Ao entardecer.</t>
  </si>
  <si>
    <t>🔵 Calda Bordalesa</t>
  </si>
  <si>
    <t>0.5–1%</t>
  </si>
  <si>
    <t>Foliar (clone/vega
até Flora S2)</t>
  </si>
  <si>
    <t>Fungicida cúprico — míldio, Botrytis</t>
  </si>
  <si>
    <t>A cada 15–21 dias</t>
  </si>
  <si>
    <t>⚠️ Não usar em flora avançada</t>
  </si>
  <si>
    <t>📅  CALENDÁRIO DE APLICAÇÕES PREVENTIVAS  —  Datas calculadas automaticamente</t>
  </si>
  <si>
    <t>Data calculada</t>
  </si>
  <si>
    <t>Via</t>
  </si>
  <si>
    <t>Clon S1</t>
  </si>
  <si>
    <t>Clone</t>
  </si>
  <si>
    <t>Nim (2 mL/L)</t>
  </si>
  <si>
    <t>Foliar leve</t>
  </si>
  <si>
    <t>⚠️ Preventivo geral — cuidado nas folhas novas</t>
  </si>
  <si>
    <t>Clon S2</t>
  </si>
  <si>
    <t>Beauveria bassiana (5 g/L)</t>
  </si>
  <si>
    <t>Foliar + solo</t>
  </si>
  <si>
    <t>Fungo entomopatogênico preventivo</t>
  </si>
  <si>
    <t>Vege S1</t>
  </si>
  <si>
    <t>Vegetativo</t>
  </si>
  <si>
    <t>Preventivo — inspecionar face inferior folhas</t>
  </si>
  <si>
    <t>Vege S2</t>
  </si>
  <si>
    <t>Vege S3</t>
  </si>
  <si>
    <t>Calda Sulfocálcica (1%)</t>
  </si>
  <si>
    <t>⚠️ Não misturar com Nim — intervalo 7 dias</t>
  </si>
  <si>
    <t>Vege S4</t>
  </si>
  <si>
    <t>Trichoderma (3 g/L)</t>
  </si>
  <si>
    <t>Solo (rega)</t>
  </si>
  <si>
    <t>Solo saudável = planta mais resistente</t>
  </si>
  <si>
    <t>Vege S5</t>
  </si>
  <si>
    <t>Calda Bordalesa (0.5%)</t>
  </si>
  <si>
    <t>⚠️ Preventivo fungos — não combinar com Nim</t>
  </si>
  <si>
    <t>Vege S6</t>
  </si>
  <si>
    <t>⚠️ ÚLTIMA foliar com Nim antes da floração</t>
  </si>
  <si>
    <t>Flor S1</t>
  </si>
  <si>
    <t>Floração</t>
  </si>
  <si>
    <t>Solo apenas</t>
  </si>
  <si>
    <t>⚠️ SEM FOLIAR em floração</t>
  </si>
  <si>
    <t>Flor S2</t>
  </si>
  <si>
    <t>Flor S3</t>
  </si>
  <si>
    <t>⚠️ Monitorar buds — risco Botrytis aumenta</t>
  </si>
  <si>
    <t>Flor S4</t>
  </si>
  <si>
    <t>Inspecionar buds visualmente</t>
  </si>
  <si>
    <t>Flor S5</t>
  </si>
  <si>
    <t>⚠️ Umidade &lt; 45% obrigatório</t>
  </si>
  <si>
    <t>Flor S6</t>
  </si>
  <si>
    <t>Inspeção visual + Trichoderma</t>
  </si>
  <si>
    <t>⚠️ Verificar mofo branco/cinza nos buds</t>
  </si>
  <si>
    <t>Flus S1</t>
  </si>
  <si>
    <t>Flush</t>
  </si>
  <si>
    <t>Inspeção final</t>
  </si>
  <si>
    <t>Visual</t>
  </si>
  <si>
    <t>⚠️ Sem aplicações — avaliar tricomas diariamente</t>
  </si>
  <si>
    <t>⚠️  COMPATIBILIDADE — Regras obrigatórias</t>
  </si>
  <si>
    <t>Regra</t>
  </si>
  <si>
    <t>Detalhe</t>
  </si>
  <si>
    <t>❌ Não misturar</t>
  </si>
  <si>
    <t>Sulfocálcica + Nim — fitotoxidade grave</t>
  </si>
  <si>
    <t>Sulfocálcica + Bordalesa — nunca na mesma semana</t>
  </si>
  <si>
    <t>❌ Nunca foliar</t>
  </si>
  <si>
    <t>Qualquer produto foliar após Flora S3 — contamina buds</t>
  </si>
  <si>
    <t>⏱️ Intervalo</t>
  </si>
  <si>
    <t>7–10 dias entre Sulfocálcica e qualquer outro foliar</t>
  </si>
  <si>
    <t>🌙 Horário</t>
  </si>
  <si>
    <t>Sulfocálcica e Bordalesa sempre ao entardecer</t>
  </si>
  <si>
    <t>🌡️ Temperatura</t>
  </si>
  <si>
    <t>Não aplicar Sulfocálcica com temp. &gt; 30°C — queima foliar</t>
  </si>
  <si>
    <t>✅ Combina</t>
  </si>
  <si>
    <t>Bordalesa + Trichoderma solo (dias diferentes)</t>
  </si>
  <si>
    <t>Sulfocálcica + Beauveria solo (não misturar na calda)</t>
  </si>
  <si>
    <t>📊  DIÁRIO DE CULTIVO — Registro Diário de Parâmetros</t>
  </si>
  <si>
    <t>Linhas geradas conforme duração total configurada. Alertas automáticos em vermelho.</t>
  </si>
  <si>
    <t>Temp °C</t>
  </si>
  <si>
    <t>Umid %</t>
  </si>
  <si>
    <t>pH água</t>
  </si>
  <si>
    <t>CE mS/cm</t>
  </si>
  <si>
    <t>pH run-off</t>
  </si>
  <si>
    <t>Rega L</t>
  </si>
  <si>
    <t>Observações</t>
  </si>
  <si>
    <t>Status / Alerta</t>
  </si>
  <si>
    <t>📖  GUIA RÁPIDO — Parâmetros e Referências</t>
  </si>
  <si>
    <t>🌡️ TEMPERATURA</t>
  </si>
  <si>
    <t>Parâmetro</t>
  </si>
  <si>
    <t>Valor / Faixa Ideal</t>
  </si>
  <si>
    <t>Dia (luz acesa)</t>
  </si>
  <si>
    <t>22–26°C  (ideal 24°C)</t>
  </si>
  <si>
    <t>Noite (apagado)</t>
  </si>
  <si>
    <t>18–22°C</t>
  </si>
  <si>
    <t>Máximo tolerável</t>
  </si>
  <si>
    <t>30°C  (acima = estresse)</t>
  </si>
  <si>
    <t>23–26°C sem variação brusca</t>
  </si>
  <si>
    <t>💧 UMIDADE RELATIVA</t>
  </si>
  <si>
    <t>70–80%</t>
  </si>
  <si>
    <t>55–70%</t>
  </si>
  <si>
    <t>Floração S1–S4</t>
  </si>
  <si>
    <t>45–55%</t>
  </si>
  <si>
    <t>Floração S5+</t>
  </si>
  <si>
    <t>35–45%  (risco Botrytis)</t>
  </si>
  <si>
    <t>Flush / final</t>
  </si>
  <si>
    <t>&lt; 40%</t>
  </si>
  <si>
    <t>⚗️ pH DA ÁGUA</t>
  </si>
  <si>
    <t>Terra / mix orgânico</t>
  </si>
  <si>
    <t>6.0–6.8</t>
  </si>
  <si>
    <t>Coco coir</t>
  </si>
  <si>
    <t>5.8–6.2</t>
  </si>
  <si>
    <t>Hidroponia</t>
  </si>
  <si>
    <t>5.5–6.1</t>
  </si>
  <si>
    <t>Run-off tolerável</t>
  </si>
  <si>
    <t>± 0.3 do pH de entrada</t>
  </si>
  <si>
    <t>📊 CONDUTIVIDADE (EC)</t>
  </si>
  <si>
    <t>0.0–0.4 mS/cm</t>
  </si>
  <si>
    <t>Vegetativo inicial</t>
  </si>
  <si>
    <t>0.8–1.2 mS/cm</t>
  </si>
  <si>
    <t>Vegetativo pleno</t>
  </si>
  <si>
    <t>1.2–1.6 mS/cm</t>
  </si>
  <si>
    <t>Floração inicial</t>
  </si>
  <si>
    <t>1.4–1.8 mS/cm</t>
  </si>
  <si>
    <t>Floração pico</t>
  </si>
  <si>
    <t>1.8–2.2 mS/cm</t>
  </si>
  <si>
    <t>&lt; 0.3 mS/cm</t>
  </si>
  <si>
    <t>🔬 ANÁLISE DE TRICOMAS</t>
  </si>
  <si>
    <t>Transparentes</t>
  </si>
  <si>
    <t>Imaturos — não colher</t>
  </si>
  <si>
    <t>Leitosos / opacos</t>
  </si>
  <si>
    <t>Efeito mais cerebral / alto</t>
  </si>
  <si>
    <t>Âmbar 10–20%</t>
  </si>
  <si>
    <t>Efeito equilibrado  (ideal médico)</t>
  </si>
  <si>
    <t>Âmbar 30–50%</t>
  </si>
  <si>
    <t>Efeito sedativo / corporal</t>
  </si>
  <si>
    <t>Âmbar &gt; 50%</t>
  </si>
  <si>
    <t>Degradação THC → CBN</t>
  </si>
  <si>
    <t>💡 FOTOPERÍODO</t>
  </si>
  <si>
    <t>Clone / propagação</t>
  </si>
  <si>
    <t>18–24h luz</t>
  </si>
  <si>
    <t>18h luz / 6h escuro</t>
  </si>
  <si>
    <t>Indução de floração</t>
  </si>
  <si>
    <t>12h luz / 12h escuro</t>
  </si>
  <si>
    <t>Oscilação tolerável</t>
  </si>
  <si>
    <t>Máx ±15 min por dia</t>
  </si>
  <si>
    <t>📐 DURAÇÃO TÍPICA POR CEPA</t>
  </si>
  <si>
    <t>Índica pura</t>
  </si>
  <si>
    <t>Flora: 8–9 semanas</t>
  </si>
  <si>
    <t>Índica-dominante</t>
  </si>
  <si>
    <t>Flora: 9–10 semanas</t>
  </si>
  <si>
    <t>Híbrido equilibrado</t>
  </si>
  <si>
    <t>Flora: 9–11 semanas</t>
  </si>
  <si>
    <t>Sativa-dominante</t>
  </si>
  <si>
    <t>Flora: 11–13 semanas</t>
  </si>
  <si>
    <t>Sativa pura / Haze</t>
  </si>
  <si>
    <t>Flora: 13–16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</si>
</sst>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B4332"/>
      <name val="Arial"/>
      <charset val="1"/>
    </font>
    <font>
      <b/>
      <sz val="11"/>
      <color rgb="FF212529"/>
      <name val="Arial"/>
      <charset val="1"/>
    </font>
    <font>
      <b/>
      <sz val="14"/>
      <color rgb="FF212529"/>
      <name val="Arial"/>
      <charset val="1"/>
    </font>
    <font>
      <i/>
      <sz val="9"/>
      <color rgb="FF2D6A4F"/>
      <name val="Arial"/>
      <charset val="1"/>
    </font>
    <font>
      <sz val="11"/>
      <color rgb="FF212529"/>
      <name val="Arial"/>
      <charset val="1"/>
    </font>
    <font>
      <b/>
      <sz val="10"/>
      <color rgb="FFFFFFFF"/>
      <name val="Arial"/>
      <charset val="1"/>
    </font>
    <font>
      <b/>
      <sz val="9"/>
      <color rgb="FF212529"/>
      <name val="Arial"/>
      <charset val="1"/>
    </font>
    <font>
      <sz val="10"/>
      <color rgb="FF212529"/>
      <name val="Arial"/>
      <charset val="1"/>
    </font>
    <font>
      <sz val="11"/>
      <color rgb="FF1B4332"/>
      <name val="Arial"/>
      <charset val="1"/>
    </font>
    <font>
      <b/>
      <sz val="10"/>
      <color rgb="FF2196F3"/>
      <name val="Arial"/>
      <charset val="1"/>
    </font>
    <font>
      <sz val="11"/>
      <color rgb="FF2196F3"/>
      <name val="Arial"/>
      <charset val="1"/>
    </font>
    <font>
      <b/>
      <sz val="10"/>
      <color rgb="FF7B2D8B"/>
      <name val="Arial"/>
      <charset val="1"/>
    </font>
    <font>
      <sz val="11"/>
      <color rgb="FF7B2D8B"/>
      <name val="Arial"/>
      <charset val="1"/>
    </font>
    <font>
      <b/>
      <sz val="10"/>
      <color rgb="FFE63946"/>
      <name val="Arial"/>
      <charset val="1"/>
    </font>
    <font>
      <sz val="11"/>
      <color rgb="FFE63946"/>
      <name val="Arial"/>
      <charset val="1"/>
    </font>
    <font>
      <b/>
      <sz val="10"/>
      <color rgb="FF212529"/>
      <name val="Arial"/>
      <charset val="1"/>
    </font>
    <font>
      <b/>
      <sz val="9"/>
      <color rgb="FF1B4332"/>
      <name val="Arial"/>
      <charset val="1"/>
    </font>
    <font>
      <sz val="9"/>
      <color rgb="FF212529"/>
      <name val="Arial"/>
      <charset val="1"/>
    </font>
    <font>
      <sz val="7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2D6A4F"/>
      <name val="Arial"/>
      <charset val="1"/>
    </font>
    <font>
      <sz val="9"/>
      <color rgb="FFE63946"/>
      <name val="Arial"/>
      <charset val="1"/>
    </font>
    <font>
      <b/>
      <sz val="12"/>
      <color rgb="FF1B4332"/>
      <name val="Arial"/>
      <charset val="1"/>
    </font>
    <font>
      <b/>
      <sz val="9"/>
      <color rgb="FF2D6A4F"/>
      <name val="Arial"/>
      <charset val="1"/>
    </font>
    <font>
      <b/>
      <sz val="9"/>
      <color rgb="FF2196F3"/>
      <name val="Arial"/>
      <charset val="1"/>
    </font>
    <font>
      <b/>
      <sz val="12"/>
      <color rgb="FF2196F3"/>
      <name val="Arial"/>
      <charset val="1"/>
    </font>
    <font>
      <b/>
      <sz val="12"/>
      <color rgb="FF7B2D8B"/>
      <name val="Arial"/>
      <charset val="1"/>
    </font>
    <font>
      <b/>
      <sz val="9"/>
      <color rgb="FF7B2D8B"/>
      <name val="Arial"/>
      <charset val="1"/>
    </font>
    <font>
      <b/>
      <sz val="12"/>
      <color rgb="FFE63946"/>
      <name val="Arial"/>
      <charset val="1"/>
    </font>
    <font>
      <b/>
      <sz val="9"/>
      <color rgb="FFE63946"/>
      <name val="Arial"/>
      <charset val="1"/>
    </font>
    <font>
      <b/>
      <sz val="12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B4332"/>
        <bgColor rgb="FF212529"/>
      </patternFill>
    </fill>
    <fill>
      <patternFill patternType="solid">
        <fgColor rgb="FF2D6A4F"/>
        <bgColor rgb="FF1B4332"/>
      </patternFill>
    </fill>
    <fill>
      <patternFill patternType="solid">
        <fgColor rgb="FFB7E4C7"/>
        <bgColor rgb="FFD8F3DC"/>
      </patternFill>
    </fill>
    <fill>
      <patternFill patternType="solid">
        <fgColor rgb="FFFFD166"/>
        <bgColor rgb="FFFFCC00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E9ECEF"/>
        <bgColor rgb="FFDBEAFE"/>
      </patternFill>
    </fill>
    <fill>
      <patternFill patternType="solid">
        <fgColor rgb="FFDBEAFE"/>
        <bgColor rgb="FFE9ECEF"/>
      </patternFill>
    </fill>
    <fill>
      <patternFill patternType="solid">
        <fgColor rgb="FFE9D5F0"/>
        <bgColor rgb="FFDEE2E6"/>
      </patternFill>
    </fill>
    <fill>
      <patternFill patternType="solid">
        <fgColor rgb="FFFFE5E5"/>
        <bgColor rgb="FFFFF3CD"/>
      </patternFill>
    </fill>
    <fill>
      <patternFill patternType="solid">
        <fgColor rgb="FFD8F3DC"/>
        <bgColor rgb="FFE9ECEF"/>
      </patternFill>
    </fill>
    <fill>
      <patternFill patternType="solid">
        <fgColor rgb="FFE63946"/>
        <bgColor rgb="FFFF6600"/>
      </patternFill>
    </fill>
    <fill>
      <patternFill patternType="solid">
        <fgColor rgb="FFFFF3CD"/>
        <bgColor rgb="FFFFE5E5"/>
      </patternFill>
    </fill>
    <fill>
      <patternFill patternType="solid">
        <fgColor rgb="FF7B2D8B"/>
        <bgColor rgb="FF800080"/>
      </patternFill>
    </fill>
  </fills>
  <borders count="3">
    <border>
      <left/>
      <right/>
      <top/>
      <bottom/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6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14" fontId="14" fillId="9" borderId="2" xfId="0" applyNumberFormat="1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14" fontId="12" fillId="4" borderId="2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2" fillId="7" borderId="0" xfId="0" applyFont="1" applyFill="1"/>
    <xf numFmtId="14" fontId="22" fillId="7" borderId="0" xfId="0" applyNumberFormat="1" applyFont="1" applyFill="1"/>
    <xf numFmtId="0" fontId="25" fillId="2" borderId="2" xfId="0" applyFont="1" applyFill="1" applyBorder="1" applyAlignment="1">
      <alignment horizontal="center" vertical="center" wrapText="1"/>
    </xf>
    <xf numFmtId="14" fontId="21" fillId="6" borderId="2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left" vertical="center" wrapText="1"/>
    </xf>
    <xf numFmtId="0" fontId="27" fillId="11" borderId="2" xfId="0" applyFont="1" applyFill="1" applyBorder="1" applyAlignment="1">
      <alignment horizontal="left" vertical="center" wrapText="1"/>
    </xf>
    <xf numFmtId="14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14" fontId="21" fillId="4" borderId="2" xfId="0" applyNumberFormat="1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14" fontId="21" fillId="9" borderId="2" xfId="0" applyNumberFormat="1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left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/>
    </xf>
    <xf numFmtId="14" fontId="21" fillId="10" borderId="2" xfId="0" applyNumberFormat="1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left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9" fillId="10" borderId="2" xfId="0" applyFont="1" applyFill="1" applyBorder="1" applyAlignment="1">
      <alignment horizontal="center" vertical="center" wrapText="1"/>
    </xf>
    <xf numFmtId="0" fontId="30" fillId="10" borderId="2" xfId="0" applyFont="1" applyFill="1" applyBorder="1" applyAlignment="1">
      <alignment horizontal="center" vertical="center" wrapText="1"/>
    </xf>
    <xf numFmtId="0" fontId="35" fillId="11" borderId="2" xfId="0" applyFont="1" applyFill="1" applyBorder="1" applyAlignment="1">
      <alignment horizontal="center" vertical="center" wrapText="1"/>
    </xf>
    <xf numFmtId="14" fontId="21" fillId="11" borderId="2" xfId="0" applyNumberFormat="1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left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9" fillId="11" borderId="2" xfId="0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30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33" fillId="10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35" fillId="11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center" vertical="center"/>
    </xf>
    <xf numFmtId="14" fontId="21" fillId="7" borderId="2" xfId="0" applyNumberFormat="1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14" fontId="21" fillId="4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14" fontId="16" fillId="10" borderId="2" xfId="0" applyNumberFormat="1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14" fontId="18" fillId="11" borderId="2" xfId="0" applyNumberFormat="1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4" fontId="8" fillId="5" borderId="2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21" fillId="14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7E4C7"/>
      <rgbColor rgb="FF808080"/>
      <rgbColor rgb="FF9999FF"/>
      <rgbColor rgb="FF7B2D8B"/>
      <rgbColor rgb="FFFFF3CD"/>
      <rgbColor rgb="FFDBEAFE"/>
      <rgbColor rgb="FF660066"/>
      <rgbColor rgb="FFFF8080"/>
      <rgbColor rgb="FF0066CC"/>
      <rgbColor rgb="FFE9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D8F3DC"/>
      <rgbColor rgb="FFFFE5E5"/>
      <rgbColor rgb="FFDEE2E6"/>
      <rgbColor rgb="FFF8F9FA"/>
      <rgbColor rgb="FFCC99FF"/>
      <rgbColor rgb="FFFFD166"/>
      <rgbColor rgb="FF2196F3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2B788"/>
      <rgbColor rgb="FF003300"/>
      <rgbColor rgb="FF1B4332"/>
      <rgbColor rgb="FF993300"/>
      <rgbColor rgb="FFE6394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B2:K51"/>
  <sheetViews>
    <sheetView showGridLines="0" tabSelected="1" zoomScaleNormal="100" workbookViewId="0">
      <selection activeCell="D6" sqref="D6"/>
    </sheetView>
  </sheetViews>
  <sheetFormatPr defaultColWidth="8.6640625" defaultRowHeight="14.4" x14ac:dyDescent="0.3"/>
  <cols>
    <col min="1" max="1" width="3" customWidth="1"/>
    <col min="2" max="3" width="13.5546875" customWidth="1"/>
    <col min="4" max="4" width="24.44140625" bestFit="1" customWidth="1"/>
    <col min="5" max="10" width="13.5546875" customWidth="1"/>
    <col min="11" max="11" width="3" customWidth="1"/>
  </cols>
  <sheetData>
    <row r="2" spans="2:10" ht="51.75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ht="19.5" customHeight="1" x14ac:dyDescent="0.3">
      <c r="B3" s="13" t="s">
        <v>1</v>
      </c>
      <c r="C3" s="13"/>
      <c r="D3" s="13"/>
      <c r="E3" s="13"/>
      <c r="F3" s="13"/>
      <c r="G3" s="13"/>
      <c r="H3" s="13"/>
      <c r="I3" s="13"/>
      <c r="J3" s="13"/>
    </row>
    <row r="5" spans="2:10" ht="27.75" customHeight="1" x14ac:dyDescent="0.3">
      <c r="B5" s="12" t="s">
        <v>2</v>
      </c>
      <c r="C5" s="12"/>
      <c r="D5" s="12"/>
      <c r="E5" s="12"/>
      <c r="F5" s="12"/>
      <c r="G5" s="12"/>
      <c r="H5" s="12"/>
      <c r="I5" s="12"/>
      <c r="J5" s="12"/>
    </row>
    <row r="6" spans="2:10" ht="25.5" customHeight="1" x14ac:dyDescent="0.3">
      <c r="B6" s="15" t="s">
        <v>3</v>
      </c>
      <c r="D6" s="105">
        <v>46023</v>
      </c>
      <c r="F6" s="15" t="s">
        <v>4</v>
      </c>
      <c r="H6" s="16">
        <v>2</v>
      </c>
      <c r="J6" s="17" t="s">
        <v>5</v>
      </c>
    </row>
    <row r="7" spans="2:10" ht="25.5" customHeight="1" x14ac:dyDescent="0.3">
      <c r="B7" s="15" t="s">
        <v>6</v>
      </c>
      <c r="D7" s="18" t="s">
        <v>7</v>
      </c>
      <c r="F7" s="15" t="s">
        <v>8</v>
      </c>
      <c r="H7" s="16">
        <v>6</v>
      </c>
      <c r="J7" s="17" t="s">
        <v>9</v>
      </c>
    </row>
    <row r="8" spans="2:10" ht="25.5" customHeight="1" x14ac:dyDescent="0.3">
      <c r="B8" s="15" t="s">
        <v>10</v>
      </c>
      <c r="D8" s="18" t="s">
        <v>11</v>
      </c>
      <c r="F8" s="15" t="s">
        <v>12</v>
      </c>
      <c r="H8" s="16">
        <v>9</v>
      </c>
      <c r="J8" s="17" t="s">
        <v>13</v>
      </c>
    </row>
    <row r="9" spans="2:10" ht="25.5" customHeight="1" x14ac:dyDescent="0.3">
      <c r="B9" s="15" t="s">
        <v>14</v>
      </c>
      <c r="D9" s="18" t="s">
        <v>15</v>
      </c>
      <c r="F9" s="15" t="s">
        <v>16</v>
      </c>
      <c r="H9" s="16">
        <v>1</v>
      </c>
      <c r="J9" s="17" t="s">
        <v>17</v>
      </c>
    </row>
    <row r="10" spans="2:10" ht="25.5" customHeight="1" x14ac:dyDescent="0.3">
      <c r="B10" s="15" t="s">
        <v>18</v>
      </c>
      <c r="D10" s="18" t="s">
        <v>19</v>
      </c>
    </row>
    <row r="11" spans="2:10" ht="27.75" customHeight="1" x14ac:dyDescent="0.3">
      <c r="B11" s="11" t="s">
        <v>20</v>
      </c>
      <c r="C11" s="11"/>
      <c r="D11" s="11"/>
      <c r="E11" s="11"/>
      <c r="F11" s="11"/>
      <c r="G11" s="11"/>
      <c r="H11" s="11"/>
      <c r="I11" s="11"/>
      <c r="J11" s="11"/>
    </row>
    <row r="12" spans="2:10" ht="21.75" customHeight="1" x14ac:dyDescent="0.3">
      <c r="B12" s="19" t="s">
        <v>21</v>
      </c>
      <c r="D12" s="20" t="s">
        <v>22</v>
      </c>
      <c r="F12" s="19" t="s">
        <v>23</v>
      </c>
      <c r="H12" s="20" t="s">
        <v>24</v>
      </c>
    </row>
    <row r="13" spans="2:10" ht="21.75" customHeight="1" x14ac:dyDescent="0.3">
      <c r="B13" s="19" t="s">
        <v>25</v>
      </c>
      <c r="D13" s="20" t="s">
        <v>26</v>
      </c>
      <c r="F13" s="19" t="s">
        <v>27</v>
      </c>
      <c r="H13" s="20" t="s">
        <v>28</v>
      </c>
    </row>
    <row r="14" spans="2:10" ht="21.75" customHeight="1" x14ac:dyDescent="0.3">
      <c r="B14" s="19" t="s">
        <v>29</v>
      </c>
      <c r="D14" s="20" t="s">
        <v>30</v>
      </c>
      <c r="F14" s="19" t="s">
        <v>31</v>
      </c>
      <c r="H14" s="20" t="s">
        <v>32</v>
      </c>
    </row>
    <row r="16" spans="2:10" ht="27.75" customHeight="1" x14ac:dyDescent="0.3">
      <c r="B16" s="10" t="s">
        <v>33</v>
      </c>
      <c r="C16" s="10"/>
      <c r="D16" s="10"/>
      <c r="E16" s="10"/>
      <c r="F16" s="10"/>
      <c r="G16" s="10"/>
      <c r="H16" s="10"/>
      <c r="I16" s="10"/>
      <c r="J16" s="10"/>
    </row>
    <row r="17" spans="2:11" ht="24" customHeight="1" x14ac:dyDescent="0.3">
      <c r="B17" s="9" t="s">
        <v>34</v>
      </c>
      <c r="C17" s="9"/>
      <c r="D17" s="9" t="s">
        <v>35</v>
      </c>
      <c r="E17" s="9"/>
      <c r="F17" s="9" t="s">
        <v>36</v>
      </c>
      <c r="G17" s="9"/>
      <c r="H17" s="9" t="s">
        <v>37</v>
      </c>
      <c r="I17" s="9"/>
      <c r="J17" s="9" t="s">
        <v>38</v>
      </c>
      <c r="K17" s="9"/>
    </row>
    <row r="18" spans="2:11" ht="25.5" customHeight="1" x14ac:dyDescent="0.3">
      <c r="B18" s="8" t="s">
        <v>39</v>
      </c>
      <c r="C18" s="8"/>
      <c r="D18" s="7" t="str">
        <f>H6&amp;" sem"</f>
        <v>2 sem</v>
      </c>
      <c r="E18" s="7"/>
      <c r="F18" s="6">
        <f>B51</f>
        <v>46023</v>
      </c>
      <c r="G18" s="6"/>
      <c r="H18" s="6">
        <f>B51+B50-1</f>
        <v>46036</v>
      </c>
      <c r="I18" s="6"/>
      <c r="J18" s="7">
        <f>B50</f>
        <v>14</v>
      </c>
      <c r="K18" s="7"/>
    </row>
    <row r="19" spans="2:11" ht="25.5" customHeight="1" x14ac:dyDescent="0.3">
      <c r="B19" s="5" t="s">
        <v>40</v>
      </c>
      <c r="C19" s="5"/>
      <c r="D19" s="4" t="str">
        <f>H7&amp;" sem"</f>
        <v>6 sem</v>
      </c>
      <c r="E19" s="4"/>
      <c r="F19" s="3">
        <f>C51</f>
        <v>46037</v>
      </c>
      <c r="G19" s="3"/>
      <c r="H19" s="3">
        <f>C51+C50-1</f>
        <v>46078</v>
      </c>
      <c r="I19" s="3"/>
      <c r="J19" s="4">
        <f>C50</f>
        <v>42</v>
      </c>
      <c r="K19" s="4"/>
    </row>
    <row r="20" spans="2:11" ht="25.5" customHeight="1" x14ac:dyDescent="0.3">
      <c r="B20" s="2" t="s">
        <v>41</v>
      </c>
      <c r="C20" s="2"/>
      <c r="D20" s="1" t="str">
        <f>H8&amp;" sem"</f>
        <v>9 sem</v>
      </c>
      <c r="E20" s="1"/>
      <c r="F20" s="77">
        <f>D51</f>
        <v>46079</v>
      </c>
      <c r="G20" s="77"/>
      <c r="H20" s="77">
        <f>D51+D50-1</f>
        <v>46141</v>
      </c>
      <c r="I20" s="77"/>
      <c r="J20" s="1">
        <f>D50</f>
        <v>63</v>
      </c>
      <c r="K20" s="1"/>
    </row>
    <row r="21" spans="2:11" ht="25.5" customHeight="1" x14ac:dyDescent="0.3">
      <c r="B21" s="78" t="s">
        <v>42</v>
      </c>
      <c r="C21" s="78"/>
      <c r="D21" s="79" t="str">
        <f>H9&amp;" sem"</f>
        <v>1 sem</v>
      </c>
      <c r="E21" s="79"/>
      <c r="F21" s="80">
        <f>E51</f>
        <v>46142</v>
      </c>
      <c r="G21" s="80"/>
      <c r="H21" s="80">
        <f>E51+E50-1</f>
        <v>46148</v>
      </c>
      <c r="I21" s="80"/>
      <c r="J21" s="79">
        <f>E50</f>
        <v>7</v>
      </c>
      <c r="K21" s="79"/>
    </row>
    <row r="22" spans="2:11" ht="25.5" customHeight="1" x14ac:dyDescent="0.3">
      <c r="B22" s="81" t="s">
        <v>43</v>
      </c>
      <c r="C22" s="81"/>
      <c r="D22" s="82" t="s">
        <v>44</v>
      </c>
      <c r="E22" s="82"/>
      <c r="F22" s="83">
        <f>F51</f>
        <v>46149</v>
      </c>
      <c r="G22" s="83"/>
      <c r="H22" s="83">
        <f>F51</f>
        <v>46149</v>
      </c>
      <c r="I22" s="83"/>
      <c r="J22" s="82" t="s">
        <v>45</v>
      </c>
      <c r="K22" s="82"/>
    </row>
    <row r="24" spans="2:11" ht="27.75" customHeight="1" x14ac:dyDescent="0.3">
      <c r="B24" s="84" t="s">
        <v>46</v>
      </c>
      <c r="C24" s="84"/>
      <c r="D24" s="84"/>
      <c r="E24" s="84"/>
      <c r="F24" s="84"/>
      <c r="G24" s="84"/>
      <c r="H24" s="84"/>
      <c r="I24" s="84"/>
      <c r="J24" s="84"/>
    </row>
    <row r="25" spans="2:11" ht="21.75" customHeight="1" x14ac:dyDescent="0.3">
      <c r="B25" s="85" t="s">
        <v>47</v>
      </c>
      <c r="C25" s="85"/>
      <c r="D25" s="85"/>
      <c r="E25" s="85"/>
      <c r="F25" s="86" t="s">
        <v>48</v>
      </c>
      <c r="G25" s="86"/>
      <c r="H25" s="86"/>
      <c r="I25" s="86"/>
      <c r="J25" s="86"/>
    </row>
    <row r="26" spans="2:11" ht="21.75" customHeight="1" x14ac:dyDescent="0.3">
      <c r="B26" s="85" t="s">
        <v>49</v>
      </c>
      <c r="C26" s="85"/>
      <c r="D26" s="85"/>
      <c r="E26" s="85"/>
      <c r="F26" s="86" t="s">
        <v>50</v>
      </c>
      <c r="G26" s="86"/>
      <c r="H26" s="86"/>
      <c r="I26" s="86"/>
      <c r="J26" s="86"/>
    </row>
    <row r="27" spans="2:11" ht="21.75" customHeight="1" x14ac:dyDescent="0.3">
      <c r="B27" s="85" t="s">
        <v>51</v>
      </c>
      <c r="C27" s="85"/>
      <c r="D27" s="85"/>
      <c r="E27" s="85"/>
      <c r="F27" s="86" t="s">
        <v>52</v>
      </c>
      <c r="G27" s="86"/>
      <c r="H27" s="86"/>
      <c r="I27" s="86"/>
      <c r="J27" s="86"/>
    </row>
    <row r="28" spans="2:11" ht="21.75" customHeight="1" x14ac:dyDescent="0.3">
      <c r="B28" s="85" t="s">
        <v>53</v>
      </c>
      <c r="C28" s="85"/>
      <c r="D28" s="85"/>
      <c r="E28" s="85"/>
      <c r="F28" s="86" t="s">
        <v>54</v>
      </c>
      <c r="G28" s="86"/>
      <c r="H28" s="86"/>
      <c r="I28" s="86"/>
      <c r="J28" s="86"/>
    </row>
    <row r="29" spans="2:11" ht="21.75" customHeight="1" x14ac:dyDescent="0.3">
      <c r="B29" s="85" t="s">
        <v>55</v>
      </c>
      <c r="C29" s="85"/>
      <c r="D29" s="85"/>
      <c r="E29" s="85"/>
      <c r="F29" s="86" t="s">
        <v>56</v>
      </c>
      <c r="G29" s="86"/>
      <c r="H29" s="86"/>
      <c r="I29" s="86"/>
      <c r="J29" s="86"/>
    </row>
    <row r="30" spans="2:11" ht="21.75" customHeight="1" x14ac:dyDescent="0.3">
      <c r="B30" s="85" t="s">
        <v>57</v>
      </c>
      <c r="C30" s="85"/>
      <c r="D30" s="85"/>
      <c r="E30" s="85"/>
      <c r="F30" s="86" t="s">
        <v>58</v>
      </c>
      <c r="G30" s="86"/>
      <c r="H30" s="86"/>
      <c r="I30" s="86"/>
      <c r="J30" s="86"/>
    </row>
    <row r="50" spans="2:6" ht="0.75" customHeight="1" x14ac:dyDescent="0.3">
      <c r="B50" s="23">
        <f>H6*7</f>
        <v>14</v>
      </c>
      <c r="C50" s="23">
        <f>H7*7</f>
        <v>42</v>
      </c>
      <c r="D50" s="23">
        <f>H8*7</f>
        <v>63</v>
      </c>
      <c r="E50" s="23">
        <f>H9*7</f>
        <v>7</v>
      </c>
      <c r="F50" s="23">
        <f>B50+C50+D50+E50</f>
        <v>126</v>
      </c>
    </row>
    <row r="51" spans="2:6" x14ac:dyDescent="0.3">
      <c r="B51" s="24">
        <f>D6</f>
        <v>46023</v>
      </c>
      <c r="C51" s="24">
        <f>B51+B50</f>
        <v>46037</v>
      </c>
      <c r="D51" s="24">
        <f>C51+C50</f>
        <v>46079</v>
      </c>
      <c r="E51" s="24">
        <f>D51+D50</f>
        <v>46142</v>
      </c>
      <c r="F51" s="24">
        <f>E51+E50</f>
        <v>46149</v>
      </c>
    </row>
  </sheetData>
  <mergeCells count="48">
    <mergeCell ref="B30:E30"/>
    <mergeCell ref="F30:J30"/>
    <mergeCell ref="B27:E27"/>
    <mergeCell ref="F27:J27"/>
    <mergeCell ref="B28:E28"/>
    <mergeCell ref="F28:J28"/>
    <mergeCell ref="B29:E29"/>
    <mergeCell ref="F29:J29"/>
    <mergeCell ref="B24:J24"/>
    <mergeCell ref="B25:E25"/>
    <mergeCell ref="F25:J25"/>
    <mergeCell ref="B26:E26"/>
    <mergeCell ref="F26:J26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2:J2"/>
    <mergeCell ref="B3:J3"/>
    <mergeCell ref="B5:J5"/>
    <mergeCell ref="B11:J11"/>
    <mergeCell ref="B16:J16"/>
  </mergeCells>
  <dataValidations count="5">
    <dataValidation type="list" showErrorMessage="1" errorTitle="Valor inválido" error="Escolha um valor válido (sem (1–4))" sqref="H6">
      <formula1>"1,2,3,4"</formula1>
      <formula2>0</formula2>
    </dataValidation>
    <dataValidation type="list" showErrorMessage="1" errorTitle="Valor inválido" error="Escolha um valor válido (sem (4–12))" sqref="H7">
      <formula1>"4,5,6,7,8,9,10,11,12"</formula1>
      <formula2>0</formula2>
    </dataValidation>
    <dataValidation type="list" showErrorMessage="1" errorTitle="Valor inválido" error="Escolha um valor válido (sem (8–16))" sqref="H8">
      <formula1>"8,9,10,11,12,13,14,15,16"</formula1>
      <formula2>0</formula2>
    </dataValidation>
    <dataValidation type="list" showErrorMessage="1" errorTitle="Valor inválido" error="Escolha um valor válido (sem (1–2))" sqref="H9">
      <formula1>"1,2"</formula1>
      <formula2>0</formula2>
    </dataValidation>
    <dataValidation type="list" sqref="D8">
      <formula1>"Indoor LED,Indoor HPS,Indoor CMH,Indoor Misto"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B2:H205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14" customWidth="1"/>
    <col min="4" max="4" width="12" customWidth="1"/>
    <col min="5" max="5" width="16" customWidth="1"/>
    <col min="6" max="6" width="18" customWidth="1"/>
    <col min="7" max="8" width="22" customWidth="1"/>
    <col min="9" max="9" width="3" customWidth="1"/>
  </cols>
  <sheetData>
    <row r="2" spans="2:8" ht="45" customHeight="1" x14ac:dyDescent="0.3">
      <c r="B2" s="87" t="s">
        <v>59</v>
      </c>
      <c r="C2" s="87"/>
      <c r="D2" s="87"/>
      <c r="E2" s="87"/>
      <c r="F2" s="87"/>
      <c r="G2" s="87"/>
      <c r="H2" s="87"/>
    </row>
    <row r="3" spans="2:8" ht="18" customHeight="1" x14ac:dyDescent="0.3">
      <c r="B3" s="88" t="s">
        <v>60</v>
      </c>
      <c r="C3" s="88"/>
      <c r="D3" s="88"/>
      <c r="E3" s="88"/>
      <c r="F3" s="88"/>
      <c r="G3" s="88"/>
      <c r="H3" s="88"/>
    </row>
    <row r="5" spans="2:8" ht="27.75" customHeight="1" x14ac:dyDescent="0.3">
      <c r="B5" s="21" t="s">
        <v>61</v>
      </c>
      <c r="C5" s="21" t="s">
        <v>62</v>
      </c>
      <c r="D5" s="21" t="s">
        <v>34</v>
      </c>
      <c r="E5" s="21" t="s">
        <v>63</v>
      </c>
      <c r="F5" s="21" t="s">
        <v>64</v>
      </c>
      <c r="G5" s="21" t="s">
        <v>65</v>
      </c>
      <c r="H5" s="21" t="s">
        <v>66</v>
      </c>
    </row>
    <row r="6" spans="2:8" ht="18.75" customHeight="1" x14ac:dyDescent="0.3">
      <c r="B6" s="25">
        <f>IF(1&lt;='🌱 Configuração'!$F$50,1,"")</f>
        <v>1</v>
      </c>
      <c r="C6" s="26">
        <f>IF(1&lt;='🌱 Configuração'!$F$50,'🌱 Configuração'!$B$51+0,"")</f>
        <v>46023</v>
      </c>
      <c r="D6" s="27" t="str">
        <f>IF(1&gt;'🌱 Configuração'!$F$50,"",IF('🌱 Configuração'!$B$51+0&lt;'🌱 Configuração'!$C$51,"🌱 Clone",IF('🌱 Configuração'!$B$51+0&lt;'🌱 Configuração'!$D$51,"🌿 Vegetativo",IF('🌱 Configuração'!$B$51+0&lt;'🌱 Configuração'!$E$51,"🌸 Floração","🚿 Flush"))))</f>
        <v>🌱 Clone</v>
      </c>
      <c r="E6" s="28" t="str">
        <f>IF(1&gt;'🌱 Configuração'!$F$50,"",IF('🌱 Configuração'!$B$51+0&lt;'🌱 Configuração'!$C$51,"Clone S"&amp;INT((1-1)/7)+1,IF('🌱 Configuração'!$B$51+0&lt;'🌱 Configuração'!$D$51,"Vega S"&amp;INT(('🌱 Configuração'!$B$51+0-'🌱 Configuração'!$C$51)/7)+1,IF('🌱 Configuração'!$B$51+0&lt;'🌱 Configuração'!$E$51,"Flora S"&amp;INT(('🌱 Configuração'!$B$51+0-'🌱 Configuração'!$D$51)/7)+1,"Flush S"&amp;INT(('🌱 Configuração'!$B$51+0-'🌱 Configuração'!$E$51)/7)+1))))</f>
        <v>Clone S1</v>
      </c>
      <c r="F6" s="29" t="str">
        <f>IF(1&gt;'🌱 Configuração'!$F$50,"",IF(AND('🌱 Configuração'!$B$51+0&lt;'🌱 Configuração'!$C$51,INT((1-1)/7)+1=1,MOD(1-1,7)=0),"🌱 Enraizador (0.5 mL/L)",IF(AND('🌱 Configuração'!$B$51+0&lt;'🌱 Configuração'!$C$51,INT((1-1)/7)+1=2,MOD(1-1,7)=0),"🌱 Enraizador + Vitamina B1",IF(AND('🌱 Configuração'!$B$51+0&gt;='🌱 Configuração'!$C$51,'🌱 Configuração'!$B$51+0&lt;'🌱 Configuração'!$D$51,INT(('🌱 Configuração'!$B$51+0-'🌱 Configuração'!$C$51)/7)+1=1,MOD('🌱 Configuração'!$B$51+0-'🌱 Configuração'!$C$51,7)=0),"🌿 Grow A+B início — EC 0.8",IF(AND('🌱 Configuração'!$B$51+0&gt;='🌱 Configuração'!$C$51,'🌱 Configuração'!$B$51+0&lt;'🌱 Configuração'!$D$51,INT(('🌱 Configuração'!$B$51+0-'🌱 Configuração'!$C$51)/7)+1=2,MOD('🌱 Configuração'!$B$51+0-'🌱 Configuração'!$C$51,7)=0),"🌿 Grow A+B + CalMag — EC 1.0",IF(AND('🌱 Configuração'!$B$51+0&gt;='🌱 Configuração'!$C$51,'🌱 Configuração'!$B$51+0&lt;'🌱 Configuração'!$D$51,INT(('🌱 Configuração'!$B$51+0-'🌱 Configuração'!$C$51)/7)+1=3,MOD('🌱 Configuração'!$B$51+0-'🌱 Configuração'!$C$51,7)=0),"🌿 Grow A+B + CalMag — EC 1.2",IF(AND('🌱 Configuração'!$B$51+0&gt;='🌱 Configuração'!$C$51,'🌱 Configuração'!$B$51+0&lt;'🌱 Configuração'!$D$51,INT(('🌱 Configuração'!$B$51+0-'🌱 Configuração'!$C$51)/7)+1=4,MOD('🌱 Configuração'!$B$51+0-'🌱 Configuração'!$C$51,7)=0),"🌿 Grow A+B + Enzimas — EC 1.4",IF(AND('🌱 Configuração'!$B$51+0&gt;='🌱 Configuração'!$C$51,'🌱 Configuração'!$B$51+0&lt;'🌱 Configuração'!$D$51,INT(('🌱 Configuração'!$B$51+0-'🌱 Configuração'!$C$51)/7)+1=5,MOD('🌱 Configuração'!$B$51+0-'🌱 Configuração'!$C$51,7)=0),"🌿 Grow A+B + Biorrizas — EC 1.5",IF(AND('🌱 Configuração'!$B$51+0&gt;='🌱 Configuração'!$C$51,'🌱 Configuração'!$B$51+0&lt;'🌱 Configuração'!$D$51,INT(('🌱 Configuração'!$B$51+0-'🌱 Configuração'!$C$51)/7)+1=6,MOD('🌱 Configuração'!$B$51+0-'🌱 Configuração'!$C$51,7)=0),"🌿 Transição Bloom — EC 1.4",IF(AND('🌱 Configuração'!$B$51+0&gt;='🌱 Configuração'!$C$51,'🌱 Configuração'!$B$51+0&lt;'🌱 Configuração'!$D$51,INT(('🌱 Configuração'!$B$51+0-'🌱 Configuração'!$C$51)/7)+1=7,MOD('🌱 Configuração'!$B$51+0-'🌱 Configuração'!$C$51,7)=0),"🌿 Bloom A+B transição — EC 1.4",IF(AND('🌱 Configuração'!$B$51+0&gt;='🌱 Configuração'!$C$51,'🌱 Configuração'!$B$51+0&lt;'🌱 Configuração'!$D$51,INT(('🌱 Configuração'!$B$51+0-'🌱 Configuração'!$C$51)/7)+1=8,MOD('🌱 Configuração'!$B$51+0-'🌱 Configuração'!$C$51,7)=0),"🌿 Bloom A+B — EC 1.4",IF(AND('🌱 Configuração'!$B$51+0&gt;='🌱 Configuração'!$D$51,'🌱 Configuração'!$B$51+0&lt;'🌱 Configuração'!$E$51,INT(('🌱 Configuração'!$B$51+0-'🌱 Configuração'!$D$51)/7)+1=1,MOD('🌱 Configuração'!$B$51+0-'🌱 Configuração'!$D$51,7)=0),"🌸 Bloom A+B — EC 1.6",IF(AND('🌱 Configuração'!$B$51+0&gt;='🌱 Configuração'!$D$51,'🌱 Configuração'!$B$51+0&lt;'🌱 Configuração'!$E$51,INT(('🌱 Configuração'!$B$51+0-'🌱 Configuração'!$D$51)/7)+1=2,MOD('🌱 Configuração'!$B$51+0-'🌱 Configuração'!$D$51,7)=0),"🌸 Bloom + PK 13/14 início",IF(AND('🌱 Configuração'!$B$51+0&gt;='🌱 Configuração'!$D$51,'🌱 Configuração'!$B$51+0&lt;'🌱 Configuração'!$E$51,INT(('🌱 Configuração'!$B$51+0-'🌱 Configuração'!$D$51)/7)+1=3,MOD('🌱 Configuração'!$B$51+0-'🌱 Configuração'!$D$51,7)=0),"🌸 Bloom + PK + CalMag — EC 1.8",IF(AND('🌱 Configuração'!$B$51+0&gt;='🌱 Configuração'!$D$51,'🌱 Configuração'!$B$51+0&lt;'🌱 Configuração'!$E$51,INT(('🌱 Configuração'!$B$51+0-'🌱 Configuração'!$D$51)/7)+1=4,MOD('🌱 Configuração'!$B$51+0-'🌱 Configuração'!$D$51,7)=0),"🌸 Bloom + PK + Boost Floral — EC 2.0",IF(AND('🌱 Configuração'!$B$51+0&gt;='🌱 Configuração'!$D$51,'🌱 Configuração'!$B$51+0&lt;'🌱 Configuração'!$E$51,INT(('🌱 Configuração'!$B$51+0-'🌱 Configuração'!$D$51)/7)+1=5,MOD('🌱 Configuração'!$B$51+0-'🌱 Configuração'!$D$51,7)=0),"🌸 Bloom + Boost + Amino",IF(AND('🌱 Configuração'!$B$51+0&gt;='🌱 Configuração'!$D$51,'🌱 Configuração'!$B$51+0&lt;'🌱 Configuração'!$E$51,INT(('🌱 Configuração'!$B$51+0-'🌱 Configuração'!$D$51)/7)+1=6,MOD('🌱 Configuração'!$B$51+0-'🌱 Configuração'!$D$51,7)=0),"🌸 Bloom + Enzimas + Amino",IF(AND('🌱 Configuração'!$B$51+0&gt;='🌱 Configuração'!$D$51,'🌱 Configuração'!$B$51+0&lt;'🌱 Configuração'!$E$51,INT(('🌱 Configuração'!$B$51+0-'🌱 Configuração'!$D$51)/7)+1=7,MOD('🌱 Configuração'!$B$51+0-'🌱 Configuração'!$D$51,7)=0),"🌸 Reduzir N — Bloom puro — EC 1.6",IF(AND('🌱 Configuração'!$B$51+0&gt;='🌱 Configuração'!$D$51,'🌱 Configuração'!$B$51+0&lt;'🌱 Configuração'!$E$51,INT(('🌱 Configuração'!$B$51+0-'🌱 Configuração'!$D$51)/7)+1=8,MOD('🌱 Configuração'!$B$51+0-'🌱 Configuração'!$D$51,7)=0),"🌸 Bloom puro — EC 1.4  (pré-flush)",IF(AND('🌱 Configuração'!$B$51+0&gt;='🌱 Configuração'!$D$51,'🌱 Configuração'!$B$51+0&lt;'🌱 Configuração'!$E$51,INT(('🌱 Configuração'!$B$51+0-'🌱 Configuração'!$D$51)/7)+1=9,MOD('🌱 Configuração'!$B$51+0-'🌱 Configuração'!$D$51,7)=0),"🌸 Último Bloom — EC 0.8",IF(AND('🌱 Configuração'!$B$51+0&gt;='🌱 Configuração'!$E$51,INT(('🌱 Configuração'!$B$51+0-'🌱 Configuração'!$E$51)/7)+1=1,MOD('🌱 Configuração'!$B$51+0-'🌱 Configuração'!$E$51,7)=0),"🚿 Água pura + Enzimas (EC &lt; 0.3)",IF(AND('🌱 Configuração'!$B$51+0&gt;='🌱 Configuração'!$E$51,INT(('🌱 Configuração'!$B$51+0-'🌱 Configuração'!$E$51)/7)+1=2,MOD('🌱 Configuração'!$B$51+0-'🌱 Configuração'!$E$51,7)=0),"🚿 Água pura (EC &lt; 0.2)",""))))))))))))))))))))))</f>
        <v>🌱 Enraizador (0.5 mL/L)</v>
      </c>
      <c r="G6" s="30" t="str">
        <f>IF(1&gt;'🌱 Configuração'!$F$50,"",IF(AND('🌱 Configuração'!$B$51+0&lt;'🌱 Configuração'!$C$51,INT((1-1)/7)+1=1,MOD(1-1,7)=0),"🐛 Nim 2mL/L foliar — preventivo",IF(AND('🌱 Configuração'!$B$51+0&lt;'🌱 Configuração'!$C$51,INT((1-1)/7)+1=2,MOD(1-1,7)=0),"🐛 Beauveria bassiana foliar + solo",IF(AND('🌱 Configuração'!$B$51+0&gt;='🌱 Configuração'!$C$51,'🌱 Configuração'!$B$51+0&lt;'🌱 Configuração'!$D$51,INT(('🌱 Configuração'!$B$51+0-'🌱 Configuração'!$C$51)/7)+1=1,MOD('🌱 Configuração'!$B$51+0-'🌱 Configuração'!$C$51,7)=0),"🐛 Nim 2mL/L foliar",IF(AND('🌱 Configuração'!$B$51+0&gt;='🌱 Configuração'!$C$51,'🌱 Configuração'!$B$51+0&lt;'🌱 Configuração'!$D$51,INT(('🌱 Configuração'!$B$51+0-'🌱 Configuração'!$C$51)/7)+1=2,MOD('🌱 Configuração'!$B$51+0-'🌱 Configuração'!$C$51,7)=0),"🐛 Beauveria bassiana foliar",IF(AND('🌱 Configuração'!$B$51+0&gt;='🌱 Configuração'!$C$51,'🌱 Configuração'!$B$51+0&lt;'🌱 Configuração'!$D$51,INT(('🌱 Configuração'!$B$51+0-'🌱 Configuração'!$C$51)/7)+1=3,MOD('🌱 Configuração'!$B$51+0-'🌱 Configuração'!$C$51,7)=0),"🐛 Nim + Calda Sulfocálcica 1%",IF(AND('🌱 Configuração'!$B$51+0&gt;='🌱 Configuração'!$C$51,'🌱 Configuração'!$B$51+0&lt;'🌱 Configuração'!$D$51,INT(('🌱 Configuração'!$B$51+0-'🌱 Configuração'!$C$51)/7)+1=4,MOD('🌱 Configuração'!$B$51+0-'🌱 Configuração'!$C$51,7)=0),"🐛 Trichoderma solo + Beauveria",IF(AND('🌱 Configuração'!$B$51+0&gt;='🌱 Configuração'!$C$51,'🌱 Configuração'!$B$51+0&lt;'🌱 Configuração'!$D$51,INT(('🌱 Configuração'!$B$51+0-'🌱 Configuração'!$C$51)/7)+1=5,MOD('🌱 Configuração'!$B$51+0-'🌱 Configuração'!$C$51,7)=0),"🐛 Calda Bordalesa 0.5% foliar",IF(AND('🌱 Configuração'!$B$51+0&gt;='🌱 Configuração'!$C$51,'🌱 Configuração'!$B$51+0&lt;'🌱 Configuração'!$D$51,INT(('🌱 Configuração'!$B$51+0-'🌱 Configuração'!$C$51)/7)+1=6,MOD('🌱 Configuração'!$B$51+0-'🌱 Configuração'!$C$51,7)=0),"🐛 Nim 2mL/L — ÚLTIMA foliar",IF(AND('🌱 Configuração'!$B$51+0&gt;='🌱 Configuração'!$D$51,'🌱 Configuração'!$B$51+0&lt;'🌱 Configuração'!$E$51,INT(('🌱 Configuração'!$B$51+0-'🌱 Configuração'!$D$51)/7)+1=1,MOD('🌱 Configuração'!$B$51+0-'🌱 Configuração'!$D$51,7)=0),"🐛 Beauveria bassiana solo (sem foliar)",IF(AND('🌱 Configuração'!$B$51+0&gt;='🌱 Configuração'!$D$51,'🌱 Configuração'!$B$51+0&lt;'🌱 Configuração'!$E$51,INT(('🌱 Configuração'!$B$51+0-'🌱 Configuração'!$D$51)/7)+1=2,MOD('🌱 Configuração'!$B$51+0-'🌱 Configuração'!$D$51,7)=0),"🐛 Trichoderma solo",IF(AND('🌱 Configuração'!$B$51+0&gt;='🌱 Configuração'!$D$51,'🌱 Configuração'!$B$51+0&lt;'🌱 Configuração'!$E$51,INT(('🌱 Configuração'!$B$51+0-'🌱 Configuração'!$D$51)/7)+1=3,MOD('🌱 Configuração'!$B$51+0-'🌱 Configuração'!$D$51,7)=0),"🐛 Beauveria bassiana solo",IF(AND('🌱 Configuração'!$B$51+0&gt;='🌱 Configuração'!$D$51,'🌱 Configuração'!$B$51+0&lt;'🌱 Configuração'!$E$51,INT(('🌱 Configuração'!$B$51+0-'🌱 Configuração'!$D$51)/7)+1=4,MOD('🌱 Configuração'!$B$51+0-'🌱 Configuração'!$D$51,7)=0),"🐛 Trichoderma solo",IF(AND('🌱 Configuração'!$B$51+0&gt;='🌱 Configuração'!$E$51,INT(('🌱 Configuração'!$B$51+0-'🌱 Configuração'!$E$51)/7)+1=1,MOD('🌱 Configuração'!$B$51+0-'🌱 Configuração'!$E$51,7)=0),"🐛 Inspeção final — sem aplicação",""))))))))))))))</f>
        <v>🐛 Nim 2mL/L foliar — preventivo</v>
      </c>
      <c r="H6" s="22" t="str">
        <f>IF(1&gt;'🌱 Configuração'!$F$50,"","✂️ Receber clone — verificar raízes | pH: 5.8–6.0 | Umidade 70–80%")</f>
        <v>✂️ Receber clone — verificar raízes | pH: 5.8–6.0 | Umidade 70–80%</v>
      </c>
    </row>
    <row r="7" spans="2:8" ht="18.75" customHeight="1" x14ac:dyDescent="0.3">
      <c r="B7" s="25">
        <f>IF(2&lt;='🌱 Configuração'!$F$50,2,"")</f>
        <v>2</v>
      </c>
      <c r="C7" s="26">
        <f>IF(2&lt;='🌱 Configuração'!$F$50,'🌱 Configuração'!$B$51+1,"")</f>
        <v>46024</v>
      </c>
      <c r="D7" s="27" t="str">
        <f>IF(2&gt;'🌱 Configuração'!$F$50,"",IF('🌱 Configuração'!$B$51+1&lt;'🌱 Configuração'!$C$51,"🌱 Clone",IF('🌱 Configuração'!$B$51+1&lt;'🌱 Configuração'!$D$51,"🌿 Vegetativo",IF('🌱 Configuração'!$B$51+1&lt;'🌱 Configuração'!$E$51,"🌸 Floração","🚿 Flush"))))</f>
        <v>🌱 Clone</v>
      </c>
      <c r="E7" s="28" t="str">
        <f>IF(2&gt;'🌱 Configuração'!$F$50,"",IF('🌱 Configuração'!$B$51+1&lt;'🌱 Configuração'!$C$51,"Clone S"&amp;INT((2-1)/7)+1,IF('🌱 Configuração'!$B$51+1&lt;'🌱 Configuração'!$D$51,"Vega S"&amp;INT(('🌱 Configuração'!$B$51+1-'🌱 Configuração'!$C$51)/7)+1,IF('🌱 Configuração'!$B$51+1&lt;'🌱 Configuração'!$E$51,"Flora S"&amp;INT(('🌱 Configuração'!$B$51+1-'🌱 Configuração'!$D$51)/7)+1,"Flush S"&amp;INT(('🌱 Configuração'!$B$51+1-'🌱 Configuração'!$E$51)/7)+1))))</f>
        <v>Clone S1</v>
      </c>
      <c r="F7" s="29" t="str">
        <f>IF(2&gt;'🌱 Configuração'!$F$50,"",IF(AND('🌱 Configuração'!$B$51+1&lt;'🌱 Configuração'!$C$51,INT((2-1)/7)+1=1,MOD(2-1,7)=0),"🌱 Enraizador (0.5 mL/L)",IF(AND('🌱 Configuração'!$B$51+1&lt;'🌱 Configuração'!$C$51,INT((2-1)/7)+1=2,MOD(2-1,7)=0),"🌱 Enraizador + Vitamina B1",IF(AND('🌱 Configuração'!$B$51+1&gt;='🌱 Configuração'!$C$51,'🌱 Configuração'!$B$51+1&lt;'🌱 Configuração'!$D$51,INT(('🌱 Configuração'!$B$51+1-'🌱 Configuração'!$C$51)/7)+1=1,MOD('🌱 Configuração'!$B$51+1-'🌱 Configuração'!$C$51,7)=0),"🌿 Grow A+B início — EC 0.8",IF(AND('🌱 Configuração'!$B$51+1&gt;='🌱 Configuração'!$C$51,'🌱 Configuração'!$B$51+1&lt;'🌱 Configuração'!$D$51,INT(('🌱 Configuração'!$B$51+1-'🌱 Configuração'!$C$51)/7)+1=2,MOD('🌱 Configuração'!$B$51+1-'🌱 Configuração'!$C$51,7)=0),"🌿 Grow A+B + CalMag — EC 1.0",IF(AND('🌱 Configuração'!$B$51+1&gt;='🌱 Configuração'!$C$51,'🌱 Configuração'!$B$51+1&lt;'🌱 Configuração'!$D$51,INT(('🌱 Configuração'!$B$51+1-'🌱 Configuração'!$C$51)/7)+1=3,MOD('🌱 Configuração'!$B$51+1-'🌱 Configuração'!$C$51,7)=0),"🌿 Grow A+B + CalMag — EC 1.2",IF(AND('🌱 Configuração'!$B$51+1&gt;='🌱 Configuração'!$C$51,'🌱 Configuração'!$B$51+1&lt;'🌱 Configuração'!$D$51,INT(('🌱 Configuração'!$B$51+1-'🌱 Configuração'!$C$51)/7)+1=4,MOD('🌱 Configuração'!$B$51+1-'🌱 Configuração'!$C$51,7)=0),"🌿 Grow A+B + Enzimas — EC 1.4",IF(AND('🌱 Configuração'!$B$51+1&gt;='🌱 Configuração'!$C$51,'🌱 Configuração'!$B$51+1&lt;'🌱 Configuração'!$D$51,INT(('🌱 Configuração'!$B$51+1-'🌱 Configuração'!$C$51)/7)+1=5,MOD('🌱 Configuração'!$B$51+1-'🌱 Configuração'!$C$51,7)=0),"🌿 Grow A+B + Biorrizas — EC 1.5",IF(AND('🌱 Configuração'!$B$51+1&gt;='🌱 Configuração'!$C$51,'🌱 Configuração'!$B$51+1&lt;'🌱 Configuração'!$D$51,INT(('🌱 Configuração'!$B$51+1-'🌱 Configuração'!$C$51)/7)+1=6,MOD('🌱 Configuração'!$B$51+1-'🌱 Configuração'!$C$51,7)=0),"🌿 Transição Bloom — EC 1.4",IF(AND('🌱 Configuração'!$B$51+1&gt;='🌱 Configuração'!$C$51,'🌱 Configuração'!$B$51+1&lt;'🌱 Configuração'!$D$51,INT(('🌱 Configuração'!$B$51+1-'🌱 Configuração'!$C$51)/7)+1=7,MOD('🌱 Configuração'!$B$51+1-'🌱 Configuração'!$C$51,7)=0),"🌿 Bloom A+B transição — EC 1.4",IF(AND('🌱 Configuração'!$B$51+1&gt;='🌱 Configuração'!$C$51,'🌱 Configuração'!$B$51+1&lt;'🌱 Configuração'!$D$51,INT(('🌱 Configuração'!$B$51+1-'🌱 Configuração'!$C$51)/7)+1=8,MOD('🌱 Configuração'!$B$51+1-'🌱 Configuração'!$C$51,7)=0),"🌿 Bloom A+B — EC 1.4",IF(AND('🌱 Configuração'!$B$51+1&gt;='🌱 Configuração'!$D$51,'🌱 Configuração'!$B$51+1&lt;'🌱 Configuração'!$E$51,INT(('🌱 Configuração'!$B$51+1-'🌱 Configuração'!$D$51)/7)+1=1,MOD('🌱 Configuração'!$B$51+1-'🌱 Configuração'!$D$51,7)=0),"🌸 Bloom A+B — EC 1.6",IF(AND('🌱 Configuração'!$B$51+1&gt;='🌱 Configuração'!$D$51,'🌱 Configuração'!$B$51+1&lt;'🌱 Configuração'!$E$51,INT(('🌱 Configuração'!$B$51+1-'🌱 Configuração'!$D$51)/7)+1=2,MOD('🌱 Configuração'!$B$51+1-'🌱 Configuração'!$D$51,7)=0),"🌸 Bloom + PK 13/14 início",IF(AND('🌱 Configuração'!$B$51+1&gt;='🌱 Configuração'!$D$51,'🌱 Configuração'!$B$51+1&lt;'🌱 Configuração'!$E$51,INT(('🌱 Configuração'!$B$51+1-'🌱 Configuração'!$D$51)/7)+1=3,MOD('🌱 Configuração'!$B$51+1-'🌱 Configuração'!$D$51,7)=0),"🌸 Bloom + PK + CalMag — EC 1.8",IF(AND('🌱 Configuração'!$B$51+1&gt;='🌱 Configuração'!$D$51,'🌱 Configuração'!$B$51+1&lt;'🌱 Configuração'!$E$51,INT(('🌱 Configuração'!$B$51+1-'🌱 Configuração'!$D$51)/7)+1=4,MOD('🌱 Configuração'!$B$51+1-'🌱 Configuração'!$D$51,7)=0),"🌸 Bloom + PK + Boost Floral — EC 2.0",IF(AND('🌱 Configuração'!$B$51+1&gt;='🌱 Configuração'!$D$51,'🌱 Configuração'!$B$51+1&lt;'🌱 Configuração'!$E$51,INT(('🌱 Configuração'!$B$51+1-'🌱 Configuração'!$D$51)/7)+1=5,MOD('🌱 Configuração'!$B$51+1-'🌱 Configuração'!$D$51,7)=0),"🌸 Bloom + Boost + Amino",IF(AND('🌱 Configuração'!$B$51+1&gt;='🌱 Configuração'!$D$51,'🌱 Configuração'!$B$51+1&lt;'🌱 Configuração'!$E$51,INT(('🌱 Configuração'!$B$51+1-'🌱 Configuração'!$D$51)/7)+1=6,MOD('🌱 Configuração'!$B$51+1-'🌱 Configuração'!$D$51,7)=0),"🌸 Bloom + Enzimas + Amino",IF(AND('🌱 Configuração'!$B$51+1&gt;='🌱 Configuração'!$D$51,'🌱 Configuração'!$B$51+1&lt;'🌱 Configuração'!$E$51,INT(('🌱 Configuração'!$B$51+1-'🌱 Configuração'!$D$51)/7)+1=7,MOD('🌱 Configuração'!$B$51+1-'🌱 Configuração'!$D$51,7)=0),"🌸 Reduzir N — Bloom puro — EC 1.6",IF(AND('🌱 Configuração'!$B$51+1&gt;='🌱 Configuração'!$D$51,'🌱 Configuração'!$B$51+1&lt;'🌱 Configuração'!$E$51,INT(('🌱 Configuração'!$B$51+1-'🌱 Configuração'!$D$51)/7)+1=8,MOD('🌱 Configuração'!$B$51+1-'🌱 Configuração'!$D$51,7)=0),"🌸 Bloom puro — EC 1.4  (pré-flush)",IF(AND('🌱 Configuração'!$B$51+1&gt;='🌱 Configuração'!$D$51,'🌱 Configuração'!$B$51+1&lt;'🌱 Configuração'!$E$51,INT(('🌱 Configuração'!$B$51+1-'🌱 Configuração'!$D$51)/7)+1=9,MOD('🌱 Configuração'!$B$51+1-'🌱 Configuração'!$D$51,7)=0),"🌸 Último Bloom — EC 0.8",IF(AND('🌱 Configuração'!$B$51+1&gt;='🌱 Configuração'!$E$51,INT(('🌱 Configuração'!$B$51+1-'🌱 Configuração'!$E$51)/7)+1=1,MOD('🌱 Configuração'!$B$51+1-'🌱 Configuração'!$E$51,7)=0),"🚿 Água pura + Enzimas (EC &lt; 0.3)",IF(AND('🌱 Configuração'!$B$51+1&gt;='🌱 Configuração'!$E$51,INT(('🌱 Configuração'!$B$51+1-'🌱 Configuração'!$E$51)/7)+1=2,MOD('🌱 Configuração'!$B$51+1-'🌱 Configuração'!$E$51,7)=0),"🚿 Água pura (EC &lt; 0.2)",""))))))))))))))))))))))</f>
        <v/>
      </c>
      <c r="G7" s="30" t="str">
        <f>IF(2&gt;'🌱 Configuração'!$F$50,"",IF(AND('🌱 Configuração'!$B$51+1&lt;'🌱 Configuração'!$C$51,INT((2-1)/7)+1=1,MOD(2-1,7)=0),"🐛 Nim 2mL/L foliar — preventivo",IF(AND('🌱 Configuração'!$B$51+1&lt;'🌱 Configuração'!$C$51,INT((2-1)/7)+1=2,MOD(2-1,7)=0),"🐛 Beauveria bassiana foliar + solo",IF(AND('🌱 Configuração'!$B$51+1&gt;='🌱 Configuração'!$C$51,'🌱 Configuração'!$B$51+1&lt;'🌱 Configuração'!$D$51,INT(('🌱 Configuração'!$B$51+1-'🌱 Configuração'!$C$51)/7)+1=1,MOD('🌱 Configuração'!$B$51+1-'🌱 Configuração'!$C$51,7)=0),"🐛 Nim 2mL/L foliar",IF(AND('🌱 Configuração'!$B$51+1&gt;='🌱 Configuração'!$C$51,'🌱 Configuração'!$B$51+1&lt;'🌱 Configuração'!$D$51,INT(('🌱 Configuração'!$B$51+1-'🌱 Configuração'!$C$51)/7)+1=2,MOD('🌱 Configuração'!$B$51+1-'🌱 Configuração'!$C$51,7)=0),"🐛 Beauveria bassiana foliar",IF(AND('🌱 Configuração'!$B$51+1&gt;='🌱 Configuração'!$C$51,'🌱 Configuração'!$B$51+1&lt;'🌱 Configuração'!$D$51,INT(('🌱 Configuração'!$B$51+1-'🌱 Configuração'!$C$51)/7)+1=3,MOD('🌱 Configuração'!$B$51+1-'🌱 Configuração'!$C$51,7)=0),"🐛 Nim + Calda Sulfocálcica 1%",IF(AND('🌱 Configuração'!$B$51+1&gt;='🌱 Configuração'!$C$51,'🌱 Configuração'!$B$51+1&lt;'🌱 Configuração'!$D$51,INT(('🌱 Configuração'!$B$51+1-'🌱 Configuração'!$C$51)/7)+1=4,MOD('🌱 Configuração'!$B$51+1-'🌱 Configuração'!$C$51,7)=0),"🐛 Trichoderma solo + Beauveria",IF(AND('🌱 Configuração'!$B$51+1&gt;='🌱 Configuração'!$C$51,'🌱 Configuração'!$B$51+1&lt;'🌱 Configuração'!$D$51,INT(('🌱 Configuração'!$B$51+1-'🌱 Configuração'!$C$51)/7)+1=5,MOD('🌱 Configuração'!$B$51+1-'🌱 Configuração'!$C$51,7)=0),"🐛 Calda Bordalesa 0.5% foliar",IF(AND('🌱 Configuração'!$B$51+1&gt;='🌱 Configuração'!$C$51,'🌱 Configuração'!$B$51+1&lt;'🌱 Configuração'!$D$51,INT(('🌱 Configuração'!$B$51+1-'🌱 Configuração'!$C$51)/7)+1=6,MOD('🌱 Configuração'!$B$51+1-'🌱 Configuração'!$C$51,7)=0),"🐛 Nim 2mL/L — ÚLTIMA foliar",IF(AND('🌱 Configuração'!$B$51+1&gt;='🌱 Configuração'!$D$51,'🌱 Configuração'!$B$51+1&lt;'🌱 Configuração'!$E$51,INT(('🌱 Configuração'!$B$51+1-'🌱 Configuração'!$D$51)/7)+1=1,MOD('🌱 Configuração'!$B$51+1-'🌱 Configuração'!$D$51,7)=0),"🐛 Beauveria bassiana solo (sem foliar)",IF(AND('🌱 Configuração'!$B$51+1&gt;='🌱 Configuração'!$D$51,'🌱 Configuração'!$B$51+1&lt;'🌱 Configuração'!$E$51,INT(('🌱 Configuração'!$B$51+1-'🌱 Configuração'!$D$51)/7)+1=2,MOD('🌱 Configuração'!$B$51+1-'🌱 Configuração'!$D$51,7)=0),"🐛 Trichoderma solo",IF(AND('🌱 Configuração'!$B$51+1&gt;='🌱 Configuração'!$D$51,'🌱 Configuração'!$B$51+1&lt;'🌱 Configuração'!$E$51,INT(('🌱 Configuração'!$B$51+1-'🌱 Configuração'!$D$51)/7)+1=3,MOD('🌱 Configuração'!$B$51+1-'🌱 Configuração'!$D$51,7)=0),"🐛 Beauveria bassiana solo",IF(AND('🌱 Configuração'!$B$51+1&gt;='🌱 Configuração'!$D$51,'🌱 Configuração'!$B$51+1&lt;'🌱 Configuração'!$E$51,INT(('🌱 Configuração'!$B$51+1-'🌱 Configuração'!$D$51)/7)+1=4,MOD('🌱 Configuração'!$B$51+1-'🌱 Configuração'!$D$51,7)=0),"🐛 Trichoderma solo",IF(AND('🌱 Configuração'!$B$51+1&gt;='🌱 Configuração'!$E$51,INT(('🌱 Configuração'!$B$51+1-'🌱 Configuração'!$E$51)/7)+1=1,MOD('🌱 Configuração'!$B$51+1-'🌱 Configuração'!$E$51,7)=0),"🐛 Inspeção final — sem aplicação",""))))))))))))))</f>
        <v/>
      </c>
      <c r="H7" s="22" t="str">
        <f>IF(2&gt;'🌱 Configuração'!$F$50,"",IF('🌱 Configuração'!$B$51+1='🌱 Configuração'!$C$51,"🌿 INÍCIO VEGA — ajustar espaço, luz 18h/dia — EC 0.8",IF('🌱 Configuração'!$B$51+1='🌱 Configuração'!$D$51,"🌸 INÍCIO FLORAÇÃO — mudar para 12h/12h — 🔴 atenção ao fotoperíodo",IF('🌱 Configuração'!$B$51+1='🌱 Configuração'!$E$51,"🚿 INÍCIO FLUSH — PARAR nutrição, somente água pura",IF('🌱 Configuração'!$B$51+1='🌱 Configuração'!$F$51-1,"🔬 Véspera da colheita — analisar tricomas âmbar",IF('🌱 Configuração'!$B$51+1='🌱 Configuração'!$F$51,"✂️ COLHEITA! Parabéns! 🎉",""))))))</f>
        <v/>
      </c>
    </row>
    <row r="8" spans="2:8" ht="18.75" customHeight="1" x14ac:dyDescent="0.3">
      <c r="B8" s="25">
        <f>IF(3&lt;='🌱 Configuração'!$F$50,3,"")</f>
        <v>3</v>
      </c>
      <c r="C8" s="26">
        <f>IF(3&lt;='🌱 Configuração'!$F$50,'🌱 Configuração'!$B$51+2,"")</f>
        <v>46025</v>
      </c>
      <c r="D8" s="27" t="str">
        <f>IF(3&gt;'🌱 Configuração'!$F$50,"",IF('🌱 Configuração'!$B$51+2&lt;'🌱 Configuração'!$C$51,"🌱 Clone",IF('🌱 Configuração'!$B$51+2&lt;'🌱 Configuração'!$D$51,"🌿 Vegetativo",IF('🌱 Configuração'!$B$51+2&lt;'🌱 Configuração'!$E$51,"🌸 Floração","🚿 Flush"))))</f>
        <v>🌱 Clone</v>
      </c>
      <c r="E8" s="28" t="str">
        <f>IF(3&gt;'🌱 Configuração'!$F$50,"",IF('🌱 Configuração'!$B$51+2&lt;'🌱 Configuração'!$C$51,"Clone S"&amp;INT((3-1)/7)+1,IF('🌱 Configuração'!$B$51+2&lt;'🌱 Configuração'!$D$51,"Vega S"&amp;INT(('🌱 Configuração'!$B$51+2-'🌱 Configuração'!$C$51)/7)+1,IF('🌱 Configuração'!$B$51+2&lt;'🌱 Configuração'!$E$51,"Flora S"&amp;INT(('🌱 Configuração'!$B$51+2-'🌱 Configuração'!$D$51)/7)+1,"Flush S"&amp;INT(('🌱 Configuração'!$B$51+2-'🌱 Configuração'!$E$51)/7)+1))))</f>
        <v>Clone S1</v>
      </c>
      <c r="F8" s="29" t="str">
        <f>IF(3&gt;'🌱 Configuração'!$F$50,"",IF(AND('🌱 Configuração'!$B$51+2&lt;'🌱 Configuração'!$C$51,INT((3-1)/7)+1=1,MOD(3-1,7)=0),"🌱 Enraizador (0.5 mL/L)",IF(AND('🌱 Configuração'!$B$51+2&lt;'🌱 Configuração'!$C$51,INT((3-1)/7)+1=2,MOD(3-1,7)=0),"🌱 Enraizador + Vitamina B1",IF(AND('🌱 Configuração'!$B$51+2&gt;='🌱 Configuração'!$C$51,'🌱 Configuração'!$B$51+2&lt;'🌱 Configuração'!$D$51,INT(('🌱 Configuração'!$B$51+2-'🌱 Configuração'!$C$51)/7)+1=1,MOD('🌱 Configuração'!$B$51+2-'🌱 Configuração'!$C$51,7)=0),"🌿 Grow A+B início — EC 0.8",IF(AND('🌱 Configuração'!$B$51+2&gt;='🌱 Configuração'!$C$51,'🌱 Configuração'!$B$51+2&lt;'🌱 Configuração'!$D$51,INT(('🌱 Configuração'!$B$51+2-'🌱 Configuração'!$C$51)/7)+1=2,MOD('🌱 Configuração'!$B$51+2-'🌱 Configuração'!$C$51,7)=0),"🌿 Grow A+B + CalMag — EC 1.0",IF(AND('🌱 Configuração'!$B$51+2&gt;='🌱 Configuração'!$C$51,'🌱 Configuração'!$B$51+2&lt;'🌱 Configuração'!$D$51,INT(('🌱 Configuração'!$B$51+2-'🌱 Configuração'!$C$51)/7)+1=3,MOD('🌱 Configuração'!$B$51+2-'🌱 Configuração'!$C$51,7)=0),"🌿 Grow A+B + CalMag — EC 1.2",IF(AND('🌱 Configuração'!$B$51+2&gt;='🌱 Configuração'!$C$51,'🌱 Configuração'!$B$51+2&lt;'🌱 Configuração'!$D$51,INT(('🌱 Configuração'!$B$51+2-'🌱 Configuração'!$C$51)/7)+1=4,MOD('🌱 Configuração'!$B$51+2-'🌱 Configuração'!$C$51,7)=0),"🌿 Grow A+B + Enzimas — EC 1.4",IF(AND('🌱 Configuração'!$B$51+2&gt;='🌱 Configuração'!$C$51,'🌱 Configuração'!$B$51+2&lt;'🌱 Configuração'!$D$51,INT(('🌱 Configuração'!$B$51+2-'🌱 Configuração'!$C$51)/7)+1=5,MOD('🌱 Configuração'!$B$51+2-'🌱 Configuração'!$C$51,7)=0),"🌿 Grow A+B + Biorrizas — EC 1.5",IF(AND('🌱 Configuração'!$B$51+2&gt;='🌱 Configuração'!$C$51,'🌱 Configuração'!$B$51+2&lt;'🌱 Configuração'!$D$51,INT(('🌱 Configuração'!$B$51+2-'🌱 Configuração'!$C$51)/7)+1=6,MOD('🌱 Configuração'!$B$51+2-'🌱 Configuração'!$C$51,7)=0),"🌿 Transição Bloom — EC 1.4",IF(AND('🌱 Configuração'!$B$51+2&gt;='🌱 Configuração'!$C$51,'🌱 Configuração'!$B$51+2&lt;'🌱 Configuração'!$D$51,INT(('🌱 Configuração'!$B$51+2-'🌱 Configuração'!$C$51)/7)+1=7,MOD('🌱 Configuração'!$B$51+2-'🌱 Configuração'!$C$51,7)=0),"🌿 Bloom A+B transição — EC 1.4",IF(AND('🌱 Configuração'!$B$51+2&gt;='🌱 Configuração'!$C$51,'🌱 Configuração'!$B$51+2&lt;'🌱 Configuração'!$D$51,INT(('🌱 Configuração'!$B$51+2-'🌱 Configuração'!$C$51)/7)+1=8,MOD('🌱 Configuração'!$B$51+2-'🌱 Configuração'!$C$51,7)=0),"🌿 Bloom A+B — EC 1.4",IF(AND('🌱 Configuração'!$B$51+2&gt;='🌱 Configuração'!$D$51,'🌱 Configuração'!$B$51+2&lt;'🌱 Configuração'!$E$51,INT(('🌱 Configuração'!$B$51+2-'🌱 Configuração'!$D$51)/7)+1=1,MOD('🌱 Configuração'!$B$51+2-'🌱 Configuração'!$D$51,7)=0),"🌸 Bloom A+B — EC 1.6",IF(AND('🌱 Configuração'!$B$51+2&gt;='🌱 Configuração'!$D$51,'🌱 Configuração'!$B$51+2&lt;'🌱 Configuração'!$E$51,INT(('🌱 Configuração'!$B$51+2-'🌱 Configuração'!$D$51)/7)+1=2,MOD('🌱 Configuração'!$B$51+2-'🌱 Configuração'!$D$51,7)=0),"🌸 Bloom + PK 13/14 início",IF(AND('🌱 Configuração'!$B$51+2&gt;='🌱 Configuração'!$D$51,'🌱 Configuração'!$B$51+2&lt;'🌱 Configuração'!$E$51,INT(('🌱 Configuração'!$B$51+2-'🌱 Configuração'!$D$51)/7)+1=3,MOD('🌱 Configuração'!$B$51+2-'🌱 Configuração'!$D$51,7)=0),"🌸 Bloom + PK + CalMag — EC 1.8",IF(AND('🌱 Configuração'!$B$51+2&gt;='🌱 Configuração'!$D$51,'🌱 Configuração'!$B$51+2&lt;'🌱 Configuração'!$E$51,INT(('🌱 Configuração'!$B$51+2-'🌱 Configuração'!$D$51)/7)+1=4,MOD('🌱 Configuração'!$B$51+2-'🌱 Configuração'!$D$51,7)=0),"🌸 Bloom + PK + Boost Floral — EC 2.0",IF(AND('🌱 Configuração'!$B$51+2&gt;='🌱 Configuração'!$D$51,'🌱 Configuração'!$B$51+2&lt;'🌱 Configuração'!$E$51,INT(('🌱 Configuração'!$B$51+2-'🌱 Configuração'!$D$51)/7)+1=5,MOD('🌱 Configuração'!$B$51+2-'🌱 Configuração'!$D$51,7)=0),"🌸 Bloom + Boost + Amino",IF(AND('🌱 Configuração'!$B$51+2&gt;='🌱 Configuração'!$D$51,'🌱 Configuração'!$B$51+2&lt;'🌱 Configuração'!$E$51,INT(('🌱 Configuração'!$B$51+2-'🌱 Configuração'!$D$51)/7)+1=6,MOD('🌱 Configuração'!$B$51+2-'🌱 Configuração'!$D$51,7)=0),"🌸 Bloom + Enzimas + Amino",IF(AND('🌱 Configuração'!$B$51+2&gt;='🌱 Configuração'!$D$51,'🌱 Configuração'!$B$51+2&lt;'🌱 Configuração'!$E$51,INT(('🌱 Configuração'!$B$51+2-'🌱 Configuração'!$D$51)/7)+1=7,MOD('🌱 Configuração'!$B$51+2-'🌱 Configuração'!$D$51,7)=0),"🌸 Reduzir N — Bloom puro — EC 1.6",IF(AND('🌱 Configuração'!$B$51+2&gt;='🌱 Configuração'!$D$51,'🌱 Configuração'!$B$51+2&lt;'🌱 Configuração'!$E$51,INT(('🌱 Configuração'!$B$51+2-'🌱 Configuração'!$D$51)/7)+1=8,MOD('🌱 Configuração'!$B$51+2-'🌱 Configuração'!$D$51,7)=0),"🌸 Bloom puro — EC 1.4  (pré-flush)",IF(AND('🌱 Configuração'!$B$51+2&gt;='🌱 Configuração'!$D$51,'🌱 Configuração'!$B$51+2&lt;'🌱 Configuração'!$E$51,INT(('🌱 Configuração'!$B$51+2-'🌱 Configuração'!$D$51)/7)+1=9,MOD('🌱 Configuração'!$B$51+2-'🌱 Configuração'!$D$51,7)=0),"🌸 Último Bloom — EC 0.8",IF(AND('🌱 Configuração'!$B$51+2&gt;='🌱 Configuração'!$E$51,INT(('🌱 Configuração'!$B$51+2-'🌱 Configuração'!$E$51)/7)+1=1,MOD('🌱 Configuração'!$B$51+2-'🌱 Configuração'!$E$51,7)=0),"🚿 Água pura + Enzimas (EC &lt; 0.3)",IF(AND('🌱 Configuração'!$B$51+2&gt;='🌱 Configuração'!$E$51,INT(('🌱 Configuração'!$B$51+2-'🌱 Configuração'!$E$51)/7)+1=2,MOD('🌱 Configuração'!$B$51+2-'🌱 Configuração'!$E$51,7)=0),"🚿 Água pura (EC &lt; 0.2)",""))))))))))))))))))))))</f>
        <v/>
      </c>
      <c r="G8" s="30" t="str">
        <f>IF(3&gt;'🌱 Configuração'!$F$50,"",IF(AND('🌱 Configuração'!$B$51+2&lt;'🌱 Configuração'!$C$51,INT((3-1)/7)+1=1,MOD(3-1,7)=0),"🐛 Nim 2mL/L foliar — preventivo",IF(AND('🌱 Configuração'!$B$51+2&lt;'🌱 Configuração'!$C$51,INT((3-1)/7)+1=2,MOD(3-1,7)=0),"🐛 Beauveria bassiana foliar + solo",IF(AND('🌱 Configuração'!$B$51+2&gt;='🌱 Configuração'!$C$51,'🌱 Configuração'!$B$51+2&lt;'🌱 Configuração'!$D$51,INT(('🌱 Configuração'!$B$51+2-'🌱 Configuração'!$C$51)/7)+1=1,MOD('🌱 Configuração'!$B$51+2-'🌱 Configuração'!$C$51,7)=0),"🐛 Nim 2mL/L foliar",IF(AND('🌱 Configuração'!$B$51+2&gt;='🌱 Configuração'!$C$51,'🌱 Configuração'!$B$51+2&lt;'🌱 Configuração'!$D$51,INT(('🌱 Configuração'!$B$51+2-'🌱 Configuração'!$C$51)/7)+1=2,MOD('🌱 Configuração'!$B$51+2-'🌱 Configuração'!$C$51,7)=0),"🐛 Beauveria bassiana foliar",IF(AND('🌱 Configuração'!$B$51+2&gt;='🌱 Configuração'!$C$51,'🌱 Configuração'!$B$51+2&lt;'🌱 Configuração'!$D$51,INT(('🌱 Configuração'!$B$51+2-'🌱 Configuração'!$C$51)/7)+1=3,MOD('🌱 Configuração'!$B$51+2-'🌱 Configuração'!$C$51,7)=0),"🐛 Nim + Calda Sulfocálcica 1%",IF(AND('🌱 Configuração'!$B$51+2&gt;='🌱 Configuração'!$C$51,'🌱 Configuração'!$B$51+2&lt;'🌱 Configuração'!$D$51,INT(('🌱 Configuração'!$B$51+2-'🌱 Configuração'!$C$51)/7)+1=4,MOD('🌱 Configuração'!$B$51+2-'🌱 Configuração'!$C$51,7)=0),"🐛 Trichoderma solo + Beauveria",IF(AND('🌱 Configuração'!$B$51+2&gt;='🌱 Configuração'!$C$51,'🌱 Configuração'!$B$51+2&lt;'🌱 Configuração'!$D$51,INT(('🌱 Configuração'!$B$51+2-'🌱 Configuração'!$C$51)/7)+1=5,MOD('🌱 Configuração'!$B$51+2-'🌱 Configuração'!$C$51,7)=0),"🐛 Calda Bordalesa 0.5% foliar",IF(AND('🌱 Configuração'!$B$51+2&gt;='🌱 Configuração'!$C$51,'🌱 Configuração'!$B$51+2&lt;'🌱 Configuração'!$D$51,INT(('🌱 Configuração'!$B$51+2-'🌱 Configuração'!$C$51)/7)+1=6,MOD('🌱 Configuração'!$B$51+2-'🌱 Configuração'!$C$51,7)=0),"🐛 Nim 2mL/L — ÚLTIMA foliar",IF(AND('🌱 Configuração'!$B$51+2&gt;='🌱 Configuração'!$D$51,'🌱 Configuração'!$B$51+2&lt;'🌱 Configuração'!$E$51,INT(('🌱 Configuração'!$B$51+2-'🌱 Configuração'!$D$51)/7)+1=1,MOD('🌱 Configuração'!$B$51+2-'🌱 Configuração'!$D$51,7)=0),"🐛 Beauveria bassiana solo (sem foliar)",IF(AND('🌱 Configuração'!$B$51+2&gt;='🌱 Configuração'!$D$51,'🌱 Configuração'!$B$51+2&lt;'🌱 Configuração'!$E$51,INT(('🌱 Configuração'!$B$51+2-'🌱 Configuração'!$D$51)/7)+1=2,MOD('🌱 Configuração'!$B$51+2-'🌱 Configuração'!$D$51,7)=0),"🐛 Trichoderma solo",IF(AND('🌱 Configuração'!$B$51+2&gt;='🌱 Configuração'!$D$51,'🌱 Configuração'!$B$51+2&lt;'🌱 Configuração'!$E$51,INT(('🌱 Configuração'!$B$51+2-'🌱 Configuração'!$D$51)/7)+1=3,MOD('🌱 Configuração'!$B$51+2-'🌱 Configuração'!$D$51,7)=0),"🐛 Beauveria bassiana solo",IF(AND('🌱 Configuração'!$B$51+2&gt;='🌱 Configuração'!$D$51,'🌱 Configuração'!$B$51+2&lt;'🌱 Configuração'!$E$51,INT(('🌱 Configuração'!$B$51+2-'🌱 Configuração'!$D$51)/7)+1=4,MOD('🌱 Configuração'!$B$51+2-'🌱 Configuração'!$D$51,7)=0),"🐛 Trichoderma solo",IF(AND('🌱 Configuração'!$B$51+2&gt;='🌱 Configuração'!$E$51,INT(('🌱 Configuração'!$B$51+2-'🌱 Configuração'!$E$51)/7)+1=1,MOD('🌱 Configuração'!$B$51+2-'🌱 Configuração'!$E$51,7)=0),"🐛 Inspeção final — sem aplicação",""))))))))))))))</f>
        <v/>
      </c>
      <c r="H8" s="22" t="str">
        <f>IF(3&gt;'🌱 Configuração'!$F$50,"",IF('🌱 Configuração'!$B$51+2='🌱 Configuração'!$C$51,"🌿 INÍCIO VEGA — ajustar espaço, luz 18h/dia — EC 0.8",IF('🌱 Configuração'!$B$51+2='🌱 Configuração'!$D$51,"🌸 INÍCIO FLORAÇÃO — mudar para 12h/12h — 🔴 atenção ao fotoperíodo",IF('🌱 Configuração'!$B$51+2='🌱 Configuração'!$E$51,"🚿 INÍCIO FLUSH — PARAR nutrição, somente água pura",IF('🌱 Configuração'!$B$51+2='🌱 Configuração'!$F$51-1,"🔬 Véspera da colheita — analisar tricomas âmbar",IF('🌱 Configuração'!$B$51+2='🌱 Configuração'!$F$51,"✂️ COLHEITA! Parabéns! 🎉",""))))))</f>
        <v/>
      </c>
    </row>
    <row r="9" spans="2:8" ht="18.75" customHeight="1" x14ac:dyDescent="0.3">
      <c r="B9" s="25">
        <f>IF(4&lt;='🌱 Configuração'!$F$50,4,"")</f>
        <v>4</v>
      </c>
      <c r="C9" s="26">
        <f>IF(4&lt;='🌱 Configuração'!$F$50,'🌱 Configuração'!$B$51+3,"")</f>
        <v>46026</v>
      </c>
      <c r="D9" s="27" t="str">
        <f>IF(4&gt;'🌱 Configuração'!$F$50,"",IF('🌱 Configuração'!$B$51+3&lt;'🌱 Configuração'!$C$51,"🌱 Clone",IF('🌱 Configuração'!$B$51+3&lt;'🌱 Configuração'!$D$51,"🌿 Vegetativo",IF('🌱 Configuração'!$B$51+3&lt;'🌱 Configuração'!$E$51,"🌸 Floração","🚿 Flush"))))</f>
        <v>🌱 Clone</v>
      </c>
      <c r="E9" s="28" t="str">
        <f>IF(4&gt;'🌱 Configuração'!$F$50,"",IF('🌱 Configuração'!$B$51+3&lt;'🌱 Configuração'!$C$51,"Clone S"&amp;INT((4-1)/7)+1,IF('🌱 Configuração'!$B$51+3&lt;'🌱 Configuração'!$D$51,"Vega S"&amp;INT(('🌱 Configuração'!$B$51+3-'🌱 Configuração'!$C$51)/7)+1,IF('🌱 Configuração'!$B$51+3&lt;'🌱 Configuração'!$E$51,"Flora S"&amp;INT(('🌱 Configuração'!$B$51+3-'🌱 Configuração'!$D$51)/7)+1,"Flush S"&amp;INT(('🌱 Configuração'!$B$51+3-'🌱 Configuração'!$E$51)/7)+1))))</f>
        <v>Clone S1</v>
      </c>
      <c r="F9" s="29" t="str">
        <f>IF(4&gt;'🌱 Configuração'!$F$50,"",IF(AND('🌱 Configuração'!$B$51+3&lt;'🌱 Configuração'!$C$51,INT((4-1)/7)+1=1,MOD(4-1,7)=0),"🌱 Enraizador (0.5 mL/L)",IF(AND('🌱 Configuração'!$B$51+3&lt;'🌱 Configuração'!$C$51,INT((4-1)/7)+1=2,MOD(4-1,7)=0),"🌱 Enraizador + Vitamina B1",IF(AND('🌱 Configuração'!$B$51+3&gt;='🌱 Configuração'!$C$51,'🌱 Configuração'!$B$51+3&lt;'🌱 Configuração'!$D$51,INT(('🌱 Configuração'!$B$51+3-'🌱 Configuração'!$C$51)/7)+1=1,MOD('🌱 Configuração'!$B$51+3-'🌱 Configuração'!$C$51,7)=0),"🌿 Grow A+B início — EC 0.8",IF(AND('🌱 Configuração'!$B$51+3&gt;='🌱 Configuração'!$C$51,'🌱 Configuração'!$B$51+3&lt;'🌱 Configuração'!$D$51,INT(('🌱 Configuração'!$B$51+3-'🌱 Configuração'!$C$51)/7)+1=2,MOD('🌱 Configuração'!$B$51+3-'🌱 Configuração'!$C$51,7)=0),"🌿 Grow A+B + CalMag — EC 1.0",IF(AND('🌱 Configuração'!$B$51+3&gt;='🌱 Configuração'!$C$51,'🌱 Configuração'!$B$51+3&lt;'🌱 Configuração'!$D$51,INT(('🌱 Configuração'!$B$51+3-'🌱 Configuração'!$C$51)/7)+1=3,MOD('🌱 Configuração'!$B$51+3-'🌱 Configuração'!$C$51,7)=0),"🌿 Grow A+B + CalMag — EC 1.2",IF(AND('🌱 Configuração'!$B$51+3&gt;='🌱 Configuração'!$C$51,'🌱 Configuração'!$B$51+3&lt;'🌱 Configuração'!$D$51,INT(('🌱 Configuração'!$B$51+3-'🌱 Configuração'!$C$51)/7)+1=4,MOD('🌱 Configuração'!$B$51+3-'🌱 Configuração'!$C$51,7)=0),"🌿 Grow A+B + Enzimas — EC 1.4",IF(AND('🌱 Configuração'!$B$51+3&gt;='🌱 Configuração'!$C$51,'🌱 Configuração'!$B$51+3&lt;'🌱 Configuração'!$D$51,INT(('🌱 Configuração'!$B$51+3-'🌱 Configuração'!$C$51)/7)+1=5,MOD('🌱 Configuração'!$B$51+3-'🌱 Configuração'!$C$51,7)=0),"🌿 Grow A+B + Biorrizas — EC 1.5",IF(AND('🌱 Configuração'!$B$51+3&gt;='🌱 Configuração'!$C$51,'🌱 Configuração'!$B$51+3&lt;'🌱 Configuração'!$D$51,INT(('🌱 Configuração'!$B$51+3-'🌱 Configuração'!$C$51)/7)+1=6,MOD('🌱 Configuração'!$B$51+3-'🌱 Configuração'!$C$51,7)=0),"🌿 Transição Bloom — EC 1.4",IF(AND('🌱 Configuração'!$B$51+3&gt;='🌱 Configuração'!$C$51,'🌱 Configuração'!$B$51+3&lt;'🌱 Configuração'!$D$51,INT(('🌱 Configuração'!$B$51+3-'🌱 Configuração'!$C$51)/7)+1=7,MOD('🌱 Configuração'!$B$51+3-'🌱 Configuração'!$C$51,7)=0),"🌿 Bloom A+B transição — EC 1.4",IF(AND('🌱 Configuração'!$B$51+3&gt;='🌱 Configuração'!$C$51,'🌱 Configuração'!$B$51+3&lt;'🌱 Configuração'!$D$51,INT(('🌱 Configuração'!$B$51+3-'🌱 Configuração'!$C$51)/7)+1=8,MOD('🌱 Configuração'!$B$51+3-'🌱 Configuração'!$C$51,7)=0),"🌿 Bloom A+B — EC 1.4",IF(AND('🌱 Configuração'!$B$51+3&gt;='🌱 Configuração'!$D$51,'🌱 Configuração'!$B$51+3&lt;'🌱 Configuração'!$E$51,INT(('🌱 Configuração'!$B$51+3-'🌱 Configuração'!$D$51)/7)+1=1,MOD('🌱 Configuração'!$B$51+3-'🌱 Configuração'!$D$51,7)=0),"🌸 Bloom A+B — EC 1.6",IF(AND('🌱 Configuração'!$B$51+3&gt;='🌱 Configuração'!$D$51,'🌱 Configuração'!$B$51+3&lt;'🌱 Configuração'!$E$51,INT(('🌱 Configuração'!$B$51+3-'🌱 Configuração'!$D$51)/7)+1=2,MOD('🌱 Configuração'!$B$51+3-'🌱 Configuração'!$D$51,7)=0),"🌸 Bloom + PK 13/14 início",IF(AND('🌱 Configuração'!$B$51+3&gt;='🌱 Configuração'!$D$51,'🌱 Configuração'!$B$51+3&lt;'🌱 Configuração'!$E$51,INT(('🌱 Configuração'!$B$51+3-'🌱 Configuração'!$D$51)/7)+1=3,MOD('🌱 Configuração'!$B$51+3-'🌱 Configuração'!$D$51,7)=0),"🌸 Bloom + PK + CalMag — EC 1.8",IF(AND('🌱 Configuração'!$B$51+3&gt;='🌱 Configuração'!$D$51,'🌱 Configuração'!$B$51+3&lt;'🌱 Configuração'!$E$51,INT(('🌱 Configuração'!$B$51+3-'🌱 Configuração'!$D$51)/7)+1=4,MOD('🌱 Configuração'!$B$51+3-'🌱 Configuração'!$D$51,7)=0),"🌸 Bloom + PK + Boost Floral — EC 2.0",IF(AND('🌱 Configuração'!$B$51+3&gt;='🌱 Configuração'!$D$51,'🌱 Configuração'!$B$51+3&lt;'🌱 Configuração'!$E$51,INT(('🌱 Configuração'!$B$51+3-'🌱 Configuração'!$D$51)/7)+1=5,MOD('🌱 Configuração'!$B$51+3-'🌱 Configuração'!$D$51,7)=0),"🌸 Bloom + Boost + Amino",IF(AND('🌱 Configuração'!$B$51+3&gt;='🌱 Configuração'!$D$51,'🌱 Configuração'!$B$51+3&lt;'🌱 Configuração'!$E$51,INT(('🌱 Configuração'!$B$51+3-'🌱 Configuração'!$D$51)/7)+1=6,MOD('🌱 Configuração'!$B$51+3-'🌱 Configuração'!$D$51,7)=0),"🌸 Bloom + Enzimas + Amino",IF(AND('🌱 Configuração'!$B$51+3&gt;='🌱 Configuração'!$D$51,'🌱 Configuração'!$B$51+3&lt;'🌱 Configuração'!$E$51,INT(('🌱 Configuração'!$B$51+3-'🌱 Configuração'!$D$51)/7)+1=7,MOD('🌱 Configuração'!$B$51+3-'🌱 Configuração'!$D$51,7)=0),"🌸 Reduzir N — Bloom puro — EC 1.6",IF(AND('🌱 Configuração'!$B$51+3&gt;='🌱 Configuração'!$D$51,'🌱 Configuração'!$B$51+3&lt;'🌱 Configuração'!$E$51,INT(('🌱 Configuração'!$B$51+3-'🌱 Configuração'!$D$51)/7)+1=8,MOD('🌱 Configuração'!$B$51+3-'🌱 Configuração'!$D$51,7)=0),"🌸 Bloom puro — EC 1.4  (pré-flush)",IF(AND('🌱 Configuração'!$B$51+3&gt;='🌱 Configuração'!$D$51,'🌱 Configuração'!$B$51+3&lt;'🌱 Configuração'!$E$51,INT(('🌱 Configuração'!$B$51+3-'🌱 Configuração'!$D$51)/7)+1=9,MOD('🌱 Configuração'!$B$51+3-'🌱 Configuração'!$D$51,7)=0),"🌸 Último Bloom — EC 0.8",IF(AND('🌱 Configuração'!$B$51+3&gt;='🌱 Configuração'!$E$51,INT(('🌱 Configuração'!$B$51+3-'🌱 Configuração'!$E$51)/7)+1=1,MOD('🌱 Configuração'!$B$51+3-'🌱 Configuração'!$E$51,7)=0),"🚿 Água pura + Enzimas (EC &lt; 0.3)",IF(AND('🌱 Configuração'!$B$51+3&gt;='🌱 Configuração'!$E$51,INT(('🌱 Configuração'!$B$51+3-'🌱 Configuração'!$E$51)/7)+1=2,MOD('🌱 Configuração'!$B$51+3-'🌱 Configuração'!$E$51,7)=0),"🚿 Água pura (EC &lt; 0.2)",""))))))))))))))))))))))</f>
        <v/>
      </c>
      <c r="G9" s="30" t="str">
        <f>IF(4&gt;'🌱 Configuração'!$F$50,"",IF(AND('🌱 Configuração'!$B$51+3&lt;'🌱 Configuração'!$C$51,INT((4-1)/7)+1=1,MOD(4-1,7)=0),"🐛 Nim 2mL/L foliar — preventivo",IF(AND('🌱 Configuração'!$B$51+3&lt;'🌱 Configuração'!$C$51,INT((4-1)/7)+1=2,MOD(4-1,7)=0),"🐛 Beauveria bassiana foliar + solo",IF(AND('🌱 Configuração'!$B$51+3&gt;='🌱 Configuração'!$C$51,'🌱 Configuração'!$B$51+3&lt;'🌱 Configuração'!$D$51,INT(('🌱 Configuração'!$B$51+3-'🌱 Configuração'!$C$51)/7)+1=1,MOD('🌱 Configuração'!$B$51+3-'🌱 Configuração'!$C$51,7)=0),"🐛 Nim 2mL/L foliar",IF(AND('🌱 Configuração'!$B$51+3&gt;='🌱 Configuração'!$C$51,'🌱 Configuração'!$B$51+3&lt;'🌱 Configuração'!$D$51,INT(('🌱 Configuração'!$B$51+3-'🌱 Configuração'!$C$51)/7)+1=2,MOD('🌱 Configuração'!$B$51+3-'🌱 Configuração'!$C$51,7)=0),"🐛 Beauveria bassiana foliar",IF(AND('🌱 Configuração'!$B$51+3&gt;='🌱 Configuração'!$C$51,'🌱 Configuração'!$B$51+3&lt;'🌱 Configuração'!$D$51,INT(('🌱 Configuração'!$B$51+3-'🌱 Configuração'!$C$51)/7)+1=3,MOD('🌱 Configuração'!$B$51+3-'🌱 Configuração'!$C$51,7)=0),"🐛 Nim + Calda Sulfocálcica 1%",IF(AND('🌱 Configuração'!$B$51+3&gt;='🌱 Configuração'!$C$51,'🌱 Configuração'!$B$51+3&lt;'🌱 Configuração'!$D$51,INT(('🌱 Configuração'!$B$51+3-'🌱 Configuração'!$C$51)/7)+1=4,MOD('🌱 Configuração'!$B$51+3-'🌱 Configuração'!$C$51,7)=0),"🐛 Trichoderma solo + Beauveria",IF(AND('🌱 Configuração'!$B$51+3&gt;='🌱 Configuração'!$C$51,'🌱 Configuração'!$B$51+3&lt;'🌱 Configuração'!$D$51,INT(('🌱 Configuração'!$B$51+3-'🌱 Configuração'!$C$51)/7)+1=5,MOD('🌱 Configuração'!$B$51+3-'🌱 Configuração'!$C$51,7)=0),"🐛 Calda Bordalesa 0.5% foliar",IF(AND('🌱 Configuração'!$B$51+3&gt;='🌱 Configuração'!$C$51,'🌱 Configuração'!$B$51+3&lt;'🌱 Configuração'!$D$51,INT(('🌱 Configuração'!$B$51+3-'🌱 Configuração'!$C$51)/7)+1=6,MOD('🌱 Configuração'!$B$51+3-'🌱 Configuração'!$C$51,7)=0),"🐛 Nim 2mL/L — ÚLTIMA foliar",IF(AND('🌱 Configuração'!$B$51+3&gt;='🌱 Configuração'!$D$51,'🌱 Configuração'!$B$51+3&lt;'🌱 Configuração'!$E$51,INT(('🌱 Configuração'!$B$51+3-'🌱 Configuração'!$D$51)/7)+1=1,MOD('🌱 Configuração'!$B$51+3-'🌱 Configuração'!$D$51,7)=0),"🐛 Beauveria bassiana solo (sem foliar)",IF(AND('🌱 Configuração'!$B$51+3&gt;='🌱 Configuração'!$D$51,'🌱 Configuração'!$B$51+3&lt;'🌱 Configuração'!$E$51,INT(('🌱 Configuração'!$B$51+3-'🌱 Configuração'!$D$51)/7)+1=2,MOD('🌱 Configuração'!$B$51+3-'🌱 Configuração'!$D$51,7)=0),"🐛 Trichoderma solo",IF(AND('🌱 Configuração'!$B$51+3&gt;='🌱 Configuração'!$D$51,'🌱 Configuração'!$B$51+3&lt;'🌱 Configuração'!$E$51,INT(('🌱 Configuração'!$B$51+3-'🌱 Configuração'!$D$51)/7)+1=3,MOD('🌱 Configuração'!$B$51+3-'🌱 Configuração'!$D$51,7)=0),"🐛 Beauveria bassiana solo",IF(AND('🌱 Configuração'!$B$51+3&gt;='🌱 Configuração'!$D$51,'🌱 Configuração'!$B$51+3&lt;'🌱 Configuração'!$E$51,INT(('🌱 Configuração'!$B$51+3-'🌱 Configuração'!$D$51)/7)+1=4,MOD('🌱 Configuração'!$B$51+3-'🌱 Configuração'!$D$51,7)=0),"🐛 Trichoderma solo",IF(AND('🌱 Configuração'!$B$51+3&gt;='🌱 Configuração'!$E$51,INT(('🌱 Configuração'!$B$51+3-'🌱 Configuração'!$E$51)/7)+1=1,MOD('🌱 Configuração'!$B$51+3-'🌱 Configuração'!$E$51,7)=0),"🐛 Inspeção final — sem aplicação",""))))))))))))))</f>
        <v/>
      </c>
      <c r="H9" s="22" t="str">
        <f>IF(4&gt;'🌱 Configuração'!$F$50,"","💧 1ª rega com enraizador")</f>
        <v>💧 1ª rega com enraizador</v>
      </c>
    </row>
    <row r="10" spans="2:8" ht="18.75" customHeight="1" x14ac:dyDescent="0.3">
      <c r="B10" s="25">
        <f>IF(5&lt;='🌱 Configuração'!$F$50,5,"")</f>
        <v>5</v>
      </c>
      <c r="C10" s="26">
        <f>IF(5&lt;='🌱 Configuração'!$F$50,'🌱 Configuração'!$B$51+4,"")</f>
        <v>46027</v>
      </c>
      <c r="D10" s="27" t="str">
        <f>IF(5&gt;'🌱 Configuração'!$F$50,"",IF('🌱 Configuração'!$B$51+4&lt;'🌱 Configuração'!$C$51,"🌱 Clone",IF('🌱 Configuração'!$B$51+4&lt;'🌱 Configuração'!$D$51,"🌿 Vegetativo",IF('🌱 Configuração'!$B$51+4&lt;'🌱 Configuração'!$E$51,"🌸 Floração","🚿 Flush"))))</f>
        <v>🌱 Clone</v>
      </c>
      <c r="E10" s="28" t="str">
        <f>IF(5&gt;'🌱 Configuração'!$F$50,"",IF('🌱 Configuração'!$B$51+4&lt;'🌱 Configuração'!$C$51,"Clone S"&amp;INT((5-1)/7)+1,IF('🌱 Configuração'!$B$51+4&lt;'🌱 Configuração'!$D$51,"Vega S"&amp;INT(('🌱 Configuração'!$B$51+4-'🌱 Configuração'!$C$51)/7)+1,IF('🌱 Configuração'!$B$51+4&lt;'🌱 Configuração'!$E$51,"Flora S"&amp;INT(('🌱 Configuração'!$B$51+4-'🌱 Configuração'!$D$51)/7)+1,"Flush S"&amp;INT(('🌱 Configuração'!$B$51+4-'🌱 Configuração'!$E$51)/7)+1))))</f>
        <v>Clone S1</v>
      </c>
      <c r="F10" s="29" t="str">
        <f>IF(5&gt;'🌱 Configuração'!$F$50,"",IF(AND('🌱 Configuração'!$B$51+4&lt;'🌱 Configuração'!$C$51,INT((5-1)/7)+1=1,MOD(5-1,7)=0),"🌱 Enraizador (0.5 mL/L)",IF(AND('🌱 Configuração'!$B$51+4&lt;'🌱 Configuração'!$C$51,INT((5-1)/7)+1=2,MOD(5-1,7)=0),"🌱 Enraizador + Vitamina B1",IF(AND('🌱 Configuração'!$B$51+4&gt;='🌱 Configuração'!$C$51,'🌱 Configuração'!$B$51+4&lt;'🌱 Configuração'!$D$51,INT(('🌱 Configuração'!$B$51+4-'🌱 Configuração'!$C$51)/7)+1=1,MOD('🌱 Configuração'!$B$51+4-'🌱 Configuração'!$C$51,7)=0),"🌿 Grow A+B início — EC 0.8",IF(AND('🌱 Configuração'!$B$51+4&gt;='🌱 Configuração'!$C$51,'🌱 Configuração'!$B$51+4&lt;'🌱 Configuração'!$D$51,INT(('🌱 Configuração'!$B$51+4-'🌱 Configuração'!$C$51)/7)+1=2,MOD('🌱 Configuração'!$B$51+4-'🌱 Configuração'!$C$51,7)=0),"🌿 Grow A+B + CalMag — EC 1.0",IF(AND('🌱 Configuração'!$B$51+4&gt;='🌱 Configuração'!$C$51,'🌱 Configuração'!$B$51+4&lt;'🌱 Configuração'!$D$51,INT(('🌱 Configuração'!$B$51+4-'🌱 Configuração'!$C$51)/7)+1=3,MOD('🌱 Configuração'!$B$51+4-'🌱 Configuração'!$C$51,7)=0),"🌿 Grow A+B + CalMag — EC 1.2",IF(AND('🌱 Configuração'!$B$51+4&gt;='🌱 Configuração'!$C$51,'🌱 Configuração'!$B$51+4&lt;'🌱 Configuração'!$D$51,INT(('🌱 Configuração'!$B$51+4-'🌱 Configuração'!$C$51)/7)+1=4,MOD('🌱 Configuração'!$B$51+4-'🌱 Configuração'!$C$51,7)=0),"🌿 Grow A+B + Enzimas — EC 1.4",IF(AND('🌱 Configuração'!$B$51+4&gt;='🌱 Configuração'!$C$51,'🌱 Configuração'!$B$51+4&lt;'🌱 Configuração'!$D$51,INT(('🌱 Configuração'!$B$51+4-'🌱 Configuração'!$C$51)/7)+1=5,MOD('🌱 Configuração'!$B$51+4-'🌱 Configuração'!$C$51,7)=0),"🌿 Grow A+B + Biorrizas — EC 1.5",IF(AND('🌱 Configuração'!$B$51+4&gt;='🌱 Configuração'!$C$51,'🌱 Configuração'!$B$51+4&lt;'🌱 Configuração'!$D$51,INT(('🌱 Configuração'!$B$51+4-'🌱 Configuração'!$C$51)/7)+1=6,MOD('🌱 Configuração'!$B$51+4-'🌱 Configuração'!$C$51,7)=0),"🌿 Transição Bloom — EC 1.4",IF(AND('🌱 Configuração'!$B$51+4&gt;='🌱 Configuração'!$C$51,'🌱 Configuração'!$B$51+4&lt;'🌱 Configuração'!$D$51,INT(('🌱 Configuração'!$B$51+4-'🌱 Configuração'!$C$51)/7)+1=7,MOD('🌱 Configuração'!$B$51+4-'🌱 Configuração'!$C$51,7)=0),"🌿 Bloom A+B transição — EC 1.4",IF(AND('🌱 Configuração'!$B$51+4&gt;='🌱 Configuração'!$C$51,'🌱 Configuração'!$B$51+4&lt;'🌱 Configuração'!$D$51,INT(('🌱 Configuração'!$B$51+4-'🌱 Configuração'!$C$51)/7)+1=8,MOD('🌱 Configuração'!$B$51+4-'🌱 Configuração'!$C$51,7)=0),"🌿 Bloom A+B — EC 1.4",IF(AND('🌱 Configuração'!$B$51+4&gt;='🌱 Configuração'!$D$51,'🌱 Configuração'!$B$51+4&lt;'🌱 Configuração'!$E$51,INT(('🌱 Configuração'!$B$51+4-'🌱 Configuração'!$D$51)/7)+1=1,MOD('🌱 Configuração'!$B$51+4-'🌱 Configuração'!$D$51,7)=0),"🌸 Bloom A+B — EC 1.6",IF(AND('🌱 Configuração'!$B$51+4&gt;='🌱 Configuração'!$D$51,'🌱 Configuração'!$B$51+4&lt;'🌱 Configuração'!$E$51,INT(('🌱 Configuração'!$B$51+4-'🌱 Configuração'!$D$51)/7)+1=2,MOD('🌱 Configuração'!$B$51+4-'🌱 Configuração'!$D$51,7)=0),"🌸 Bloom + PK 13/14 início",IF(AND('🌱 Configuração'!$B$51+4&gt;='🌱 Configuração'!$D$51,'🌱 Configuração'!$B$51+4&lt;'🌱 Configuração'!$E$51,INT(('🌱 Configuração'!$B$51+4-'🌱 Configuração'!$D$51)/7)+1=3,MOD('🌱 Configuração'!$B$51+4-'🌱 Configuração'!$D$51,7)=0),"🌸 Bloom + PK + CalMag — EC 1.8",IF(AND('🌱 Configuração'!$B$51+4&gt;='🌱 Configuração'!$D$51,'🌱 Configuração'!$B$51+4&lt;'🌱 Configuração'!$E$51,INT(('🌱 Configuração'!$B$51+4-'🌱 Configuração'!$D$51)/7)+1=4,MOD('🌱 Configuração'!$B$51+4-'🌱 Configuração'!$D$51,7)=0),"🌸 Bloom + PK + Boost Floral — EC 2.0",IF(AND('🌱 Configuração'!$B$51+4&gt;='🌱 Configuração'!$D$51,'🌱 Configuração'!$B$51+4&lt;'🌱 Configuração'!$E$51,INT(('🌱 Configuração'!$B$51+4-'🌱 Configuração'!$D$51)/7)+1=5,MOD('🌱 Configuração'!$B$51+4-'🌱 Configuração'!$D$51,7)=0),"🌸 Bloom + Boost + Amino",IF(AND('🌱 Configuração'!$B$51+4&gt;='🌱 Configuração'!$D$51,'🌱 Configuração'!$B$51+4&lt;'🌱 Configuração'!$E$51,INT(('🌱 Configuração'!$B$51+4-'🌱 Configuração'!$D$51)/7)+1=6,MOD('🌱 Configuração'!$B$51+4-'🌱 Configuração'!$D$51,7)=0),"🌸 Bloom + Enzimas + Amino",IF(AND('🌱 Configuração'!$B$51+4&gt;='🌱 Configuração'!$D$51,'🌱 Configuração'!$B$51+4&lt;'🌱 Configuração'!$E$51,INT(('🌱 Configuração'!$B$51+4-'🌱 Configuração'!$D$51)/7)+1=7,MOD('🌱 Configuração'!$B$51+4-'🌱 Configuração'!$D$51,7)=0),"🌸 Reduzir N — Bloom puro — EC 1.6",IF(AND('🌱 Configuração'!$B$51+4&gt;='🌱 Configuração'!$D$51,'🌱 Configuração'!$B$51+4&lt;'🌱 Configuração'!$E$51,INT(('🌱 Configuração'!$B$51+4-'🌱 Configuração'!$D$51)/7)+1=8,MOD('🌱 Configuração'!$B$51+4-'🌱 Configuração'!$D$51,7)=0),"🌸 Bloom puro — EC 1.4  (pré-flush)",IF(AND('🌱 Configuração'!$B$51+4&gt;='🌱 Configuração'!$D$51,'🌱 Configuração'!$B$51+4&lt;'🌱 Configuração'!$E$51,INT(('🌱 Configuração'!$B$51+4-'🌱 Configuração'!$D$51)/7)+1=9,MOD('🌱 Configuração'!$B$51+4-'🌱 Configuração'!$D$51,7)=0),"🌸 Último Bloom — EC 0.8",IF(AND('🌱 Configuração'!$B$51+4&gt;='🌱 Configuração'!$E$51,INT(('🌱 Configuração'!$B$51+4-'🌱 Configuração'!$E$51)/7)+1=1,MOD('🌱 Configuração'!$B$51+4-'🌱 Configuração'!$E$51,7)=0),"🚿 Água pura + Enzimas (EC &lt; 0.3)",IF(AND('🌱 Configuração'!$B$51+4&gt;='🌱 Configuração'!$E$51,INT(('🌱 Configuração'!$B$51+4-'🌱 Configuração'!$E$51)/7)+1=2,MOD('🌱 Configuração'!$B$51+4-'🌱 Configuração'!$E$51,7)=0),"🚿 Água pura (EC &lt; 0.2)",""))))))))))))))))))))))</f>
        <v/>
      </c>
      <c r="G10" s="30" t="str">
        <f>IF(5&gt;'🌱 Configuração'!$F$50,"",IF(AND('🌱 Configuração'!$B$51+4&lt;'🌱 Configuração'!$C$51,INT((5-1)/7)+1=1,MOD(5-1,7)=0),"🐛 Nim 2mL/L foliar — preventivo",IF(AND('🌱 Configuração'!$B$51+4&lt;'🌱 Configuração'!$C$51,INT((5-1)/7)+1=2,MOD(5-1,7)=0),"🐛 Beauveria bassiana foliar + solo",IF(AND('🌱 Configuração'!$B$51+4&gt;='🌱 Configuração'!$C$51,'🌱 Configuração'!$B$51+4&lt;'🌱 Configuração'!$D$51,INT(('🌱 Configuração'!$B$51+4-'🌱 Configuração'!$C$51)/7)+1=1,MOD('🌱 Configuração'!$B$51+4-'🌱 Configuração'!$C$51,7)=0),"🐛 Nim 2mL/L foliar",IF(AND('🌱 Configuração'!$B$51+4&gt;='🌱 Configuração'!$C$51,'🌱 Configuração'!$B$51+4&lt;'🌱 Configuração'!$D$51,INT(('🌱 Configuração'!$B$51+4-'🌱 Configuração'!$C$51)/7)+1=2,MOD('🌱 Configuração'!$B$51+4-'🌱 Configuração'!$C$51,7)=0),"🐛 Beauveria bassiana foliar",IF(AND('🌱 Configuração'!$B$51+4&gt;='🌱 Configuração'!$C$51,'🌱 Configuração'!$B$51+4&lt;'🌱 Configuração'!$D$51,INT(('🌱 Configuração'!$B$51+4-'🌱 Configuração'!$C$51)/7)+1=3,MOD('🌱 Configuração'!$B$51+4-'🌱 Configuração'!$C$51,7)=0),"🐛 Nim + Calda Sulfocálcica 1%",IF(AND('🌱 Configuração'!$B$51+4&gt;='🌱 Configuração'!$C$51,'🌱 Configuração'!$B$51+4&lt;'🌱 Configuração'!$D$51,INT(('🌱 Configuração'!$B$51+4-'🌱 Configuração'!$C$51)/7)+1=4,MOD('🌱 Configuração'!$B$51+4-'🌱 Configuração'!$C$51,7)=0),"🐛 Trichoderma solo + Beauveria",IF(AND('🌱 Configuração'!$B$51+4&gt;='🌱 Configuração'!$C$51,'🌱 Configuração'!$B$51+4&lt;'🌱 Configuração'!$D$51,INT(('🌱 Configuração'!$B$51+4-'🌱 Configuração'!$C$51)/7)+1=5,MOD('🌱 Configuração'!$B$51+4-'🌱 Configuração'!$C$51,7)=0),"🐛 Calda Bordalesa 0.5% foliar",IF(AND('🌱 Configuração'!$B$51+4&gt;='🌱 Configuração'!$C$51,'🌱 Configuração'!$B$51+4&lt;'🌱 Configuração'!$D$51,INT(('🌱 Configuração'!$B$51+4-'🌱 Configuração'!$C$51)/7)+1=6,MOD('🌱 Configuração'!$B$51+4-'🌱 Configuração'!$C$51,7)=0),"🐛 Nim 2mL/L — ÚLTIMA foliar",IF(AND('🌱 Configuração'!$B$51+4&gt;='🌱 Configuração'!$D$51,'🌱 Configuração'!$B$51+4&lt;'🌱 Configuração'!$E$51,INT(('🌱 Configuração'!$B$51+4-'🌱 Configuração'!$D$51)/7)+1=1,MOD('🌱 Configuração'!$B$51+4-'🌱 Configuração'!$D$51,7)=0),"🐛 Beauveria bassiana solo (sem foliar)",IF(AND('🌱 Configuração'!$B$51+4&gt;='🌱 Configuração'!$D$51,'🌱 Configuração'!$B$51+4&lt;'🌱 Configuração'!$E$51,INT(('🌱 Configuração'!$B$51+4-'🌱 Configuração'!$D$51)/7)+1=2,MOD('🌱 Configuração'!$B$51+4-'🌱 Configuração'!$D$51,7)=0),"🐛 Trichoderma solo",IF(AND('🌱 Configuração'!$B$51+4&gt;='🌱 Configuração'!$D$51,'🌱 Configuração'!$B$51+4&lt;'🌱 Configuração'!$E$51,INT(('🌱 Configuração'!$B$51+4-'🌱 Configuração'!$D$51)/7)+1=3,MOD('🌱 Configuração'!$B$51+4-'🌱 Configuração'!$D$51,7)=0),"🐛 Beauveria bassiana solo",IF(AND('🌱 Configuração'!$B$51+4&gt;='🌱 Configuração'!$D$51,'🌱 Configuração'!$B$51+4&lt;'🌱 Configuração'!$E$51,INT(('🌱 Configuração'!$B$51+4-'🌱 Configuração'!$D$51)/7)+1=4,MOD('🌱 Configuração'!$B$51+4-'🌱 Configuração'!$D$51,7)=0),"🐛 Trichoderma solo",IF(AND('🌱 Configuração'!$B$51+4&gt;='🌱 Configuração'!$E$51,INT(('🌱 Configuração'!$B$51+4-'🌱 Configuração'!$E$51)/7)+1=1,MOD('🌱 Configuração'!$B$51+4-'🌱 Configuração'!$E$51,7)=0),"🐛 Inspeção final — sem aplicação",""))))))))))))))</f>
        <v/>
      </c>
      <c r="H10" s="22" t="str">
        <f>IF(5&gt;'🌱 Configuração'!$F$50,"",IF('🌱 Configuração'!$B$51+4='🌱 Configuração'!$C$51,"🌿 INÍCIO VEGA — ajustar espaço, luz 18h/dia — EC 0.8",IF('🌱 Configuração'!$B$51+4='🌱 Configuração'!$D$51,"🌸 INÍCIO FLORAÇÃO — mudar para 12h/12h — 🔴 atenção ao fotoperíodo",IF('🌱 Configuração'!$B$51+4='🌱 Configuração'!$E$51,"🚿 INÍCIO FLUSH — PARAR nutrição, somente água pura",IF('🌱 Configuração'!$B$51+4='🌱 Configuração'!$F$51-1,"🔬 Véspera da colheita — analisar tricomas âmbar",IF('🌱 Configuração'!$B$51+4='🌱 Configuração'!$F$51,"✂️ COLHEITA! Parabéns! 🎉",""))))))</f>
        <v/>
      </c>
    </row>
    <row r="11" spans="2:8" ht="18.75" customHeight="1" x14ac:dyDescent="0.3">
      <c r="B11" s="25">
        <f>IF(6&lt;='🌱 Configuração'!$F$50,6,"")</f>
        <v>6</v>
      </c>
      <c r="C11" s="26">
        <f>IF(6&lt;='🌱 Configuração'!$F$50,'🌱 Configuração'!$B$51+5,"")</f>
        <v>46028</v>
      </c>
      <c r="D11" s="27" t="str">
        <f>IF(6&gt;'🌱 Configuração'!$F$50,"",IF('🌱 Configuração'!$B$51+5&lt;'🌱 Configuração'!$C$51,"🌱 Clone",IF('🌱 Configuração'!$B$51+5&lt;'🌱 Configuração'!$D$51,"🌿 Vegetativo",IF('🌱 Configuração'!$B$51+5&lt;'🌱 Configuração'!$E$51,"🌸 Floração","🚿 Flush"))))</f>
        <v>🌱 Clone</v>
      </c>
      <c r="E11" s="28" t="str">
        <f>IF(6&gt;'🌱 Configuração'!$F$50,"",IF('🌱 Configuração'!$B$51+5&lt;'🌱 Configuração'!$C$51,"Clone S"&amp;INT((6-1)/7)+1,IF('🌱 Configuração'!$B$51+5&lt;'🌱 Configuração'!$D$51,"Vega S"&amp;INT(('🌱 Configuração'!$B$51+5-'🌱 Configuração'!$C$51)/7)+1,IF('🌱 Configuração'!$B$51+5&lt;'🌱 Configuração'!$E$51,"Flora S"&amp;INT(('🌱 Configuração'!$B$51+5-'🌱 Configuração'!$D$51)/7)+1,"Flush S"&amp;INT(('🌱 Configuração'!$B$51+5-'🌱 Configuração'!$E$51)/7)+1))))</f>
        <v>Clone S1</v>
      </c>
      <c r="F11" s="29" t="str">
        <f>IF(6&gt;'🌱 Configuração'!$F$50,"",IF(AND('🌱 Configuração'!$B$51+5&lt;'🌱 Configuração'!$C$51,INT((6-1)/7)+1=1,MOD(6-1,7)=0),"🌱 Enraizador (0.5 mL/L)",IF(AND('🌱 Configuração'!$B$51+5&lt;'🌱 Configuração'!$C$51,INT((6-1)/7)+1=2,MOD(6-1,7)=0),"🌱 Enraizador + Vitamina B1",IF(AND('🌱 Configuração'!$B$51+5&gt;='🌱 Configuração'!$C$51,'🌱 Configuração'!$B$51+5&lt;'🌱 Configuração'!$D$51,INT(('🌱 Configuração'!$B$51+5-'🌱 Configuração'!$C$51)/7)+1=1,MOD('🌱 Configuração'!$B$51+5-'🌱 Configuração'!$C$51,7)=0),"🌿 Grow A+B início — EC 0.8",IF(AND('🌱 Configuração'!$B$51+5&gt;='🌱 Configuração'!$C$51,'🌱 Configuração'!$B$51+5&lt;'🌱 Configuração'!$D$51,INT(('🌱 Configuração'!$B$51+5-'🌱 Configuração'!$C$51)/7)+1=2,MOD('🌱 Configuração'!$B$51+5-'🌱 Configuração'!$C$51,7)=0),"🌿 Grow A+B + CalMag — EC 1.0",IF(AND('🌱 Configuração'!$B$51+5&gt;='🌱 Configuração'!$C$51,'🌱 Configuração'!$B$51+5&lt;'🌱 Configuração'!$D$51,INT(('🌱 Configuração'!$B$51+5-'🌱 Configuração'!$C$51)/7)+1=3,MOD('🌱 Configuração'!$B$51+5-'🌱 Configuração'!$C$51,7)=0),"🌿 Grow A+B + CalMag — EC 1.2",IF(AND('🌱 Configuração'!$B$51+5&gt;='🌱 Configuração'!$C$51,'🌱 Configuração'!$B$51+5&lt;'🌱 Configuração'!$D$51,INT(('🌱 Configuração'!$B$51+5-'🌱 Configuração'!$C$51)/7)+1=4,MOD('🌱 Configuração'!$B$51+5-'🌱 Configuração'!$C$51,7)=0),"🌿 Grow A+B + Enzimas — EC 1.4",IF(AND('🌱 Configuração'!$B$51+5&gt;='🌱 Configuração'!$C$51,'🌱 Configuração'!$B$51+5&lt;'🌱 Configuração'!$D$51,INT(('🌱 Configuração'!$B$51+5-'🌱 Configuração'!$C$51)/7)+1=5,MOD('🌱 Configuração'!$B$51+5-'🌱 Configuração'!$C$51,7)=0),"🌿 Grow A+B + Biorrizas — EC 1.5",IF(AND('🌱 Configuração'!$B$51+5&gt;='🌱 Configuração'!$C$51,'🌱 Configuração'!$B$51+5&lt;'🌱 Configuração'!$D$51,INT(('🌱 Configuração'!$B$51+5-'🌱 Configuração'!$C$51)/7)+1=6,MOD('🌱 Configuração'!$B$51+5-'🌱 Configuração'!$C$51,7)=0),"🌿 Transição Bloom — EC 1.4",IF(AND('🌱 Configuração'!$B$51+5&gt;='🌱 Configuração'!$C$51,'🌱 Configuração'!$B$51+5&lt;'🌱 Configuração'!$D$51,INT(('🌱 Configuração'!$B$51+5-'🌱 Configuração'!$C$51)/7)+1=7,MOD('🌱 Configuração'!$B$51+5-'🌱 Configuração'!$C$51,7)=0),"🌿 Bloom A+B transição — EC 1.4",IF(AND('🌱 Configuração'!$B$51+5&gt;='🌱 Configuração'!$C$51,'🌱 Configuração'!$B$51+5&lt;'🌱 Configuração'!$D$51,INT(('🌱 Configuração'!$B$51+5-'🌱 Configuração'!$C$51)/7)+1=8,MOD('🌱 Configuração'!$B$51+5-'🌱 Configuração'!$C$51,7)=0),"🌿 Bloom A+B — EC 1.4",IF(AND('🌱 Configuração'!$B$51+5&gt;='🌱 Configuração'!$D$51,'🌱 Configuração'!$B$51+5&lt;'🌱 Configuração'!$E$51,INT(('🌱 Configuração'!$B$51+5-'🌱 Configuração'!$D$51)/7)+1=1,MOD('🌱 Configuração'!$B$51+5-'🌱 Configuração'!$D$51,7)=0),"🌸 Bloom A+B — EC 1.6",IF(AND('🌱 Configuração'!$B$51+5&gt;='🌱 Configuração'!$D$51,'🌱 Configuração'!$B$51+5&lt;'🌱 Configuração'!$E$51,INT(('🌱 Configuração'!$B$51+5-'🌱 Configuração'!$D$51)/7)+1=2,MOD('🌱 Configuração'!$B$51+5-'🌱 Configuração'!$D$51,7)=0),"🌸 Bloom + PK 13/14 início",IF(AND('🌱 Configuração'!$B$51+5&gt;='🌱 Configuração'!$D$51,'🌱 Configuração'!$B$51+5&lt;'🌱 Configuração'!$E$51,INT(('🌱 Configuração'!$B$51+5-'🌱 Configuração'!$D$51)/7)+1=3,MOD('🌱 Configuração'!$B$51+5-'🌱 Configuração'!$D$51,7)=0),"🌸 Bloom + PK + CalMag — EC 1.8",IF(AND('🌱 Configuração'!$B$51+5&gt;='🌱 Configuração'!$D$51,'🌱 Configuração'!$B$51+5&lt;'🌱 Configuração'!$E$51,INT(('🌱 Configuração'!$B$51+5-'🌱 Configuração'!$D$51)/7)+1=4,MOD('🌱 Configuração'!$B$51+5-'🌱 Configuração'!$D$51,7)=0),"🌸 Bloom + PK + Boost Floral — EC 2.0",IF(AND('🌱 Configuração'!$B$51+5&gt;='🌱 Configuração'!$D$51,'🌱 Configuração'!$B$51+5&lt;'🌱 Configuração'!$E$51,INT(('🌱 Configuração'!$B$51+5-'🌱 Configuração'!$D$51)/7)+1=5,MOD('🌱 Configuração'!$B$51+5-'🌱 Configuração'!$D$51,7)=0),"🌸 Bloom + Boost + Amino",IF(AND('🌱 Configuração'!$B$51+5&gt;='🌱 Configuração'!$D$51,'🌱 Configuração'!$B$51+5&lt;'🌱 Configuração'!$E$51,INT(('🌱 Configuração'!$B$51+5-'🌱 Configuração'!$D$51)/7)+1=6,MOD('🌱 Configuração'!$B$51+5-'🌱 Configuração'!$D$51,7)=0),"🌸 Bloom + Enzimas + Amino",IF(AND('🌱 Configuração'!$B$51+5&gt;='🌱 Configuração'!$D$51,'🌱 Configuração'!$B$51+5&lt;'🌱 Configuração'!$E$51,INT(('🌱 Configuração'!$B$51+5-'🌱 Configuração'!$D$51)/7)+1=7,MOD('🌱 Configuração'!$B$51+5-'🌱 Configuração'!$D$51,7)=0),"🌸 Reduzir N — Bloom puro — EC 1.6",IF(AND('🌱 Configuração'!$B$51+5&gt;='🌱 Configuração'!$D$51,'🌱 Configuração'!$B$51+5&lt;'🌱 Configuração'!$E$51,INT(('🌱 Configuração'!$B$51+5-'🌱 Configuração'!$D$51)/7)+1=8,MOD('🌱 Configuração'!$B$51+5-'🌱 Configuração'!$D$51,7)=0),"🌸 Bloom puro — EC 1.4  (pré-flush)",IF(AND('🌱 Configuração'!$B$51+5&gt;='🌱 Configuração'!$D$51,'🌱 Configuração'!$B$51+5&lt;'🌱 Configuração'!$E$51,INT(('🌱 Configuração'!$B$51+5-'🌱 Configuração'!$D$51)/7)+1=9,MOD('🌱 Configuração'!$B$51+5-'🌱 Configuração'!$D$51,7)=0),"🌸 Último Bloom — EC 0.8",IF(AND('🌱 Configuração'!$B$51+5&gt;='🌱 Configuração'!$E$51,INT(('🌱 Configuração'!$B$51+5-'🌱 Configuração'!$E$51)/7)+1=1,MOD('🌱 Configuração'!$B$51+5-'🌱 Configuração'!$E$51,7)=0),"🚿 Água pura + Enzimas (EC &lt; 0.3)",IF(AND('🌱 Configuração'!$B$51+5&gt;='🌱 Configuração'!$E$51,INT(('🌱 Configuração'!$B$51+5-'🌱 Configuração'!$E$51)/7)+1=2,MOD('🌱 Configuração'!$B$51+5-'🌱 Configuração'!$E$51,7)=0),"🚿 Água pura (EC &lt; 0.2)",""))))))))))))))))))))))</f>
        <v/>
      </c>
      <c r="G11" s="30" t="str">
        <f>IF(6&gt;'🌱 Configuração'!$F$50,"",IF(AND('🌱 Configuração'!$B$51+5&lt;'🌱 Configuração'!$C$51,INT((6-1)/7)+1=1,MOD(6-1,7)=0),"🐛 Nim 2mL/L foliar — preventivo",IF(AND('🌱 Configuração'!$B$51+5&lt;'🌱 Configuração'!$C$51,INT((6-1)/7)+1=2,MOD(6-1,7)=0),"🐛 Beauveria bassiana foliar + solo",IF(AND('🌱 Configuração'!$B$51+5&gt;='🌱 Configuração'!$C$51,'🌱 Configuração'!$B$51+5&lt;'🌱 Configuração'!$D$51,INT(('🌱 Configuração'!$B$51+5-'🌱 Configuração'!$C$51)/7)+1=1,MOD('🌱 Configuração'!$B$51+5-'🌱 Configuração'!$C$51,7)=0),"🐛 Nim 2mL/L foliar",IF(AND('🌱 Configuração'!$B$51+5&gt;='🌱 Configuração'!$C$51,'🌱 Configuração'!$B$51+5&lt;'🌱 Configuração'!$D$51,INT(('🌱 Configuração'!$B$51+5-'🌱 Configuração'!$C$51)/7)+1=2,MOD('🌱 Configuração'!$B$51+5-'🌱 Configuração'!$C$51,7)=0),"🐛 Beauveria bassiana foliar",IF(AND('🌱 Configuração'!$B$51+5&gt;='🌱 Configuração'!$C$51,'🌱 Configuração'!$B$51+5&lt;'🌱 Configuração'!$D$51,INT(('🌱 Configuração'!$B$51+5-'🌱 Configuração'!$C$51)/7)+1=3,MOD('🌱 Configuração'!$B$51+5-'🌱 Configuração'!$C$51,7)=0),"🐛 Nim + Calda Sulfocálcica 1%",IF(AND('🌱 Configuração'!$B$51+5&gt;='🌱 Configuração'!$C$51,'🌱 Configuração'!$B$51+5&lt;'🌱 Configuração'!$D$51,INT(('🌱 Configuração'!$B$51+5-'🌱 Configuração'!$C$51)/7)+1=4,MOD('🌱 Configuração'!$B$51+5-'🌱 Configuração'!$C$51,7)=0),"🐛 Trichoderma solo + Beauveria",IF(AND('🌱 Configuração'!$B$51+5&gt;='🌱 Configuração'!$C$51,'🌱 Configuração'!$B$51+5&lt;'🌱 Configuração'!$D$51,INT(('🌱 Configuração'!$B$51+5-'🌱 Configuração'!$C$51)/7)+1=5,MOD('🌱 Configuração'!$B$51+5-'🌱 Configuração'!$C$51,7)=0),"🐛 Calda Bordalesa 0.5% foliar",IF(AND('🌱 Configuração'!$B$51+5&gt;='🌱 Configuração'!$C$51,'🌱 Configuração'!$B$51+5&lt;'🌱 Configuração'!$D$51,INT(('🌱 Configuração'!$B$51+5-'🌱 Configuração'!$C$51)/7)+1=6,MOD('🌱 Configuração'!$B$51+5-'🌱 Configuração'!$C$51,7)=0),"🐛 Nim 2mL/L — ÚLTIMA foliar",IF(AND('🌱 Configuração'!$B$51+5&gt;='🌱 Configuração'!$D$51,'🌱 Configuração'!$B$51+5&lt;'🌱 Configuração'!$E$51,INT(('🌱 Configuração'!$B$51+5-'🌱 Configuração'!$D$51)/7)+1=1,MOD('🌱 Configuração'!$B$51+5-'🌱 Configuração'!$D$51,7)=0),"🐛 Beauveria bassiana solo (sem foliar)",IF(AND('🌱 Configuração'!$B$51+5&gt;='🌱 Configuração'!$D$51,'🌱 Configuração'!$B$51+5&lt;'🌱 Configuração'!$E$51,INT(('🌱 Configuração'!$B$51+5-'🌱 Configuração'!$D$51)/7)+1=2,MOD('🌱 Configuração'!$B$51+5-'🌱 Configuração'!$D$51,7)=0),"🐛 Trichoderma solo",IF(AND('🌱 Configuração'!$B$51+5&gt;='🌱 Configuração'!$D$51,'🌱 Configuração'!$B$51+5&lt;'🌱 Configuração'!$E$51,INT(('🌱 Configuração'!$B$51+5-'🌱 Configuração'!$D$51)/7)+1=3,MOD('🌱 Configuração'!$B$51+5-'🌱 Configuração'!$D$51,7)=0),"🐛 Beauveria bassiana solo",IF(AND('🌱 Configuração'!$B$51+5&gt;='🌱 Configuração'!$D$51,'🌱 Configuração'!$B$51+5&lt;'🌱 Configuração'!$E$51,INT(('🌱 Configuração'!$B$51+5-'🌱 Configuração'!$D$51)/7)+1=4,MOD('🌱 Configuração'!$B$51+5-'🌱 Configuração'!$D$51,7)=0),"🐛 Trichoderma solo",IF(AND('🌱 Configuração'!$B$51+5&gt;='🌱 Configuração'!$E$51,INT(('🌱 Configuração'!$B$51+5-'🌱 Configuração'!$E$51)/7)+1=1,MOD('🌱 Configuração'!$B$51+5-'🌱 Configuração'!$E$51,7)=0),"🐛 Inspeção final — sem aplicação",""))))))))))))))</f>
        <v/>
      </c>
      <c r="H11" s="22" t="str">
        <f>IF(6&gt;'🌱 Configuração'!$F$50,"",IF('🌱 Configuração'!$B$51+5='🌱 Configuração'!$C$51,"🌿 INÍCIO VEGA — ajustar espaço, luz 18h/dia — EC 0.8",IF('🌱 Configuração'!$B$51+5='🌱 Configuração'!$D$51,"🌸 INÍCIO FLORAÇÃO — mudar para 12h/12h — 🔴 atenção ao fotoperíodo",IF('🌱 Configuração'!$B$51+5='🌱 Configuração'!$E$51,"🚿 INÍCIO FLUSH — PARAR nutrição, somente água pura",IF('🌱 Configuração'!$B$51+5='🌱 Configuração'!$F$51-1,"🔬 Véspera da colheita — analisar tricomas âmbar",IF('🌱 Configuração'!$B$51+5='🌱 Configuração'!$F$51,"✂️ COLHEITA! Parabéns! 🎉",""))))))</f>
        <v/>
      </c>
    </row>
    <row r="12" spans="2:8" ht="18.75" customHeight="1" x14ac:dyDescent="0.3">
      <c r="B12" s="25">
        <f>IF(7&lt;='🌱 Configuração'!$F$50,7,"")</f>
        <v>7</v>
      </c>
      <c r="C12" s="26">
        <f>IF(7&lt;='🌱 Configuração'!$F$50,'🌱 Configuração'!$B$51+6,"")</f>
        <v>46029</v>
      </c>
      <c r="D12" s="27" t="str">
        <f>IF(7&gt;'🌱 Configuração'!$F$50,"",IF('🌱 Configuração'!$B$51+6&lt;'🌱 Configuração'!$C$51,"🌱 Clone",IF('🌱 Configuração'!$B$51+6&lt;'🌱 Configuração'!$D$51,"🌿 Vegetativo",IF('🌱 Configuração'!$B$51+6&lt;'🌱 Configuração'!$E$51,"🌸 Floração","🚿 Flush"))))</f>
        <v>🌱 Clone</v>
      </c>
      <c r="E12" s="28" t="str">
        <f>IF(7&gt;'🌱 Configuração'!$F$50,"",IF('🌱 Configuração'!$B$51+6&lt;'🌱 Configuração'!$C$51,"Clone S"&amp;INT((7-1)/7)+1,IF('🌱 Configuração'!$B$51+6&lt;'🌱 Configuração'!$D$51,"Vega S"&amp;INT(('🌱 Configuração'!$B$51+6-'🌱 Configuração'!$C$51)/7)+1,IF('🌱 Configuração'!$B$51+6&lt;'🌱 Configuração'!$E$51,"Flora S"&amp;INT(('🌱 Configuração'!$B$51+6-'🌱 Configuração'!$D$51)/7)+1,"Flush S"&amp;INT(('🌱 Configuração'!$B$51+6-'🌱 Configuração'!$E$51)/7)+1))))</f>
        <v>Clone S1</v>
      </c>
      <c r="F12" s="29" t="str">
        <f>IF(7&gt;'🌱 Configuração'!$F$50,"",IF(AND('🌱 Configuração'!$B$51+6&lt;'🌱 Configuração'!$C$51,INT((7-1)/7)+1=1,MOD(7-1,7)=0),"🌱 Enraizador (0.5 mL/L)",IF(AND('🌱 Configuração'!$B$51+6&lt;'🌱 Configuração'!$C$51,INT((7-1)/7)+1=2,MOD(7-1,7)=0),"🌱 Enraizador + Vitamina B1",IF(AND('🌱 Configuração'!$B$51+6&gt;='🌱 Configuração'!$C$51,'🌱 Configuração'!$B$51+6&lt;'🌱 Configuração'!$D$51,INT(('🌱 Configuração'!$B$51+6-'🌱 Configuração'!$C$51)/7)+1=1,MOD('🌱 Configuração'!$B$51+6-'🌱 Configuração'!$C$51,7)=0),"🌿 Grow A+B início — EC 0.8",IF(AND('🌱 Configuração'!$B$51+6&gt;='🌱 Configuração'!$C$51,'🌱 Configuração'!$B$51+6&lt;'🌱 Configuração'!$D$51,INT(('🌱 Configuração'!$B$51+6-'🌱 Configuração'!$C$51)/7)+1=2,MOD('🌱 Configuração'!$B$51+6-'🌱 Configuração'!$C$51,7)=0),"🌿 Grow A+B + CalMag — EC 1.0",IF(AND('🌱 Configuração'!$B$51+6&gt;='🌱 Configuração'!$C$51,'🌱 Configuração'!$B$51+6&lt;'🌱 Configuração'!$D$51,INT(('🌱 Configuração'!$B$51+6-'🌱 Configuração'!$C$51)/7)+1=3,MOD('🌱 Configuração'!$B$51+6-'🌱 Configuração'!$C$51,7)=0),"🌿 Grow A+B + CalMag — EC 1.2",IF(AND('🌱 Configuração'!$B$51+6&gt;='🌱 Configuração'!$C$51,'🌱 Configuração'!$B$51+6&lt;'🌱 Configuração'!$D$51,INT(('🌱 Configuração'!$B$51+6-'🌱 Configuração'!$C$51)/7)+1=4,MOD('🌱 Configuração'!$B$51+6-'🌱 Configuração'!$C$51,7)=0),"🌿 Grow A+B + Enzimas — EC 1.4",IF(AND('🌱 Configuração'!$B$51+6&gt;='🌱 Configuração'!$C$51,'🌱 Configuração'!$B$51+6&lt;'🌱 Configuração'!$D$51,INT(('🌱 Configuração'!$B$51+6-'🌱 Configuração'!$C$51)/7)+1=5,MOD('🌱 Configuração'!$B$51+6-'🌱 Configuração'!$C$51,7)=0),"🌿 Grow A+B + Biorrizas — EC 1.5",IF(AND('🌱 Configuração'!$B$51+6&gt;='🌱 Configuração'!$C$51,'🌱 Configuração'!$B$51+6&lt;'🌱 Configuração'!$D$51,INT(('🌱 Configuração'!$B$51+6-'🌱 Configuração'!$C$51)/7)+1=6,MOD('🌱 Configuração'!$B$51+6-'🌱 Configuração'!$C$51,7)=0),"🌿 Transição Bloom — EC 1.4",IF(AND('🌱 Configuração'!$B$51+6&gt;='🌱 Configuração'!$C$51,'🌱 Configuração'!$B$51+6&lt;'🌱 Configuração'!$D$51,INT(('🌱 Configuração'!$B$51+6-'🌱 Configuração'!$C$51)/7)+1=7,MOD('🌱 Configuração'!$B$51+6-'🌱 Configuração'!$C$51,7)=0),"🌿 Bloom A+B transição — EC 1.4",IF(AND('🌱 Configuração'!$B$51+6&gt;='🌱 Configuração'!$C$51,'🌱 Configuração'!$B$51+6&lt;'🌱 Configuração'!$D$51,INT(('🌱 Configuração'!$B$51+6-'🌱 Configuração'!$C$51)/7)+1=8,MOD('🌱 Configuração'!$B$51+6-'🌱 Configuração'!$C$51,7)=0),"🌿 Bloom A+B — EC 1.4",IF(AND('🌱 Configuração'!$B$51+6&gt;='🌱 Configuração'!$D$51,'🌱 Configuração'!$B$51+6&lt;'🌱 Configuração'!$E$51,INT(('🌱 Configuração'!$B$51+6-'🌱 Configuração'!$D$51)/7)+1=1,MOD('🌱 Configuração'!$B$51+6-'🌱 Configuração'!$D$51,7)=0),"🌸 Bloom A+B — EC 1.6",IF(AND('🌱 Configuração'!$B$51+6&gt;='🌱 Configuração'!$D$51,'🌱 Configuração'!$B$51+6&lt;'🌱 Configuração'!$E$51,INT(('🌱 Configuração'!$B$51+6-'🌱 Configuração'!$D$51)/7)+1=2,MOD('🌱 Configuração'!$B$51+6-'🌱 Configuração'!$D$51,7)=0),"🌸 Bloom + PK 13/14 início",IF(AND('🌱 Configuração'!$B$51+6&gt;='🌱 Configuração'!$D$51,'🌱 Configuração'!$B$51+6&lt;'🌱 Configuração'!$E$51,INT(('🌱 Configuração'!$B$51+6-'🌱 Configuração'!$D$51)/7)+1=3,MOD('🌱 Configuração'!$B$51+6-'🌱 Configuração'!$D$51,7)=0),"🌸 Bloom + PK + CalMag — EC 1.8",IF(AND('🌱 Configuração'!$B$51+6&gt;='🌱 Configuração'!$D$51,'🌱 Configuração'!$B$51+6&lt;'🌱 Configuração'!$E$51,INT(('🌱 Configuração'!$B$51+6-'🌱 Configuração'!$D$51)/7)+1=4,MOD('🌱 Configuração'!$B$51+6-'🌱 Configuração'!$D$51,7)=0),"🌸 Bloom + PK + Boost Floral — EC 2.0",IF(AND('🌱 Configuração'!$B$51+6&gt;='🌱 Configuração'!$D$51,'🌱 Configuração'!$B$51+6&lt;'🌱 Configuração'!$E$51,INT(('🌱 Configuração'!$B$51+6-'🌱 Configuração'!$D$51)/7)+1=5,MOD('🌱 Configuração'!$B$51+6-'🌱 Configuração'!$D$51,7)=0),"🌸 Bloom + Boost + Amino",IF(AND('🌱 Configuração'!$B$51+6&gt;='🌱 Configuração'!$D$51,'🌱 Configuração'!$B$51+6&lt;'🌱 Configuração'!$E$51,INT(('🌱 Configuração'!$B$51+6-'🌱 Configuração'!$D$51)/7)+1=6,MOD('🌱 Configuração'!$B$51+6-'🌱 Configuração'!$D$51,7)=0),"🌸 Bloom + Enzimas + Amino",IF(AND('🌱 Configuração'!$B$51+6&gt;='🌱 Configuração'!$D$51,'🌱 Configuração'!$B$51+6&lt;'🌱 Configuração'!$E$51,INT(('🌱 Configuração'!$B$51+6-'🌱 Configuração'!$D$51)/7)+1=7,MOD('🌱 Configuração'!$B$51+6-'🌱 Configuração'!$D$51,7)=0),"🌸 Reduzir N — Bloom puro — EC 1.6",IF(AND('🌱 Configuração'!$B$51+6&gt;='🌱 Configuração'!$D$51,'🌱 Configuração'!$B$51+6&lt;'🌱 Configuração'!$E$51,INT(('🌱 Configuração'!$B$51+6-'🌱 Configuração'!$D$51)/7)+1=8,MOD('🌱 Configuração'!$B$51+6-'🌱 Configuração'!$D$51,7)=0),"🌸 Bloom puro — EC 1.4  (pré-flush)",IF(AND('🌱 Configuração'!$B$51+6&gt;='🌱 Configuração'!$D$51,'🌱 Configuração'!$B$51+6&lt;'🌱 Configuração'!$E$51,INT(('🌱 Configuração'!$B$51+6-'🌱 Configuração'!$D$51)/7)+1=9,MOD('🌱 Configuração'!$B$51+6-'🌱 Configuração'!$D$51,7)=0),"🌸 Último Bloom — EC 0.8",IF(AND('🌱 Configuração'!$B$51+6&gt;='🌱 Configuração'!$E$51,INT(('🌱 Configuração'!$B$51+6-'🌱 Configuração'!$E$51)/7)+1=1,MOD('🌱 Configuração'!$B$51+6-'🌱 Configuração'!$E$51,7)=0),"🚿 Água pura + Enzimas (EC &lt; 0.3)",IF(AND('🌱 Configuração'!$B$51+6&gt;='🌱 Configuração'!$E$51,INT(('🌱 Configuração'!$B$51+6-'🌱 Configuração'!$E$51)/7)+1=2,MOD('🌱 Configuração'!$B$51+6-'🌱 Configuração'!$E$51,7)=0),"🚿 Água pura (EC &lt; 0.2)",""))))))))))))))))))))))</f>
        <v/>
      </c>
      <c r="G12" s="30" t="str">
        <f>IF(7&gt;'🌱 Configuração'!$F$50,"",IF(AND('🌱 Configuração'!$B$51+6&lt;'🌱 Configuração'!$C$51,INT((7-1)/7)+1=1,MOD(7-1,7)=0),"🐛 Nim 2mL/L foliar — preventivo",IF(AND('🌱 Configuração'!$B$51+6&lt;'🌱 Configuração'!$C$51,INT((7-1)/7)+1=2,MOD(7-1,7)=0),"🐛 Beauveria bassiana foliar + solo",IF(AND('🌱 Configuração'!$B$51+6&gt;='🌱 Configuração'!$C$51,'🌱 Configuração'!$B$51+6&lt;'🌱 Configuração'!$D$51,INT(('🌱 Configuração'!$B$51+6-'🌱 Configuração'!$C$51)/7)+1=1,MOD('🌱 Configuração'!$B$51+6-'🌱 Configuração'!$C$51,7)=0),"🐛 Nim 2mL/L foliar",IF(AND('🌱 Configuração'!$B$51+6&gt;='🌱 Configuração'!$C$51,'🌱 Configuração'!$B$51+6&lt;'🌱 Configuração'!$D$51,INT(('🌱 Configuração'!$B$51+6-'🌱 Configuração'!$C$51)/7)+1=2,MOD('🌱 Configuração'!$B$51+6-'🌱 Configuração'!$C$51,7)=0),"🐛 Beauveria bassiana foliar",IF(AND('🌱 Configuração'!$B$51+6&gt;='🌱 Configuração'!$C$51,'🌱 Configuração'!$B$51+6&lt;'🌱 Configuração'!$D$51,INT(('🌱 Configuração'!$B$51+6-'🌱 Configuração'!$C$51)/7)+1=3,MOD('🌱 Configuração'!$B$51+6-'🌱 Configuração'!$C$51,7)=0),"🐛 Nim + Calda Sulfocálcica 1%",IF(AND('🌱 Configuração'!$B$51+6&gt;='🌱 Configuração'!$C$51,'🌱 Configuração'!$B$51+6&lt;'🌱 Configuração'!$D$51,INT(('🌱 Configuração'!$B$51+6-'🌱 Configuração'!$C$51)/7)+1=4,MOD('🌱 Configuração'!$B$51+6-'🌱 Configuração'!$C$51,7)=0),"🐛 Trichoderma solo + Beauveria",IF(AND('🌱 Configuração'!$B$51+6&gt;='🌱 Configuração'!$C$51,'🌱 Configuração'!$B$51+6&lt;'🌱 Configuração'!$D$51,INT(('🌱 Configuração'!$B$51+6-'🌱 Configuração'!$C$51)/7)+1=5,MOD('🌱 Configuração'!$B$51+6-'🌱 Configuração'!$C$51,7)=0),"🐛 Calda Bordalesa 0.5% foliar",IF(AND('🌱 Configuração'!$B$51+6&gt;='🌱 Configuração'!$C$51,'🌱 Configuração'!$B$51+6&lt;'🌱 Configuração'!$D$51,INT(('🌱 Configuração'!$B$51+6-'🌱 Configuração'!$C$51)/7)+1=6,MOD('🌱 Configuração'!$B$51+6-'🌱 Configuração'!$C$51,7)=0),"🐛 Nim 2mL/L — ÚLTIMA foliar",IF(AND('🌱 Configuração'!$B$51+6&gt;='🌱 Configuração'!$D$51,'🌱 Configuração'!$B$51+6&lt;'🌱 Configuração'!$E$51,INT(('🌱 Configuração'!$B$51+6-'🌱 Configuração'!$D$51)/7)+1=1,MOD('🌱 Configuração'!$B$51+6-'🌱 Configuração'!$D$51,7)=0),"🐛 Beauveria bassiana solo (sem foliar)",IF(AND('🌱 Configuração'!$B$51+6&gt;='🌱 Configuração'!$D$51,'🌱 Configuração'!$B$51+6&lt;'🌱 Configuração'!$E$51,INT(('🌱 Configuração'!$B$51+6-'🌱 Configuração'!$D$51)/7)+1=2,MOD('🌱 Configuração'!$B$51+6-'🌱 Configuração'!$D$51,7)=0),"🐛 Trichoderma solo",IF(AND('🌱 Configuração'!$B$51+6&gt;='🌱 Configuração'!$D$51,'🌱 Configuração'!$B$51+6&lt;'🌱 Configuração'!$E$51,INT(('🌱 Configuração'!$B$51+6-'🌱 Configuração'!$D$51)/7)+1=3,MOD('🌱 Configuração'!$B$51+6-'🌱 Configuração'!$D$51,7)=0),"🐛 Beauveria bassiana solo",IF(AND('🌱 Configuração'!$B$51+6&gt;='🌱 Configuração'!$D$51,'🌱 Configuração'!$B$51+6&lt;'🌱 Configuração'!$E$51,INT(('🌱 Configuração'!$B$51+6-'🌱 Configuração'!$D$51)/7)+1=4,MOD('🌱 Configuração'!$B$51+6-'🌱 Configuração'!$D$51,7)=0),"🐛 Trichoderma solo",IF(AND('🌱 Configuração'!$B$51+6&gt;='🌱 Configuração'!$E$51,INT(('🌱 Configuração'!$B$51+6-'🌱 Configuração'!$E$51)/7)+1=1,MOD('🌱 Configuração'!$B$51+6-'🌱 Configuração'!$E$51,7)=0),"🐛 Inspeção final — sem aplicação",""))))))))))))))</f>
        <v/>
      </c>
      <c r="H12" s="22" t="str">
        <f>IF(7&gt;'🌱 Configuração'!$F$50,"",IF('🌱 Configuração'!$B$51+6='🌱 Configuração'!$C$51,"🌿 INÍCIO VEGA — ajustar espaço, luz 18h/dia — EC 0.8",IF('🌱 Configuração'!$B$51+6='🌱 Configuração'!$D$51,"🌸 INÍCIO FLORAÇÃO — mudar para 12h/12h — 🔴 atenção ao fotoperíodo",IF('🌱 Configuração'!$B$51+6='🌱 Configuração'!$E$51,"🚿 INÍCIO FLUSH — PARAR nutrição, somente água pura",IF('🌱 Configuração'!$B$51+6='🌱 Configuração'!$F$51-1,"🔬 Véspera da colheita — analisar tricomas âmbar",IF('🌱 Configuração'!$B$51+6='🌱 Configuração'!$F$51,"✂️ COLHEITA! Parabéns! 🎉",""))))))</f>
        <v/>
      </c>
    </row>
    <row r="13" spans="2:8" ht="18.75" customHeight="1" x14ac:dyDescent="0.3">
      <c r="B13" s="25">
        <f>IF(8&lt;='🌱 Configuração'!$F$50,8,"")</f>
        <v>8</v>
      </c>
      <c r="C13" s="26">
        <f>IF(8&lt;='🌱 Configuração'!$F$50,'🌱 Configuração'!$B$51+7,"")</f>
        <v>46030</v>
      </c>
      <c r="D13" s="27" t="str">
        <f>IF(8&gt;'🌱 Configuração'!$F$50,"",IF('🌱 Configuração'!$B$51+7&lt;'🌱 Configuração'!$C$51,"🌱 Clone",IF('🌱 Configuração'!$B$51+7&lt;'🌱 Configuração'!$D$51,"🌿 Vegetativo",IF('🌱 Configuração'!$B$51+7&lt;'🌱 Configuração'!$E$51,"🌸 Floração","🚿 Flush"))))</f>
        <v>🌱 Clone</v>
      </c>
      <c r="E13" s="28" t="str">
        <f>IF(8&gt;'🌱 Configuração'!$F$50,"",IF('🌱 Configuração'!$B$51+7&lt;'🌱 Configuração'!$C$51,"Clone S"&amp;INT((8-1)/7)+1,IF('🌱 Configuração'!$B$51+7&lt;'🌱 Configuração'!$D$51,"Vega S"&amp;INT(('🌱 Configuração'!$B$51+7-'🌱 Configuração'!$C$51)/7)+1,IF('🌱 Configuração'!$B$51+7&lt;'🌱 Configuração'!$E$51,"Flora S"&amp;INT(('🌱 Configuração'!$B$51+7-'🌱 Configuração'!$D$51)/7)+1,"Flush S"&amp;INT(('🌱 Configuração'!$B$51+7-'🌱 Configuração'!$E$51)/7)+1))))</f>
        <v>Clone S2</v>
      </c>
      <c r="F13" s="29" t="str">
        <f>IF(8&gt;'🌱 Configuração'!$F$50,"",IF(AND('🌱 Configuração'!$B$51+7&lt;'🌱 Configuração'!$C$51,INT((8-1)/7)+1=1,MOD(8-1,7)=0),"🌱 Enraizador (0.5 mL/L)",IF(AND('🌱 Configuração'!$B$51+7&lt;'🌱 Configuração'!$C$51,INT((8-1)/7)+1=2,MOD(8-1,7)=0),"🌱 Enraizador + Vitamina B1",IF(AND('🌱 Configuração'!$B$51+7&gt;='🌱 Configuração'!$C$51,'🌱 Configuração'!$B$51+7&lt;'🌱 Configuração'!$D$51,INT(('🌱 Configuração'!$B$51+7-'🌱 Configuração'!$C$51)/7)+1=1,MOD('🌱 Configuração'!$B$51+7-'🌱 Configuração'!$C$51,7)=0),"🌿 Grow A+B início — EC 0.8",IF(AND('🌱 Configuração'!$B$51+7&gt;='🌱 Configuração'!$C$51,'🌱 Configuração'!$B$51+7&lt;'🌱 Configuração'!$D$51,INT(('🌱 Configuração'!$B$51+7-'🌱 Configuração'!$C$51)/7)+1=2,MOD('🌱 Configuração'!$B$51+7-'🌱 Configuração'!$C$51,7)=0),"🌿 Grow A+B + CalMag — EC 1.0",IF(AND('🌱 Configuração'!$B$51+7&gt;='🌱 Configuração'!$C$51,'🌱 Configuração'!$B$51+7&lt;'🌱 Configuração'!$D$51,INT(('🌱 Configuração'!$B$51+7-'🌱 Configuração'!$C$51)/7)+1=3,MOD('🌱 Configuração'!$B$51+7-'🌱 Configuração'!$C$51,7)=0),"🌿 Grow A+B + CalMag — EC 1.2",IF(AND('🌱 Configuração'!$B$51+7&gt;='🌱 Configuração'!$C$51,'🌱 Configuração'!$B$51+7&lt;'🌱 Configuração'!$D$51,INT(('🌱 Configuração'!$B$51+7-'🌱 Configuração'!$C$51)/7)+1=4,MOD('🌱 Configuração'!$B$51+7-'🌱 Configuração'!$C$51,7)=0),"🌿 Grow A+B + Enzimas — EC 1.4",IF(AND('🌱 Configuração'!$B$51+7&gt;='🌱 Configuração'!$C$51,'🌱 Configuração'!$B$51+7&lt;'🌱 Configuração'!$D$51,INT(('🌱 Configuração'!$B$51+7-'🌱 Configuração'!$C$51)/7)+1=5,MOD('🌱 Configuração'!$B$51+7-'🌱 Configuração'!$C$51,7)=0),"🌿 Grow A+B + Biorrizas — EC 1.5",IF(AND('🌱 Configuração'!$B$51+7&gt;='🌱 Configuração'!$C$51,'🌱 Configuração'!$B$51+7&lt;'🌱 Configuração'!$D$51,INT(('🌱 Configuração'!$B$51+7-'🌱 Configuração'!$C$51)/7)+1=6,MOD('🌱 Configuração'!$B$51+7-'🌱 Configuração'!$C$51,7)=0),"🌿 Transição Bloom — EC 1.4",IF(AND('🌱 Configuração'!$B$51+7&gt;='🌱 Configuração'!$C$51,'🌱 Configuração'!$B$51+7&lt;'🌱 Configuração'!$D$51,INT(('🌱 Configuração'!$B$51+7-'🌱 Configuração'!$C$51)/7)+1=7,MOD('🌱 Configuração'!$B$51+7-'🌱 Configuração'!$C$51,7)=0),"🌿 Bloom A+B transição — EC 1.4",IF(AND('🌱 Configuração'!$B$51+7&gt;='🌱 Configuração'!$C$51,'🌱 Configuração'!$B$51+7&lt;'🌱 Configuração'!$D$51,INT(('🌱 Configuração'!$B$51+7-'🌱 Configuração'!$C$51)/7)+1=8,MOD('🌱 Configuração'!$B$51+7-'🌱 Configuração'!$C$51,7)=0),"🌿 Bloom A+B — EC 1.4",IF(AND('🌱 Configuração'!$B$51+7&gt;='🌱 Configuração'!$D$51,'🌱 Configuração'!$B$51+7&lt;'🌱 Configuração'!$E$51,INT(('🌱 Configuração'!$B$51+7-'🌱 Configuração'!$D$51)/7)+1=1,MOD('🌱 Configuração'!$B$51+7-'🌱 Configuração'!$D$51,7)=0),"🌸 Bloom A+B — EC 1.6",IF(AND('🌱 Configuração'!$B$51+7&gt;='🌱 Configuração'!$D$51,'🌱 Configuração'!$B$51+7&lt;'🌱 Configuração'!$E$51,INT(('🌱 Configuração'!$B$51+7-'🌱 Configuração'!$D$51)/7)+1=2,MOD('🌱 Configuração'!$B$51+7-'🌱 Configuração'!$D$51,7)=0),"🌸 Bloom + PK 13/14 início",IF(AND('🌱 Configuração'!$B$51+7&gt;='🌱 Configuração'!$D$51,'🌱 Configuração'!$B$51+7&lt;'🌱 Configuração'!$E$51,INT(('🌱 Configuração'!$B$51+7-'🌱 Configuração'!$D$51)/7)+1=3,MOD('🌱 Configuração'!$B$51+7-'🌱 Configuração'!$D$51,7)=0),"🌸 Bloom + PK + CalMag — EC 1.8",IF(AND('🌱 Configuração'!$B$51+7&gt;='🌱 Configuração'!$D$51,'🌱 Configuração'!$B$51+7&lt;'🌱 Configuração'!$E$51,INT(('🌱 Configuração'!$B$51+7-'🌱 Configuração'!$D$51)/7)+1=4,MOD('🌱 Configuração'!$B$51+7-'🌱 Configuração'!$D$51,7)=0),"🌸 Bloom + PK + Boost Floral — EC 2.0",IF(AND('🌱 Configuração'!$B$51+7&gt;='🌱 Configuração'!$D$51,'🌱 Configuração'!$B$51+7&lt;'🌱 Configuração'!$E$51,INT(('🌱 Configuração'!$B$51+7-'🌱 Configuração'!$D$51)/7)+1=5,MOD('🌱 Configuração'!$B$51+7-'🌱 Configuração'!$D$51,7)=0),"🌸 Bloom + Boost + Amino",IF(AND('🌱 Configuração'!$B$51+7&gt;='🌱 Configuração'!$D$51,'🌱 Configuração'!$B$51+7&lt;'🌱 Configuração'!$E$51,INT(('🌱 Configuração'!$B$51+7-'🌱 Configuração'!$D$51)/7)+1=6,MOD('🌱 Configuração'!$B$51+7-'🌱 Configuração'!$D$51,7)=0),"🌸 Bloom + Enzimas + Amino",IF(AND('🌱 Configuração'!$B$51+7&gt;='🌱 Configuração'!$D$51,'🌱 Configuração'!$B$51+7&lt;'🌱 Configuração'!$E$51,INT(('🌱 Configuração'!$B$51+7-'🌱 Configuração'!$D$51)/7)+1=7,MOD('🌱 Configuração'!$B$51+7-'🌱 Configuração'!$D$51,7)=0),"🌸 Reduzir N — Bloom puro — EC 1.6",IF(AND('🌱 Configuração'!$B$51+7&gt;='🌱 Configuração'!$D$51,'🌱 Configuração'!$B$51+7&lt;'🌱 Configuração'!$E$51,INT(('🌱 Configuração'!$B$51+7-'🌱 Configuração'!$D$51)/7)+1=8,MOD('🌱 Configuração'!$B$51+7-'🌱 Configuração'!$D$51,7)=0),"🌸 Bloom puro — EC 1.4  (pré-flush)",IF(AND('🌱 Configuração'!$B$51+7&gt;='🌱 Configuração'!$D$51,'🌱 Configuração'!$B$51+7&lt;'🌱 Configuração'!$E$51,INT(('🌱 Configuração'!$B$51+7-'🌱 Configuração'!$D$51)/7)+1=9,MOD('🌱 Configuração'!$B$51+7-'🌱 Configuração'!$D$51,7)=0),"🌸 Último Bloom — EC 0.8",IF(AND('🌱 Configuração'!$B$51+7&gt;='🌱 Configuração'!$E$51,INT(('🌱 Configuração'!$B$51+7-'🌱 Configuração'!$E$51)/7)+1=1,MOD('🌱 Configuração'!$B$51+7-'🌱 Configuração'!$E$51,7)=0),"🚿 Água pura + Enzimas (EC &lt; 0.3)",IF(AND('🌱 Configuração'!$B$51+7&gt;='🌱 Configuração'!$E$51,INT(('🌱 Configuração'!$B$51+7-'🌱 Configuração'!$E$51)/7)+1=2,MOD('🌱 Configuração'!$B$51+7-'🌱 Configuração'!$E$51,7)=0),"🚿 Água pura (EC &lt; 0.2)",""))))))))))))))))))))))</f>
        <v>🌱 Enraizador + Vitamina B1</v>
      </c>
      <c r="G13" s="30" t="str">
        <f>IF(8&gt;'🌱 Configuração'!$F$50,"",IF(AND('🌱 Configuração'!$B$51+7&lt;'🌱 Configuração'!$C$51,INT((8-1)/7)+1=1,MOD(8-1,7)=0),"🐛 Nim 2mL/L foliar — preventivo",IF(AND('🌱 Configuração'!$B$51+7&lt;'🌱 Configuração'!$C$51,INT((8-1)/7)+1=2,MOD(8-1,7)=0),"🐛 Beauveria bassiana foliar + solo",IF(AND('🌱 Configuração'!$B$51+7&gt;='🌱 Configuração'!$C$51,'🌱 Configuração'!$B$51+7&lt;'🌱 Configuração'!$D$51,INT(('🌱 Configuração'!$B$51+7-'🌱 Configuração'!$C$51)/7)+1=1,MOD('🌱 Configuração'!$B$51+7-'🌱 Configuração'!$C$51,7)=0),"🐛 Nim 2mL/L foliar",IF(AND('🌱 Configuração'!$B$51+7&gt;='🌱 Configuração'!$C$51,'🌱 Configuração'!$B$51+7&lt;'🌱 Configuração'!$D$51,INT(('🌱 Configuração'!$B$51+7-'🌱 Configuração'!$C$51)/7)+1=2,MOD('🌱 Configuração'!$B$51+7-'🌱 Configuração'!$C$51,7)=0),"🐛 Beauveria bassiana foliar",IF(AND('🌱 Configuração'!$B$51+7&gt;='🌱 Configuração'!$C$51,'🌱 Configuração'!$B$51+7&lt;'🌱 Configuração'!$D$51,INT(('🌱 Configuração'!$B$51+7-'🌱 Configuração'!$C$51)/7)+1=3,MOD('🌱 Configuração'!$B$51+7-'🌱 Configuração'!$C$51,7)=0),"🐛 Nim + Calda Sulfocálcica 1%",IF(AND('🌱 Configuração'!$B$51+7&gt;='🌱 Configuração'!$C$51,'🌱 Configuração'!$B$51+7&lt;'🌱 Configuração'!$D$51,INT(('🌱 Configuração'!$B$51+7-'🌱 Configuração'!$C$51)/7)+1=4,MOD('🌱 Configuração'!$B$51+7-'🌱 Configuração'!$C$51,7)=0),"🐛 Trichoderma solo + Beauveria",IF(AND('🌱 Configuração'!$B$51+7&gt;='🌱 Configuração'!$C$51,'🌱 Configuração'!$B$51+7&lt;'🌱 Configuração'!$D$51,INT(('🌱 Configuração'!$B$51+7-'🌱 Configuração'!$C$51)/7)+1=5,MOD('🌱 Configuração'!$B$51+7-'🌱 Configuração'!$C$51,7)=0),"🐛 Calda Bordalesa 0.5% foliar",IF(AND('🌱 Configuração'!$B$51+7&gt;='🌱 Configuração'!$C$51,'🌱 Configuração'!$B$51+7&lt;'🌱 Configuração'!$D$51,INT(('🌱 Configuração'!$B$51+7-'🌱 Configuração'!$C$51)/7)+1=6,MOD('🌱 Configuração'!$B$51+7-'🌱 Configuração'!$C$51,7)=0),"🐛 Nim 2mL/L — ÚLTIMA foliar",IF(AND('🌱 Configuração'!$B$51+7&gt;='🌱 Configuração'!$D$51,'🌱 Configuração'!$B$51+7&lt;'🌱 Configuração'!$E$51,INT(('🌱 Configuração'!$B$51+7-'🌱 Configuração'!$D$51)/7)+1=1,MOD('🌱 Configuração'!$B$51+7-'🌱 Configuração'!$D$51,7)=0),"🐛 Beauveria bassiana solo (sem foliar)",IF(AND('🌱 Configuração'!$B$51+7&gt;='🌱 Configuração'!$D$51,'🌱 Configuração'!$B$51+7&lt;'🌱 Configuração'!$E$51,INT(('🌱 Configuração'!$B$51+7-'🌱 Configuração'!$D$51)/7)+1=2,MOD('🌱 Configuração'!$B$51+7-'🌱 Configuração'!$D$51,7)=0),"🐛 Trichoderma solo",IF(AND('🌱 Configuração'!$B$51+7&gt;='🌱 Configuração'!$D$51,'🌱 Configuração'!$B$51+7&lt;'🌱 Configuração'!$E$51,INT(('🌱 Configuração'!$B$51+7-'🌱 Configuração'!$D$51)/7)+1=3,MOD('🌱 Configuração'!$B$51+7-'🌱 Configuração'!$D$51,7)=0),"🐛 Beauveria bassiana solo",IF(AND('🌱 Configuração'!$B$51+7&gt;='🌱 Configuração'!$D$51,'🌱 Configuração'!$B$51+7&lt;'🌱 Configuração'!$E$51,INT(('🌱 Configuração'!$B$51+7-'🌱 Configuração'!$D$51)/7)+1=4,MOD('🌱 Configuração'!$B$51+7-'🌱 Configuração'!$D$51,7)=0),"🐛 Trichoderma solo",IF(AND('🌱 Configuração'!$B$51+7&gt;='🌱 Configuração'!$E$51,INT(('🌱 Configuração'!$B$51+7-'🌱 Configuração'!$E$51)/7)+1=1,MOD('🌱 Configuração'!$B$51+7-'🌱 Configuração'!$E$51,7)=0),"🐛 Inspeção final — sem aplicação",""))))))))))))))</f>
        <v>🐛 Beauveria bassiana foliar + solo</v>
      </c>
      <c r="H13" s="22" t="str">
        <f>IF(8&gt;'🌱 Configuração'!$F$50,"",IF('🌱 Configuração'!$B$51+7='🌱 Configuração'!$C$51,"🌿 INÍCIO VEGA — ajustar espaço, luz 18h/dia — EC 0.8",IF('🌱 Configuração'!$B$51+7='🌱 Configuração'!$D$51,"🌸 INÍCIO FLORAÇÃO — mudar para 12h/12h — 🔴 atenção ao fotoperíodo",IF('🌱 Configuração'!$B$51+7='🌱 Configuração'!$E$51,"🚿 INÍCIO FLUSH — PARAR nutrição, somente água pura",IF('🌱 Configuração'!$B$51+7='🌱 Configuração'!$F$51-1,"🔬 Véspera da colheita — analisar tricomas âmbar",IF('🌱 Configuração'!$B$51+7='🌱 Configuração'!$F$51,"✂️ COLHEITA! Parabéns! 🎉",""))))))</f>
        <v/>
      </c>
    </row>
    <row r="14" spans="2:8" ht="18.75" customHeight="1" x14ac:dyDescent="0.3">
      <c r="B14" s="25">
        <f>IF(9&lt;='🌱 Configuração'!$F$50,9,"")</f>
        <v>9</v>
      </c>
      <c r="C14" s="26">
        <f>IF(9&lt;='🌱 Configuração'!$F$50,'🌱 Configuração'!$B$51+8,"")</f>
        <v>46031</v>
      </c>
      <c r="D14" s="27" t="str">
        <f>IF(9&gt;'🌱 Configuração'!$F$50,"",IF('🌱 Configuração'!$B$51+8&lt;'🌱 Configuração'!$C$51,"🌱 Clone",IF('🌱 Configuração'!$B$51+8&lt;'🌱 Configuração'!$D$51,"🌿 Vegetativo",IF('🌱 Configuração'!$B$51+8&lt;'🌱 Configuração'!$E$51,"🌸 Floração","🚿 Flush"))))</f>
        <v>🌱 Clone</v>
      </c>
      <c r="E14" s="28" t="str">
        <f>IF(9&gt;'🌱 Configuração'!$F$50,"",IF('🌱 Configuração'!$B$51+8&lt;'🌱 Configuração'!$C$51,"Clone S"&amp;INT((9-1)/7)+1,IF('🌱 Configuração'!$B$51+8&lt;'🌱 Configuração'!$D$51,"Vega S"&amp;INT(('🌱 Configuração'!$B$51+8-'🌱 Configuração'!$C$51)/7)+1,IF('🌱 Configuração'!$B$51+8&lt;'🌱 Configuração'!$E$51,"Flora S"&amp;INT(('🌱 Configuração'!$B$51+8-'🌱 Configuração'!$D$51)/7)+1,"Flush S"&amp;INT(('🌱 Configuração'!$B$51+8-'🌱 Configuração'!$E$51)/7)+1))))</f>
        <v>Clone S2</v>
      </c>
      <c r="F14" s="29" t="str">
        <f>IF(9&gt;'🌱 Configuração'!$F$50,"",IF(AND('🌱 Configuração'!$B$51+8&lt;'🌱 Configuração'!$C$51,INT((9-1)/7)+1=1,MOD(9-1,7)=0),"🌱 Enraizador (0.5 mL/L)",IF(AND('🌱 Configuração'!$B$51+8&lt;'🌱 Configuração'!$C$51,INT((9-1)/7)+1=2,MOD(9-1,7)=0),"🌱 Enraizador + Vitamina B1",IF(AND('🌱 Configuração'!$B$51+8&gt;='🌱 Configuração'!$C$51,'🌱 Configuração'!$B$51+8&lt;'🌱 Configuração'!$D$51,INT(('🌱 Configuração'!$B$51+8-'🌱 Configuração'!$C$51)/7)+1=1,MOD('🌱 Configuração'!$B$51+8-'🌱 Configuração'!$C$51,7)=0),"🌿 Grow A+B início — EC 0.8",IF(AND('🌱 Configuração'!$B$51+8&gt;='🌱 Configuração'!$C$51,'🌱 Configuração'!$B$51+8&lt;'🌱 Configuração'!$D$51,INT(('🌱 Configuração'!$B$51+8-'🌱 Configuração'!$C$51)/7)+1=2,MOD('🌱 Configuração'!$B$51+8-'🌱 Configuração'!$C$51,7)=0),"🌿 Grow A+B + CalMag — EC 1.0",IF(AND('🌱 Configuração'!$B$51+8&gt;='🌱 Configuração'!$C$51,'🌱 Configuração'!$B$51+8&lt;'🌱 Configuração'!$D$51,INT(('🌱 Configuração'!$B$51+8-'🌱 Configuração'!$C$51)/7)+1=3,MOD('🌱 Configuração'!$B$51+8-'🌱 Configuração'!$C$51,7)=0),"🌿 Grow A+B + CalMag — EC 1.2",IF(AND('🌱 Configuração'!$B$51+8&gt;='🌱 Configuração'!$C$51,'🌱 Configuração'!$B$51+8&lt;'🌱 Configuração'!$D$51,INT(('🌱 Configuração'!$B$51+8-'🌱 Configuração'!$C$51)/7)+1=4,MOD('🌱 Configuração'!$B$51+8-'🌱 Configuração'!$C$51,7)=0),"🌿 Grow A+B + Enzimas — EC 1.4",IF(AND('🌱 Configuração'!$B$51+8&gt;='🌱 Configuração'!$C$51,'🌱 Configuração'!$B$51+8&lt;'🌱 Configuração'!$D$51,INT(('🌱 Configuração'!$B$51+8-'🌱 Configuração'!$C$51)/7)+1=5,MOD('🌱 Configuração'!$B$51+8-'🌱 Configuração'!$C$51,7)=0),"🌿 Grow A+B + Biorrizas — EC 1.5",IF(AND('🌱 Configuração'!$B$51+8&gt;='🌱 Configuração'!$C$51,'🌱 Configuração'!$B$51+8&lt;'🌱 Configuração'!$D$51,INT(('🌱 Configuração'!$B$51+8-'🌱 Configuração'!$C$51)/7)+1=6,MOD('🌱 Configuração'!$B$51+8-'🌱 Configuração'!$C$51,7)=0),"🌿 Transição Bloom — EC 1.4",IF(AND('🌱 Configuração'!$B$51+8&gt;='🌱 Configuração'!$C$51,'🌱 Configuração'!$B$51+8&lt;'🌱 Configuração'!$D$51,INT(('🌱 Configuração'!$B$51+8-'🌱 Configuração'!$C$51)/7)+1=7,MOD('🌱 Configuração'!$B$51+8-'🌱 Configuração'!$C$51,7)=0),"🌿 Bloom A+B transição — EC 1.4",IF(AND('🌱 Configuração'!$B$51+8&gt;='🌱 Configuração'!$C$51,'🌱 Configuração'!$B$51+8&lt;'🌱 Configuração'!$D$51,INT(('🌱 Configuração'!$B$51+8-'🌱 Configuração'!$C$51)/7)+1=8,MOD('🌱 Configuração'!$B$51+8-'🌱 Configuração'!$C$51,7)=0),"🌿 Bloom A+B — EC 1.4",IF(AND('🌱 Configuração'!$B$51+8&gt;='🌱 Configuração'!$D$51,'🌱 Configuração'!$B$51+8&lt;'🌱 Configuração'!$E$51,INT(('🌱 Configuração'!$B$51+8-'🌱 Configuração'!$D$51)/7)+1=1,MOD('🌱 Configuração'!$B$51+8-'🌱 Configuração'!$D$51,7)=0),"🌸 Bloom A+B — EC 1.6",IF(AND('🌱 Configuração'!$B$51+8&gt;='🌱 Configuração'!$D$51,'🌱 Configuração'!$B$51+8&lt;'🌱 Configuração'!$E$51,INT(('🌱 Configuração'!$B$51+8-'🌱 Configuração'!$D$51)/7)+1=2,MOD('🌱 Configuração'!$B$51+8-'🌱 Configuração'!$D$51,7)=0),"🌸 Bloom + PK 13/14 início",IF(AND('🌱 Configuração'!$B$51+8&gt;='🌱 Configuração'!$D$51,'🌱 Configuração'!$B$51+8&lt;'🌱 Configuração'!$E$51,INT(('🌱 Configuração'!$B$51+8-'🌱 Configuração'!$D$51)/7)+1=3,MOD('🌱 Configuração'!$B$51+8-'🌱 Configuração'!$D$51,7)=0),"🌸 Bloom + PK + CalMag — EC 1.8",IF(AND('🌱 Configuração'!$B$51+8&gt;='🌱 Configuração'!$D$51,'🌱 Configuração'!$B$51+8&lt;'🌱 Configuração'!$E$51,INT(('🌱 Configuração'!$B$51+8-'🌱 Configuração'!$D$51)/7)+1=4,MOD('🌱 Configuração'!$B$51+8-'🌱 Configuração'!$D$51,7)=0),"🌸 Bloom + PK + Boost Floral — EC 2.0",IF(AND('🌱 Configuração'!$B$51+8&gt;='🌱 Configuração'!$D$51,'🌱 Configuração'!$B$51+8&lt;'🌱 Configuração'!$E$51,INT(('🌱 Configuração'!$B$51+8-'🌱 Configuração'!$D$51)/7)+1=5,MOD('🌱 Configuração'!$B$51+8-'🌱 Configuração'!$D$51,7)=0),"🌸 Bloom + Boost + Amino",IF(AND('🌱 Configuração'!$B$51+8&gt;='🌱 Configuração'!$D$51,'🌱 Configuração'!$B$51+8&lt;'🌱 Configuração'!$E$51,INT(('🌱 Configuração'!$B$51+8-'🌱 Configuração'!$D$51)/7)+1=6,MOD('🌱 Configuração'!$B$51+8-'🌱 Configuração'!$D$51,7)=0),"🌸 Bloom + Enzimas + Amino",IF(AND('🌱 Configuração'!$B$51+8&gt;='🌱 Configuração'!$D$51,'🌱 Configuração'!$B$51+8&lt;'🌱 Configuração'!$E$51,INT(('🌱 Configuração'!$B$51+8-'🌱 Configuração'!$D$51)/7)+1=7,MOD('🌱 Configuração'!$B$51+8-'🌱 Configuração'!$D$51,7)=0),"🌸 Reduzir N — Bloom puro — EC 1.6",IF(AND('🌱 Configuração'!$B$51+8&gt;='🌱 Configuração'!$D$51,'🌱 Configuração'!$B$51+8&lt;'🌱 Configuração'!$E$51,INT(('🌱 Configuração'!$B$51+8-'🌱 Configuração'!$D$51)/7)+1=8,MOD('🌱 Configuração'!$B$51+8-'🌱 Configuração'!$D$51,7)=0),"🌸 Bloom puro — EC 1.4  (pré-flush)",IF(AND('🌱 Configuração'!$B$51+8&gt;='🌱 Configuração'!$D$51,'🌱 Configuração'!$B$51+8&lt;'🌱 Configuração'!$E$51,INT(('🌱 Configuração'!$B$51+8-'🌱 Configuração'!$D$51)/7)+1=9,MOD('🌱 Configuração'!$B$51+8-'🌱 Configuração'!$D$51,7)=0),"🌸 Último Bloom — EC 0.8",IF(AND('🌱 Configuração'!$B$51+8&gt;='🌱 Configuração'!$E$51,INT(('🌱 Configuração'!$B$51+8-'🌱 Configuração'!$E$51)/7)+1=1,MOD('🌱 Configuração'!$B$51+8-'🌱 Configuração'!$E$51,7)=0),"🚿 Água pura + Enzimas (EC &lt; 0.3)",IF(AND('🌱 Configuração'!$B$51+8&gt;='🌱 Configuração'!$E$51,INT(('🌱 Configuração'!$B$51+8-'🌱 Configuração'!$E$51)/7)+1=2,MOD('🌱 Configuração'!$B$51+8-'🌱 Configuração'!$E$51,7)=0),"🚿 Água pura (EC &lt; 0.2)",""))))))))))))))))))))))</f>
        <v/>
      </c>
      <c r="G14" s="30" t="str">
        <f>IF(9&gt;'🌱 Configuração'!$F$50,"",IF(AND('🌱 Configuração'!$B$51+8&lt;'🌱 Configuração'!$C$51,INT((9-1)/7)+1=1,MOD(9-1,7)=0),"🐛 Nim 2mL/L foliar — preventivo",IF(AND('🌱 Configuração'!$B$51+8&lt;'🌱 Configuração'!$C$51,INT((9-1)/7)+1=2,MOD(9-1,7)=0),"🐛 Beauveria bassiana foliar + solo",IF(AND('🌱 Configuração'!$B$51+8&gt;='🌱 Configuração'!$C$51,'🌱 Configuração'!$B$51+8&lt;'🌱 Configuração'!$D$51,INT(('🌱 Configuração'!$B$51+8-'🌱 Configuração'!$C$51)/7)+1=1,MOD('🌱 Configuração'!$B$51+8-'🌱 Configuração'!$C$51,7)=0),"🐛 Nim 2mL/L foliar",IF(AND('🌱 Configuração'!$B$51+8&gt;='🌱 Configuração'!$C$51,'🌱 Configuração'!$B$51+8&lt;'🌱 Configuração'!$D$51,INT(('🌱 Configuração'!$B$51+8-'🌱 Configuração'!$C$51)/7)+1=2,MOD('🌱 Configuração'!$B$51+8-'🌱 Configuração'!$C$51,7)=0),"🐛 Beauveria bassiana foliar",IF(AND('🌱 Configuração'!$B$51+8&gt;='🌱 Configuração'!$C$51,'🌱 Configuração'!$B$51+8&lt;'🌱 Configuração'!$D$51,INT(('🌱 Configuração'!$B$51+8-'🌱 Configuração'!$C$51)/7)+1=3,MOD('🌱 Configuração'!$B$51+8-'🌱 Configuração'!$C$51,7)=0),"🐛 Nim + Calda Sulfocálcica 1%",IF(AND('🌱 Configuração'!$B$51+8&gt;='🌱 Configuração'!$C$51,'🌱 Configuração'!$B$51+8&lt;'🌱 Configuração'!$D$51,INT(('🌱 Configuração'!$B$51+8-'🌱 Configuração'!$C$51)/7)+1=4,MOD('🌱 Configuração'!$B$51+8-'🌱 Configuração'!$C$51,7)=0),"🐛 Trichoderma solo + Beauveria",IF(AND('🌱 Configuração'!$B$51+8&gt;='🌱 Configuração'!$C$51,'🌱 Configuração'!$B$51+8&lt;'🌱 Configuração'!$D$51,INT(('🌱 Configuração'!$B$51+8-'🌱 Configuração'!$C$51)/7)+1=5,MOD('🌱 Configuração'!$B$51+8-'🌱 Configuração'!$C$51,7)=0),"🐛 Calda Bordalesa 0.5% foliar",IF(AND('🌱 Configuração'!$B$51+8&gt;='🌱 Configuração'!$C$51,'🌱 Configuração'!$B$51+8&lt;'🌱 Configuração'!$D$51,INT(('🌱 Configuração'!$B$51+8-'🌱 Configuração'!$C$51)/7)+1=6,MOD('🌱 Configuração'!$B$51+8-'🌱 Configuração'!$C$51,7)=0),"🐛 Nim 2mL/L — ÚLTIMA foliar",IF(AND('🌱 Configuração'!$B$51+8&gt;='🌱 Configuração'!$D$51,'🌱 Configuração'!$B$51+8&lt;'🌱 Configuração'!$E$51,INT(('🌱 Configuração'!$B$51+8-'🌱 Configuração'!$D$51)/7)+1=1,MOD('🌱 Configuração'!$B$51+8-'🌱 Configuração'!$D$51,7)=0),"🐛 Beauveria bassiana solo (sem foliar)",IF(AND('🌱 Configuração'!$B$51+8&gt;='🌱 Configuração'!$D$51,'🌱 Configuração'!$B$51+8&lt;'🌱 Configuração'!$E$51,INT(('🌱 Configuração'!$B$51+8-'🌱 Configuração'!$D$51)/7)+1=2,MOD('🌱 Configuração'!$B$51+8-'🌱 Configuração'!$D$51,7)=0),"🐛 Trichoderma solo",IF(AND('🌱 Configuração'!$B$51+8&gt;='🌱 Configuração'!$D$51,'🌱 Configuração'!$B$51+8&lt;'🌱 Configuração'!$E$51,INT(('🌱 Configuração'!$B$51+8-'🌱 Configuração'!$D$51)/7)+1=3,MOD('🌱 Configuração'!$B$51+8-'🌱 Configuração'!$D$51,7)=0),"🐛 Beauveria bassiana solo",IF(AND('🌱 Configuração'!$B$51+8&gt;='🌱 Configuração'!$D$51,'🌱 Configuração'!$B$51+8&lt;'🌱 Configuração'!$E$51,INT(('🌱 Configuração'!$B$51+8-'🌱 Configuração'!$D$51)/7)+1=4,MOD('🌱 Configuração'!$B$51+8-'🌱 Configuração'!$D$51,7)=0),"🐛 Trichoderma solo",IF(AND('🌱 Configuração'!$B$51+8&gt;='🌱 Configuração'!$E$51,INT(('🌱 Configuração'!$B$51+8-'🌱 Configuração'!$E$51)/7)+1=1,MOD('🌱 Configuração'!$B$51+8-'🌱 Configuração'!$E$51,7)=0),"🐛 Inspeção final — sem aplicação",""))))))))))))))</f>
        <v/>
      </c>
      <c r="H14" s="22" t="str">
        <f>IF(9&gt;'🌱 Configuração'!$F$50,"",IF('🌱 Configuração'!$B$51+8='🌱 Configuração'!$C$51,"🌿 INÍCIO VEGA — ajustar espaço, luz 18h/dia — EC 0.8",IF('🌱 Configuração'!$B$51+8='🌱 Configuração'!$D$51,"🌸 INÍCIO FLORAÇÃO — mudar para 12h/12h — 🔴 atenção ao fotoperíodo",IF('🌱 Configuração'!$B$51+8='🌱 Configuração'!$E$51,"🚿 INÍCIO FLUSH — PARAR nutrição, somente água pura",IF('🌱 Configuração'!$B$51+8='🌱 Configuração'!$F$51-1,"🔬 Véspera da colheita — analisar tricomas âmbar",IF('🌱 Configuração'!$B$51+8='🌱 Configuração'!$F$51,"✂️ COLHEITA! Parabéns! 🎉",""))))))</f>
        <v/>
      </c>
    </row>
    <row r="15" spans="2:8" ht="18.75" customHeight="1" x14ac:dyDescent="0.3">
      <c r="B15" s="25">
        <f>IF(10&lt;='🌱 Configuração'!$F$50,10,"")</f>
        <v>10</v>
      </c>
      <c r="C15" s="26">
        <f>IF(10&lt;='🌱 Configuração'!$F$50,'🌱 Configuração'!$B$51+9,"")</f>
        <v>46032</v>
      </c>
      <c r="D15" s="27" t="str">
        <f>IF(10&gt;'🌱 Configuração'!$F$50,"",IF('🌱 Configuração'!$B$51+9&lt;'🌱 Configuração'!$C$51,"🌱 Clone",IF('🌱 Configuração'!$B$51+9&lt;'🌱 Configuração'!$D$51,"🌿 Vegetativo",IF('🌱 Configuração'!$B$51+9&lt;'🌱 Configuração'!$E$51,"🌸 Floração","🚿 Flush"))))</f>
        <v>🌱 Clone</v>
      </c>
      <c r="E15" s="28" t="str">
        <f>IF(10&gt;'🌱 Configuração'!$F$50,"",IF('🌱 Configuração'!$B$51+9&lt;'🌱 Configuração'!$C$51,"Clone S"&amp;INT((10-1)/7)+1,IF('🌱 Configuração'!$B$51+9&lt;'🌱 Configuração'!$D$51,"Vega S"&amp;INT(('🌱 Configuração'!$B$51+9-'🌱 Configuração'!$C$51)/7)+1,IF('🌱 Configuração'!$B$51+9&lt;'🌱 Configuração'!$E$51,"Flora S"&amp;INT(('🌱 Configuração'!$B$51+9-'🌱 Configuração'!$D$51)/7)+1,"Flush S"&amp;INT(('🌱 Configuração'!$B$51+9-'🌱 Configuração'!$E$51)/7)+1))))</f>
        <v>Clone S2</v>
      </c>
      <c r="F15" s="29" t="str">
        <f>IF(10&gt;'🌱 Configuração'!$F$50,"",IF(AND('🌱 Configuração'!$B$51+9&lt;'🌱 Configuração'!$C$51,INT((10-1)/7)+1=1,MOD(10-1,7)=0),"🌱 Enraizador (0.5 mL/L)",IF(AND('🌱 Configuração'!$B$51+9&lt;'🌱 Configuração'!$C$51,INT((10-1)/7)+1=2,MOD(10-1,7)=0),"🌱 Enraizador + Vitamina B1",IF(AND('🌱 Configuração'!$B$51+9&gt;='🌱 Configuração'!$C$51,'🌱 Configuração'!$B$51+9&lt;'🌱 Configuração'!$D$51,INT(('🌱 Configuração'!$B$51+9-'🌱 Configuração'!$C$51)/7)+1=1,MOD('🌱 Configuração'!$B$51+9-'🌱 Configuração'!$C$51,7)=0),"🌿 Grow A+B início — EC 0.8",IF(AND('🌱 Configuração'!$B$51+9&gt;='🌱 Configuração'!$C$51,'🌱 Configuração'!$B$51+9&lt;'🌱 Configuração'!$D$51,INT(('🌱 Configuração'!$B$51+9-'🌱 Configuração'!$C$51)/7)+1=2,MOD('🌱 Configuração'!$B$51+9-'🌱 Configuração'!$C$51,7)=0),"🌿 Grow A+B + CalMag — EC 1.0",IF(AND('🌱 Configuração'!$B$51+9&gt;='🌱 Configuração'!$C$51,'🌱 Configuração'!$B$51+9&lt;'🌱 Configuração'!$D$51,INT(('🌱 Configuração'!$B$51+9-'🌱 Configuração'!$C$51)/7)+1=3,MOD('🌱 Configuração'!$B$51+9-'🌱 Configuração'!$C$51,7)=0),"🌿 Grow A+B + CalMag — EC 1.2",IF(AND('🌱 Configuração'!$B$51+9&gt;='🌱 Configuração'!$C$51,'🌱 Configuração'!$B$51+9&lt;'🌱 Configuração'!$D$51,INT(('🌱 Configuração'!$B$51+9-'🌱 Configuração'!$C$51)/7)+1=4,MOD('🌱 Configuração'!$B$51+9-'🌱 Configuração'!$C$51,7)=0),"🌿 Grow A+B + Enzimas — EC 1.4",IF(AND('🌱 Configuração'!$B$51+9&gt;='🌱 Configuração'!$C$51,'🌱 Configuração'!$B$51+9&lt;'🌱 Configuração'!$D$51,INT(('🌱 Configuração'!$B$51+9-'🌱 Configuração'!$C$51)/7)+1=5,MOD('🌱 Configuração'!$B$51+9-'🌱 Configuração'!$C$51,7)=0),"🌿 Grow A+B + Biorrizas — EC 1.5",IF(AND('🌱 Configuração'!$B$51+9&gt;='🌱 Configuração'!$C$51,'🌱 Configuração'!$B$51+9&lt;'🌱 Configuração'!$D$51,INT(('🌱 Configuração'!$B$51+9-'🌱 Configuração'!$C$51)/7)+1=6,MOD('🌱 Configuração'!$B$51+9-'🌱 Configuração'!$C$51,7)=0),"🌿 Transição Bloom — EC 1.4",IF(AND('🌱 Configuração'!$B$51+9&gt;='🌱 Configuração'!$C$51,'🌱 Configuração'!$B$51+9&lt;'🌱 Configuração'!$D$51,INT(('🌱 Configuração'!$B$51+9-'🌱 Configuração'!$C$51)/7)+1=7,MOD('🌱 Configuração'!$B$51+9-'🌱 Configuração'!$C$51,7)=0),"🌿 Bloom A+B transição — EC 1.4",IF(AND('🌱 Configuração'!$B$51+9&gt;='🌱 Configuração'!$C$51,'🌱 Configuração'!$B$51+9&lt;'🌱 Configuração'!$D$51,INT(('🌱 Configuração'!$B$51+9-'🌱 Configuração'!$C$51)/7)+1=8,MOD('🌱 Configuração'!$B$51+9-'🌱 Configuração'!$C$51,7)=0),"🌿 Bloom A+B — EC 1.4",IF(AND('🌱 Configuração'!$B$51+9&gt;='🌱 Configuração'!$D$51,'🌱 Configuração'!$B$51+9&lt;'🌱 Configuração'!$E$51,INT(('🌱 Configuração'!$B$51+9-'🌱 Configuração'!$D$51)/7)+1=1,MOD('🌱 Configuração'!$B$51+9-'🌱 Configuração'!$D$51,7)=0),"🌸 Bloom A+B — EC 1.6",IF(AND('🌱 Configuração'!$B$51+9&gt;='🌱 Configuração'!$D$51,'🌱 Configuração'!$B$51+9&lt;'🌱 Configuração'!$E$51,INT(('🌱 Configuração'!$B$51+9-'🌱 Configuração'!$D$51)/7)+1=2,MOD('🌱 Configuração'!$B$51+9-'🌱 Configuração'!$D$51,7)=0),"🌸 Bloom + PK 13/14 início",IF(AND('🌱 Configuração'!$B$51+9&gt;='🌱 Configuração'!$D$51,'🌱 Configuração'!$B$51+9&lt;'🌱 Configuração'!$E$51,INT(('🌱 Configuração'!$B$51+9-'🌱 Configuração'!$D$51)/7)+1=3,MOD('🌱 Configuração'!$B$51+9-'🌱 Configuração'!$D$51,7)=0),"🌸 Bloom + PK + CalMag — EC 1.8",IF(AND('🌱 Configuração'!$B$51+9&gt;='🌱 Configuração'!$D$51,'🌱 Configuração'!$B$51+9&lt;'🌱 Configuração'!$E$51,INT(('🌱 Configuração'!$B$51+9-'🌱 Configuração'!$D$51)/7)+1=4,MOD('🌱 Configuração'!$B$51+9-'🌱 Configuração'!$D$51,7)=0),"🌸 Bloom + PK + Boost Floral — EC 2.0",IF(AND('🌱 Configuração'!$B$51+9&gt;='🌱 Configuração'!$D$51,'🌱 Configuração'!$B$51+9&lt;'🌱 Configuração'!$E$51,INT(('🌱 Configuração'!$B$51+9-'🌱 Configuração'!$D$51)/7)+1=5,MOD('🌱 Configuração'!$B$51+9-'🌱 Configuração'!$D$51,7)=0),"🌸 Bloom + Boost + Amino",IF(AND('🌱 Configuração'!$B$51+9&gt;='🌱 Configuração'!$D$51,'🌱 Configuração'!$B$51+9&lt;'🌱 Configuração'!$E$51,INT(('🌱 Configuração'!$B$51+9-'🌱 Configuração'!$D$51)/7)+1=6,MOD('🌱 Configuração'!$B$51+9-'🌱 Configuração'!$D$51,7)=0),"🌸 Bloom + Enzimas + Amino",IF(AND('🌱 Configuração'!$B$51+9&gt;='🌱 Configuração'!$D$51,'🌱 Configuração'!$B$51+9&lt;'🌱 Configuração'!$E$51,INT(('🌱 Configuração'!$B$51+9-'🌱 Configuração'!$D$51)/7)+1=7,MOD('🌱 Configuração'!$B$51+9-'🌱 Configuração'!$D$51,7)=0),"🌸 Reduzir N — Bloom puro — EC 1.6",IF(AND('🌱 Configuração'!$B$51+9&gt;='🌱 Configuração'!$D$51,'🌱 Configuração'!$B$51+9&lt;'🌱 Configuração'!$E$51,INT(('🌱 Configuração'!$B$51+9-'🌱 Configuração'!$D$51)/7)+1=8,MOD('🌱 Configuração'!$B$51+9-'🌱 Configuração'!$D$51,7)=0),"🌸 Bloom puro — EC 1.4  (pré-flush)",IF(AND('🌱 Configuração'!$B$51+9&gt;='🌱 Configuração'!$D$51,'🌱 Configuração'!$B$51+9&lt;'🌱 Configuração'!$E$51,INT(('🌱 Configuração'!$B$51+9-'🌱 Configuração'!$D$51)/7)+1=9,MOD('🌱 Configuração'!$B$51+9-'🌱 Configuração'!$D$51,7)=0),"🌸 Último Bloom — EC 0.8",IF(AND('🌱 Configuração'!$B$51+9&gt;='🌱 Configuração'!$E$51,INT(('🌱 Configuração'!$B$51+9-'🌱 Configuração'!$E$51)/7)+1=1,MOD('🌱 Configuração'!$B$51+9-'🌱 Configuração'!$E$51,7)=0),"🚿 Água pura + Enzimas (EC &lt; 0.3)",IF(AND('🌱 Configuração'!$B$51+9&gt;='🌱 Configuração'!$E$51,INT(('🌱 Configuração'!$B$51+9-'🌱 Configuração'!$E$51)/7)+1=2,MOD('🌱 Configuração'!$B$51+9-'🌱 Configuração'!$E$51,7)=0),"🚿 Água pura (EC &lt; 0.2)",""))))))))))))))))))))))</f>
        <v/>
      </c>
      <c r="G15" s="30" t="str">
        <f>IF(10&gt;'🌱 Configuração'!$F$50,"",IF(AND('🌱 Configuração'!$B$51+9&lt;'🌱 Configuração'!$C$51,INT((10-1)/7)+1=1,MOD(10-1,7)=0),"🐛 Nim 2mL/L foliar — preventivo",IF(AND('🌱 Configuração'!$B$51+9&lt;'🌱 Configuração'!$C$51,INT((10-1)/7)+1=2,MOD(10-1,7)=0),"🐛 Beauveria bassiana foliar + solo",IF(AND('🌱 Configuração'!$B$51+9&gt;='🌱 Configuração'!$C$51,'🌱 Configuração'!$B$51+9&lt;'🌱 Configuração'!$D$51,INT(('🌱 Configuração'!$B$51+9-'🌱 Configuração'!$C$51)/7)+1=1,MOD('🌱 Configuração'!$B$51+9-'🌱 Configuração'!$C$51,7)=0),"🐛 Nim 2mL/L foliar",IF(AND('🌱 Configuração'!$B$51+9&gt;='🌱 Configuração'!$C$51,'🌱 Configuração'!$B$51+9&lt;'🌱 Configuração'!$D$51,INT(('🌱 Configuração'!$B$51+9-'🌱 Configuração'!$C$51)/7)+1=2,MOD('🌱 Configuração'!$B$51+9-'🌱 Configuração'!$C$51,7)=0),"🐛 Beauveria bassiana foliar",IF(AND('🌱 Configuração'!$B$51+9&gt;='🌱 Configuração'!$C$51,'🌱 Configuração'!$B$51+9&lt;'🌱 Configuração'!$D$51,INT(('🌱 Configuração'!$B$51+9-'🌱 Configuração'!$C$51)/7)+1=3,MOD('🌱 Configuração'!$B$51+9-'🌱 Configuração'!$C$51,7)=0),"🐛 Nim + Calda Sulfocálcica 1%",IF(AND('🌱 Configuração'!$B$51+9&gt;='🌱 Configuração'!$C$51,'🌱 Configuração'!$B$51+9&lt;'🌱 Configuração'!$D$51,INT(('🌱 Configuração'!$B$51+9-'🌱 Configuração'!$C$51)/7)+1=4,MOD('🌱 Configuração'!$B$51+9-'🌱 Configuração'!$C$51,7)=0),"🐛 Trichoderma solo + Beauveria",IF(AND('🌱 Configuração'!$B$51+9&gt;='🌱 Configuração'!$C$51,'🌱 Configuração'!$B$51+9&lt;'🌱 Configuração'!$D$51,INT(('🌱 Configuração'!$B$51+9-'🌱 Configuração'!$C$51)/7)+1=5,MOD('🌱 Configuração'!$B$51+9-'🌱 Configuração'!$C$51,7)=0),"🐛 Calda Bordalesa 0.5% foliar",IF(AND('🌱 Configuração'!$B$51+9&gt;='🌱 Configuração'!$C$51,'🌱 Configuração'!$B$51+9&lt;'🌱 Configuração'!$D$51,INT(('🌱 Configuração'!$B$51+9-'🌱 Configuração'!$C$51)/7)+1=6,MOD('🌱 Configuração'!$B$51+9-'🌱 Configuração'!$C$51,7)=0),"🐛 Nim 2mL/L — ÚLTIMA foliar",IF(AND('🌱 Configuração'!$B$51+9&gt;='🌱 Configuração'!$D$51,'🌱 Configuração'!$B$51+9&lt;'🌱 Configuração'!$E$51,INT(('🌱 Configuração'!$B$51+9-'🌱 Configuração'!$D$51)/7)+1=1,MOD('🌱 Configuração'!$B$51+9-'🌱 Configuração'!$D$51,7)=0),"🐛 Beauveria bassiana solo (sem foliar)",IF(AND('🌱 Configuração'!$B$51+9&gt;='🌱 Configuração'!$D$51,'🌱 Configuração'!$B$51+9&lt;'🌱 Configuração'!$E$51,INT(('🌱 Configuração'!$B$51+9-'🌱 Configuração'!$D$51)/7)+1=2,MOD('🌱 Configuração'!$B$51+9-'🌱 Configuração'!$D$51,7)=0),"🐛 Trichoderma solo",IF(AND('🌱 Configuração'!$B$51+9&gt;='🌱 Configuração'!$D$51,'🌱 Configuração'!$B$51+9&lt;'🌱 Configuração'!$E$51,INT(('🌱 Configuração'!$B$51+9-'🌱 Configuração'!$D$51)/7)+1=3,MOD('🌱 Configuração'!$B$51+9-'🌱 Configuração'!$D$51,7)=0),"🐛 Beauveria bassiana solo",IF(AND('🌱 Configuração'!$B$51+9&gt;='🌱 Configuração'!$D$51,'🌱 Configuração'!$B$51+9&lt;'🌱 Configuração'!$E$51,INT(('🌱 Configuração'!$B$51+9-'🌱 Configuração'!$D$51)/7)+1=4,MOD('🌱 Configuração'!$B$51+9-'🌱 Configuração'!$D$51,7)=0),"🐛 Trichoderma solo",IF(AND('🌱 Configuração'!$B$51+9&gt;='🌱 Configuração'!$E$51,INT(('🌱 Configuração'!$B$51+9-'🌱 Configuração'!$E$51)/7)+1=1,MOD('🌱 Configuração'!$B$51+9-'🌱 Configuração'!$E$51,7)=0),"🐛 Inspeção final — sem aplicação",""))))))))))))))</f>
        <v/>
      </c>
      <c r="H15" s="22" t="str">
        <f>IF(10&gt;'🌱 Configuração'!$F$50,"",IF('🌱 Configuração'!$B$51+9='🌱 Configuração'!$C$51,"🌿 INÍCIO VEGA — ajustar espaço, luz 18h/dia — EC 0.8",IF('🌱 Configuração'!$B$51+9='🌱 Configuração'!$D$51,"🌸 INÍCIO FLORAÇÃO — mudar para 12h/12h — 🔴 atenção ao fotoperíodo",IF('🌱 Configuração'!$B$51+9='🌱 Configuração'!$E$51,"🚿 INÍCIO FLUSH — PARAR nutrição, somente água pura",IF('🌱 Configuração'!$B$51+9='🌱 Configuração'!$F$51-1,"🔬 Véspera da colheita — analisar tricomas âmbar",IF('🌱 Configuração'!$B$51+9='🌱 Configuração'!$F$51,"✂️ COLHEITA! Parabéns! 🎉",""))))))</f>
        <v/>
      </c>
    </row>
    <row r="16" spans="2:8" ht="18.75" customHeight="1" x14ac:dyDescent="0.3">
      <c r="B16" s="25">
        <f>IF(11&lt;='🌱 Configuração'!$F$50,11,"")</f>
        <v>11</v>
      </c>
      <c r="C16" s="26">
        <f>IF(11&lt;='🌱 Configuração'!$F$50,'🌱 Configuração'!$B$51+10,"")</f>
        <v>46033</v>
      </c>
      <c r="D16" s="27" t="str">
        <f>IF(11&gt;'🌱 Configuração'!$F$50,"",IF('🌱 Configuração'!$B$51+10&lt;'🌱 Configuração'!$C$51,"🌱 Clone",IF('🌱 Configuração'!$B$51+10&lt;'🌱 Configuração'!$D$51,"🌿 Vegetativo",IF('🌱 Configuração'!$B$51+10&lt;'🌱 Configuração'!$E$51,"🌸 Floração","🚿 Flush"))))</f>
        <v>🌱 Clone</v>
      </c>
      <c r="E16" s="28" t="str">
        <f>IF(11&gt;'🌱 Configuração'!$F$50,"",IF('🌱 Configuração'!$B$51+10&lt;'🌱 Configuração'!$C$51,"Clone S"&amp;INT((11-1)/7)+1,IF('🌱 Configuração'!$B$51+10&lt;'🌱 Configuração'!$D$51,"Vega S"&amp;INT(('🌱 Configuração'!$B$51+10-'🌱 Configuração'!$C$51)/7)+1,IF('🌱 Configuração'!$B$51+10&lt;'🌱 Configuração'!$E$51,"Flora S"&amp;INT(('🌱 Configuração'!$B$51+10-'🌱 Configuração'!$D$51)/7)+1,"Flush S"&amp;INT(('🌱 Configuração'!$B$51+10-'🌱 Configuração'!$E$51)/7)+1))))</f>
        <v>Clone S2</v>
      </c>
      <c r="F16" s="29" t="str">
        <f>IF(11&gt;'🌱 Configuração'!$F$50,"",IF(AND('🌱 Configuração'!$B$51+10&lt;'🌱 Configuração'!$C$51,INT((11-1)/7)+1=1,MOD(11-1,7)=0),"🌱 Enraizador (0.5 mL/L)",IF(AND('🌱 Configuração'!$B$51+10&lt;'🌱 Configuração'!$C$51,INT((11-1)/7)+1=2,MOD(11-1,7)=0),"🌱 Enraizador + Vitamina B1",IF(AND('🌱 Configuração'!$B$51+10&gt;='🌱 Configuração'!$C$51,'🌱 Configuração'!$B$51+10&lt;'🌱 Configuração'!$D$51,INT(('🌱 Configuração'!$B$51+10-'🌱 Configuração'!$C$51)/7)+1=1,MOD('🌱 Configuração'!$B$51+10-'🌱 Configuração'!$C$51,7)=0),"🌿 Grow A+B início — EC 0.8",IF(AND('🌱 Configuração'!$B$51+10&gt;='🌱 Configuração'!$C$51,'🌱 Configuração'!$B$51+10&lt;'🌱 Configuração'!$D$51,INT(('🌱 Configuração'!$B$51+10-'🌱 Configuração'!$C$51)/7)+1=2,MOD('🌱 Configuração'!$B$51+10-'🌱 Configuração'!$C$51,7)=0),"🌿 Grow A+B + CalMag — EC 1.0",IF(AND('🌱 Configuração'!$B$51+10&gt;='🌱 Configuração'!$C$51,'🌱 Configuração'!$B$51+10&lt;'🌱 Configuração'!$D$51,INT(('🌱 Configuração'!$B$51+10-'🌱 Configuração'!$C$51)/7)+1=3,MOD('🌱 Configuração'!$B$51+10-'🌱 Configuração'!$C$51,7)=0),"🌿 Grow A+B + CalMag — EC 1.2",IF(AND('🌱 Configuração'!$B$51+10&gt;='🌱 Configuração'!$C$51,'🌱 Configuração'!$B$51+10&lt;'🌱 Configuração'!$D$51,INT(('🌱 Configuração'!$B$51+10-'🌱 Configuração'!$C$51)/7)+1=4,MOD('🌱 Configuração'!$B$51+10-'🌱 Configuração'!$C$51,7)=0),"🌿 Grow A+B + Enzimas — EC 1.4",IF(AND('🌱 Configuração'!$B$51+10&gt;='🌱 Configuração'!$C$51,'🌱 Configuração'!$B$51+10&lt;'🌱 Configuração'!$D$51,INT(('🌱 Configuração'!$B$51+10-'🌱 Configuração'!$C$51)/7)+1=5,MOD('🌱 Configuração'!$B$51+10-'🌱 Configuração'!$C$51,7)=0),"🌿 Grow A+B + Biorrizas — EC 1.5",IF(AND('🌱 Configuração'!$B$51+10&gt;='🌱 Configuração'!$C$51,'🌱 Configuração'!$B$51+10&lt;'🌱 Configuração'!$D$51,INT(('🌱 Configuração'!$B$51+10-'🌱 Configuração'!$C$51)/7)+1=6,MOD('🌱 Configuração'!$B$51+10-'🌱 Configuração'!$C$51,7)=0),"🌿 Transição Bloom — EC 1.4",IF(AND('🌱 Configuração'!$B$51+10&gt;='🌱 Configuração'!$C$51,'🌱 Configuração'!$B$51+10&lt;'🌱 Configuração'!$D$51,INT(('🌱 Configuração'!$B$51+10-'🌱 Configuração'!$C$51)/7)+1=7,MOD('🌱 Configuração'!$B$51+10-'🌱 Configuração'!$C$51,7)=0),"🌿 Bloom A+B transição — EC 1.4",IF(AND('🌱 Configuração'!$B$51+10&gt;='🌱 Configuração'!$C$51,'🌱 Configuração'!$B$51+10&lt;'🌱 Configuração'!$D$51,INT(('🌱 Configuração'!$B$51+10-'🌱 Configuração'!$C$51)/7)+1=8,MOD('🌱 Configuração'!$B$51+10-'🌱 Configuração'!$C$51,7)=0),"🌿 Bloom A+B — EC 1.4",IF(AND('🌱 Configuração'!$B$51+10&gt;='🌱 Configuração'!$D$51,'🌱 Configuração'!$B$51+10&lt;'🌱 Configuração'!$E$51,INT(('🌱 Configuração'!$B$51+10-'🌱 Configuração'!$D$51)/7)+1=1,MOD('🌱 Configuração'!$B$51+10-'🌱 Configuração'!$D$51,7)=0),"🌸 Bloom A+B — EC 1.6",IF(AND('🌱 Configuração'!$B$51+10&gt;='🌱 Configuração'!$D$51,'🌱 Configuração'!$B$51+10&lt;'🌱 Configuração'!$E$51,INT(('🌱 Configuração'!$B$51+10-'🌱 Configuração'!$D$51)/7)+1=2,MOD('🌱 Configuração'!$B$51+10-'🌱 Configuração'!$D$51,7)=0),"🌸 Bloom + PK 13/14 início",IF(AND('🌱 Configuração'!$B$51+10&gt;='🌱 Configuração'!$D$51,'🌱 Configuração'!$B$51+10&lt;'🌱 Configuração'!$E$51,INT(('🌱 Configuração'!$B$51+10-'🌱 Configuração'!$D$51)/7)+1=3,MOD('🌱 Configuração'!$B$51+10-'🌱 Configuração'!$D$51,7)=0),"🌸 Bloom + PK + CalMag — EC 1.8",IF(AND('🌱 Configuração'!$B$51+10&gt;='🌱 Configuração'!$D$51,'🌱 Configuração'!$B$51+10&lt;'🌱 Configuração'!$E$51,INT(('🌱 Configuração'!$B$51+10-'🌱 Configuração'!$D$51)/7)+1=4,MOD('🌱 Configuração'!$B$51+10-'🌱 Configuração'!$D$51,7)=0),"🌸 Bloom + PK + Boost Floral — EC 2.0",IF(AND('🌱 Configuração'!$B$51+10&gt;='🌱 Configuração'!$D$51,'🌱 Configuração'!$B$51+10&lt;'🌱 Configuração'!$E$51,INT(('🌱 Configuração'!$B$51+10-'🌱 Configuração'!$D$51)/7)+1=5,MOD('🌱 Configuração'!$B$51+10-'🌱 Configuração'!$D$51,7)=0),"🌸 Bloom + Boost + Amino",IF(AND('🌱 Configuração'!$B$51+10&gt;='🌱 Configuração'!$D$51,'🌱 Configuração'!$B$51+10&lt;'🌱 Configuração'!$E$51,INT(('🌱 Configuração'!$B$51+10-'🌱 Configuração'!$D$51)/7)+1=6,MOD('🌱 Configuração'!$B$51+10-'🌱 Configuração'!$D$51,7)=0),"🌸 Bloom + Enzimas + Amino",IF(AND('🌱 Configuração'!$B$51+10&gt;='🌱 Configuração'!$D$51,'🌱 Configuração'!$B$51+10&lt;'🌱 Configuração'!$E$51,INT(('🌱 Configuração'!$B$51+10-'🌱 Configuração'!$D$51)/7)+1=7,MOD('🌱 Configuração'!$B$51+10-'🌱 Configuração'!$D$51,7)=0),"🌸 Reduzir N — Bloom puro — EC 1.6",IF(AND('🌱 Configuração'!$B$51+10&gt;='🌱 Configuração'!$D$51,'🌱 Configuração'!$B$51+10&lt;'🌱 Configuração'!$E$51,INT(('🌱 Configuração'!$B$51+10-'🌱 Configuração'!$D$51)/7)+1=8,MOD('🌱 Configuração'!$B$51+10-'🌱 Configuração'!$D$51,7)=0),"🌸 Bloom puro — EC 1.4  (pré-flush)",IF(AND('🌱 Configuração'!$B$51+10&gt;='🌱 Configuração'!$D$51,'🌱 Configuração'!$B$51+10&lt;'🌱 Configuração'!$E$51,INT(('🌱 Configuração'!$B$51+10-'🌱 Configuração'!$D$51)/7)+1=9,MOD('🌱 Configuração'!$B$51+10-'🌱 Configuração'!$D$51,7)=0),"🌸 Último Bloom — EC 0.8",IF(AND('🌱 Configuração'!$B$51+10&gt;='🌱 Configuração'!$E$51,INT(('🌱 Configuração'!$B$51+10-'🌱 Configuração'!$E$51)/7)+1=1,MOD('🌱 Configuração'!$B$51+10-'🌱 Configuração'!$E$51,7)=0),"🚿 Água pura + Enzimas (EC &lt; 0.3)",IF(AND('🌱 Configuração'!$B$51+10&gt;='🌱 Configuração'!$E$51,INT(('🌱 Configuração'!$B$51+10-'🌱 Configuração'!$E$51)/7)+1=2,MOD('🌱 Configuração'!$B$51+10-'🌱 Configuração'!$E$51,7)=0),"🚿 Água pura (EC &lt; 0.2)",""))))))))))))))))))))))</f>
        <v/>
      </c>
      <c r="G16" s="30" t="str">
        <f>IF(11&gt;'🌱 Configuração'!$F$50,"",IF(AND('🌱 Configuração'!$B$51+10&lt;'🌱 Configuração'!$C$51,INT((11-1)/7)+1=1,MOD(11-1,7)=0),"🐛 Nim 2mL/L foliar — preventivo",IF(AND('🌱 Configuração'!$B$51+10&lt;'🌱 Configuração'!$C$51,INT((11-1)/7)+1=2,MOD(11-1,7)=0),"🐛 Beauveria bassiana foliar + solo",IF(AND('🌱 Configuração'!$B$51+10&gt;='🌱 Configuração'!$C$51,'🌱 Configuração'!$B$51+10&lt;'🌱 Configuração'!$D$51,INT(('🌱 Configuração'!$B$51+10-'🌱 Configuração'!$C$51)/7)+1=1,MOD('🌱 Configuração'!$B$51+10-'🌱 Configuração'!$C$51,7)=0),"🐛 Nim 2mL/L foliar",IF(AND('🌱 Configuração'!$B$51+10&gt;='🌱 Configuração'!$C$51,'🌱 Configuração'!$B$51+10&lt;'🌱 Configuração'!$D$51,INT(('🌱 Configuração'!$B$51+10-'🌱 Configuração'!$C$51)/7)+1=2,MOD('🌱 Configuração'!$B$51+10-'🌱 Configuração'!$C$51,7)=0),"🐛 Beauveria bassiana foliar",IF(AND('🌱 Configuração'!$B$51+10&gt;='🌱 Configuração'!$C$51,'🌱 Configuração'!$B$51+10&lt;'🌱 Configuração'!$D$51,INT(('🌱 Configuração'!$B$51+10-'🌱 Configuração'!$C$51)/7)+1=3,MOD('🌱 Configuração'!$B$51+10-'🌱 Configuração'!$C$51,7)=0),"🐛 Nim + Calda Sulfocálcica 1%",IF(AND('🌱 Configuração'!$B$51+10&gt;='🌱 Configuração'!$C$51,'🌱 Configuração'!$B$51+10&lt;'🌱 Configuração'!$D$51,INT(('🌱 Configuração'!$B$51+10-'🌱 Configuração'!$C$51)/7)+1=4,MOD('🌱 Configuração'!$B$51+10-'🌱 Configuração'!$C$51,7)=0),"🐛 Trichoderma solo + Beauveria",IF(AND('🌱 Configuração'!$B$51+10&gt;='🌱 Configuração'!$C$51,'🌱 Configuração'!$B$51+10&lt;'🌱 Configuração'!$D$51,INT(('🌱 Configuração'!$B$51+10-'🌱 Configuração'!$C$51)/7)+1=5,MOD('🌱 Configuração'!$B$51+10-'🌱 Configuração'!$C$51,7)=0),"🐛 Calda Bordalesa 0.5% foliar",IF(AND('🌱 Configuração'!$B$51+10&gt;='🌱 Configuração'!$C$51,'🌱 Configuração'!$B$51+10&lt;'🌱 Configuração'!$D$51,INT(('🌱 Configuração'!$B$51+10-'🌱 Configuração'!$C$51)/7)+1=6,MOD('🌱 Configuração'!$B$51+10-'🌱 Configuração'!$C$51,7)=0),"🐛 Nim 2mL/L — ÚLTIMA foliar",IF(AND('🌱 Configuração'!$B$51+10&gt;='🌱 Configuração'!$D$51,'🌱 Configuração'!$B$51+10&lt;'🌱 Configuração'!$E$51,INT(('🌱 Configuração'!$B$51+10-'🌱 Configuração'!$D$51)/7)+1=1,MOD('🌱 Configuração'!$B$51+10-'🌱 Configuração'!$D$51,7)=0),"🐛 Beauveria bassiana solo (sem foliar)",IF(AND('🌱 Configuração'!$B$51+10&gt;='🌱 Configuração'!$D$51,'🌱 Configuração'!$B$51+10&lt;'🌱 Configuração'!$E$51,INT(('🌱 Configuração'!$B$51+10-'🌱 Configuração'!$D$51)/7)+1=2,MOD('🌱 Configuração'!$B$51+10-'🌱 Configuração'!$D$51,7)=0),"🐛 Trichoderma solo",IF(AND('🌱 Configuração'!$B$51+10&gt;='🌱 Configuração'!$D$51,'🌱 Configuração'!$B$51+10&lt;'🌱 Configuração'!$E$51,INT(('🌱 Configuração'!$B$51+10-'🌱 Configuração'!$D$51)/7)+1=3,MOD('🌱 Configuração'!$B$51+10-'🌱 Configuração'!$D$51,7)=0),"🐛 Beauveria bassiana solo",IF(AND('🌱 Configuração'!$B$51+10&gt;='🌱 Configuração'!$D$51,'🌱 Configuração'!$B$51+10&lt;'🌱 Configuração'!$E$51,INT(('🌱 Configuração'!$B$51+10-'🌱 Configuração'!$D$51)/7)+1=4,MOD('🌱 Configuração'!$B$51+10-'🌱 Configuração'!$D$51,7)=0),"🐛 Trichoderma solo",IF(AND('🌱 Configuração'!$B$51+10&gt;='🌱 Configuração'!$E$51,INT(('🌱 Configuração'!$B$51+10-'🌱 Configuração'!$E$51)/7)+1=1,MOD('🌱 Configuração'!$B$51+10-'🌱 Configuração'!$E$51,7)=0),"🐛 Inspeção final — sem aplicação",""))))))))))))))</f>
        <v/>
      </c>
      <c r="H16" s="22" t="str">
        <f>IF(11&gt;'🌱 Configuração'!$F$50,"",IF('🌱 Configuração'!$B$51+10='🌱 Configuração'!$C$51,"🌿 INÍCIO VEGA — ajustar espaço, luz 18h/dia — EC 0.8",IF('🌱 Configuração'!$B$51+10='🌱 Configuração'!$D$51,"🌸 INÍCIO FLORAÇÃO — mudar para 12h/12h — 🔴 atenção ao fotoperíodo",IF('🌱 Configuração'!$B$51+10='🌱 Configuração'!$E$51,"🚿 INÍCIO FLUSH — PARAR nutrição, somente água pura",IF('🌱 Configuração'!$B$51+10='🌱 Configuração'!$F$51-1,"🔬 Véspera da colheita — analisar tricomas âmbar",IF('🌱 Configuração'!$B$51+10='🌱 Configuração'!$F$51,"✂️ COLHEITA! Parabéns! 🎉",""))))))</f>
        <v/>
      </c>
    </row>
    <row r="17" spans="2:8" ht="18.75" customHeight="1" x14ac:dyDescent="0.3">
      <c r="B17" s="25">
        <f>IF(12&lt;='🌱 Configuração'!$F$50,12,"")</f>
        <v>12</v>
      </c>
      <c r="C17" s="26">
        <f>IF(12&lt;='🌱 Configuração'!$F$50,'🌱 Configuração'!$B$51+11,"")</f>
        <v>46034</v>
      </c>
      <c r="D17" s="27" t="str">
        <f>IF(12&gt;'🌱 Configuração'!$F$50,"",IF('🌱 Configuração'!$B$51+11&lt;'🌱 Configuração'!$C$51,"🌱 Clone",IF('🌱 Configuração'!$B$51+11&lt;'🌱 Configuração'!$D$51,"🌿 Vegetativo",IF('🌱 Configuração'!$B$51+11&lt;'🌱 Configuração'!$E$51,"🌸 Floração","🚿 Flush"))))</f>
        <v>🌱 Clone</v>
      </c>
      <c r="E17" s="28" t="str">
        <f>IF(12&gt;'🌱 Configuração'!$F$50,"",IF('🌱 Configuração'!$B$51+11&lt;'🌱 Configuração'!$C$51,"Clone S"&amp;INT((12-1)/7)+1,IF('🌱 Configuração'!$B$51+11&lt;'🌱 Configuração'!$D$51,"Vega S"&amp;INT(('🌱 Configuração'!$B$51+11-'🌱 Configuração'!$C$51)/7)+1,IF('🌱 Configuração'!$B$51+11&lt;'🌱 Configuração'!$E$51,"Flora S"&amp;INT(('🌱 Configuração'!$B$51+11-'🌱 Configuração'!$D$51)/7)+1,"Flush S"&amp;INT(('🌱 Configuração'!$B$51+11-'🌱 Configuração'!$E$51)/7)+1))))</f>
        <v>Clone S2</v>
      </c>
      <c r="F17" s="29" t="str">
        <f>IF(12&gt;'🌱 Configuração'!$F$50,"",IF(AND('🌱 Configuração'!$B$51+11&lt;'🌱 Configuração'!$C$51,INT((12-1)/7)+1=1,MOD(12-1,7)=0),"🌱 Enraizador (0.5 mL/L)",IF(AND('🌱 Configuração'!$B$51+11&lt;'🌱 Configuração'!$C$51,INT((12-1)/7)+1=2,MOD(12-1,7)=0),"🌱 Enraizador + Vitamina B1",IF(AND('🌱 Configuração'!$B$51+11&gt;='🌱 Configuração'!$C$51,'🌱 Configuração'!$B$51+11&lt;'🌱 Configuração'!$D$51,INT(('🌱 Configuração'!$B$51+11-'🌱 Configuração'!$C$51)/7)+1=1,MOD('🌱 Configuração'!$B$51+11-'🌱 Configuração'!$C$51,7)=0),"🌿 Grow A+B início — EC 0.8",IF(AND('🌱 Configuração'!$B$51+11&gt;='🌱 Configuração'!$C$51,'🌱 Configuração'!$B$51+11&lt;'🌱 Configuração'!$D$51,INT(('🌱 Configuração'!$B$51+11-'🌱 Configuração'!$C$51)/7)+1=2,MOD('🌱 Configuração'!$B$51+11-'🌱 Configuração'!$C$51,7)=0),"🌿 Grow A+B + CalMag — EC 1.0",IF(AND('🌱 Configuração'!$B$51+11&gt;='🌱 Configuração'!$C$51,'🌱 Configuração'!$B$51+11&lt;'🌱 Configuração'!$D$51,INT(('🌱 Configuração'!$B$51+11-'🌱 Configuração'!$C$51)/7)+1=3,MOD('🌱 Configuração'!$B$51+11-'🌱 Configuração'!$C$51,7)=0),"🌿 Grow A+B + CalMag — EC 1.2",IF(AND('🌱 Configuração'!$B$51+11&gt;='🌱 Configuração'!$C$51,'🌱 Configuração'!$B$51+11&lt;'🌱 Configuração'!$D$51,INT(('🌱 Configuração'!$B$51+11-'🌱 Configuração'!$C$51)/7)+1=4,MOD('🌱 Configuração'!$B$51+11-'🌱 Configuração'!$C$51,7)=0),"🌿 Grow A+B + Enzimas — EC 1.4",IF(AND('🌱 Configuração'!$B$51+11&gt;='🌱 Configuração'!$C$51,'🌱 Configuração'!$B$51+11&lt;'🌱 Configuração'!$D$51,INT(('🌱 Configuração'!$B$51+11-'🌱 Configuração'!$C$51)/7)+1=5,MOD('🌱 Configuração'!$B$51+11-'🌱 Configuração'!$C$51,7)=0),"🌿 Grow A+B + Biorrizas — EC 1.5",IF(AND('🌱 Configuração'!$B$51+11&gt;='🌱 Configuração'!$C$51,'🌱 Configuração'!$B$51+11&lt;'🌱 Configuração'!$D$51,INT(('🌱 Configuração'!$B$51+11-'🌱 Configuração'!$C$51)/7)+1=6,MOD('🌱 Configuração'!$B$51+11-'🌱 Configuração'!$C$51,7)=0),"🌿 Transição Bloom — EC 1.4",IF(AND('🌱 Configuração'!$B$51+11&gt;='🌱 Configuração'!$C$51,'🌱 Configuração'!$B$51+11&lt;'🌱 Configuração'!$D$51,INT(('🌱 Configuração'!$B$51+11-'🌱 Configuração'!$C$51)/7)+1=7,MOD('🌱 Configuração'!$B$51+11-'🌱 Configuração'!$C$51,7)=0),"🌿 Bloom A+B transição — EC 1.4",IF(AND('🌱 Configuração'!$B$51+11&gt;='🌱 Configuração'!$C$51,'🌱 Configuração'!$B$51+11&lt;'🌱 Configuração'!$D$51,INT(('🌱 Configuração'!$B$51+11-'🌱 Configuração'!$C$51)/7)+1=8,MOD('🌱 Configuração'!$B$51+11-'🌱 Configuração'!$C$51,7)=0),"🌿 Bloom A+B — EC 1.4",IF(AND('🌱 Configuração'!$B$51+11&gt;='🌱 Configuração'!$D$51,'🌱 Configuração'!$B$51+11&lt;'🌱 Configuração'!$E$51,INT(('🌱 Configuração'!$B$51+11-'🌱 Configuração'!$D$51)/7)+1=1,MOD('🌱 Configuração'!$B$51+11-'🌱 Configuração'!$D$51,7)=0),"🌸 Bloom A+B — EC 1.6",IF(AND('🌱 Configuração'!$B$51+11&gt;='🌱 Configuração'!$D$51,'🌱 Configuração'!$B$51+11&lt;'🌱 Configuração'!$E$51,INT(('🌱 Configuração'!$B$51+11-'🌱 Configuração'!$D$51)/7)+1=2,MOD('🌱 Configuração'!$B$51+11-'🌱 Configuração'!$D$51,7)=0),"🌸 Bloom + PK 13/14 início",IF(AND('🌱 Configuração'!$B$51+11&gt;='🌱 Configuração'!$D$51,'🌱 Configuração'!$B$51+11&lt;'🌱 Configuração'!$E$51,INT(('🌱 Configuração'!$B$51+11-'🌱 Configuração'!$D$51)/7)+1=3,MOD('🌱 Configuração'!$B$51+11-'🌱 Configuração'!$D$51,7)=0),"🌸 Bloom + PK + CalMag — EC 1.8",IF(AND('🌱 Configuração'!$B$51+11&gt;='🌱 Configuração'!$D$51,'🌱 Configuração'!$B$51+11&lt;'🌱 Configuração'!$E$51,INT(('🌱 Configuração'!$B$51+11-'🌱 Configuração'!$D$51)/7)+1=4,MOD('🌱 Configuração'!$B$51+11-'🌱 Configuração'!$D$51,7)=0),"🌸 Bloom + PK + Boost Floral — EC 2.0",IF(AND('🌱 Configuração'!$B$51+11&gt;='🌱 Configuração'!$D$51,'🌱 Configuração'!$B$51+11&lt;'🌱 Configuração'!$E$51,INT(('🌱 Configuração'!$B$51+11-'🌱 Configuração'!$D$51)/7)+1=5,MOD('🌱 Configuração'!$B$51+11-'🌱 Configuração'!$D$51,7)=0),"🌸 Bloom + Boost + Amino",IF(AND('🌱 Configuração'!$B$51+11&gt;='🌱 Configuração'!$D$51,'🌱 Configuração'!$B$51+11&lt;'🌱 Configuração'!$E$51,INT(('🌱 Configuração'!$B$51+11-'🌱 Configuração'!$D$51)/7)+1=6,MOD('🌱 Configuração'!$B$51+11-'🌱 Configuração'!$D$51,7)=0),"🌸 Bloom + Enzimas + Amino",IF(AND('🌱 Configuração'!$B$51+11&gt;='🌱 Configuração'!$D$51,'🌱 Configuração'!$B$51+11&lt;'🌱 Configuração'!$E$51,INT(('🌱 Configuração'!$B$51+11-'🌱 Configuração'!$D$51)/7)+1=7,MOD('🌱 Configuração'!$B$51+11-'🌱 Configuração'!$D$51,7)=0),"🌸 Reduzir N — Bloom puro — EC 1.6",IF(AND('🌱 Configuração'!$B$51+11&gt;='🌱 Configuração'!$D$51,'🌱 Configuração'!$B$51+11&lt;'🌱 Configuração'!$E$51,INT(('🌱 Configuração'!$B$51+11-'🌱 Configuração'!$D$51)/7)+1=8,MOD('🌱 Configuração'!$B$51+11-'🌱 Configuração'!$D$51,7)=0),"🌸 Bloom puro — EC 1.4  (pré-flush)",IF(AND('🌱 Configuração'!$B$51+11&gt;='🌱 Configuração'!$D$51,'🌱 Configuração'!$B$51+11&lt;'🌱 Configuração'!$E$51,INT(('🌱 Configuração'!$B$51+11-'🌱 Configuração'!$D$51)/7)+1=9,MOD('🌱 Configuração'!$B$51+11-'🌱 Configuração'!$D$51,7)=0),"🌸 Último Bloom — EC 0.8",IF(AND('🌱 Configuração'!$B$51+11&gt;='🌱 Configuração'!$E$51,INT(('🌱 Configuração'!$B$51+11-'🌱 Configuração'!$E$51)/7)+1=1,MOD('🌱 Configuração'!$B$51+11-'🌱 Configuração'!$E$51,7)=0),"🚿 Água pura + Enzimas (EC &lt; 0.3)",IF(AND('🌱 Configuração'!$B$51+11&gt;='🌱 Configuração'!$E$51,INT(('🌱 Configuração'!$B$51+11-'🌱 Configuração'!$E$51)/7)+1=2,MOD('🌱 Configuração'!$B$51+11-'🌱 Configuração'!$E$51,7)=0),"🚿 Água pura (EC &lt; 0.2)",""))))))))))))))))))))))</f>
        <v/>
      </c>
      <c r="G17" s="30" t="str">
        <f>IF(12&gt;'🌱 Configuração'!$F$50,"",IF(AND('🌱 Configuração'!$B$51+11&lt;'🌱 Configuração'!$C$51,INT((12-1)/7)+1=1,MOD(12-1,7)=0),"🐛 Nim 2mL/L foliar — preventivo",IF(AND('🌱 Configuração'!$B$51+11&lt;'🌱 Configuração'!$C$51,INT((12-1)/7)+1=2,MOD(12-1,7)=0),"🐛 Beauveria bassiana foliar + solo",IF(AND('🌱 Configuração'!$B$51+11&gt;='🌱 Configuração'!$C$51,'🌱 Configuração'!$B$51+11&lt;'🌱 Configuração'!$D$51,INT(('🌱 Configuração'!$B$51+11-'🌱 Configuração'!$C$51)/7)+1=1,MOD('🌱 Configuração'!$B$51+11-'🌱 Configuração'!$C$51,7)=0),"🐛 Nim 2mL/L foliar",IF(AND('🌱 Configuração'!$B$51+11&gt;='🌱 Configuração'!$C$51,'🌱 Configuração'!$B$51+11&lt;'🌱 Configuração'!$D$51,INT(('🌱 Configuração'!$B$51+11-'🌱 Configuração'!$C$51)/7)+1=2,MOD('🌱 Configuração'!$B$51+11-'🌱 Configuração'!$C$51,7)=0),"🐛 Beauveria bassiana foliar",IF(AND('🌱 Configuração'!$B$51+11&gt;='🌱 Configuração'!$C$51,'🌱 Configuração'!$B$51+11&lt;'🌱 Configuração'!$D$51,INT(('🌱 Configuração'!$B$51+11-'🌱 Configuração'!$C$51)/7)+1=3,MOD('🌱 Configuração'!$B$51+11-'🌱 Configuração'!$C$51,7)=0),"🐛 Nim + Calda Sulfocálcica 1%",IF(AND('🌱 Configuração'!$B$51+11&gt;='🌱 Configuração'!$C$51,'🌱 Configuração'!$B$51+11&lt;'🌱 Configuração'!$D$51,INT(('🌱 Configuração'!$B$51+11-'🌱 Configuração'!$C$51)/7)+1=4,MOD('🌱 Configuração'!$B$51+11-'🌱 Configuração'!$C$51,7)=0),"🐛 Trichoderma solo + Beauveria",IF(AND('🌱 Configuração'!$B$51+11&gt;='🌱 Configuração'!$C$51,'🌱 Configuração'!$B$51+11&lt;'🌱 Configuração'!$D$51,INT(('🌱 Configuração'!$B$51+11-'🌱 Configuração'!$C$51)/7)+1=5,MOD('🌱 Configuração'!$B$51+11-'🌱 Configuração'!$C$51,7)=0),"🐛 Calda Bordalesa 0.5% foliar",IF(AND('🌱 Configuração'!$B$51+11&gt;='🌱 Configuração'!$C$51,'🌱 Configuração'!$B$51+11&lt;'🌱 Configuração'!$D$51,INT(('🌱 Configuração'!$B$51+11-'🌱 Configuração'!$C$51)/7)+1=6,MOD('🌱 Configuração'!$B$51+11-'🌱 Configuração'!$C$51,7)=0),"🐛 Nim 2mL/L — ÚLTIMA foliar",IF(AND('🌱 Configuração'!$B$51+11&gt;='🌱 Configuração'!$D$51,'🌱 Configuração'!$B$51+11&lt;'🌱 Configuração'!$E$51,INT(('🌱 Configuração'!$B$51+11-'🌱 Configuração'!$D$51)/7)+1=1,MOD('🌱 Configuração'!$B$51+11-'🌱 Configuração'!$D$51,7)=0),"🐛 Beauveria bassiana solo (sem foliar)",IF(AND('🌱 Configuração'!$B$51+11&gt;='🌱 Configuração'!$D$51,'🌱 Configuração'!$B$51+11&lt;'🌱 Configuração'!$E$51,INT(('🌱 Configuração'!$B$51+11-'🌱 Configuração'!$D$51)/7)+1=2,MOD('🌱 Configuração'!$B$51+11-'🌱 Configuração'!$D$51,7)=0),"🐛 Trichoderma solo",IF(AND('🌱 Configuração'!$B$51+11&gt;='🌱 Configuração'!$D$51,'🌱 Configuração'!$B$51+11&lt;'🌱 Configuração'!$E$51,INT(('🌱 Configuração'!$B$51+11-'🌱 Configuração'!$D$51)/7)+1=3,MOD('🌱 Configuração'!$B$51+11-'🌱 Configuração'!$D$51,7)=0),"🐛 Beauveria bassiana solo",IF(AND('🌱 Configuração'!$B$51+11&gt;='🌱 Configuração'!$D$51,'🌱 Configuração'!$B$51+11&lt;'🌱 Configuração'!$E$51,INT(('🌱 Configuração'!$B$51+11-'🌱 Configuração'!$D$51)/7)+1=4,MOD('🌱 Configuração'!$B$51+11-'🌱 Configuração'!$D$51,7)=0),"🐛 Trichoderma solo",IF(AND('🌱 Configuração'!$B$51+11&gt;='🌱 Configuração'!$E$51,INT(('🌱 Configuração'!$B$51+11-'🌱 Configuração'!$E$51)/7)+1=1,MOD('🌱 Configuração'!$B$51+11-'🌱 Configuração'!$E$51,7)=0),"🐛 Inspeção final — sem aplicação",""))))))))))))))</f>
        <v/>
      </c>
      <c r="H17" s="22" t="str">
        <f>IF(12&gt;'🌱 Configuração'!$F$50,"",IF('🌱 Configuração'!$B$51+11='🌱 Configuração'!$C$51,"🌿 INÍCIO VEGA — ajustar espaço, luz 18h/dia — EC 0.8",IF('🌱 Configuração'!$B$51+11='🌱 Configuração'!$D$51,"🌸 INÍCIO FLORAÇÃO — mudar para 12h/12h — 🔴 atenção ao fotoperíodo",IF('🌱 Configuração'!$B$51+11='🌱 Configuração'!$E$51,"🚿 INÍCIO FLUSH — PARAR nutrição, somente água pura",IF('🌱 Configuração'!$B$51+11='🌱 Configuração'!$F$51-1,"🔬 Véspera da colheita — analisar tricomas âmbar",IF('🌱 Configuração'!$B$51+11='🌱 Configuração'!$F$51,"✂️ COLHEITA! Parabéns! 🎉",""))))))</f>
        <v/>
      </c>
    </row>
    <row r="18" spans="2:8" ht="18.75" customHeight="1" x14ac:dyDescent="0.3">
      <c r="B18" s="25">
        <f>IF(13&lt;='🌱 Configuração'!$F$50,13,"")</f>
        <v>13</v>
      </c>
      <c r="C18" s="26">
        <f>IF(13&lt;='🌱 Configuração'!$F$50,'🌱 Configuração'!$B$51+12,"")</f>
        <v>46035</v>
      </c>
      <c r="D18" s="27" t="str">
        <f>IF(13&gt;'🌱 Configuração'!$F$50,"",IF('🌱 Configuração'!$B$51+12&lt;'🌱 Configuração'!$C$51,"🌱 Clone",IF('🌱 Configuração'!$B$51+12&lt;'🌱 Configuração'!$D$51,"🌿 Vegetativo",IF('🌱 Configuração'!$B$51+12&lt;'🌱 Configuração'!$E$51,"🌸 Floração","🚿 Flush"))))</f>
        <v>🌱 Clone</v>
      </c>
      <c r="E18" s="28" t="str">
        <f>IF(13&gt;'🌱 Configuração'!$F$50,"",IF('🌱 Configuração'!$B$51+12&lt;'🌱 Configuração'!$C$51,"Clone S"&amp;INT((13-1)/7)+1,IF('🌱 Configuração'!$B$51+12&lt;'🌱 Configuração'!$D$51,"Vega S"&amp;INT(('🌱 Configuração'!$B$51+12-'🌱 Configuração'!$C$51)/7)+1,IF('🌱 Configuração'!$B$51+12&lt;'🌱 Configuração'!$E$51,"Flora S"&amp;INT(('🌱 Configuração'!$B$51+12-'🌱 Configuração'!$D$51)/7)+1,"Flush S"&amp;INT(('🌱 Configuração'!$B$51+12-'🌱 Configuração'!$E$51)/7)+1))))</f>
        <v>Clone S2</v>
      </c>
      <c r="F18" s="29" t="str">
        <f>IF(13&gt;'🌱 Configuração'!$F$50,"",IF(AND('🌱 Configuração'!$B$51+12&lt;'🌱 Configuração'!$C$51,INT((13-1)/7)+1=1,MOD(13-1,7)=0),"🌱 Enraizador (0.5 mL/L)",IF(AND('🌱 Configuração'!$B$51+12&lt;'🌱 Configuração'!$C$51,INT((13-1)/7)+1=2,MOD(13-1,7)=0),"🌱 Enraizador + Vitamina B1",IF(AND('🌱 Configuração'!$B$51+12&gt;='🌱 Configuração'!$C$51,'🌱 Configuração'!$B$51+12&lt;'🌱 Configuração'!$D$51,INT(('🌱 Configuração'!$B$51+12-'🌱 Configuração'!$C$51)/7)+1=1,MOD('🌱 Configuração'!$B$51+12-'🌱 Configuração'!$C$51,7)=0),"🌿 Grow A+B início — EC 0.8",IF(AND('🌱 Configuração'!$B$51+12&gt;='🌱 Configuração'!$C$51,'🌱 Configuração'!$B$51+12&lt;'🌱 Configuração'!$D$51,INT(('🌱 Configuração'!$B$51+12-'🌱 Configuração'!$C$51)/7)+1=2,MOD('🌱 Configuração'!$B$51+12-'🌱 Configuração'!$C$51,7)=0),"🌿 Grow A+B + CalMag — EC 1.0",IF(AND('🌱 Configuração'!$B$51+12&gt;='🌱 Configuração'!$C$51,'🌱 Configuração'!$B$51+12&lt;'🌱 Configuração'!$D$51,INT(('🌱 Configuração'!$B$51+12-'🌱 Configuração'!$C$51)/7)+1=3,MOD('🌱 Configuração'!$B$51+12-'🌱 Configuração'!$C$51,7)=0),"🌿 Grow A+B + CalMag — EC 1.2",IF(AND('🌱 Configuração'!$B$51+12&gt;='🌱 Configuração'!$C$51,'🌱 Configuração'!$B$51+12&lt;'🌱 Configuração'!$D$51,INT(('🌱 Configuração'!$B$51+12-'🌱 Configuração'!$C$51)/7)+1=4,MOD('🌱 Configuração'!$B$51+12-'🌱 Configuração'!$C$51,7)=0),"🌿 Grow A+B + Enzimas — EC 1.4",IF(AND('🌱 Configuração'!$B$51+12&gt;='🌱 Configuração'!$C$51,'🌱 Configuração'!$B$51+12&lt;'🌱 Configuração'!$D$51,INT(('🌱 Configuração'!$B$51+12-'🌱 Configuração'!$C$51)/7)+1=5,MOD('🌱 Configuração'!$B$51+12-'🌱 Configuração'!$C$51,7)=0),"🌿 Grow A+B + Biorrizas — EC 1.5",IF(AND('🌱 Configuração'!$B$51+12&gt;='🌱 Configuração'!$C$51,'🌱 Configuração'!$B$51+12&lt;'🌱 Configuração'!$D$51,INT(('🌱 Configuração'!$B$51+12-'🌱 Configuração'!$C$51)/7)+1=6,MOD('🌱 Configuração'!$B$51+12-'🌱 Configuração'!$C$51,7)=0),"🌿 Transição Bloom — EC 1.4",IF(AND('🌱 Configuração'!$B$51+12&gt;='🌱 Configuração'!$C$51,'🌱 Configuração'!$B$51+12&lt;'🌱 Configuração'!$D$51,INT(('🌱 Configuração'!$B$51+12-'🌱 Configuração'!$C$51)/7)+1=7,MOD('🌱 Configuração'!$B$51+12-'🌱 Configuração'!$C$51,7)=0),"🌿 Bloom A+B transição — EC 1.4",IF(AND('🌱 Configuração'!$B$51+12&gt;='🌱 Configuração'!$C$51,'🌱 Configuração'!$B$51+12&lt;'🌱 Configuração'!$D$51,INT(('🌱 Configuração'!$B$51+12-'🌱 Configuração'!$C$51)/7)+1=8,MOD('🌱 Configuração'!$B$51+12-'🌱 Configuração'!$C$51,7)=0),"🌿 Bloom A+B — EC 1.4",IF(AND('🌱 Configuração'!$B$51+12&gt;='🌱 Configuração'!$D$51,'🌱 Configuração'!$B$51+12&lt;'🌱 Configuração'!$E$51,INT(('🌱 Configuração'!$B$51+12-'🌱 Configuração'!$D$51)/7)+1=1,MOD('🌱 Configuração'!$B$51+12-'🌱 Configuração'!$D$51,7)=0),"🌸 Bloom A+B — EC 1.6",IF(AND('🌱 Configuração'!$B$51+12&gt;='🌱 Configuração'!$D$51,'🌱 Configuração'!$B$51+12&lt;'🌱 Configuração'!$E$51,INT(('🌱 Configuração'!$B$51+12-'🌱 Configuração'!$D$51)/7)+1=2,MOD('🌱 Configuração'!$B$51+12-'🌱 Configuração'!$D$51,7)=0),"🌸 Bloom + PK 13/14 início",IF(AND('🌱 Configuração'!$B$51+12&gt;='🌱 Configuração'!$D$51,'🌱 Configuração'!$B$51+12&lt;'🌱 Configuração'!$E$51,INT(('🌱 Configuração'!$B$51+12-'🌱 Configuração'!$D$51)/7)+1=3,MOD('🌱 Configuração'!$B$51+12-'🌱 Configuração'!$D$51,7)=0),"🌸 Bloom + PK + CalMag — EC 1.8",IF(AND('🌱 Configuração'!$B$51+12&gt;='🌱 Configuração'!$D$51,'🌱 Configuração'!$B$51+12&lt;'🌱 Configuração'!$E$51,INT(('🌱 Configuração'!$B$51+12-'🌱 Configuração'!$D$51)/7)+1=4,MOD('🌱 Configuração'!$B$51+12-'🌱 Configuração'!$D$51,7)=0),"🌸 Bloom + PK + Boost Floral — EC 2.0",IF(AND('🌱 Configuração'!$B$51+12&gt;='🌱 Configuração'!$D$51,'🌱 Configuração'!$B$51+12&lt;'🌱 Configuração'!$E$51,INT(('🌱 Configuração'!$B$51+12-'🌱 Configuração'!$D$51)/7)+1=5,MOD('🌱 Configuração'!$B$51+12-'🌱 Configuração'!$D$51,7)=0),"🌸 Bloom + Boost + Amino",IF(AND('🌱 Configuração'!$B$51+12&gt;='🌱 Configuração'!$D$51,'🌱 Configuração'!$B$51+12&lt;'🌱 Configuração'!$E$51,INT(('🌱 Configuração'!$B$51+12-'🌱 Configuração'!$D$51)/7)+1=6,MOD('🌱 Configuração'!$B$51+12-'🌱 Configuração'!$D$51,7)=0),"🌸 Bloom + Enzimas + Amino",IF(AND('🌱 Configuração'!$B$51+12&gt;='🌱 Configuração'!$D$51,'🌱 Configuração'!$B$51+12&lt;'🌱 Configuração'!$E$51,INT(('🌱 Configuração'!$B$51+12-'🌱 Configuração'!$D$51)/7)+1=7,MOD('🌱 Configuração'!$B$51+12-'🌱 Configuração'!$D$51,7)=0),"🌸 Reduzir N — Bloom puro — EC 1.6",IF(AND('🌱 Configuração'!$B$51+12&gt;='🌱 Configuração'!$D$51,'🌱 Configuração'!$B$51+12&lt;'🌱 Configuração'!$E$51,INT(('🌱 Configuração'!$B$51+12-'🌱 Configuração'!$D$51)/7)+1=8,MOD('🌱 Configuração'!$B$51+12-'🌱 Configuração'!$D$51,7)=0),"🌸 Bloom puro — EC 1.4  (pré-flush)",IF(AND('🌱 Configuração'!$B$51+12&gt;='🌱 Configuração'!$D$51,'🌱 Configuração'!$B$51+12&lt;'🌱 Configuração'!$E$51,INT(('🌱 Configuração'!$B$51+12-'🌱 Configuração'!$D$51)/7)+1=9,MOD('🌱 Configuração'!$B$51+12-'🌱 Configuração'!$D$51,7)=0),"🌸 Último Bloom — EC 0.8",IF(AND('🌱 Configuração'!$B$51+12&gt;='🌱 Configuração'!$E$51,INT(('🌱 Configuração'!$B$51+12-'🌱 Configuração'!$E$51)/7)+1=1,MOD('🌱 Configuração'!$B$51+12-'🌱 Configuração'!$E$51,7)=0),"🚿 Água pura + Enzimas (EC &lt; 0.3)",IF(AND('🌱 Configuração'!$B$51+12&gt;='🌱 Configuração'!$E$51,INT(('🌱 Configuração'!$B$51+12-'🌱 Configuração'!$E$51)/7)+1=2,MOD('🌱 Configuração'!$B$51+12-'🌱 Configuração'!$E$51,7)=0),"🚿 Água pura (EC &lt; 0.2)",""))))))))))))))))))))))</f>
        <v/>
      </c>
      <c r="G18" s="30" t="str">
        <f>IF(13&gt;'🌱 Configuração'!$F$50,"",IF(AND('🌱 Configuração'!$B$51+12&lt;'🌱 Configuração'!$C$51,INT((13-1)/7)+1=1,MOD(13-1,7)=0),"🐛 Nim 2mL/L foliar — preventivo",IF(AND('🌱 Configuração'!$B$51+12&lt;'🌱 Configuração'!$C$51,INT((13-1)/7)+1=2,MOD(13-1,7)=0),"🐛 Beauveria bassiana foliar + solo",IF(AND('🌱 Configuração'!$B$51+12&gt;='🌱 Configuração'!$C$51,'🌱 Configuração'!$B$51+12&lt;'🌱 Configuração'!$D$51,INT(('🌱 Configuração'!$B$51+12-'🌱 Configuração'!$C$51)/7)+1=1,MOD('🌱 Configuração'!$B$51+12-'🌱 Configuração'!$C$51,7)=0),"🐛 Nim 2mL/L foliar",IF(AND('🌱 Configuração'!$B$51+12&gt;='🌱 Configuração'!$C$51,'🌱 Configuração'!$B$51+12&lt;'🌱 Configuração'!$D$51,INT(('🌱 Configuração'!$B$51+12-'🌱 Configuração'!$C$51)/7)+1=2,MOD('🌱 Configuração'!$B$51+12-'🌱 Configuração'!$C$51,7)=0),"🐛 Beauveria bassiana foliar",IF(AND('🌱 Configuração'!$B$51+12&gt;='🌱 Configuração'!$C$51,'🌱 Configuração'!$B$51+12&lt;'🌱 Configuração'!$D$51,INT(('🌱 Configuração'!$B$51+12-'🌱 Configuração'!$C$51)/7)+1=3,MOD('🌱 Configuração'!$B$51+12-'🌱 Configuração'!$C$51,7)=0),"🐛 Nim + Calda Sulfocálcica 1%",IF(AND('🌱 Configuração'!$B$51+12&gt;='🌱 Configuração'!$C$51,'🌱 Configuração'!$B$51+12&lt;'🌱 Configuração'!$D$51,INT(('🌱 Configuração'!$B$51+12-'🌱 Configuração'!$C$51)/7)+1=4,MOD('🌱 Configuração'!$B$51+12-'🌱 Configuração'!$C$51,7)=0),"🐛 Trichoderma solo + Beauveria",IF(AND('🌱 Configuração'!$B$51+12&gt;='🌱 Configuração'!$C$51,'🌱 Configuração'!$B$51+12&lt;'🌱 Configuração'!$D$51,INT(('🌱 Configuração'!$B$51+12-'🌱 Configuração'!$C$51)/7)+1=5,MOD('🌱 Configuração'!$B$51+12-'🌱 Configuração'!$C$51,7)=0),"🐛 Calda Bordalesa 0.5% foliar",IF(AND('🌱 Configuração'!$B$51+12&gt;='🌱 Configuração'!$C$51,'🌱 Configuração'!$B$51+12&lt;'🌱 Configuração'!$D$51,INT(('🌱 Configuração'!$B$51+12-'🌱 Configuração'!$C$51)/7)+1=6,MOD('🌱 Configuração'!$B$51+12-'🌱 Configuração'!$C$51,7)=0),"🐛 Nim 2mL/L — ÚLTIMA foliar",IF(AND('🌱 Configuração'!$B$51+12&gt;='🌱 Configuração'!$D$51,'🌱 Configuração'!$B$51+12&lt;'🌱 Configuração'!$E$51,INT(('🌱 Configuração'!$B$51+12-'🌱 Configuração'!$D$51)/7)+1=1,MOD('🌱 Configuração'!$B$51+12-'🌱 Configuração'!$D$51,7)=0),"🐛 Beauveria bassiana solo (sem foliar)",IF(AND('🌱 Configuração'!$B$51+12&gt;='🌱 Configuração'!$D$51,'🌱 Configuração'!$B$51+12&lt;'🌱 Configuração'!$E$51,INT(('🌱 Configuração'!$B$51+12-'🌱 Configuração'!$D$51)/7)+1=2,MOD('🌱 Configuração'!$B$51+12-'🌱 Configuração'!$D$51,7)=0),"🐛 Trichoderma solo",IF(AND('🌱 Configuração'!$B$51+12&gt;='🌱 Configuração'!$D$51,'🌱 Configuração'!$B$51+12&lt;'🌱 Configuração'!$E$51,INT(('🌱 Configuração'!$B$51+12-'🌱 Configuração'!$D$51)/7)+1=3,MOD('🌱 Configuração'!$B$51+12-'🌱 Configuração'!$D$51,7)=0),"🐛 Beauveria bassiana solo",IF(AND('🌱 Configuração'!$B$51+12&gt;='🌱 Configuração'!$D$51,'🌱 Configuração'!$B$51+12&lt;'🌱 Configuração'!$E$51,INT(('🌱 Configuração'!$B$51+12-'🌱 Configuração'!$D$51)/7)+1=4,MOD('🌱 Configuração'!$B$51+12-'🌱 Configuração'!$D$51,7)=0),"🐛 Trichoderma solo",IF(AND('🌱 Configuração'!$B$51+12&gt;='🌱 Configuração'!$E$51,INT(('🌱 Configuração'!$B$51+12-'🌱 Configuração'!$E$51)/7)+1=1,MOD('🌱 Configuração'!$B$51+12-'🌱 Configuração'!$E$51,7)=0),"🐛 Inspeção final — sem aplicação",""))))))))))))))</f>
        <v/>
      </c>
      <c r="H18" s="22" t="str">
        <f>IF(13&gt;'🌱 Configuração'!$F$50,"",IF('🌱 Configuração'!$B$51+12='🌱 Configuração'!$C$51,"🌿 INÍCIO VEGA — ajustar espaço, luz 18h/dia — EC 0.8",IF('🌱 Configuração'!$B$51+12='🌱 Configuração'!$D$51,"🌸 INÍCIO FLORAÇÃO — mudar para 12h/12h — 🔴 atenção ao fotoperíodo",IF('🌱 Configuração'!$B$51+12='🌱 Configuração'!$E$51,"🚿 INÍCIO FLUSH — PARAR nutrição, somente água pura",IF('🌱 Configuração'!$B$51+12='🌱 Configuração'!$F$51-1,"🔬 Véspera da colheita — analisar tricomas âmbar",IF('🌱 Configuração'!$B$51+12='🌱 Configuração'!$F$51,"✂️ COLHEITA! Parabéns! 🎉",""))))))</f>
        <v/>
      </c>
    </row>
    <row r="19" spans="2:8" ht="18.75" customHeight="1" x14ac:dyDescent="0.3">
      <c r="B19" s="25">
        <f>IF(14&lt;='🌱 Configuração'!$F$50,14,"")</f>
        <v>14</v>
      </c>
      <c r="C19" s="26">
        <f>IF(14&lt;='🌱 Configuração'!$F$50,'🌱 Configuração'!$B$51+13,"")</f>
        <v>46036</v>
      </c>
      <c r="D19" s="27" t="str">
        <f>IF(14&gt;'🌱 Configuração'!$F$50,"",IF('🌱 Configuração'!$B$51+13&lt;'🌱 Configuração'!$C$51,"🌱 Clone",IF('🌱 Configuração'!$B$51+13&lt;'🌱 Configuração'!$D$51,"🌿 Vegetativo",IF('🌱 Configuração'!$B$51+13&lt;'🌱 Configuração'!$E$51,"🌸 Floração","🚿 Flush"))))</f>
        <v>🌱 Clone</v>
      </c>
      <c r="E19" s="28" t="str">
        <f>IF(14&gt;'🌱 Configuração'!$F$50,"",IF('🌱 Configuração'!$B$51+13&lt;'🌱 Configuração'!$C$51,"Clone S"&amp;INT((14-1)/7)+1,IF('🌱 Configuração'!$B$51+13&lt;'🌱 Configuração'!$D$51,"Vega S"&amp;INT(('🌱 Configuração'!$B$51+13-'🌱 Configuração'!$C$51)/7)+1,IF('🌱 Configuração'!$B$51+13&lt;'🌱 Configuração'!$E$51,"Flora S"&amp;INT(('🌱 Configuração'!$B$51+13-'🌱 Configuração'!$D$51)/7)+1,"Flush S"&amp;INT(('🌱 Configuração'!$B$51+13-'🌱 Configuração'!$E$51)/7)+1))))</f>
        <v>Clone S2</v>
      </c>
      <c r="F19" s="29" t="str">
        <f>IF(14&gt;'🌱 Configuração'!$F$50,"",IF(AND('🌱 Configuração'!$B$51+13&lt;'🌱 Configuração'!$C$51,INT((14-1)/7)+1=1,MOD(14-1,7)=0),"🌱 Enraizador (0.5 mL/L)",IF(AND('🌱 Configuração'!$B$51+13&lt;'🌱 Configuração'!$C$51,INT((14-1)/7)+1=2,MOD(14-1,7)=0),"🌱 Enraizador + Vitamina B1",IF(AND('🌱 Configuração'!$B$51+13&gt;='🌱 Configuração'!$C$51,'🌱 Configuração'!$B$51+13&lt;'🌱 Configuração'!$D$51,INT(('🌱 Configuração'!$B$51+13-'🌱 Configuração'!$C$51)/7)+1=1,MOD('🌱 Configuração'!$B$51+13-'🌱 Configuração'!$C$51,7)=0),"🌿 Grow A+B início — EC 0.8",IF(AND('🌱 Configuração'!$B$51+13&gt;='🌱 Configuração'!$C$51,'🌱 Configuração'!$B$51+13&lt;'🌱 Configuração'!$D$51,INT(('🌱 Configuração'!$B$51+13-'🌱 Configuração'!$C$51)/7)+1=2,MOD('🌱 Configuração'!$B$51+13-'🌱 Configuração'!$C$51,7)=0),"🌿 Grow A+B + CalMag — EC 1.0",IF(AND('🌱 Configuração'!$B$51+13&gt;='🌱 Configuração'!$C$51,'🌱 Configuração'!$B$51+13&lt;'🌱 Configuração'!$D$51,INT(('🌱 Configuração'!$B$51+13-'🌱 Configuração'!$C$51)/7)+1=3,MOD('🌱 Configuração'!$B$51+13-'🌱 Configuração'!$C$51,7)=0),"🌿 Grow A+B + CalMag — EC 1.2",IF(AND('🌱 Configuração'!$B$51+13&gt;='🌱 Configuração'!$C$51,'🌱 Configuração'!$B$51+13&lt;'🌱 Configuração'!$D$51,INT(('🌱 Configuração'!$B$51+13-'🌱 Configuração'!$C$51)/7)+1=4,MOD('🌱 Configuração'!$B$51+13-'🌱 Configuração'!$C$51,7)=0),"🌿 Grow A+B + Enzimas — EC 1.4",IF(AND('🌱 Configuração'!$B$51+13&gt;='🌱 Configuração'!$C$51,'🌱 Configuração'!$B$51+13&lt;'🌱 Configuração'!$D$51,INT(('🌱 Configuração'!$B$51+13-'🌱 Configuração'!$C$51)/7)+1=5,MOD('🌱 Configuração'!$B$51+13-'🌱 Configuração'!$C$51,7)=0),"🌿 Grow A+B + Biorrizas — EC 1.5",IF(AND('🌱 Configuração'!$B$51+13&gt;='🌱 Configuração'!$C$51,'🌱 Configuração'!$B$51+13&lt;'🌱 Configuração'!$D$51,INT(('🌱 Configuração'!$B$51+13-'🌱 Configuração'!$C$51)/7)+1=6,MOD('🌱 Configuração'!$B$51+13-'🌱 Configuração'!$C$51,7)=0),"🌿 Transição Bloom — EC 1.4",IF(AND('🌱 Configuração'!$B$51+13&gt;='🌱 Configuração'!$C$51,'🌱 Configuração'!$B$51+13&lt;'🌱 Configuração'!$D$51,INT(('🌱 Configuração'!$B$51+13-'🌱 Configuração'!$C$51)/7)+1=7,MOD('🌱 Configuração'!$B$51+13-'🌱 Configuração'!$C$51,7)=0),"🌿 Bloom A+B transição — EC 1.4",IF(AND('🌱 Configuração'!$B$51+13&gt;='🌱 Configuração'!$C$51,'🌱 Configuração'!$B$51+13&lt;'🌱 Configuração'!$D$51,INT(('🌱 Configuração'!$B$51+13-'🌱 Configuração'!$C$51)/7)+1=8,MOD('🌱 Configuração'!$B$51+13-'🌱 Configuração'!$C$51,7)=0),"🌿 Bloom A+B — EC 1.4",IF(AND('🌱 Configuração'!$B$51+13&gt;='🌱 Configuração'!$D$51,'🌱 Configuração'!$B$51+13&lt;'🌱 Configuração'!$E$51,INT(('🌱 Configuração'!$B$51+13-'🌱 Configuração'!$D$51)/7)+1=1,MOD('🌱 Configuração'!$B$51+13-'🌱 Configuração'!$D$51,7)=0),"🌸 Bloom A+B — EC 1.6",IF(AND('🌱 Configuração'!$B$51+13&gt;='🌱 Configuração'!$D$51,'🌱 Configuração'!$B$51+13&lt;'🌱 Configuração'!$E$51,INT(('🌱 Configuração'!$B$51+13-'🌱 Configuração'!$D$51)/7)+1=2,MOD('🌱 Configuração'!$B$51+13-'🌱 Configuração'!$D$51,7)=0),"🌸 Bloom + PK 13/14 início",IF(AND('🌱 Configuração'!$B$51+13&gt;='🌱 Configuração'!$D$51,'🌱 Configuração'!$B$51+13&lt;'🌱 Configuração'!$E$51,INT(('🌱 Configuração'!$B$51+13-'🌱 Configuração'!$D$51)/7)+1=3,MOD('🌱 Configuração'!$B$51+13-'🌱 Configuração'!$D$51,7)=0),"🌸 Bloom + PK + CalMag — EC 1.8",IF(AND('🌱 Configuração'!$B$51+13&gt;='🌱 Configuração'!$D$51,'🌱 Configuração'!$B$51+13&lt;'🌱 Configuração'!$E$51,INT(('🌱 Configuração'!$B$51+13-'🌱 Configuração'!$D$51)/7)+1=4,MOD('🌱 Configuração'!$B$51+13-'🌱 Configuração'!$D$51,7)=0),"🌸 Bloom + PK + Boost Floral — EC 2.0",IF(AND('🌱 Configuração'!$B$51+13&gt;='🌱 Configuração'!$D$51,'🌱 Configuração'!$B$51+13&lt;'🌱 Configuração'!$E$51,INT(('🌱 Configuração'!$B$51+13-'🌱 Configuração'!$D$51)/7)+1=5,MOD('🌱 Configuração'!$B$51+13-'🌱 Configuração'!$D$51,7)=0),"🌸 Bloom + Boost + Amino",IF(AND('🌱 Configuração'!$B$51+13&gt;='🌱 Configuração'!$D$51,'🌱 Configuração'!$B$51+13&lt;'🌱 Configuração'!$E$51,INT(('🌱 Configuração'!$B$51+13-'🌱 Configuração'!$D$51)/7)+1=6,MOD('🌱 Configuração'!$B$51+13-'🌱 Configuração'!$D$51,7)=0),"🌸 Bloom + Enzimas + Amino",IF(AND('🌱 Configuração'!$B$51+13&gt;='🌱 Configuração'!$D$51,'🌱 Configuração'!$B$51+13&lt;'🌱 Configuração'!$E$51,INT(('🌱 Configuração'!$B$51+13-'🌱 Configuração'!$D$51)/7)+1=7,MOD('🌱 Configuração'!$B$51+13-'🌱 Configuração'!$D$51,7)=0),"🌸 Reduzir N — Bloom puro — EC 1.6",IF(AND('🌱 Configuração'!$B$51+13&gt;='🌱 Configuração'!$D$51,'🌱 Configuração'!$B$51+13&lt;'🌱 Configuração'!$E$51,INT(('🌱 Configuração'!$B$51+13-'🌱 Configuração'!$D$51)/7)+1=8,MOD('🌱 Configuração'!$B$51+13-'🌱 Configuração'!$D$51,7)=0),"🌸 Bloom puro — EC 1.4  (pré-flush)",IF(AND('🌱 Configuração'!$B$51+13&gt;='🌱 Configuração'!$D$51,'🌱 Configuração'!$B$51+13&lt;'🌱 Configuração'!$E$51,INT(('🌱 Configuração'!$B$51+13-'🌱 Configuração'!$D$51)/7)+1=9,MOD('🌱 Configuração'!$B$51+13-'🌱 Configuração'!$D$51,7)=0),"🌸 Último Bloom — EC 0.8",IF(AND('🌱 Configuração'!$B$51+13&gt;='🌱 Configuração'!$E$51,INT(('🌱 Configuração'!$B$51+13-'🌱 Configuração'!$E$51)/7)+1=1,MOD('🌱 Configuração'!$B$51+13-'🌱 Configuração'!$E$51,7)=0),"🚿 Água pura + Enzimas (EC &lt; 0.3)",IF(AND('🌱 Configuração'!$B$51+13&gt;='🌱 Configuração'!$E$51,INT(('🌱 Configuração'!$B$51+13-'🌱 Configuração'!$E$51)/7)+1=2,MOD('🌱 Configuração'!$B$51+13-'🌱 Configuração'!$E$51,7)=0),"🚿 Água pura (EC &lt; 0.2)",""))))))))))))))))))))))</f>
        <v/>
      </c>
      <c r="G19" s="30" t="str">
        <f>IF(14&gt;'🌱 Configuração'!$F$50,"",IF(AND('🌱 Configuração'!$B$51+13&lt;'🌱 Configuração'!$C$51,INT((14-1)/7)+1=1,MOD(14-1,7)=0),"🐛 Nim 2mL/L foliar — preventivo",IF(AND('🌱 Configuração'!$B$51+13&lt;'🌱 Configuração'!$C$51,INT((14-1)/7)+1=2,MOD(14-1,7)=0),"🐛 Beauveria bassiana foliar + solo",IF(AND('🌱 Configuração'!$B$51+13&gt;='🌱 Configuração'!$C$51,'🌱 Configuração'!$B$51+13&lt;'🌱 Configuração'!$D$51,INT(('🌱 Configuração'!$B$51+13-'🌱 Configuração'!$C$51)/7)+1=1,MOD('🌱 Configuração'!$B$51+13-'🌱 Configuração'!$C$51,7)=0),"🐛 Nim 2mL/L foliar",IF(AND('🌱 Configuração'!$B$51+13&gt;='🌱 Configuração'!$C$51,'🌱 Configuração'!$B$51+13&lt;'🌱 Configuração'!$D$51,INT(('🌱 Configuração'!$B$51+13-'🌱 Configuração'!$C$51)/7)+1=2,MOD('🌱 Configuração'!$B$51+13-'🌱 Configuração'!$C$51,7)=0),"🐛 Beauveria bassiana foliar",IF(AND('🌱 Configuração'!$B$51+13&gt;='🌱 Configuração'!$C$51,'🌱 Configuração'!$B$51+13&lt;'🌱 Configuração'!$D$51,INT(('🌱 Configuração'!$B$51+13-'🌱 Configuração'!$C$51)/7)+1=3,MOD('🌱 Configuração'!$B$51+13-'🌱 Configuração'!$C$51,7)=0),"🐛 Nim + Calda Sulfocálcica 1%",IF(AND('🌱 Configuração'!$B$51+13&gt;='🌱 Configuração'!$C$51,'🌱 Configuração'!$B$51+13&lt;'🌱 Configuração'!$D$51,INT(('🌱 Configuração'!$B$51+13-'🌱 Configuração'!$C$51)/7)+1=4,MOD('🌱 Configuração'!$B$51+13-'🌱 Configuração'!$C$51,7)=0),"🐛 Trichoderma solo + Beauveria",IF(AND('🌱 Configuração'!$B$51+13&gt;='🌱 Configuração'!$C$51,'🌱 Configuração'!$B$51+13&lt;'🌱 Configuração'!$D$51,INT(('🌱 Configuração'!$B$51+13-'🌱 Configuração'!$C$51)/7)+1=5,MOD('🌱 Configuração'!$B$51+13-'🌱 Configuração'!$C$51,7)=0),"🐛 Calda Bordalesa 0.5% foliar",IF(AND('🌱 Configuração'!$B$51+13&gt;='🌱 Configuração'!$C$51,'🌱 Configuração'!$B$51+13&lt;'🌱 Configuração'!$D$51,INT(('🌱 Configuração'!$B$51+13-'🌱 Configuração'!$C$51)/7)+1=6,MOD('🌱 Configuração'!$B$51+13-'🌱 Configuração'!$C$51,7)=0),"🐛 Nim 2mL/L — ÚLTIMA foliar",IF(AND('🌱 Configuração'!$B$51+13&gt;='🌱 Configuração'!$D$51,'🌱 Configuração'!$B$51+13&lt;'🌱 Configuração'!$E$51,INT(('🌱 Configuração'!$B$51+13-'🌱 Configuração'!$D$51)/7)+1=1,MOD('🌱 Configuração'!$B$51+13-'🌱 Configuração'!$D$51,7)=0),"🐛 Beauveria bassiana solo (sem foliar)",IF(AND('🌱 Configuração'!$B$51+13&gt;='🌱 Configuração'!$D$51,'🌱 Configuração'!$B$51+13&lt;'🌱 Configuração'!$E$51,INT(('🌱 Configuração'!$B$51+13-'🌱 Configuração'!$D$51)/7)+1=2,MOD('🌱 Configuração'!$B$51+13-'🌱 Configuração'!$D$51,7)=0),"🐛 Trichoderma solo",IF(AND('🌱 Configuração'!$B$51+13&gt;='🌱 Configuração'!$D$51,'🌱 Configuração'!$B$51+13&lt;'🌱 Configuração'!$E$51,INT(('🌱 Configuração'!$B$51+13-'🌱 Configuração'!$D$51)/7)+1=3,MOD('🌱 Configuração'!$B$51+13-'🌱 Configuração'!$D$51,7)=0),"🐛 Beauveria bassiana solo",IF(AND('🌱 Configuração'!$B$51+13&gt;='🌱 Configuração'!$D$51,'🌱 Configuração'!$B$51+13&lt;'🌱 Configuração'!$E$51,INT(('🌱 Configuração'!$B$51+13-'🌱 Configuração'!$D$51)/7)+1=4,MOD('🌱 Configuração'!$B$51+13-'🌱 Configuração'!$D$51,7)=0),"🐛 Trichoderma solo",IF(AND('🌱 Configuração'!$B$51+13&gt;='🌱 Configuração'!$E$51,INT(('🌱 Configuração'!$B$51+13-'🌱 Configuração'!$E$51)/7)+1=1,MOD('🌱 Configuração'!$B$51+13-'🌱 Configuração'!$E$51,7)=0),"🐛 Inspeção final — sem aplicação",""))))))))))))))</f>
        <v/>
      </c>
      <c r="H19" s="22" t="str">
        <f>IF(14&gt;'🌱 Configuração'!$F$50,"",IF('🌱 Configuração'!$B$51+13='🌱 Configuração'!$C$51,"🌿 INÍCIO VEGA — ajustar espaço, luz 18h/dia — EC 0.8",IF('🌱 Configuração'!$B$51+13='🌱 Configuração'!$D$51,"🌸 INÍCIO FLORAÇÃO — mudar para 12h/12h — 🔴 atenção ao fotoperíodo",IF('🌱 Configuração'!$B$51+13='🌱 Configuração'!$E$51,"🚿 INÍCIO FLUSH — PARAR nutrição, somente água pura",IF('🌱 Configuração'!$B$51+13='🌱 Configuração'!$F$51-1,"🔬 Véspera da colheita — analisar tricomas âmbar",IF('🌱 Configuração'!$B$51+13='🌱 Configuração'!$F$51,"✂️ COLHEITA! Parabéns! 🎉",""))))))</f>
        <v/>
      </c>
    </row>
    <row r="20" spans="2:8" ht="18.75" customHeight="1" x14ac:dyDescent="0.3">
      <c r="B20" s="25">
        <f>IF(15&lt;='🌱 Configuração'!$F$50,15,"")</f>
        <v>15</v>
      </c>
      <c r="C20" s="26">
        <f>IF(15&lt;='🌱 Configuração'!$F$50,'🌱 Configuração'!$B$51+14,"")</f>
        <v>46037</v>
      </c>
      <c r="D20" s="27" t="str">
        <f>IF(15&gt;'🌱 Configuração'!$F$50,"",IF('🌱 Configuração'!$B$51+14&lt;'🌱 Configuração'!$C$51,"🌱 Clone",IF('🌱 Configuração'!$B$51+14&lt;'🌱 Configuração'!$D$51,"🌿 Vegetativo",IF('🌱 Configuração'!$B$51+14&lt;'🌱 Configuração'!$E$51,"🌸 Floração","🚿 Flush"))))</f>
        <v>🌿 Vegetativo</v>
      </c>
      <c r="E20" s="28" t="str">
        <f>IF(15&gt;'🌱 Configuração'!$F$50,"",IF('🌱 Configuração'!$B$51+14&lt;'🌱 Configuração'!$C$51,"Clone S"&amp;INT((15-1)/7)+1,IF('🌱 Configuração'!$B$51+14&lt;'🌱 Configuração'!$D$51,"Vega S"&amp;INT(('🌱 Configuração'!$B$51+14-'🌱 Configuração'!$C$51)/7)+1,IF('🌱 Configuração'!$B$51+14&lt;'🌱 Configuração'!$E$51,"Flora S"&amp;INT(('🌱 Configuração'!$B$51+14-'🌱 Configuração'!$D$51)/7)+1,"Flush S"&amp;INT(('🌱 Configuração'!$B$51+14-'🌱 Configuração'!$E$51)/7)+1))))</f>
        <v>Vega S1</v>
      </c>
      <c r="F20" s="29" t="str">
        <f>IF(15&gt;'🌱 Configuração'!$F$50,"",IF(AND('🌱 Configuração'!$B$51+14&lt;'🌱 Configuração'!$C$51,INT((15-1)/7)+1=1,MOD(15-1,7)=0),"🌱 Enraizador (0.5 mL/L)",IF(AND('🌱 Configuração'!$B$51+14&lt;'🌱 Configuração'!$C$51,INT((15-1)/7)+1=2,MOD(15-1,7)=0),"🌱 Enraizador + Vitamina B1",IF(AND('🌱 Configuração'!$B$51+14&gt;='🌱 Configuração'!$C$51,'🌱 Configuração'!$B$51+14&lt;'🌱 Configuração'!$D$51,INT(('🌱 Configuração'!$B$51+14-'🌱 Configuração'!$C$51)/7)+1=1,MOD('🌱 Configuração'!$B$51+14-'🌱 Configuração'!$C$51,7)=0),"🌿 Grow A+B início — EC 0.8",IF(AND('🌱 Configuração'!$B$51+14&gt;='🌱 Configuração'!$C$51,'🌱 Configuração'!$B$51+14&lt;'🌱 Configuração'!$D$51,INT(('🌱 Configuração'!$B$51+14-'🌱 Configuração'!$C$51)/7)+1=2,MOD('🌱 Configuração'!$B$51+14-'🌱 Configuração'!$C$51,7)=0),"🌿 Grow A+B + CalMag — EC 1.0",IF(AND('🌱 Configuração'!$B$51+14&gt;='🌱 Configuração'!$C$51,'🌱 Configuração'!$B$51+14&lt;'🌱 Configuração'!$D$51,INT(('🌱 Configuração'!$B$51+14-'🌱 Configuração'!$C$51)/7)+1=3,MOD('🌱 Configuração'!$B$51+14-'🌱 Configuração'!$C$51,7)=0),"🌿 Grow A+B + CalMag — EC 1.2",IF(AND('🌱 Configuração'!$B$51+14&gt;='🌱 Configuração'!$C$51,'🌱 Configuração'!$B$51+14&lt;'🌱 Configuração'!$D$51,INT(('🌱 Configuração'!$B$51+14-'🌱 Configuração'!$C$51)/7)+1=4,MOD('🌱 Configuração'!$B$51+14-'🌱 Configuração'!$C$51,7)=0),"🌿 Grow A+B + Enzimas — EC 1.4",IF(AND('🌱 Configuração'!$B$51+14&gt;='🌱 Configuração'!$C$51,'🌱 Configuração'!$B$51+14&lt;'🌱 Configuração'!$D$51,INT(('🌱 Configuração'!$B$51+14-'🌱 Configuração'!$C$51)/7)+1=5,MOD('🌱 Configuração'!$B$51+14-'🌱 Configuração'!$C$51,7)=0),"🌿 Grow A+B + Biorrizas — EC 1.5",IF(AND('🌱 Configuração'!$B$51+14&gt;='🌱 Configuração'!$C$51,'🌱 Configuração'!$B$51+14&lt;'🌱 Configuração'!$D$51,INT(('🌱 Configuração'!$B$51+14-'🌱 Configuração'!$C$51)/7)+1=6,MOD('🌱 Configuração'!$B$51+14-'🌱 Configuração'!$C$51,7)=0),"🌿 Transição Bloom — EC 1.4",IF(AND('🌱 Configuração'!$B$51+14&gt;='🌱 Configuração'!$C$51,'🌱 Configuração'!$B$51+14&lt;'🌱 Configuração'!$D$51,INT(('🌱 Configuração'!$B$51+14-'🌱 Configuração'!$C$51)/7)+1=7,MOD('🌱 Configuração'!$B$51+14-'🌱 Configuração'!$C$51,7)=0),"🌿 Bloom A+B transição — EC 1.4",IF(AND('🌱 Configuração'!$B$51+14&gt;='🌱 Configuração'!$C$51,'🌱 Configuração'!$B$51+14&lt;'🌱 Configuração'!$D$51,INT(('🌱 Configuração'!$B$51+14-'🌱 Configuração'!$C$51)/7)+1=8,MOD('🌱 Configuração'!$B$51+14-'🌱 Configuração'!$C$51,7)=0),"🌿 Bloom A+B — EC 1.4",IF(AND('🌱 Configuração'!$B$51+14&gt;='🌱 Configuração'!$D$51,'🌱 Configuração'!$B$51+14&lt;'🌱 Configuração'!$E$51,INT(('🌱 Configuração'!$B$51+14-'🌱 Configuração'!$D$51)/7)+1=1,MOD('🌱 Configuração'!$B$51+14-'🌱 Configuração'!$D$51,7)=0),"🌸 Bloom A+B — EC 1.6",IF(AND('🌱 Configuração'!$B$51+14&gt;='🌱 Configuração'!$D$51,'🌱 Configuração'!$B$51+14&lt;'🌱 Configuração'!$E$51,INT(('🌱 Configuração'!$B$51+14-'🌱 Configuração'!$D$51)/7)+1=2,MOD('🌱 Configuração'!$B$51+14-'🌱 Configuração'!$D$51,7)=0),"🌸 Bloom + PK 13/14 início",IF(AND('🌱 Configuração'!$B$51+14&gt;='🌱 Configuração'!$D$51,'🌱 Configuração'!$B$51+14&lt;'🌱 Configuração'!$E$51,INT(('🌱 Configuração'!$B$51+14-'🌱 Configuração'!$D$51)/7)+1=3,MOD('🌱 Configuração'!$B$51+14-'🌱 Configuração'!$D$51,7)=0),"🌸 Bloom + PK + CalMag — EC 1.8",IF(AND('🌱 Configuração'!$B$51+14&gt;='🌱 Configuração'!$D$51,'🌱 Configuração'!$B$51+14&lt;'🌱 Configuração'!$E$51,INT(('🌱 Configuração'!$B$51+14-'🌱 Configuração'!$D$51)/7)+1=4,MOD('🌱 Configuração'!$B$51+14-'🌱 Configuração'!$D$51,7)=0),"🌸 Bloom + PK + Boost Floral — EC 2.0",IF(AND('🌱 Configuração'!$B$51+14&gt;='🌱 Configuração'!$D$51,'🌱 Configuração'!$B$51+14&lt;'🌱 Configuração'!$E$51,INT(('🌱 Configuração'!$B$51+14-'🌱 Configuração'!$D$51)/7)+1=5,MOD('🌱 Configuração'!$B$51+14-'🌱 Configuração'!$D$51,7)=0),"🌸 Bloom + Boost + Amino",IF(AND('🌱 Configuração'!$B$51+14&gt;='🌱 Configuração'!$D$51,'🌱 Configuração'!$B$51+14&lt;'🌱 Configuração'!$E$51,INT(('🌱 Configuração'!$B$51+14-'🌱 Configuração'!$D$51)/7)+1=6,MOD('🌱 Configuração'!$B$51+14-'🌱 Configuração'!$D$51,7)=0),"🌸 Bloom + Enzimas + Amino",IF(AND('🌱 Configuração'!$B$51+14&gt;='🌱 Configuração'!$D$51,'🌱 Configuração'!$B$51+14&lt;'🌱 Configuração'!$E$51,INT(('🌱 Configuração'!$B$51+14-'🌱 Configuração'!$D$51)/7)+1=7,MOD('🌱 Configuração'!$B$51+14-'🌱 Configuração'!$D$51,7)=0),"🌸 Reduzir N — Bloom puro — EC 1.6",IF(AND('🌱 Configuração'!$B$51+14&gt;='🌱 Configuração'!$D$51,'🌱 Configuração'!$B$51+14&lt;'🌱 Configuração'!$E$51,INT(('🌱 Configuração'!$B$51+14-'🌱 Configuração'!$D$51)/7)+1=8,MOD('🌱 Configuração'!$B$51+14-'🌱 Configuração'!$D$51,7)=0),"🌸 Bloom puro — EC 1.4  (pré-flush)",IF(AND('🌱 Configuração'!$B$51+14&gt;='🌱 Configuração'!$D$51,'🌱 Configuração'!$B$51+14&lt;'🌱 Configuração'!$E$51,INT(('🌱 Configuração'!$B$51+14-'🌱 Configuração'!$D$51)/7)+1=9,MOD('🌱 Configuração'!$B$51+14-'🌱 Configuração'!$D$51,7)=0),"🌸 Último Bloom — EC 0.8",IF(AND('🌱 Configuração'!$B$51+14&gt;='🌱 Configuração'!$E$51,INT(('🌱 Configuração'!$B$51+14-'🌱 Configuração'!$E$51)/7)+1=1,MOD('🌱 Configuração'!$B$51+14-'🌱 Configuração'!$E$51,7)=0),"🚿 Água pura + Enzimas (EC &lt; 0.3)",IF(AND('🌱 Configuração'!$B$51+14&gt;='🌱 Configuração'!$E$51,INT(('🌱 Configuração'!$B$51+14-'🌱 Configuração'!$E$51)/7)+1=2,MOD('🌱 Configuração'!$B$51+14-'🌱 Configuração'!$E$51,7)=0),"🚿 Água pura (EC &lt; 0.2)",""))))))))))))))))))))))</f>
        <v>🌿 Grow A+B início — EC 0.8</v>
      </c>
      <c r="G20" s="30" t="str">
        <f>IF(15&gt;'🌱 Configuração'!$F$50,"",IF(AND('🌱 Configuração'!$B$51+14&lt;'🌱 Configuração'!$C$51,INT((15-1)/7)+1=1,MOD(15-1,7)=0),"🐛 Nim 2mL/L foliar — preventivo",IF(AND('🌱 Configuração'!$B$51+14&lt;'🌱 Configuração'!$C$51,INT((15-1)/7)+1=2,MOD(15-1,7)=0),"🐛 Beauveria bassiana foliar + solo",IF(AND('🌱 Configuração'!$B$51+14&gt;='🌱 Configuração'!$C$51,'🌱 Configuração'!$B$51+14&lt;'🌱 Configuração'!$D$51,INT(('🌱 Configuração'!$B$51+14-'🌱 Configuração'!$C$51)/7)+1=1,MOD('🌱 Configuração'!$B$51+14-'🌱 Configuração'!$C$51,7)=0),"🐛 Nim 2mL/L foliar",IF(AND('🌱 Configuração'!$B$51+14&gt;='🌱 Configuração'!$C$51,'🌱 Configuração'!$B$51+14&lt;'🌱 Configuração'!$D$51,INT(('🌱 Configuração'!$B$51+14-'🌱 Configuração'!$C$51)/7)+1=2,MOD('🌱 Configuração'!$B$51+14-'🌱 Configuração'!$C$51,7)=0),"🐛 Beauveria bassiana foliar",IF(AND('🌱 Configuração'!$B$51+14&gt;='🌱 Configuração'!$C$51,'🌱 Configuração'!$B$51+14&lt;'🌱 Configuração'!$D$51,INT(('🌱 Configuração'!$B$51+14-'🌱 Configuração'!$C$51)/7)+1=3,MOD('🌱 Configuração'!$B$51+14-'🌱 Configuração'!$C$51,7)=0),"🐛 Nim + Calda Sulfocálcica 1%",IF(AND('🌱 Configuração'!$B$51+14&gt;='🌱 Configuração'!$C$51,'🌱 Configuração'!$B$51+14&lt;'🌱 Configuração'!$D$51,INT(('🌱 Configuração'!$B$51+14-'🌱 Configuração'!$C$51)/7)+1=4,MOD('🌱 Configuração'!$B$51+14-'🌱 Configuração'!$C$51,7)=0),"🐛 Trichoderma solo + Beauveria",IF(AND('🌱 Configuração'!$B$51+14&gt;='🌱 Configuração'!$C$51,'🌱 Configuração'!$B$51+14&lt;'🌱 Configuração'!$D$51,INT(('🌱 Configuração'!$B$51+14-'🌱 Configuração'!$C$51)/7)+1=5,MOD('🌱 Configuração'!$B$51+14-'🌱 Configuração'!$C$51,7)=0),"🐛 Calda Bordalesa 0.5% foliar",IF(AND('🌱 Configuração'!$B$51+14&gt;='🌱 Configuração'!$C$51,'🌱 Configuração'!$B$51+14&lt;'🌱 Configuração'!$D$51,INT(('🌱 Configuração'!$B$51+14-'🌱 Configuração'!$C$51)/7)+1=6,MOD('🌱 Configuração'!$B$51+14-'🌱 Configuração'!$C$51,7)=0),"🐛 Nim 2mL/L — ÚLTIMA foliar",IF(AND('🌱 Configuração'!$B$51+14&gt;='🌱 Configuração'!$D$51,'🌱 Configuração'!$B$51+14&lt;'🌱 Configuração'!$E$51,INT(('🌱 Configuração'!$B$51+14-'🌱 Configuração'!$D$51)/7)+1=1,MOD('🌱 Configuração'!$B$51+14-'🌱 Configuração'!$D$51,7)=0),"🐛 Beauveria bassiana solo (sem foliar)",IF(AND('🌱 Configuração'!$B$51+14&gt;='🌱 Configuração'!$D$51,'🌱 Configuração'!$B$51+14&lt;'🌱 Configuração'!$E$51,INT(('🌱 Configuração'!$B$51+14-'🌱 Configuração'!$D$51)/7)+1=2,MOD('🌱 Configuração'!$B$51+14-'🌱 Configuração'!$D$51,7)=0),"🐛 Trichoderma solo",IF(AND('🌱 Configuração'!$B$51+14&gt;='🌱 Configuração'!$D$51,'🌱 Configuração'!$B$51+14&lt;'🌱 Configuração'!$E$51,INT(('🌱 Configuração'!$B$51+14-'🌱 Configuração'!$D$51)/7)+1=3,MOD('🌱 Configuração'!$B$51+14-'🌱 Configuração'!$D$51,7)=0),"🐛 Beauveria bassiana solo",IF(AND('🌱 Configuração'!$B$51+14&gt;='🌱 Configuração'!$D$51,'🌱 Configuração'!$B$51+14&lt;'🌱 Configuração'!$E$51,INT(('🌱 Configuração'!$B$51+14-'🌱 Configuração'!$D$51)/7)+1=4,MOD('🌱 Configuração'!$B$51+14-'🌱 Configuração'!$D$51,7)=0),"🐛 Trichoderma solo",IF(AND('🌱 Configuração'!$B$51+14&gt;='🌱 Configuração'!$E$51,INT(('🌱 Configuração'!$B$51+14-'🌱 Configuração'!$E$51)/7)+1=1,MOD('🌱 Configuração'!$B$51+14-'🌱 Configuração'!$E$51,7)=0),"🐛 Inspeção final — sem aplicação",""))))))))))))))</f>
        <v>🐛 Nim 2mL/L foliar</v>
      </c>
      <c r="H20" s="22" t="str">
        <f>IF(15&gt;'🌱 Configuração'!$F$50,"",IF('🌱 Configuração'!$B$51+14='🌱 Configuração'!$C$51,"🌿 INÍCIO VEGA — ajustar espaço, luz 18h/dia — EC 0.8",IF('🌱 Configuração'!$B$51+14='🌱 Configuração'!$D$51,"🌸 INÍCIO FLORAÇÃO — mudar para 12h/12h — 🔴 atenção ao fotoperíodo",IF('🌱 Configuração'!$B$51+14='🌱 Configuração'!$E$51,"🚿 INÍCIO FLUSH — PARAR nutrição, somente água pura",IF('🌱 Configuração'!$B$51+14='🌱 Configuração'!$F$51-1,"🔬 Véspera da colheita — analisar tricomas âmbar",IF('🌱 Configuração'!$B$51+14='🌱 Configuração'!$F$51,"✂️ COLHEITA! Parabéns! 🎉",""))))))</f>
        <v>🌿 INÍCIO VEGA — ajustar espaço, luz 18h/dia — EC 0.8</v>
      </c>
    </row>
    <row r="21" spans="2:8" ht="18.75" customHeight="1" x14ac:dyDescent="0.3">
      <c r="B21" s="25">
        <f>IF(16&lt;='🌱 Configuração'!$F$50,16,"")</f>
        <v>16</v>
      </c>
      <c r="C21" s="26">
        <f>IF(16&lt;='🌱 Configuração'!$F$50,'🌱 Configuração'!$B$51+15,"")</f>
        <v>46038</v>
      </c>
      <c r="D21" s="27" t="str">
        <f>IF(16&gt;'🌱 Configuração'!$F$50,"",IF('🌱 Configuração'!$B$51+15&lt;'🌱 Configuração'!$C$51,"🌱 Clone",IF('🌱 Configuração'!$B$51+15&lt;'🌱 Configuração'!$D$51,"🌿 Vegetativo",IF('🌱 Configuração'!$B$51+15&lt;'🌱 Configuração'!$E$51,"🌸 Floração","🚿 Flush"))))</f>
        <v>🌿 Vegetativo</v>
      </c>
      <c r="E21" s="28" t="str">
        <f>IF(16&gt;'🌱 Configuração'!$F$50,"",IF('🌱 Configuração'!$B$51+15&lt;'🌱 Configuração'!$C$51,"Clone S"&amp;INT((16-1)/7)+1,IF('🌱 Configuração'!$B$51+15&lt;'🌱 Configuração'!$D$51,"Vega S"&amp;INT(('🌱 Configuração'!$B$51+15-'🌱 Configuração'!$C$51)/7)+1,IF('🌱 Configuração'!$B$51+15&lt;'🌱 Configuração'!$E$51,"Flora S"&amp;INT(('🌱 Configuração'!$B$51+15-'🌱 Configuração'!$D$51)/7)+1,"Flush S"&amp;INT(('🌱 Configuração'!$B$51+15-'🌱 Configuração'!$E$51)/7)+1))))</f>
        <v>Vega S1</v>
      </c>
      <c r="F21" s="29" t="str">
        <f>IF(16&gt;'🌱 Configuração'!$F$50,"",IF(AND('🌱 Configuração'!$B$51+15&lt;'🌱 Configuração'!$C$51,INT((16-1)/7)+1=1,MOD(16-1,7)=0),"🌱 Enraizador (0.5 mL/L)",IF(AND('🌱 Configuração'!$B$51+15&lt;'🌱 Configuração'!$C$51,INT((16-1)/7)+1=2,MOD(16-1,7)=0),"🌱 Enraizador + Vitamina B1",IF(AND('🌱 Configuração'!$B$51+15&gt;='🌱 Configuração'!$C$51,'🌱 Configuração'!$B$51+15&lt;'🌱 Configuração'!$D$51,INT(('🌱 Configuração'!$B$51+15-'🌱 Configuração'!$C$51)/7)+1=1,MOD('🌱 Configuração'!$B$51+15-'🌱 Configuração'!$C$51,7)=0),"🌿 Grow A+B início — EC 0.8",IF(AND('🌱 Configuração'!$B$51+15&gt;='🌱 Configuração'!$C$51,'🌱 Configuração'!$B$51+15&lt;'🌱 Configuração'!$D$51,INT(('🌱 Configuração'!$B$51+15-'🌱 Configuração'!$C$51)/7)+1=2,MOD('🌱 Configuração'!$B$51+15-'🌱 Configuração'!$C$51,7)=0),"🌿 Grow A+B + CalMag — EC 1.0",IF(AND('🌱 Configuração'!$B$51+15&gt;='🌱 Configuração'!$C$51,'🌱 Configuração'!$B$51+15&lt;'🌱 Configuração'!$D$51,INT(('🌱 Configuração'!$B$51+15-'🌱 Configuração'!$C$51)/7)+1=3,MOD('🌱 Configuração'!$B$51+15-'🌱 Configuração'!$C$51,7)=0),"🌿 Grow A+B + CalMag — EC 1.2",IF(AND('🌱 Configuração'!$B$51+15&gt;='🌱 Configuração'!$C$51,'🌱 Configuração'!$B$51+15&lt;'🌱 Configuração'!$D$51,INT(('🌱 Configuração'!$B$51+15-'🌱 Configuração'!$C$51)/7)+1=4,MOD('🌱 Configuração'!$B$51+15-'🌱 Configuração'!$C$51,7)=0),"🌿 Grow A+B + Enzimas — EC 1.4",IF(AND('🌱 Configuração'!$B$51+15&gt;='🌱 Configuração'!$C$51,'🌱 Configuração'!$B$51+15&lt;'🌱 Configuração'!$D$51,INT(('🌱 Configuração'!$B$51+15-'🌱 Configuração'!$C$51)/7)+1=5,MOD('🌱 Configuração'!$B$51+15-'🌱 Configuração'!$C$51,7)=0),"🌿 Grow A+B + Biorrizas — EC 1.5",IF(AND('🌱 Configuração'!$B$51+15&gt;='🌱 Configuração'!$C$51,'🌱 Configuração'!$B$51+15&lt;'🌱 Configuração'!$D$51,INT(('🌱 Configuração'!$B$51+15-'🌱 Configuração'!$C$51)/7)+1=6,MOD('🌱 Configuração'!$B$51+15-'🌱 Configuração'!$C$51,7)=0),"🌿 Transição Bloom — EC 1.4",IF(AND('🌱 Configuração'!$B$51+15&gt;='🌱 Configuração'!$C$51,'🌱 Configuração'!$B$51+15&lt;'🌱 Configuração'!$D$51,INT(('🌱 Configuração'!$B$51+15-'🌱 Configuração'!$C$51)/7)+1=7,MOD('🌱 Configuração'!$B$51+15-'🌱 Configuração'!$C$51,7)=0),"🌿 Bloom A+B transição — EC 1.4",IF(AND('🌱 Configuração'!$B$51+15&gt;='🌱 Configuração'!$C$51,'🌱 Configuração'!$B$51+15&lt;'🌱 Configuração'!$D$51,INT(('🌱 Configuração'!$B$51+15-'🌱 Configuração'!$C$51)/7)+1=8,MOD('🌱 Configuração'!$B$51+15-'🌱 Configuração'!$C$51,7)=0),"🌿 Bloom A+B — EC 1.4",IF(AND('🌱 Configuração'!$B$51+15&gt;='🌱 Configuração'!$D$51,'🌱 Configuração'!$B$51+15&lt;'🌱 Configuração'!$E$51,INT(('🌱 Configuração'!$B$51+15-'🌱 Configuração'!$D$51)/7)+1=1,MOD('🌱 Configuração'!$B$51+15-'🌱 Configuração'!$D$51,7)=0),"🌸 Bloom A+B — EC 1.6",IF(AND('🌱 Configuração'!$B$51+15&gt;='🌱 Configuração'!$D$51,'🌱 Configuração'!$B$51+15&lt;'🌱 Configuração'!$E$51,INT(('🌱 Configuração'!$B$51+15-'🌱 Configuração'!$D$51)/7)+1=2,MOD('🌱 Configuração'!$B$51+15-'🌱 Configuração'!$D$51,7)=0),"🌸 Bloom + PK 13/14 início",IF(AND('🌱 Configuração'!$B$51+15&gt;='🌱 Configuração'!$D$51,'🌱 Configuração'!$B$51+15&lt;'🌱 Configuração'!$E$51,INT(('🌱 Configuração'!$B$51+15-'🌱 Configuração'!$D$51)/7)+1=3,MOD('🌱 Configuração'!$B$51+15-'🌱 Configuração'!$D$51,7)=0),"🌸 Bloom + PK + CalMag — EC 1.8",IF(AND('🌱 Configuração'!$B$51+15&gt;='🌱 Configuração'!$D$51,'🌱 Configuração'!$B$51+15&lt;'🌱 Configuração'!$E$51,INT(('🌱 Configuração'!$B$51+15-'🌱 Configuração'!$D$51)/7)+1=4,MOD('🌱 Configuração'!$B$51+15-'🌱 Configuração'!$D$51,7)=0),"🌸 Bloom + PK + Boost Floral — EC 2.0",IF(AND('🌱 Configuração'!$B$51+15&gt;='🌱 Configuração'!$D$51,'🌱 Configuração'!$B$51+15&lt;'🌱 Configuração'!$E$51,INT(('🌱 Configuração'!$B$51+15-'🌱 Configuração'!$D$51)/7)+1=5,MOD('🌱 Configuração'!$B$51+15-'🌱 Configuração'!$D$51,7)=0),"🌸 Bloom + Boost + Amino",IF(AND('🌱 Configuração'!$B$51+15&gt;='🌱 Configuração'!$D$51,'🌱 Configuração'!$B$51+15&lt;'🌱 Configuração'!$E$51,INT(('🌱 Configuração'!$B$51+15-'🌱 Configuração'!$D$51)/7)+1=6,MOD('🌱 Configuração'!$B$51+15-'🌱 Configuração'!$D$51,7)=0),"🌸 Bloom + Enzimas + Amino",IF(AND('🌱 Configuração'!$B$51+15&gt;='🌱 Configuração'!$D$51,'🌱 Configuração'!$B$51+15&lt;'🌱 Configuração'!$E$51,INT(('🌱 Configuração'!$B$51+15-'🌱 Configuração'!$D$51)/7)+1=7,MOD('🌱 Configuração'!$B$51+15-'🌱 Configuração'!$D$51,7)=0),"🌸 Reduzir N — Bloom puro — EC 1.6",IF(AND('🌱 Configuração'!$B$51+15&gt;='🌱 Configuração'!$D$51,'🌱 Configuração'!$B$51+15&lt;'🌱 Configuração'!$E$51,INT(('🌱 Configuração'!$B$51+15-'🌱 Configuração'!$D$51)/7)+1=8,MOD('🌱 Configuração'!$B$51+15-'🌱 Configuração'!$D$51,7)=0),"🌸 Bloom puro — EC 1.4  (pré-flush)",IF(AND('🌱 Configuração'!$B$51+15&gt;='🌱 Configuração'!$D$51,'🌱 Configuração'!$B$51+15&lt;'🌱 Configuração'!$E$51,INT(('🌱 Configuração'!$B$51+15-'🌱 Configuração'!$D$51)/7)+1=9,MOD('🌱 Configuração'!$B$51+15-'🌱 Configuração'!$D$51,7)=0),"🌸 Último Bloom — EC 0.8",IF(AND('🌱 Configuração'!$B$51+15&gt;='🌱 Configuração'!$E$51,INT(('🌱 Configuração'!$B$51+15-'🌱 Configuração'!$E$51)/7)+1=1,MOD('🌱 Configuração'!$B$51+15-'🌱 Configuração'!$E$51,7)=0),"🚿 Água pura + Enzimas (EC &lt; 0.3)",IF(AND('🌱 Configuração'!$B$51+15&gt;='🌱 Configuração'!$E$51,INT(('🌱 Configuração'!$B$51+15-'🌱 Configuração'!$E$51)/7)+1=2,MOD('🌱 Configuração'!$B$51+15-'🌱 Configuração'!$E$51,7)=0),"🚿 Água pura (EC &lt; 0.2)",""))))))))))))))))))))))</f>
        <v/>
      </c>
      <c r="G21" s="30" t="str">
        <f>IF(16&gt;'🌱 Configuração'!$F$50,"",IF(AND('🌱 Configuração'!$B$51+15&lt;'🌱 Configuração'!$C$51,INT((16-1)/7)+1=1,MOD(16-1,7)=0),"🐛 Nim 2mL/L foliar — preventivo",IF(AND('🌱 Configuração'!$B$51+15&lt;'🌱 Configuração'!$C$51,INT((16-1)/7)+1=2,MOD(16-1,7)=0),"🐛 Beauveria bassiana foliar + solo",IF(AND('🌱 Configuração'!$B$51+15&gt;='🌱 Configuração'!$C$51,'🌱 Configuração'!$B$51+15&lt;'🌱 Configuração'!$D$51,INT(('🌱 Configuração'!$B$51+15-'🌱 Configuração'!$C$51)/7)+1=1,MOD('🌱 Configuração'!$B$51+15-'🌱 Configuração'!$C$51,7)=0),"🐛 Nim 2mL/L foliar",IF(AND('🌱 Configuração'!$B$51+15&gt;='🌱 Configuração'!$C$51,'🌱 Configuração'!$B$51+15&lt;'🌱 Configuração'!$D$51,INT(('🌱 Configuração'!$B$51+15-'🌱 Configuração'!$C$51)/7)+1=2,MOD('🌱 Configuração'!$B$51+15-'🌱 Configuração'!$C$51,7)=0),"🐛 Beauveria bassiana foliar",IF(AND('🌱 Configuração'!$B$51+15&gt;='🌱 Configuração'!$C$51,'🌱 Configuração'!$B$51+15&lt;'🌱 Configuração'!$D$51,INT(('🌱 Configuração'!$B$51+15-'🌱 Configuração'!$C$51)/7)+1=3,MOD('🌱 Configuração'!$B$51+15-'🌱 Configuração'!$C$51,7)=0),"🐛 Nim + Calda Sulfocálcica 1%",IF(AND('🌱 Configuração'!$B$51+15&gt;='🌱 Configuração'!$C$51,'🌱 Configuração'!$B$51+15&lt;'🌱 Configuração'!$D$51,INT(('🌱 Configuração'!$B$51+15-'🌱 Configuração'!$C$51)/7)+1=4,MOD('🌱 Configuração'!$B$51+15-'🌱 Configuração'!$C$51,7)=0),"🐛 Trichoderma solo + Beauveria",IF(AND('🌱 Configuração'!$B$51+15&gt;='🌱 Configuração'!$C$51,'🌱 Configuração'!$B$51+15&lt;'🌱 Configuração'!$D$51,INT(('🌱 Configuração'!$B$51+15-'🌱 Configuração'!$C$51)/7)+1=5,MOD('🌱 Configuração'!$B$51+15-'🌱 Configuração'!$C$51,7)=0),"🐛 Calda Bordalesa 0.5% foliar",IF(AND('🌱 Configuração'!$B$51+15&gt;='🌱 Configuração'!$C$51,'🌱 Configuração'!$B$51+15&lt;'🌱 Configuração'!$D$51,INT(('🌱 Configuração'!$B$51+15-'🌱 Configuração'!$C$51)/7)+1=6,MOD('🌱 Configuração'!$B$51+15-'🌱 Configuração'!$C$51,7)=0),"🐛 Nim 2mL/L — ÚLTIMA foliar",IF(AND('🌱 Configuração'!$B$51+15&gt;='🌱 Configuração'!$D$51,'🌱 Configuração'!$B$51+15&lt;'🌱 Configuração'!$E$51,INT(('🌱 Configuração'!$B$51+15-'🌱 Configuração'!$D$51)/7)+1=1,MOD('🌱 Configuração'!$B$51+15-'🌱 Configuração'!$D$51,7)=0),"🐛 Beauveria bassiana solo (sem foliar)",IF(AND('🌱 Configuração'!$B$51+15&gt;='🌱 Configuração'!$D$51,'🌱 Configuração'!$B$51+15&lt;'🌱 Configuração'!$E$51,INT(('🌱 Configuração'!$B$51+15-'🌱 Configuração'!$D$51)/7)+1=2,MOD('🌱 Configuração'!$B$51+15-'🌱 Configuração'!$D$51,7)=0),"🐛 Trichoderma solo",IF(AND('🌱 Configuração'!$B$51+15&gt;='🌱 Configuração'!$D$51,'🌱 Configuração'!$B$51+15&lt;'🌱 Configuração'!$E$51,INT(('🌱 Configuração'!$B$51+15-'🌱 Configuração'!$D$51)/7)+1=3,MOD('🌱 Configuração'!$B$51+15-'🌱 Configuração'!$D$51,7)=0),"🐛 Beauveria bassiana solo",IF(AND('🌱 Configuração'!$B$51+15&gt;='🌱 Configuração'!$D$51,'🌱 Configuração'!$B$51+15&lt;'🌱 Configuração'!$E$51,INT(('🌱 Configuração'!$B$51+15-'🌱 Configuração'!$D$51)/7)+1=4,MOD('🌱 Configuração'!$B$51+15-'🌱 Configuração'!$D$51,7)=0),"🐛 Trichoderma solo",IF(AND('🌱 Configuração'!$B$51+15&gt;='🌱 Configuração'!$E$51,INT(('🌱 Configuração'!$B$51+15-'🌱 Configuração'!$E$51)/7)+1=1,MOD('🌱 Configuração'!$B$51+15-'🌱 Configuração'!$E$51,7)=0),"🐛 Inspeção final — sem aplicação",""))))))))))))))</f>
        <v/>
      </c>
      <c r="H21" s="22" t="str">
        <f>IF(16&gt;'🌱 Configuração'!$F$50,"",IF('🌱 Configuração'!$B$51+15='🌱 Configuração'!$C$51,"🌿 INÍCIO VEGA — ajustar espaço, luz 18h/dia — EC 0.8",IF('🌱 Configuração'!$B$51+15='🌱 Configuração'!$D$51,"🌸 INÍCIO FLORAÇÃO — mudar para 12h/12h — 🔴 atenção ao fotoperíodo",IF('🌱 Configuração'!$B$51+15='🌱 Configuração'!$E$51,"🚿 INÍCIO FLUSH — PARAR nutrição, somente água pura",IF('🌱 Configuração'!$B$51+15='🌱 Configuração'!$F$51-1,"🔬 Véspera da colheita — analisar tricomas âmbar",IF('🌱 Configuração'!$B$51+15='🌱 Configuração'!$F$51,"✂️ COLHEITA! Parabéns! 🎉",""))))))</f>
        <v/>
      </c>
    </row>
    <row r="22" spans="2:8" ht="18.75" customHeight="1" x14ac:dyDescent="0.3">
      <c r="B22" s="25">
        <f>IF(17&lt;='🌱 Configuração'!$F$50,17,"")</f>
        <v>17</v>
      </c>
      <c r="C22" s="26">
        <f>IF(17&lt;='🌱 Configuração'!$F$50,'🌱 Configuração'!$B$51+16,"")</f>
        <v>46039</v>
      </c>
      <c r="D22" s="27" t="str">
        <f>IF(17&gt;'🌱 Configuração'!$F$50,"",IF('🌱 Configuração'!$B$51+16&lt;'🌱 Configuração'!$C$51,"🌱 Clone",IF('🌱 Configuração'!$B$51+16&lt;'🌱 Configuração'!$D$51,"🌿 Vegetativo",IF('🌱 Configuração'!$B$51+16&lt;'🌱 Configuração'!$E$51,"🌸 Floração","🚿 Flush"))))</f>
        <v>🌿 Vegetativo</v>
      </c>
      <c r="E22" s="28" t="str">
        <f>IF(17&gt;'🌱 Configuração'!$F$50,"",IF('🌱 Configuração'!$B$51+16&lt;'🌱 Configuração'!$C$51,"Clone S"&amp;INT((17-1)/7)+1,IF('🌱 Configuração'!$B$51+16&lt;'🌱 Configuração'!$D$51,"Vega S"&amp;INT(('🌱 Configuração'!$B$51+16-'🌱 Configuração'!$C$51)/7)+1,IF('🌱 Configuração'!$B$51+16&lt;'🌱 Configuração'!$E$51,"Flora S"&amp;INT(('🌱 Configuração'!$B$51+16-'🌱 Configuração'!$D$51)/7)+1,"Flush S"&amp;INT(('🌱 Configuração'!$B$51+16-'🌱 Configuração'!$E$51)/7)+1))))</f>
        <v>Vega S1</v>
      </c>
      <c r="F22" s="29" t="str">
        <f>IF(17&gt;'🌱 Configuração'!$F$50,"",IF(AND('🌱 Configuração'!$B$51+16&lt;'🌱 Configuração'!$C$51,INT((17-1)/7)+1=1,MOD(17-1,7)=0),"🌱 Enraizador (0.5 mL/L)",IF(AND('🌱 Configuração'!$B$51+16&lt;'🌱 Configuração'!$C$51,INT((17-1)/7)+1=2,MOD(17-1,7)=0),"🌱 Enraizador + Vitamina B1",IF(AND('🌱 Configuração'!$B$51+16&gt;='🌱 Configuração'!$C$51,'🌱 Configuração'!$B$51+16&lt;'🌱 Configuração'!$D$51,INT(('🌱 Configuração'!$B$51+16-'🌱 Configuração'!$C$51)/7)+1=1,MOD('🌱 Configuração'!$B$51+16-'🌱 Configuração'!$C$51,7)=0),"🌿 Grow A+B início — EC 0.8",IF(AND('🌱 Configuração'!$B$51+16&gt;='🌱 Configuração'!$C$51,'🌱 Configuração'!$B$51+16&lt;'🌱 Configuração'!$D$51,INT(('🌱 Configuração'!$B$51+16-'🌱 Configuração'!$C$51)/7)+1=2,MOD('🌱 Configuração'!$B$51+16-'🌱 Configuração'!$C$51,7)=0),"🌿 Grow A+B + CalMag — EC 1.0",IF(AND('🌱 Configuração'!$B$51+16&gt;='🌱 Configuração'!$C$51,'🌱 Configuração'!$B$51+16&lt;'🌱 Configuração'!$D$51,INT(('🌱 Configuração'!$B$51+16-'🌱 Configuração'!$C$51)/7)+1=3,MOD('🌱 Configuração'!$B$51+16-'🌱 Configuração'!$C$51,7)=0),"🌿 Grow A+B + CalMag — EC 1.2",IF(AND('🌱 Configuração'!$B$51+16&gt;='🌱 Configuração'!$C$51,'🌱 Configuração'!$B$51+16&lt;'🌱 Configuração'!$D$51,INT(('🌱 Configuração'!$B$51+16-'🌱 Configuração'!$C$51)/7)+1=4,MOD('🌱 Configuração'!$B$51+16-'🌱 Configuração'!$C$51,7)=0),"🌿 Grow A+B + Enzimas — EC 1.4",IF(AND('🌱 Configuração'!$B$51+16&gt;='🌱 Configuração'!$C$51,'🌱 Configuração'!$B$51+16&lt;'🌱 Configuração'!$D$51,INT(('🌱 Configuração'!$B$51+16-'🌱 Configuração'!$C$51)/7)+1=5,MOD('🌱 Configuração'!$B$51+16-'🌱 Configuração'!$C$51,7)=0),"🌿 Grow A+B + Biorrizas — EC 1.5",IF(AND('🌱 Configuração'!$B$51+16&gt;='🌱 Configuração'!$C$51,'🌱 Configuração'!$B$51+16&lt;'🌱 Configuração'!$D$51,INT(('🌱 Configuração'!$B$51+16-'🌱 Configuração'!$C$51)/7)+1=6,MOD('🌱 Configuração'!$B$51+16-'🌱 Configuração'!$C$51,7)=0),"🌿 Transição Bloom — EC 1.4",IF(AND('🌱 Configuração'!$B$51+16&gt;='🌱 Configuração'!$C$51,'🌱 Configuração'!$B$51+16&lt;'🌱 Configuração'!$D$51,INT(('🌱 Configuração'!$B$51+16-'🌱 Configuração'!$C$51)/7)+1=7,MOD('🌱 Configuração'!$B$51+16-'🌱 Configuração'!$C$51,7)=0),"🌿 Bloom A+B transição — EC 1.4",IF(AND('🌱 Configuração'!$B$51+16&gt;='🌱 Configuração'!$C$51,'🌱 Configuração'!$B$51+16&lt;'🌱 Configuração'!$D$51,INT(('🌱 Configuração'!$B$51+16-'🌱 Configuração'!$C$51)/7)+1=8,MOD('🌱 Configuração'!$B$51+16-'🌱 Configuração'!$C$51,7)=0),"🌿 Bloom A+B — EC 1.4",IF(AND('🌱 Configuração'!$B$51+16&gt;='🌱 Configuração'!$D$51,'🌱 Configuração'!$B$51+16&lt;'🌱 Configuração'!$E$51,INT(('🌱 Configuração'!$B$51+16-'🌱 Configuração'!$D$51)/7)+1=1,MOD('🌱 Configuração'!$B$51+16-'🌱 Configuração'!$D$51,7)=0),"🌸 Bloom A+B — EC 1.6",IF(AND('🌱 Configuração'!$B$51+16&gt;='🌱 Configuração'!$D$51,'🌱 Configuração'!$B$51+16&lt;'🌱 Configuração'!$E$51,INT(('🌱 Configuração'!$B$51+16-'🌱 Configuração'!$D$51)/7)+1=2,MOD('🌱 Configuração'!$B$51+16-'🌱 Configuração'!$D$51,7)=0),"🌸 Bloom + PK 13/14 início",IF(AND('🌱 Configuração'!$B$51+16&gt;='🌱 Configuração'!$D$51,'🌱 Configuração'!$B$51+16&lt;'🌱 Configuração'!$E$51,INT(('🌱 Configuração'!$B$51+16-'🌱 Configuração'!$D$51)/7)+1=3,MOD('🌱 Configuração'!$B$51+16-'🌱 Configuração'!$D$51,7)=0),"🌸 Bloom + PK + CalMag — EC 1.8",IF(AND('🌱 Configuração'!$B$51+16&gt;='🌱 Configuração'!$D$51,'🌱 Configuração'!$B$51+16&lt;'🌱 Configuração'!$E$51,INT(('🌱 Configuração'!$B$51+16-'🌱 Configuração'!$D$51)/7)+1=4,MOD('🌱 Configuração'!$B$51+16-'🌱 Configuração'!$D$51,7)=0),"🌸 Bloom + PK + Boost Floral — EC 2.0",IF(AND('🌱 Configuração'!$B$51+16&gt;='🌱 Configuração'!$D$51,'🌱 Configuração'!$B$51+16&lt;'🌱 Configuração'!$E$51,INT(('🌱 Configuração'!$B$51+16-'🌱 Configuração'!$D$51)/7)+1=5,MOD('🌱 Configuração'!$B$51+16-'🌱 Configuração'!$D$51,7)=0),"🌸 Bloom + Boost + Amino",IF(AND('🌱 Configuração'!$B$51+16&gt;='🌱 Configuração'!$D$51,'🌱 Configuração'!$B$51+16&lt;'🌱 Configuração'!$E$51,INT(('🌱 Configuração'!$B$51+16-'🌱 Configuração'!$D$51)/7)+1=6,MOD('🌱 Configuração'!$B$51+16-'🌱 Configuração'!$D$51,7)=0),"🌸 Bloom + Enzimas + Amino",IF(AND('🌱 Configuração'!$B$51+16&gt;='🌱 Configuração'!$D$51,'🌱 Configuração'!$B$51+16&lt;'🌱 Configuração'!$E$51,INT(('🌱 Configuração'!$B$51+16-'🌱 Configuração'!$D$51)/7)+1=7,MOD('🌱 Configuração'!$B$51+16-'🌱 Configuração'!$D$51,7)=0),"🌸 Reduzir N — Bloom puro — EC 1.6",IF(AND('🌱 Configuração'!$B$51+16&gt;='🌱 Configuração'!$D$51,'🌱 Configuração'!$B$51+16&lt;'🌱 Configuração'!$E$51,INT(('🌱 Configuração'!$B$51+16-'🌱 Configuração'!$D$51)/7)+1=8,MOD('🌱 Configuração'!$B$51+16-'🌱 Configuração'!$D$51,7)=0),"🌸 Bloom puro — EC 1.4  (pré-flush)",IF(AND('🌱 Configuração'!$B$51+16&gt;='🌱 Configuração'!$D$51,'🌱 Configuração'!$B$51+16&lt;'🌱 Configuração'!$E$51,INT(('🌱 Configuração'!$B$51+16-'🌱 Configuração'!$D$51)/7)+1=9,MOD('🌱 Configuração'!$B$51+16-'🌱 Configuração'!$D$51,7)=0),"🌸 Último Bloom — EC 0.8",IF(AND('🌱 Configuração'!$B$51+16&gt;='🌱 Configuração'!$E$51,INT(('🌱 Configuração'!$B$51+16-'🌱 Configuração'!$E$51)/7)+1=1,MOD('🌱 Configuração'!$B$51+16-'🌱 Configuração'!$E$51,7)=0),"🚿 Água pura + Enzimas (EC &lt; 0.3)",IF(AND('🌱 Configuração'!$B$51+16&gt;='🌱 Configuração'!$E$51,INT(('🌱 Configuração'!$B$51+16-'🌱 Configuração'!$E$51)/7)+1=2,MOD('🌱 Configuração'!$B$51+16-'🌱 Configuração'!$E$51,7)=0),"🚿 Água pura (EC &lt; 0.2)",""))))))))))))))))))))))</f>
        <v/>
      </c>
      <c r="G22" s="30" t="str">
        <f>IF(17&gt;'🌱 Configuração'!$F$50,"",IF(AND('🌱 Configuração'!$B$51+16&lt;'🌱 Configuração'!$C$51,INT((17-1)/7)+1=1,MOD(17-1,7)=0),"🐛 Nim 2mL/L foliar — preventivo",IF(AND('🌱 Configuração'!$B$51+16&lt;'🌱 Configuração'!$C$51,INT((17-1)/7)+1=2,MOD(17-1,7)=0),"🐛 Beauveria bassiana foliar + solo",IF(AND('🌱 Configuração'!$B$51+16&gt;='🌱 Configuração'!$C$51,'🌱 Configuração'!$B$51+16&lt;'🌱 Configuração'!$D$51,INT(('🌱 Configuração'!$B$51+16-'🌱 Configuração'!$C$51)/7)+1=1,MOD('🌱 Configuração'!$B$51+16-'🌱 Configuração'!$C$51,7)=0),"🐛 Nim 2mL/L foliar",IF(AND('🌱 Configuração'!$B$51+16&gt;='🌱 Configuração'!$C$51,'🌱 Configuração'!$B$51+16&lt;'🌱 Configuração'!$D$51,INT(('🌱 Configuração'!$B$51+16-'🌱 Configuração'!$C$51)/7)+1=2,MOD('🌱 Configuração'!$B$51+16-'🌱 Configuração'!$C$51,7)=0),"🐛 Beauveria bassiana foliar",IF(AND('🌱 Configuração'!$B$51+16&gt;='🌱 Configuração'!$C$51,'🌱 Configuração'!$B$51+16&lt;'🌱 Configuração'!$D$51,INT(('🌱 Configuração'!$B$51+16-'🌱 Configuração'!$C$51)/7)+1=3,MOD('🌱 Configuração'!$B$51+16-'🌱 Configuração'!$C$51,7)=0),"🐛 Nim + Calda Sulfocálcica 1%",IF(AND('🌱 Configuração'!$B$51+16&gt;='🌱 Configuração'!$C$51,'🌱 Configuração'!$B$51+16&lt;'🌱 Configuração'!$D$51,INT(('🌱 Configuração'!$B$51+16-'🌱 Configuração'!$C$51)/7)+1=4,MOD('🌱 Configuração'!$B$51+16-'🌱 Configuração'!$C$51,7)=0),"🐛 Trichoderma solo + Beauveria",IF(AND('🌱 Configuração'!$B$51+16&gt;='🌱 Configuração'!$C$51,'🌱 Configuração'!$B$51+16&lt;'🌱 Configuração'!$D$51,INT(('🌱 Configuração'!$B$51+16-'🌱 Configuração'!$C$51)/7)+1=5,MOD('🌱 Configuração'!$B$51+16-'🌱 Configuração'!$C$51,7)=0),"🐛 Calda Bordalesa 0.5% foliar",IF(AND('🌱 Configuração'!$B$51+16&gt;='🌱 Configuração'!$C$51,'🌱 Configuração'!$B$51+16&lt;'🌱 Configuração'!$D$51,INT(('🌱 Configuração'!$B$51+16-'🌱 Configuração'!$C$51)/7)+1=6,MOD('🌱 Configuração'!$B$51+16-'🌱 Configuração'!$C$51,7)=0),"🐛 Nim 2mL/L — ÚLTIMA foliar",IF(AND('🌱 Configuração'!$B$51+16&gt;='🌱 Configuração'!$D$51,'🌱 Configuração'!$B$51+16&lt;'🌱 Configuração'!$E$51,INT(('🌱 Configuração'!$B$51+16-'🌱 Configuração'!$D$51)/7)+1=1,MOD('🌱 Configuração'!$B$51+16-'🌱 Configuração'!$D$51,7)=0),"🐛 Beauveria bassiana solo (sem foliar)",IF(AND('🌱 Configuração'!$B$51+16&gt;='🌱 Configuração'!$D$51,'🌱 Configuração'!$B$51+16&lt;'🌱 Configuração'!$E$51,INT(('🌱 Configuração'!$B$51+16-'🌱 Configuração'!$D$51)/7)+1=2,MOD('🌱 Configuração'!$B$51+16-'🌱 Configuração'!$D$51,7)=0),"🐛 Trichoderma solo",IF(AND('🌱 Configuração'!$B$51+16&gt;='🌱 Configuração'!$D$51,'🌱 Configuração'!$B$51+16&lt;'🌱 Configuração'!$E$51,INT(('🌱 Configuração'!$B$51+16-'🌱 Configuração'!$D$51)/7)+1=3,MOD('🌱 Configuração'!$B$51+16-'🌱 Configuração'!$D$51,7)=0),"🐛 Beauveria bassiana solo",IF(AND('🌱 Configuração'!$B$51+16&gt;='🌱 Configuração'!$D$51,'🌱 Configuração'!$B$51+16&lt;'🌱 Configuração'!$E$51,INT(('🌱 Configuração'!$B$51+16-'🌱 Configuração'!$D$51)/7)+1=4,MOD('🌱 Configuração'!$B$51+16-'🌱 Configuração'!$D$51,7)=0),"🐛 Trichoderma solo",IF(AND('🌱 Configuração'!$B$51+16&gt;='🌱 Configuração'!$E$51,INT(('🌱 Configuração'!$B$51+16-'🌱 Configuração'!$E$51)/7)+1=1,MOD('🌱 Configuração'!$B$51+16-'🌱 Configuração'!$E$51,7)=0),"🐛 Inspeção final — sem aplicação",""))))))))))))))</f>
        <v/>
      </c>
      <c r="H22" s="22" t="str">
        <f>IF(17&gt;'🌱 Configuração'!$F$50,"",IF('🌱 Configuração'!$B$51+16='🌱 Configuração'!$C$51,"🌿 INÍCIO VEGA — ajustar espaço, luz 18h/dia — EC 0.8",IF('🌱 Configuração'!$B$51+16='🌱 Configuração'!$D$51,"🌸 INÍCIO FLORAÇÃO — mudar para 12h/12h — 🔴 atenção ao fotoperíodo",IF('🌱 Configuração'!$B$51+16='🌱 Configuração'!$E$51,"🚿 INÍCIO FLUSH — PARAR nutrição, somente água pura",IF('🌱 Configuração'!$B$51+16='🌱 Configuração'!$F$51-1,"🔬 Véspera da colheita — analisar tricomas âmbar",IF('🌱 Configuração'!$B$51+16='🌱 Configuração'!$F$51,"✂️ COLHEITA! Parabéns! 🎉",""))))))</f>
        <v/>
      </c>
    </row>
    <row r="23" spans="2:8" ht="18.75" customHeight="1" x14ac:dyDescent="0.3">
      <c r="B23" s="25">
        <f>IF(18&lt;='🌱 Configuração'!$F$50,18,"")</f>
        <v>18</v>
      </c>
      <c r="C23" s="26">
        <f>IF(18&lt;='🌱 Configuração'!$F$50,'🌱 Configuração'!$B$51+17,"")</f>
        <v>46040</v>
      </c>
      <c r="D23" s="27" t="str">
        <f>IF(18&gt;'🌱 Configuração'!$F$50,"",IF('🌱 Configuração'!$B$51+17&lt;'🌱 Configuração'!$C$51,"🌱 Clone",IF('🌱 Configuração'!$B$51+17&lt;'🌱 Configuração'!$D$51,"🌿 Vegetativo",IF('🌱 Configuração'!$B$51+17&lt;'🌱 Configuração'!$E$51,"🌸 Floração","🚿 Flush"))))</f>
        <v>🌿 Vegetativo</v>
      </c>
      <c r="E23" s="28" t="str">
        <f>IF(18&gt;'🌱 Configuração'!$F$50,"",IF('🌱 Configuração'!$B$51+17&lt;'🌱 Configuração'!$C$51,"Clone S"&amp;INT((18-1)/7)+1,IF('🌱 Configuração'!$B$51+17&lt;'🌱 Configuração'!$D$51,"Vega S"&amp;INT(('🌱 Configuração'!$B$51+17-'🌱 Configuração'!$C$51)/7)+1,IF('🌱 Configuração'!$B$51+17&lt;'🌱 Configuração'!$E$51,"Flora S"&amp;INT(('🌱 Configuração'!$B$51+17-'🌱 Configuração'!$D$51)/7)+1,"Flush S"&amp;INT(('🌱 Configuração'!$B$51+17-'🌱 Configuração'!$E$51)/7)+1))))</f>
        <v>Vega S1</v>
      </c>
      <c r="F23" s="29" t="str">
        <f>IF(18&gt;'🌱 Configuração'!$F$50,"",IF(AND('🌱 Configuração'!$B$51+17&lt;'🌱 Configuração'!$C$51,INT((18-1)/7)+1=1,MOD(18-1,7)=0),"🌱 Enraizador (0.5 mL/L)",IF(AND('🌱 Configuração'!$B$51+17&lt;'🌱 Configuração'!$C$51,INT((18-1)/7)+1=2,MOD(18-1,7)=0),"🌱 Enraizador + Vitamina B1",IF(AND('🌱 Configuração'!$B$51+17&gt;='🌱 Configuração'!$C$51,'🌱 Configuração'!$B$51+17&lt;'🌱 Configuração'!$D$51,INT(('🌱 Configuração'!$B$51+17-'🌱 Configuração'!$C$51)/7)+1=1,MOD('🌱 Configuração'!$B$51+17-'🌱 Configuração'!$C$51,7)=0),"🌿 Grow A+B início — EC 0.8",IF(AND('🌱 Configuração'!$B$51+17&gt;='🌱 Configuração'!$C$51,'🌱 Configuração'!$B$51+17&lt;'🌱 Configuração'!$D$51,INT(('🌱 Configuração'!$B$51+17-'🌱 Configuração'!$C$51)/7)+1=2,MOD('🌱 Configuração'!$B$51+17-'🌱 Configuração'!$C$51,7)=0),"🌿 Grow A+B + CalMag — EC 1.0",IF(AND('🌱 Configuração'!$B$51+17&gt;='🌱 Configuração'!$C$51,'🌱 Configuração'!$B$51+17&lt;'🌱 Configuração'!$D$51,INT(('🌱 Configuração'!$B$51+17-'🌱 Configuração'!$C$51)/7)+1=3,MOD('🌱 Configuração'!$B$51+17-'🌱 Configuração'!$C$51,7)=0),"🌿 Grow A+B + CalMag — EC 1.2",IF(AND('🌱 Configuração'!$B$51+17&gt;='🌱 Configuração'!$C$51,'🌱 Configuração'!$B$51+17&lt;'🌱 Configuração'!$D$51,INT(('🌱 Configuração'!$B$51+17-'🌱 Configuração'!$C$51)/7)+1=4,MOD('🌱 Configuração'!$B$51+17-'🌱 Configuração'!$C$51,7)=0),"🌿 Grow A+B + Enzimas — EC 1.4",IF(AND('🌱 Configuração'!$B$51+17&gt;='🌱 Configuração'!$C$51,'🌱 Configuração'!$B$51+17&lt;'🌱 Configuração'!$D$51,INT(('🌱 Configuração'!$B$51+17-'🌱 Configuração'!$C$51)/7)+1=5,MOD('🌱 Configuração'!$B$51+17-'🌱 Configuração'!$C$51,7)=0),"🌿 Grow A+B + Biorrizas — EC 1.5",IF(AND('🌱 Configuração'!$B$51+17&gt;='🌱 Configuração'!$C$51,'🌱 Configuração'!$B$51+17&lt;'🌱 Configuração'!$D$51,INT(('🌱 Configuração'!$B$51+17-'🌱 Configuração'!$C$51)/7)+1=6,MOD('🌱 Configuração'!$B$51+17-'🌱 Configuração'!$C$51,7)=0),"🌿 Transição Bloom — EC 1.4",IF(AND('🌱 Configuração'!$B$51+17&gt;='🌱 Configuração'!$C$51,'🌱 Configuração'!$B$51+17&lt;'🌱 Configuração'!$D$51,INT(('🌱 Configuração'!$B$51+17-'🌱 Configuração'!$C$51)/7)+1=7,MOD('🌱 Configuração'!$B$51+17-'🌱 Configuração'!$C$51,7)=0),"🌿 Bloom A+B transição — EC 1.4",IF(AND('🌱 Configuração'!$B$51+17&gt;='🌱 Configuração'!$C$51,'🌱 Configuração'!$B$51+17&lt;'🌱 Configuração'!$D$51,INT(('🌱 Configuração'!$B$51+17-'🌱 Configuração'!$C$51)/7)+1=8,MOD('🌱 Configuração'!$B$51+17-'🌱 Configuração'!$C$51,7)=0),"🌿 Bloom A+B — EC 1.4",IF(AND('🌱 Configuração'!$B$51+17&gt;='🌱 Configuração'!$D$51,'🌱 Configuração'!$B$51+17&lt;'🌱 Configuração'!$E$51,INT(('🌱 Configuração'!$B$51+17-'🌱 Configuração'!$D$51)/7)+1=1,MOD('🌱 Configuração'!$B$51+17-'🌱 Configuração'!$D$51,7)=0),"🌸 Bloom A+B — EC 1.6",IF(AND('🌱 Configuração'!$B$51+17&gt;='🌱 Configuração'!$D$51,'🌱 Configuração'!$B$51+17&lt;'🌱 Configuração'!$E$51,INT(('🌱 Configuração'!$B$51+17-'🌱 Configuração'!$D$51)/7)+1=2,MOD('🌱 Configuração'!$B$51+17-'🌱 Configuração'!$D$51,7)=0),"🌸 Bloom + PK 13/14 início",IF(AND('🌱 Configuração'!$B$51+17&gt;='🌱 Configuração'!$D$51,'🌱 Configuração'!$B$51+17&lt;'🌱 Configuração'!$E$51,INT(('🌱 Configuração'!$B$51+17-'🌱 Configuração'!$D$51)/7)+1=3,MOD('🌱 Configuração'!$B$51+17-'🌱 Configuração'!$D$51,7)=0),"🌸 Bloom + PK + CalMag — EC 1.8",IF(AND('🌱 Configuração'!$B$51+17&gt;='🌱 Configuração'!$D$51,'🌱 Configuração'!$B$51+17&lt;'🌱 Configuração'!$E$51,INT(('🌱 Configuração'!$B$51+17-'🌱 Configuração'!$D$51)/7)+1=4,MOD('🌱 Configuração'!$B$51+17-'🌱 Configuração'!$D$51,7)=0),"🌸 Bloom + PK + Boost Floral — EC 2.0",IF(AND('🌱 Configuração'!$B$51+17&gt;='🌱 Configuração'!$D$51,'🌱 Configuração'!$B$51+17&lt;'🌱 Configuração'!$E$51,INT(('🌱 Configuração'!$B$51+17-'🌱 Configuração'!$D$51)/7)+1=5,MOD('🌱 Configuração'!$B$51+17-'🌱 Configuração'!$D$51,7)=0),"🌸 Bloom + Boost + Amino",IF(AND('🌱 Configuração'!$B$51+17&gt;='🌱 Configuração'!$D$51,'🌱 Configuração'!$B$51+17&lt;'🌱 Configuração'!$E$51,INT(('🌱 Configuração'!$B$51+17-'🌱 Configuração'!$D$51)/7)+1=6,MOD('🌱 Configuração'!$B$51+17-'🌱 Configuração'!$D$51,7)=0),"🌸 Bloom + Enzimas + Amino",IF(AND('🌱 Configuração'!$B$51+17&gt;='🌱 Configuração'!$D$51,'🌱 Configuração'!$B$51+17&lt;'🌱 Configuração'!$E$51,INT(('🌱 Configuração'!$B$51+17-'🌱 Configuração'!$D$51)/7)+1=7,MOD('🌱 Configuração'!$B$51+17-'🌱 Configuração'!$D$51,7)=0),"🌸 Reduzir N — Bloom puro — EC 1.6",IF(AND('🌱 Configuração'!$B$51+17&gt;='🌱 Configuração'!$D$51,'🌱 Configuração'!$B$51+17&lt;'🌱 Configuração'!$E$51,INT(('🌱 Configuração'!$B$51+17-'🌱 Configuração'!$D$51)/7)+1=8,MOD('🌱 Configuração'!$B$51+17-'🌱 Configuração'!$D$51,7)=0),"🌸 Bloom puro — EC 1.4  (pré-flush)",IF(AND('🌱 Configuração'!$B$51+17&gt;='🌱 Configuração'!$D$51,'🌱 Configuração'!$B$51+17&lt;'🌱 Configuração'!$E$51,INT(('🌱 Configuração'!$B$51+17-'🌱 Configuração'!$D$51)/7)+1=9,MOD('🌱 Configuração'!$B$51+17-'🌱 Configuração'!$D$51,7)=0),"🌸 Último Bloom — EC 0.8",IF(AND('🌱 Configuração'!$B$51+17&gt;='🌱 Configuração'!$E$51,INT(('🌱 Configuração'!$B$51+17-'🌱 Configuração'!$E$51)/7)+1=1,MOD('🌱 Configuração'!$B$51+17-'🌱 Configuração'!$E$51,7)=0),"🚿 Água pura + Enzimas (EC &lt; 0.3)",IF(AND('🌱 Configuração'!$B$51+17&gt;='🌱 Configuração'!$E$51,INT(('🌱 Configuração'!$B$51+17-'🌱 Configuração'!$E$51)/7)+1=2,MOD('🌱 Configuração'!$B$51+17-'🌱 Configuração'!$E$51,7)=0),"🚿 Água pura (EC &lt; 0.2)",""))))))))))))))))))))))</f>
        <v/>
      </c>
      <c r="G23" s="30" t="str">
        <f>IF(18&gt;'🌱 Configuração'!$F$50,"",IF(AND('🌱 Configuração'!$B$51+17&lt;'🌱 Configuração'!$C$51,INT((18-1)/7)+1=1,MOD(18-1,7)=0),"🐛 Nim 2mL/L foliar — preventivo",IF(AND('🌱 Configuração'!$B$51+17&lt;'🌱 Configuração'!$C$51,INT((18-1)/7)+1=2,MOD(18-1,7)=0),"🐛 Beauveria bassiana foliar + solo",IF(AND('🌱 Configuração'!$B$51+17&gt;='🌱 Configuração'!$C$51,'🌱 Configuração'!$B$51+17&lt;'🌱 Configuração'!$D$51,INT(('🌱 Configuração'!$B$51+17-'🌱 Configuração'!$C$51)/7)+1=1,MOD('🌱 Configuração'!$B$51+17-'🌱 Configuração'!$C$51,7)=0),"🐛 Nim 2mL/L foliar",IF(AND('🌱 Configuração'!$B$51+17&gt;='🌱 Configuração'!$C$51,'🌱 Configuração'!$B$51+17&lt;'🌱 Configuração'!$D$51,INT(('🌱 Configuração'!$B$51+17-'🌱 Configuração'!$C$51)/7)+1=2,MOD('🌱 Configuração'!$B$51+17-'🌱 Configuração'!$C$51,7)=0),"🐛 Beauveria bassiana foliar",IF(AND('🌱 Configuração'!$B$51+17&gt;='🌱 Configuração'!$C$51,'🌱 Configuração'!$B$51+17&lt;'🌱 Configuração'!$D$51,INT(('🌱 Configuração'!$B$51+17-'🌱 Configuração'!$C$51)/7)+1=3,MOD('🌱 Configuração'!$B$51+17-'🌱 Configuração'!$C$51,7)=0),"🐛 Nim + Calda Sulfocálcica 1%",IF(AND('🌱 Configuração'!$B$51+17&gt;='🌱 Configuração'!$C$51,'🌱 Configuração'!$B$51+17&lt;'🌱 Configuração'!$D$51,INT(('🌱 Configuração'!$B$51+17-'🌱 Configuração'!$C$51)/7)+1=4,MOD('🌱 Configuração'!$B$51+17-'🌱 Configuração'!$C$51,7)=0),"🐛 Trichoderma solo + Beauveria",IF(AND('🌱 Configuração'!$B$51+17&gt;='🌱 Configuração'!$C$51,'🌱 Configuração'!$B$51+17&lt;'🌱 Configuração'!$D$51,INT(('🌱 Configuração'!$B$51+17-'🌱 Configuração'!$C$51)/7)+1=5,MOD('🌱 Configuração'!$B$51+17-'🌱 Configuração'!$C$51,7)=0),"🐛 Calda Bordalesa 0.5% foliar",IF(AND('🌱 Configuração'!$B$51+17&gt;='🌱 Configuração'!$C$51,'🌱 Configuração'!$B$51+17&lt;'🌱 Configuração'!$D$51,INT(('🌱 Configuração'!$B$51+17-'🌱 Configuração'!$C$51)/7)+1=6,MOD('🌱 Configuração'!$B$51+17-'🌱 Configuração'!$C$51,7)=0),"🐛 Nim 2mL/L — ÚLTIMA foliar",IF(AND('🌱 Configuração'!$B$51+17&gt;='🌱 Configuração'!$D$51,'🌱 Configuração'!$B$51+17&lt;'🌱 Configuração'!$E$51,INT(('🌱 Configuração'!$B$51+17-'🌱 Configuração'!$D$51)/7)+1=1,MOD('🌱 Configuração'!$B$51+17-'🌱 Configuração'!$D$51,7)=0),"🐛 Beauveria bassiana solo (sem foliar)",IF(AND('🌱 Configuração'!$B$51+17&gt;='🌱 Configuração'!$D$51,'🌱 Configuração'!$B$51+17&lt;'🌱 Configuração'!$E$51,INT(('🌱 Configuração'!$B$51+17-'🌱 Configuração'!$D$51)/7)+1=2,MOD('🌱 Configuração'!$B$51+17-'🌱 Configuração'!$D$51,7)=0),"🐛 Trichoderma solo",IF(AND('🌱 Configuração'!$B$51+17&gt;='🌱 Configuração'!$D$51,'🌱 Configuração'!$B$51+17&lt;'🌱 Configuração'!$E$51,INT(('🌱 Configuração'!$B$51+17-'🌱 Configuração'!$D$51)/7)+1=3,MOD('🌱 Configuração'!$B$51+17-'🌱 Configuração'!$D$51,7)=0),"🐛 Beauveria bassiana solo",IF(AND('🌱 Configuração'!$B$51+17&gt;='🌱 Configuração'!$D$51,'🌱 Configuração'!$B$51+17&lt;'🌱 Configuração'!$E$51,INT(('🌱 Configuração'!$B$51+17-'🌱 Configuração'!$D$51)/7)+1=4,MOD('🌱 Configuração'!$B$51+17-'🌱 Configuração'!$D$51,7)=0),"🐛 Trichoderma solo",IF(AND('🌱 Configuração'!$B$51+17&gt;='🌱 Configuração'!$E$51,INT(('🌱 Configuração'!$B$51+17-'🌱 Configuração'!$E$51)/7)+1=1,MOD('🌱 Configuração'!$B$51+17-'🌱 Configuração'!$E$51,7)=0),"🐛 Inspeção final — sem aplicação",""))))))))))))))</f>
        <v/>
      </c>
      <c r="H23" s="22" t="str">
        <f>IF(18&gt;'🌱 Configuração'!$F$50,"",IF('🌱 Configuração'!$B$51+17='🌱 Configuração'!$C$51,"🌿 INÍCIO VEGA — ajustar espaço, luz 18h/dia — EC 0.8",IF('🌱 Configuração'!$B$51+17='🌱 Configuração'!$D$51,"🌸 INÍCIO FLORAÇÃO — mudar para 12h/12h — 🔴 atenção ao fotoperíodo",IF('🌱 Configuração'!$B$51+17='🌱 Configuração'!$E$51,"🚿 INÍCIO FLUSH — PARAR nutrição, somente água pura",IF('🌱 Configuração'!$B$51+17='🌱 Configuração'!$F$51-1,"🔬 Véspera da colheita — analisar tricomas âmbar",IF('🌱 Configuração'!$B$51+17='🌱 Configuração'!$F$51,"✂️ COLHEITA! Parabéns! 🎉",""))))))</f>
        <v/>
      </c>
    </row>
    <row r="24" spans="2:8" ht="18.75" customHeight="1" x14ac:dyDescent="0.3">
      <c r="B24" s="25">
        <f>IF(19&lt;='🌱 Configuração'!$F$50,19,"")</f>
        <v>19</v>
      </c>
      <c r="C24" s="26">
        <f>IF(19&lt;='🌱 Configuração'!$F$50,'🌱 Configuração'!$B$51+18,"")</f>
        <v>46041</v>
      </c>
      <c r="D24" s="27" t="str">
        <f>IF(19&gt;'🌱 Configuração'!$F$50,"",IF('🌱 Configuração'!$B$51+18&lt;'🌱 Configuração'!$C$51,"🌱 Clone",IF('🌱 Configuração'!$B$51+18&lt;'🌱 Configuração'!$D$51,"🌿 Vegetativo",IF('🌱 Configuração'!$B$51+18&lt;'🌱 Configuração'!$E$51,"🌸 Floração","🚿 Flush"))))</f>
        <v>🌿 Vegetativo</v>
      </c>
      <c r="E24" s="28" t="str">
        <f>IF(19&gt;'🌱 Configuração'!$F$50,"",IF('🌱 Configuração'!$B$51+18&lt;'🌱 Configuração'!$C$51,"Clone S"&amp;INT((19-1)/7)+1,IF('🌱 Configuração'!$B$51+18&lt;'🌱 Configuração'!$D$51,"Vega S"&amp;INT(('🌱 Configuração'!$B$51+18-'🌱 Configuração'!$C$51)/7)+1,IF('🌱 Configuração'!$B$51+18&lt;'🌱 Configuração'!$E$51,"Flora S"&amp;INT(('🌱 Configuração'!$B$51+18-'🌱 Configuração'!$D$51)/7)+1,"Flush S"&amp;INT(('🌱 Configuração'!$B$51+18-'🌱 Configuração'!$E$51)/7)+1))))</f>
        <v>Vega S1</v>
      </c>
      <c r="F24" s="29" t="str">
        <f>IF(19&gt;'🌱 Configuração'!$F$50,"",IF(AND('🌱 Configuração'!$B$51+18&lt;'🌱 Configuração'!$C$51,INT((19-1)/7)+1=1,MOD(19-1,7)=0),"🌱 Enraizador (0.5 mL/L)",IF(AND('🌱 Configuração'!$B$51+18&lt;'🌱 Configuração'!$C$51,INT((19-1)/7)+1=2,MOD(19-1,7)=0),"🌱 Enraizador + Vitamina B1",IF(AND('🌱 Configuração'!$B$51+18&gt;='🌱 Configuração'!$C$51,'🌱 Configuração'!$B$51+18&lt;'🌱 Configuração'!$D$51,INT(('🌱 Configuração'!$B$51+18-'🌱 Configuração'!$C$51)/7)+1=1,MOD('🌱 Configuração'!$B$51+18-'🌱 Configuração'!$C$51,7)=0),"🌿 Grow A+B início — EC 0.8",IF(AND('🌱 Configuração'!$B$51+18&gt;='🌱 Configuração'!$C$51,'🌱 Configuração'!$B$51+18&lt;'🌱 Configuração'!$D$51,INT(('🌱 Configuração'!$B$51+18-'🌱 Configuração'!$C$51)/7)+1=2,MOD('🌱 Configuração'!$B$51+18-'🌱 Configuração'!$C$51,7)=0),"🌿 Grow A+B + CalMag — EC 1.0",IF(AND('🌱 Configuração'!$B$51+18&gt;='🌱 Configuração'!$C$51,'🌱 Configuração'!$B$51+18&lt;'🌱 Configuração'!$D$51,INT(('🌱 Configuração'!$B$51+18-'🌱 Configuração'!$C$51)/7)+1=3,MOD('🌱 Configuração'!$B$51+18-'🌱 Configuração'!$C$51,7)=0),"🌿 Grow A+B + CalMag — EC 1.2",IF(AND('🌱 Configuração'!$B$51+18&gt;='🌱 Configuração'!$C$51,'🌱 Configuração'!$B$51+18&lt;'🌱 Configuração'!$D$51,INT(('🌱 Configuração'!$B$51+18-'🌱 Configuração'!$C$51)/7)+1=4,MOD('🌱 Configuração'!$B$51+18-'🌱 Configuração'!$C$51,7)=0),"🌿 Grow A+B + Enzimas — EC 1.4",IF(AND('🌱 Configuração'!$B$51+18&gt;='🌱 Configuração'!$C$51,'🌱 Configuração'!$B$51+18&lt;'🌱 Configuração'!$D$51,INT(('🌱 Configuração'!$B$51+18-'🌱 Configuração'!$C$51)/7)+1=5,MOD('🌱 Configuração'!$B$51+18-'🌱 Configuração'!$C$51,7)=0),"🌿 Grow A+B + Biorrizas — EC 1.5",IF(AND('🌱 Configuração'!$B$51+18&gt;='🌱 Configuração'!$C$51,'🌱 Configuração'!$B$51+18&lt;'🌱 Configuração'!$D$51,INT(('🌱 Configuração'!$B$51+18-'🌱 Configuração'!$C$51)/7)+1=6,MOD('🌱 Configuração'!$B$51+18-'🌱 Configuração'!$C$51,7)=0),"🌿 Transição Bloom — EC 1.4",IF(AND('🌱 Configuração'!$B$51+18&gt;='🌱 Configuração'!$C$51,'🌱 Configuração'!$B$51+18&lt;'🌱 Configuração'!$D$51,INT(('🌱 Configuração'!$B$51+18-'🌱 Configuração'!$C$51)/7)+1=7,MOD('🌱 Configuração'!$B$51+18-'🌱 Configuração'!$C$51,7)=0),"🌿 Bloom A+B transição — EC 1.4",IF(AND('🌱 Configuração'!$B$51+18&gt;='🌱 Configuração'!$C$51,'🌱 Configuração'!$B$51+18&lt;'🌱 Configuração'!$D$51,INT(('🌱 Configuração'!$B$51+18-'🌱 Configuração'!$C$51)/7)+1=8,MOD('🌱 Configuração'!$B$51+18-'🌱 Configuração'!$C$51,7)=0),"🌿 Bloom A+B — EC 1.4",IF(AND('🌱 Configuração'!$B$51+18&gt;='🌱 Configuração'!$D$51,'🌱 Configuração'!$B$51+18&lt;'🌱 Configuração'!$E$51,INT(('🌱 Configuração'!$B$51+18-'🌱 Configuração'!$D$51)/7)+1=1,MOD('🌱 Configuração'!$B$51+18-'🌱 Configuração'!$D$51,7)=0),"🌸 Bloom A+B — EC 1.6",IF(AND('🌱 Configuração'!$B$51+18&gt;='🌱 Configuração'!$D$51,'🌱 Configuração'!$B$51+18&lt;'🌱 Configuração'!$E$51,INT(('🌱 Configuração'!$B$51+18-'🌱 Configuração'!$D$51)/7)+1=2,MOD('🌱 Configuração'!$B$51+18-'🌱 Configuração'!$D$51,7)=0),"🌸 Bloom + PK 13/14 início",IF(AND('🌱 Configuração'!$B$51+18&gt;='🌱 Configuração'!$D$51,'🌱 Configuração'!$B$51+18&lt;'🌱 Configuração'!$E$51,INT(('🌱 Configuração'!$B$51+18-'🌱 Configuração'!$D$51)/7)+1=3,MOD('🌱 Configuração'!$B$51+18-'🌱 Configuração'!$D$51,7)=0),"🌸 Bloom + PK + CalMag — EC 1.8",IF(AND('🌱 Configuração'!$B$51+18&gt;='🌱 Configuração'!$D$51,'🌱 Configuração'!$B$51+18&lt;'🌱 Configuração'!$E$51,INT(('🌱 Configuração'!$B$51+18-'🌱 Configuração'!$D$51)/7)+1=4,MOD('🌱 Configuração'!$B$51+18-'🌱 Configuração'!$D$51,7)=0),"🌸 Bloom + PK + Boost Floral — EC 2.0",IF(AND('🌱 Configuração'!$B$51+18&gt;='🌱 Configuração'!$D$51,'🌱 Configuração'!$B$51+18&lt;'🌱 Configuração'!$E$51,INT(('🌱 Configuração'!$B$51+18-'🌱 Configuração'!$D$51)/7)+1=5,MOD('🌱 Configuração'!$B$51+18-'🌱 Configuração'!$D$51,7)=0),"🌸 Bloom + Boost + Amino",IF(AND('🌱 Configuração'!$B$51+18&gt;='🌱 Configuração'!$D$51,'🌱 Configuração'!$B$51+18&lt;'🌱 Configuração'!$E$51,INT(('🌱 Configuração'!$B$51+18-'🌱 Configuração'!$D$51)/7)+1=6,MOD('🌱 Configuração'!$B$51+18-'🌱 Configuração'!$D$51,7)=0),"🌸 Bloom + Enzimas + Amino",IF(AND('🌱 Configuração'!$B$51+18&gt;='🌱 Configuração'!$D$51,'🌱 Configuração'!$B$51+18&lt;'🌱 Configuração'!$E$51,INT(('🌱 Configuração'!$B$51+18-'🌱 Configuração'!$D$51)/7)+1=7,MOD('🌱 Configuração'!$B$51+18-'🌱 Configuração'!$D$51,7)=0),"🌸 Reduzir N — Bloom puro — EC 1.6",IF(AND('🌱 Configuração'!$B$51+18&gt;='🌱 Configuração'!$D$51,'🌱 Configuração'!$B$51+18&lt;'🌱 Configuração'!$E$51,INT(('🌱 Configuração'!$B$51+18-'🌱 Configuração'!$D$51)/7)+1=8,MOD('🌱 Configuração'!$B$51+18-'🌱 Configuração'!$D$51,7)=0),"🌸 Bloom puro — EC 1.4  (pré-flush)",IF(AND('🌱 Configuração'!$B$51+18&gt;='🌱 Configuração'!$D$51,'🌱 Configuração'!$B$51+18&lt;'🌱 Configuração'!$E$51,INT(('🌱 Configuração'!$B$51+18-'🌱 Configuração'!$D$51)/7)+1=9,MOD('🌱 Configuração'!$B$51+18-'🌱 Configuração'!$D$51,7)=0),"🌸 Último Bloom — EC 0.8",IF(AND('🌱 Configuração'!$B$51+18&gt;='🌱 Configuração'!$E$51,INT(('🌱 Configuração'!$B$51+18-'🌱 Configuração'!$E$51)/7)+1=1,MOD('🌱 Configuração'!$B$51+18-'🌱 Configuração'!$E$51,7)=0),"🚿 Água pura + Enzimas (EC &lt; 0.3)",IF(AND('🌱 Configuração'!$B$51+18&gt;='🌱 Configuração'!$E$51,INT(('🌱 Configuração'!$B$51+18-'🌱 Configuração'!$E$51)/7)+1=2,MOD('🌱 Configuração'!$B$51+18-'🌱 Configuração'!$E$51,7)=0),"🚿 Água pura (EC &lt; 0.2)",""))))))))))))))))))))))</f>
        <v/>
      </c>
      <c r="G24" s="30" t="str">
        <f>IF(19&gt;'🌱 Configuração'!$F$50,"",IF(AND('🌱 Configuração'!$B$51+18&lt;'🌱 Configuração'!$C$51,INT((19-1)/7)+1=1,MOD(19-1,7)=0),"🐛 Nim 2mL/L foliar — preventivo",IF(AND('🌱 Configuração'!$B$51+18&lt;'🌱 Configuração'!$C$51,INT((19-1)/7)+1=2,MOD(19-1,7)=0),"🐛 Beauveria bassiana foliar + solo",IF(AND('🌱 Configuração'!$B$51+18&gt;='🌱 Configuração'!$C$51,'🌱 Configuração'!$B$51+18&lt;'🌱 Configuração'!$D$51,INT(('🌱 Configuração'!$B$51+18-'🌱 Configuração'!$C$51)/7)+1=1,MOD('🌱 Configuração'!$B$51+18-'🌱 Configuração'!$C$51,7)=0),"🐛 Nim 2mL/L foliar",IF(AND('🌱 Configuração'!$B$51+18&gt;='🌱 Configuração'!$C$51,'🌱 Configuração'!$B$51+18&lt;'🌱 Configuração'!$D$51,INT(('🌱 Configuração'!$B$51+18-'🌱 Configuração'!$C$51)/7)+1=2,MOD('🌱 Configuração'!$B$51+18-'🌱 Configuração'!$C$51,7)=0),"🐛 Beauveria bassiana foliar",IF(AND('🌱 Configuração'!$B$51+18&gt;='🌱 Configuração'!$C$51,'🌱 Configuração'!$B$51+18&lt;'🌱 Configuração'!$D$51,INT(('🌱 Configuração'!$B$51+18-'🌱 Configuração'!$C$51)/7)+1=3,MOD('🌱 Configuração'!$B$51+18-'🌱 Configuração'!$C$51,7)=0),"🐛 Nim + Calda Sulfocálcica 1%",IF(AND('🌱 Configuração'!$B$51+18&gt;='🌱 Configuração'!$C$51,'🌱 Configuração'!$B$51+18&lt;'🌱 Configuração'!$D$51,INT(('🌱 Configuração'!$B$51+18-'🌱 Configuração'!$C$51)/7)+1=4,MOD('🌱 Configuração'!$B$51+18-'🌱 Configuração'!$C$51,7)=0),"🐛 Trichoderma solo + Beauveria",IF(AND('🌱 Configuração'!$B$51+18&gt;='🌱 Configuração'!$C$51,'🌱 Configuração'!$B$51+18&lt;'🌱 Configuração'!$D$51,INT(('🌱 Configuração'!$B$51+18-'🌱 Configuração'!$C$51)/7)+1=5,MOD('🌱 Configuração'!$B$51+18-'🌱 Configuração'!$C$51,7)=0),"🐛 Calda Bordalesa 0.5% foliar",IF(AND('🌱 Configuração'!$B$51+18&gt;='🌱 Configuração'!$C$51,'🌱 Configuração'!$B$51+18&lt;'🌱 Configuração'!$D$51,INT(('🌱 Configuração'!$B$51+18-'🌱 Configuração'!$C$51)/7)+1=6,MOD('🌱 Configuração'!$B$51+18-'🌱 Configuração'!$C$51,7)=0),"🐛 Nim 2mL/L — ÚLTIMA foliar",IF(AND('🌱 Configuração'!$B$51+18&gt;='🌱 Configuração'!$D$51,'🌱 Configuração'!$B$51+18&lt;'🌱 Configuração'!$E$51,INT(('🌱 Configuração'!$B$51+18-'🌱 Configuração'!$D$51)/7)+1=1,MOD('🌱 Configuração'!$B$51+18-'🌱 Configuração'!$D$51,7)=0),"🐛 Beauveria bassiana solo (sem foliar)",IF(AND('🌱 Configuração'!$B$51+18&gt;='🌱 Configuração'!$D$51,'🌱 Configuração'!$B$51+18&lt;'🌱 Configuração'!$E$51,INT(('🌱 Configuração'!$B$51+18-'🌱 Configuração'!$D$51)/7)+1=2,MOD('🌱 Configuração'!$B$51+18-'🌱 Configuração'!$D$51,7)=0),"🐛 Trichoderma solo",IF(AND('🌱 Configuração'!$B$51+18&gt;='🌱 Configuração'!$D$51,'🌱 Configuração'!$B$51+18&lt;'🌱 Configuração'!$E$51,INT(('🌱 Configuração'!$B$51+18-'🌱 Configuração'!$D$51)/7)+1=3,MOD('🌱 Configuração'!$B$51+18-'🌱 Configuração'!$D$51,7)=0),"🐛 Beauveria bassiana solo",IF(AND('🌱 Configuração'!$B$51+18&gt;='🌱 Configuração'!$D$51,'🌱 Configuração'!$B$51+18&lt;'🌱 Configuração'!$E$51,INT(('🌱 Configuração'!$B$51+18-'🌱 Configuração'!$D$51)/7)+1=4,MOD('🌱 Configuração'!$B$51+18-'🌱 Configuração'!$D$51,7)=0),"🐛 Trichoderma solo",IF(AND('🌱 Configuração'!$B$51+18&gt;='🌱 Configuração'!$E$51,INT(('🌱 Configuração'!$B$51+18-'🌱 Configuração'!$E$51)/7)+1=1,MOD('🌱 Configuração'!$B$51+18-'🌱 Configuração'!$E$51,7)=0),"🐛 Inspeção final — sem aplicação",""))))))))))))))</f>
        <v/>
      </c>
      <c r="H24" s="22" t="str">
        <f>IF(19&gt;'🌱 Configuração'!$F$50,"",IF('🌱 Configuração'!$B$51+18='🌱 Configuração'!$C$51,"🌿 INÍCIO VEGA — ajustar espaço, luz 18h/dia — EC 0.8",IF('🌱 Configuração'!$B$51+18='🌱 Configuração'!$D$51,"🌸 INÍCIO FLORAÇÃO — mudar para 12h/12h — 🔴 atenção ao fotoperíodo",IF('🌱 Configuração'!$B$51+18='🌱 Configuração'!$E$51,"🚿 INÍCIO FLUSH — PARAR nutrição, somente água pura",IF('🌱 Configuração'!$B$51+18='🌱 Configuração'!$F$51-1,"🔬 Véspera da colheita — analisar tricomas âmbar",IF('🌱 Configuração'!$B$51+18='🌱 Configuração'!$F$51,"✂️ COLHEITA! Parabéns! 🎉",""))))))</f>
        <v/>
      </c>
    </row>
    <row r="25" spans="2:8" ht="18.75" customHeight="1" x14ac:dyDescent="0.3">
      <c r="B25" s="25">
        <f>IF(20&lt;='🌱 Configuração'!$F$50,20,"")</f>
        <v>20</v>
      </c>
      <c r="C25" s="26">
        <f>IF(20&lt;='🌱 Configuração'!$F$50,'🌱 Configuração'!$B$51+19,"")</f>
        <v>46042</v>
      </c>
      <c r="D25" s="27" t="str">
        <f>IF(20&gt;'🌱 Configuração'!$F$50,"",IF('🌱 Configuração'!$B$51+19&lt;'🌱 Configuração'!$C$51,"🌱 Clone",IF('🌱 Configuração'!$B$51+19&lt;'🌱 Configuração'!$D$51,"🌿 Vegetativo",IF('🌱 Configuração'!$B$51+19&lt;'🌱 Configuração'!$E$51,"🌸 Floração","🚿 Flush"))))</f>
        <v>🌿 Vegetativo</v>
      </c>
      <c r="E25" s="28" t="str">
        <f>IF(20&gt;'🌱 Configuração'!$F$50,"",IF('🌱 Configuração'!$B$51+19&lt;'🌱 Configuração'!$C$51,"Clone S"&amp;INT((20-1)/7)+1,IF('🌱 Configuração'!$B$51+19&lt;'🌱 Configuração'!$D$51,"Vega S"&amp;INT(('🌱 Configuração'!$B$51+19-'🌱 Configuração'!$C$51)/7)+1,IF('🌱 Configuração'!$B$51+19&lt;'🌱 Configuração'!$E$51,"Flora S"&amp;INT(('🌱 Configuração'!$B$51+19-'🌱 Configuração'!$D$51)/7)+1,"Flush S"&amp;INT(('🌱 Configuração'!$B$51+19-'🌱 Configuração'!$E$51)/7)+1))))</f>
        <v>Vega S1</v>
      </c>
      <c r="F25" s="29" t="str">
        <f>IF(20&gt;'🌱 Configuração'!$F$50,"",IF(AND('🌱 Configuração'!$B$51+19&lt;'🌱 Configuração'!$C$51,INT((20-1)/7)+1=1,MOD(20-1,7)=0),"🌱 Enraizador (0.5 mL/L)",IF(AND('🌱 Configuração'!$B$51+19&lt;'🌱 Configuração'!$C$51,INT((20-1)/7)+1=2,MOD(20-1,7)=0),"🌱 Enraizador + Vitamina B1",IF(AND('🌱 Configuração'!$B$51+19&gt;='🌱 Configuração'!$C$51,'🌱 Configuração'!$B$51+19&lt;'🌱 Configuração'!$D$51,INT(('🌱 Configuração'!$B$51+19-'🌱 Configuração'!$C$51)/7)+1=1,MOD('🌱 Configuração'!$B$51+19-'🌱 Configuração'!$C$51,7)=0),"🌿 Grow A+B início — EC 0.8",IF(AND('🌱 Configuração'!$B$51+19&gt;='🌱 Configuração'!$C$51,'🌱 Configuração'!$B$51+19&lt;'🌱 Configuração'!$D$51,INT(('🌱 Configuração'!$B$51+19-'🌱 Configuração'!$C$51)/7)+1=2,MOD('🌱 Configuração'!$B$51+19-'🌱 Configuração'!$C$51,7)=0),"🌿 Grow A+B + CalMag — EC 1.0",IF(AND('🌱 Configuração'!$B$51+19&gt;='🌱 Configuração'!$C$51,'🌱 Configuração'!$B$51+19&lt;'🌱 Configuração'!$D$51,INT(('🌱 Configuração'!$B$51+19-'🌱 Configuração'!$C$51)/7)+1=3,MOD('🌱 Configuração'!$B$51+19-'🌱 Configuração'!$C$51,7)=0),"🌿 Grow A+B + CalMag — EC 1.2",IF(AND('🌱 Configuração'!$B$51+19&gt;='🌱 Configuração'!$C$51,'🌱 Configuração'!$B$51+19&lt;'🌱 Configuração'!$D$51,INT(('🌱 Configuração'!$B$51+19-'🌱 Configuração'!$C$51)/7)+1=4,MOD('🌱 Configuração'!$B$51+19-'🌱 Configuração'!$C$51,7)=0),"🌿 Grow A+B + Enzimas — EC 1.4",IF(AND('🌱 Configuração'!$B$51+19&gt;='🌱 Configuração'!$C$51,'🌱 Configuração'!$B$51+19&lt;'🌱 Configuração'!$D$51,INT(('🌱 Configuração'!$B$51+19-'🌱 Configuração'!$C$51)/7)+1=5,MOD('🌱 Configuração'!$B$51+19-'🌱 Configuração'!$C$51,7)=0),"🌿 Grow A+B + Biorrizas — EC 1.5",IF(AND('🌱 Configuração'!$B$51+19&gt;='🌱 Configuração'!$C$51,'🌱 Configuração'!$B$51+19&lt;'🌱 Configuração'!$D$51,INT(('🌱 Configuração'!$B$51+19-'🌱 Configuração'!$C$51)/7)+1=6,MOD('🌱 Configuração'!$B$51+19-'🌱 Configuração'!$C$51,7)=0),"🌿 Transição Bloom — EC 1.4",IF(AND('🌱 Configuração'!$B$51+19&gt;='🌱 Configuração'!$C$51,'🌱 Configuração'!$B$51+19&lt;'🌱 Configuração'!$D$51,INT(('🌱 Configuração'!$B$51+19-'🌱 Configuração'!$C$51)/7)+1=7,MOD('🌱 Configuração'!$B$51+19-'🌱 Configuração'!$C$51,7)=0),"🌿 Bloom A+B transição — EC 1.4",IF(AND('🌱 Configuração'!$B$51+19&gt;='🌱 Configuração'!$C$51,'🌱 Configuração'!$B$51+19&lt;'🌱 Configuração'!$D$51,INT(('🌱 Configuração'!$B$51+19-'🌱 Configuração'!$C$51)/7)+1=8,MOD('🌱 Configuração'!$B$51+19-'🌱 Configuração'!$C$51,7)=0),"🌿 Bloom A+B — EC 1.4",IF(AND('🌱 Configuração'!$B$51+19&gt;='🌱 Configuração'!$D$51,'🌱 Configuração'!$B$51+19&lt;'🌱 Configuração'!$E$51,INT(('🌱 Configuração'!$B$51+19-'🌱 Configuração'!$D$51)/7)+1=1,MOD('🌱 Configuração'!$B$51+19-'🌱 Configuração'!$D$51,7)=0),"🌸 Bloom A+B — EC 1.6",IF(AND('🌱 Configuração'!$B$51+19&gt;='🌱 Configuração'!$D$51,'🌱 Configuração'!$B$51+19&lt;'🌱 Configuração'!$E$51,INT(('🌱 Configuração'!$B$51+19-'🌱 Configuração'!$D$51)/7)+1=2,MOD('🌱 Configuração'!$B$51+19-'🌱 Configuração'!$D$51,7)=0),"🌸 Bloom + PK 13/14 início",IF(AND('🌱 Configuração'!$B$51+19&gt;='🌱 Configuração'!$D$51,'🌱 Configuração'!$B$51+19&lt;'🌱 Configuração'!$E$51,INT(('🌱 Configuração'!$B$51+19-'🌱 Configuração'!$D$51)/7)+1=3,MOD('🌱 Configuração'!$B$51+19-'🌱 Configuração'!$D$51,7)=0),"🌸 Bloom + PK + CalMag — EC 1.8",IF(AND('🌱 Configuração'!$B$51+19&gt;='🌱 Configuração'!$D$51,'🌱 Configuração'!$B$51+19&lt;'🌱 Configuração'!$E$51,INT(('🌱 Configuração'!$B$51+19-'🌱 Configuração'!$D$51)/7)+1=4,MOD('🌱 Configuração'!$B$51+19-'🌱 Configuração'!$D$51,7)=0),"🌸 Bloom + PK + Boost Floral — EC 2.0",IF(AND('🌱 Configuração'!$B$51+19&gt;='🌱 Configuração'!$D$51,'🌱 Configuração'!$B$51+19&lt;'🌱 Configuração'!$E$51,INT(('🌱 Configuração'!$B$51+19-'🌱 Configuração'!$D$51)/7)+1=5,MOD('🌱 Configuração'!$B$51+19-'🌱 Configuração'!$D$51,7)=0),"🌸 Bloom + Boost + Amino",IF(AND('🌱 Configuração'!$B$51+19&gt;='🌱 Configuração'!$D$51,'🌱 Configuração'!$B$51+19&lt;'🌱 Configuração'!$E$51,INT(('🌱 Configuração'!$B$51+19-'🌱 Configuração'!$D$51)/7)+1=6,MOD('🌱 Configuração'!$B$51+19-'🌱 Configuração'!$D$51,7)=0),"🌸 Bloom + Enzimas + Amino",IF(AND('🌱 Configuração'!$B$51+19&gt;='🌱 Configuração'!$D$51,'🌱 Configuração'!$B$51+19&lt;'🌱 Configuração'!$E$51,INT(('🌱 Configuração'!$B$51+19-'🌱 Configuração'!$D$51)/7)+1=7,MOD('🌱 Configuração'!$B$51+19-'🌱 Configuração'!$D$51,7)=0),"🌸 Reduzir N — Bloom puro — EC 1.6",IF(AND('🌱 Configuração'!$B$51+19&gt;='🌱 Configuração'!$D$51,'🌱 Configuração'!$B$51+19&lt;'🌱 Configuração'!$E$51,INT(('🌱 Configuração'!$B$51+19-'🌱 Configuração'!$D$51)/7)+1=8,MOD('🌱 Configuração'!$B$51+19-'🌱 Configuração'!$D$51,7)=0),"🌸 Bloom puro — EC 1.4  (pré-flush)",IF(AND('🌱 Configuração'!$B$51+19&gt;='🌱 Configuração'!$D$51,'🌱 Configuração'!$B$51+19&lt;'🌱 Configuração'!$E$51,INT(('🌱 Configuração'!$B$51+19-'🌱 Configuração'!$D$51)/7)+1=9,MOD('🌱 Configuração'!$B$51+19-'🌱 Configuração'!$D$51,7)=0),"🌸 Último Bloom — EC 0.8",IF(AND('🌱 Configuração'!$B$51+19&gt;='🌱 Configuração'!$E$51,INT(('🌱 Configuração'!$B$51+19-'🌱 Configuração'!$E$51)/7)+1=1,MOD('🌱 Configuração'!$B$51+19-'🌱 Configuração'!$E$51,7)=0),"🚿 Água pura + Enzimas (EC &lt; 0.3)",IF(AND('🌱 Configuração'!$B$51+19&gt;='🌱 Configuração'!$E$51,INT(('🌱 Configuração'!$B$51+19-'🌱 Configuração'!$E$51)/7)+1=2,MOD('🌱 Configuração'!$B$51+19-'🌱 Configuração'!$E$51,7)=0),"🚿 Água pura (EC &lt; 0.2)",""))))))))))))))))))))))</f>
        <v/>
      </c>
      <c r="G25" s="30" t="str">
        <f>IF(20&gt;'🌱 Configuração'!$F$50,"",IF(AND('🌱 Configuração'!$B$51+19&lt;'🌱 Configuração'!$C$51,INT((20-1)/7)+1=1,MOD(20-1,7)=0),"🐛 Nim 2mL/L foliar — preventivo",IF(AND('🌱 Configuração'!$B$51+19&lt;'🌱 Configuração'!$C$51,INT((20-1)/7)+1=2,MOD(20-1,7)=0),"🐛 Beauveria bassiana foliar + solo",IF(AND('🌱 Configuração'!$B$51+19&gt;='🌱 Configuração'!$C$51,'🌱 Configuração'!$B$51+19&lt;'🌱 Configuração'!$D$51,INT(('🌱 Configuração'!$B$51+19-'🌱 Configuração'!$C$51)/7)+1=1,MOD('🌱 Configuração'!$B$51+19-'🌱 Configuração'!$C$51,7)=0),"🐛 Nim 2mL/L foliar",IF(AND('🌱 Configuração'!$B$51+19&gt;='🌱 Configuração'!$C$51,'🌱 Configuração'!$B$51+19&lt;'🌱 Configuração'!$D$51,INT(('🌱 Configuração'!$B$51+19-'🌱 Configuração'!$C$51)/7)+1=2,MOD('🌱 Configuração'!$B$51+19-'🌱 Configuração'!$C$51,7)=0),"🐛 Beauveria bassiana foliar",IF(AND('🌱 Configuração'!$B$51+19&gt;='🌱 Configuração'!$C$51,'🌱 Configuração'!$B$51+19&lt;'🌱 Configuração'!$D$51,INT(('🌱 Configuração'!$B$51+19-'🌱 Configuração'!$C$51)/7)+1=3,MOD('🌱 Configuração'!$B$51+19-'🌱 Configuração'!$C$51,7)=0),"🐛 Nim + Calda Sulfocálcica 1%",IF(AND('🌱 Configuração'!$B$51+19&gt;='🌱 Configuração'!$C$51,'🌱 Configuração'!$B$51+19&lt;'🌱 Configuração'!$D$51,INT(('🌱 Configuração'!$B$51+19-'🌱 Configuração'!$C$51)/7)+1=4,MOD('🌱 Configuração'!$B$51+19-'🌱 Configuração'!$C$51,7)=0),"🐛 Trichoderma solo + Beauveria",IF(AND('🌱 Configuração'!$B$51+19&gt;='🌱 Configuração'!$C$51,'🌱 Configuração'!$B$51+19&lt;'🌱 Configuração'!$D$51,INT(('🌱 Configuração'!$B$51+19-'🌱 Configuração'!$C$51)/7)+1=5,MOD('🌱 Configuração'!$B$51+19-'🌱 Configuração'!$C$51,7)=0),"🐛 Calda Bordalesa 0.5% foliar",IF(AND('🌱 Configuração'!$B$51+19&gt;='🌱 Configuração'!$C$51,'🌱 Configuração'!$B$51+19&lt;'🌱 Configuração'!$D$51,INT(('🌱 Configuração'!$B$51+19-'🌱 Configuração'!$C$51)/7)+1=6,MOD('🌱 Configuração'!$B$51+19-'🌱 Configuração'!$C$51,7)=0),"🐛 Nim 2mL/L — ÚLTIMA foliar",IF(AND('🌱 Configuração'!$B$51+19&gt;='🌱 Configuração'!$D$51,'🌱 Configuração'!$B$51+19&lt;'🌱 Configuração'!$E$51,INT(('🌱 Configuração'!$B$51+19-'🌱 Configuração'!$D$51)/7)+1=1,MOD('🌱 Configuração'!$B$51+19-'🌱 Configuração'!$D$51,7)=0),"🐛 Beauveria bassiana solo (sem foliar)",IF(AND('🌱 Configuração'!$B$51+19&gt;='🌱 Configuração'!$D$51,'🌱 Configuração'!$B$51+19&lt;'🌱 Configuração'!$E$51,INT(('🌱 Configuração'!$B$51+19-'🌱 Configuração'!$D$51)/7)+1=2,MOD('🌱 Configuração'!$B$51+19-'🌱 Configuração'!$D$51,7)=0),"🐛 Trichoderma solo",IF(AND('🌱 Configuração'!$B$51+19&gt;='🌱 Configuração'!$D$51,'🌱 Configuração'!$B$51+19&lt;'🌱 Configuração'!$E$51,INT(('🌱 Configuração'!$B$51+19-'🌱 Configuração'!$D$51)/7)+1=3,MOD('🌱 Configuração'!$B$51+19-'🌱 Configuração'!$D$51,7)=0),"🐛 Beauveria bassiana solo",IF(AND('🌱 Configuração'!$B$51+19&gt;='🌱 Configuração'!$D$51,'🌱 Configuração'!$B$51+19&lt;'🌱 Configuração'!$E$51,INT(('🌱 Configuração'!$B$51+19-'🌱 Configuração'!$D$51)/7)+1=4,MOD('🌱 Configuração'!$B$51+19-'🌱 Configuração'!$D$51,7)=0),"🐛 Trichoderma solo",IF(AND('🌱 Configuração'!$B$51+19&gt;='🌱 Configuração'!$E$51,INT(('🌱 Configuração'!$B$51+19-'🌱 Configuração'!$E$51)/7)+1=1,MOD('🌱 Configuração'!$B$51+19-'🌱 Configuração'!$E$51,7)=0),"🐛 Inspeção final — sem aplicação",""))))))))))))))</f>
        <v/>
      </c>
      <c r="H25" s="22" t="str">
        <f>IF(20&gt;'🌱 Configuração'!$F$50,"",IF('🌱 Configuração'!$B$51+19='🌱 Configuração'!$C$51,"🌿 INÍCIO VEGA — ajustar espaço, luz 18h/dia — EC 0.8",IF('🌱 Configuração'!$B$51+19='🌱 Configuração'!$D$51,"🌸 INÍCIO FLORAÇÃO — mudar para 12h/12h — 🔴 atenção ao fotoperíodo",IF('🌱 Configuração'!$B$51+19='🌱 Configuração'!$E$51,"🚿 INÍCIO FLUSH — PARAR nutrição, somente água pura",IF('🌱 Configuração'!$B$51+19='🌱 Configuração'!$F$51-1,"🔬 Véspera da colheita — analisar tricomas âmbar",IF('🌱 Configuração'!$B$51+19='🌱 Configuração'!$F$51,"✂️ COLHEITA! Parabéns! 🎉",""))))))</f>
        <v/>
      </c>
    </row>
    <row r="26" spans="2:8" ht="18.75" customHeight="1" x14ac:dyDescent="0.3">
      <c r="B26" s="25">
        <f>IF(21&lt;='🌱 Configuração'!$F$50,21,"")</f>
        <v>21</v>
      </c>
      <c r="C26" s="26">
        <f>IF(21&lt;='🌱 Configuração'!$F$50,'🌱 Configuração'!$B$51+20,"")</f>
        <v>46043</v>
      </c>
      <c r="D26" s="27" t="str">
        <f>IF(21&gt;'🌱 Configuração'!$F$50,"",IF('🌱 Configuração'!$B$51+20&lt;'🌱 Configuração'!$C$51,"🌱 Clone",IF('🌱 Configuração'!$B$51+20&lt;'🌱 Configuração'!$D$51,"🌿 Vegetativo",IF('🌱 Configuração'!$B$51+20&lt;'🌱 Configuração'!$E$51,"🌸 Floração","🚿 Flush"))))</f>
        <v>🌿 Vegetativo</v>
      </c>
      <c r="E26" s="28" t="str">
        <f>IF(21&gt;'🌱 Configuração'!$F$50,"",IF('🌱 Configuração'!$B$51+20&lt;'🌱 Configuração'!$C$51,"Clone S"&amp;INT((21-1)/7)+1,IF('🌱 Configuração'!$B$51+20&lt;'🌱 Configuração'!$D$51,"Vega S"&amp;INT(('🌱 Configuração'!$B$51+20-'🌱 Configuração'!$C$51)/7)+1,IF('🌱 Configuração'!$B$51+20&lt;'🌱 Configuração'!$E$51,"Flora S"&amp;INT(('🌱 Configuração'!$B$51+20-'🌱 Configuração'!$D$51)/7)+1,"Flush S"&amp;INT(('🌱 Configuração'!$B$51+20-'🌱 Configuração'!$E$51)/7)+1))))</f>
        <v>Vega S1</v>
      </c>
      <c r="F26" s="29" t="str">
        <f>IF(21&gt;'🌱 Configuração'!$F$50,"",IF(AND('🌱 Configuração'!$B$51+20&lt;'🌱 Configuração'!$C$51,INT((21-1)/7)+1=1,MOD(21-1,7)=0),"🌱 Enraizador (0.5 mL/L)",IF(AND('🌱 Configuração'!$B$51+20&lt;'🌱 Configuração'!$C$51,INT((21-1)/7)+1=2,MOD(21-1,7)=0),"🌱 Enraizador + Vitamina B1",IF(AND('🌱 Configuração'!$B$51+20&gt;='🌱 Configuração'!$C$51,'🌱 Configuração'!$B$51+20&lt;'🌱 Configuração'!$D$51,INT(('🌱 Configuração'!$B$51+20-'🌱 Configuração'!$C$51)/7)+1=1,MOD('🌱 Configuração'!$B$51+20-'🌱 Configuração'!$C$51,7)=0),"🌿 Grow A+B início — EC 0.8",IF(AND('🌱 Configuração'!$B$51+20&gt;='🌱 Configuração'!$C$51,'🌱 Configuração'!$B$51+20&lt;'🌱 Configuração'!$D$51,INT(('🌱 Configuração'!$B$51+20-'🌱 Configuração'!$C$51)/7)+1=2,MOD('🌱 Configuração'!$B$51+20-'🌱 Configuração'!$C$51,7)=0),"🌿 Grow A+B + CalMag — EC 1.0",IF(AND('🌱 Configuração'!$B$51+20&gt;='🌱 Configuração'!$C$51,'🌱 Configuração'!$B$51+20&lt;'🌱 Configuração'!$D$51,INT(('🌱 Configuração'!$B$51+20-'🌱 Configuração'!$C$51)/7)+1=3,MOD('🌱 Configuração'!$B$51+20-'🌱 Configuração'!$C$51,7)=0),"🌿 Grow A+B + CalMag — EC 1.2",IF(AND('🌱 Configuração'!$B$51+20&gt;='🌱 Configuração'!$C$51,'🌱 Configuração'!$B$51+20&lt;'🌱 Configuração'!$D$51,INT(('🌱 Configuração'!$B$51+20-'🌱 Configuração'!$C$51)/7)+1=4,MOD('🌱 Configuração'!$B$51+20-'🌱 Configuração'!$C$51,7)=0),"🌿 Grow A+B + Enzimas — EC 1.4",IF(AND('🌱 Configuração'!$B$51+20&gt;='🌱 Configuração'!$C$51,'🌱 Configuração'!$B$51+20&lt;'🌱 Configuração'!$D$51,INT(('🌱 Configuração'!$B$51+20-'🌱 Configuração'!$C$51)/7)+1=5,MOD('🌱 Configuração'!$B$51+20-'🌱 Configuração'!$C$51,7)=0),"🌿 Grow A+B + Biorrizas — EC 1.5",IF(AND('🌱 Configuração'!$B$51+20&gt;='🌱 Configuração'!$C$51,'🌱 Configuração'!$B$51+20&lt;'🌱 Configuração'!$D$51,INT(('🌱 Configuração'!$B$51+20-'🌱 Configuração'!$C$51)/7)+1=6,MOD('🌱 Configuração'!$B$51+20-'🌱 Configuração'!$C$51,7)=0),"🌿 Transição Bloom — EC 1.4",IF(AND('🌱 Configuração'!$B$51+20&gt;='🌱 Configuração'!$C$51,'🌱 Configuração'!$B$51+20&lt;'🌱 Configuração'!$D$51,INT(('🌱 Configuração'!$B$51+20-'🌱 Configuração'!$C$51)/7)+1=7,MOD('🌱 Configuração'!$B$51+20-'🌱 Configuração'!$C$51,7)=0),"🌿 Bloom A+B transição — EC 1.4",IF(AND('🌱 Configuração'!$B$51+20&gt;='🌱 Configuração'!$C$51,'🌱 Configuração'!$B$51+20&lt;'🌱 Configuração'!$D$51,INT(('🌱 Configuração'!$B$51+20-'🌱 Configuração'!$C$51)/7)+1=8,MOD('🌱 Configuração'!$B$51+20-'🌱 Configuração'!$C$51,7)=0),"🌿 Bloom A+B — EC 1.4",IF(AND('🌱 Configuração'!$B$51+20&gt;='🌱 Configuração'!$D$51,'🌱 Configuração'!$B$51+20&lt;'🌱 Configuração'!$E$51,INT(('🌱 Configuração'!$B$51+20-'🌱 Configuração'!$D$51)/7)+1=1,MOD('🌱 Configuração'!$B$51+20-'🌱 Configuração'!$D$51,7)=0),"🌸 Bloom A+B — EC 1.6",IF(AND('🌱 Configuração'!$B$51+20&gt;='🌱 Configuração'!$D$51,'🌱 Configuração'!$B$51+20&lt;'🌱 Configuração'!$E$51,INT(('🌱 Configuração'!$B$51+20-'🌱 Configuração'!$D$51)/7)+1=2,MOD('🌱 Configuração'!$B$51+20-'🌱 Configuração'!$D$51,7)=0),"🌸 Bloom + PK 13/14 início",IF(AND('🌱 Configuração'!$B$51+20&gt;='🌱 Configuração'!$D$51,'🌱 Configuração'!$B$51+20&lt;'🌱 Configuração'!$E$51,INT(('🌱 Configuração'!$B$51+20-'🌱 Configuração'!$D$51)/7)+1=3,MOD('🌱 Configuração'!$B$51+20-'🌱 Configuração'!$D$51,7)=0),"🌸 Bloom + PK + CalMag — EC 1.8",IF(AND('🌱 Configuração'!$B$51+20&gt;='🌱 Configuração'!$D$51,'🌱 Configuração'!$B$51+20&lt;'🌱 Configuração'!$E$51,INT(('🌱 Configuração'!$B$51+20-'🌱 Configuração'!$D$51)/7)+1=4,MOD('🌱 Configuração'!$B$51+20-'🌱 Configuração'!$D$51,7)=0),"🌸 Bloom + PK + Boost Floral — EC 2.0",IF(AND('🌱 Configuração'!$B$51+20&gt;='🌱 Configuração'!$D$51,'🌱 Configuração'!$B$51+20&lt;'🌱 Configuração'!$E$51,INT(('🌱 Configuração'!$B$51+20-'🌱 Configuração'!$D$51)/7)+1=5,MOD('🌱 Configuração'!$B$51+20-'🌱 Configuração'!$D$51,7)=0),"🌸 Bloom + Boost + Amino",IF(AND('🌱 Configuração'!$B$51+20&gt;='🌱 Configuração'!$D$51,'🌱 Configuração'!$B$51+20&lt;'🌱 Configuração'!$E$51,INT(('🌱 Configuração'!$B$51+20-'🌱 Configuração'!$D$51)/7)+1=6,MOD('🌱 Configuração'!$B$51+20-'🌱 Configuração'!$D$51,7)=0),"🌸 Bloom + Enzimas + Amino",IF(AND('🌱 Configuração'!$B$51+20&gt;='🌱 Configuração'!$D$51,'🌱 Configuração'!$B$51+20&lt;'🌱 Configuração'!$E$51,INT(('🌱 Configuração'!$B$51+20-'🌱 Configuração'!$D$51)/7)+1=7,MOD('🌱 Configuração'!$B$51+20-'🌱 Configuração'!$D$51,7)=0),"🌸 Reduzir N — Bloom puro — EC 1.6",IF(AND('🌱 Configuração'!$B$51+20&gt;='🌱 Configuração'!$D$51,'🌱 Configuração'!$B$51+20&lt;'🌱 Configuração'!$E$51,INT(('🌱 Configuração'!$B$51+20-'🌱 Configuração'!$D$51)/7)+1=8,MOD('🌱 Configuração'!$B$51+20-'🌱 Configuração'!$D$51,7)=0),"🌸 Bloom puro — EC 1.4  (pré-flush)",IF(AND('🌱 Configuração'!$B$51+20&gt;='🌱 Configuração'!$D$51,'🌱 Configuração'!$B$51+20&lt;'🌱 Configuração'!$E$51,INT(('🌱 Configuração'!$B$51+20-'🌱 Configuração'!$D$51)/7)+1=9,MOD('🌱 Configuração'!$B$51+20-'🌱 Configuração'!$D$51,7)=0),"🌸 Último Bloom — EC 0.8",IF(AND('🌱 Configuração'!$B$51+20&gt;='🌱 Configuração'!$E$51,INT(('🌱 Configuração'!$B$51+20-'🌱 Configuração'!$E$51)/7)+1=1,MOD('🌱 Configuração'!$B$51+20-'🌱 Configuração'!$E$51,7)=0),"🚿 Água pura + Enzimas (EC &lt; 0.3)",IF(AND('🌱 Configuração'!$B$51+20&gt;='🌱 Configuração'!$E$51,INT(('🌱 Configuração'!$B$51+20-'🌱 Configuração'!$E$51)/7)+1=2,MOD('🌱 Configuração'!$B$51+20-'🌱 Configuração'!$E$51,7)=0),"🚿 Água pura (EC &lt; 0.2)",""))))))))))))))))))))))</f>
        <v/>
      </c>
      <c r="G26" s="30" t="str">
        <f>IF(21&gt;'🌱 Configuração'!$F$50,"",IF(AND('🌱 Configuração'!$B$51+20&lt;'🌱 Configuração'!$C$51,INT((21-1)/7)+1=1,MOD(21-1,7)=0),"🐛 Nim 2mL/L foliar — preventivo",IF(AND('🌱 Configuração'!$B$51+20&lt;'🌱 Configuração'!$C$51,INT((21-1)/7)+1=2,MOD(21-1,7)=0),"🐛 Beauveria bassiana foliar + solo",IF(AND('🌱 Configuração'!$B$51+20&gt;='🌱 Configuração'!$C$51,'🌱 Configuração'!$B$51+20&lt;'🌱 Configuração'!$D$51,INT(('🌱 Configuração'!$B$51+20-'🌱 Configuração'!$C$51)/7)+1=1,MOD('🌱 Configuração'!$B$51+20-'🌱 Configuração'!$C$51,7)=0),"🐛 Nim 2mL/L foliar",IF(AND('🌱 Configuração'!$B$51+20&gt;='🌱 Configuração'!$C$51,'🌱 Configuração'!$B$51+20&lt;'🌱 Configuração'!$D$51,INT(('🌱 Configuração'!$B$51+20-'🌱 Configuração'!$C$51)/7)+1=2,MOD('🌱 Configuração'!$B$51+20-'🌱 Configuração'!$C$51,7)=0),"🐛 Beauveria bassiana foliar",IF(AND('🌱 Configuração'!$B$51+20&gt;='🌱 Configuração'!$C$51,'🌱 Configuração'!$B$51+20&lt;'🌱 Configuração'!$D$51,INT(('🌱 Configuração'!$B$51+20-'🌱 Configuração'!$C$51)/7)+1=3,MOD('🌱 Configuração'!$B$51+20-'🌱 Configuração'!$C$51,7)=0),"🐛 Nim + Calda Sulfocálcica 1%",IF(AND('🌱 Configuração'!$B$51+20&gt;='🌱 Configuração'!$C$51,'🌱 Configuração'!$B$51+20&lt;'🌱 Configuração'!$D$51,INT(('🌱 Configuração'!$B$51+20-'🌱 Configuração'!$C$51)/7)+1=4,MOD('🌱 Configuração'!$B$51+20-'🌱 Configuração'!$C$51,7)=0),"🐛 Trichoderma solo + Beauveria",IF(AND('🌱 Configuração'!$B$51+20&gt;='🌱 Configuração'!$C$51,'🌱 Configuração'!$B$51+20&lt;'🌱 Configuração'!$D$51,INT(('🌱 Configuração'!$B$51+20-'🌱 Configuração'!$C$51)/7)+1=5,MOD('🌱 Configuração'!$B$51+20-'🌱 Configuração'!$C$51,7)=0),"🐛 Calda Bordalesa 0.5% foliar",IF(AND('🌱 Configuração'!$B$51+20&gt;='🌱 Configuração'!$C$51,'🌱 Configuração'!$B$51+20&lt;'🌱 Configuração'!$D$51,INT(('🌱 Configuração'!$B$51+20-'🌱 Configuração'!$C$51)/7)+1=6,MOD('🌱 Configuração'!$B$51+20-'🌱 Configuração'!$C$51,7)=0),"🐛 Nim 2mL/L — ÚLTIMA foliar",IF(AND('🌱 Configuração'!$B$51+20&gt;='🌱 Configuração'!$D$51,'🌱 Configuração'!$B$51+20&lt;'🌱 Configuração'!$E$51,INT(('🌱 Configuração'!$B$51+20-'🌱 Configuração'!$D$51)/7)+1=1,MOD('🌱 Configuração'!$B$51+20-'🌱 Configuração'!$D$51,7)=0),"🐛 Beauveria bassiana solo (sem foliar)",IF(AND('🌱 Configuração'!$B$51+20&gt;='🌱 Configuração'!$D$51,'🌱 Configuração'!$B$51+20&lt;'🌱 Configuração'!$E$51,INT(('🌱 Configuração'!$B$51+20-'🌱 Configuração'!$D$51)/7)+1=2,MOD('🌱 Configuração'!$B$51+20-'🌱 Configuração'!$D$51,7)=0),"🐛 Trichoderma solo",IF(AND('🌱 Configuração'!$B$51+20&gt;='🌱 Configuração'!$D$51,'🌱 Configuração'!$B$51+20&lt;'🌱 Configuração'!$E$51,INT(('🌱 Configuração'!$B$51+20-'🌱 Configuração'!$D$51)/7)+1=3,MOD('🌱 Configuração'!$B$51+20-'🌱 Configuração'!$D$51,7)=0),"🐛 Beauveria bassiana solo",IF(AND('🌱 Configuração'!$B$51+20&gt;='🌱 Configuração'!$D$51,'🌱 Configuração'!$B$51+20&lt;'🌱 Configuração'!$E$51,INT(('🌱 Configuração'!$B$51+20-'🌱 Configuração'!$D$51)/7)+1=4,MOD('🌱 Configuração'!$B$51+20-'🌱 Configuração'!$D$51,7)=0),"🐛 Trichoderma solo",IF(AND('🌱 Configuração'!$B$51+20&gt;='🌱 Configuração'!$E$51,INT(('🌱 Configuração'!$B$51+20-'🌱 Configuração'!$E$51)/7)+1=1,MOD('🌱 Configuração'!$B$51+20-'🌱 Configuração'!$E$51,7)=0),"🐛 Inspeção final — sem aplicação",""))))))))))))))</f>
        <v/>
      </c>
      <c r="H26" s="22" t="str">
        <f>IF(21&gt;'🌱 Configuração'!$F$50,"",IF('🌱 Configuração'!$B$51+20='🌱 Configuração'!$C$51,"🌿 INÍCIO VEGA — ajustar espaço, luz 18h/dia — EC 0.8",IF('🌱 Configuração'!$B$51+20='🌱 Configuração'!$D$51,"🌸 INÍCIO FLORAÇÃO — mudar para 12h/12h — 🔴 atenção ao fotoperíodo",IF('🌱 Configuração'!$B$51+20='🌱 Configuração'!$E$51,"🚿 INÍCIO FLUSH — PARAR nutrição, somente água pura",IF('🌱 Configuração'!$B$51+20='🌱 Configuração'!$F$51-1,"🔬 Véspera da colheita — analisar tricomas âmbar",IF('🌱 Configuração'!$B$51+20='🌱 Configuração'!$F$51,"✂️ COLHEITA! Parabéns! 🎉",""))))))</f>
        <v/>
      </c>
    </row>
    <row r="27" spans="2:8" ht="18.75" customHeight="1" x14ac:dyDescent="0.3">
      <c r="B27" s="25">
        <f>IF(22&lt;='🌱 Configuração'!$F$50,22,"")</f>
        <v>22</v>
      </c>
      <c r="C27" s="26">
        <f>IF(22&lt;='🌱 Configuração'!$F$50,'🌱 Configuração'!$B$51+21,"")</f>
        <v>46044</v>
      </c>
      <c r="D27" s="27" t="str">
        <f>IF(22&gt;'🌱 Configuração'!$F$50,"",IF('🌱 Configuração'!$B$51+21&lt;'🌱 Configuração'!$C$51,"🌱 Clone",IF('🌱 Configuração'!$B$51+21&lt;'🌱 Configuração'!$D$51,"🌿 Vegetativo",IF('🌱 Configuração'!$B$51+21&lt;'🌱 Configuração'!$E$51,"🌸 Floração","🚿 Flush"))))</f>
        <v>🌿 Vegetativo</v>
      </c>
      <c r="E27" s="28" t="str">
        <f>IF(22&gt;'🌱 Configuração'!$F$50,"",IF('🌱 Configuração'!$B$51+21&lt;'🌱 Configuração'!$C$51,"Clone S"&amp;INT((22-1)/7)+1,IF('🌱 Configuração'!$B$51+21&lt;'🌱 Configuração'!$D$51,"Vega S"&amp;INT(('🌱 Configuração'!$B$51+21-'🌱 Configuração'!$C$51)/7)+1,IF('🌱 Configuração'!$B$51+21&lt;'🌱 Configuração'!$E$51,"Flora S"&amp;INT(('🌱 Configuração'!$B$51+21-'🌱 Configuração'!$D$51)/7)+1,"Flush S"&amp;INT(('🌱 Configuração'!$B$51+21-'🌱 Configuração'!$E$51)/7)+1))))</f>
        <v>Vega S2</v>
      </c>
      <c r="F27" s="29" t="str">
        <f>IF(22&gt;'🌱 Configuração'!$F$50,"",IF(AND('🌱 Configuração'!$B$51+21&lt;'🌱 Configuração'!$C$51,INT((22-1)/7)+1=1,MOD(22-1,7)=0),"🌱 Enraizador (0.5 mL/L)",IF(AND('🌱 Configuração'!$B$51+21&lt;'🌱 Configuração'!$C$51,INT((22-1)/7)+1=2,MOD(22-1,7)=0),"🌱 Enraizador + Vitamina B1",IF(AND('🌱 Configuração'!$B$51+21&gt;='🌱 Configuração'!$C$51,'🌱 Configuração'!$B$51+21&lt;'🌱 Configuração'!$D$51,INT(('🌱 Configuração'!$B$51+21-'🌱 Configuração'!$C$51)/7)+1=1,MOD('🌱 Configuração'!$B$51+21-'🌱 Configuração'!$C$51,7)=0),"🌿 Grow A+B início — EC 0.8",IF(AND('🌱 Configuração'!$B$51+21&gt;='🌱 Configuração'!$C$51,'🌱 Configuração'!$B$51+21&lt;'🌱 Configuração'!$D$51,INT(('🌱 Configuração'!$B$51+21-'🌱 Configuração'!$C$51)/7)+1=2,MOD('🌱 Configuração'!$B$51+21-'🌱 Configuração'!$C$51,7)=0),"🌿 Grow A+B + CalMag — EC 1.0",IF(AND('🌱 Configuração'!$B$51+21&gt;='🌱 Configuração'!$C$51,'🌱 Configuração'!$B$51+21&lt;'🌱 Configuração'!$D$51,INT(('🌱 Configuração'!$B$51+21-'🌱 Configuração'!$C$51)/7)+1=3,MOD('🌱 Configuração'!$B$51+21-'🌱 Configuração'!$C$51,7)=0),"🌿 Grow A+B + CalMag — EC 1.2",IF(AND('🌱 Configuração'!$B$51+21&gt;='🌱 Configuração'!$C$51,'🌱 Configuração'!$B$51+21&lt;'🌱 Configuração'!$D$51,INT(('🌱 Configuração'!$B$51+21-'🌱 Configuração'!$C$51)/7)+1=4,MOD('🌱 Configuração'!$B$51+21-'🌱 Configuração'!$C$51,7)=0),"🌿 Grow A+B + Enzimas — EC 1.4",IF(AND('🌱 Configuração'!$B$51+21&gt;='🌱 Configuração'!$C$51,'🌱 Configuração'!$B$51+21&lt;'🌱 Configuração'!$D$51,INT(('🌱 Configuração'!$B$51+21-'🌱 Configuração'!$C$51)/7)+1=5,MOD('🌱 Configuração'!$B$51+21-'🌱 Configuração'!$C$51,7)=0),"🌿 Grow A+B + Biorrizas — EC 1.5",IF(AND('🌱 Configuração'!$B$51+21&gt;='🌱 Configuração'!$C$51,'🌱 Configuração'!$B$51+21&lt;'🌱 Configuração'!$D$51,INT(('🌱 Configuração'!$B$51+21-'🌱 Configuração'!$C$51)/7)+1=6,MOD('🌱 Configuração'!$B$51+21-'🌱 Configuração'!$C$51,7)=0),"🌿 Transição Bloom — EC 1.4",IF(AND('🌱 Configuração'!$B$51+21&gt;='🌱 Configuração'!$C$51,'🌱 Configuração'!$B$51+21&lt;'🌱 Configuração'!$D$51,INT(('🌱 Configuração'!$B$51+21-'🌱 Configuração'!$C$51)/7)+1=7,MOD('🌱 Configuração'!$B$51+21-'🌱 Configuração'!$C$51,7)=0),"🌿 Bloom A+B transição — EC 1.4",IF(AND('🌱 Configuração'!$B$51+21&gt;='🌱 Configuração'!$C$51,'🌱 Configuração'!$B$51+21&lt;'🌱 Configuração'!$D$51,INT(('🌱 Configuração'!$B$51+21-'🌱 Configuração'!$C$51)/7)+1=8,MOD('🌱 Configuração'!$B$51+21-'🌱 Configuração'!$C$51,7)=0),"🌿 Bloom A+B — EC 1.4",IF(AND('🌱 Configuração'!$B$51+21&gt;='🌱 Configuração'!$D$51,'🌱 Configuração'!$B$51+21&lt;'🌱 Configuração'!$E$51,INT(('🌱 Configuração'!$B$51+21-'🌱 Configuração'!$D$51)/7)+1=1,MOD('🌱 Configuração'!$B$51+21-'🌱 Configuração'!$D$51,7)=0),"🌸 Bloom A+B — EC 1.6",IF(AND('🌱 Configuração'!$B$51+21&gt;='🌱 Configuração'!$D$51,'🌱 Configuração'!$B$51+21&lt;'🌱 Configuração'!$E$51,INT(('🌱 Configuração'!$B$51+21-'🌱 Configuração'!$D$51)/7)+1=2,MOD('🌱 Configuração'!$B$51+21-'🌱 Configuração'!$D$51,7)=0),"🌸 Bloom + PK 13/14 início",IF(AND('🌱 Configuração'!$B$51+21&gt;='🌱 Configuração'!$D$51,'🌱 Configuração'!$B$51+21&lt;'🌱 Configuração'!$E$51,INT(('🌱 Configuração'!$B$51+21-'🌱 Configuração'!$D$51)/7)+1=3,MOD('🌱 Configuração'!$B$51+21-'🌱 Configuração'!$D$51,7)=0),"🌸 Bloom + PK + CalMag — EC 1.8",IF(AND('🌱 Configuração'!$B$51+21&gt;='🌱 Configuração'!$D$51,'🌱 Configuração'!$B$51+21&lt;'🌱 Configuração'!$E$51,INT(('🌱 Configuração'!$B$51+21-'🌱 Configuração'!$D$51)/7)+1=4,MOD('🌱 Configuração'!$B$51+21-'🌱 Configuração'!$D$51,7)=0),"🌸 Bloom + PK + Boost Floral — EC 2.0",IF(AND('🌱 Configuração'!$B$51+21&gt;='🌱 Configuração'!$D$51,'🌱 Configuração'!$B$51+21&lt;'🌱 Configuração'!$E$51,INT(('🌱 Configuração'!$B$51+21-'🌱 Configuração'!$D$51)/7)+1=5,MOD('🌱 Configuração'!$B$51+21-'🌱 Configuração'!$D$51,7)=0),"🌸 Bloom + Boost + Amino",IF(AND('🌱 Configuração'!$B$51+21&gt;='🌱 Configuração'!$D$51,'🌱 Configuração'!$B$51+21&lt;'🌱 Configuração'!$E$51,INT(('🌱 Configuração'!$B$51+21-'🌱 Configuração'!$D$51)/7)+1=6,MOD('🌱 Configuração'!$B$51+21-'🌱 Configuração'!$D$51,7)=0),"🌸 Bloom + Enzimas + Amino",IF(AND('🌱 Configuração'!$B$51+21&gt;='🌱 Configuração'!$D$51,'🌱 Configuração'!$B$51+21&lt;'🌱 Configuração'!$E$51,INT(('🌱 Configuração'!$B$51+21-'🌱 Configuração'!$D$51)/7)+1=7,MOD('🌱 Configuração'!$B$51+21-'🌱 Configuração'!$D$51,7)=0),"🌸 Reduzir N — Bloom puro — EC 1.6",IF(AND('🌱 Configuração'!$B$51+21&gt;='🌱 Configuração'!$D$51,'🌱 Configuração'!$B$51+21&lt;'🌱 Configuração'!$E$51,INT(('🌱 Configuração'!$B$51+21-'🌱 Configuração'!$D$51)/7)+1=8,MOD('🌱 Configuração'!$B$51+21-'🌱 Configuração'!$D$51,7)=0),"🌸 Bloom puro — EC 1.4  (pré-flush)",IF(AND('🌱 Configuração'!$B$51+21&gt;='🌱 Configuração'!$D$51,'🌱 Configuração'!$B$51+21&lt;'🌱 Configuração'!$E$51,INT(('🌱 Configuração'!$B$51+21-'🌱 Configuração'!$D$51)/7)+1=9,MOD('🌱 Configuração'!$B$51+21-'🌱 Configuração'!$D$51,7)=0),"🌸 Último Bloom — EC 0.8",IF(AND('🌱 Configuração'!$B$51+21&gt;='🌱 Configuração'!$E$51,INT(('🌱 Configuração'!$B$51+21-'🌱 Configuração'!$E$51)/7)+1=1,MOD('🌱 Configuração'!$B$51+21-'🌱 Configuração'!$E$51,7)=0),"🚿 Água pura + Enzimas (EC &lt; 0.3)",IF(AND('🌱 Configuração'!$B$51+21&gt;='🌱 Configuração'!$E$51,INT(('🌱 Configuração'!$B$51+21-'🌱 Configuração'!$E$51)/7)+1=2,MOD('🌱 Configuração'!$B$51+21-'🌱 Configuração'!$E$51,7)=0),"🚿 Água pura (EC &lt; 0.2)",""))))))))))))))))))))))</f>
        <v>🌿 Grow A+B + CalMag — EC 1.0</v>
      </c>
      <c r="G27" s="30" t="str">
        <f>IF(22&gt;'🌱 Configuração'!$F$50,"",IF(AND('🌱 Configuração'!$B$51+21&lt;'🌱 Configuração'!$C$51,INT((22-1)/7)+1=1,MOD(22-1,7)=0),"🐛 Nim 2mL/L foliar — preventivo",IF(AND('🌱 Configuração'!$B$51+21&lt;'🌱 Configuração'!$C$51,INT((22-1)/7)+1=2,MOD(22-1,7)=0),"🐛 Beauveria bassiana foliar + solo",IF(AND('🌱 Configuração'!$B$51+21&gt;='🌱 Configuração'!$C$51,'🌱 Configuração'!$B$51+21&lt;'🌱 Configuração'!$D$51,INT(('🌱 Configuração'!$B$51+21-'🌱 Configuração'!$C$51)/7)+1=1,MOD('🌱 Configuração'!$B$51+21-'🌱 Configuração'!$C$51,7)=0),"🐛 Nim 2mL/L foliar",IF(AND('🌱 Configuração'!$B$51+21&gt;='🌱 Configuração'!$C$51,'🌱 Configuração'!$B$51+21&lt;'🌱 Configuração'!$D$51,INT(('🌱 Configuração'!$B$51+21-'🌱 Configuração'!$C$51)/7)+1=2,MOD('🌱 Configuração'!$B$51+21-'🌱 Configuração'!$C$51,7)=0),"🐛 Beauveria bassiana foliar",IF(AND('🌱 Configuração'!$B$51+21&gt;='🌱 Configuração'!$C$51,'🌱 Configuração'!$B$51+21&lt;'🌱 Configuração'!$D$51,INT(('🌱 Configuração'!$B$51+21-'🌱 Configuração'!$C$51)/7)+1=3,MOD('🌱 Configuração'!$B$51+21-'🌱 Configuração'!$C$51,7)=0),"🐛 Nim + Calda Sulfocálcica 1%",IF(AND('🌱 Configuração'!$B$51+21&gt;='🌱 Configuração'!$C$51,'🌱 Configuração'!$B$51+21&lt;'🌱 Configuração'!$D$51,INT(('🌱 Configuração'!$B$51+21-'🌱 Configuração'!$C$51)/7)+1=4,MOD('🌱 Configuração'!$B$51+21-'🌱 Configuração'!$C$51,7)=0),"🐛 Trichoderma solo + Beauveria",IF(AND('🌱 Configuração'!$B$51+21&gt;='🌱 Configuração'!$C$51,'🌱 Configuração'!$B$51+21&lt;'🌱 Configuração'!$D$51,INT(('🌱 Configuração'!$B$51+21-'🌱 Configuração'!$C$51)/7)+1=5,MOD('🌱 Configuração'!$B$51+21-'🌱 Configuração'!$C$51,7)=0),"🐛 Calda Bordalesa 0.5% foliar",IF(AND('🌱 Configuração'!$B$51+21&gt;='🌱 Configuração'!$C$51,'🌱 Configuração'!$B$51+21&lt;'🌱 Configuração'!$D$51,INT(('🌱 Configuração'!$B$51+21-'🌱 Configuração'!$C$51)/7)+1=6,MOD('🌱 Configuração'!$B$51+21-'🌱 Configuração'!$C$51,7)=0),"🐛 Nim 2mL/L — ÚLTIMA foliar",IF(AND('🌱 Configuração'!$B$51+21&gt;='🌱 Configuração'!$D$51,'🌱 Configuração'!$B$51+21&lt;'🌱 Configuração'!$E$51,INT(('🌱 Configuração'!$B$51+21-'🌱 Configuração'!$D$51)/7)+1=1,MOD('🌱 Configuração'!$B$51+21-'🌱 Configuração'!$D$51,7)=0),"🐛 Beauveria bassiana solo (sem foliar)",IF(AND('🌱 Configuração'!$B$51+21&gt;='🌱 Configuração'!$D$51,'🌱 Configuração'!$B$51+21&lt;'🌱 Configuração'!$E$51,INT(('🌱 Configuração'!$B$51+21-'🌱 Configuração'!$D$51)/7)+1=2,MOD('🌱 Configuração'!$B$51+21-'🌱 Configuração'!$D$51,7)=0),"🐛 Trichoderma solo",IF(AND('🌱 Configuração'!$B$51+21&gt;='🌱 Configuração'!$D$51,'🌱 Configuração'!$B$51+21&lt;'🌱 Configuração'!$E$51,INT(('🌱 Configuração'!$B$51+21-'🌱 Configuração'!$D$51)/7)+1=3,MOD('🌱 Configuração'!$B$51+21-'🌱 Configuração'!$D$51,7)=0),"🐛 Beauveria bassiana solo",IF(AND('🌱 Configuração'!$B$51+21&gt;='🌱 Configuração'!$D$51,'🌱 Configuração'!$B$51+21&lt;'🌱 Configuração'!$E$51,INT(('🌱 Configuração'!$B$51+21-'🌱 Configuração'!$D$51)/7)+1=4,MOD('🌱 Configuração'!$B$51+21-'🌱 Configuração'!$D$51,7)=0),"🐛 Trichoderma solo",IF(AND('🌱 Configuração'!$B$51+21&gt;='🌱 Configuração'!$E$51,INT(('🌱 Configuração'!$B$51+21-'🌱 Configuração'!$E$51)/7)+1=1,MOD('🌱 Configuração'!$B$51+21-'🌱 Configuração'!$E$51,7)=0),"🐛 Inspeção final — sem aplicação",""))))))))))))))</f>
        <v>🐛 Beauveria bassiana foliar</v>
      </c>
      <c r="H27" s="22" t="str">
        <f>IF(22&gt;'🌱 Configuração'!$F$50,"",IF('🌱 Configuração'!$B$51+21='🌱 Configuração'!$C$51,"🌿 INÍCIO VEGA — ajustar espaço, luz 18h/dia — EC 0.8",IF('🌱 Configuração'!$B$51+21='🌱 Configuração'!$D$51,"🌸 INÍCIO FLORAÇÃO — mudar para 12h/12h — 🔴 atenção ao fotoperíodo",IF('🌱 Configuração'!$B$51+21='🌱 Configuração'!$E$51,"🚿 INÍCIO FLUSH — PARAR nutrição, somente água pura",IF('🌱 Configuração'!$B$51+21='🌱 Configuração'!$F$51-1,"🔬 Véspera da colheita — analisar tricomas âmbar",IF('🌱 Configuração'!$B$51+21='🌱 Configuração'!$F$51,"✂️ COLHEITA! Parabéns! 🎉",""))))))</f>
        <v/>
      </c>
    </row>
    <row r="28" spans="2:8" ht="18.75" customHeight="1" x14ac:dyDescent="0.3">
      <c r="B28" s="25">
        <f>IF(23&lt;='🌱 Configuração'!$F$50,23,"")</f>
        <v>23</v>
      </c>
      <c r="C28" s="26">
        <f>IF(23&lt;='🌱 Configuração'!$F$50,'🌱 Configuração'!$B$51+22,"")</f>
        <v>46045</v>
      </c>
      <c r="D28" s="27" t="str">
        <f>IF(23&gt;'🌱 Configuração'!$F$50,"",IF('🌱 Configuração'!$B$51+22&lt;'🌱 Configuração'!$C$51,"🌱 Clone",IF('🌱 Configuração'!$B$51+22&lt;'🌱 Configuração'!$D$51,"🌿 Vegetativo",IF('🌱 Configuração'!$B$51+22&lt;'🌱 Configuração'!$E$51,"🌸 Floração","🚿 Flush"))))</f>
        <v>🌿 Vegetativo</v>
      </c>
      <c r="E28" s="28" t="str">
        <f>IF(23&gt;'🌱 Configuração'!$F$50,"",IF('🌱 Configuração'!$B$51+22&lt;'🌱 Configuração'!$C$51,"Clone S"&amp;INT((23-1)/7)+1,IF('🌱 Configuração'!$B$51+22&lt;'🌱 Configuração'!$D$51,"Vega S"&amp;INT(('🌱 Configuração'!$B$51+22-'🌱 Configuração'!$C$51)/7)+1,IF('🌱 Configuração'!$B$51+22&lt;'🌱 Configuração'!$E$51,"Flora S"&amp;INT(('🌱 Configuração'!$B$51+22-'🌱 Configuração'!$D$51)/7)+1,"Flush S"&amp;INT(('🌱 Configuração'!$B$51+22-'🌱 Configuração'!$E$51)/7)+1))))</f>
        <v>Vega S2</v>
      </c>
      <c r="F28" s="29" t="str">
        <f>IF(23&gt;'🌱 Configuração'!$F$50,"",IF(AND('🌱 Configuração'!$B$51+22&lt;'🌱 Configuração'!$C$51,INT((23-1)/7)+1=1,MOD(23-1,7)=0),"🌱 Enraizador (0.5 mL/L)",IF(AND('🌱 Configuração'!$B$51+22&lt;'🌱 Configuração'!$C$51,INT((23-1)/7)+1=2,MOD(23-1,7)=0),"🌱 Enraizador + Vitamina B1",IF(AND('🌱 Configuração'!$B$51+22&gt;='🌱 Configuração'!$C$51,'🌱 Configuração'!$B$51+22&lt;'🌱 Configuração'!$D$51,INT(('🌱 Configuração'!$B$51+22-'🌱 Configuração'!$C$51)/7)+1=1,MOD('🌱 Configuração'!$B$51+22-'🌱 Configuração'!$C$51,7)=0),"🌿 Grow A+B início — EC 0.8",IF(AND('🌱 Configuração'!$B$51+22&gt;='🌱 Configuração'!$C$51,'🌱 Configuração'!$B$51+22&lt;'🌱 Configuração'!$D$51,INT(('🌱 Configuração'!$B$51+22-'🌱 Configuração'!$C$51)/7)+1=2,MOD('🌱 Configuração'!$B$51+22-'🌱 Configuração'!$C$51,7)=0),"🌿 Grow A+B + CalMag — EC 1.0",IF(AND('🌱 Configuração'!$B$51+22&gt;='🌱 Configuração'!$C$51,'🌱 Configuração'!$B$51+22&lt;'🌱 Configuração'!$D$51,INT(('🌱 Configuração'!$B$51+22-'🌱 Configuração'!$C$51)/7)+1=3,MOD('🌱 Configuração'!$B$51+22-'🌱 Configuração'!$C$51,7)=0),"🌿 Grow A+B + CalMag — EC 1.2",IF(AND('🌱 Configuração'!$B$51+22&gt;='🌱 Configuração'!$C$51,'🌱 Configuração'!$B$51+22&lt;'🌱 Configuração'!$D$51,INT(('🌱 Configuração'!$B$51+22-'🌱 Configuração'!$C$51)/7)+1=4,MOD('🌱 Configuração'!$B$51+22-'🌱 Configuração'!$C$51,7)=0),"🌿 Grow A+B + Enzimas — EC 1.4",IF(AND('🌱 Configuração'!$B$51+22&gt;='🌱 Configuração'!$C$51,'🌱 Configuração'!$B$51+22&lt;'🌱 Configuração'!$D$51,INT(('🌱 Configuração'!$B$51+22-'🌱 Configuração'!$C$51)/7)+1=5,MOD('🌱 Configuração'!$B$51+22-'🌱 Configuração'!$C$51,7)=0),"🌿 Grow A+B + Biorrizas — EC 1.5",IF(AND('🌱 Configuração'!$B$51+22&gt;='🌱 Configuração'!$C$51,'🌱 Configuração'!$B$51+22&lt;'🌱 Configuração'!$D$51,INT(('🌱 Configuração'!$B$51+22-'🌱 Configuração'!$C$51)/7)+1=6,MOD('🌱 Configuração'!$B$51+22-'🌱 Configuração'!$C$51,7)=0),"🌿 Transição Bloom — EC 1.4",IF(AND('🌱 Configuração'!$B$51+22&gt;='🌱 Configuração'!$C$51,'🌱 Configuração'!$B$51+22&lt;'🌱 Configuração'!$D$51,INT(('🌱 Configuração'!$B$51+22-'🌱 Configuração'!$C$51)/7)+1=7,MOD('🌱 Configuração'!$B$51+22-'🌱 Configuração'!$C$51,7)=0),"🌿 Bloom A+B transição — EC 1.4",IF(AND('🌱 Configuração'!$B$51+22&gt;='🌱 Configuração'!$C$51,'🌱 Configuração'!$B$51+22&lt;'🌱 Configuração'!$D$51,INT(('🌱 Configuração'!$B$51+22-'🌱 Configuração'!$C$51)/7)+1=8,MOD('🌱 Configuração'!$B$51+22-'🌱 Configuração'!$C$51,7)=0),"🌿 Bloom A+B — EC 1.4",IF(AND('🌱 Configuração'!$B$51+22&gt;='🌱 Configuração'!$D$51,'🌱 Configuração'!$B$51+22&lt;'🌱 Configuração'!$E$51,INT(('🌱 Configuração'!$B$51+22-'🌱 Configuração'!$D$51)/7)+1=1,MOD('🌱 Configuração'!$B$51+22-'🌱 Configuração'!$D$51,7)=0),"🌸 Bloom A+B — EC 1.6",IF(AND('🌱 Configuração'!$B$51+22&gt;='🌱 Configuração'!$D$51,'🌱 Configuração'!$B$51+22&lt;'🌱 Configuração'!$E$51,INT(('🌱 Configuração'!$B$51+22-'🌱 Configuração'!$D$51)/7)+1=2,MOD('🌱 Configuração'!$B$51+22-'🌱 Configuração'!$D$51,7)=0),"🌸 Bloom + PK 13/14 início",IF(AND('🌱 Configuração'!$B$51+22&gt;='🌱 Configuração'!$D$51,'🌱 Configuração'!$B$51+22&lt;'🌱 Configuração'!$E$51,INT(('🌱 Configuração'!$B$51+22-'🌱 Configuração'!$D$51)/7)+1=3,MOD('🌱 Configuração'!$B$51+22-'🌱 Configuração'!$D$51,7)=0),"🌸 Bloom + PK + CalMag — EC 1.8",IF(AND('🌱 Configuração'!$B$51+22&gt;='🌱 Configuração'!$D$51,'🌱 Configuração'!$B$51+22&lt;'🌱 Configuração'!$E$51,INT(('🌱 Configuração'!$B$51+22-'🌱 Configuração'!$D$51)/7)+1=4,MOD('🌱 Configuração'!$B$51+22-'🌱 Configuração'!$D$51,7)=0),"🌸 Bloom + PK + Boost Floral — EC 2.0",IF(AND('🌱 Configuração'!$B$51+22&gt;='🌱 Configuração'!$D$51,'🌱 Configuração'!$B$51+22&lt;'🌱 Configuração'!$E$51,INT(('🌱 Configuração'!$B$51+22-'🌱 Configuração'!$D$51)/7)+1=5,MOD('🌱 Configuração'!$B$51+22-'🌱 Configuração'!$D$51,7)=0),"🌸 Bloom + Boost + Amino",IF(AND('🌱 Configuração'!$B$51+22&gt;='🌱 Configuração'!$D$51,'🌱 Configuração'!$B$51+22&lt;'🌱 Configuração'!$E$51,INT(('🌱 Configuração'!$B$51+22-'🌱 Configuração'!$D$51)/7)+1=6,MOD('🌱 Configuração'!$B$51+22-'🌱 Configuração'!$D$51,7)=0),"🌸 Bloom + Enzimas + Amino",IF(AND('🌱 Configuração'!$B$51+22&gt;='🌱 Configuração'!$D$51,'🌱 Configuração'!$B$51+22&lt;'🌱 Configuração'!$E$51,INT(('🌱 Configuração'!$B$51+22-'🌱 Configuração'!$D$51)/7)+1=7,MOD('🌱 Configuração'!$B$51+22-'🌱 Configuração'!$D$51,7)=0),"🌸 Reduzir N — Bloom puro — EC 1.6",IF(AND('🌱 Configuração'!$B$51+22&gt;='🌱 Configuração'!$D$51,'🌱 Configuração'!$B$51+22&lt;'🌱 Configuração'!$E$51,INT(('🌱 Configuração'!$B$51+22-'🌱 Configuração'!$D$51)/7)+1=8,MOD('🌱 Configuração'!$B$51+22-'🌱 Configuração'!$D$51,7)=0),"🌸 Bloom puro — EC 1.4  (pré-flush)",IF(AND('🌱 Configuração'!$B$51+22&gt;='🌱 Configuração'!$D$51,'🌱 Configuração'!$B$51+22&lt;'🌱 Configuração'!$E$51,INT(('🌱 Configuração'!$B$51+22-'🌱 Configuração'!$D$51)/7)+1=9,MOD('🌱 Configuração'!$B$51+22-'🌱 Configuração'!$D$51,7)=0),"🌸 Último Bloom — EC 0.8",IF(AND('🌱 Configuração'!$B$51+22&gt;='🌱 Configuração'!$E$51,INT(('🌱 Configuração'!$B$51+22-'🌱 Configuração'!$E$51)/7)+1=1,MOD('🌱 Configuração'!$B$51+22-'🌱 Configuração'!$E$51,7)=0),"🚿 Água pura + Enzimas (EC &lt; 0.3)",IF(AND('🌱 Configuração'!$B$51+22&gt;='🌱 Configuração'!$E$51,INT(('🌱 Configuração'!$B$51+22-'🌱 Configuração'!$E$51)/7)+1=2,MOD('🌱 Configuração'!$B$51+22-'🌱 Configuração'!$E$51,7)=0),"🚿 Água pura (EC &lt; 0.2)",""))))))))))))))))))))))</f>
        <v/>
      </c>
      <c r="G28" s="30" t="str">
        <f>IF(23&gt;'🌱 Configuração'!$F$50,"",IF(AND('🌱 Configuração'!$B$51+22&lt;'🌱 Configuração'!$C$51,INT((23-1)/7)+1=1,MOD(23-1,7)=0),"🐛 Nim 2mL/L foliar — preventivo",IF(AND('🌱 Configuração'!$B$51+22&lt;'🌱 Configuração'!$C$51,INT((23-1)/7)+1=2,MOD(23-1,7)=0),"🐛 Beauveria bassiana foliar + solo",IF(AND('🌱 Configuração'!$B$51+22&gt;='🌱 Configuração'!$C$51,'🌱 Configuração'!$B$51+22&lt;'🌱 Configuração'!$D$51,INT(('🌱 Configuração'!$B$51+22-'🌱 Configuração'!$C$51)/7)+1=1,MOD('🌱 Configuração'!$B$51+22-'🌱 Configuração'!$C$51,7)=0),"🐛 Nim 2mL/L foliar",IF(AND('🌱 Configuração'!$B$51+22&gt;='🌱 Configuração'!$C$51,'🌱 Configuração'!$B$51+22&lt;'🌱 Configuração'!$D$51,INT(('🌱 Configuração'!$B$51+22-'🌱 Configuração'!$C$51)/7)+1=2,MOD('🌱 Configuração'!$B$51+22-'🌱 Configuração'!$C$51,7)=0),"🐛 Beauveria bassiana foliar",IF(AND('🌱 Configuração'!$B$51+22&gt;='🌱 Configuração'!$C$51,'🌱 Configuração'!$B$51+22&lt;'🌱 Configuração'!$D$51,INT(('🌱 Configuração'!$B$51+22-'🌱 Configuração'!$C$51)/7)+1=3,MOD('🌱 Configuração'!$B$51+22-'🌱 Configuração'!$C$51,7)=0),"🐛 Nim + Calda Sulfocálcica 1%",IF(AND('🌱 Configuração'!$B$51+22&gt;='🌱 Configuração'!$C$51,'🌱 Configuração'!$B$51+22&lt;'🌱 Configuração'!$D$51,INT(('🌱 Configuração'!$B$51+22-'🌱 Configuração'!$C$51)/7)+1=4,MOD('🌱 Configuração'!$B$51+22-'🌱 Configuração'!$C$51,7)=0),"🐛 Trichoderma solo + Beauveria",IF(AND('🌱 Configuração'!$B$51+22&gt;='🌱 Configuração'!$C$51,'🌱 Configuração'!$B$51+22&lt;'🌱 Configuração'!$D$51,INT(('🌱 Configuração'!$B$51+22-'🌱 Configuração'!$C$51)/7)+1=5,MOD('🌱 Configuração'!$B$51+22-'🌱 Configuração'!$C$51,7)=0),"🐛 Calda Bordalesa 0.5% foliar",IF(AND('🌱 Configuração'!$B$51+22&gt;='🌱 Configuração'!$C$51,'🌱 Configuração'!$B$51+22&lt;'🌱 Configuração'!$D$51,INT(('🌱 Configuração'!$B$51+22-'🌱 Configuração'!$C$51)/7)+1=6,MOD('🌱 Configuração'!$B$51+22-'🌱 Configuração'!$C$51,7)=0),"🐛 Nim 2mL/L — ÚLTIMA foliar",IF(AND('🌱 Configuração'!$B$51+22&gt;='🌱 Configuração'!$D$51,'🌱 Configuração'!$B$51+22&lt;'🌱 Configuração'!$E$51,INT(('🌱 Configuração'!$B$51+22-'🌱 Configuração'!$D$51)/7)+1=1,MOD('🌱 Configuração'!$B$51+22-'🌱 Configuração'!$D$51,7)=0),"🐛 Beauveria bassiana solo (sem foliar)",IF(AND('🌱 Configuração'!$B$51+22&gt;='🌱 Configuração'!$D$51,'🌱 Configuração'!$B$51+22&lt;'🌱 Configuração'!$E$51,INT(('🌱 Configuração'!$B$51+22-'🌱 Configuração'!$D$51)/7)+1=2,MOD('🌱 Configuração'!$B$51+22-'🌱 Configuração'!$D$51,7)=0),"🐛 Trichoderma solo",IF(AND('🌱 Configuração'!$B$51+22&gt;='🌱 Configuração'!$D$51,'🌱 Configuração'!$B$51+22&lt;'🌱 Configuração'!$E$51,INT(('🌱 Configuração'!$B$51+22-'🌱 Configuração'!$D$51)/7)+1=3,MOD('🌱 Configuração'!$B$51+22-'🌱 Configuração'!$D$51,7)=0),"🐛 Beauveria bassiana solo",IF(AND('🌱 Configuração'!$B$51+22&gt;='🌱 Configuração'!$D$51,'🌱 Configuração'!$B$51+22&lt;'🌱 Configuração'!$E$51,INT(('🌱 Configuração'!$B$51+22-'🌱 Configuração'!$D$51)/7)+1=4,MOD('🌱 Configuração'!$B$51+22-'🌱 Configuração'!$D$51,7)=0),"🐛 Trichoderma solo",IF(AND('🌱 Configuração'!$B$51+22&gt;='🌱 Configuração'!$E$51,INT(('🌱 Configuração'!$B$51+22-'🌱 Configuração'!$E$51)/7)+1=1,MOD('🌱 Configuração'!$B$51+22-'🌱 Configuração'!$E$51,7)=0),"🐛 Inspeção final — sem aplicação",""))))))))))))))</f>
        <v/>
      </c>
      <c r="H28" s="22" t="str">
        <f>IF(23&gt;'🌱 Configuração'!$F$50,"",IF('🌱 Configuração'!$B$51+22='🌱 Configuração'!$C$51,"🌿 INÍCIO VEGA — ajustar espaço, luz 18h/dia — EC 0.8",IF('🌱 Configuração'!$B$51+22='🌱 Configuração'!$D$51,"🌸 INÍCIO FLORAÇÃO — mudar para 12h/12h — 🔴 atenção ao fotoperíodo",IF('🌱 Configuração'!$B$51+22='🌱 Configuração'!$E$51,"🚿 INÍCIO FLUSH — PARAR nutrição, somente água pura",IF('🌱 Configuração'!$B$51+22='🌱 Configuração'!$F$51-1,"🔬 Véspera da colheita — analisar tricomas âmbar",IF('🌱 Configuração'!$B$51+22='🌱 Configuração'!$F$51,"✂️ COLHEITA! Parabéns! 🎉",""))))))</f>
        <v/>
      </c>
    </row>
    <row r="29" spans="2:8" ht="18.75" customHeight="1" x14ac:dyDescent="0.3">
      <c r="B29" s="25">
        <f>IF(24&lt;='🌱 Configuração'!$F$50,24,"")</f>
        <v>24</v>
      </c>
      <c r="C29" s="26">
        <f>IF(24&lt;='🌱 Configuração'!$F$50,'🌱 Configuração'!$B$51+23,"")</f>
        <v>46046</v>
      </c>
      <c r="D29" s="27" t="str">
        <f>IF(24&gt;'🌱 Configuração'!$F$50,"",IF('🌱 Configuração'!$B$51+23&lt;'🌱 Configuração'!$C$51,"🌱 Clone",IF('🌱 Configuração'!$B$51+23&lt;'🌱 Configuração'!$D$51,"🌿 Vegetativo",IF('🌱 Configuração'!$B$51+23&lt;'🌱 Configuração'!$E$51,"🌸 Floração","🚿 Flush"))))</f>
        <v>🌿 Vegetativo</v>
      </c>
      <c r="E29" s="28" t="str">
        <f>IF(24&gt;'🌱 Configuração'!$F$50,"",IF('🌱 Configuração'!$B$51+23&lt;'🌱 Configuração'!$C$51,"Clone S"&amp;INT((24-1)/7)+1,IF('🌱 Configuração'!$B$51+23&lt;'🌱 Configuração'!$D$51,"Vega S"&amp;INT(('🌱 Configuração'!$B$51+23-'🌱 Configuração'!$C$51)/7)+1,IF('🌱 Configuração'!$B$51+23&lt;'🌱 Configuração'!$E$51,"Flora S"&amp;INT(('🌱 Configuração'!$B$51+23-'🌱 Configuração'!$D$51)/7)+1,"Flush S"&amp;INT(('🌱 Configuração'!$B$51+23-'🌱 Configuração'!$E$51)/7)+1))))</f>
        <v>Vega S2</v>
      </c>
      <c r="F29" s="29" t="str">
        <f>IF(24&gt;'🌱 Configuração'!$F$50,"",IF(AND('🌱 Configuração'!$B$51+23&lt;'🌱 Configuração'!$C$51,INT((24-1)/7)+1=1,MOD(24-1,7)=0),"🌱 Enraizador (0.5 mL/L)",IF(AND('🌱 Configuração'!$B$51+23&lt;'🌱 Configuração'!$C$51,INT((24-1)/7)+1=2,MOD(24-1,7)=0),"🌱 Enraizador + Vitamina B1",IF(AND('🌱 Configuração'!$B$51+23&gt;='🌱 Configuração'!$C$51,'🌱 Configuração'!$B$51+23&lt;'🌱 Configuração'!$D$51,INT(('🌱 Configuração'!$B$51+23-'🌱 Configuração'!$C$51)/7)+1=1,MOD('🌱 Configuração'!$B$51+23-'🌱 Configuração'!$C$51,7)=0),"🌿 Grow A+B início — EC 0.8",IF(AND('🌱 Configuração'!$B$51+23&gt;='🌱 Configuração'!$C$51,'🌱 Configuração'!$B$51+23&lt;'🌱 Configuração'!$D$51,INT(('🌱 Configuração'!$B$51+23-'🌱 Configuração'!$C$51)/7)+1=2,MOD('🌱 Configuração'!$B$51+23-'🌱 Configuração'!$C$51,7)=0),"🌿 Grow A+B + CalMag — EC 1.0",IF(AND('🌱 Configuração'!$B$51+23&gt;='🌱 Configuração'!$C$51,'🌱 Configuração'!$B$51+23&lt;'🌱 Configuração'!$D$51,INT(('🌱 Configuração'!$B$51+23-'🌱 Configuração'!$C$51)/7)+1=3,MOD('🌱 Configuração'!$B$51+23-'🌱 Configuração'!$C$51,7)=0),"🌿 Grow A+B + CalMag — EC 1.2",IF(AND('🌱 Configuração'!$B$51+23&gt;='🌱 Configuração'!$C$51,'🌱 Configuração'!$B$51+23&lt;'🌱 Configuração'!$D$51,INT(('🌱 Configuração'!$B$51+23-'🌱 Configuração'!$C$51)/7)+1=4,MOD('🌱 Configuração'!$B$51+23-'🌱 Configuração'!$C$51,7)=0),"🌿 Grow A+B + Enzimas — EC 1.4",IF(AND('🌱 Configuração'!$B$51+23&gt;='🌱 Configuração'!$C$51,'🌱 Configuração'!$B$51+23&lt;'🌱 Configuração'!$D$51,INT(('🌱 Configuração'!$B$51+23-'🌱 Configuração'!$C$51)/7)+1=5,MOD('🌱 Configuração'!$B$51+23-'🌱 Configuração'!$C$51,7)=0),"🌿 Grow A+B + Biorrizas — EC 1.5",IF(AND('🌱 Configuração'!$B$51+23&gt;='🌱 Configuração'!$C$51,'🌱 Configuração'!$B$51+23&lt;'🌱 Configuração'!$D$51,INT(('🌱 Configuração'!$B$51+23-'🌱 Configuração'!$C$51)/7)+1=6,MOD('🌱 Configuração'!$B$51+23-'🌱 Configuração'!$C$51,7)=0),"🌿 Transição Bloom — EC 1.4",IF(AND('🌱 Configuração'!$B$51+23&gt;='🌱 Configuração'!$C$51,'🌱 Configuração'!$B$51+23&lt;'🌱 Configuração'!$D$51,INT(('🌱 Configuração'!$B$51+23-'🌱 Configuração'!$C$51)/7)+1=7,MOD('🌱 Configuração'!$B$51+23-'🌱 Configuração'!$C$51,7)=0),"🌿 Bloom A+B transição — EC 1.4",IF(AND('🌱 Configuração'!$B$51+23&gt;='🌱 Configuração'!$C$51,'🌱 Configuração'!$B$51+23&lt;'🌱 Configuração'!$D$51,INT(('🌱 Configuração'!$B$51+23-'🌱 Configuração'!$C$51)/7)+1=8,MOD('🌱 Configuração'!$B$51+23-'🌱 Configuração'!$C$51,7)=0),"🌿 Bloom A+B — EC 1.4",IF(AND('🌱 Configuração'!$B$51+23&gt;='🌱 Configuração'!$D$51,'🌱 Configuração'!$B$51+23&lt;'🌱 Configuração'!$E$51,INT(('🌱 Configuração'!$B$51+23-'🌱 Configuração'!$D$51)/7)+1=1,MOD('🌱 Configuração'!$B$51+23-'🌱 Configuração'!$D$51,7)=0),"🌸 Bloom A+B — EC 1.6",IF(AND('🌱 Configuração'!$B$51+23&gt;='🌱 Configuração'!$D$51,'🌱 Configuração'!$B$51+23&lt;'🌱 Configuração'!$E$51,INT(('🌱 Configuração'!$B$51+23-'🌱 Configuração'!$D$51)/7)+1=2,MOD('🌱 Configuração'!$B$51+23-'🌱 Configuração'!$D$51,7)=0),"🌸 Bloom + PK 13/14 início",IF(AND('🌱 Configuração'!$B$51+23&gt;='🌱 Configuração'!$D$51,'🌱 Configuração'!$B$51+23&lt;'🌱 Configuração'!$E$51,INT(('🌱 Configuração'!$B$51+23-'🌱 Configuração'!$D$51)/7)+1=3,MOD('🌱 Configuração'!$B$51+23-'🌱 Configuração'!$D$51,7)=0),"🌸 Bloom + PK + CalMag — EC 1.8",IF(AND('🌱 Configuração'!$B$51+23&gt;='🌱 Configuração'!$D$51,'🌱 Configuração'!$B$51+23&lt;'🌱 Configuração'!$E$51,INT(('🌱 Configuração'!$B$51+23-'🌱 Configuração'!$D$51)/7)+1=4,MOD('🌱 Configuração'!$B$51+23-'🌱 Configuração'!$D$51,7)=0),"🌸 Bloom + PK + Boost Floral — EC 2.0",IF(AND('🌱 Configuração'!$B$51+23&gt;='🌱 Configuração'!$D$51,'🌱 Configuração'!$B$51+23&lt;'🌱 Configuração'!$E$51,INT(('🌱 Configuração'!$B$51+23-'🌱 Configuração'!$D$51)/7)+1=5,MOD('🌱 Configuração'!$B$51+23-'🌱 Configuração'!$D$51,7)=0),"🌸 Bloom + Boost + Amino",IF(AND('🌱 Configuração'!$B$51+23&gt;='🌱 Configuração'!$D$51,'🌱 Configuração'!$B$51+23&lt;'🌱 Configuração'!$E$51,INT(('🌱 Configuração'!$B$51+23-'🌱 Configuração'!$D$51)/7)+1=6,MOD('🌱 Configuração'!$B$51+23-'🌱 Configuração'!$D$51,7)=0),"🌸 Bloom + Enzimas + Amino",IF(AND('🌱 Configuração'!$B$51+23&gt;='🌱 Configuração'!$D$51,'🌱 Configuração'!$B$51+23&lt;'🌱 Configuração'!$E$51,INT(('🌱 Configuração'!$B$51+23-'🌱 Configuração'!$D$51)/7)+1=7,MOD('🌱 Configuração'!$B$51+23-'🌱 Configuração'!$D$51,7)=0),"🌸 Reduzir N — Bloom puro — EC 1.6",IF(AND('🌱 Configuração'!$B$51+23&gt;='🌱 Configuração'!$D$51,'🌱 Configuração'!$B$51+23&lt;'🌱 Configuração'!$E$51,INT(('🌱 Configuração'!$B$51+23-'🌱 Configuração'!$D$51)/7)+1=8,MOD('🌱 Configuração'!$B$51+23-'🌱 Configuração'!$D$51,7)=0),"🌸 Bloom puro — EC 1.4  (pré-flush)",IF(AND('🌱 Configuração'!$B$51+23&gt;='🌱 Configuração'!$D$51,'🌱 Configuração'!$B$51+23&lt;'🌱 Configuração'!$E$51,INT(('🌱 Configuração'!$B$51+23-'🌱 Configuração'!$D$51)/7)+1=9,MOD('🌱 Configuração'!$B$51+23-'🌱 Configuração'!$D$51,7)=0),"🌸 Último Bloom — EC 0.8",IF(AND('🌱 Configuração'!$B$51+23&gt;='🌱 Configuração'!$E$51,INT(('🌱 Configuração'!$B$51+23-'🌱 Configuração'!$E$51)/7)+1=1,MOD('🌱 Configuração'!$B$51+23-'🌱 Configuração'!$E$51,7)=0),"🚿 Água pura + Enzimas (EC &lt; 0.3)",IF(AND('🌱 Configuração'!$B$51+23&gt;='🌱 Configuração'!$E$51,INT(('🌱 Configuração'!$B$51+23-'🌱 Configuração'!$E$51)/7)+1=2,MOD('🌱 Configuração'!$B$51+23-'🌱 Configuração'!$E$51,7)=0),"🚿 Água pura (EC &lt; 0.2)",""))))))))))))))))))))))</f>
        <v/>
      </c>
      <c r="G29" s="30" t="str">
        <f>IF(24&gt;'🌱 Configuração'!$F$50,"",IF(AND('🌱 Configuração'!$B$51+23&lt;'🌱 Configuração'!$C$51,INT((24-1)/7)+1=1,MOD(24-1,7)=0),"🐛 Nim 2mL/L foliar — preventivo",IF(AND('🌱 Configuração'!$B$51+23&lt;'🌱 Configuração'!$C$51,INT((24-1)/7)+1=2,MOD(24-1,7)=0),"🐛 Beauveria bassiana foliar + solo",IF(AND('🌱 Configuração'!$B$51+23&gt;='🌱 Configuração'!$C$51,'🌱 Configuração'!$B$51+23&lt;'🌱 Configuração'!$D$51,INT(('🌱 Configuração'!$B$51+23-'🌱 Configuração'!$C$51)/7)+1=1,MOD('🌱 Configuração'!$B$51+23-'🌱 Configuração'!$C$51,7)=0),"🐛 Nim 2mL/L foliar",IF(AND('🌱 Configuração'!$B$51+23&gt;='🌱 Configuração'!$C$51,'🌱 Configuração'!$B$51+23&lt;'🌱 Configuração'!$D$51,INT(('🌱 Configuração'!$B$51+23-'🌱 Configuração'!$C$51)/7)+1=2,MOD('🌱 Configuração'!$B$51+23-'🌱 Configuração'!$C$51,7)=0),"🐛 Beauveria bassiana foliar",IF(AND('🌱 Configuração'!$B$51+23&gt;='🌱 Configuração'!$C$51,'🌱 Configuração'!$B$51+23&lt;'🌱 Configuração'!$D$51,INT(('🌱 Configuração'!$B$51+23-'🌱 Configuração'!$C$51)/7)+1=3,MOD('🌱 Configuração'!$B$51+23-'🌱 Configuração'!$C$51,7)=0),"🐛 Nim + Calda Sulfocálcica 1%",IF(AND('🌱 Configuração'!$B$51+23&gt;='🌱 Configuração'!$C$51,'🌱 Configuração'!$B$51+23&lt;'🌱 Configuração'!$D$51,INT(('🌱 Configuração'!$B$51+23-'🌱 Configuração'!$C$51)/7)+1=4,MOD('🌱 Configuração'!$B$51+23-'🌱 Configuração'!$C$51,7)=0),"🐛 Trichoderma solo + Beauveria",IF(AND('🌱 Configuração'!$B$51+23&gt;='🌱 Configuração'!$C$51,'🌱 Configuração'!$B$51+23&lt;'🌱 Configuração'!$D$51,INT(('🌱 Configuração'!$B$51+23-'🌱 Configuração'!$C$51)/7)+1=5,MOD('🌱 Configuração'!$B$51+23-'🌱 Configuração'!$C$51,7)=0),"🐛 Calda Bordalesa 0.5% foliar",IF(AND('🌱 Configuração'!$B$51+23&gt;='🌱 Configuração'!$C$51,'🌱 Configuração'!$B$51+23&lt;'🌱 Configuração'!$D$51,INT(('🌱 Configuração'!$B$51+23-'🌱 Configuração'!$C$51)/7)+1=6,MOD('🌱 Configuração'!$B$51+23-'🌱 Configuração'!$C$51,7)=0),"🐛 Nim 2mL/L — ÚLTIMA foliar",IF(AND('🌱 Configuração'!$B$51+23&gt;='🌱 Configuração'!$D$51,'🌱 Configuração'!$B$51+23&lt;'🌱 Configuração'!$E$51,INT(('🌱 Configuração'!$B$51+23-'🌱 Configuração'!$D$51)/7)+1=1,MOD('🌱 Configuração'!$B$51+23-'🌱 Configuração'!$D$51,7)=0),"🐛 Beauveria bassiana solo (sem foliar)",IF(AND('🌱 Configuração'!$B$51+23&gt;='🌱 Configuração'!$D$51,'🌱 Configuração'!$B$51+23&lt;'🌱 Configuração'!$E$51,INT(('🌱 Configuração'!$B$51+23-'🌱 Configuração'!$D$51)/7)+1=2,MOD('🌱 Configuração'!$B$51+23-'🌱 Configuração'!$D$51,7)=0),"🐛 Trichoderma solo",IF(AND('🌱 Configuração'!$B$51+23&gt;='🌱 Configuração'!$D$51,'🌱 Configuração'!$B$51+23&lt;'🌱 Configuração'!$E$51,INT(('🌱 Configuração'!$B$51+23-'🌱 Configuração'!$D$51)/7)+1=3,MOD('🌱 Configuração'!$B$51+23-'🌱 Configuração'!$D$51,7)=0),"🐛 Beauveria bassiana solo",IF(AND('🌱 Configuração'!$B$51+23&gt;='🌱 Configuração'!$D$51,'🌱 Configuração'!$B$51+23&lt;'🌱 Configuração'!$E$51,INT(('🌱 Configuração'!$B$51+23-'🌱 Configuração'!$D$51)/7)+1=4,MOD('🌱 Configuração'!$B$51+23-'🌱 Configuração'!$D$51,7)=0),"🐛 Trichoderma solo",IF(AND('🌱 Configuração'!$B$51+23&gt;='🌱 Configuração'!$E$51,INT(('🌱 Configuração'!$B$51+23-'🌱 Configuração'!$E$51)/7)+1=1,MOD('🌱 Configuração'!$B$51+23-'🌱 Configuração'!$E$51,7)=0),"🐛 Inspeção final — sem aplicação",""))))))))))))))</f>
        <v/>
      </c>
      <c r="H29" s="22" t="str">
        <f>IF(24&gt;'🌱 Configuração'!$F$50,"",IF('🌱 Configuração'!$B$51+23='🌱 Configuração'!$C$51,"🌿 INÍCIO VEGA — ajustar espaço, luz 18h/dia — EC 0.8",IF('🌱 Configuração'!$B$51+23='🌱 Configuração'!$D$51,"🌸 INÍCIO FLORAÇÃO — mudar para 12h/12h — 🔴 atenção ao fotoperíodo",IF('🌱 Configuração'!$B$51+23='🌱 Configuração'!$E$51,"🚿 INÍCIO FLUSH — PARAR nutrição, somente água pura",IF('🌱 Configuração'!$B$51+23='🌱 Configuração'!$F$51-1,"🔬 Véspera da colheita — analisar tricomas âmbar",IF('🌱 Configuração'!$B$51+23='🌱 Configuração'!$F$51,"✂️ COLHEITA! Parabéns! 🎉",""))))))</f>
        <v/>
      </c>
    </row>
    <row r="30" spans="2:8" ht="18.75" customHeight="1" x14ac:dyDescent="0.3">
      <c r="B30" s="25">
        <f>IF(25&lt;='🌱 Configuração'!$F$50,25,"")</f>
        <v>25</v>
      </c>
      <c r="C30" s="26">
        <f>IF(25&lt;='🌱 Configuração'!$F$50,'🌱 Configuração'!$B$51+24,"")</f>
        <v>46047</v>
      </c>
      <c r="D30" s="27" t="str">
        <f>IF(25&gt;'🌱 Configuração'!$F$50,"",IF('🌱 Configuração'!$B$51+24&lt;'🌱 Configuração'!$C$51,"🌱 Clone",IF('🌱 Configuração'!$B$51+24&lt;'🌱 Configuração'!$D$51,"🌿 Vegetativo",IF('🌱 Configuração'!$B$51+24&lt;'🌱 Configuração'!$E$51,"🌸 Floração","🚿 Flush"))))</f>
        <v>🌿 Vegetativo</v>
      </c>
      <c r="E30" s="28" t="str">
        <f>IF(25&gt;'🌱 Configuração'!$F$50,"",IF('🌱 Configuração'!$B$51+24&lt;'🌱 Configuração'!$C$51,"Clone S"&amp;INT((25-1)/7)+1,IF('🌱 Configuração'!$B$51+24&lt;'🌱 Configuração'!$D$51,"Vega S"&amp;INT(('🌱 Configuração'!$B$51+24-'🌱 Configuração'!$C$51)/7)+1,IF('🌱 Configuração'!$B$51+24&lt;'🌱 Configuração'!$E$51,"Flora S"&amp;INT(('🌱 Configuração'!$B$51+24-'🌱 Configuração'!$D$51)/7)+1,"Flush S"&amp;INT(('🌱 Configuração'!$B$51+24-'🌱 Configuração'!$E$51)/7)+1))))</f>
        <v>Vega S2</v>
      </c>
      <c r="F30" s="29" t="str">
        <f>IF(25&gt;'🌱 Configuração'!$F$50,"",IF(AND('🌱 Configuração'!$B$51+24&lt;'🌱 Configuração'!$C$51,INT((25-1)/7)+1=1,MOD(25-1,7)=0),"🌱 Enraizador (0.5 mL/L)",IF(AND('🌱 Configuração'!$B$51+24&lt;'🌱 Configuração'!$C$51,INT((25-1)/7)+1=2,MOD(25-1,7)=0),"🌱 Enraizador + Vitamina B1",IF(AND('🌱 Configuração'!$B$51+24&gt;='🌱 Configuração'!$C$51,'🌱 Configuração'!$B$51+24&lt;'🌱 Configuração'!$D$51,INT(('🌱 Configuração'!$B$51+24-'🌱 Configuração'!$C$51)/7)+1=1,MOD('🌱 Configuração'!$B$51+24-'🌱 Configuração'!$C$51,7)=0),"🌿 Grow A+B início — EC 0.8",IF(AND('🌱 Configuração'!$B$51+24&gt;='🌱 Configuração'!$C$51,'🌱 Configuração'!$B$51+24&lt;'🌱 Configuração'!$D$51,INT(('🌱 Configuração'!$B$51+24-'🌱 Configuração'!$C$51)/7)+1=2,MOD('🌱 Configuração'!$B$51+24-'🌱 Configuração'!$C$51,7)=0),"🌿 Grow A+B + CalMag — EC 1.0",IF(AND('🌱 Configuração'!$B$51+24&gt;='🌱 Configuração'!$C$51,'🌱 Configuração'!$B$51+24&lt;'🌱 Configuração'!$D$51,INT(('🌱 Configuração'!$B$51+24-'🌱 Configuração'!$C$51)/7)+1=3,MOD('🌱 Configuração'!$B$51+24-'🌱 Configuração'!$C$51,7)=0),"🌿 Grow A+B + CalMag — EC 1.2",IF(AND('🌱 Configuração'!$B$51+24&gt;='🌱 Configuração'!$C$51,'🌱 Configuração'!$B$51+24&lt;'🌱 Configuração'!$D$51,INT(('🌱 Configuração'!$B$51+24-'🌱 Configuração'!$C$51)/7)+1=4,MOD('🌱 Configuração'!$B$51+24-'🌱 Configuração'!$C$51,7)=0),"🌿 Grow A+B + Enzimas — EC 1.4",IF(AND('🌱 Configuração'!$B$51+24&gt;='🌱 Configuração'!$C$51,'🌱 Configuração'!$B$51+24&lt;'🌱 Configuração'!$D$51,INT(('🌱 Configuração'!$B$51+24-'🌱 Configuração'!$C$51)/7)+1=5,MOD('🌱 Configuração'!$B$51+24-'🌱 Configuração'!$C$51,7)=0),"🌿 Grow A+B + Biorrizas — EC 1.5",IF(AND('🌱 Configuração'!$B$51+24&gt;='🌱 Configuração'!$C$51,'🌱 Configuração'!$B$51+24&lt;'🌱 Configuração'!$D$51,INT(('🌱 Configuração'!$B$51+24-'🌱 Configuração'!$C$51)/7)+1=6,MOD('🌱 Configuração'!$B$51+24-'🌱 Configuração'!$C$51,7)=0),"🌿 Transição Bloom — EC 1.4",IF(AND('🌱 Configuração'!$B$51+24&gt;='🌱 Configuração'!$C$51,'🌱 Configuração'!$B$51+24&lt;'🌱 Configuração'!$D$51,INT(('🌱 Configuração'!$B$51+24-'🌱 Configuração'!$C$51)/7)+1=7,MOD('🌱 Configuração'!$B$51+24-'🌱 Configuração'!$C$51,7)=0),"🌿 Bloom A+B transição — EC 1.4",IF(AND('🌱 Configuração'!$B$51+24&gt;='🌱 Configuração'!$C$51,'🌱 Configuração'!$B$51+24&lt;'🌱 Configuração'!$D$51,INT(('🌱 Configuração'!$B$51+24-'🌱 Configuração'!$C$51)/7)+1=8,MOD('🌱 Configuração'!$B$51+24-'🌱 Configuração'!$C$51,7)=0),"🌿 Bloom A+B — EC 1.4",IF(AND('🌱 Configuração'!$B$51+24&gt;='🌱 Configuração'!$D$51,'🌱 Configuração'!$B$51+24&lt;'🌱 Configuração'!$E$51,INT(('🌱 Configuração'!$B$51+24-'🌱 Configuração'!$D$51)/7)+1=1,MOD('🌱 Configuração'!$B$51+24-'🌱 Configuração'!$D$51,7)=0),"🌸 Bloom A+B — EC 1.6",IF(AND('🌱 Configuração'!$B$51+24&gt;='🌱 Configuração'!$D$51,'🌱 Configuração'!$B$51+24&lt;'🌱 Configuração'!$E$51,INT(('🌱 Configuração'!$B$51+24-'🌱 Configuração'!$D$51)/7)+1=2,MOD('🌱 Configuração'!$B$51+24-'🌱 Configuração'!$D$51,7)=0),"🌸 Bloom + PK 13/14 início",IF(AND('🌱 Configuração'!$B$51+24&gt;='🌱 Configuração'!$D$51,'🌱 Configuração'!$B$51+24&lt;'🌱 Configuração'!$E$51,INT(('🌱 Configuração'!$B$51+24-'🌱 Configuração'!$D$51)/7)+1=3,MOD('🌱 Configuração'!$B$51+24-'🌱 Configuração'!$D$51,7)=0),"🌸 Bloom + PK + CalMag — EC 1.8",IF(AND('🌱 Configuração'!$B$51+24&gt;='🌱 Configuração'!$D$51,'🌱 Configuração'!$B$51+24&lt;'🌱 Configuração'!$E$51,INT(('🌱 Configuração'!$B$51+24-'🌱 Configuração'!$D$51)/7)+1=4,MOD('🌱 Configuração'!$B$51+24-'🌱 Configuração'!$D$51,7)=0),"🌸 Bloom + PK + Boost Floral — EC 2.0",IF(AND('🌱 Configuração'!$B$51+24&gt;='🌱 Configuração'!$D$51,'🌱 Configuração'!$B$51+24&lt;'🌱 Configuração'!$E$51,INT(('🌱 Configuração'!$B$51+24-'🌱 Configuração'!$D$51)/7)+1=5,MOD('🌱 Configuração'!$B$51+24-'🌱 Configuração'!$D$51,7)=0),"🌸 Bloom + Boost + Amino",IF(AND('🌱 Configuração'!$B$51+24&gt;='🌱 Configuração'!$D$51,'🌱 Configuração'!$B$51+24&lt;'🌱 Configuração'!$E$51,INT(('🌱 Configuração'!$B$51+24-'🌱 Configuração'!$D$51)/7)+1=6,MOD('🌱 Configuração'!$B$51+24-'🌱 Configuração'!$D$51,7)=0),"🌸 Bloom + Enzimas + Amino",IF(AND('🌱 Configuração'!$B$51+24&gt;='🌱 Configuração'!$D$51,'🌱 Configuração'!$B$51+24&lt;'🌱 Configuração'!$E$51,INT(('🌱 Configuração'!$B$51+24-'🌱 Configuração'!$D$51)/7)+1=7,MOD('🌱 Configuração'!$B$51+24-'🌱 Configuração'!$D$51,7)=0),"🌸 Reduzir N — Bloom puro — EC 1.6",IF(AND('🌱 Configuração'!$B$51+24&gt;='🌱 Configuração'!$D$51,'🌱 Configuração'!$B$51+24&lt;'🌱 Configuração'!$E$51,INT(('🌱 Configuração'!$B$51+24-'🌱 Configuração'!$D$51)/7)+1=8,MOD('🌱 Configuração'!$B$51+24-'🌱 Configuração'!$D$51,7)=0),"🌸 Bloom puro — EC 1.4  (pré-flush)",IF(AND('🌱 Configuração'!$B$51+24&gt;='🌱 Configuração'!$D$51,'🌱 Configuração'!$B$51+24&lt;'🌱 Configuração'!$E$51,INT(('🌱 Configuração'!$B$51+24-'🌱 Configuração'!$D$51)/7)+1=9,MOD('🌱 Configuração'!$B$51+24-'🌱 Configuração'!$D$51,7)=0),"🌸 Último Bloom — EC 0.8",IF(AND('🌱 Configuração'!$B$51+24&gt;='🌱 Configuração'!$E$51,INT(('🌱 Configuração'!$B$51+24-'🌱 Configuração'!$E$51)/7)+1=1,MOD('🌱 Configuração'!$B$51+24-'🌱 Configuração'!$E$51,7)=0),"🚿 Água pura + Enzimas (EC &lt; 0.3)",IF(AND('🌱 Configuração'!$B$51+24&gt;='🌱 Configuração'!$E$51,INT(('🌱 Configuração'!$B$51+24-'🌱 Configuração'!$E$51)/7)+1=2,MOD('🌱 Configuração'!$B$51+24-'🌱 Configuração'!$E$51,7)=0),"🚿 Água pura (EC &lt; 0.2)",""))))))))))))))))))))))</f>
        <v/>
      </c>
      <c r="G30" s="30" t="str">
        <f>IF(25&gt;'🌱 Configuração'!$F$50,"",IF(AND('🌱 Configuração'!$B$51+24&lt;'🌱 Configuração'!$C$51,INT((25-1)/7)+1=1,MOD(25-1,7)=0),"🐛 Nim 2mL/L foliar — preventivo",IF(AND('🌱 Configuração'!$B$51+24&lt;'🌱 Configuração'!$C$51,INT((25-1)/7)+1=2,MOD(25-1,7)=0),"🐛 Beauveria bassiana foliar + solo",IF(AND('🌱 Configuração'!$B$51+24&gt;='🌱 Configuração'!$C$51,'🌱 Configuração'!$B$51+24&lt;'🌱 Configuração'!$D$51,INT(('🌱 Configuração'!$B$51+24-'🌱 Configuração'!$C$51)/7)+1=1,MOD('🌱 Configuração'!$B$51+24-'🌱 Configuração'!$C$51,7)=0),"🐛 Nim 2mL/L foliar",IF(AND('🌱 Configuração'!$B$51+24&gt;='🌱 Configuração'!$C$51,'🌱 Configuração'!$B$51+24&lt;'🌱 Configuração'!$D$51,INT(('🌱 Configuração'!$B$51+24-'🌱 Configuração'!$C$51)/7)+1=2,MOD('🌱 Configuração'!$B$51+24-'🌱 Configuração'!$C$51,7)=0),"🐛 Beauveria bassiana foliar",IF(AND('🌱 Configuração'!$B$51+24&gt;='🌱 Configuração'!$C$51,'🌱 Configuração'!$B$51+24&lt;'🌱 Configuração'!$D$51,INT(('🌱 Configuração'!$B$51+24-'🌱 Configuração'!$C$51)/7)+1=3,MOD('🌱 Configuração'!$B$51+24-'🌱 Configuração'!$C$51,7)=0),"🐛 Nim + Calda Sulfocálcica 1%",IF(AND('🌱 Configuração'!$B$51+24&gt;='🌱 Configuração'!$C$51,'🌱 Configuração'!$B$51+24&lt;'🌱 Configuração'!$D$51,INT(('🌱 Configuração'!$B$51+24-'🌱 Configuração'!$C$51)/7)+1=4,MOD('🌱 Configuração'!$B$51+24-'🌱 Configuração'!$C$51,7)=0),"🐛 Trichoderma solo + Beauveria",IF(AND('🌱 Configuração'!$B$51+24&gt;='🌱 Configuração'!$C$51,'🌱 Configuração'!$B$51+24&lt;'🌱 Configuração'!$D$51,INT(('🌱 Configuração'!$B$51+24-'🌱 Configuração'!$C$51)/7)+1=5,MOD('🌱 Configuração'!$B$51+24-'🌱 Configuração'!$C$51,7)=0),"🐛 Calda Bordalesa 0.5% foliar",IF(AND('🌱 Configuração'!$B$51+24&gt;='🌱 Configuração'!$C$51,'🌱 Configuração'!$B$51+24&lt;'🌱 Configuração'!$D$51,INT(('🌱 Configuração'!$B$51+24-'🌱 Configuração'!$C$51)/7)+1=6,MOD('🌱 Configuração'!$B$51+24-'🌱 Configuração'!$C$51,7)=0),"🐛 Nim 2mL/L — ÚLTIMA foliar",IF(AND('🌱 Configuração'!$B$51+24&gt;='🌱 Configuração'!$D$51,'🌱 Configuração'!$B$51+24&lt;'🌱 Configuração'!$E$51,INT(('🌱 Configuração'!$B$51+24-'🌱 Configuração'!$D$51)/7)+1=1,MOD('🌱 Configuração'!$B$51+24-'🌱 Configuração'!$D$51,7)=0),"🐛 Beauveria bassiana solo (sem foliar)",IF(AND('🌱 Configuração'!$B$51+24&gt;='🌱 Configuração'!$D$51,'🌱 Configuração'!$B$51+24&lt;'🌱 Configuração'!$E$51,INT(('🌱 Configuração'!$B$51+24-'🌱 Configuração'!$D$51)/7)+1=2,MOD('🌱 Configuração'!$B$51+24-'🌱 Configuração'!$D$51,7)=0),"🐛 Trichoderma solo",IF(AND('🌱 Configuração'!$B$51+24&gt;='🌱 Configuração'!$D$51,'🌱 Configuração'!$B$51+24&lt;'🌱 Configuração'!$E$51,INT(('🌱 Configuração'!$B$51+24-'🌱 Configuração'!$D$51)/7)+1=3,MOD('🌱 Configuração'!$B$51+24-'🌱 Configuração'!$D$51,7)=0),"🐛 Beauveria bassiana solo",IF(AND('🌱 Configuração'!$B$51+24&gt;='🌱 Configuração'!$D$51,'🌱 Configuração'!$B$51+24&lt;'🌱 Configuração'!$E$51,INT(('🌱 Configuração'!$B$51+24-'🌱 Configuração'!$D$51)/7)+1=4,MOD('🌱 Configuração'!$B$51+24-'🌱 Configuração'!$D$51,7)=0),"🐛 Trichoderma solo",IF(AND('🌱 Configuração'!$B$51+24&gt;='🌱 Configuração'!$E$51,INT(('🌱 Configuração'!$B$51+24-'🌱 Configuração'!$E$51)/7)+1=1,MOD('🌱 Configuração'!$B$51+24-'🌱 Configuração'!$E$51,7)=0),"🐛 Inspeção final — sem aplicação",""))))))))))))))</f>
        <v/>
      </c>
      <c r="H30" s="22" t="str">
        <f>IF(25&gt;'🌱 Configuração'!$F$50,"",IF('🌱 Configuração'!$B$51+24='🌱 Configuração'!$C$51,"🌿 INÍCIO VEGA — ajustar espaço, luz 18h/dia — EC 0.8",IF('🌱 Configuração'!$B$51+24='🌱 Configuração'!$D$51,"🌸 INÍCIO FLORAÇÃO — mudar para 12h/12h — 🔴 atenção ao fotoperíodo",IF('🌱 Configuração'!$B$51+24='🌱 Configuração'!$E$51,"🚿 INÍCIO FLUSH — PARAR nutrição, somente água pura",IF('🌱 Configuração'!$B$51+24='🌱 Configuração'!$F$51-1,"🔬 Véspera da colheita — analisar tricomas âmbar",IF('🌱 Configuração'!$B$51+24='🌱 Configuração'!$F$51,"✂️ COLHEITA! Parabéns! 🎉",""))))))</f>
        <v/>
      </c>
    </row>
    <row r="31" spans="2:8" ht="18.75" customHeight="1" x14ac:dyDescent="0.3">
      <c r="B31" s="25">
        <f>IF(26&lt;='🌱 Configuração'!$F$50,26,"")</f>
        <v>26</v>
      </c>
      <c r="C31" s="26">
        <f>IF(26&lt;='🌱 Configuração'!$F$50,'🌱 Configuração'!$B$51+25,"")</f>
        <v>46048</v>
      </c>
      <c r="D31" s="27" t="str">
        <f>IF(26&gt;'🌱 Configuração'!$F$50,"",IF('🌱 Configuração'!$B$51+25&lt;'🌱 Configuração'!$C$51,"🌱 Clone",IF('🌱 Configuração'!$B$51+25&lt;'🌱 Configuração'!$D$51,"🌿 Vegetativo",IF('🌱 Configuração'!$B$51+25&lt;'🌱 Configuração'!$E$51,"🌸 Floração","🚿 Flush"))))</f>
        <v>🌿 Vegetativo</v>
      </c>
      <c r="E31" s="28" t="str">
        <f>IF(26&gt;'🌱 Configuração'!$F$50,"",IF('🌱 Configuração'!$B$51+25&lt;'🌱 Configuração'!$C$51,"Clone S"&amp;INT((26-1)/7)+1,IF('🌱 Configuração'!$B$51+25&lt;'🌱 Configuração'!$D$51,"Vega S"&amp;INT(('🌱 Configuração'!$B$51+25-'🌱 Configuração'!$C$51)/7)+1,IF('🌱 Configuração'!$B$51+25&lt;'🌱 Configuração'!$E$51,"Flora S"&amp;INT(('🌱 Configuração'!$B$51+25-'🌱 Configuração'!$D$51)/7)+1,"Flush S"&amp;INT(('🌱 Configuração'!$B$51+25-'🌱 Configuração'!$E$51)/7)+1))))</f>
        <v>Vega S2</v>
      </c>
      <c r="F31" s="29" t="str">
        <f>IF(26&gt;'🌱 Configuração'!$F$50,"",IF(AND('🌱 Configuração'!$B$51+25&lt;'🌱 Configuração'!$C$51,INT((26-1)/7)+1=1,MOD(26-1,7)=0),"🌱 Enraizador (0.5 mL/L)",IF(AND('🌱 Configuração'!$B$51+25&lt;'🌱 Configuração'!$C$51,INT((26-1)/7)+1=2,MOD(26-1,7)=0),"🌱 Enraizador + Vitamina B1",IF(AND('🌱 Configuração'!$B$51+25&gt;='🌱 Configuração'!$C$51,'🌱 Configuração'!$B$51+25&lt;'🌱 Configuração'!$D$51,INT(('🌱 Configuração'!$B$51+25-'🌱 Configuração'!$C$51)/7)+1=1,MOD('🌱 Configuração'!$B$51+25-'🌱 Configuração'!$C$51,7)=0),"🌿 Grow A+B início — EC 0.8",IF(AND('🌱 Configuração'!$B$51+25&gt;='🌱 Configuração'!$C$51,'🌱 Configuração'!$B$51+25&lt;'🌱 Configuração'!$D$51,INT(('🌱 Configuração'!$B$51+25-'🌱 Configuração'!$C$51)/7)+1=2,MOD('🌱 Configuração'!$B$51+25-'🌱 Configuração'!$C$51,7)=0),"🌿 Grow A+B + CalMag — EC 1.0",IF(AND('🌱 Configuração'!$B$51+25&gt;='🌱 Configuração'!$C$51,'🌱 Configuração'!$B$51+25&lt;'🌱 Configuração'!$D$51,INT(('🌱 Configuração'!$B$51+25-'🌱 Configuração'!$C$51)/7)+1=3,MOD('🌱 Configuração'!$B$51+25-'🌱 Configuração'!$C$51,7)=0),"🌿 Grow A+B + CalMag — EC 1.2",IF(AND('🌱 Configuração'!$B$51+25&gt;='🌱 Configuração'!$C$51,'🌱 Configuração'!$B$51+25&lt;'🌱 Configuração'!$D$51,INT(('🌱 Configuração'!$B$51+25-'🌱 Configuração'!$C$51)/7)+1=4,MOD('🌱 Configuração'!$B$51+25-'🌱 Configuração'!$C$51,7)=0),"🌿 Grow A+B + Enzimas — EC 1.4",IF(AND('🌱 Configuração'!$B$51+25&gt;='🌱 Configuração'!$C$51,'🌱 Configuração'!$B$51+25&lt;'🌱 Configuração'!$D$51,INT(('🌱 Configuração'!$B$51+25-'🌱 Configuração'!$C$51)/7)+1=5,MOD('🌱 Configuração'!$B$51+25-'🌱 Configuração'!$C$51,7)=0),"🌿 Grow A+B + Biorrizas — EC 1.5",IF(AND('🌱 Configuração'!$B$51+25&gt;='🌱 Configuração'!$C$51,'🌱 Configuração'!$B$51+25&lt;'🌱 Configuração'!$D$51,INT(('🌱 Configuração'!$B$51+25-'🌱 Configuração'!$C$51)/7)+1=6,MOD('🌱 Configuração'!$B$51+25-'🌱 Configuração'!$C$51,7)=0),"🌿 Transição Bloom — EC 1.4",IF(AND('🌱 Configuração'!$B$51+25&gt;='🌱 Configuração'!$C$51,'🌱 Configuração'!$B$51+25&lt;'🌱 Configuração'!$D$51,INT(('🌱 Configuração'!$B$51+25-'🌱 Configuração'!$C$51)/7)+1=7,MOD('🌱 Configuração'!$B$51+25-'🌱 Configuração'!$C$51,7)=0),"🌿 Bloom A+B transição — EC 1.4",IF(AND('🌱 Configuração'!$B$51+25&gt;='🌱 Configuração'!$C$51,'🌱 Configuração'!$B$51+25&lt;'🌱 Configuração'!$D$51,INT(('🌱 Configuração'!$B$51+25-'🌱 Configuração'!$C$51)/7)+1=8,MOD('🌱 Configuração'!$B$51+25-'🌱 Configuração'!$C$51,7)=0),"🌿 Bloom A+B — EC 1.4",IF(AND('🌱 Configuração'!$B$51+25&gt;='🌱 Configuração'!$D$51,'🌱 Configuração'!$B$51+25&lt;'🌱 Configuração'!$E$51,INT(('🌱 Configuração'!$B$51+25-'🌱 Configuração'!$D$51)/7)+1=1,MOD('🌱 Configuração'!$B$51+25-'🌱 Configuração'!$D$51,7)=0),"🌸 Bloom A+B — EC 1.6",IF(AND('🌱 Configuração'!$B$51+25&gt;='🌱 Configuração'!$D$51,'🌱 Configuração'!$B$51+25&lt;'🌱 Configuração'!$E$51,INT(('🌱 Configuração'!$B$51+25-'🌱 Configuração'!$D$51)/7)+1=2,MOD('🌱 Configuração'!$B$51+25-'🌱 Configuração'!$D$51,7)=0),"🌸 Bloom + PK 13/14 início",IF(AND('🌱 Configuração'!$B$51+25&gt;='🌱 Configuração'!$D$51,'🌱 Configuração'!$B$51+25&lt;'🌱 Configuração'!$E$51,INT(('🌱 Configuração'!$B$51+25-'🌱 Configuração'!$D$51)/7)+1=3,MOD('🌱 Configuração'!$B$51+25-'🌱 Configuração'!$D$51,7)=0),"🌸 Bloom + PK + CalMag — EC 1.8",IF(AND('🌱 Configuração'!$B$51+25&gt;='🌱 Configuração'!$D$51,'🌱 Configuração'!$B$51+25&lt;'🌱 Configuração'!$E$51,INT(('🌱 Configuração'!$B$51+25-'🌱 Configuração'!$D$51)/7)+1=4,MOD('🌱 Configuração'!$B$51+25-'🌱 Configuração'!$D$51,7)=0),"🌸 Bloom + PK + Boost Floral — EC 2.0",IF(AND('🌱 Configuração'!$B$51+25&gt;='🌱 Configuração'!$D$51,'🌱 Configuração'!$B$51+25&lt;'🌱 Configuração'!$E$51,INT(('🌱 Configuração'!$B$51+25-'🌱 Configuração'!$D$51)/7)+1=5,MOD('🌱 Configuração'!$B$51+25-'🌱 Configuração'!$D$51,7)=0),"🌸 Bloom + Boost + Amino",IF(AND('🌱 Configuração'!$B$51+25&gt;='🌱 Configuração'!$D$51,'🌱 Configuração'!$B$51+25&lt;'🌱 Configuração'!$E$51,INT(('🌱 Configuração'!$B$51+25-'🌱 Configuração'!$D$51)/7)+1=6,MOD('🌱 Configuração'!$B$51+25-'🌱 Configuração'!$D$51,7)=0),"🌸 Bloom + Enzimas + Amino",IF(AND('🌱 Configuração'!$B$51+25&gt;='🌱 Configuração'!$D$51,'🌱 Configuração'!$B$51+25&lt;'🌱 Configuração'!$E$51,INT(('🌱 Configuração'!$B$51+25-'🌱 Configuração'!$D$51)/7)+1=7,MOD('🌱 Configuração'!$B$51+25-'🌱 Configuração'!$D$51,7)=0),"🌸 Reduzir N — Bloom puro — EC 1.6",IF(AND('🌱 Configuração'!$B$51+25&gt;='🌱 Configuração'!$D$51,'🌱 Configuração'!$B$51+25&lt;'🌱 Configuração'!$E$51,INT(('🌱 Configuração'!$B$51+25-'🌱 Configuração'!$D$51)/7)+1=8,MOD('🌱 Configuração'!$B$51+25-'🌱 Configuração'!$D$51,7)=0),"🌸 Bloom puro — EC 1.4  (pré-flush)",IF(AND('🌱 Configuração'!$B$51+25&gt;='🌱 Configuração'!$D$51,'🌱 Configuração'!$B$51+25&lt;'🌱 Configuração'!$E$51,INT(('🌱 Configuração'!$B$51+25-'🌱 Configuração'!$D$51)/7)+1=9,MOD('🌱 Configuração'!$B$51+25-'🌱 Configuração'!$D$51,7)=0),"🌸 Último Bloom — EC 0.8",IF(AND('🌱 Configuração'!$B$51+25&gt;='🌱 Configuração'!$E$51,INT(('🌱 Configuração'!$B$51+25-'🌱 Configuração'!$E$51)/7)+1=1,MOD('🌱 Configuração'!$B$51+25-'🌱 Configuração'!$E$51,7)=0),"🚿 Água pura + Enzimas (EC &lt; 0.3)",IF(AND('🌱 Configuração'!$B$51+25&gt;='🌱 Configuração'!$E$51,INT(('🌱 Configuração'!$B$51+25-'🌱 Configuração'!$E$51)/7)+1=2,MOD('🌱 Configuração'!$B$51+25-'🌱 Configuração'!$E$51,7)=0),"🚿 Água pura (EC &lt; 0.2)",""))))))))))))))))))))))</f>
        <v/>
      </c>
      <c r="G31" s="30" t="str">
        <f>IF(26&gt;'🌱 Configuração'!$F$50,"",IF(AND('🌱 Configuração'!$B$51+25&lt;'🌱 Configuração'!$C$51,INT((26-1)/7)+1=1,MOD(26-1,7)=0),"🐛 Nim 2mL/L foliar — preventivo",IF(AND('🌱 Configuração'!$B$51+25&lt;'🌱 Configuração'!$C$51,INT((26-1)/7)+1=2,MOD(26-1,7)=0),"🐛 Beauveria bassiana foliar + solo",IF(AND('🌱 Configuração'!$B$51+25&gt;='🌱 Configuração'!$C$51,'🌱 Configuração'!$B$51+25&lt;'🌱 Configuração'!$D$51,INT(('🌱 Configuração'!$B$51+25-'🌱 Configuração'!$C$51)/7)+1=1,MOD('🌱 Configuração'!$B$51+25-'🌱 Configuração'!$C$51,7)=0),"🐛 Nim 2mL/L foliar",IF(AND('🌱 Configuração'!$B$51+25&gt;='🌱 Configuração'!$C$51,'🌱 Configuração'!$B$51+25&lt;'🌱 Configuração'!$D$51,INT(('🌱 Configuração'!$B$51+25-'🌱 Configuração'!$C$51)/7)+1=2,MOD('🌱 Configuração'!$B$51+25-'🌱 Configuração'!$C$51,7)=0),"🐛 Beauveria bassiana foliar",IF(AND('🌱 Configuração'!$B$51+25&gt;='🌱 Configuração'!$C$51,'🌱 Configuração'!$B$51+25&lt;'🌱 Configuração'!$D$51,INT(('🌱 Configuração'!$B$51+25-'🌱 Configuração'!$C$51)/7)+1=3,MOD('🌱 Configuração'!$B$51+25-'🌱 Configuração'!$C$51,7)=0),"🐛 Nim + Calda Sulfocálcica 1%",IF(AND('🌱 Configuração'!$B$51+25&gt;='🌱 Configuração'!$C$51,'🌱 Configuração'!$B$51+25&lt;'🌱 Configuração'!$D$51,INT(('🌱 Configuração'!$B$51+25-'🌱 Configuração'!$C$51)/7)+1=4,MOD('🌱 Configuração'!$B$51+25-'🌱 Configuração'!$C$51,7)=0),"🐛 Trichoderma solo + Beauveria",IF(AND('🌱 Configuração'!$B$51+25&gt;='🌱 Configuração'!$C$51,'🌱 Configuração'!$B$51+25&lt;'🌱 Configuração'!$D$51,INT(('🌱 Configuração'!$B$51+25-'🌱 Configuração'!$C$51)/7)+1=5,MOD('🌱 Configuração'!$B$51+25-'🌱 Configuração'!$C$51,7)=0),"🐛 Calda Bordalesa 0.5% foliar",IF(AND('🌱 Configuração'!$B$51+25&gt;='🌱 Configuração'!$C$51,'🌱 Configuração'!$B$51+25&lt;'🌱 Configuração'!$D$51,INT(('🌱 Configuração'!$B$51+25-'🌱 Configuração'!$C$51)/7)+1=6,MOD('🌱 Configuração'!$B$51+25-'🌱 Configuração'!$C$51,7)=0),"🐛 Nim 2mL/L — ÚLTIMA foliar",IF(AND('🌱 Configuração'!$B$51+25&gt;='🌱 Configuração'!$D$51,'🌱 Configuração'!$B$51+25&lt;'🌱 Configuração'!$E$51,INT(('🌱 Configuração'!$B$51+25-'🌱 Configuração'!$D$51)/7)+1=1,MOD('🌱 Configuração'!$B$51+25-'🌱 Configuração'!$D$51,7)=0),"🐛 Beauveria bassiana solo (sem foliar)",IF(AND('🌱 Configuração'!$B$51+25&gt;='🌱 Configuração'!$D$51,'🌱 Configuração'!$B$51+25&lt;'🌱 Configuração'!$E$51,INT(('🌱 Configuração'!$B$51+25-'🌱 Configuração'!$D$51)/7)+1=2,MOD('🌱 Configuração'!$B$51+25-'🌱 Configuração'!$D$51,7)=0),"🐛 Trichoderma solo",IF(AND('🌱 Configuração'!$B$51+25&gt;='🌱 Configuração'!$D$51,'🌱 Configuração'!$B$51+25&lt;'🌱 Configuração'!$E$51,INT(('🌱 Configuração'!$B$51+25-'🌱 Configuração'!$D$51)/7)+1=3,MOD('🌱 Configuração'!$B$51+25-'🌱 Configuração'!$D$51,7)=0),"🐛 Beauveria bassiana solo",IF(AND('🌱 Configuração'!$B$51+25&gt;='🌱 Configuração'!$D$51,'🌱 Configuração'!$B$51+25&lt;'🌱 Configuração'!$E$51,INT(('🌱 Configuração'!$B$51+25-'🌱 Configuração'!$D$51)/7)+1=4,MOD('🌱 Configuração'!$B$51+25-'🌱 Configuração'!$D$51,7)=0),"🐛 Trichoderma solo",IF(AND('🌱 Configuração'!$B$51+25&gt;='🌱 Configuração'!$E$51,INT(('🌱 Configuração'!$B$51+25-'🌱 Configuração'!$E$51)/7)+1=1,MOD('🌱 Configuração'!$B$51+25-'🌱 Configuração'!$E$51,7)=0),"🐛 Inspeção final — sem aplicação",""))))))))))))))</f>
        <v/>
      </c>
      <c r="H31" s="22" t="str">
        <f>IF(26&gt;'🌱 Configuração'!$F$50,"",IF('🌱 Configuração'!$B$51+25='🌱 Configuração'!$C$51,"🌿 INÍCIO VEGA — ajustar espaço, luz 18h/dia — EC 0.8",IF('🌱 Configuração'!$B$51+25='🌱 Configuração'!$D$51,"🌸 INÍCIO FLORAÇÃO — mudar para 12h/12h — 🔴 atenção ao fotoperíodo",IF('🌱 Configuração'!$B$51+25='🌱 Configuração'!$E$51,"🚿 INÍCIO FLUSH — PARAR nutrição, somente água pura",IF('🌱 Configuração'!$B$51+25='🌱 Configuração'!$F$51-1,"🔬 Véspera da colheita — analisar tricomas âmbar",IF('🌱 Configuração'!$B$51+25='🌱 Configuração'!$F$51,"✂️ COLHEITA! Parabéns! 🎉",""))))))</f>
        <v/>
      </c>
    </row>
    <row r="32" spans="2:8" ht="18.75" customHeight="1" x14ac:dyDescent="0.3">
      <c r="B32" s="25">
        <f>IF(27&lt;='🌱 Configuração'!$F$50,27,"")</f>
        <v>27</v>
      </c>
      <c r="C32" s="26">
        <f>IF(27&lt;='🌱 Configuração'!$F$50,'🌱 Configuração'!$B$51+26,"")</f>
        <v>46049</v>
      </c>
      <c r="D32" s="27" t="str">
        <f>IF(27&gt;'🌱 Configuração'!$F$50,"",IF('🌱 Configuração'!$B$51+26&lt;'🌱 Configuração'!$C$51,"🌱 Clone",IF('🌱 Configuração'!$B$51+26&lt;'🌱 Configuração'!$D$51,"🌿 Vegetativo",IF('🌱 Configuração'!$B$51+26&lt;'🌱 Configuração'!$E$51,"🌸 Floração","🚿 Flush"))))</f>
        <v>🌿 Vegetativo</v>
      </c>
      <c r="E32" s="28" t="str">
        <f>IF(27&gt;'🌱 Configuração'!$F$50,"",IF('🌱 Configuração'!$B$51+26&lt;'🌱 Configuração'!$C$51,"Clone S"&amp;INT((27-1)/7)+1,IF('🌱 Configuração'!$B$51+26&lt;'🌱 Configuração'!$D$51,"Vega S"&amp;INT(('🌱 Configuração'!$B$51+26-'🌱 Configuração'!$C$51)/7)+1,IF('🌱 Configuração'!$B$51+26&lt;'🌱 Configuração'!$E$51,"Flora S"&amp;INT(('🌱 Configuração'!$B$51+26-'🌱 Configuração'!$D$51)/7)+1,"Flush S"&amp;INT(('🌱 Configuração'!$B$51+26-'🌱 Configuração'!$E$51)/7)+1))))</f>
        <v>Vega S2</v>
      </c>
      <c r="F32" s="29" t="str">
        <f>IF(27&gt;'🌱 Configuração'!$F$50,"",IF(AND('🌱 Configuração'!$B$51+26&lt;'🌱 Configuração'!$C$51,INT((27-1)/7)+1=1,MOD(27-1,7)=0),"🌱 Enraizador (0.5 mL/L)",IF(AND('🌱 Configuração'!$B$51+26&lt;'🌱 Configuração'!$C$51,INT((27-1)/7)+1=2,MOD(27-1,7)=0),"🌱 Enraizador + Vitamina B1",IF(AND('🌱 Configuração'!$B$51+26&gt;='🌱 Configuração'!$C$51,'🌱 Configuração'!$B$51+26&lt;'🌱 Configuração'!$D$51,INT(('🌱 Configuração'!$B$51+26-'🌱 Configuração'!$C$51)/7)+1=1,MOD('🌱 Configuração'!$B$51+26-'🌱 Configuração'!$C$51,7)=0),"🌿 Grow A+B início — EC 0.8",IF(AND('🌱 Configuração'!$B$51+26&gt;='🌱 Configuração'!$C$51,'🌱 Configuração'!$B$51+26&lt;'🌱 Configuração'!$D$51,INT(('🌱 Configuração'!$B$51+26-'🌱 Configuração'!$C$51)/7)+1=2,MOD('🌱 Configuração'!$B$51+26-'🌱 Configuração'!$C$51,7)=0),"🌿 Grow A+B + CalMag — EC 1.0",IF(AND('🌱 Configuração'!$B$51+26&gt;='🌱 Configuração'!$C$51,'🌱 Configuração'!$B$51+26&lt;'🌱 Configuração'!$D$51,INT(('🌱 Configuração'!$B$51+26-'🌱 Configuração'!$C$51)/7)+1=3,MOD('🌱 Configuração'!$B$51+26-'🌱 Configuração'!$C$51,7)=0),"🌿 Grow A+B + CalMag — EC 1.2",IF(AND('🌱 Configuração'!$B$51+26&gt;='🌱 Configuração'!$C$51,'🌱 Configuração'!$B$51+26&lt;'🌱 Configuração'!$D$51,INT(('🌱 Configuração'!$B$51+26-'🌱 Configuração'!$C$51)/7)+1=4,MOD('🌱 Configuração'!$B$51+26-'🌱 Configuração'!$C$51,7)=0),"🌿 Grow A+B + Enzimas — EC 1.4",IF(AND('🌱 Configuração'!$B$51+26&gt;='🌱 Configuração'!$C$51,'🌱 Configuração'!$B$51+26&lt;'🌱 Configuração'!$D$51,INT(('🌱 Configuração'!$B$51+26-'🌱 Configuração'!$C$51)/7)+1=5,MOD('🌱 Configuração'!$B$51+26-'🌱 Configuração'!$C$51,7)=0),"🌿 Grow A+B + Biorrizas — EC 1.5",IF(AND('🌱 Configuração'!$B$51+26&gt;='🌱 Configuração'!$C$51,'🌱 Configuração'!$B$51+26&lt;'🌱 Configuração'!$D$51,INT(('🌱 Configuração'!$B$51+26-'🌱 Configuração'!$C$51)/7)+1=6,MOD('🌱 Configuração'!$B$51+26-'🌱 Configuração'!$C$51,7)=0),"🌿 Transição Bloom — EC 1.4",IF(AND('🌱 Configuração'!$B$51+26&gt;='🌱 Configuração'!$C$51,'🌱 Configuração'!$B$51+26&lt;'🌱 Configuração'!$D$51,INT(('🌱 Configuração'!$B$51+26-'🌱 Configuração'!$C$51)/7)+1=7,MOD('🌱 Configuração'!$B$51+26-'🌱 Configuração'!$C$51,7)=0),"🌿 Bloom A+B transição — EC 1.4",IF(AND('🌱 Configuração'!$B$51+26&gt;='🌱 Configuração'!$C$51,'🌱 Configuração'!$B$51+26&lt;'🌱 Configuração'!$D$51,INT(('🌱 Configuração'!$B$51+26-'🌱 Configuração'!$C$51)/7)+1=8,MOD('🌱 Configuração'!$B$51+26-'🌱 Configuração'!$C$51,7)=0),"🌿 Bloom A+B — EC 1.4",IF(AND('🌱 Configuração'!$B$51+26&gt;='🌱 Configuração'!$D$51,'🌱 Configuração'!$B$51+26&lt;'🌱 Configuração'!$E$51,INT(('🌱 Configuração'!$B$51+26-'🌱 Configuração'!$D$51)/7)+1=1,MOD('🌱 Configuração'!$B$51+26-'🌱 Configuração'!$D$51,7)=0),"🌸 Bloom A+B — EC 1.6",IF(AND('🌱 Configuração'!$B$51+26&gt;='🌱 Configuração'!$D$51,'🌱 Configuração'!$B$51+26&lt;'🌱 Configuração'!$E$51,INT(('🌱 Configuração'!$B$51+26-'🌱 Configuração'!$D$51)/7)+1=2,MOD('🌱 Configuração'!$B$51+26-'🌱 Configuração'!$D$51,7)=0),"🌸 Bloom + PK 13/14 início",IF(AND('🌱 Configuração'!$B$51+26&gt;='🌱 Configuração'!$D$51,'🌱 Configuração'!$B$51+26&lt;'🌱 Configuração'!$E$51,INT(('🌱 Configuração'!$B$51+26-'🌱 Configuração'!$D$51)/7)+1=3,MOD('🌱 Configuração'!$B$51+26-'🌱 Configuração'!$D$51,7)=0),"🌸 Bloom + PK + CalMag — EC 1.8",IF(AND('🌱 Configuração'!$B$51+26&gt;='🌱 Configuração'!$D$51,'🌱 Configuração'!$B$51+26&lt;'🌱 Configuração'!$E$51,INT(('🌱 Configuração'!$B$51+26-'🌱 Configuração'!$D$51)/7)+1=4,MOD('🌱 Configuração'!$B$51+26-'🌱 Configuração'!$D$51,7)=0),"🌸 Bloom + PK + Boost Floral — EC 2.0",IF(AND('🌱 Configuração'!$B$51+26&gt;='🌱 Configuração'!$D$51,'🌱 Configuração'!$B$51+26&lt;'🌱 Configuração'!$E$51,INT(('🌱 Configuração'!$B$51+26-'🌱 Configuração'!$D$51)/7)+1=5,MOD('🌱 Configuração'!$B$51+26-'🌱 Configuração'!$D$51,7)=0),"🌸 Bloom + Boost + Amino",IF(AND('🌱 Configuração'!$B$51+26&gt;='🌱 Configuração'!$D$51,'🌱 Configuração'!$B$51+26&lt;'🌱 Configuração'!$E$51,INT(('🌱 Configuração'!$B$51+26-'🌱 Configuração'!$D$51)/7)+1=6,MOD('🌱 Configuração'!$B$51+26-'🌱 Configuração'!$D$51,7)=0),"🌸 Bloom + Enzimas + Amino",IF(AND('🌱 Configuração'!$B$51+26&gt;='🌱 Configuração'!$D$51,'🌱 Configuração'!$B$51+26&lt;'🌱 Configuração'!$E$51,INT(('🌱 Configuração'!$B$51+26-'🌱 Configuração'!$D$51)/7)+1=7,MOD('🌱 Configuração'!$B$51+26-'🌱 Configuração'!$D$51,7)=0),"🌸 Reduzir N — Bloom puro — EC 1.6",IF(AND('🌱 Configuração'!$B$51+26&gt;='🌱 Configuração'!$D$51,'🌱 Configuração'!$B$51+26&lt;'🌱 Configuração'!$E$51,INT(('🌱 Configuração'!$B$51+26-'🌱 Configuração'!$D$51)/7)+1=8,MOD('🌱 Configuração'!$B$51+26-'🌱 Configuração'!$D$51,7)=0),"🌸 Bloom puro — EC 1.4  (pré-flush)",IF(AND('🌱 Configuração'!$B$51+26&gt;='🌱 Configuração'!$D$51,'🌱 Configuração'!$B$51+26&lt;'🌱 Configuração'!$E$51,INT(('🌱 Configuração'!$B$51+26-'🌱 Configuração'!$D$51)/7)+1=9,MOD('🌱 Configuração'!$B$51+26-'🌱 Configuração'!$D$51,7)=0),"🌸 Último Bloom — EC 0.8",IF(AND('🌱 Configuração'!$B$51+26&gt;='🌱 Configuração'!$E$51,INT(('🌱 Configuração'!$B$51+26-'🌱 Configuração'!$E$51)/7)+1=1,MOD('🌱 Configuração'!$B$51+26-'🌱 Configuração'!$E$51,7)=0),"🚿 Água pura + Enzimas (EC &lt; 0.3)",IF(AND('🌱 Configuração'!$B$51+26&gt;='🌱 Configuração'!$E$51,INT(('🌱 Configuração'!$B$51+26-'🌱 Configuração'!$E$51)/7)+1=2,MOD('🌱 Configuração'!$B$51+26-'🌱 Configuração'!$E$51,7)=0),"🚿 Água pura (EC &lt; 0.2)",""))))))))))))))))))))))</f>
        <v/>
      </c>
      <c r="G32" s="30" t="str">
        <f>IF(27&gt;'🌱 Configuração'!$F$50,"",IF(AND('🌱 Configuração'!$B$51+26&lt;'🌱 Configuração'!$C$51,INT((27-1)/7)+1=1,MOD(27-1,7)=0),"🐛 Nim 2mL/L foliar — preventivo",IF(AND('🌱 Configuração'!$B$51+26&lt;'🌱 Configuração'!$C$51,INT((27-1)/7)+1=2,MOD(27-1,7)=0),"🐛 Beauveria bassiana foliar + solo",IF(AND('🌱 Configuração'!$B$51+26&gt;='🌱 Configuração'!$C$51,'🌱 Configuração'!$B$51+26&lt;'🌱 Configuração'!$D$51,INT(('🌱 Configuração'!$B$51+26-'🌱 Configuração'!$C$51)/7)+1=1,MOD('🌱 Configuração'!$B$51+26-'🌱 Configuração'!$C$51,7)=0),"🐛 Nim 2mL/L foliar",IF(AND('🌱 Configuração'!$B$51+26&gt;='🌱 Configuração'!$C$51,'🌱 Configuração'!$B$51+26&lt;'🌱 Configuração'!$D$51,INT(('🌱 Configuração'!$B$51+26-'🌱 Configuração'!$C$51)/7)+1=2,MOD('🌱 Configuração'!$B$51+26-'🌱 Configuração'!$C$51,7)=0),"🐛 Beauveria bassiana foliar",IF(AND('🌱 Configuração'!$B$51+26&gt;='🌱 Configuração'!$C$51,'🌱 Configuração'!$B$51+26&lt;'🌱 Configuração'!$D$51,INT(('🌱 Configuração'!$B$51+26-'🌱 Configuração'!$C$51)/7)+1=3,MOD('🌱 Configuração'!$B$51+26-'🌱 Configuração'!$C$51,7)=0),"🐛 Nim + Calda Sulfocálcica 1%",IF(AND('🌱 Configuração'!$B$51+26&gt;='🌱 Configuração'!$C$51,'🌱 Configuração'!$B$51+26&lt;'🌱 Configuração'!$D$51,INT(('🌱 Configuração'!$B$51+26-'🌱 Configuração'!$C$51)/7)+1=4,MOD('🌱 Configuração'!$B$51+26-'🌱 Configuração'!$C$51,7)=0),"🐛 Trichoderma solo + Beauveria",IF(AND('🌱 Configuração'!$B$51+26&gt;='🌱 Configuração'!$C$51,'🌱 Configuração'!$B$51+26&lt;'🌱 Configuração'!$D$51,INT(('🌱 Configuração'!$B$51+26-'🌱 Configuração'!$C$51)/7)+1=5,MOD('🌱 Configuração'!$B$51+26-'🌱 Configuração'!$C$51,7)=0),"🐛 Calda Bordalesa 0.5% foliar",IF(AND('🌱 Configuração'!$B$51+26&gt;='🌱 Configuração'!$C$51,'🌱 Configuração'!$B$51+26&lt;'🌱 Configuração'!$D$51,INT(('🌱 Configuração'!$B$51+26-'🌱 Configuração'!$C$51)/7)+1=6,MOD('🌱 Configuração'!$B$51+26-'🌱 Configuração'!$C$51,7)=0),"🐛 Nim 2mL/L — ÚLTIMA foliar",IF(AND('🌱 Configuração'!$B$51+26&gt;='🌱 Configuração'!$D$51,'🌱 Configuração'!$B$51+26&lt;'🌱 Configuração'!$E$51,INT(('🌱 Configuração'!$B$51+26-'🌱 Configuração'!$D$51)/7)+1=1,MOD('🌱 Configuração'!$B$51+26-'🌱 Configuração'!$D$51,7)=0),"🐛 Beauveria bassiana solo (sem foliar)",IF(AND('🌱 Configuração'!$B$51+26&gt;='🌱 Configuração'!$D$51,'🌱 Configuração'!$B$51+26&lt;'🌱 Configuração'!$E$51,INT(('🌱 Configuração'!$B$51+26-'🌱 Configuração'!$D$51)/7)+1=2,MOD('🌱 Configuração'!$B$51+26-'🌱 Configuração'!$D$51,7)=0),"🐛 Trichoderma solo",IF(AND('🌱 Configuração'!$B$51+26&gt;='🌱 Configuração'!$D$51,'🌱 Configuração'!$B$51+26&lt;'🌱 Configuração'!$E$51,INT(('🌱 Configuração'!$B$51+26-'🌱 Configuração'!$D$51)/7)+1=3,MOD('🌱 Configuração'!$B$51+26-'🌱 Configuração'!$D$51,7)=0),"🐛 Beauveria bassiana solo",IF(AND('🌱 Configuração'!$B$51+26&gt;='🌱 Configuração'!$D$51,'🌱 Configuração'!$B$51+26&lt;'🌱 Configuração'!$E$51,INT(('🌱 Configuração'!$B$51+26-'🌱 Configuração'!$D$51)/7)+1=4,MOD('🌱 Configuração'!$B$51+26-'🌱 Configuração'!$D$51,7)=0),"🐛 Trichoderma solo",IF(AND('🌱 Configuração'!$B$51+26&gt;='🌱 Configuração'!$E$51,INT(('🌱 Configuração'!$B$51+26-'🌱 Configuração'!$E$51)/7)+1=1,MOD('🌱 Configuração'!$B$51+26-'🌱 Configuração'!$E$51,7)=0),"🐛 Inspeção final — sem aplicação",""))))))))))))))</f>
        <v/>
      </c>
      <c r="H32" s="22" t="str">
        <f>IF(27&gt;'🌱 Configuração'!$F$50,"",IF('🌱 Configuração'!$B$51+26='🌱 Configuração'!$C$51,"🌿 INÍCIO VEGA — ajustar espaço, luz 18h/dia — EC 0.8",IF('🌱 Configuração'!$B$51+26='🌱 Configuração'!$D$51,"🌸 INÍCIO FLORAÇÃO — mudar para 12h/12h — 🔴 atenção ao fotoperíodo",IF('🌱 Configuração'!$B$51+26='🌱 Configuração'!$E$51,"🚿 INÍCIO FLUSH — PARAR nutrição, somente água pura",IF('🌱 Configuração'!$B$51+26='🌱 Configuração'!$F$51-1,"🔬 Véspera da colheita — analisar tricomas âmbar",IF('🌱 Configuração'!$B$51+26='🌱 Configuração'!$F$51,"✂️ COLHEITA! Parabéns! 🎉",""))))))</f>
        <v/>
      </c>
    </row>
    <row r="33" spans="2:8" ht="18.75" customHeight="1" x14ac:dyDescent="0.3">
      <c r="B33" s="25">
        <f>IF(28&lt;='🌱 Configuração'!$F$50,28,"")</f>
        <v>28</v>
      </c>
      <c r="C33" s="26">
        <f>IF(28&lt;='🌱 Configuração'!$F$50,'🌱 Configuração'!$B$51+27,"")</f>
        <v>46050</v>
      </c>
      <c r="D33" s="27" t="str">
        <f>IF(28&gt;'🌱 Configuração'!$F$50,"",IF('🌱 Configuração'!$B$51+27&lt;'🌱 Configuração'!$C$51,"🌱 Clone",IF('🌱 Configuração'!$B$51+27&lt;'🌱 Configuração'!$D$51,"🌿 Vegetativo",IF('🌱 Configuração'!$B$51+27&lt;'🌱 Configuração'!$E$51,"🌸 Floração","🚿 Flush"))))</f>
        <v>🌿 Vegetativo</v>
      </c>
      <c r="E33" s="28" t="str">
        <f>IF(28&gt;'🌱 Configuração'!$F$50,"",IF('🌱 Configuração'!$B$51+27&lt;'🌱 Configuração'!$C$51,"Clone S"&amp;INT((28-1)/7)+1,IF('🌱 Configuração'!$B$51+27&lt;'🌱 Configuração'!$D$51,"Vega S"&amp;INT(('🌱 Configuração'!$B$51+27-'🌱 Configuração'!$C$51)/7)+1,IF('🌱 Configuração'!$B$51+27&lt;'🌱 Configuração'!$E$51,"Flora S"&amp;INT(('🌱 Configuração'!$B$51+27-'🌱 Configuração'!$D$51)/7)+1,"Flush S"&amp;INT(('🌱 Configuração'!$B$51+27-'🌱 Configuração'!$E$51)/7)+1))))</f>
        <v>Vega S2</v>
      </c>
      <c r="F33" s="29" t="str">
        <f>IF(28&gt;'🌱 Configuração'!$F$50,"",IF(AND('🌱 Configuração'!$B$51+27&lt;'🌱 Configuração'!$C$51,INT((28-1)/7)+1=1,MOD(28-1,7)=0),"🌱 Enraizador (0.5 mL/L)",IF(AND('🌱 Configuração'!$B$51+27&lt;'🌱 Configuração'!$C$51,INT((28-1)/7)+1=2,MOD(28-1,7)=0),"🌱 Enraizador + Vitamina B1",IF(AND('🌱 Configuração'!$B$51+27&gt;='🌱 Configuração'!$C$51,'🌱 Configuração'!$B$51+27&lt;'🌱 Configuração'!$D$51,INT(('🌱 Configuração'!$B$51+27-'🌱 Configuração'!$C$51)/7)+1=1,MOD('🌱 Configuração'!$B$51+27-'🌱 Configuração'!$C$51,7)=0),"🌿 Grow A+B início — EC 0.8",IF(AND('🌱 Configuração'!$B$51+27&gt;='🌱 Configuração'!$C$51,'🌱 Configuração'!$B$51+27&lt;'🌱 Configuração'!$D$51,INT(('🌱 Configuração'!$B$51+27-'🌱 Configuração'!$C$51)/7)+1=2,MOD('🌱 Configuração'!$B$51+27-'🌱 Configuração'!$C$51,7)=0),"🌿 Grow A+B + CalMag — EC 1.0",IF(AND('🌱 Configuração'!$B$51+27&gt;='🌱 Configuração'!$C$51,'🌱 Configuração'!$B$51+27&lt;'🌱 Configuração'!$D$51,INT(('🌱 Configuração'!$B$51+27-'🌱 Configuração'!$C$51)/7)+1=3,MOD('🌱 Configuração'!$B$51+27-'🌱 Configuração'!$C$51,7)=0),"🌿 Grow A+B + CalMag — EC 1.2",IF(AND('🌱 Configuração'!$B$51+27&gt;='🌱 Configuração'!$C$51,'🌱 Configuração'!$B$51+27&lt;'🌱 Configuração'!$D$51,INT(('🌱 Configuração'!$B$51+27-'🌱 Configuração'!$C$51)/7)+1=4,MOD('🌱 Configuração'!$B$51+27-'🌱 Configuração'!$C$51,7)=0),"🌿 Grow A+B + Enzimas — EC 1.4",IF(AND('🌱 Configuração'!$B$51+27&gt;='🌱 Configuração'!$C$51,'🌱 Configuração'!$B$51+27&lt;'🌱 Configuração'!$D$51,INT(('🌱 Configuração'!$B$51+27-'🌱 Configuração'!$C$51)/7)+1=5,MOD('🌱 Configuração'!$B$51+27-'🌱 Configuração'!$C$51,7)=0),"🌿 Grow A+B + Biorrizas — EC 1.5",IF(AND('🌱 Configuração'!$B$51+27&gt;='🌱 Configuração'!$C$51,'🌱 Configuração'!$B$51+27&lt;'🌱 Configuração'!$D$51,INT(('🌱 Configuração'!$B$51+27-'🌱 Configuração'!$C$51)/7)+1=6,MOD('🌱 Configuração'!$B$51+27-'🌱 Configuração'!$C$51,7)=0),"🌿 Transição Bloom — EC 1.4",IF(AND('🌱 Configuração'!$B$51+27&gt;='🌱 Configuração'!$C$51,'🌱 Configuração'!$B$51+27&lt;'🌱 Configuração'!$D$51,INT(('🌱 Configuração'!$B$51+27-'🌱 Configuração'!$C$51)/7)+1=7,MOD('🌱 Configuração'!$B$51+27-'🌱 Configuração'!$C$51,7)=0),"🌿 Bloom A+B transição — EC 1.4",IF(AND('🌱 Configuração'!$B$51+27&gt;='🌱 Configuração'!$C$51,'🌱 Configuração'!$B$51+27&lt;'🌱 Configuração'!$D$51,INT(('🌱 Configuração'!$B$51+27-'🌱 Configuração'!$C$51)/7)+1=8,MOD('🌱 Configuração'!$B$51+27-'🌱 Configuração'!$C$51,7)=0),"🌿 Bloom A+B — EC 1.4",IF(AND('🌱 Configuração'!$B$51+27&gt;='🌱 Configuração'!$D$51,'🌱 Configuração'!$B$51+27&lt;'🌱 Configuração'!$E$51,INT(('🌱 Configuração'!$B$51+27-'🌱 Configuração'!$D$51)/7)+1=1,MOD('🌱 Configuração'!$B$51+27-'🌱 Configuração'!$D$51,7)=0),"🌸 Bloom A+B — EC 1.6",IF(AND('🌱 Configuração'!$B$51+27&gt;='🌱 Configuração'!$D$51,'🌱 Configuração'!$B$51+27&lt;'🌱 Configuração'!$E$51,INT(('🌱 Configuração'!$B$51+27-'🌱 Configuração'!$D$51)/7)+1=2,MOD('🌱 Configuração'!$B$51+27-'🌱 Configuração'!$D$51,7)=0),"🌸 Bloom + PK 13/14 início",IF(AND('🌱 Configuração'!$B$51+27&gt;='🌱 Configuração'!$D$51,'🌱 Configuração'!$B$51+27&lt;'🌱 Configuração'!$E$51,INT(('🌱 Configuração'!$B$51+27-'🌱 Configuração'!$D$51)/7)+1=3,MOD('🌱 Configuração'!$B$51+27-'🌱 Configuração'!$D$51,7)=0),"🌸 Bloom + PK + CalMag — EC 1.8",IF(AND('🌱 Configuração'!$B$51+27&gt;='🌱 Configuração'!$D$51,'🌱 Configuração'!$B$51+27&lt;'🌱 Configuração'!$E$51,INT(('🌱 Configuração'!$B$51+27-'🌱 Configuração'!$D$51)/7)+1=4,MOD('🌱 Configuração'!$B$51+27-'🌱 Configuração'!$D$51,7)=0),"🌸 Bloom + PK + Boost Floral — EC 2.0",IF(AND('🌱 Configuração'!$B$51+27&gt;='🌱 Configuração'!$D$51,'🌱 Configuração'!$B$51+27&lt;'🌱 Configuração'!$E$51,INT(('🌱 Configuração'!$B$51+27-'🌱 Configuração'!$D$51)/7)+1=5,MOD('🌱 Configuração'!$B$51+27-'🌱 Configuração'!$D$51,7)=0),"🌸 Bloom + Boost + Amino",IF(AND('🌱 Configuração'!$B$51+27&gt;='🌱 Configuração'!$D$51,'🌱 Configuração'!$B$51+27&lt;'🌱 Configuração'!$E$51,INT(('🌱 Configuração'!$B$51+27-'🌱 Configuração'!$D$51)/7)+1=6,MOD('🌱 Configuração'!$B$51+27-'🌱 Configuração'!$D$51,7)=0),"🌸 Bloom + Enzimas + Amino",IF(AND('🌱 Configuração'!$B$51+27&gt;='🌱 Configuração'!$D$51,'🌱 Configuração'!$B$51+27&lt;'🌱 Configuração'!$E$51,INT(('🌱 Configuração'!$B$51+27-'🌱 Configuração'!$D$51)/7)+1=7,MOD('🌱 Configuração'!$B$51+27-'🌱 Configuração'!$D$51,7)=0),"🌸 Reduzir N — Bloom puro — EC 1.6",IF(AND('🌱 Configuração'!$B$51+27&gt;='🌱 Configuração'!$D$51,'🌱 Configuração'!$B$51+27&lt;'🌱 Configuração'!$E$51,INT(('🌱 Configuração'!$B$51+27-'🌱 Configuração'!$D$51)/7)+1=8,MOD('🌱 Configuração'!$B$51+27-'🌱 Configuração'!$D$51,7)=0),"🌸 Bloom puro — EC 1.4  (pré-flush)",IF(AND('🌱 Configuração'!$B$51+27&gt;='🌱 Configuração'!$D$51,'🌱 Configuração'!$B$51+27&lt;'🌱 Configuração'!$E$51,INT(('🌱 Configuração'!$B$51+27-'🌱 Configuração'!$D$51)/7)+1=9,MOD('🌱 Configuração'!$B$51+27-'🌱 Configuração'!$D$51,7)=0),"🌸 Último Bloom — EC 0.8",IF(AND('🌱 Configuração'!$B$51+27&gt;='🌱 Configuração'!$E$51,INT(('🌱 Configuração'!$B$51+27-'🌱 Configuração'!$E$51)/7)+1=1,MOD('🌱 Configuração'!$B$51+27-'🌱 Configuração'!$E$51,7)=0),"🚿 Água pura + Enzimas (EC &lt; 0.3)",IF(AND('🌱 Configuração'!$B$51+27&gt;='🌱 Configuração'!$E$51,INT(('🌱 Configuração'!$B$51+27-'🌱 Configuração'!$E$51)/7)+1=2,MOD('🌱 Configuração'!$B$51+27-'🌱 Configuração'!$E$51,7)=0),"🚿 Água pura (EC &lt; 0.2)",""))))))))))))))))))))))</f>
        <v/>
      </c>
      <c r="G33" s="30" t="str">
        <f>IF(28&gt;'🌱 Configuração'!$F$50,"",IF(AND('🌱 Configuração'!$B$51+27&lt;'🌱 Configuração'!$C$51,INT((28-1)/7)+1=1,MOD(28-1,7)=0),"🐛 Nim 2mL/L foliar — preventivo",IF(AND('🌱 Configuração'!$B$51+27&lt;'🌱 Configuração'!$C$51,INT((28-1)/7)+1=2,MOD(28-1,7)=0),"🐛 Beauveria bassiana foliar + solo",IF(AND('🌱 Configuração'!$B$51+27&gt;='🌱 Configuração'!$C$51,'🌱 Configuração'!$B$51+27&lt;'🌱 Configuração'!$D$51,INT(('🌱 Configuração'!$B$51+27-'🌱 Configuração'!$C$51)/7)+1=1,MOD('🌱 Configuração'!$B$51+27-'🌱 Configuração'!$C$51,7)=0),"🐛 Nim 2mL/L foliar",IF(AND('🌱 Configuração'!$B$51+27&gt;='🌱 Configuração'!$C$51,'🌱 Configuração'!$B$51+27&lt;'🌱 Configuração'!$D$51,INT(('🌱 Configuração'!$B$51+27-'🌱 Configuração'!$C$51)/7)+1=2,MOD('🌱 Configuração'!$B$51+27-'🌱 Configuração'!$C$51,7)=0),"🐛 Beauveria bassiana foliar",IF(AND('🌱 Configuração'!$B$51+27&gt;='🌱 Configuração'!$C$51,'🌱 Configuração'!$B$51+27&lt;'🌱 Configuração'!$D$51,INT(('🌱 Configuração'!$B$51+27-'🌱 Configuração'!$C$51)/7)+1=3,MOD('🌱 Configuração'!$B$51+27-'🌱 Configuração'!$C$51,7)=0),"🐛 Nim + Calda Sulfocálcica 1%",IF(AND('🌱 Configuração'!$B$51+27&gt;='🌱 Configuração'!$C$51,'🌱 Configuração'!$B$51+27&lt;'🌱 Configuração'!$D$51,INT(('🌱 Configuração'!$B$51+27-'🌱 Configuração'!$C$51)/7)+1=4,MOD('🌱 Configuração'!$B$51+27-'🌱 Configuração'!$C$51,7)=0),"🐛 Trichoderma solo + Beauveria",IF(AND('🌱 Configuração'!$B$51+27&gt;='🌱 Configuração'!$C$51,'🌱 Configuração'!$B$51+27&lt;'🌱 Configuração'!$D$51,INT(('🌱 Configuração'!$B$51+27-'🌱 Configuração'!$C$51)/7)+1=5,MOD('🌱 Configuração'!$B$51+27-'🌱 Configuração'!$C$51,7)=0),"🐛 Calda Bordalesa 0.5% foliar",IF(AND('🌱 Configuração'!$B$51+27&gt;='🌱 Configuração'!$C$51,'🌱 Configuração'!$B$51+27&lt;'🌱 Configuração'!$D$51,INT(('🌱 Configuração'!$B$51+27-'🌱 Configuração'!$C$51)/7)+1=6,MOD('🌱 Configuração'!$B$51+27-'🌱 Configuração'!$C$51,7)=0),"🐛 Nim 2mL/L — ÚLTIMA foliar",IF(AND('🌱 Configuração'!$B$51+27&gt;='🌱 Configuração'!$D$51,'🌱 Configuração'!$B$51+27&lt;'🌱 Configuração'!$E$51,INT(('🌱 Configuração'!$B$51+27-'🌱 Configuração'!$D$51)/7)+1=1,MOD('🌱 Configuração'!$B$51+27-'🌱 Configuração'!$D$51,7)=0),"🐛 Beauveria bassiana solo (sem foliar)",IF(AND('🌱 Configuração'!$B$51+27&gt;='🌱 Configuração'!$D$51,'🌱 Configuração'!$B$51+27&lt;'🌱 Configuração'!$E$51,INT(('🌱 Configuração'!$B$51+27-'🌱 Configuração'!$D$51)/7)+1=2,MOD('🌱 Configuração'!$B$51+27-'🌱 Configuração'!$D$51,7)=0),"🐛 Trichoderma solo",IF(AND('🌱 Configuração'!$B$51+27&gt;='🌱 Configuração'!$D$51,'🌱 Configuração'!$B$51+27&lt;'🌱 Configuração'!$E$51,INT(('🌱 Configuração'!$B$51+27-'🌱 Configuração'!$D$51)/7)+1=3,MOD('🌱 Configuração'!$B$51+27-'🌱 Configuração'!$D$51,7)=0),"🐛 Beauveria bassiana solo",IF(AND('🌱 Configuração'!$B$51+27&gt;='🌱 Configuração'!$D$51,'🌱 Configuração'!$B$51+27&lt;'🌱 Configuração'!$E$51,INT(('🌱 Configuração'!$B$51+27-'🌱 Configuração'!$D$51)/7)+1=4,MOD('🌱 Configuração'!$B$51+27-'🌱 Configuração'!$D$51,7)=0),"🐛 Trichoderma solo",IF(AND('🌱 Configuração'!$B$51+27&gt;='🌱 Configuração'!$E$51,INT(('🌱 Configuração'!$B$51+27-'🌱 Configuração'!$E$51)/7)+1=1,MOD('🌱 Configuração'!$B$51+27-'🌱 Configuração'!$E$51,7)=0),"🐛 Inspeção final — sem aplicação",""))))))))))))))</f>
        <v/>
      </c>
      <c r="H33" s="22" t="str">
        <f>IF(28&gt;'🌱 Configuração'!$F$50,"",IF('🌱 Configuração'!$B$51+27='🌱 Configuração'!$C$51,"🌿 INÍCIO VEGA — ajustar espaço, luz 18h/dia — EC 0.8",IF('🌱 Configuração'!$B$51+27='🌱 Configuração'!$D$51,"🌸 INÍCIO FLORAÇÃO — mudar para 12h/12h — 🔴 atenção ao fotoperíodo",IF('🌱 Configuração'!$B$51+27='🌱 Configuração'!$E$51,"🚿 INÍCIO FLUSH — PARAR nutrição, somente água pura",IF('🌱 Configuração'!$B$51+27='🌱 Configuração'!$F$51-1,"🔬 Véspera da colheita — analisar tricomas âmbar",IF('🌱 Configuração'!$B$51+27='🌱 Configuração'!$F$51,"✂️ COLHEITA! Parabéns! 🎉",""))))))</f>
        <v/>
      </c>
    </row>
    <row r="34" spans="2:8" ht="18.75" customHeight="1" x14ac:dyDescent="0.3">
      <c r="B34" s="25">
        <f>IF(29&lt;='🌱 Configuração'!$F$50,29,"")</f>
        <v>29</v>
      </c>
      <c r="C34" s="26">
        <f>IF(29&lt;='🌱 Configuração'!$F$50,'🌱 Configuração'!$B$51+28,"")</f>
        <v>46051</v>
      </c>
      <c r="D34" s="27" t="str">
        <f>IF(29&gt;'🌱 Configuração'!$F$50,"",IF('🌱 Configuração'!$B$51+28&lt;'🌱 Configuração'!$C$51,"🌱 Clone",IF('🌱 Configuração'!$B$51+28&lt;'🌱 Configuração'!$D$51,"🌿 Vegetativo",IF('🌱 Configuração'!$B$51+28&lt;'🌱 Configuração'!$E$51,"🌸 Floração","🚿 Flush"))))</f>
        <v>🌿 Vegetativo</v>
      </c>
      <c r="E34" s="28" t="str">
        <f>IF(29&gt;'🌱 Configuração'!$F$50,"",IF('🌱 Configuração'!$B$51+28&lt;'🌱 Configuração'!$C$51,"Clone S"&amp;INT((29-1)/7)+1,IF('🌱 Configuração'!$B$51+28&lt;'🌱 Configuração'!$D$51,"Vega S"&amp;INT(('🌱 Configuração'!$B$51+28-'🌱 Configuração'!$C$51)/7)+1,IF('🌱 Configuração'!$B$51+28&lt;'🌱 Configuração'!$E$51,"Flora S"&amp;INT(('🌱 Configuração'!$B$51+28-'🌱 Configuração'!$D$51)/7)+1,"Flush S"&amp;INT(('🌱 Configuração'!$B$51+28-'🌱 Configuração'!$E$51)/7)+1))))</f>
        <v>Vega S3</v>
      </c>
      <c r="F34" s="29" t="str">
        <f>IF(29&gt;'🌱 Configuração'!$F$50,"",IF(AND('🌱 Configuração'!$B$51+28&lt;'🌱 Configuração'!$C$51,INT((29-1)/7)+1=1,MOD(29-1,7)=0),"🌱 Enraizador (0.5 mL/L)",IF(AND('🌱 Configuração'!$B$51+28&lt;'🌱 Configuração'!$C$51,INT((29-1)/7)+1=2,MOD(29-1,7)=0),"🌱 Enraizador + Vitamina B1",IF(AND('🌱 Configuração'!$B$51+28&gt;='🌱 Configuração'!$C$51,'🌱 Configuração'!$B$51+28&lt;'🌱 Configuração'!$D$51,INT(('🌱 Configuração'!$B$51+28-'🌱 Configuração'!$C$51)/7)+1=1,MOD('🌱 Configuração'!$B$51+28-'🌱 Configuração'!$C$51,7)=0),"🌿 Grow A+B início — EC 0.8",IF(AND('🌱 Configuração'!$B$51+28&gt;='🌱 Configuração'!$C$51,'🌱 Configuração'!$B$51+28&lt;'🌱 Configuração'!$D$51,INT(('🌱 Configuração'!$B$51+28-'🌱 Configuração'!$C$51)/7)+1=2,MOD('🌱 Configuração'!$B$51+28-'🌱 Configuração'!$C$51,7)=0),"🌿 Grow A+B + CalMag — EC 1.0",IF(AND('🌱 Configuração'!$B$51+28&gt;='🌱 Configuração'!$C$51,'🌱 Configuração'!$B$51+28&lt;'🌱 Configuração'!$D$51,INT(('🌱 Configuração'!$B$51+28-'🌱 Configuração'!$C$51)/7)+1=3,MOD('🌱 Configuração'!$B$51+28-'🌱 Configuração'!$C$51,7)=0),"🌿 Grow A+B + CalMag — EC 1.2",IF(AND('🌱 Configuração'!$B$51+28&gt;='🌱 Configuração'!$C$51,'🌱 Configuração'!$B$51+28&lt;'🌱 Configuração'!$D$51,INT(('🌱 Configuração'!$B$51+28-'🌱 Configuração'!$C$51)/7)+1=4,MOD('🌱 Configuração'!$B$51+28-'🌱 Configuração'!$C$51,7)=0),"🌿 Grow A+B + Enzimas — EC 1.4",IF(AND('🌱 Configuração'!$B$51+28&gt;='🌱 Configuração'!$C$51,'🌱 Configuração'!$B$51+28&lt;'🌱 Configuração'!$D$51,INT(('🌱 Configuração'!$B$51+28-'🌱 Configuração'!$C$51)/7)+1=5,MOD('🌱 Configuração'!$B$51+28-'🌱 Configuração'!$C$51,7)=0),"🌿 Grow A+B + Biorrizas — EC 1.5",IF(AND('🌱 Configuração'!$B$51+28&gt;='🌱 Configuração'!$C$51,'🌱 Configuração'!$B$51+28&lt;'🌱 Configuração'!$D$51,INT(('🌱 Configuração'!$B$51+28-'🌱 Configuração'!$C$51)/7)+1=6,MOD('🌱 Configuração'!$B$51+28-'🌱 Configuração'!$C$51,7)=0),"🌿 Transição Bloom — EC 1.4",IF(AND('🌱 Configuração'!$B$51+28&gt;='🌱 Configuração'!$C$51,'🌱 Configuração'!$B$51+28&lt;'🌱 Configuração'!$D$51,INT(('🌱 Configuração'!$B$51+28-'🌱 Configuração'!$C$51)/7)+1=7,MOD('🌱 Configuração'!$B$51+28-'🌱 Configuração'!$C$51,7)=0),"🌿 Bloom A+B transição — EC 1.4",IF(AND('🌱 Configuração'!$B$51+28&gt;='🌱 Configuração'!$C$51,'🌱 Configuração'!$B$51+28&lt;'🌱 Configuração'!$D$51,INT(('🌱 Configuração'!$B$51+28-'🌱 Configuração'!$C$51)/7)+1=8,MOD('🌱 Configuração'!$B$51+28-'🌱 Configuração'!$C$51,7)=0),"🌿 Bloom A+B — EC 1.4",IF(AND('🌱 Configuração'!$B$51+28&gt;='🌱 Configuração'!$D$51,'🌱 Configuração'!$B$51+28&lt;'🌱 Configuração'!$E$51,INT(('🌱 Configuração'!$B$51+28-'🌱 Configuração'!$D$51)/7)+1=1,MOD('🌱 Configuração'!$B$51+28-'🌱 Configuração'!$D$51,7)=0),"🌸 Bloom A+B — EC 1.6",IF(AND('🌱 Configuração'!$B$51+28&gt;='🌱 Configuração'!$D$51,'🌱 Configuração'!$B$51+28&lt;'🌱 Configuração'!$E$51,INT(('🌱 Configuração'!$B$51+28-'🌱 Configuração'!$D$51)/7)+1=2,MOD('🌱 Configuração'!$B$51+28-'🌱 Configuração'!$D$51,7)=0),"🌸 Bloom + PK 13/14 início",IF(AND('🌱 Configuração'!$B$51+28&gt;='🌱 Configuração'!$D$51,'🌱 Configuração'!$B$51+28&lt;'🌱 Configuração'!$E$51,INT(('🌱 Configuração'!$B$51+28-'🌱 Configuração'!$D$51)/7)+1=3,MOD('🌱 Configuração'!$B$51+28-'🌱 Configuração'!$D$51,7)=0),"🌸 Bloom + PK + CalMag — EC 1.8",IF(AND('🌱 Configuração'!$B$51+28&gt;='🌱 Configuração'!$D$51,'🌱 Configuração'!$B$51+28&lt;'🌱 Configuração'!$E$51,INT(('🌱 Configuração'!$B$51+28-'🌱 Configuração'!$D$51)/7)+1=4,MOD('🌱 Configuração'!$B$51+28-'🌱 Configuração'!$D$51,7)=0),"🌸 Bloom + PK + Boost Floral — EC 2.0",IF(AND('🌱 Configuração'!$B$51+28&gt;='🌱 Configuração'!$D$51,'🌱 Configuração'!$B$51+28&lt;'🌱 Configuração'!$E$51,INT(('🌱 Configuração'!$B$51+28-'🌱 Configuração'!$D$51)/7)+1=5,MOD('🌱 Configuração'!$B$51+28-'🌱 Configuração'!$D$51,7)=0),"🌸 Bloom + Boost + Amino",IF(AND('🌱 Configuração'!$B$51+28&gt;='🌱 Configuração'!$D$51,'🌱 Configuração'!$B$51+28&lt;'🌱 Configuração'!$E$51,INT(('🌱 Configuração'!$B$51+28-'🌱 Configuração'!$D$51)/7)+1=6,MOD('🌱 Configuração'!$B$51+28-'🌱 Configuração'!$D$51,7)=0),"🌸 Bloom + Enzimas + Amino",IF(AND('🌱 Configuração'!$B$51+28&gt;='🌱 Configuração'!$D$51,'🌱 Configuração'!$B$51+28&lt;'🌱 Configuração'!$E$51,INT(('🌱 Configuração'!$B$51+28-'🌱 Configuração'!$D$51)/7)+1=7,MOD('🌱 Configuração'!$B$51+28-'🌱 Configuração'!$D$51,7)=0),"🌸 Reduzir N — Bloom puro — EC 1.6",IF(AND('🌱 Configuração'!$B$51+28&gt;='🌱 Configuração'!$D$51,'🌱 Configuração'!$B$51+28&lt;'🌱 Configuração'!$E$51,INT(('🌱 Configuração'!$B$51+28-'🌱 Configuração'!$D$51)/7)+1=8,MOD('🌱 Configuração'!$B$51+28-'🌱 Configuração'!$D$51,7)=0),"🌸 Bloom puro — EC 1.4  (pré-flush)",IF(AND('🌱 Configuração'!$B$51+28&gt;='🌱 Configuração'!$D$51,'🌱 Configuração'!$B$51+28&lt;'🌱 Configuração'!$E$51,INT(('🌱 Configuração'!$B$51+28-'🌱 Configuração'!$D$51)/7)+1=9,MOD('🌱 Configuração'!$B$51+28-'🌱 Configuração'!$D$51,7)=0),"🌸 Último Bloom — EC 0.8",IF(AND('🌱 Configuração'!$B$51+28&gt;='🌱 Configuração'!$E$51,INT(('🌱 Configuração'!$B$51+28-'🌱 Configuração'!$E$51)/7)+1=1,MOD('🌱 Configuração'!$B$51+28-'🌱 Configuração'!$E$51,7)=0),"🚿 Água pura + Enzimas (EC &lt; 0.3)",IF(AND('🌱 Configuração'!$B$51+28&gt;='🌱 Configuração'!$E$51,INT(('🌱 Configuração'!$B$51+28-'🌱 Configuração'!$E$51)/7)+1=2,MOD('🌱 Configuração'!$B$51+28-'🌱 Configuração'!$E$51,7)=0),"🚿 Água pura (EC &lt; 0.2)",""))))))))))))))))))))))</f>
        <v>🌿 Grow A+B + CalMag — EC 1.2</v>
      </c>
      <c r="G34" s="30" t="str">
        <f>IF(29&gt;'🌱 Configuração'!$F$50,"",IF(AND('🌱 Configuração'!$B$51+28&lt;'🌱 Configuração'!$C$51,INT((29-1)/7)+1=1,MOD(29-1,7)=0),"🐛 Nim 2mL/L foliar — preventivo",IF(AND('🌱 Configuração'!$B$51+28&lt;'🌱 Configuração'!$C$51,INT((29-1)/7)+1=2,MOD(29-1,7)=0),"🐛 Beauveria bassiana foliar + solo",IF(AND('🌱 Configuração'!$B$51+28&gt;='🌱 Configuração'!$C$51,'🌱 Configuração'!$B$51+28&lt;'🌱 Configuração'!$D$51,INT(('🌱 Configuração'!$B$51+28-'🌱 Configuração'!$C$51)/7)+1=1,MOD('🌱 Configuração'!$B$51+28-'🌱 Configuração'!$C$51,7)=0),"🐛 Nim 2mL/L foliar",IF(AND('🌱 Configuração'!$B$51+28&gt;='🌱 Configuração'!$C$51,'🌱 Configuração'!$B$51+28&lt;'🌱 Configuração'!$D$51,INT(('🌱 Configuração'!$B$51+28-'🌱 Configuração'!$C$51)/7)+1=2,MOD('🌱 Configuração'!$B$51+28-'🌱 Configuração'!$C$51,7)=0),"🐛 Beauveria bassiana foliar",IF(AND('🌱 Configuração'!$B$51+28&gt;='🌱 Configuração'!$C$51,'🌱 Configuração'!$B$51+28&lt;'🌱 Configuração'!$D$51,INT(('🌱 Configuração'!$B$51+28-'🌱 Configuração'!$C$51)/7)+1=3,MOD('🌱 Configuração'!$B$51+28-'🌱 Configuração'!$C$51,7)=0),"🐛 Nim + Calda Sulfocálcica 1%",IF(AND('🌱 Configuração'!$B$51+28&gt;='🌱 Configuração'!$C$51,'🌱 Configuração'!$B$51+28&lt;'🌱 Configuração'!$D$51,INT(('🌱 Configuração'!$B$51+28-'🌱 Configuração'!$C$51)/7)+1=4,MOD('🌱 Configuração'!$B$51+28-'🌱 Configuração'!$C$51,7)=0),"🐛 Trichoderma solo + Beauveria",IF(AND('🌱 Configuração'!$B$51+28&gt;='🌱 Configuração'!$C$51,'🌱 Configuração'!$B$51+28&lt;'🌱 Configuração'!$D$51,INT(('🌱 Configuração'!$B$51+28-'🌱 Configuração'!$C$51)/7)+1=5,MOD('🌱 Configuração'!$B$51+28-'🌱 Configuração'!$C$51,7)=0),"🐛 Calda Bordalesa 0.5% foliar",IF(AND('🌱 Configuração'!$B$51+28&gt;='🌱 Configuração'!$C$51,'🌱 Configuração'!$B$51+28&lt;'🌱 Configuração'!$D$51,INT(('🌱 Configuração'!$B$51+28-'🌱 Configuração'!$C$51)/7)+1=6,MOD('🌱 Configuração'!$B$51+28-'🌱 Configuração'!$C$51,7)=0),"🐛 Nim 2mL/L — ÚLTIMA foliar",IF(AND('🌱 Configuração'!$B$51+28&gt;='🌱 Configuração'!$D$51,'🌱 Configuração'!$B$51+28&lt;'🌱 Configuração'!$E$51,INT(('🌱 Configuração'!$B$51+28-'🌱 Configuração'!$D$51)/7)+1=1,MOD('🌱 Configuração'!$B$51+28-'🌱 Configuração'!$D$51,7)=0),"🐛 Beauveria bassiana solo (sem foliar)",IF(AND('🌱 Configuração'!$B$51+28&gt;='🌱 Configuração'!$D$51,'🌱 Configuração'!$B$51+28&lt;'🌱 Configuração'!$E$51,INT(('🌱 Configuração'!$B$51+28-'🌱 Configuração'!$D$51)/7)+1=2,MOD('🌱 Configuração'!$B$51+28-'🌱 Configuração'!$D$51,7)=0),"🐛 Trichoderma solo",IF(AND('🌱 Configuração'!$B$51+28&gt;='🌱 Configuração'!$D$51,'🌱 Configuração'!$B$51+28&lt;'🌱 Configuração'!$E$51,INT(('🌱 Configuração'!$B$51+28-'🌱 Configuração'!$D$51)/7)+1=3,MOD('🌱 Configuração'!$B$51+28-'🌱 Configuração'!$D$51,7)=0),"🐛 Beauveria bassiana solo",IF(AND('🌱 Configuração'!$B$51+28&gt;='🌱 Configuração'!$D$51,'🌱 Configuração'!$B$51+28&lt;'🌱 Configuração'!$E$51,INT(('🌱 Configuração'!$B$51+28-'🌱 Configuração'!$D$51)/7)+1=4,MOD('🌱 Configuração'!$B$51+28-'🌱 Configuração'!$D$51,7)=0),"🐛 Trichoderma solo",IF(AND('🌱 Configuração'!$B$51+28&gt;='🌱 Configuração'!$E$51,INT(('🌱 Configuração'!$B$51+28-'🌱 Configuração'!$E$51)/7)+1=1,MOD('🌱 Configuração'!$B$51+28-'🌱 Configuração'!$E$51,7)=0),"🐛 Inspeção final — sem aplicação",""))))))))))))))</f>
        <v>🐛 Nim + Calda Sulfocálcica 1%</v>
      </c>
      <c r="H34" s="22" t="str">
        <f>IF(29&gt;'🌱 Configuração'!$F$50,"",IF('🌱 Configuração'!$B$51+28='🌱 Configuração'!$C$51,"🌿 INÍCIO VEGA — ajustar espaço, luz 18h/dia — EC 0.8",IF('🌱 Configuração'!$B$51+28='🌱 Configuração'!$D$51,"🌸 INÍCIO FLORAÇÃO — mudar para 12h/12h — 🔴 atenção ao fotoperíodo",IF('🌱 Configuração'!$B$51+28='🌱 Configuração'!$E$51,"🚿 INÍCIO FLUSH — PARAR nutrição, somente água pura",IF('🌱 Configuração'!$B$51+28='🌱 Configuração'!$F$51-1,"🔬 Véspera da colheita — analisar tricomas âmbar",IF('🌱 Configuração'!$B$51+28='🌱 Configuração'!$F$51,"✂️ COLHEITA! Parabéns! 🎉",""))))))</f>
        <v/>
      </c>
    </row>
    <row r="35" spans="2:8" ht="18.75" customHeight="1" x14ac:dyDescent="0.3">
      <c r="B35" s="25">
        <f>IF(30&lt;='🌱 Configuração'!$F$50,30,"")</f>
        <v>30</v>
      </c>
      <c r="C35" s="26">
        <f>IF(30&lt;='🌱 Configuração'!$F$50,'🌱 Configuração'!$B$51+29,"")</f>
        <v>46052</v>
      </c>
      <c r="D35" s="27" t="str">
        <f>IF(30&gt;'🌱 Configuração'!$F$50,"",IF('🌱 Configuração'!$B$51+29&lt;'🌱 Configuração'!$C$51,"🌱 Clone",IF('🌱 Configuração'!$B$51+29&lt;'🌱 Configuração'!$D$51,"🌿 Vegetativo",IF('🌱 Configuração'!$B$51+29&lt;'🌱 Configuração'!$E$51,"🌸 Floração","🚿 Flush"))))</f>
        <v>🌿 Vegetativo</v>
      </c>
      <c r="E35" s="28" t="str">
        <f>IF(30&gt;'🌱 Configuração'!$F$50,"",IF('🌱 Configuração'!$B$51+29&lt;'🌱 Configuração'!$C$51,"Clone S"&amp;INT((30-1)/7)+1,IF('🌱 Configuração'!$B$51+29&lt;'🌱 Configuração'!$D$51,"Vega S"&amp;INT(('🌱 Configuração'!$B$51+29-'🌱 Configuração'!$C$51)/7)+1,IF('🌱 Configuração'!$B$51+29&lt;'🌱 Configuração'!$E$51,"Flora S"&amp;INT(('🌱 Configuração'!$B$51+29-'🌱 Configuração'!$D$51)/7)+1,"Flush S"&amp;INT(('🌱 Configuração'!$B$51+29-'🌱 Configuração'!$E$51)/7)+1))))</f>
        <v>Vega S3</v>
      </c>
      <c r="F35" s="29" t="str">
        <f>IF(30&gt;'🌱 Configuração'!$F$50,"",IF(AND('🌱 Configuração'!$B$51+29&lt;'🌱 Configuração'!$C$51,INT((30-1)/7)+1=1,MOD(30-1,7)=0),"🌱 Enraizador (0.5 mL/L)",IF(AND('🌱 Configuração'!$B$51+29&lt;'🌱 Configuração'!$C$51,INT((30-1)/7)+1=2,MOD(30-1,7)=0),"🌱 Enraizador + Vitamina B1",IF(AND('🌱 Configuração'!$B$51+29&gt;='🌱 Configuração'!$C$51,'🌱 Configuração'!$B$51+29&lt;'🌱 Configuração'!$D$51,INT(('🌱 Configuração'!$B$51+29-'🌱 Configuração'!$C$51)/7)+1=1,MOD('🌱 Configuração'!$B$51+29-'🌱 Configuração'!$C$51,7)=0),"🌿 Grow A+B início — EC 0.8",IF(AND('🌱 Configuração'!$B$51+29&gt;='🌱 Configuração'!$C$51,'🌱 Configuração'!$B$51+29&lt;'🌱 Configuração'!$D$51,INT(('🌱 Configuração'!$B$51+29-'🌱 Configuração'!$C$51)/7)+1=2,MOD('🌱 Configuração'!$B$51+29-'🌱 Configuração'!$C$51,7)=0),"🌿 Grow A+B + CalMag — EC 1.0",IF(AND('🌱 Configuração'!$B$51+29&gt;='🌱 Configuração'!$C$51,'🌱 Configuração'!$B$51+29&lt;'🌱 Configuração'!$D$51,INT(('🌱 Configuração'!$B$51+29-'🌱 Configuração'!$C$51)/7)+1=3,MOD('🌱 Configuração'!$B$51+29-'🌱 Configuração'!$C$51,7)=0),"🌿 Grow A+B + CalMag — EC 1.2",IF(AND('🌱 Configuração'!$B$51+29&gt;='🌱 Configuração'!$C$51,'🌱 Configuração'!$B$51+29&lt;'🌱 Configuração'!$D$51,INT(('🌱 Configuração'!$B$51+29-'🌱 Configuração'!$C$51)/7)+1=4,MOD('🌱 Configuração'!$B$51+29-'🌱 Configuração'!$C$51,7)=0),"🌿 Grow A+B + Enzimas — EC 1.4",IF(AND('🌱 Configuração'!$B$51+29&gt;='🌱 Configuração'!$C$51,'🌱 Configuração'!$B$51+29&lt;'🌱 Configuração'!$D$51,INT(('🌱 Configuração'!$B$51+29-'🌱 Configuração'!$C$51)/7)+1=5,MOD('🌱 Configuração'!$B$51+29-'🌱 Configuração'!$C$51,7)=0),"🌿 Grow A+B + Biorrizas — EC 1.5",IF(AND('🌱 Configuração'!$B$51+29&gt;='🌱 Configuração'!$C$51,'🌱 Configuração'!$B$51+29&lt;'🌱 Configuração'!$D$51,INT(('🌱 Configuração'!$B$51+29-'🌱 Configuração'!$C$51)/7)+1=6,MOD('🌱 Configuração'!$B$51+29-'🌱 Configuração'!$C$51,7)=0),"🌿 Transição Bloom — EC 1.4",IF(AND('🌱 Configuração'!$B$51+29&gt;='🌱 Configuração'!$C$51,'🌱 Configuração'!$B$51+29&lt;'🌱 Configuração'!$D$51,INT(('🌱 Configuração'!$B$51+29-'🌱 Configuração'!$C$51)/7)+1=7,MOD('🌱 Configuração'!$B$51+29-'🌱 Configuração'!$C$51,7)=0),"🌿 Bloom A+B transição — EC 1.4",IF(AND('🌱 Configuração'!$B$51+29&gt;='🌱 Configuração'!$C$51,'🌱 Configuração'!$B$51+29&lt;'🌱 Configuração'!$D$51,INT(('🌱 Configuração'!$B$51+29-'🌱 Configuração'!$C$51)/7)+1=8,MOD('🌱 Configuração'!$B$51+29-'🌱 Configuração'!$C$51,7)=0),"🌿 Bloom A+B — EC 1.4",IF(AND('🌱 Configuração'!$B$51+29&gt;='🌱 Configuração'!$D$51,'🌱 Configuração'!$B$51+29&lt;'🌱 Configuração'!$E$51,INT(('🌱 Configuração'!$B$51+29-'🌱 Configuração'!$D$51)/7)+1=1,MOD('🌱 Configuração'!$B$51+29-'🌱 Configuração'!$D$51,7)=0),"🌸 Bloom A+B — EC 1.6",IF(AND('🌱 Configuração'!$B$51+29&gt;='🌱 Configuração'!$D$51,'🌱 Configuração'!$B$51+29&lt;'🌱 Configuração'!$E$51,INT(('🌱 Configuração'!$B$51+29-'🌱 Configuração'!$D$51)/7)+1=2,MOD('🌱 Configuração'!$B$51+29-'🌱 Configuração'!$D$51,7)=0),"🌸 Bloom + PK 13/14 início",IF(AND('🌱 Configuração'!$B$51+29&gt;='🌱 Configuração'!$D$51,'🌱 Configuração'!$B$51+29&lt;'🌱 Configuração'!$E$51,INT(('🌱 Configuração'!$B$51+29-'🌱 Configuração'!$D$51)/7)+1=3,MOD('🌱 Configuração'!$B$51+29-'🌱 Configuração'!$D$51,7)=0),"🌸 Bloom + PK + CalMag — EC 1.8",IF(AND('🌱 Configuração'!$B$51+29&gt;='🌱 Configuração'!$D$51,'🌱 Configuração'!$B$51+29&lt;'🌱 Configuração'!$E$51,INT(('🌱 Configuração'!$B$51+29-'🌱 Configuração'!$D$51)/7)+1=4,MOD('🌱 Configuração'!$B$51+29-'🌱 Configuração'!$D$51,7)=0),"🌸 Bloom + PK + Boost Floral — EC 2.0",IF(AND('🌱 Configuração'!$B$51+29&gt;='🌱 Configuração'!$D$51,'🌱 Configuração'!$B$51+29&lt;'🌱 Configuração'!$E$51,INT(('🌱 Configuração'!$B$51+29-'🌱 Configuração'!$D$51)/7)+1=5,MOD('🌱 Configuração'!$B$51+29-'🌱 Configuração'!$D$51,7)=0),"🌸 Bloom + Boost + Amino",IF(AND('🌱 Configuração'!$B$51+29&gt;='🌱 Configuração'!$D$51,'🌱 Configuração'!$B$51+29&lt;'🌱 Configuração'!$E$51,INT(('🌱 Configuração'!$B$51+29-'🌱 Configuração'!$D$51)/7)+1=6,MOD('🌱 Configuração'!$B$51+29-'🌱 Configuração'!$D$51,7)=0),"🌸 Bloom + Enzimas + Amino",IF(AND('🌱 Configuração'!$B$51+29&gt;='🌱 Configuração'!$D$51,'🌱 Configuração'!$B$51+29&lt;'🌱 Configuração'!$E$51,INT(('🌱 Configuração'!$B$51+29-'🌱 Configuração'!$D$51)/7)+1=7,MOD('🌱 Configuração'!$B$51+29-'🌱 Configuração'!$D$51,7)=0),"🌸 Reduzir N — Bloom puro — EC 1.6",IF(AND('🌱 Configuração'!$B$51+29&gt;='🌱 Configuração'!$D$51,'🌱 Configuração'!$B$51+29&lt;'🌱 Configuração'!$E$51,INT(('🌱 Configuração'!$B$51+29-'🌱 Configuração'!$D$51)/7)+1=8,MOD('🌱 Configuração'!$B$51+29-'🌱 Configuração'!$D$51,7)=0),"🌸 Bloom puro — EC 1.4  (pré-flush)",IF(AND('🌱 Configuração'!$B$51+29&gt;='🌱 Configuração'!$D$51,'🌱 Configuração'!$B$51+29&lt;'🌱 Configuração'!$E$51,INT(('🌱 Configuração'!$B$51+29-'🌱 Configuração'!$D$51)/7)+1=9,MOD('🌱 Configuração'!$B$51+29-'🌱 Configuração'!$D$51,7)=0),"🌸 Último Bloom — EC 0.8",IF(AND('🌱 Configuração'!$B$51+29&gt;='🌱 Configuração'!$E$51,INT(('🌱 Configuração'!$B$51+29-'🌱 Configuração'!$E$51)/7)+1=1,MOD('🌱 Configuração'!$B$51+29-'🌱 Configuração'!$E$51,7)=0),"🚿 Água pura + Enzimas (EC &lt; 0.3)",IF(AND('🌱 Configuração'!$B$51+29&gt;='🌱 Configuração'!$E$51,INT(('🌱 Configuração'!$B$51+29-'🌱 Configuração'!$E$51)/7)+1=2,MOD('🌱 Configuração'!$B$51+29-'🌱 Configuração'!$E$51,7)=0),"🚿 Água pura (EC &lt; 0.2)",""))))))))))))))))))))))</f>
        <v/>
      </c>
      <c r="G35" s="30" t="str">
        <f>IF(30&gt;'🌱 Configuração'!$F$50,"",IF(AND('🌱 Configuração'!$B$51+29&lt;'🌱 Configuração'!$C$51,INT((30-1)/7)+1=1,MOD(30-1,7)=0),"🐛 Nim 2mL/L foliar — preventivo",IF(AND('🌱 Configuração'!$B$51+29&lt;'🌱 Configuração'!$C$51,INT((30-1)/7)+1=2,MOD(30-1,7)=0),"🐛 Beauveria bassiana foliar + solo",IF(AND('🌱 Configuração'!$B$51+29&gt;='🌱 Configuração'!$C$51,'🌱 Configuração'!$B$51+29&lt;'🌱 Configuração'!$D$51,INT(('🌱 Configuração'!$B$51+29-'🌱 Configuração'!$C$51)/7)+1=1,MOD('🌱 Configuração'!$B$51+29-'🌱 Configuração'!$C$51,7)=0),"🐛 Nim 2mL/L foliar",IF(AND('🌱 Configuração'!$B$51+29&gt;='🌱 Configuração'!$C$51,'🌱 Configuração'!$B$51+29&lt;'🌱 Configuração'!$D$51,INT(('🌱 Configuração'!$B$51+29-'🌱 Configuração'!$C$51)/7)+1=2,MOD('🌱 Configuração'!$B$51+29-'🌱 Configuração'!$C$51,7)=0),"🐛 Beauveria bassiana foliar",IF(AND('🌱 Configuração'!$B$51+29&gt;='🌱 Configuração'!$C$51,'🌱 Configuração'!$B$51+29&lt;'🌱 Configuração'!$D$51,INT(('🌱 Configuração'!$B$51+29-'🌱 Configuração'!$C$51)/7)+1=3,MOD('🌱 Configuração'!$B$51+29-'🌱 Configuração'!$C$51,7)=0),"🐛 Nim + Calda Sulfocálcica 1%",IF(AND('🌱 Configuração'!$B$51+29&gt;='🌱 Configuração'!$C$51,'🌱 Configuração'!$B$51+29&lt;'🌱 Configuração'!$D$51,INT(('🌱 Configuração'!$B$51+29-'🌱 Configuração'!$C$51)/7)+1=4,MOD('🌱 Configuração'!$B$51+29-'🌱 Configuração'!$C$51,7)=0),"🐛 Trichoderma solo + Beauveria",IF(AND('🌱 Configuração'!$B$51+29&gt;='🌱 Configuração'!$C$51,'🌱 Configuração'!$B$51+29&lt;'🌱 Configuração'!$D$51,INT(('🌱 Configuração'!$B$51+29-'🌱 Configuração'!$C$51)/7)+1=5,MOD('🌱 Configuração'!$B$51+29-'🌱 Configuração'!$C$51,7)=0),"🐛 Calda Bordalesa 0.5% foliar",IF(AND('🌱 Configuração'!$B$51+29&gt;='🌱 Configuração'!$C$51,'🌱 Configuração'!$B$51+29&lt;'🌱 Configuração'!$D$51,INT(('🌱 Configuração'!$B$51+29-'🌱 Configuração'!$C$51)/7)+1=6,MOD('🌱 Configuração'!$B$51+29-'🌱 Configuração'!$C$51,7)=0),"🐛 Nim 2mL/L — ÚLTIMA foliar",IF(AND('🌱 Configuração'!$B$51+29&gt;='🌱 Configuração'!$D$51,'🌱 Configuração'!$B$51+29&lt;'🌱 Configuração'!$E$51,INT(('🌱 Configuração'!$B$51+29-'🌱 Configuração'!$D$51)/7)+1=1,MOD('🌱 Configuração'!$B$51+29-'🌱 Configuração'!$D$51,7)=0),"🐛 Beauveria bassiana solo (sem foliar)",IF(AND('🌱 Configuração'!$B$51+29&gt;='🌱 Configuração'!$D$51,'🌱 Configuração'!$B$51+29&lt;'🌱 Configuração'!$E$51,INT(('🌱 Configuração'!$B$51+29-'🌱 Configuração'!$D$51)/7)+1=2,MOD('🌱 Configuração'!$B$51+29-'🌱 Configuração'!$D$51,7)=0),"🐛 Trichoderma solo",IF(AND('🌱 Configuração'!$B$51+29&gt;='🌱 Configuração'!$D$51,'🌱 Configuração'!$B$51+29&lt;'🌱 Configuração'!$E$51,INT(('🌱 Configuração'!$B$51+29-'🌱 Configuração'!$D$51)/7)+1=3,MOD('🌱 Configuração'!$B$51+29-'🌱 Configuração'!$D$51,7)=0),"🐛 Beauveria bassiana solo",IF(AND('🌱 Configuração'!$B$51+29&gt;='🌱 Configuração'!$D$51,'🌱 Configuração'!$B$51+29&lt;'🌱 Configuração'!$E$51,INT(('🌱 Configuração'!$B$51+29-'🌱 Configuração'!$D$51)/7)+1=4,MOD('🌱 Configuração'!$B$51+29-'🌱 Configuração'!$D$51,7)=0),"🐛 Trichoderma solo",IF(AND('🌱 Configuração'!$B$51+29&gt;='🌱 Configuração'!$E$51,INT(('🌱 Configuração'!$B$51+29-'🌱 Configuração'!$E$51)/7)+1=1,MOD('🌱 Configuração'!$B$51+29-'🌱 Configuração'!$E$51,7)=0),"🐛 Inspeção final — sem aplicação",""))))))))))))))</f>
        <v/>
      </c>
      <c r="H35" s="22" t="str">
        <f>IF(30&gt;'🌱 Configuração'!$F$50,"",IF('🌱 Configuração'!$B$51+29='🌱 Configuração'!$C$51,"🌿 INÍCIO VEGA — ajustar espaço, luz 18h/dia — EC 0.8",IF('🌱 Configuração'!$B$51+29='🌱 Configuração'!$D$51,"🌸 INÍCIO FLORAÇÃO — mudar para 12h/12h — 🔴 atenção ao fotoperíodo",IF('🌱 Configuração'!$B$51+29='🌱 Configuração'!$E$51,"🚿 INÍCIO FLUSH — PARAR nutrição, somente água pura",IF('🌱 Configuração'!$B$51+29='🌱 Configuração'!$F$51-1,"🔬 Véspera da colheita — analisar tricomas âmbar",IF('🌱 Configuração'!$B$51+29='🌱 Configuração'!$F$51,"✂️ COLHEITA! Parabéns! 🎉",""))))))</f>
        <v/>
      </c>
    </row>
    <row r="36" spans="2:8" ht="18.75" customHeight="1" x14ac:dyDescent="0.3">
      <c r="B36" s="25">
        <f>IF(31&lt;='🌱 Configuração'!$F$50,31,"")</f>
        <v>31</v>
      </c>
      <c r="C36" s="26">
        <f>IF(31&lt;='🌱 Configuração'!$F$50,'🌱 Configuração'!$B$51+30,"")</f>
        <v>46053</v>
      </c>
      <c r="D36" s="27" t="str">
        <f>IF(31&gt;'🌱 Configuração'!$F$50,"",IF('🌱 Configuração'!$B$51+30&lt;'🌱 Configuração'!$C$51,"🌱 Clone",IF('🌱 Configuração'!$B$51+30&lt;'🌱 Configuração'!$D$51,"🌿 Vegetativo",IF('🌱 Configuração'!$B$51+30&lt;'🌱 Configuração'!$E$51,"🌸 Floração","🚿 Flush"))))</f>
        <v>🌿 Vegetativo</v>
      </c>
      <c r="E36" s="28" t="str">
        <f>IF(31&gt;'🌱 Configuração'!$F$50,"",IF('🌱 Configuração'!$B$51+30&lt;'🌱 Configuração'!$C$51,"Clone S"&amp;INT((31-1)/7)+1,IF('🌱 Configuração'!$B$51+30&lt;'🌱 Configuração'!$D$51,"Vega S"&amp;INT(('🌱 Configuração'!$B$51+30-'🌱 Configuração'!$C$51)/7)+1,IF('🌱 Configuração'!$B$51+30&lt;'🌱 Configuração'!$E$51,"Flora S"&amp;INT(('🌱 Configuração'!$B$51+30-'🌱 Configuração'!$D$51)/7)+1,"Flush S"&amp;INT(('🌱 Configuração'!$B$51+30-'🌱 Configuração'!$E$51)/7)+1))))</f>
        <v>Vega S3</v>
      </c>
      <c r="F36" s="29" t="str">
        <f>IF(31&gt;'🌱 Configuração'!$F$50,"",IF(AND('🌱 Configuração'!$B$51+30&lt;'🌱 Configuração'!$C$51,INT((31-1)/7)+1=1,MOD(31-1,7)=0),"🌱 Enraizador (0.5 mL/L)",IF(AND('🌱 Configuração'!$B$51+30&lt;'🌱 Configuração'!$C$51,INT((31-1)/7)+1=2,MOD(31-1,7)=0),"🌱 Enraizador + Vitamina B1",IF(AND('🌱 Configuração'!$B$51+30&gt;='🌱 Configuração'!$C$51,'🌱 Configuração'!$B$51+30&lt;'🌱 Configuração'!$D$51,INT(('🌱 Configuração'!$B$51+30-'🌱 Configuração'!$C$51)/7)+1=1,MOD('🌱 Configuração'!$B$51+30-'🌱 Configuração'!$C$51,7)=0),"🌿 Grow A+B início — EC 0.8",IF(AND('🌱 Configuração'!$B$51+30&gt;='🌱 Configuração'!$C$51,'🌱 Configuração'!$B$51+30&lt;'🌱 Configuração'!$D$51,INT(('🌱 Configuração'!$B$51+30-'🌱 Configuração'!$C$51)/7)+1=2,MOD('🌱 Configuração'!$B$51+30-'🌱 Configuração'!$C$51,7)=0),"🌿 Grow A+B + CalMag — EC 1.0",IF(AND('🌱 Configuração'!$B$51+30&gt;='🌱 Configuração'!$C$51,'🌱 Configuração'!$B$51+30&lt;'🌱 Configuração'!$D$51,INT(('🌱 Configuração'!$B$51+30-'🌱 Configuração'!$C$51)/7)+1=3,MOD('🌱 Configuração'!$B$51+30-'🌱 Configuração'!$C$51,7)=0),"🌿 Grow A+B + CalMag — EC 1.2",IF(AND('🌱 Configuração'!$B$51+30&gt;='🌱 Configuração'!$C$51,'🌱 Configuração'!$B$51+30&lt;'🌱 Configuração'!$D$51,INT(('🌱 Configuração'!$B$51+30-'🌱 Configuração'!$C$51)/7)+1=4,MOD('🌱 Configuração'!$B$51+30-'🌱 Configuração'!$C$51,7)=0),"🌿 Grow A+B + Enzimas — EC 1.4",IF(AND('🌱 Configuração'!$B$51+30&gt;='🌱 Configuração'!$C$51,'🌱 Configuração'!$B$51+30&lt;'🌱 Configuração'!$D$51,INT(('🌱 Configuração'!$B$51+30-'🌱 Configuração'!$C$51)/7)+1=5,MOD('🌱 Configuração'!$B$51+30-'🌱 Configuração'!$C$51,7)=0),"🌿 Grow A+B + Biorrizas — EC 1.5",IF(AND('🌱 Configuração'!$B$51+30&gt;='🌱 Configuração'!$C$51,'🌱 Configuração'!$B$51+30&lt;'🌱 Configuração'!$D$51,INT(('🌱 Configuração'!$B$51+30-'🌱 Configuração'!$C$51)/7)+1=6,MOD('🌱 Configuração'!$B$51+30-'🌱 Configuração'!$C$51,7)=0),"🌿 Transição Bloom — EC 1.4",IF(AND('🌱 Configuração'!$B$51+30&gt;='🌱 Configuração'!$C$51,'🌱 Configuração'!$B$51+30&lt;'🌱 Configuração'!$D$51,INT(('🌱 Configuração'!$B$51+30-'🌱 Configuração'!$C$51)/7)+1=7,MOD('🌱 Configuração'!$B$51+30-'🌱 Configuração'!$C$51,7)=0),"🌿 Bloom A+B transição — EC 1.4",IF(AND('🌱 Configuração'!$B$51+30&gt;='🌱 Configuração'!$C$51,'🌱 Configuração'!$B$51+30&lt;'🌱 Configuração'!$D$51,INT(('🌱 Configuração'!$B$51+30-'🌱 Configuração'!$C$51)/7)+1=8,MOD('🌱 Configuração'!$B$51+30-'🌱 Configuração'!$C$51,7)=0),"🌿 Bloom A+B — EC 1.4",IF(AND('🌱 Configuração'!$B$51+30&gt;='🌱 Configuração'!$D$51,'🌱 Configuração'!$B$51+30&lt;'🌱 Configuração'!$E$51,INT(('🌱 Configuração'!$B$51+30-'🌱 Configuração'!$D$51)/7)+1=1,MOD('🌱 Configuração'!$B$51+30-'🌱 Configuração'!$D$51,7)=0),"🌸 Bloom A+B — EC 1.6",IF(AND('🌱 Configuração'!$B$51+30&gt;='🌱 Configuração'!$D$51,'🌱 Configuração'!$B$51+30&lt;'🌱 Configuração'!$E$51,INT(('🌱 Configuração'!$B$51+30-'🌱 Configuração'!$D$51)/7)+1=2,MOD('🌱 Configuração'!$B$51+30-'🌱 Configuração'!$D$51,7)=0),"🌸 Bloom + PK 13/14 início",IF(AND('🌱 Configuração'!$B$51+30&gt;='🌱 Configuração'!$D$51,'🌱 Configuração'!$B$51+30&lt;'🌱 Configuração'!$E$51,INT(('🌱 Configuração'!$B$51+30-'🌱 Configuração'!$D$51)/7)+1=3,MOD('🌱 Configuração'!$B$51+30-'🌱 Configuração'!$D$51,7)=0),"🌸 Bloom + PK + CalMag — EC 1.8",IF(AND('🌱 Configuração'!$B$51+30&gt;='🌱 Configuração'!$D$51,'🌱 Configuração'!$B$51+30&lt;'🌱 Configuração'!$E$51,INT(('🌱 Configuração'!$B$51+30-'🌱 Configuração'!$D$51)/7)+1=4,MOD('🌱 Configuração'!$B$51+30-'🌱 Configuração'!$D$51,7)=0),"🌸 Bloom + PK + Boost Floral — EC 2.0",IF(AND('🌱 Configuração'!$B$51+30&gt;='🌱 Configuração'!$D$51,'🌱 Configuração'!$B$51+30&lt;'🌱 Configuração'!$E$51,INT(('🌱 Configuração'!$B$51+30-'🌱 Configuração'!$D$51)/7)+1=5,MOD('🌱 Configuração'!$B$51+30-'🌱 Configuração'!$D$51,7)=0),"🌸 Bloom + Boost + Amino",IF(AND('🌱 Configuração'!$B$51+30&gt;='🌱 Configuração'!$D$51,'🌱 Configuração'!$B$51+30&lt;'🌱 Configuração'!$E$51,INT(('🌱 Configuração'!$B$51+30-'🌱 Configuração'!$D$51)/7)+1=6,MOD('🌱 Configuração'!$B$51+30-'🌱 Configuração'!$D$51,7)=0),"🌸 Bloom + Enzimas + Amino",IF(AND('🌱 Configuração'!$B$51+30&gt;='🌱 Configuração'!$D$51,'🌱 Configuração'!$B$51+30&lt;'🌱 Configuração'!$E$51,INT(('🌱 Configuração'!$B$51+30-'🌱 Configuração'!$D$51)/7)+1=7,MOD('🌱 Configuração'!$B$51+30-'🌱 Configuração'!$D$51,7)=0),"🌸 Reduzir N — Bloom puro — EC 1.6",IF(AND('🌱 Configuração'!$B$51+30&gt;='🌱 Configuração'!$D$51,'🌱 Configuração'!$B$51+30&lt;'🌱 Configuração'!$E$51,INT(('🌱 Configuração'!$B$51+30-'🌱 Configuração'!$D$51)/7)+1=8,MOD('🌱 Configuração'!$B$51+30-'🌱 Configuração'!$D$51,7)=0),"🌸 Bloom puro — EC 1.4  (pré-flush)",IF(AND('🌱 Configuração'!$B$51+30&gt;='🌱 Configuração'!$D$51,'🌱 Configuração'!$B$51+30&lt;'🌱 Configuração'!$E$51,INT(('🌱 Configuração'!$B$51+30-'🌱 Configuração'!$D$51)/7)+1=9,MOD('🌱 Configuração'!$B$51+30-'🌱 Configuração'!$D$51,7)=0),"🌸 Último Bloom — EC 0.8",IF(AND('🌱 Configuração'!$B$51+30&gt;='🌱 Configuração'!$E$51,INT(('🌱 Configuração'!$B$51+30-'🌱 Configuração'!$E$51)/7)+1=1,MOD('🌱 Configuração'!$B$51+30-'🌱 Configuração'!$E$51,7)=0),"🚿 Água pura + Enzimas (EC &lt; 0.3)",IF(AND('🌱 Configuração'!$B$51+30&gt;='🌱 Configuração'!$E$51,INT(('🌱 Configuração'!$B$51+30-'🌱 Configuração'!$E$51)/7)+1=2,MOD('🌱 Configuração'!$B$51+30-'🌱 Configuração'!$E$51,7)=0),"🚿 Água pura (EC &lt; 0.2)",""))))))))))))))))))))))</f>
        <v/>
      </c>
      <c r="G36" s="30" t="str">
        <f>IF(31&gt;'🌱 Configuração'!$F$50,"",IF(AND('🌱 Configuração'!$B$51+30&lt;'🌱 Configuração'!$C$51,INT((31-1)/7)+1=1,MOD(31-1,7)=0),"🐛 Nim 2mL/L foliar — preventivo",IF(AND('🌱 Configuração'!$B$51+30&lt;'🌱 Configuração'!$C$51,INT((31-1)/7)+1=2,MOD(31-1,7)=0),"🐛 Beauveria bassiana foliar + solo",IF(AND('🌱 Configuração'!$B$51+30&gt;='🌱 Configuração'!$C$51,'🌱 Configuração'!$B$51+30&lt;'🌱 Configuração'!$D$51,INT(('🌱 Configuração'!$B$51+30-'🌱 Configuração'!$C$51)/7)+1=1,MOD('🌱 Configuração'!$B$51+30-'🌱 Configuração'!$C$51,7)=0),"🐛 Nim 2mL/L foliar",IF(AND('🌱 Configuração'!$B$51+30&gt;='🌱 Configuração'!$C$51,'🌱 Configuração'!$B$51+30&lt;'🌱 Configuração'!$D$51,INT(('🌱 Configuração'!$B$51+30-'🌱 Configuração'!$C$51)/7)+1=2,MOD('🌱 Configuração'!$B$51+30-'🌱 Configuração'!$C$51,7)=0),"🐛 Beauveria bassiana foliar",IF(AND('🌱 Configuração'!$B$51+30&gt;='🌱 Configuração'!$C$51,'🌱 Configuração'!$B$51+30&lt;'🌱 Configuração'!$D$51,INT(('🌱 Configuração'!$B$51+30-'🌱 Configuração'!$C$51)/7)+1=3,MOD('🌱 Configuração'!$B$51+30-'🌱 Configuração'!$C$51,7)=0),"🐛 Nim + Calda Sulfocálcica 1%",IF(AND('🌱 Configuração'!$B$51+30&gt;='🌱 Configuração'!$C$51,'🌱 Configuração'!$B$51+30&lt;'🌱 Configuração'!$D$51,INT(('🌱 Configuração'!$B$51+30-'🌱 Configuração'!$C$51)/7)+1=4,MOD('🌱 Configuração'!$B$51+30-'🌱 Configuração'!$C$51,7)=0),"🐛 Trichoderma solo + Beauveria",IF(AND('🌱 Configuração'!$B$51+30&gt;='🌱 Configuração'!$C$51,'🌱 Configuração'!$B$51+30&lt;'🌱 Configuração'!$D$51,INT(('🌱 Configuração'!$B$51+30-'🌱 Configuração'!$C$51)/7)+1=5,MOD('🌱 Configuração'!$B$51+30-'🌱 Configuração'!$C$51,7)=0),"🐛 Calda Bordalesa 0.5% foliar",IF(AND('🌱 Configuração'!$B$51+30&gt;='🌱 Configuração'!$C$51,'🌱 Configuração'!$B$51+30&lt;'🌱 Configuração'!$D$51,INT(('🌱 Configuração'!$B$51+30-'🌱 Configuração'!$C$51)/7)+1=6,MOD('🌱 Configuração'!$B$51+30-'🌱 Configuração'!$C$51,7)=0),"🐛 Nim 2mL/L — ÚLTIMA foliar",IF(AND('🌱 Configuração'!$B$51+30&gt;='🌱 Configuração'!$D$51,'🌱 Configuração'!$B$51+30&lt;'🌱 Configuração'!$E$51,INT(('🌱 Configuração'!$B$51+30-'🌱 Configuração'!$D$51)/7)+1=1,MOD('🌱 Configuração'!$B$51+30-'🌱 Configuração'!$D$51,7)=0),"🐛 Beauveria bassiana solo (sem foliar)",IF(AND('🌱 Configuração'!$B$51+30&gt;='🌱 Configuração'!$D$51,'🌱 Configuração'!$B$51+30&lt;'🌱 Configuração'!$E$51,INT(('🌱 Configuração'!$B$51+30-'🌱 Configuração'!$D$51)/7)+1=2,MOD('🌱 Configuração'!$B$51+30-'🌱 Configuração'!$D$51,7)=0),"🐛 Trichoderma solo",IF(AND('🌱 Configuração'!$B$51+30&gt;='🌱 Configuração'!$D$51,'🌱 Configuração'!$B$51+30&lt;'🌱 Configuração'!$E$51,INT(('🌱 Configuração'!$B$51+30-'🌱 Configuração'!$D$51)/7)+1=3,MOD('🌱 Configuração'!$B$51+30-'🌱 Configuração'!$D$51,7)=0),"🐛 Beauveria bassiana solo",IF(AND('🌱 Configuração'!$B$51+30&gt;='🌱 Configuração'!$D$51,'🌱 Configuração'!$B$51+30&lt;'🌱 Configuração'!$E$51,INT(('🌱 Configuração'!$B$51+30-'🌱 Configuração'!$D$51)/7)+1=4,MOD('🌱 Configuração'!$B$51+30-'🌱 Configuração'!$D$51,7)=0),"🐛 Trichoderma solo",IF(AND('🌱 Configuração'!$B$51+30&gt;='🌱 Configuração'!$E$51,INT(('🌱 Configuração'!$B$51+30-'🌱 Configuração'!$E$51)/7)+1=1,MOD('🌱 Configuração'!$B$51+30-'🌱 Configuração'!$E$51,7)=0),"🐛 Inspeção final — sem aplicação",""))))))))))))))</f>
        <v/>
      </c>
      <c r="H36" s="22" t="str">
        <f>IF(31&gt;'🌱 Configuração'!$F$50,"",IF('🌱 Configuração'!$B$51+30='🌱 Configuração'!$C$51,"🌿 INÍCIO VEGA — ajustar espaço, luz 18h/dia — EC 0.8",IF('🌱 Configuração'!$B$51+30='🌱 Configuração'!$D$51,"🌸 INÍCIO FLORAÇÃO — mudar para 12h/12h — 🔴 atenção ao fotoperíodo",IF('🌱 Configuração'!$B$51+30='🌱 Configuração'!$E$51,"🚿 INÍCIO FLUSH — PARAR nutrição, somente água pura",IF('🌱 Configuração'!$B$51+30='🌱 Configuração'!$F$51-1,"🔬 Véspera da colheita — analisar tricomas âmbar",IF('🌱 Configuração'!$B$51+30='🌱 Configuração'!$F$51,"✂️ COLHEITA! Parabéns! 🎉",""))))))</f>
        <v/>
      </c>
    </row>
    <row r="37" spans="2:8" ht="18.75" customHeight="1" x14ac:dyDescent="0.3">
      <c r="B37" s="25">
        <f>IF(32&lt;='🌱 Configuração'!$F$50,32,"")</f>
        <v>32</v>
      </c>
      <c r="C37" s="26">
        <f>IF(32&lt;='🌱 Configuração'!$F$50,'🌱 Configuração'!$B$51+31,"")</f>
        <v>46054</v>
      </c>
      <c r="D37" s="27" t="str">
        <f>IF(32&gt;'🌱 Configuração'!$F$50,"",IF('🌱 Configuração'!$B$51+31&lt;'🌱 Configuração'!$C$51,"🌱 Clone",IF('🌱 Configuração'!$B$51+31&lt;'🌱 Configuração'!$D$51,"🌿 Vegetativo",IF('🌱 Configuração'!$B$51+31&lt;'🌱 Configuração'!$E$51,"🌸 Floração","🚿 Flush"))))</f>
        <v>🌿 Vegetativo</v>
      </c>
      <c r="E37" s="28" t="str">
        <f>IF(32&gt;'🌱 Configuração'!$F$50,"",IF('🌱 Configuração'!$B$51+31&lt;'🌱 Configuração'!$C$51,"Clone S"&amp;INT((32-1)/7)+1,IF('🌱 Configuração'!$B$51+31&lt;'🌱 Configuração'!$D$51,"Vega S"&amp;INT(('🌱 Configuração'!$B$51+31-'🌱 Configuração'!$C$51)/7)+1,IF('🌱 Configuração'!$B$51+31&lt;'🌱 Configuração'!$E$51,"Flora S"&amp;INT(('🌱 Configuração'!$B$51+31-'🌱 Configuração'!$D$51)/7)+1,"Flush S"&amp;INT(('🌱 Configuração'!$B$51+31-'🌱 Configuração'!$E$51)/7)+1))))</f>
        <v>Vega S3</v>
      </c>
      <c r="F37" s="29" t="str">
        <f>IF(32&gt;'🌱 Configuração'!$F$50,"",IF(AND('🌱 Configuração'!$B$51+31&lt;'🌱 Configuração'!$C$51,INT((32-1)/7)+1=1,MOD(32-1,7)=0),"🌱 Enraizador (0.5 mL/L)",IF(AND('🌱 Configuração'!$B$51+31&lt;'🌱 Configuração'!$C$51,INT((32-1)/7)+1=2,MOD(32-1,7)=0),"🌱 Enraizador + Vitamina B1",IF(AND('🌱 Configuração'!$B$51+31&gt;='🌱 Configuração'!$C$51,'🌱 Configuração'!$B$51+31&lt;'🌱 Configuração'!$D$51,INT(('🌱 Configuração'!$B$51+31-'🌱 Configuração'!$C$51)/7)+1=1,MOD('🌱 Configuração'!$B$51+31-'🌱 Configuração'!$C$51,7)=0),"🌿 Grow A+B início — EC 0.8",IF(AND('🌱 Configuração'!$B$51+31&gt;='🌱 Configuração'!$C$51,'🌱 Configuração'!$B$51+31&lt;'🌱 Configuração'!$D$51,INT(('🌱 Configuração'!$B$51+31-'🌱 Configuração'!$C$51)/7)+1=2,MOD('🌱 Configuração'!$B$51+31-'🌱 Configuração'!$C$51,7)=0),"🌿 Grow A+B + CalMag — EC 1.0",IF(AND('🌱 Configuração'!$B$51+31&gt;='🌱 Configuração'!$C$51,'🌱 Configuração'!$B$51+31&lt;'🌱 Configuração'!$D$51,INT(('🌱 Configuração'!$B$51+31-'🌱 Configuração'!$C$51)/7)+1=3,MOD('🌱 Configuração'!$B$51+31-'🌱 Configuração'!$C$51,7)=0),"🌿 Grow A+B + CalMag — EC 1.2",IF(AND('🌱 Configuração'!$B$51+31&gt;='🌱 Configuração'!$C$51,'🌱 Configuração'!$B$51+31&lt;'🌱 Configuração'!$D$51,INT(('🌱 Configuração'!$B$51+31-'🌱 Configuração'!$C$51)/7)+1=4,MOD('🌱 Configuração'!$B$51+31-'🌱 Configuração'!$C$51,7)=0),"🌿 Grow A+B + Enzimas — EC 1.4",IF(AND('🌱 Configuração'!$B$51+31&gt;='🌱 Configuração'!$C$51,'🌱 Configuração'!$B$51+31&lt;'🌱 Configuração'!$D$51,INT(('🌱 Configuração'!$B$51+31-'🌱 Configuração'!$C$51)/7)+1=5,MOD('🌱 Configuração'!$B$51+31-'🌱 Configuração'!$C$51,7)=0),"🌿 Grow A+B + Biorrizas — EC 1.5",IF(AND('🌱 Configuração'!$B$51+31&gt;='🌱 Configuração'!$C$51,'🌱 Configuração'!$B$51+31&lt;'🌱 Configuração'!$D$51,INT(('🌱 Configuração'!$B$51+31-'🌱 Configuração'!$C$51)/7)+1=6,MOD('🌱 Configuração'!$B$51+31-'🌱 Configuração'!$C$51,7)=0),"🌿 Transição Bloom — EC 1.4",IF(AND('🌱 Configuração'!$B$51+31&gt;='🌱 Configuração'!$C$51,'🌱 Configuração'!$B$51+31&lt;'🌱 Configuração'!$D$51,INT(('🌱 Configuração'!$B$51+31-'🌱 Configuração'!$C$51)/7)+1=7,MOD('🌱 Configuração'!$B$51+31-'🌱 Configuração'!$C$51,7)=0),"🌿 Bloom A+B transição — EC 1.4",IF(AND('🌱 Configuração'!$B$51+31&gt;='🌱 Configuração'!$C$51,'🌱 Configuração'!$B$51+31&lt;'🌱 Configuração'!$D$51,INT(('🌱 Configuração'!$B$51+31-'🌱 Configuração'!$C$51)/7)+1=8,MOD('🌱 Configuração'!$B$51+31-'🌱 Configuração'!$C$51,7)=0),"🌿 Bloom A+B — EC 1.4",IF(AND('🌱 Configuração'!$B$51+31&gt;='🌱 Configuração'!$D$51,'🌱 Configuração'!$B$51+31&lt;'🌱 Configuração'!$E$51,INT(('🌱 Configuração'!$B$51+31-'🌱 Configuração'!$D$51)/7)+1=1,MOD('🌱 Configuração'!$B$51+31-'🌱 Configuração'!$D$51,7)=0),"🌸 Bloom A+B — EC 1.6",IF(AND('🌱 Configuração'!$B$51+31&gt;='🌱 Configuração'!$D$51,'🌱 Configuração'!$B$51+31&lt;'🌱 Configuração'!$E$51,INT(('🌱 Configuração'!$B$51+31-'🌱 Configuração'!$D$51)/7)+1=2,MOD('🌱 Configuração'!$B$51+31-'🌱 Configuração'!$D$51,7)=0),"🌸 Bloom + PK 13/14 início",IF(AND('🌱 Configuração'!$B$51+31&gt;='🌱 Configuração'!$D$51,'🌱 Configuração'!$B$51+31&lt;'🌱 Configuração'!$E$51,INT(('🌱 Configuração'!$B$51+31-'🌱 Configuração'!$D$51)/7)+1=3,MOD('🌱 Configuração'!$B$51+31-'🌱 Configuração'!$D$51,7)=0),"🌸 Bloom + PK + CalMag — EC 1.8",IF(AND('🌱 Configuração'!$B$51+31&gt;='🌱 Configuração'!$D$51,'🌱 Configuração'!$B$51+31&lt;'🌱 Configuração'!$E$51,INT(('🌱 Configuração'!$B$51+31-'🌱 Configuração'!$D$51)/7)+1=4,MOD('🌱 Configuração'!$B$51+31-'🌱 Configuração'!$D$51,7)=0),"🌸 Bloom + PK + Boost Floral — EC 2.0",IF(AND('🌱 Configuração'!$B$51+31&gt;='🌱 Configuração'!$D$51,'🌱 Configuração'!$B$51+31&lt;'🌱 Configuração'!$E$51,INT(('🌱 Configuração'!$B$51+31-'🌱 Configuração'!$D$51)/7)+1=5,MOD('🌱 Configuração'!$B$51+31-'🌱 Configuração'!$D$51,7)=0),"🌸 Bloom + Boost + Amino",IF(AND('🌱 Configuração'!$B$51+31&gt;='🌱 Configuração'!$D$51,'🌱 Configuração'!$B$51+31&lt;'🌱 Configuração'!$E$51,INT(('🌱 Configuração'!$B$51+31-'🌱 Configuração'!$D$51)/7)+1=6,MOD('🌱 Configuração'!$B$51+31-'🌱 Configuração'!$D$51,7)=0),"🌸 Bloom + Enzimas + Amino",IF(AND('🌱 Configuração'!$B$51+31&gt;='🌱 Configuração'!$D$51,'🌱 Configuração'!$B$51+31&lt;'🌱 Configuração'!$E$51,INT(('🌱 Configuração'!$B$51+31-'🌱 Configuração'!$D$51)/7)+1=7,MOD('🌱 Configuração'!$B$51+31-'🌱 Configuração'!$D$51,7)=0),"🌸 Reduzir N — Bloom puro — EC 1.6",IF(AND('🌱 Configuração'!$B$51+31&gt;='🌱 Configuração'!$D$51,'🌱 Configuração'!$B$51+31&lt;'🌱 Configuração'!$E$51,INT(('🌱 Configuração'!$B$51+31-'🌱 Configuração'!$D$51)/7)+1=8,MOD('🌱 Configuração'!$B$51+31-'🌱 Configuração'!$D$51,7)=0),"🌸 Bloom puro — EC 1.4  (pré-flush)",IF(AND('🌱 Configuração'!$B$51+31&gt;='🌱 Configuração'!$D$51,'🌱 Configuração'!$B$51+31&lt;'🌱 Configuração'!$E$51,INT(('🌱 Configuração'!$B$51+31-'🌱 Configuração'!$D$51)/7)+1=9,MOD('🌱 Configuração'!$B$51+31-'🌱 Configuração'!$D$51,7)=0),"🌸 Último Bloom — EC 0.8",IF(AND('🌱 Configuração'!$B$51+31&gt;='🌱 Configuração'!$E$51,INT(('🌱 Configuração'!$B$51+31-'🌱 Configuração'!$E$51)/7)+1=1,MOD('🌱 Configuração'!$B$51+31-'🌱 Configuração'!$E$51,7)=0),"🚿 Água pura + Enzimas (EC &lt; 0.3)",IF(AND('🌱 Configuração'!$B$51+31&gt;='🌱 Configuração'!$E$51,INT(('🌱 Configuração'!$B$51+31-'🌱 Configuração'!$E$51)/7)+1=2,MOD('🌱 Configuração'!$B$51+31-'🌱 Configuração'!$E$51,7)=0),"🚿 Água pura (EC &lt; 0.2)",""))))))))))))))))))))))</f>
        <v/>
      </c>
      <c r="G37" s="30" t="str">
        <f>IF(32&gt;'🌱 Configuração'!$F$50,"",IF(AND('🌱 Configuração'!$B$51+31&lt;'🌱 Configuração'!$C$51,INT((32-1)/7)+1=1,MOD(32-1,7)=0),"🐛 Nim 2mL/L foliar — preventivo",IF(AND('🌱 Configuração'!$B$51+31&lt;'🌱 Configuração'!$C$51,INT((32-1)/7)+1=2,MOD(32-1,7)=0),"🐛 Beauveria bassiana foliar + solo",IF(AND('🌱 Configuração'!$B$51+31&gt;='🌱 Configuração'!$C$51,'🌱 Configuração'!$B$51+31&lt;'🌱 Configuração'!$D$51,INT(('🌱 Configuração'!$B$51+31-'🌱 Configuração'!$C$51)/7)+1=1,MOD('🌱 Configuração'!$B$51+31-'🌱 Configuração'!$C$51,7)=0),"🐛 Nim 2mL/L foliar",IF(AND('🌱 Configuração'!$B$51+31&gt;='🌱 Configuração'!$C$51,'🌱 Configuração'!$B$51+31&lt;'🌱 Configuração'!$D$51,INT(('🌱 Configuração'!$B$51+31-'🌱 Configuração'!$C$51)/7)+1=2,MOD('🌱 Configuração'!$B$51+31-'🌱 Configuração'!$C$51,7)=0),"🐛 Beauveria bassiana foliar",IF(AND('🌱 Configuração'!$B$51+31&gt;='🌱 Configuração'!$C$51,'🌱 Configuração'!$B$51+31&lt;'🌱 Configuração'!$D$51,INT(('🌱 Configuração'!$B$51+31-'🌱 Configuração'!$C$51)/7)+1=3,MOD('🌱 Configuração'!$B$51+31-'🌱 Configuração'!$C$51,7)=0),"🐛 Nim + Calda Sulfocálcica 1%",IF(AND('🌱 Configuração'!$B$51+31&gt;='🌱 Configuração'!$C$51,'🌱 Configuração'!$B$51+31&lt;'🌱 Configuração'!$D$51,INT(('🌱 Configuração'!$B$51+31-'🌱 Configuração'!$C$51)/7)+1=4,MOD('🌱 Configuração'!$B$51+31-'🌱 Configuração'!$C$51,7)=0),"🐛 Trichoderma solo + Beauveria",IF(AND('🌱 Configuração'!$B$51+31&gt;='🌱 Configuração'!$C$51,'🌱 Configuração'!$B$51+31&lt;'🌱 Configuração'!$D$51,INT(('🌱 Configuração'!$B$51+31-'🌱 Configuração'!$C$51)/7)+1=5,MOD('🌱 Configuração'!$B$51+31-'🌱 Configuração'!$C$51,7)=0),"🐛 Calda Bordalesa 0.5% foliar",IF(AND('🌱 Configuração'!$B$51+31&gt;='🌱 Configuração'!$C$51,'🌱 Configuração'!$B$51+31&lt;'🌱 Configuração'!$D$51,INT(('🌱 Configuração'!$B$51+31-'🌱 Configuração'!$C$51)/7)+1=6,MOD('🌱 Configuração'!$B$51+31-'🌱 Configuração'!$C$51,7)=0),"🐛 Nim 2mL/L — ÚLTIMA foliar",IF(AND('🌱 Configuração'!$B$51+31&gt;='🌱 Configuração'!$D$51,'🌱 Configuração'!$B$51+31&lt;'🌱 Configuração'!$E$51,INT(('🌱 Configuração'!$B$51+31-'🌱 Configuração'!$D$51)/7)+1=1,MOD('🌱 Configuração'!$B$51+31-'🌱 Configuração'!$D$51,7)=0),"🐛 Beauveria bassiana solo (sem foliar)",IF(AND('🌱 Configuração'!$B$51+31&gt;='🌱 Configuração'!$D$51,'🌱 Configuração'!$B$51+31&lt;'🌱 Configuração'!$E$51,INT(('🌱 Configuração'!$B$51+31-'🌱 Configuração'!$D$51)/7)+1=2,MOD('🌱 Configuração'!$B$51+31-'🌱 Configuração'!$D$51,7)=0),"🐛 Trichoderma solo",IF(AND('🌱 Configuração'!$B$51+31&gt;='🌱 Configuração'!$D$51,'🌱 Configuração'!$B$51+31&lt;'🌱 Configuração'!$E$51,INT(('🌱 Configuração'!$B$51+31-'🌱 Configuração'!$D$51)/7)+1=3,MOD('🌱 Configuração'!$B$51+31-'🌱 Configuração'!$D$51,7)=0),"🐛 Beauveria bassiana solo",IF(AND('🌱 Configuração'!$B$51+31&gt;='🌱 Configuração'!$D$51,'🌱 Configuração'!$B$51+31&lt;'🌱 Configuração'!$E$51,INT(('🌱 Configuração'!$B$51+31-'🌱 Configuração'!$D$51)/7)+1=4,MOD('🌱 Configuração'!$B$51+31-'🌱 Configuração'!$D$51,7)=0),"🐛 Trichoderma solo",IF(AND('🌱 Configuração'!$B$51+31&gt;='🌱 Configuração'!$E$51,INT(('🌱 Configuração'!$B$51+31-'🌱 Configuração'!$E$51)/7)+1=1,MOD('🌱 Configuração'!$B$51+31-'🌱 Configuração'!$E$51,7)=0),"🐛 Inspeção final — sem aplicação",""))))))))))))))</f>
        <v/>
      </c>
      <c r="H37" s="22" t="str">
        <f>IF(32&gt;'🌱 Configuração'!$F$50,"",IF('🌱 Configuração'!$B$51+31='🌱 Configuração'!$C$51,"🌿 INÍCIO VEGA — ajustar espaço, luz 18h/dia — EC 0.8",IF('🌱 Configuração'!$B$51+31='🌱 Configuração'!$D$51,"🌸 INÍCIO FLORAÇÃO — mudar para 12h/12h — 🔴 atenção ao fotoperíodo",IF('🌱 Configuração'!$B$51+31='🌱 Configuração'!$E$51,"🚿 INÍCIO FLUSH — PARAR nutrição, somente água pura",IF('🌱 Configuração'!$B$51+31='🌱 Configuração'!$F$51-1,"🔬 Véspera da colheita — analisar tricomas âmbar",IF('🌱 Configuração'!$B$51+31='🌱 Configuração'!$F$51,"✂️ COLHEITA! Parabéns! 🎉",""))))))</f>
        <v/>
      </c>
    </row>
    <row r="38" spans="2:8" ht="18.75" customHeight="1" x14ac:dyDescent="0.3">
      <c r="B38" s="25">
        <f>IF(33&lt;='🌱 Configuração'!$F$50,33,"")</f>
        <v>33</v>
      </c>
      <c r="C38" s="26">
        <f>IF(33&lt;='🌱 Configuração'!$F$50,'🌱 Configuração'!$B$51+32,"")</f>
        <v>46055</v>
      </c>
      <c r="D38" s="27" t="str">
        <f>IF(33&gt;'🌱 Configuração'!$F$50,"",IF('🌱 Configuração'!$B$51+32&lt;'🌱 Configuração'!$C$51,"🌱 Clone",IF('🌱 Configuração'!$B$51+32&lt;'🌱 Configuração'!$D$51,"🌿 Vegetativo",IF('🌱 Configuração'!$B$51+32&lt;'🌱 Configuração'!$E$51,"🌸 Floração","🚿 Flush"))))</f>
        <v>🌿 Vegetativo</v>
      </c>
      <c r="E38" s="28" t="str">
        <f>IF(33&gt;'🌱 Configuração'!$F$50,"",IF('🌱 Configuração'!$B$51+32&lt;'🌱 Configuração'!$C$51,"Clone S"&amp;INT((33-1)/7)+1,IF('🌱 Configuração'!$B$51+32&lt;'🌱 Configuração'!$D$51,"Vega S"&amp;INT(('🌱 Configuração'!$B$51+32-'🌱 Configuração'!$C$51)/7)+1,IF('🌱 Configuração'!$B$51+32&lt;'🌱 Configuração'!$E$51,"Flora S"&amp;INT(('🌱 Configuração'!$B$51+32-'🌱 Configuração'!$D$51)/7)+1,"Flush S"&amp;INT(('🌱 Configuração'!$B$51+32-'🌱 Configuração'!$E$51)/7)+1))))</f>
        <v>Vega S3</v>
      </c>
      <c r="F38" s="29" t="str">
        <f>IF(33&gt;'🌱 Configuração'!$F$50,"",IF(AND('🌱 Configuração'!$B$51+32&lt;'🌱 Configuração'!$C$51,INT((33-1)/7)+1=1,MOD(33-1,7)=0),"🌱 Enraizador (0.5 mL/L)",IF(AND('🌱 Configuração'!$B$51+32&lt;'🌱 Configuração'!$C$51,INT((33-1)/7)+1=2,MOD(33-1,7)=0),"🌱 Enraizador + Vitamina B1",IF(AND('🌱 Configuração'!$B$51+32&gt;='🌱 Configuração'!$C$51,'🌱 Configuração'!$B$51+32&lt;'🌱 Configuração'!$D$51,INT(('🌱 Configuração'!$B$51+32-'🌱 Configuração'!$C$51)/7)+1=1,MOD('🌱 Configuração'!$B$51+32-'🌱 Configuração'!$C$51,7)=0),"🌿 Grow A+B início — EC 0.8",IF(AND('🌱 Configuração'!$B$51+32&gt;='🌱 Configuração'!$C$51,'🌱 Configuração'!$B$51+32&lt;'🌱 Configuração'!$D$51,INT(('🌱 Configuração'!$B$51+32-'🌱 Configuração'!$C$51)/7)+1=2,MOD('🌱 Configuração'!$B$51+32-'🌱 Configuração'!$C$51,7)=0),"🌿 Grow A+B + CalMag — EC 1.0",IF(AND('🌱 Configuração'!$B$51+32&gt;='🌱 Configuração'!$C$51,'🌱 Configuração'!$B$51+32&lt;'🌱 Configuração'!$D$51,INT(('🌱 Configuração'!$B$51+32-'🌱 Configuração'!$C$51)/7)+1=3,MOD('🌱 Configuração'!$B$51+32-'🌱 Configuração'!$C$51,7)=0),"🌿 Grow A+B + CalMag — EC 1.2",IF(AND('🌱 Configuração'!$B$51+32&gt;='🌱 Configuração'!$C$51,'🌱 Configuração'!$B$51+32&lt;'🌱 Configuração'!$D$51,INT(('🌱 Configuração'!$B$51+32-'🌱 Configuração'!$C$51)/7)+1=4,MOD('🌱 Configuração'!$B$51+32-'🌱 Configuração'!$C$51,7)=0),"🌿 Grow A+B + Enzimas — EC 1.4",IF(AND('🌱 Configuração'!$B$51+32&gt;='🌱 Configuração'!$C$51,'🌱 Configuração'!$B$51+32&lt;'🌱 Configuração'!$D$51,INT(('🌱 Configuração'!$B$51+32-'🌱 Configuração'!$C$51)/7)+1=5,MOD('🌱 Configuração'!$B$51+32-'🌱 Configuração'!$C$51,7)=0),"🌿 Grow A+B + Biorrizas — EC 1.5",IF(AND('🌱 Configuração'!$B$51+32&gt;='🌱 Configuração'!$C$51,'🌱 Configuração'!$B$51+32&lt;'🌱 Configuração'!$D$51,INT(('🌱 Configuração'!$B$51+32-'🌱 Configuração'!$C$51)/7)+1=6,MOD('🌱 Configuração'!$B$51+32-'🌱 Configuração'!$C$51,7)=0),"🌿 Transição Bloom — EC 1.4",IF(AND('🌱 Configuração'!$B$51+32&gt;='🌱 Configuração'!$C$51,'🌱 Configuração'!$B$51+32&lt;'🌱 Configuração'!$D$51,INT(('🌱 Configuração'!$B$51+32-'🌱 Configuração'!$C$51)/7)+1=7,MOD('🌱 Configuração'!$B$51+32-'🌱 Configuração'!$C$51,7)=0),"🌿 Bloom A+B transição — EC 1.4",IF(AND('🌱 Configuração'!$B$51+32&gt;='🌱 Configuração'!$C$51,'🌱 Configuração'!$B$51+32&lt;'🌱 Configuração'!$D$51,INT(('🌱 Configuração'!$B$51+32-'🌱 Configuração'!$C$51)/7)+1=8,MOD('🌱 Configuração'!$B$51+32-'🌱 Configuração'!$C$51,7)=0),"🌿 Bloom A+B — EC 1.4",IF(AND('🌱 Configuração'!$B$51+32&gt;='🌱 Configuração'!$D$51,'🌱 Configuração'!$B$51+32&lt;'🌱 Configuração'!$E$51,INT(('🌱 Configuração'!$B$51+32-'🌱 Configuração'!$D$51)/7)+1=1,MOD('🌱 Configuração'!$B$51+32-'🌱 Configuração'!$D$51,7)=0),"🌸 Bloom A+B — EC 1.6",IF(AND('🌱 Configuração'!$B$51+32&gt;='🌱 Configuração'!$D$51,'🌱 Configuração'!$B$51+32&lt;'🌱 Configuração'!$E$51,INT(('🌱 Configuração'!$B$51+32-'🌱 Configuração'!$D$51)/7)+1=2,MOD('🌱 Configuração'!$B$51+32-'🌱 Configuração'!$D$51,7)=0),"🌸 Bloom + PK 13/14 início",IF(AND('🌱 Configuração'!$B$51+32&gt;='🌱 Configuração'!$D$51,'🌱 Configuração'!$B$51+32&lt;'🌱 Configuração'!$E$51,INT(('🌱 Configuração'!$B$51+32-'🌱 Configuração'!$D$51)/7)+1=3,MOD('🌱 Configuração'!$B$51+32-'🌱 Configuração'!$D$51,7)=0),"🌸 Bloom + PK + CalMag — EC 1.8",IF(AND('🌱 Configuração'!$B$51+32&gt;='🌱 Configuração'!$D$51,'🌱 Configuração'!$B$51+32&lt;'🌱 Configuração'!$E$51,INT(('🌱 Configuração'!$B$51+32-'🌱 Configuração'!$D$51)/7)+1=4,MOD('🌱 Configuração'!$B$51+32-'🌱 Configuração'!$D$51,7)=0),"🌸 Bloom + PK + Boost Floral — EC 2.0",IF(AND('🌱 Configuração'!$B$51+32&gt;='🌱 Configuração'!$D$51,'🌱 Configuração'!$B$51+32&lt;'🌱 Configuração'!$E$51,INT(('🌱 Configuração'!$B$51+32-'🌱 Configuração'!$D$51)/7)+1=5,MOD('🌱 Configuração'!$B$51+32-'🌱 Configuração'!$D$51,7)=0),"🌸 Bloom + Boost + Amino",IF(AND('🌱 Configuração'!$B$51+32&gt;='🌱 Configuração'!$D$51,'🌱 Configuração'!$B$51+32&lt;'🌱 Configuração'!$E$51,INT(('🌱 Configuração'!$B$51+32-'🌱 Configuração'!$D$51)/7)+1=6,MOD('🌱 Configuração'!$B$51+32-'🌱 Configuração'!$D$51,7)=0),"🌸 Bloom + Enzimas + Amino",IF(AND('🌱 Configuração'!$B$51+32&gt;='🌱 Configuração'!$D$51,'🌱 Configuração'!$B$51+32&lt;'🌱 Configuração'!$E$51,INT(('🌱 Configuração'!$B$51+32-'🌱 Configuração'!$D$51)/7)+1=7,MOD('🌱 Configuração'!$B$51+32-'🌱 Configuração'!$D$51,7)=0),"🌸 Reduzir N — Bloom puro — EC 1.6",IF(AND('🌱 Configuração'!$B$51+32&gt;='🌱 Configuração'!$D$51,'🌱 Configuração'!$B$51+32&lt;'🌱 Configuração'!$E$51,INT(('🌱 Configuração'!$B$51+32-'🌱 Configuração'!$D$51)/7)+1=8,MOD('🌱 Configuração'!$B$51+32-'🌱 Configuração'!$D$51,7)=0),"🌸 Bloom puro — EC 1.4  (pré-flush)",IF(AND('🌱 Configuração'!$B$51+32&gt;='🌱 Configuração'!$D$51,'🌱 Configuração'!$B$51+32&lt;'🌱 Configuração'!$E$51,INT(('🌱 Configuração'!$B$51+32-'🌱 Configuração'!$D$51)/7)+1=9,MOD('🌱 Configuração'!$B$51+32-'🌱 Configuração'!$D$51,7)=0),"🌸 Último Bloom — EC 0.8",IF(AND('🌱 Configuração'!$B$51+32&gt;='🌱 Configuração'!$E$51,INT(('🌱 Configuração'!$B$51+32-'🌱 Configuração'!$E$51)/7)+1=1,MOD('🌱 Configuração'!$B$51+32-'🌱 Configuração'!$E$51,7)=0),"🚿 Água pura + Enzimas (EC &lt; 0.3)",IF(AND('🌱 Configuração'!$B$51+32&gt;='🌱 Configuração'!$E$51,INT(('🌱 Configuração'!$B$51+32-'🌱 Configuração'!$E$51)/7)+1=2,MOD('🌱 Configuração'!$B$51+32-'🌱 Configuração'!$E$51,7)=0),"🚿 Água pura (EC &lt; 0.2)",""))))))))))))))))))))))</f>
        <v/>
      </c>
      <c r="G38" s="30" t="str">
        <f>IF(33&gt;'🌱 Configuração'!$F$50,"",IF(AND('🌱 Configuração'!$B$51+32&lt;'🌱 Configuração'!$C$51,INT((33-1)/7)+1=1,MOD(33-1,7)=0),"🐛 Nim 2mL/L foliar — preventivo",IF(AND('🌱 Configuração'!$B$51+32&lt;'🌱 Configuração'!$C$51,INT((33-1)/7)+1=2,MOD(33-1,7)=0),"🐛 Beauveria bassiana foliar + solo",IF(AND('🌱 Configuração'!$B$51+32&gt;='🌱 Configuração'!$C$51,'🌱 Configuração'!$B$51+32&lt;'🌱 Configuração'!$D$51,INT(('🌱 Configuração'!$B$51+32-'🌱 Configuração'!$C$51)/7)+1=1,MOD('🌱 Configuração'!$B$51+32-'🌱 Configuração'!$C$51,7)=0),"🐛 Nim 2mL/L foliar",IF(AND('🌱 Configuração'!$B$51+32&gt;='🌱 Configuração'!$C$51,'🌱 Configuração'!$B$51+32&lt;'🌱 Configuração'!$D$51,INT(('🌱 Configuração'!$B$51+32-'🌱 Configuração'!$C$51)/7)+1=2,MOD('🌱 Configuração'!$B$51+32-'🌱 Configuração'!$C$51,7)=0),"🐛 Beauveria bassiana foliar",IF(AND('🌱 Configuração'!$B$51+32&gt;='🌱 Configuração'!$C$51,'🌱 Configuração'!$B$51+32&lt;'🌱 Configuração'!$D$51,INT(('🌱 Configuração'!$B$51+32-'🌱 Configuração'!$C$51)/7)+1=3,MOD('🌱 Configuração'!$B$51+32-'🌱 Configuração'!$C$51,7)=0),"🐛 Nim + Calda Sulfocálcica 1%",IF(AND('🌱 Configuração'!$B$51+32&gt;='🌱 Configuração'!$C$51,'🌱 Configuração'!$B$51+32&lt;'🌱 Configuração'!$D$51,INT(('🌱 Configuração'!$B$51+32-'🌱 Configuração'!$C$51)/7)+1=4,MOD('🌱 Configuração'!$B$51+32-'🌱 Configuração'!$C$51,7)=0),"🐛 Trichoderma solo + Beauveria",IF(AND('🌱 Configuração'!$B$51+32&gt;='🌱 Configuração'!$C$51,'🌱 Configuração'!$B$51+32&lt;'🌱 Configuração'!$D$51,INT(('🌱 Configuração'!$B$51+32-'🌱 Configuração'!$C$51)/7)+1=5,MOD('🌱 Configuração'!$B$51+32-'🌱 Configuração'!$C$51,7)=0),"🐛 Calda Bordalesa 0.5% foliar",IF(AND('🌱 Configuração'!$B$51+32&gt;='🌱 Configuração'!$C$51,'🌱 Configuração'!$B$51+32&lt;'🌱 Configuração'!$D$51,INT(('🌱 Configuração'!$B$51+32-'🌱 Configuração'!$C$51)/7)+1=6,MOD('🌱 Configuração'!$B$51+32-'🌱 Configuração'!$C$51,7)=0),"🐛 Nim 2mL/L — ÚLTIMA foliar",IF(AND('🌱 Configuração'!$B$51+32&gt;='🌱 Configuração'!$D$51,'🌱 Configuração'!$B$51+32&lt;'🌱 Configuração'!$E$51,INT(('🌱 Configuração'!$B$51+32-'🌱 Configuração'!$D$51)/7)+1=1,MOD('🌱 Configuração'!$B$51+32-'🌱 Configuração'!$D$51,7)=0),"🐛 Beauveria bassiana solo (sem foliar)",IF(AND('🌱 Configuração'!$B$51+32&gt;='🌱 Configuração'!$D$51,'🌱 Configuração'!$B$51+32&lt;'🌱 Configuração'!$E$51,INT(('🌱 Configuração'!$B$51+32-'🌱 Configuração'!$D$51)/7)+1=2,MOD('🌱 Configuração'!$B$51+32-'🌱 Configuração'!$D$51,7)=0),"🐛 Trichoderma solo",IF(AND('🌱 Configuração'!$B$51+32&gt;='🌱 Configuração'!$D$51,'🌱 Configuração'!$B$51+32&lt;'🌱 Configuração'!$E$51,INT(('🌱 Configuração'!$B$51+32-'🌱 Configuração'!$D$51)/7)+1=3,MOD('🌱 Configuração'!$B$51+32-'🌱 Configuração'!$D$51,7)=0),"🐛 Beauveria bassiana solo",IF(AND('🌱 Configuração'!$B$51+32&gt;='🌱 Configuração'!$D$51,'🌱 Configuração'!$B$51+32&lt;'🌱 Configuração'!$E$51,INT(('🌱 Configuração'!$B$51+32-'🌱 Configuração'!$D$51)/7)+1=4,MOD('🌱 Configuração'!$B$51+32-'🌱 Configuração'!$D$51,7)=0),"🐛 Trichoderma solo",IF(AND('🌱 Configuração'!$B$51+32&gt;='🌱 Configuração'!$E$51,INT(('🌱 Configuração'!$B$51+32-'🌱 Configuração'!$E$51)/7)+1=1,MOD('🌱 Configuração'!$B$51+32-'🌱 Configuração'!$E$51,7)=0),"🐛 Inspeção final — sem aplicação",""))))))))))))))</f>
        <v/>
      </c>
      <c r="H38" s="22" t="str">
        <f>IF(33&gt;'🌱 Configuração'!$F$50,"",IF('🌱 Configuração'!$B$51+32='🌱 Configuração'!$C$51,"🌿 INÍCIO VEGA — ajustar espaço, luz 18h/dia — EC 0.8",IF('🌱 Configuração'!$B$51+32='🌱 Configuração'!$D$51,"🌸 INÍCIO FLORAÇÃO — mudar para 12h/12h — 🔴 atenção ao fotoperíodo",IF('🌱 Configuração'!$B$51+32='🌱 Configuração'!$E$51,"🚿 INÍCIO FLUSH — PARAR nutrição, somente água pura",IF('🌱 Configuração'!$B$51+32='🌱 Configuração'!$F$51-1,"🔬 Véspera da colheita — analisar tricomas âmbar",IF('🌱 Configuração'!$B$51+32='🌱 Configuração'!$F$51,"✂️ COLHEITA! Parabéns! 🎉",""))))))</f>
        <v/>
      </c>
    </row>
    <row r="39" spans="2:8" ht="18.75" customHeight="1" x14ac:dyDescent="0.3">
      <c r="B39" s="25">
        <f>IF(34&lt;='🌱 Configuração'!$F$50,34,"")</f>
        <v>34</v>
      </c>
      <c r="C39" s="26">
        <f>IF(34&lt;='🌱 Configuração'!$F$50,'🌱 Configuração'!$B$51+33,"")</f>
        <v>46056</v>
      </c>
      <c r="D39" s="27" t="str">
        <f>IF(34&gt;'🌱 Configuração'!$F$50,"",IF('🌱 Configuração'!$B$51+33&lt;'🌱 Configuração'!$C$51,"🌱 Clone",IF('🌱 Configuração'!$B$51+33&lt;'🌱 Configuração'!$D$51,"🌿 Vegetativo",IF('🌱 Configuração'!$B$51+33&lt;'🌱 Configuração'!$E$51,"🌸 Floração","🚿 Flush"))))</f>
        <v>🌿 Vegetativo</v>
      </c>
      <c r="E39" s="28" t="str">
        <f>IF(34&gt;'🌱 Configuração'!$F$50,"",IF('🌱 Configuração'!$B$51+33&lt;'🌱 Configuração'!$C$51,"Clone S"&amp;INT((34-1)/7)+1,IF('🌱 Configuração'!$B$51+33&lt;'🌱 Configuração'!$D$51,"Vega S"&amp;INT(('🌱 Configuração'!$B$51+33-'🌱 Configuração'!$C$51)/7)+1,IF('🌱 Configuração'!$B$51+33&lt;'🌱 Configuração'!$E$51,"Flora S"&amp;INT(('🌱 Configuração'!$B$51+33-'🌱 Configuração'!$D$51)/7)+1,"Flush S"&amp;INT(('🌱 Configuração'!$B$51+33-'🌱 Configuração'!$E$51)/7)+1))))</f>
        <v>Vega S3</v>
      </c>
      <c r="F39" s="29" t="str">
        <f>IF(34&gt;'🌱 Configuração'!$F$50,"",IF(AND('🌱 Configuração'!$B$51+33&lt;'🌱 Configuração'!$C$51,INT((34-1)/7)+1=1,MOD(34-1,7)=0),"🌱 Enraizador (0.5 mL/L)",IF(AND('🌱 Configuração'!$B$51+33&lt;'🌱 Configuração'!$C$51,INT((34-1)/7)+1=2,MOD(34-1,7)=0),"🌱 Enraizador + Vitamina B1",IF(AND('🌱 Configuração'!$B$51+33&gt;='🌱 Configuração'!$C$51,'🌱 Configuração'!$B$51+33&lt;'🌱 Configuração'!$D$51,INT(('🌱 Configuração'!$B$51+33-'🌱 Configuração'!$C$51)/7)+1=1,MOD('🌱 Configuração'!$B$51+33-'🌱 Configuração'!$C$51,7)=0),"🌿 Grow A+B início — EC 0.8",IF(AND('🌱 Configuração'!$B$51+33&gt;='🌱 Configuração'!$C$51,'🌱 Configuração'!$B$51+33&lt;'🌱 Configuração'!$D$51,INT(('🌱 Configuração'!$B$51+33-'🌱 Configuração'!$C$51)/7)+1=2,MOD('🌱 Configuração'!$B$51+33-'🌱 Configuração'!$C$51,7)=0),"🌿 Grow A+B + CalMag — EC 1.0",IF(AND('🌱 Configuração'!$B$51+33&gt;='🌱 Configuração'!$C$51,'🌱 Configuração'!$B$51+33&lt;'🌱 Configuração'!$D$51,INT(('🌱 Configuração'!$B$51+33-'🌱 Configuração'!$C$51)/7)+1=3,MOD('🌱 Configuração'!$B$51+33-'🌱 Configuração'!$C$51,7)=0),"🌿 Grow A+B + CalMag — EC 1.2",IF(AND('🌱 Configuração'!$B$51+33&gt;='🌱 Configuração'!$C$51,'🌱 Configuração'!$B$51+33&lt;'🌱 Configuração'!$D$51,INT(('🌱 Configuração'!$B$51+33-'🌱 Configuração'!$C$51)/7)+1=4,MOD('🌱 Configuração'!$B$51+33-'🌱 Configuração'!$C$51,7)=0),"🌿 Grow A+B + Enzimas — EC 1.4",IF(AND('🌱 Configuração'!$B$51+33&gt;='🌱 Configuração'!$C$51,'🌱 Configuração'!$B$51+33&lt;'🌱 Configuração'!$D$51,INT(('🌱 Configuração'!$B$51+33-'🌱 Configuração'!$C$51)/7)+1=5,MOD('🌱 Configuração'!$B$51+33-'🌱 Configuração'!$C$51,7)=0),"🌿 Grow A+B + Biorrizas — EC 1.5",IF(AND('🌱 Configuração'!$B$51+33&gt;='🌱 Configuração'!$C$51,'🌱 Configuração'!$B$51+33&lt;'🌱 Configuração'!$D$51,INT(('🌱 Configuração'!$B$51+33-'🌱 Configuração'!$C$51)/7)+1=6,MOD('🌱 Configuração'!$B$51+33-'🌱 Configuração'!$C$51,7)=0),"🌿 Transição Bloom — EC 1.4",IF(AND('🌱 Configuração'!$B$51+33&gt;='🌱 Configuração'!$C$51,'🌱 Configuração'!$B$51+33&lt;'🌱 Configuração'!$D$51,INT(('🌱 Configuração'!$B$51+33-'🌱 Configuração'!$C$51)/7)+1=7,MOD('🌱 Configuração'!$B$51+33-'🌱 Configuração'!$C$51,7)=0),"🌿 Bloom A+B transição — EC 1.4",IF(AND('🌱 Configuração'!$B$51+33&gt;='🌱 Configuração'!$C$51,'🌱 Configuração'!$B$51+33&lt;'🌱 Configuração'!$D$51,INT(('🌱 Configuração'!$B$51+33-'🌱 Configuração'!$C$51)/7)+1=8,MOD('🌱 Configuração'!$B$51+33-'🌱 Configuração'!$C$51,7)=0),"🌿 Bloom A+B — EC 1.4",IF(AND('🌱 Configuração'!$B$51+33&gt;='🌱 Configuração'!$D$51,'🌱 Configuração'!$B$51+33&lt;'🌱 Configuração'!$E$51,INT(('🌱 Configuração'!$B$51+33-'🌱 Configuração'!$D$51)/7)+1=1,MOD('🌱 Configuração'!$B$51+33-'🌱 Configuração'!$D$51,7)=0),"🌸 Bloom A+B — EC 1.6",IF(AND('🌱 Configuração'!$B$51+33&gt;='🌱 Configuração'!$D$51,'🌱 Configuração'!$B$51+33&lt;'🌱 Configuração'!$E$51,INT(('🌱 Configuração'!$B$51+33-'🌱 Configuração'!$D$51)/7)+1=2,MOD('🌱 Configuração'!$B$51+33-'🌱 Configuração'!$D$51,7)=0),"🌸 Bloom + PK 13/14 início",IF(AND('🌱 Configuração'!$B$51+33&gt;='🌱 Configuração'!$D$51,'🌱 Configuração'!$B$51+33&lt;'🌱 Configuração'!$E$51,INT(('🌱 Configuração'!$B$51+33-'🌱 Configuração'!$D$51)/7)+1=3,MOD('🌱 Configuração'!$B$51+33-'🌱 Configuração'!$D$51,7)=0),"🌸 Bloom + PK + CalMag — EC 1.8",IF(AND('🌱 Configuração'!$B$51+33&gt;='🌱 Configuração'!$D$51,'🌱 Configuração'!$B$51+33&lt;'🌱 Configuração'!$E$51,INT(('🌱 Configuração'!$B$51+33-'🌱 Configuração'!$D$51)/7)+1=4,MOD('🌱 Configuração'!$B$51+33-'🌱 Configuração'!$D$51,7)=0),"🌸 Bloom + PK + Boost Floral — EC 2.0",IF(AND('🌱 Configuração'!$B$51+33&gt;='🌱 Configuração'!$D$51,'🌱 Configuração'!$B$51+33&lt;'🌱 Configuração'!$E$51,INT(('🌱 Configuração'!$B$51+33-'🌱 Configuração'!$D$51)/7)+1=5,MOD('🌱 Configuração'!$B$51+33-'🌱 Configuração'!$D$51,7)=0),"🌸 Bloom + Boost + Amino",IF(AND('🌱 Configuração'!$B$51+33&gt;='🌱 Configuração'!$D$51,'🌱 Configuração'!$B$51+33&lt;'🌱 Configuração'!$E$51,INT(('🌱 Configuração'!$B$51+33-'🌱 Configuração'!$D$51)/7)+1=6,MOD('🌱 Configuração'!$B$51+33-'🌱 Configuração'!$D$51,7)=0),"🌸 Bloom + Enzimas + Amino",IF(AND('🌱 Configuração'!$B$51+33&gt;='🌱 Configuração'!$D$51,'🌱 Configuração'!$B$51+33&lt;'🌱 Configuração'!$E$51,INT(('🌱 Configuração'!$B$51+33-'🌱 Configuração'!$D$51)/7)+1=7,MOD('🌱 Configuração'!$B$51+33-'🌱 Configuração'!$D$51,7)=0),"🌸 Reduzir N — Bloom puro — EC 1.6",IF(AND('🌱 Configuração'!$B$51+33&gt;='🌱 Configuração'!$D$51,'🌱 Configuração'!$B$51+33&lt;'🌱 Configuração'!$E$51,INT(('🌱 Configuração'!$B$51+33-'🌱 Configuração'!$D$51)/7)+1=8,MOD('🌱 Configuração'!$B$51+33-'🌱 Configuração'!$D$51,7)=0),"🌸 Bloom puro — EC 1.4  (pré-flush)",IF(AND('🌱 Configuração'!$B$51+33&gt;='🌱 Configuração'!$D$51,'🌱 Configuração'!$B$51+33&lt;'🌱 Configuração'!$E$51,INT(('🌱 Configuração'!$B$51+33-'🌱 Configuração'!$D$51)/7)+1=9,MOD('🌱 Configuração'!$B$51+33-'🌱 Configuração'!$D$51,7)=0),"🌸 Último Bloom — EC 0.8",IF(AND('🌱 Configuração'!$B$51+33&gt;='🌱 Configuração'!$E$51,INT(('🌱 Configuração'!$B$51+33-'🌱 Configuração'!$E$51)/7)+1=1,MOD('🌱 Configuração'!$B$51+33-'🌱 Configuração'!$E$51,7)=0),"🚿 Água pura + Enzimas (EC &lt; 0.3)",IF(AND('🌱 Configuração'!$B$51+33&gt;='🌱 Configuração'!$E$51,INT(('🌱 Configuração'!$B$51+33-'🌱 Configuração'!$E$51)/7)+1=2,MOD('🌱 Configuração'!$B$51+33-'🌱 Configuração'!$E$51,7)=0),"🚿 Água pura (EC &lt; 0.2)",""))))))))))))))))))))))</f>
        <v/>
      </c>
      <c r="G39" s="30" t="str">
        <f>IF(34&gt;'🌱 Configuração'!$F$50,"",IF(AND('🌱 Configuração'!$B$51+33&lt;'🌱 Configuração'!$C$51,INT((34-1)/7)+1=1,MOD(34-1,7)=0),"🐛 Nim 2mL/L foliar — preventivo",IF(AND('🌱 Configuração'!$B$51+33&lt;'🌱 Configuração'!$C$51,INT((34-1)/7)+1=2,MOD(34-1,7)=0),"🐛 Beauveria bassiana foliar + solo",IF(AND('🌱 Configuração'!$B$51+33&gt;='🌱 Configuração'!$C$51,'🌱 Configuração'!$B$51+33&lt;'🌱 Configuração'!$D$51,INT(('🌱 Configuração'!$B$51+33-'🌱 Configuração'!$C$51)/7)+1=1,MOD('🌱 Configuração'!$B$51+33-'🌱 Configuração'!$C$51,7)=0),"🐛 Nim 2mL/L foliar",IF(AND('🌱 Configuração'!$B$51+33&gt;='🌱 Configuração'!$C$51,'🌱 Configuração'!$B$51+33&lt;'🌱 Configuração'!$D$51,INT(('🌱 Configuração'!$B$51+33-'🌱 Configuração'!$C$51)/7)+1=2,MOD('🌱 Configuração'!$B$51+33-'🌱 Configuração'!$C$51,7)=0),"🐛 Beauveria bassiana foliar",IF(AND('🌱 Configuração'!$B$51+33&gt;='🌱 Configuração'!$C$51,'🌱 Configuração'!$B$51+33&lt;'🌱 Configuração'!$D$51,INT(('🌱 Configuração'!$B$51+33-'🌱 Configuração'!$C$51)/7)+1=3,MOD('🌱 Configuração'!$B$51+33-'🌱 Configuração'!$C$51,7)=0),"🐛 Nim + Calda Sulfocálcica 1%",IF(AND('🌱 Configuração'!$B$51+33&gt;='🌱 Configuração'!$C$51,'🌱 Configuração'!$B$51+33&lt;'🌱 Configuração'!$D$51,INT(('🌱 Configuração'!$B$51+33-'🌱 Configuração'!$C$51)/7)+1=4,MOD('🌱 Configuração'!$B$51+33-'🌱 Configuração'!$C$51,7)=0),"🐛 Trichoderma solo + Beauveria",IF(AND('🌱 Configuração'!$B$51+33&gt;='🌱 Configuração'!$C$51,'🌱 Configuração'!$B$51+33&lt;'🌱 Configuração'!$D$51,INT(('🌱 Configuração'!$B$51+33-'🌱 Configuração'!$C$51)/7)+1=5,MOD('🌱 Configuração'!$B$51+33-'🌱 Configuração'!$C$51,7)=0),"🐛 Calda Bordalesa 0.5% foliar",IF(AND('🌱 Configuração'!$B$51+33&gt;='🌱 Configuração'!$C$51,'🌱 Configuração'!$B$51+33&lt;'🌱 Configuração'!$D$51,INT(('🌱 Configuração'!$B$51+33-'🌱 Configuração'!$C$51)/7)+1=6,MOD('🌱 Configuração'!$B$51+33-'🌱 Configuração'!$C$51,7)=0),"🐛 Nim 2mL/L — ÚLTIMA foliar",IF(AND('🌱 Configuração'!$B$51+33&gt;='🌱 Configuração'!$D$51,'🌱 Configuração'!$B$51+33&lt;'🌱 Configuração'!$E$51,INT(('🌱 Configuração'!$B$51+33-'🌱 Configuração'!$D$51)/7)+1=1,MOD('🌱 Configuração'!$B$51+33-'🌱 Configuração'!$D$51,7)=0),"🐛 Beauveria bassiana solo (sem foliar)",IF(AND('🌱 Configuração'!$B$51+33&gt;='🌱 Configuração'!$D$51,'🌱 Configuração'!$B$51+33&lt;'🌱 Configuração'!$E$51,INT(('🌱 Configuração'!$B$51+33-'🌱 Configuração'!$D$51)/7)+1=2,MOD('🌱 Configuração'!$B$51+33-'🌱 Configuração'!$D$51,7)=0),"🐛 Trichoderma solo",IF(AND('🌱 Configuração'!$B$51+33&gt;='🌱 Configuração'!$D$51,'🌱 Configuração'!$B$51+33&lt;'🌱 Configuração'!$E$51,INT(('🌱 Configuração'!$B$51+33-'🌱 Configuração'!$D$51)/7)+1=3,MOD('🌱 Configuração'!$B$51+33-'🌱 Configuração'!$D$51,7)=0),"🐛 Beauveria bassiana solo",IF(AND('🌱 Configuração'!$B$51+33&gt;='🌱 Configuração'!$D$51,'🌱 Configuração'!$B$51+33&lt;'🌱 Configuração'!$E$51,INT(('🌱 Configuração'!$B$51+33-'🌱 Configuração'!$D$51)/7)+1=4,MOD('🌱 Configuração'!$B$51+33-'🌱 Configuração'!$D$51,7)=0),"🐛 Trichoderma solo",IF(AND('🌱 Configuração'!$B$51+33&gt;='🌱 Configuração'!$E$51,INT(('🌱 Configuração'!$B$51+33-'🌱 Configuração'!$E$51)/7)+1=1,MOD('🌱 Configuração'!$B$51+33-'🌱 Configuração'!$E$51,7)=0),"🐛 Inspeção final — sem aplicação",""))))))))))))))</f>
        <v/>
      </c>
      <c r="H39" s="22" t="str">
        <f>IF(34&gt;'🌱 Configuração'!$F$50,"",IF('🌱 Configuração'!$B$51+33='🌱 Configuração'!$C$51,"🌿 INÍCIO VEGA — ajustar espaço, luz 18h/dia — EC 0.8",IF('🌱 Configuração'!$B$51+33='🌱 Configuração'!$D$51,"🌸 INÍCIO FLORAÇÃO — mudar para 12h/12h — 🔴 atenção ao fotoperíodo",IF('🌱 Configuração'!$B$51+33='🌱 Configuração'!$E$51,"🚿 INÍCIO FLUSH — PARAR nutrição, somente água pura",IF('🌱 Configuração'!$B$51+33='🌱 Configuração'!$F$51-1,"🔬 Véspera da colheita — analisar tricomas âmbar",IF('🌱 Configuração'!$B$51+33='🌱 Configuração'!$F$51,"✂️ COLHEITA! Parabéns! 🎉",""))))))</f>
        <v/>
      </c>
    </row>
    <row r="40" spans="2:8" ht="18.75" customHeight="1" x14ac:dyDescent="0.3">
      <c r="B40" s="25">
        <f>IF(35&lt;='🌱 Configuração'!$F$50,35,"")</f>
        <v>35</v>
      </c>
      <c r="C40" s="26">
        <f>IF(35&lt;='🌱 Configuração'!$F$50,'🌱 Configuração'!$B$51+34,"")</f>
        <v>46057</v>
      </c>
      <c r="D40" s="27" t="str">
        <f>IF(35&gt;'🌱 Configuração'!$F$50,"",IF('🌱 Configuração'!$B$51+34&lt;'🌱 Configuração'!$C$51,"🌱 Clone",IF('🌱 Configuração'!$B$51+34&lt;'🌱 Configuração'!$D$51,"🌿 Vegetativo",IF('🌱 Configuração'!$B$51+34&lt;'🌱 Configuração'!$E$51,"🌸 Floração","🚿 Flush"))))</f>
        <v>🌿 Vegetativo</v>
      </c>
      <c r="E40" s="28" t="str">
        <f>IF(35&gt;'🌱 Configuração'!$F$50,"",IF('🌱 Configuração'!$B$51+34&lt;'🌱 Configuração'!$C$51,"Clone S"&amp;INT((35-1)/7)+1,IF('🌱 Configuração'!$B$51+34&lt;'🌱 Configuração'!$D$51,"Vega S"&amp;INT(('🌱 Configuração'!$B$51+34-'🌱 Configuração'!$C$51)/7)+1,IF('🌱 Configuração'!$B$51+34&lt;'🌱 Configuração'!$E$51,"Flora S"&amp;INT(('🌱 Configuração'!$B$51+34-'🌱 Configuração'!$D$51)/7)+1,"Flush S"&amp;INT(('🌱 Configuração'!$B$51+34-'🌱 Configuração'!$E$51)/7)+1))))</f>
        <v>Vega S3</v>
      </c>
      <c r="F40" s="29" t="str">
        <f>IF(35&gt;'🌱 Configuração'!$F$50,"",IF(AND('🌱 Configuração'!$B$51+34&lt;'🌱 Configuração'!$C$51,INT((35-1)/7)+1=1,MOD(35-1,7)=0),"🌱 Enraizador (0.5 mL/L)",IF(AND('🌱 Configuração'!$B$51+34&lt;'🌱 Configuração'!$C$51,INT((35-1)/7)+1=2,MOD(35-1,7)=0),"🌱 Enraizador + Vitamina B1",IF(AND('🌱 Configuração'!$B$51+34&gt;='🌱 Configuração'!$C$51,'🌱 Configuração'!$B$51+34&lt;'🌱 Configuração'!$D$51,INT(('🌱 Configuração'!$B$51+34-'🌱 Configuração'!$C$51)/7)+1=1,MOD('🌱 Configuração'!$B$51+34-'🌱 Configuração'!$C$51,7)=0),"🌿 Grow A+B início — EC 0.8",IF(AND('🌱 Configuração'!$B$51+34&gt;='🌱 Configuração'!$C$51,'🌱 Configuração'!$B$51+34&lt;'🌱 Configuração'!$D$51,INT(('🌱 Configuração'!$B$51+34-'🌱 Configuração'!$C$51)/7)+1=2,MOD('🌱 Configuração'!$B$51+34-'🌱 Configuração'!$C$51,7)=0),"🌿 Grow A+B + CalMag — EC 1.0",IF(AND('🌱 Configuração'!$B$51+34&gt;='🌱 Configuração'!$C$51,'🌱 Configuração'!$B$51+34&lt;'🌱 Configuração'!$D$51,INT(('🌱 Configuração'!$B$51+34-'🌱 Configuração'!$C$51)/7)+1=3,MOD('🌱 Configuração'!$B$51+34-'🌱 Configuração'!$C$51,7)=0),"🌿 Grow A+B + CalMag — EC 1.2",IF(AND('🌱 Configuração'!$B$51+34&gt;='🌱 Configuração'!$C$51,'🌱 Configuração'!$B$51+34&lt;'🌱 Configuração'!$D$51,INT(('🌱 Configuração'!$B$51+34-'🌱 Configuração'!$C$51)/7)+1=4,MOD('🌱 Configuração'!$B$51+34-'🌱 Configuração'!$C$51,7)=0),"🌿 Grow A+B + Enzimas — EC 1.4",IF(AND('🌱 Configuração'!$B$51+34&gt;='🌱 Configuração'!$C$51,'🌱 Configuração'!$B$51+34&lt;'🌱 Configuração'!$D$51,INT(('🌱 Configuração'!$B$51+34-'🌱 Configuração'!$C$51)/7)+1=5,MOD('🌱 Configuração'!$B$51+34-'🌱 Configuração'!$C$51,7)=0),"🌿 Grow A+B + Biorrizas — EC 1.5",IF(AND('🌱 Configuração'!$B$51+34&gt;='🌱 Configuração'!$C$51,'🌱 Configuração'!$B$51+34&lt;'🌱 Configuração'!$D$51,INT(('🌱 Configuração'!$B$51+34-'🌱 Configuração'!$C$51)/7)+1=6,MOD('🌱 Configuração'!$B$51+34-'🌱 Configuração'!$C$51,7)=0),"🌿 Transição Bloom — EC 1.4",IF(AND('🌱 Configuração'!$B$51+34&gt;='🌱 Configuração'!$C$51,'🌱 Configuração'!$B$51+34&lt;'🌱 Configuração'!$D$51,INT(('🌱 Configuração'!$B$51+34-'🌱 Configuração'!$C$51)/7)+1=7,MOD('🌱 Configuração'!$B$51+34-'🌱 Configuração'!$C$51,7)=0),"🌿 Bloom A+B transição — EC 1.4",IF(AND('🌱 Configuração'!$B$51+34&gt;='🌱 Configuração'!$C$51,'🌱 Configuração'!$B$51+34&lt;'🌱 Configuração'!$D$51,INT(('🌱 Configuração'!$B$51+34-'🌱 Configuração'!$C$51)/7)+1=8,MOD('🌱 Configuração'!$B$51+34-'🌱 Configuração'!$C$51,7)=0),"🌿 Bloom A+B — EC 1.4",IF(AND('🌱 Configuração'!$B$51+34&gt;='🌱 Configuração'!$D$51,'🌱 Configuração'!$B$51+34&lt;'🌱 Configuração'!$E$51,INT(('🌱 Configuração'!$B$51+34-'🌱 Configuração'!$D$51)/7)+1=1,MOD('🌱 Configuração'!$B$51+34-'🌱 Configuração'!$D$51,7)=0),"🌸 Bloom A+B — EC 1.6",IF(AND('🌱 Configuração'!$B$51+34&gt;='🌱 Configuração'!$D$51,'🌱 Configuração'!$B$51+34&lt;'🌱 Configuração'!$E$51,INT(('🌱 Configuração'!$B$51+34-'🌱 Configuração'!$D$51)/7)+1=2,MOD('🌱 Configuração'!$B$51+34-'🌱 Configuração'!$D$51,7)=0),"🌸 Bloom + PK 13/14 início",IF(AND('🌱 Configuração'!$B$51+34&gt;='🌱 Configuração'!$D$51,'🌱 Configuração'!$B$51+34&lt;'🌱 Configuração'!$E$51,INT(('🌱 Configuração'!$B$51+34-'🌱 Configuração'!$D$51)/7)+1=3,MOD('🌱 Configuração'!$B$51+34-'🌱 Configuração'!$D$51,7)=0),"🌸 Bloom + PK + CalMag — EC 1.8",IF(AND('🌱 Configuração'!$B$51+34&gt;='🌱 Configuração'!$D$51,'🌱 Configuração'!$B$51+34&lt;'🌱 Configuração'!$E$51,INT(('🌱 Configuração'!$B$51+34-'🌱 Configuração'!$D$51)/7)+1=4,MOD('🌱 Configuração'!$B$51+34-'🌱 Configuração'!$D$51,7)=0),"🌸 Bloom + PK + Boost Floral — EC 2.0",IF(AND('🌱 Configuração'!$B$51+34&gt;='🌱 Configuração'!$D$51,'🌱 Configuração'!$B$51+34&lt;'🌱 Configuração'!$E$51,INT(('🌱 Configuração'!$B$51+34-'🌱 Configuração'!$D$51)/7)+1=5,MOD('🌱 Configuração'!$B$51+34-'🌱 Configuração'!$D$51,7)=0),"🌸 Bloom + Boost + Amino",IF(AND('🌱 Configuração'!$B$51+34&gt;='🌱 Configuração'!$D$51,'🌱 Configuração'!$B$51+34&lt;'🌱 Configuração'!$E$51,INT(('🌱 Configuração'!$B$51+34-'🌱 Configuração'!$D$51)/7)+1=6,MOD('🌱 Configuração'!$B$51+34-'🌱 Configuração'!$D$51,7)=0),"🌸 Bloom + Enzimas + Amino",IF(AND('🌱 Configuração'!$B$51+34&gt;='🌱 Configuração'!$D$51,'🌱 Configuração'!$B$51+34&lt;'🌱 Configuração'!$E$51,INT(('🌱 Configuração'!$B$51+34-'🌱 Configuração'!$D$51)/7)+1=7,MOD('🌱 Configuração'!$B$51+34-'🌱 Configuração'!$D$51,7)=0),"🌸 Reduzir N — Bloom puro — EC 1.6",IF(AND('🌱 Configuração'!$B$51+34&gt;='🌱 Configuração'!$D$51,'🌱 Configuração'!$B$51+34&lt;'🌱 Configuração'!$E$51,INT(('🌱 Configuração'!$B$51+34-'🌱 Configuração'!$D$51)/7)+1=8,MOD('🌱 Configuração'!$B$51+34-'🌱 Configuração'!$D$51,7)=0),"🌸 Bloom puro — EC 1.4  (pré-flush)",IF(AND('🌱 Configuração'!$B$51+34&gt;='🌱 Configuração'!$D$51,'🌱 Configuração'!$B$51+34&lt;'🌱 Configuração'!$E$51,INT(('🌱 Configuração'!$B$51+34-'🌱 Configuração'!$D$51)/7)+1=9,MOD('🌱 Configuração'!$B$51+34-'🌱 Configuração'!$D$51,7)=0),"🌸 Último Bloom — EC 0.8",IF(AND('🌱 Configuração'!$B$51+34&gt;='🌱 Configuração'!$E$51,INT(('🌱 Configuração'!$B$51+34-'🌱 Configuração'!$E$51)/7)+1=1,MOD('🌱 Configuração'!$B$51+34-'🌱 Configuração'!$E$51,7)=0),"🚿 Água pura + Enzimas (EC &lt; 0.3)",IF(AND('🌱 Configuração'!$B$51+34&gt;='🌱 Configuração'!$E$51,INT(('🌱 Configuração'!$B$51+34-'🌱 Configuração'!$E$51)/7)+1=2,MOD('🌱 Configuração'!$B$51+34-'🌱 Configuração'!$E$51,7)=0),"🚿 Água pura (EC &lt; 0.2)",""))))))))))))))))))))))</f>
        <v/>
      </c>
      <c r="G40" s="30" t="str">
        <f>IF(35&gt;'🌱 Configuração'!$F$50,"",IF(AND('🌱 Configuração'!$B$51+34&lt;'🌱 Configuração'!$C$51,INT((35-1)/7)+1=1,MOD(35-1,7)=0),"🐛 Nim 2mL/L foliar — preventivo",IF(AND('🌱 Configuração'!$B$51+34&lt;'🌱 Configuração'!$C$51,INT((35-1)/7)+1=2,MOD(35-1,7)=0),"🐛 Beauveria bassiana foliar + solo",IF(AND('🌱 Configuração'!$B$51+34&gt;='🌱 Configuração'!$C$51,'🌱 Configuração'!$B$51+34&lt;'🌱 Configuração'!$D$51,INT(('🌱 Configuração'!$B$51+34-'🌱 Configuração'!$C$51)/7)+1=1,MOD('🌱 Configuração'!$B$51+34-'🌱 Configuração'!$C$51,7)=0),"🐛 Nim 2mL/L foliar",IF(AND('🌱 Configuração'!$B$51+34&gt;='🌱 Configuração'!$C$51,'🌱 Configuração'!$B$51+34&lt;'🌱 Configuração'!$D$51,INT(('🌱 Configuração'!$B$51+34-'🌱 Configuração'!$C$51)/7)+1=2,MOD('🌱 Configuração'!$B$51+34-'🌱 Configuração'!$C$51,7)=0),"🐛 Beauveria bassiana foliar",IF(AND('🌱 Configuração'!$B$51+34&gt;='🌱 Configuração'!$C$51,'🌱 Configuração'!$B$51+34&lt;'🌱 Configuração'!$D$51,INT(('🌱 Configuração'!$B$51+34-'🌱 Configuração'!$C$51)/7)+1=3,MOD('🌱 Configuração'!$B$51+34-'🌱 Configuração'!$C$51,7)=0),"🐛 Nim + Calda Sulfocálcica 1%",IF(AND('🌱 Configuração'!$B$51+34&gt;='🌱 Configuração'!$C$51,'🌱 Configuração'!$B$51+34&lt;'🌱 Configuração'!$D$51,INT(('🌱 Configuração'!$B$51+34-'🌱 Configuração'!$C$51)/7)+1=4,MOD('🌱 Configuração'!$B$51+34-'🌱 Configuração'!$C$51,7)=0),"🐛 Trichoderma solo + Beauveria",IF(AND('🌱 Configuração'!$B$51+34&gt;='🌱 Configuração'!$C$51,'🌱 Configuração'!$B$51+34&lt;'🌱 Configuração'!$D$51,INT(('🌱 Configuração'!$B$51+34-'🌱 Configuração'!$C$51)/7)+1=5,MOD('🌱 Configuração'!$B$51+34-'🌱 Configuração'!$C$51,7)=0),"🐛 Calda Bordalesa 0.5% foliar",IF(AND('🌱 Configuração'!$B$51+34&gt;='🌱 Configuração'!$C$51,'🌱 Configuração'!$B$51+34&lt;'🌱 Configuração'!$D$51,INT(('🌱 Configuração'!$B$51+34-'🌱 Configuração'!$C$51)/7)+1=6,MOD('🌱 Configuração'!$B$51+34-'🌱 Configuração'!$C$51,7)=0),"🐛 Nim 2mL/L — ÚLTIMA foliar",IF(AND('🌱 Configuração'!$B$51+34&gt;='🌱 Configuração'!$D$51,'🌱 Configuração'!$B$51+34&lt;'🌱 Configuração'!$E$51,INT(('🌱 Configuração'!$B$51+34-'🌱 Configuração'!$D$51)/7)+1=1,MOD('🌱 Configuração'!$B$51+34-'🌱 Configuração'!$D$51,7)=0),"🐛 Beauveria bassiana solo (sem foliar)",IF(AND('🌱 Configuração'!$B$51+34&gt;='🌱 Configuração'!$D$51,'🌱 Configuração'!$B$51+34&lt;'🌱 Configuração'!$E$51,INT(('🌱 Configuração'!$B$51+34-'🌱 Configuração'!$D$51)/7)+1=2,MOD('🌱 Configuração'!$B$51+34-'🌱 Configuração'!$D$51,7)=0),"🐛 Trichoderma solo",IF(AND('🌱 Configuração'!$B$51+34&gt;='🌱 Configuração'!$D$51,'🌱 Configuração'!$B$51+34&lt;'🌱 Configuração'!$E$51,INT(('🌱 Configuração'!$B$51+34-'🌱 Configuração'!$D$51)/7)+1=3,MOD('🌱 Configuração'!$B$51+34-'🌱 Configuração'!$D$51,7)=0),"🐛 Beauveria bassiana solo",IF(AND('🌱 Configuração'!$B$51+34&gt;='🌱 Configuração'!$D$51,'🌱 Configuração'!$B$51+34&lt;'🌱 Configuração'!$E$51,INT(('🌱 Configuração'!$B$51+34-'🌱 Configuração'!$D$51)/7)+1=4,MOD('🌱 Configuração'!$B$51+34-'🌱 Configuração'!$D$51,7)=0),"🐛 Trichoderma solo",IF(AND('🌱 Configuração'!$B$51+34&gt;='🌱 Configuração'!$E$51,INT(('🌱 Configuração'!$B$51+34-'🌱 Configuração'!$E$51)/7)+1=1,MOD('🌱 Configuração'!$B$51+34-'🌱 Configuração'!$E$51,7)=0),"🐛 Inspeção final — sem aplicação",""))))))))))))))</f>
        <v/>
      </c>
      <c r="H40" s="22" t="str">
        <f>IF(35&gt;'🌱 Configuração'!$F$50,"",IF('🌱 Configuração'!$B$51+34='🌱 Configuração'!$C$51,"🌿 INÍCIO VEGA — ajustar espaço, luz 18h/dia — EC 0.8",IF('🌱 Configuração'!$B$51+34='🌱 Configuração'!$D$51,"🌸 INÍCIO FLORAÇÃO — mudar para 12h/12h — 🔴 atenção ao fotoperíodo",IF('🌱 Configuração'!$B$51+34='🌱 Configuração'!$E$51,"🚿 INÍCIO FLUSH — PARAR nutrição, somente água pura",IF('🌱 Configuração'!$B$51+34='🌱 Configuração'!$F$51-1,"🔬 Véspera da colheita — analisar tricomas âmbar",IF('🌱 Configuração'!$B$51+34='🌱 Configuração'!$F$51,"✂️ COLHEITA! Parabéns! 🎉",""))))))</f>
        <v/>
      </c>
    </row>
    <row r="41" spans="2:8" ht="18.75" customHeight="1" x14ac:dyDescent="0.3">
      <c r="B41" s="25">
        <f>IF(36&lt;='🌱 Configuração'!$F$50,36,"")</f>
        <v>36</v>
      </c>
      <c r="C41" s="26">
        <f>IF(36&lt;='🌱 Configuração'!$F$50,'🌱 Configuração'!$B$51+35,"")</f>
        <v>46058</v>
      </c>
      <c r="D41" s="27" t="str">
        <f>IF(36&gt;'🌱 Configuração'!$F$50,"",IF('🌱 Configuração'!$B$51+35&lt;'🌱 Configuração'!$C$51,"🌱 Clone",IF('🌱 Configuração'!$B$51+35&lt;'🌱 Configuração'!$D$51,"🌿 Vegetativo",IF('🌱 Configuração'!$B$51+35&lt;'🌱 Configuração'!$E$51,"🌸 Floração","🚿 Flush"))))</f>
        <v>🌿 Vegetativo</v>
      </c>
      <c r="E41" s="28" t="str">
        <f>IF(36&gt;'🌱 Configuração'!$F$50,"",IF('🌱 Configuração'!$B$51+35&lt;'🌱 Configuração'!$C$51,"Clone S"&amp;INT((36-1)/7)+1,IF('🌱 Configuração'!$B$51+35&lt;'🌱 Configuração'!$D$51,"Vega S"&amp;INT(('🌱 Configuração'!$B$51+35-'🌱 Configuração'!$C$51)/7)+1,IF('🌱 Configuração'!$B$51+35&lt;'🌱 Configuração'!$E$51,"Flora S"&amp;INT(('🌱 Configuração'!$B$51+35-'🌱 Configuração'!$D$51)/7)+1,"Flush S"&amp;INT(('🌱 Configuração'!$B$51+35-'🌱 Configuração'!$E$51)/7)+1))))</f>
        <v>Vega S4</v>
      </c>
      <c r="F41" s="29" t="str">
        <f>IF(36&gt;'🌱 Configuração'!$F$50,"",IF(AND('🌱 Configuração'!$B$51+35&lt;'🌱 Configuração'!$C$51,INT((36-1)/7)+1=1,MOD(36-1,7)=0),"🌱 Enraizador (0.5 mL/L)",IF(AND('🌱 Configuração'!$B$51+35&lt;'🌱 Configuração'!$C$51,INT((36-1)/7)+1=2,MOD(36-1,7)=0),"🌱 Enraizador + Vitamina B1",IF(AND('🌱 Configuração'!$B$51+35&gt;='🌱 Configuração'!$C$51,'🌱 Configuração'!$B$51+35&lt;'🌱 Configuração'!$D$51,INT(('🌱 Configuração'!$B$51+35-'🌱 Configuração'!$C$51)/7)+1=1,MOD('🌱 Configuração'!$B$51+35-'🌱 Configuração'!$C$51,7)=0),"🌿 Grow A+B início — EC 0.8",IF(AND('🌱 Configuração'!$B$51+35&gt;='🌱 Configuração'!$C$51,'🌱 Configuração'!$B$51+35&lt;'🌱 Configuração'!$D$51,INT(('🌱 Configuração'!$B$51+35-'🌱 Configuração'!$C$51)/7)+1=2,MOD('🌱 Configuração'!$B$51+35-'🌱 Configuração'!$C$51,7)=0),"🌿 Grow A+B + CalMag — EC 1.0",IF(AND('🌱 Configuração'!$B$51+35&gt;='🌱 Configuração'!$C$51,'🌱 Configuração'!$B$51+35&lt;'🌱 Configuração'!$D$51,INT(('🌱 Configuração'!$B$51+35-'🌱 Configuração'!$C$51)/7)+1=3,MOD('🌱 Configuração'!$B$51+35-'🌱 Configuração'!$C$51,7)=0),"🌿 Grow A+B + CalMag — EC 1.2",IF(AND('🌱 Configuração'!$B$51+35&gt;='🌱 Configuração'!$C$51,'🌱 Configuração'!$B$51+35&lt;'🌱 Configuração'!$D$51,INT(('🌱 Configuração'!$B$51+35-'🌱 Configuração'!$C$51)/7)+1=4,MOD('🌱 Configuração'!$B$51+35-'🌱 Configuração'!$C$51,7)=0),"🌿 Grow A+B + Enzimas — EC 1.4",IF(AND('🌱 Configuração'!$B$51+35&gt;='🌱 Configuração'!$C$51,'🌱 Configuração'!$B$51+35&lt;'🌱 Configuração'!$D$51,INT(('🌱 Configuração'!$B$51+35-'🌱 Configuração'!$C$51)/7)+1=5,MOD('🌱 Configuração'!$B$51+35-'🌱 Configuração'!$C$51,7)=0),"🌿 Grow A+B + Biorrizas — EC 1.5",IF(AND('🌱 Configuração'!$B$51+35&gt;='🌱 Configuração'!$C$51,'🌱 Configuração'!$B$51+35&lt;'🌱 Configuração'!$D$51,INT(('🌱 Configuração'!$B$51+35-'🌱 Configuração'!$C$51)/7)+1=6,MOD('🌱 Configuração'!$B$51+35-'🌱 Configuração'!$C$51,7)=0),"🌿 Transição Bloom — EC 1.4",IF(AND('🌱 Configuração'!$B$51+35&gt;='🌱 Configuração'!$C$51,'🌱 Configuração'!$B$51+35&lt;'🌱 Configuração'!$D$51,INT(('🌱 Configuração'!$B$51+35-'🌱 Configuração'!$C$51)/7)+1=7,MOD('🌱 Configuração'!$B$51+35-'🌱 Configuração'!$C$51,7)=0),"🌿 Bloom A+B transição — EC 1.4",IF(AND('🌱 Configuração'!$B$51+35&gt;='🌱 Configuração'!$C$51,'🌱 Configuração'!$B$51+35&lt;'🌱 Configuração'!$D$51,INT(('🌱 Configuração'!$B$51+35-'🌱 Configuração'!$C$51)/7)+1=8,MOD('🌱 Configuração'!$B$51+35-'🌱 Configuração'!$C$51,7)=0),"🌿 Bloom A+B — EC 1.4",IF(AND('🌱 Configuração'!$B$51+35&gt;='🌱 Configuração'!$D$51,'🌱 Configuração'!$B$51+35&lt;'🌱 Configuração'!$E$51,INT(('🌱 Configuração'!$B$51+35-'🌱 Configuração'!$D$51)/7)+1=1,MOD('🌱 Configuração'!$B$51+35-'🌱 Configuração'!$D$51,7)=0),"🌸 Bloom A+B — EC 1.6",IF(AND('🌱 Configuração'!$B$51+35&gt;='🌱 Configuração'!$D$51,'🌱 Configuração'!$B$51+35&lt;'🌱 Configuração'!$E$51,INT(('🌱 Configuração'!$B$51+35-'🌱 Configuração'!$D$51)/7)+1=2,MOD('🌱 Configuração'!$B$51+35-'🌱 Configuração'!$D$51,7)=0),"🌸 Bloom + PK 13/14 início",IF(AND('🌱 Configuração'!$B$51+35&gt;='🌱 Configuração'!$D$51,'🌱 Configuração'!$B$51+35&lt;'🌱 Configuração'!$E$51,INT(('🌱 Configuração'!$B$51+35-'🌱 Configuração'!$D$51)/7)+1=3,MOD('🌱 Configuração'!$B$51+35-'🌱 Configuração'!$D$51,7)=0),"🌸 Bloom + PK + CalMag — EC 1.8",IF(AND('🌱 Configuração'!$B$51+35&gt;='🌱 Configuração'!$D$51,'🌱 Configuração'!$B$51+35&lt;'🌱 Configuração'!$E$51,INT(('🌱 Configuração'!$B$51+35-'🌱 Configuração'!$D$51)/7)+1=4,MOD('🌱 Configuração'!$B$51+35-'🌱 Configuração'!$D$51,7)=0),"🌸 Bloom + PK + Boost Floral — EC 2.0",IF(AND('🌱 Configuração'!$B$51+35&gt;='🌱 Configuração'!$D$51,'🌱 Configuração'!$B$51+35&lt;'🌱 Configuração'!$E$51,INT(('🌱 Configuração'!$B$51+35-'🌱 Configuração'!$D$51)/7)+1=5,MOD('🌱 Configuração'!$B$51+35-'🌱 Configuração'!$D$51,7)=0),"🌸 Bloom + Boost + Amino",IF(AND('🌱 Configuração'!$B$51+35&gt;='🌱 Configuração'!$D$51,'🌱 Configuração'!$B$51+35&lt;'🌱 Configuração'!$E$51,INT(('🌱 Configuração'!$B$51+35-'🌱 Configuração'!$D$51)/7)+1=6,MOD('🌱 Configuração'!$B$51+35-'🌱 Configuração'!$D$51,7)=0),"🌸 Bloom + Enzimas + Amino",IF(AND('🌱 Configuração'!$B$51+35&gt;='🌱 Configuração'!$D$51,'🌱 Configuração'!$B$51+35&lt;'🌱 Configuração'!$E$51,INT(('🌱 Configuração'!$B$51+35-'🌱 Configuração'!$D$51)/7)+1=7,MOD('🌱 Configuração'!$B$51+35-'🌱 Configuração'!$D$51,7)=0),"🌸 Reduzir N — Bloom puro — EC 1.6",IF(AND('🌱 Configuração'!$B$51+35&gt;='🌱 Configuração'!$D$51,'🌱 Configuração'!$B$51+35&lt;'🌱 Configuração'!$E$51,INT(('🌱 Configuração'!$B$51+35-'🌱 Configuração'!$D$51)/7)+1=8,MOD('🌱 Configuração'!$B$51+35-'🌱 Configuração'!$D$51,7)=0),"🌸 Bloom puro — EC 1.4  (pré-flush)",IF(AND('🌱 Configuração'!$B$51+35&gt;='🌱 Configuração'!$D$51,'🌱 Configuração'!$B$51+35&lt;'🌱 Configuração'!$E$51,INT(('🌱 Configuração'!$B$51+35-'🌱 Configuração'!$D$51)/7)+1=9,MOD('🌱 Configuração'!$B$51+35-'🌱 Configuração'!$D$51,7)=0),"🌸 Último Bloom — EC 0.8",IF(AND('🌱 Configuração'!$B$51+35&gt;='🌱 Configuração'!$E$51,INT(('🌱 Configuração'!$B$51+35-'🌱 Configuração'!$E$51)/7)+1=1,MOD('🌱 Configuração'!$B$51+35-'🌱 Configuração'!$E$51,7)=0),"🚿 Água pura + Enzimas (EC &lt; 0.3)",IF(AND('🌱 Configuração'!$B$51+35&gt;='🌱 Configuração'!$E$51,INT(('🌱 Configuração'!$B$51+35-'🌱 Configuração'!$E$51)/7)+1=2,MOD('🌱 Configuração'!$B$51+35-'🌱 Configuração'!$E$51,7)=0),"🚿 Água pura (EC &lt; 0.2)",""))))))))))))))))))))))</f>
        <v>🌿 Grow A+B + Enzimas — EC 1.4</v>
      </c>
      <c r="G41" s="30" t="str">
        <f>IF(36&gt;'🌱 Configuração'!$F$50,"",IF(AND('🌱 Configuração'!$B$51+35&lt;'🌱 Configuração'!$C$51,INT((36-1)/7)+1=1,MOD(36-1,7)=0),"🐛 Nim 2mL/L foliar — preventivo",IF(AND('🌱 Configuração'!$B$51+35&lt;'🌱 Configuração'!$C$51,INT((36-1)/7)+1=2,MOD(36-1,7)=0),"🐛 Beauveria bassiana foliar + solo",IF(AND('🌱 Configuração'!$B$51+35&gt;='🌱 Configuração'!$C$51,'🌱 Configuração'!$B$51+35&lt;'🌱 Configuração'!$D$51,INT(('🌱 Configuração'!$B$51+35-'🌱 Configuração'!$C$51)/7)+1=1,MOD('🌱 Configuração'!$B$51+35-'🌱 Configuração'!$C$51,7)=0),"🐛 Nim 2mL/L foliar",IF(AND('🌱 Configuração'!$B$51+35&gt;='🌱 Configuração'!$C$51,'🌱 Configuração'!$B$51+35&lt;'🌱 Configuração'!$D$51,INT(('🌱 Configuração'!$B$51+35-'🌱 Configuração'!$C$51)/7)+1=2,MOD('🌱 Configuração'!$B$51+35-'🌱 Configuração'!$C$51,7)=0),"🐛 Beauveria bassiana foliar",IF(AND('🌱 Configuração'!$B$51+35&gt;='🌱 Configuração'!$C$51,'🌱 Configuração'!$B$51+35&lt;'🌱 Configuração'!$D$51,INT(('🌱 Configuração'!$B$51+35-'🌱 Configuração'!$C$51)/7)+1=3,MOD('🌱 Configuração'!$B$51+35-'🌱 Configuração'!$C$51,7)=0),"🐛 Nim + Calda Sulfocálcica 1%",IF(AND('🌱 Configuração'!$B$51+35&gt;='🌱 Configuração'!$C$51,'🌱 Configuração'!$B$51+35&lt;'🌱 Configuração'!$D$51,INT(('🌱 Configuração'!$B$51+35-'🌱 Configuração'!$C$51)/7)+1=4,MOD('🌱 Configuração'!$B$51+35-'🌱 Configuração'!$C$51,7)=0),"🐛 Trichoderma solo + Beauveria",IF(AND('🌱 Configuração'!$B$51+35&gt;='🌱 Configuração'!$C$51,'🌱 Configuração'!$B$51+35&lt;'🌱 Configuração'!$D$51,INT(('🌱 Configuração'!$B$51+35-'🌱 Configuração'!$C$51)/7)+1=5,MOD('🌱 Configuração'!$B$51+35-'🌱 Configuração'!$C$51,7)=0),"🐛 Calda Bordalesa 0.5% foliar",IF(AND('🌱 Configuração'!$B$51+35&gt;='🌱 Configuração'!$C$51,'🌱 Configuração'!$B$51+35&lt;'🌱 Configuração'!$D$51,INT(('🌱 Configuração'!$B$51+35-'🌱 Configuração'!$C$51)/7)+1=6,MOD('🌱 Configuração'!$B$51+35-'🌱 Configuração'!$C$51,7)=0),"🐛 Nim 2mL/L — ÚLTIMA foliar",IF(AND('🌱 Configuração'!$B$51+35&gt;='🌱 Configuração'!$D$51,'🌱 Configuração'!$B$51+35&lt;'🌱 Configuração'!$E$51,INT(('🌱 Configuração'!$B$51+35-'🌱 Configuração'!$D$51)/7)+1=1,MOD('🌱 Configuração'!$B$51+35-'🌱 Configuração'!$D$51,7)=0),"🐛 Beauveria bassiana solo (sem foliar)",IF(AND('🌱 Configuração'!$B$51+35&gt;='🌱 Configuração'!$D$51,'🌱 Configuração'!$B$51+35&lt;'🌱 Configuração'!$E$51,INT(('🌱 Configuração'!$B$51+35-'🌱 Configuração'!$D$51)/7)+1=2,MOD('🌱 Configuração'!$B$51+35-'🌱 Configuração'!$D$51,7)=0),"🐛 Trichoderma solo",IF(AND('🌱 Configuração'!$B$51+35&gt;='🌱 Configuração'!$D$51,'🌱 Configuração'!$B$51+35&lt;'🌱 Configuração'!$E$51,INT(('🌱 Configuração'!$B$51+35-'🌱 Configuração'!$D$51)/7)+1=3,MOD('🌱 Configuração'!$B$51+35-'🌱 Configuração'!$D$51,7)=0),"🐛 Beauveria bassiana solo",IF(AND('🌱 Configuração'!$B$51+35&gt;='🌱 Configuração'!$D$51,'🌱 Configuração'!$B$51+35&lt;'🌱 Configuração'!$E$51,INT(('🌱 Configuração'!$B$51+35-'🌱 Configuração'!$D$51)/7)+1=4,MOD('🌱 Configuração'!$B$51+35-'🌱 Configuração'!$D$51,7)=0),"🐛 Trichoderma solo",IF(AND('🌱 Configuração'!$B$51+35&gt;='🌱 Configuração'!$E$51,INT(('🌱 Configuração'!$B$51+35-'🌱 Configuração'!$E$51)/7)+1=1,MOD('🌱 Configuração'!$B$51+35-'🌱 Configuração'!$E$51,7)=0),"🐛 Inspeção final — sem aplicação",""))))))))))))))</f>
        <v>🐛 Trichoderma solo + Beauveria</v>
      </c>
      <c r="H41" s="22" t="str">
        <f>IF(36&gt;'🌱 Configuração'!$F$50,"",IF('🌱 Configuração'!$B$51+35='🌱 Configuração'!$C$51,"🌿 INÍCIO VEGA — ajustar espaço, luz 18h/dia — EC 0.8",IF('🌱 Configuração'!$B$51+35='🌱 Configuração'!$D$51,"🌸 INÍCIO FLORAÇÃO — mudar para 12h/12h — 🔴 atenção ao fotoperíodo",IF('🌱 Configuração'!$B$51+35='🌱 Configuração'!$E$51,"🚿 INÍCIO FLUSH — PARAR nutrição, somente água pura",IF('🌱 Configuração'!$B$51+35='🌱 Configuração'!$F$51-1,"🔬 Véspera da colheita — analisar tricomas âmbar",IF('🌱 Configuração'!$B$51+35='🌱 Configuração'!$F$51,"✂️ COLHEITA! Parabéns! 🎉",""))))))</f>
        <v/>
      </c>
    </row>
    <row r="42" spans="2:8" ht="18.75" customHeight="1" x14ac:dyDescent="0.3">
      <c r="B42" s="25">
        <f>IF(37&lt;='🌱 Configuração'!$F$50,37,"")</f>
        <v>37</v>
      </c>
      <c r="C42" s="26">
        <f>IF(37&lt;='🌱 Configuração'!$F$50,'🌱 Configuração'!$B$51+36,"")</f>
        <v>46059</v>
      </c>
      <c r="D42" s="27" t="str">
        <f>IF(37&gt;'🌱 Configuração'!$F$50,"",IF('🌱 Configuração'!$B$51+36&lt;'🌱 Configuração'!$C$51,"🌱 Clone",IF('🌱 Configuração'!$B$51+36&lt;'🌱 Configuração'!$D$51,"🌿 Vegetativo",IF('🌱 Configuração'!$B$51+36&lt;'🌱 Configuração'!$E$51,"🌸 Floração","🚿 Flush"))))</f>
        <v>🌿 Vegetativo</v>
      </c>
      <c r="E42" s="28" t="str">
        <f>IF(37&gt;'🌱 Configuração'!$F$50,"",IF('🌱 Configuração'!$B$51+36&lt;'🌱 Configuração'!$C$51,"Clone S"&amp;INT((37-1)/7)+1,IF('🌱 Configuração'!$B$51+36&lt;'🌱 Configuração'!$D$51,"Vega S"&amp;INT(('🌱 Configuração'!$B$51+36-'🌱 Configuração'!$C$51)/7)+1,IF('🌱 Configuração'!$B$51+36&lt;'🌱 Configuração'!$E$51,"Flora S"&amp;INT(('🌱 Configuração'!$B$51+36-'🌱 Configuração'!$D$51)/7)+1,"Flush S"&amp;INT(('🌱 Configuração'!$B$51+36-'🌱 Configuração'!$E$51)/7)+1))))</f>
        <v>Vega S4</v>
      </c>
      <c r="F42" s="29" t="str">
        <f>IF(37&gt;'🌱 Configuração'!$F$50,"",IF(AND('🌱 Configuração'!$B$51+36&lt;'🌱 Configuração'!$C$51,INT((37-1)/7)+1=1,MOD(37-1,7)=0),"🌱 Enraizador (0.5 mL/L)",IF(AND('🌱 Configuração'!$B$51+36&lt;'🌱 Configuração'!$C$51,INT((37-1)/7)+1=2,MOD(37-1,7)=0),"🌱 Enraizador + Vitamina B1",IF(AND('🌱 Configuração'!$B$51+36&gt;='🌱 Configuração'!$C$51,'🌱 Configuração'!$B$51+36&lt;'🌱 Configuração'!$D$51,INT(('🌱 Configuração'!$B$51+36-'🌱 Configuração'!$C$51)/7)+1=1,MOD('🌱 Configuração'!$B$51+36-'🌱 Configuração'!$C$51,7)=0),"🌿 Grow A+B início — EC 0.8",IF(AND('🌱 Configuração'!$B$51+36&gt;='🌱 Configuração'!$C$51,'🌱 Configuração'!$B$51+36&lt;'🌱 Configuração'!$D$51,INT(('🌱 Configuração'!$B$51+36-'🌱 Configuração'!$C$51)/7)+1=2,MOD('🌱 Configuração'!$B$51+36-'🌱 Configuração'!$C$51,7)=0),"🌿 Grow A+B + CalMag — EC 1.0",IF(AND('🌱 Configuração'!$B$51+36&gt;='🌱 Configuração'!$C$51,'🌱 Configuração'!$B$51+36&lt;'🌱 Configuração'!$D$51,INT(('🌱 Configuração'!$B$51+36-'🌱 Configuração'!$C$51)/7)+1=3,MOD('🌱 Configuração'!$B$51+36-'🌱 Configuração'!$C$51,7)=0),"🌿 Grow A+B + CalMag — EC 1.2",IF(AND('🌱 Configuração'!$B$51+36&gt;='🌱 Configuração'!$C$51,'🌱 Configuração'!$B$51+36&lt;'🌱 Configuração'!$D$51,INT(('🌱 Configuração'!$B$51+36-'🌱 Configuração'!$C$51)/7)+1=4,MOD('🌱 Configuração'!$B$51+36-'🌱 Configuração'!$C$51,7)=0),"🌿 Grow A+B + Enzimas — EC 1.4",IF(AND('🌱 Configuração'!$B$51+36&gt;='🌱 Configuração'!$C$51,'🌱 Configuração'!$B$51+36&lt;'🌱 Configuração'!$D$51,INT(('🌱 Configuração'!$B$51+36-'🌱 Configuração'!$C$51)/7)+1=5,MOD('🌱 Configuração'!$B$51+36-'🌱 Configuração'!$C$51,7)=0),"🌿 Grow A+B + Biorrizas — EC 1.5",IF(AND('🌱 Configuração'!$B$51+36&gt;='🌱 Configuração'!$C$51,'🌱 Configuração'!$B$51+36&lt;'🌱 Configuração'!$D$51,INT(('🌱 Configuração'!$B$51+36-'🌱 Configuração'!$C$51)/7)+1=6,MOD('🌱 Configuração'!$B$51+36-'🌱 Configuração'!$C$51,7)=0),"🌿 Transição Bloom — EC 1.4",IF(AND('🌱 Configuração'!$B$51+36&gt;='🌱 Configuração'!$C$51,'🌱 Configuração'!$B$51+36&lt;'🌱 Configuração'!$D$51,INT(('🌱 Configuração'!$B$51+36-'🌱 Configuração'!$C$51)/7)+1=7,MOD('🌱 Configuração'!$B$51+36-'🌱 Configuração'!$C$51,7)=0),"🌿 Bloom A+B transição — EC 1.4",IF(AND('🌱 Configuração'!$B$51+36&gt;='🌱 Configuração'!$C$51,'🌱 Configuração'!$B$51+36&lt;'🌱 Configuração'!$D$51,INT(('🌱 Configuração'!$B$51+36-'🌱 Configuração'!$C$51)/7)+1=8,MOD('🌱 Configuração'!$B$51+36-'🌱 Configuração'!$C$51,7)=0),"🌿 Bloom A+B — EC 1.4",IF(AND('🌱 Configuração'!$B$51+36&gt;='🌱 Configuração'!$D$51,'🌱 Configuração'!$B$51+36&lt;'🌱 Configuração'!$E$51,INT(('🌱 Configuração'!$B$51+36-'🌱 Configuração'!$D$51)/7)+1=1,MOD('🌱 Configuração'!$B$51+36-'🌱 Configuração'!$D$51,7)=0),"🌸 Bloom A+B — EC 1.6",IF(AND('🌱 Configuração'!$B$51+36&gt;='🌱 Configuração'!$D$51,'🌱 Configuração'!$B$51+36&lt;'🌱 Configuração'!$E$51,INT(('🌱 Configuração'!$B$51+36-'🌱 Configuração'!$D$51)/7)+1=2,MOD('🌱 Configuração'!$B$51+36-'🌱 Configuração'!$D$51,7)=0),"🌸 Bloom + PK 13/14 início",IF(AND('🌱 Configuração'!$B$51+36&gt;='🌱 Configuração'!$D$51,'🌱 Configuração'!$B$51+36&lt;'🌱 Configuração'!$E$51,INT(('🌱 Configuração'!$B$51+36-'🌱 Configuração'!$D$51)/7)+1=3,MOD('🌱 Configuração'!$B$51+36-'🌱 Configuração'!$D$51,7)=0),"🌸 Bloom + PK + CalMag — EC 1.8",IF(AND('🌱 Configuração'!$B$51+36&gt;='🌱 Configuração'!$D$51,'🌱 Configuração'!$B$51+36&lt;'🌱 Configuração'!$E$51,INT(('🌱 Configuração'!$B$51+36-'🌱 Configuração'!$D$51)/7)+1=4,MOD('🌱 Configuração'!$B$51+36-'🌱 Configuração'!$D$51,7)=0),"🌸 Bloom + PK + Boost Floral — EC 2.0",IF(AND('🌱 Configuração'!$B$51+36&gt;='🌱 Configuração'!$D$51,'🌱 Configuração'!$B$51+36&lt;'🌱 Configuração'!$E$51,INT(('🌱 Configuração'!$B$51+36-'🌱 Configuração'!$D$51)/7)+1=5,MOD('🌱 Configuração'!$B$51+36-'🌱 Configuração'!$D$51,7)=0),"🌸 Bloom + Boost + Amino",IF(AND('🌱 Configuração'!$B$51+36&gt;='🌱 Configuração'!$D$51,'🌱 Configuração'!$B$51+36&lt;'🌱 Configuração'!$E$51,INT(('🌱 Configuração'!$B$51+36-'🌱 Configuração'!$D$51)/7)+1=6,MOD('🌱 Configuração'!$B$51+36-'🌱 Configuração'!$D$51,7)=0),"🌸 Bloom + Enzimas + Amino",IF(AND('🌱 Configuração'!$B$51+36&gt;='🌱 Configuração'!$D$51,'🌱 Configuração'!$B$51+36&lt;'🌱 Configuração'!$E$51,INT(('🌱 Configuração'!$B$51+36-'🌱 Configuração'!$D$51)/7)+1=7,MOD('🌱 Configuração'!$B$51+36-'🌱 Configuração'!$D$51,7)=0),"🌸 Reduzir N — Bloom puro — EC 1.6",IF(AND('🌱 Configuração'!$B$51+36&gt;='🌱 Configuração'!$D$51,'🌱 Configuração'!$B$51+36&lt;'🌱 Configuração'!$E$51,INT(('🌱 Configuração'!$B$51+36-'🌱 Configuração'!$D$51)/7)+1=8,MOD('🌱 Configuração'!$B$51+36-'🌱 Configuração'!$D$51,7)=0),"🌸 Bloom puro — EC 1.4  (pré-flush)",IF(AND('🌱 Configuração'!$B$51+36&gt;='🌱 Configuração'!$D$51,'🌱 Configuração'!$B$51+36&lt;'🌱 Configuração'!$E$51,INT(('🌱 Configuração'!$B$51+36-'🌱 Configuração'!$D$51)/7)+1=9,MOD('🌱 Configuração'!$B$51+36-'🌱 Configuração'!$D$51,7)=0),"🌸 Último Bloom — EC 0.8",IF(AND('🌱 Configuração'!$B$51+36&gt;='🌱 Configuração'!$E$51,INT(('🌱 Configuração'!$B$51+36-'🌱 Configuração'!$E$51)/7)+1=1,MOD('🌱 Configuração'!$B$51+36-'🌱 Configuração'!$E$51,7)=0),"🚿 Água pura + Enzimas (EC &lt; 0.3)",IF(AND('🌱 Configuração'!$B$51+36&gt;='🌱 Configuração'!$E$51,INT(('🌱 Configuração'!$B$51+36-'🌱 Configuração'!$E$51)/7)+1=2,MOD('🌱 Configuração'!$B$51+36-'🌱 Configuração'!$E$51,7)=0),"🚿 Água pura (EC &lt; 0.2)",""))))))))))))))))))))))</f>
        <v/>
      </c>
      <c r="G42" s="30" t="str">
        <f>IF(37&gt;'🌱 Configuração'!$F$50,"",IF(AND('🌱 Configuração'!$B$51+36&lt;'🌱 Configuração'!$C$51,INT((37-1)/7)+1=1,MOD(37-1,7)=0),"🐛 Nim 2mL/L foliar — preventivo",IF(AND('🌱 Configuração'!$B$51+36&lt;'🌱 Configuração'!$C$51,INT((37-1)/7)+1=2,MOD(37-1,7)=0),"🐛 Beauveria bassiana foliar + solo",IF(AND('🌱 Configuração'!$B$51+36&gt;='🌱 Configuração'!$C$51,'🌱 Configuração'!$B$51+36&lt;'🌱 Configuração'!$D$51,INT(('🌱 Configuração'!$B$51+36-'🌱 Configuração'!$C$51)/7)+1=1,MOD('🌱 Configuração'!$B$51+36-'🌱 Configuração'!$C$51,7)=0),"🐛 Nim 2mL/L foliar",IF(AND('🌱 Configuração'!$B$51+36&gt;='🌱 Configuração'!$C$51,'🌱 Configuração'!$B$51+36&lt;'🌱 Configuração'!$D$51,INT(('🌱 Configuração'!$B$51+36-'🌱 Configuração'!$C$51)/7)+1=2,MOD('🌱 Configuração'!$B$51+36-'🌱 Configuração'!$C$51,7)=0),"🐛 Beauveria bassiana foliar",IF(AND('🌱 Configuração'!$B$51+36&gt;='🌱 Configuração'!$C$51,'🌱 Configuração'!$B$51+36&lt;'🌱 Configuração'!$D$51,INT(('🌱 Configuração'!$B$51+36-'🌱 Configuração'!$C$51)/7)+1=3,MOD('🌱 Configuração'!$B$51+36-'🌱 Configuração'!$C$51,7)=0),"🐛 Nim + Calda Sulfocálcica 1%",IF(AND('🌱 Configuração'!$B$51+36&gt;='🌱 Configuração'!$C$51,'🌱 Configuração'!$B$51+36&lt;'🌱 Configuração'!$D$51,INT(('🌱 Configuração'!$B$51+36-'🌱 Configuração'!$C$51)/7)+1=4,MOD('🌱 Configuração'!$B$51+36-'🌱 Configuração'!$C$51,7)=0),"🐛 Trichoderma solo + Beauveria",IF(AND('🌱 Configuração'!$B$51+36&gt;='🌱 Configuração'!$C$51,'🌱 Configuração'!$B$51+36&lt;'🌱 Configuração'!$D$51,INT(('🌱 Configuração'!$B$51+36-'🌱 Configuração'!$C$51)/7)+1=5,MOD('🌱 Configuração'!$B$51+36-'🌱 Configuração'!$C$51,7)=0),"🐛 Calda Bordalesa 0.5% foliar",IF(AND('🌱 Configuração'!$B$51+36&gt;='🌱 Configuração'!$C$51,'🌱 Configuração'!$B$51+36&lt;'🌱 Configuração'!$D$51,INT(('🌱 Configuração'!$B$51+36-'🌱 Configuração'!$C$51)/7)+1=6,MOD('🌱 Configuração'!$B$51+36-'🌱 Configuração'!$C$51,7)=0),"🐛 Nim 2mL/L — ÚLTIMA foliar",IF(AND('🌱 Configuração'!$B$51+36&gt;='🌱 Configuração'!$D$51,'🌱 Configuração'!$B$51+36&lt;'🌱 Configuração'!$E$51,INT(('🌱 Configuração'!$B$51+36-'🌱 Configuração'!$D$51)/7)+1=1,MOD('🌱 Configuração'!$B$51+36-'🌱 Configuração'!$D$51,7)=0),"🐛 Beauveria bassiana solo (sem foliar)",IF(AND('🌱 Configuração'!$B$51+36&gt;='🌱 Configuração'!$D$51,'🌱 Configuração'!$B$51+36&lt;'🌱 Configuração'!$E$51,INT(('🌱 Configuração'!$B$51+36-'🌱 Configuração'!$D$51)/7)+1=2,MOD('🌱 Configuração'!$B$51+36-'🌱 Configuração'!$D$51,7)=0),"🐛 Trichoderma solo",IF(AND('🌱 Configuração'!$B$51+36&gt;='🌱 Configuração'!$D$51,'🌱 Configuração'!$B$51+36&lt;'🌱 Configuração'!$E$51,INT(('🌱 Configuração'!$B$51+36-'🌱 Configuração'!$D$51)/7)+1=3,MOD('🌱 Configuração'!$B$51+36-'🌱 Configuração'!$D$51,7)=0),"🐛 Beauveria bassiana solo",IF(AND('🌱 Configuração'!$B$51+36&gt;='🌱 Configuração'!$D$51,'🌱 Configuração'!$B$51+36&lt;'🌱 Configuração'!$E$51,INT(('🌱 Configuração'!$B$51+36-'🌱 Configuração'!$D$51)/7)+1=4,MOD('🌱 Configuração'!$B$51+36-'🌱 Configuração'!$D$51,7)=0),"🐛 Trichoderma solo",IF(AND('🌱 Configuração'!$B$51+36&gt;='🌱 Configuração'!$E$51,INT(('🌱 Configuração'!$B$51+36-'🌱 Configuração'!$E$51)/7)+1=1,MOD('🌱 Configuração'!$B$51+36-'🌱 Configuração'!$E$51,7)=0),"🐛 Inspeção final — sem aplicação",""))))))))))))))</f>
        <v/>
      </c>
      <c r="H42" s="22" t="str">
        <f>IF(37&gt;'🌱 Configuração'!$F$50,"",IF('🌱 Configuração'!$B$51+36='🌱 Configuração'!$C$51,"🌿 INÍCIO VEGA — ajustar espaço, luz 18h/dia — EC 0.8",IF('🌱 Configuração'!$B$51+36='🌱 Configuração'!$D$51,"🌸 INÍCIO FLORAÇÃO — mudar para 12h/12h — 🔴 atenção ao fotoperíodo",IF('🌱 Configuração'!$B$51+36='🌱 Configuração'!$E$51,"🚿 INÍCIO FLUSH — PARAR nutrição, somente água pura",IF('🌱 Configuração'!$B$51+36='🌱 Configuração'!$F$51-1,"🔬 Véspera da colheita — analisar tricomas âmbar",IF('🌱 Configuração'!$B$51+36='🌱 Configuração'!$F$51,"✂️ COLHEITA! Parabéns! 🎉",""))))))</f>
        <v/>
      </c>
    </row>
    <row r="43" spans="2:8" ht="18.75" customHeight="1" x14ac:dyDescent="0.3">
      <c r="B43" s="25">
        <f>IF(38&lt;='🌱 Configuração'!$F$50,38,"")</f>
        <v>38</v>
      </c>
      <c r="C43" s="26">
        <f>IF(38&lt;='🌱 Configuração'!$F$50,'🌱 Configuração'!$B$51+37,"")</f>
        <v>46060</v>
      </c>
      <c r="D43" s="27" t="str">
        <f>IF(38&gt;'🌱 Configuração'!$F$50,"",IF('🌱 Configuração'!$B$51+37&lt;'🌱 Configuração'!$C$51,"🌱 Clone",IF('🌱 Configuração'!$B$51+37&lt;'🌱 Configuração'!$D$51,"🌿 Vegetativo",IF('🌱 Configuração'!$B$51+37&lt;'🌱 Configuração'!$E$51,"🌸 Floração","🚿 Flush"))))</f>
        <v>🌿 Vegetativo</v>
      </c>
      <c r="E43" s="28" t="str">
        <f>IF(38&gt;'🌱 Configuração'!$F$50,"",IF('🌱 Configuração'!$B$51+37&lt;'🌱 Configuração'!$C$51,"Clone S"&amp;INT((38-1)/7)+1,IF('🌱 Configuração'!$B$51+37&lt;'🌱 Configuração'!$D$51,"Vega S"&amp;INT(('🌱 Configuração'!$B$51+37-'🌱 Configuração'!$C$51)/7)+1,IF('🌱 Configuração'!$B$51+37&lt;'🌱 Configuração'!$E$51,"Flora S"&amp;INT(('🌱 Configuração'!$B$51+37-'🌱 Configuração'!$D$51)/7)+1,"Flush S"&amp;INT(('🌱 Configuração'!$B$51+37-'🌱 Configuração'!$E$51)/7)+1))))</f>
        <v>Vega S4</v>
      </c>
      <c r="F43" s="29" t="str">
        <f>IF(38&gt;'🌱 Configuração'!$F$50,"",IF(AND('🌱 Configuração'!$B$51+37&lt;'🌱 Configuração'!$C$51,INT((38-1)/7)+1=1,MOD(38-1,7)=0),"🌱 Enraizador (0.5 mL/L)",IF(AND('🌱 Configuração'!$B$51+37&lt;'🌱 Configuração'!$C$51,INT((38-1)/7)+1=2,MOD(38-1,7)=0),"🌱 Enraizador + Vitamina B1",IF(AND('🌱 Configuração'!$B$51+37&gt;='🌱 Configuração'!$C$51,'🌱 Configuração'!$B$51+37&lt;'🌱 Configuração'!$D$51,INT(('🌱 Configuração'!$B$51+37-'🌱 Configuração'!$C$51)/7)+1=1,MOD('🌱 Configuração'!$B$51+37-'🌱 Configuração'!$C$51,7)=0),"🌿 Grow A+B início — EC 0.8",IF(AND('🌱 Configuração'!$B$51+37&gt;='🌱 Configuração'!$C$51,'🌱 Configuração'!$B$51+37&lt;'🌱 Configuração'!$D$51,INT(('🌱 Configuração'!$B$51+37-'🌱 Configuração'!$C$51)/7)+1=2,MOD('🌱 Configuração'!$B$51+37-'🌱 Configuração'!$C$51,7)=0),"🌿 Grow A+B + CalMag — EC 1.0",IF(AND('🌱 Configuração'!$B$51+37&gt;='🌱 Configuração'!$C$51,'🌱 Configuração'!$B$51+37&lt;'🌱 Configuração'!$D$51,INT(('🌱 Configuração'!$B$51+37-'🌱 Configuração'!$C$51)/7)+1=3,MOD('🌱 Configuração'!$B$51+37-'🌱 Configuração'!$C$51,7)=0),"🌿 Grow A+B + CalMag — EC 1.2",IF(AND('🌱 Configuração'!$B$51+37&gt;='🌱 Configuração'!$C$51,'🌱 Configuração'!$B$51+37&lt;'🌱 Configuração'!$D$51,INT(('🌱 Configuração'!$B$51+37-'🌱 Configuração'!$C$51)/7)+1=4,MOD('🌱 Configuração'!$B$51+37-'🌱 Configuração'!$C$51,7)=0),"🌿 Grow A+B + Enzimas — EC 1.4",IF(AND('🌱 Configuração'!$B$51+37&gt;='🌱 Configuração'!$C$51,'🌱 Configuração'!$B$51+37&lt;'🌱 Configuração'!$D$51,INT(('🌱 Configuração'!$B$51+37-'🌱 Configuração'!$C$51)/7)+1=5,MOD('🌱 Configuração'!$B$51+37-'🌱 Configuração'!$C$51,7)=0),"🌿 Grow A+B + Biorrizas — EC 1.5",IF(AND('🌱 Configuração'!$B$51+37&gt;='🌱 Configuração'!$C$51,'🌱 Configuração'!$B$51+37&lt;'🌱 Configuração'!$D$51,INT(('🌱 Configuração'!$B$51+37-'🌱 Configuração'!$C$51)/7)+1=6,MOD('🌱 Configuração'!$B$51+37-'🌱 Configuração'!$C$51,7)=0),"🌿 Transição Bloom — EC 1.4",IF(AND('🌱 Configuração'!$B$51+37&gt;='🌱 Configuração'!$C$51,'🌱 Configuração'!$B$51+37&lt;'🌱 Configuração'!$D$51,INT(('🌱 Configuração'!$B$51+37-'🌱 Configuração'!$C$51)/7)+1=7,MOD('🌱 Configuração'!$B$51+37-'🌱 Configuração'!$C$51,7)=0),"🌿 Bloom A+B transição — EC 1.4",IF(AND('🌱 Configuração'!$B$51+37&gt;='🌱 Configuração'!$C$51,'🌱 Configuração'!$B$51+37&lt;'🌱 Configuração'!$D$51,INT(('🌱 Configuração'!$B$51+37-'🌱 Configuração'!$C$51)/7)+1=8,MOD('🌱 Configuração'!$B$51+37-'🌱 Configuração'!$C$51,7)=0),"🌿 Bloom A+B — EC 1.4",IF(AND('🌱 Configuração'!$B$51+37&gt;='🌱 Configuração'!$D$51,'🌱 Configuração'!$B$51+37&lt;'🌱 Configuração'!$E$51,INT(('🌱 Configuração'!$B$51+37-'🌱 Configuração'!$D$51)/7)+1=1,MOD('🌱 Configuração'!$B$51+37-'🌱 Configuração'!$D$51,7)=0),"🌸 Bloom A+B — EC 1.6",IF(AND('🌱 Configuração'!$B$51+37&gt;='🌱 Configuração'!$D$51,'🌱 Configuração'!$B$51+37&lt;'🌱 Configuração'!$E$51,INT(('🌱 Configuração'!$B$51+37-'🌱 Configuração'!$D$51)/7)+1=2,MOD('🌱 Configuração'!$B$51+37-'🌱 Configuração'!$D$51,7)=0),"🌸 Bloom + PK 13/14 início",IF(AND('🌱 Configuração'!$B$51+37&gt;='🌱 Configuração'!$D$51,'🌱 Configuração'!$B$51+37&lt;'🌱 Configuração'!$E$51,INT(('🌱 Configuração'!$B$51+37-'🌱 Configuração'!$D$51)/7)+1=3,MOD('🌱 Configuração'!$B$51+37-'🌱 Configuração'!$D$51,7)=0),"🌸 Bloom + PK + CalMag — EC 1.8",IF(AND('🌱 Configuração'!$B$51+37&gt;='🌱 Configuração'!$D$51,'🌱 Configuração'!$B$51+37&lt;'🌱 Configuração'!$E$51,INT(('🌱 Configuração'!$B$51+37-'🌱 Configuração'!$D$51)/7)+1=4,MOD('🌱 Configuração'!$B$51+37-'🌱 Configuração'!$D$51,7)=0),"🌸 Bloom + PK + Boost Floral — EC 2.0",IF(AND('🌱 Configuração'!$B$51+37&gt;='🌱 Configuração'!$D$51,'🌱 Configuração'!$B$51+37&lt;'🌱 Configuração'!$E$51,INT(('🌱 Configuração'!$B$51+37-'🌱 Configuração'!$D$51)/7)+1=5,MOD('🌱 Configuração'!$B$51+37-'🌱 Configuração'!$D$51,7)=0),"🌸 Bloom + Boost + Amino",IF(AND('🌱 Configuração'!$B$51+37&gt;='🌱 Configuração'!$D$51,'🌱 Configuração'!$B$51+37&lt;'🌱 Configuração'!$E$51,INT(('🌱 Configuração'!$B$51+37-'🌱 Configuração'!$D$51)/7)+1=6,MOD('🌱 Configuração'!$B$51+37-'🌱 Configuração'!$D$51,7)=0),"🌸 Bloom + Enzimas + Amino",IF(AND('🌱 Configuração'!$B$51+37&gt;='🌱 Configuração'!$D$51,'🌱 Configuração'!$B$51+37&lt;'🌱 Configuração'!$E$51,INT(('🌱 Configuração'!$B$51+37-'🌱 Configuração'!$D$51)/7)+1=7,MOD('🌱 Configuração'!$B$51+37-'🌱 Configuração'!$D$51,7)=0),"🌸 Reduzir N — Bloom puro — EC 1.6",IF(AND('🌱 Configuração'!$B$51+37&gt;='🌱 Configuração'!$D$51,'🌱 Configuração'!$B$51+37&lt;'🌱 Configuração'!$E$51,INT(('🌱 Configuração'!$B$51+37-'🌱 Configuração'!$D$51)/7)+1=8,MOD('🌱 Configuração'!$B$51+37-'🌱 Configuração'!$D$51,7)=0),"🌸 Bloom puro — EC 1.4  (pré-flush)",IF(AND('🌱 Configuração'!$B$51+37&gt;='🌱 Configuração'!$D$51,'🌱 Configuração'!$B$51+37&lt;'🌱 Configuração'!$E$51,INT(('🌱 Configuração'!$B$51+37-'🌱 Configuração'!$D$51)/7)+1=9,MOD('🌱 Configuração'!$B$51+37-'🌱 Configuração'!$D$51,7)=0),"🌸 Último Bloom — EC 0.8",IF(AND('🌱 Configuração'!$B$51+37&gt;='🌱 Configuração'!$E$51,INT(('🌱 Configuração'!$B$51+37-'🌱 Configuração'!$E$51)/7)+1=1,MOD('🌱 Configuração'!$B$51+37-'🌱 Configuração'!$E$51,7)=0),"🚿 Água pura + Enzimas (EC &lt; 0.3)",IF(AND('🌱 Configuração'!$B$51+37&gt;='🌱 Configuração'!$E$51,INT(('🌱 Configuração'!$B$51+37-'🌱 Configuração'!$E$51)/7)+1=2,MOD('🌱 Configuração'!$B$51+37-'🌱 Configuração'!$E$51,7)=0),"🚿 Água pura (EC &lt; 0.2)",""))))))))))))))))))))))</f>
        <v/>
      </c>
      <c r="G43" s="30" t="str">
        <f>IF(38&gt;'🌱 Configuração'!$F$50,"",IF(AND('🌱 Configuração'!$B$51+37&lt;'🌱 Configuração'!$C$51,INT((38-1)/7)+1=1,MOD(38-1,7)=0),"🐛 Nim 2mL/L foliar — preventivo",IF(AND('🌱 Configuração'!$B$51+37&lt;'🌱 Configuração'!$C$51,INT((38-1)/7)+1=2,MOD(38-1,7)=0),"🐛 Beauveria bassiana foliar + solo",IF(AND('🌱 Configuração'!$B$51+37&gt;='🌱 Configuração'!$C$51,'🌱 Configuração'!$B$51+37&lt;'🌱 Configuração'!$D$51,INT(('🌱 Configuração'!$B$51+37-'🌱 Configuração'!$C$51)/7)+1=1,MOD('🌱 Configuração'!$B$51+37-'🌱 Configuração'!$C$51,7)=0),"🐛 Nim 2mL/L foliar",IF(AND('🌱 Configuração'!$B$51+37&gt;='🌱 Configuração'!$C$51,'🌱 Configuração'!$B$51+37&lt;'🌱 Configuração'!$D$51,INT(('🌱 Configuração'!$B$51+37-'🌱 Configuração'!$C$51)/7)+1=2,MOD('🌱 Configuração'!$B$51+37-'🌱 Configuração'!$C$51,7)=0),"🐛 Beauveria bassiana foliar",IF(AND('🌱 Configuração'!$B$51+37&gt;='🌱 Configuração'!$C$51,'🌱 Configuração'!$B$51+37&lt;'🌱 Configuração'!$D$51,INT(('🌱 Configuração'!$B$51+37-'🌱 Configuração'!$C$51)/7)+1=3,MOD('🌱 Configuração'!$B$51+37-'🌱 Configuração'!$C$51,7)=0),"🐛 Nim + Calda Sulfocálcica 1%",IF(AND('🌱 Configuração'!$B$51+37&gt;='🌱 Configuração'!$C$51,'🌱 Configuração'!$B$51+37&lt;'🌱 Configuração'!$D$51,INT(('🌱 Configuração'!$B$51+37-'🌱 Configuração'!$C$51)/7)+1=4,MOD('🌱 Configuração'!$B$51+37-'🌱 Configuração'!$C$51,7)=0),"🐛 Trichoderma solo + Beauveria",IF(AND('🌱 Configuração'!$B$51+37&gt;='🌱 Configuração'!$C$51,'🌱 Configuração'!$B$51+37&lt;'🌱 Configuração'!$D$51,INT(('🌱 Configuração'!$B$51+37-'🌱 Configuração'!$C$51)/7)+1=5,MOD('🌱 Configuração'!$B$51+37-'🌱 Configuração'!$C$51,7)=0),"🐛 Calda Bordalesa 0.5% foliar",IF(AND('🌱 Configuração'!$B$51+37&gt;='🌱 Configuração'!$C$51,'🌱 Configuração'!$B$51+37&lt;'🌱 Configuração'!$D$51,INT(('🌱 Configuração'!$B$51+37-'🌱 Configuração'!$C$51)/7)+1=6,MOD('🌱 Configuração'!$B$51+37-'🌱 Configuração'!$C$51,7)=0),"🐛 Nim 2mL/L — ÚLTIMA foliar",IF(AND('🌱 Configuração'!$B$51+37&gt;='🌱 Configuração'!$D$51,'🌱 Configuração'!$B$51+37&lt;'🌱 Configuração'!$E$51,INT(('🌱 Configuração'!$B$51+37-'🌱 Configuração'!$D$51)/7)+1=1,MOD('🌱 Configuração'!$B$51+37-'🌱 Configuração'!$D$51,7)=0),"🐛 Beauveria bassiana solo (sem foliar)",IF(AND('🌱 Configuração'!$B$51+37&gt;='🌱 Configuração'!$D$51,'🌱 Configuração'!$B$51+37&lt;'🌱 Configuração'!$E$51,INT(('🌱 Configuração'!$B$51+37-'🌱 Configuração'!$D$51)/7)+1=2,MOD('🌱 Configuração'!$B$51+37-'🌱 Configuração'!$D$51,7)=0),"🐛 Trichoderma solo",IF(AND('🌱 Configuração'!$B$51+37&gt;='🌱 Configuração'!$D$51,'🌱 Configuração'!$B$51+37&lt;'🌱 Configuração'!$E$51,INT(('🌱 Configuração'!$B$51+37-'🌱 Configuração'!$D$51)/7)+1=3,MOD('🌱 Configuração'!$B$51+37-'🌱 Configuração'!$D$51,7)=0),"🐛 Beauveria bassiana solo",IF(AND('🌱 Configuração'!$B$51+37&gt;='🌱 Configuração'!$D$51,'🌱 Configuração'!$B$51+37&lt;'🌱 Configuração'!$E$51,INT(('🌱 Configuração'!$B$51+37-'🌱 Configuração'!$D$51)/7)+1=4,MOD('🌱 Configuração'!$B$51+37-'🌱 Configuração'!$D$51,7)=0),"🐛 Trichoderma solo",IF(AND('🌱 Configuração'!$B$51+37&gt;='🌱 Configuração'!$E$51,INT(('🌱 Configuração'!$B$51+37-'🌱 Configuração'!$E$51)/7)+1=1,MOD('🌱 Configuração'!$B$51+37-'🌱 Configuração'!$E$51,7)=0),"🐛 Inspeção final — sem aplicação",""))))))))))))))</f>
        <v/>
      </c>
      <c r="H43" s="22" t="str">
        <f>IF(38&gt;'🌱 Configuração'!$F$50,"",IF('🌱 Configuração'!$B$51+37='🌱 Configuração'!$C$51,"🌿 INÍCIO VEGA — ajustar espaço, luz 18h/dia — EC 0.8",IF('🌱 Configuração'!$B$51+37='🌱 Configuração'!$D$51,"🌸 INÍCIO FLORAÇÃO — mudar para 12h/12h — 🔴 atenção ao fotoperíodo",IF('🌱 Configuração'!$B$51+37='🌱 Configuração'!$E$51,"🚿 INÍCIO FLUSH — PARAR nutrição, somente água pura",IF('🌱 Configuração'!$B$51+37='🌱 Configuração'!$F$51-1,"🔬 Véspera da colheita — analisar tricomas âmbar",IF('🌱 Configuração'!$B$51+37='🌱 Configuração'!$F$51,"✂️ COLHEITA! Parabéns! 🎉",""))))))</f>
        <v/>
      </c>
    </row>
    <row r="44" spans="2:8" ht="18.75" customHeight="1" x14ac:dyDescent="0.3">
      <c r="B44" s="25">
        <f>IF(39&lt;='🌱 Configuração'!$F$50,39,"")</f>
        <v>39</v>
      </c>
      <c r="C44" s="26">
        <f>IF(39&lt;='🌱 Configuração'!$F$50,'🌱 Configuração'!$B$51+38,"")</f>
        <v>46061</v>
      </c>
      <c r="D44" s="27" t="str">
        <f>IF(39&gt;'🌱 Configuração'!$F$50,"",IF('🌱 Configuração'!$B$51+38&lt;'🌱 Configuração'!$C$51,"🌱 Clone",IF('🌱 Configuração'!$B$51+38&lt;'🌱 Configuração'!$D$51,"🌿 Vegetativo",IF('🌱 Configuração'!$B$51+38&lt;'🌱 Configuração'!$E$51,"🌸 Floração","🚿 Flush"))))</f>
        <v>🌿 Vegetativo</v>
      </c>
      <c r="E44" s="28" t="str">
        <f>IF(39&gt;'🌱 Configuração'!$F$50,"",IF('🌱 Configuração'!$B$51+38&lt;'🌱 Configuração'!$C$51,"Clone S"&amp;INT((39-1)/7)+1,IF('🌱 Configuração'!$B$51+38&lt;'🌱 Configuração'!$D$51,"Vega S"&amp;INT(('🌱 Configuração'!$B$51+38-'🌱 Configuração'!$C$51)/7)+1,IF('🌱 Configuração'!$B$51+38&lt;'🌱 Configuração'!$E$51,"Flora S"&amp;INT(('🌱 Configuração'!$B$51+38-'🌱 Configuração'!$D$51)/7)+1,"Flush S"&amp;INT(('🌱 Configuração'!$B$51+38-'🌱 Configuração'!$E$51)/7)+1))))</f>
        <v>Vega S4</v>
      </c>
      <c r="F44" s="29" t="str">
        <f>IF(39&gt;'🌱 Configuração'!$F$50,"",IF(AND('🌱 Configuração'!$B$51+38&lt;'🌱 Configuração'!$C$51,INT((39-1)/7)+1=1,MOD(39-1,7)=0),"🌱 Enraizador (0.5 mL/L)",IF(AND('🌱 Configuração'!$B$51+38&lt;'🌱 Configuração'!$C$51,INT((39-1)/7)+1=2,MOD(39-1,7)=0),"🌱 Enraizador + Vitamina B1",IF(AND('🌱 Configuração'!$B$51+38&gt;='🌱 Configuração'!$C$51,'🌱 Configuração'!$B$51+38&lt;'🌱 Configuração'!$D$51,INT(('🌱 Configuração'!$B$51+38-'🌱 Configuração'!$C$51)/7)+1=1,MOD('🌱 Configuração'!$B$51+38-'🌱 Configuração'!$C$51,7)=0),"🌿 Grow A+B início — EC 0.8",IF(AND('🌱 Configuração'!$B$51+38&gt;='🌱 Configuração'!$C$51,'🌱 Configuração'!$B$51+38&lt;'🌱 Configuração'!$D$51,INT(('🌱 Configuração'!$B$51+38-'🌱 Configuração'!$C$51)/7)+1=2,MOD('🌱 Configuração'!$B$51+38-'🌱 Configuração'!$C$51,7)=0),"🌿 Grow A+B + CalMag — EC 1.0",IF(AND('🌱 Configuração'!$B$51+38&gt;='🌱 Configuração'!$C$51,'🌱 Configuração'!$B$51+38&lt;'🌱 Configuração'!$D$51,INT(('🌱 Configuração'!$B$51+38-'🌱 Configuração'!$C$51)/7)+1=3,MOD('🌱 Configuração'!$B$51+38-'🌱 Configuração'!$C$51,7)=0),"🌿 Grow A+B + CalMag — EC 1.2",IF(AND('🌱 Configuração'!$B$51+38&gt;='🌱 Configuração'!$C$51,'🌱 Configuração'!$B$51+38&lt;'🌱 Configuração'!$D$51,INT(('🌱 Configuração'!$B$51+38-'🌱 Configuração'!$C$51)/7)+1=4,MOD('🌱 Configuração'!$B$51+38-'🌱 Configuração'!$C$51,7)=0),"🌿 Grow A+B + Enzimas — EC 1.4",IF(AND('🌱 Configuração'!$B$51+38&gt;='🌱 Configuração'!$C$51,'🌱 Configuração'!$B$51+38&lt;'🌱 Configuração'!$D$51,INT(('🌱 Configuração'!$B$51+38-'🌱 Configuração'!$C$51)/7)+1=5,MOD('🌱 Configuração'!$B$51+38-'🌱 Configuração'!$C$51,7)=0),"🌿 Grow A+B + Biorrizas — EC 1.5",IF(AND('🌱 Configuração'!$B$51+38&gt;='🌱 Configuração'!$C$51,'🌱 Configuração'!$B$51+38&lt;'🌱 Configuração'!$D$51,INT(('🌱 Configuração'!$B$51+38-'🌱 Configuração'!$C$51)/7)+1=6,MOD('🌱 Configuração'!$B$51+38-'🌱 Configuração'!$C$51,7)=0),"🌿 Transição Bloom — EC 1.4",IF(AND('🌱 Configuração'!$B$51+38&gt;='🌱 Configuração'!$C$51,'🌱 Configuração'!$B$51+38&lt;'🌱 Configuração'!$D$51,INT(('🌱 Configuração'!$B$51+38-'🌱 Configuração'!$C$51)/7)+1=7,MOD('🌱 Configuração'!$B$51+38-'🌱 Configuração'!$C$51,7)=0),"🌿 Bloom A+B transição — EC 1.4",IF(AND('🌱 Configuração'!$B$51+38&gt;='🌱 Configuração'!$C$51,'🌱 Configuração'!$B$51+38&lt;'🌱 Configuração'!$D$51,INT(('🌱 Configuração'!$B$51+38-'🌱 Configuração'!$C$51)/7)+1=8,MOD('🌱 Configuração'!$B$51+38-'🌱 Configuração'!$C$51,7)=0),"🌿 Bloom A+B — EC 1.4",IF(AND('🌱 Configuração'!$B$51+38&gt;='🌱 Configuração'!$D$51,'🌱 Configuração'!$B$51+38&lt;'🌱 Configuração'!$E$51,INT(('🌱 Configuração'!$B$51+38-'🌱 Configuração'!$D$51)/7)+1=1,MOD('🌱 Configuração'!$B$51+38-'🌱 Configuração'!$D$51,7)=0),"🌸 Bloom A+B — EC 1.6",IF(AND('🌱 Configuração'!$B$51+38&gt;='🌱 Configuração'!$D$51,'🌱 Configuração'!$B$51+38&lt;'🌱 Configuração'!$E$51,INT(('🌱 Configuração'!$B$51+38-'🌱 Configuração'!$D$51)/7)+1=2,MOD('🌱 Configuração'!$B$51+38-'🌱 Configuração'!$D$51,7)=0),"🌸 Bloom + PK 13/14 início",IF(AND('🌱 Configuração'!$B$51+38&gt;='🌱 Configuração'!$D$51,'🌱 Configuração'!$B$51+38&lt;'🌱 Configuração'!$E$51,INT(('🌱 Configuração'!$B$51+38-'🌱 Configuração'!$D$51)/7)+1=3,MOD('🌱 Configuração'!$B$51+38-'🌱 Configuração'!$D$51,7)=0),"🌸 Bloom + PK + CalMag — EC 1.8",IF(AND('🌱 Configuração'!$B$51+38&gt;='🌱 Configuração'!$D$51,'🌱 Configuração'!$B$51+38&lt;'🌱 Configuração'!$E$51,INT(('🌱 Configuração'!$B$51+38-'🌱 Configuração'!$D$51)/7)+1=4,MOD('🌱 Configuração'!$B$51+38-'🌱 Configuração'!$D$51,7)=0),"🌸 Bloom + PK + Boost Floral — EC 2.0",IF(AND('🌱 Configuração'!$B$51+38&gt;='🌱 Configuração'!$D$51,'🌱 Configuração'!$B$51+38&lt;'🌱 Configuração'!$E$51,INT(('🌱 Configuração'!$B$51+38-'🌱 Configuração'!$D$51)/7)+1=5,MOD('🌱 Configuração'!$B$51+38-'🌱 Configuração'!$D$51,7)=0),"🌸 Bloom + Boost + Amino",IF(AND('🌱 Configuração'!$B$51+38&gt;='🌱 Configuração'!$D$51,'🌱 Configuração'!$B$51+38&lt;'🌱 Configuração'!$E$51,INT(('🌱 Configuração'!$B$51+38-'🌱 Configuração'!$D$51)/7)+1=6,MOD('🌱 Configuração'!$B$51+38-'🌱 Configuração'!$D$51,7)=0),"🌸 Bloom + Enzimas + Amino",IF(AND('🌱 Configuração'!$B$51+38&gt;='🌱 Configuração'!$D$51,'🌱 Configuração'!$B$51+38&lt;'🌱 Configuração'!$E$51,INT(('🌱 Configuração'!$B$51+38-'🌱 Configuração'!$D$51)/7)+1=7,MOD('🌱 Configuração'!$B$51+38-'🌱 Configuração'!$D$51,7)=0),"🌸 Reduzir N — Bloom puro — EC 1.6",IF(AND('🌱 Configuração'!$B$51+38&gt;='🌱 Configuração'!$D$51,'🌱 Configuração'!$B$51+38&lt;'🌱 Configuração'!$E$51,INT(('🌱 Configuração'!$B$51+38-'🌱 Configuração'!$D$51)/7)+1=8,MOD('🌱 Configuração'!$B$51+38-'🌱 Configuração'!$D$51,7)=0),"🌸 Bloom puro — EC 1.4  (pré-flush)",IF(AND('🌱 Configuração'!$B$51+38&gt;='🌱 Configuração'!$D$51,'🌱 Configuração'!$B$51+38&lt;'🌱 Configuração'!$E$51,INT(('🌱 Configuração'!$B$51+38-'🌱 Configuração'!$D$51)/7)+1=9,MOD('🌱 Configuração'!$B$51+38-'🌱 Configuração'!$D$51,7)=0),"🌸 Último Bloom — EC 0.8",IF(AND('🌱 Configuração'!$B$51+38&gt;='🌱 Configuração'!$E$51,INT(('🌱 Configuração'!$B$51+38-'🌱 Configuração'!$E$51)/7)+1=1,MOD('🌱 Configuração'!$B$51+38-'🌱 Configuração'!$E$51,7)=0),"🚿 Água pura + Enzimas (EC &lt; 0.3)",IF(AND('🌱 Configuração'!$B$51+38&gt;='🌱 Configuração'!$E$51,INT(('🌱 Configuração'!$B$51+38-'🌱 Configuração'!$E$51)/7)+1=2,MOD('🌱 Configuração'!$B$51+38-'🌱 Configuração'!$E$51,7)=0),"🚿 Água pura (EC &lt; 0.2)",""))))))))))))))))))))))</f>
        <v/>
      </c>
      <c r="G44" s="30" t="str">
        <f>IF(39&gt;'🌱 Configuração'!$F$50,"",IF(AND('🌱 Configuração'!$B$51+38&lt;'🌱 Configuração'!$C$51,INT((39-1)/7)+1=1,MOD(39-1,7)=0),"🐛 Nim 2mL/L foliar — preventivo",IF(AND('🌱 Configuração'!$B$51+38&lt;'🌱 Configuração'!$C$51,INT((39-1)/7)+1=2,MOD(39-1,7)=0),"🐛 Beauveria bassiana foliar + solo",IF(AND('🌱 Configuração'!$B$51+38&gt;='🌱 Configuração'!$C$51,'🌱 Configuração'!$B$51+38&lt;'🌱 Configuração'!$D$51,INT(('🌱 Configuração'!$B$51+38-'🌱 Configuração'!$C$51)/7)+1=1,MOD('🌱 Configuração'!$B$51+38-'🌱 Configuração'!$C$51,7)=0),"🐛 Nim 2mL/L foliar",IF(AND('🌱 Configuração'!$B$51+38&gt;='🌱 Configuração'!$C$51,'🌱 Configuração'!$B$51+38&lt;'🌱 Configuração'!$D$51,INT(('🌱 Configuração'!$B$51+38-'🌱 Configuração'!$C$51)/7)+1=2,MOD('🌱 Configuração'!$B$51+38-'🌱 Configuração'!$C$51,7)=0),"🐛 Beauveria bassiana foliar",IF(AND('🌱 Configuração'!$B$51+38&gt;='🌱 Configuração'!$C$51,'🌱 Configuração'!$B$51+38&lt;'🌱 Configuração'!$D$51,INT(('🌱 Configuração'!$B$51+38-'🌱 Configuração'!$C$51)/7)+1=3,MOD('🌱 Configuração'!$B$51+38-'🌱 Configuração'!$C$51,7)=0),"🐛 Nim + Calda Sulfocálcica 1%",IF(AND('🌱 Configuração'!$B$51+38&gt;='🌱 Configuração'!$C$51,'🌱 Configuração'!$B$51+38&lt;'🌱 Configuração'!$D$51,INT(('🌱 Configuração'!$B$51+38-'🌱 Configuração'!$C$51)/7)+1=4,MOD('🌱 Configuração'!$B$51+38-'🌱 Configuração'!$C$51,7)=0),"🐛 Trichoderma solo + Beauveria",IF(AND('🌱 Configuração'!$B$51+38&gt;='🌱 Configuração'!$C$51,'🌱 Configuração'!$B$51+38&lt;'🌱 Configuração'!$D$51,INT(('🌱 Configuração'!$B$51+38-'🌱 Configuração'!$C$51)/7)+1=5,MOD('🌱 Configuração'!$B$51+38-'🌱 Configuração'!$C$51,7)=0),"🐛 Calda Bordalesa 0.5% foliar",IF(AND('🌱 Configuração'!$B$51+38&gt;='🌱 Configuração'!$C$51,'🌱 Configuração'!$B$51+38&lt;'🌱 Configuração'!$D$51,INT(('🌱 Configuração'!$B$51+38-'🌱 Configuração'!$C$51)/7)+1=6,MOD('🌱 Configuração'!$B$51+38-'🌱 Configuração'!$C$51,7)=0),"🐛 Nim 2mL/L — ÚLTIMA foliar",IF(AND('🌱 Configuração'!$B$51+38&gt;='🌱 Configuração'!$D$51,'🌱 Configuração'!$B$51+38&lt;'🌱 Configuração'!$E$51,INT(('🌱 Configuração'!$B$51+38-'🌱 Configuração'!$D$51)/7)+1=1,MOD('🌱 Configuração'!$B$51+38-'🌱 Configuração'!$D$51,7)=0),"🐛 Beauveria bassiana solo (sem foliar)",IF(AND('🌱 Configuração'!$B$51+38&gt;='🌱 Configuração'!$D$51,'🌱 Configuração'!$B$51+38&lt;'🌱 Configuração'!$E$51,INT(('🌱 Configuração'!$B$51+38-'🌱 Configuração'!$D$51)/7)+1=2,MOD('🌱 Configuração'!$B$51+38-'🌱 Configuração'!$D$51,7)=0),"🐛 Trichoderma solo",IF(AND('🌱 Configuração'!$B$51+38&gt;='🌱 Configuração'!$D$51,'🌱 Configuração'!$B$51+38&lt;'🌱 Configuração'!$E$51,INT(('🌱 Configuração'!$B$51+38-'🌱 Configuração'!$D$51)/7)+1=3,MOD('🌱 Configuração'!$B$51+38-'🌱 Configuração'!$D$51,7)=0),"🐛 Beauveria bassiana solo",IF(AND('🌱 Configuração'!$B$51+38&gt;='🌱 Configuração'!$D$51,'🌱 Configuração'!$B$51+38&lt;'🌱 Configuração'!$E$51,INT(('🌱 Configuração'!$B$51+38-'🌱 Configuração'!$D$51)/7)+1=4,MOD('🌱 Configuração'!$B$51+38-'🌱 Configuração'!$D$51,7)=0),"🐛 Trichoderma solo",IF(AND('🌱 Configuração'!$B$51+38&gt;='🌱 Configuração'!$E$51,INT(('🌱 Configuração'!$B$51+38-'🌱 Configuração'!$E$51)/7)+1=1,MOD('🌱 Configuração'!$B$51+38-'🌱 Configuração'!$E$51,7)=0),"🐛 Inspeção final — sem aplicação",""))))))))))))))</f>
        <v/>
      </c>
      <c r="H44" s="22" t="str">
        <f>IF(39&gt;'🌱 Configuração'!$F$50,"",IF('🌱 Configuração'!$B$51+38='🌱 Configuração'!$C$51,"🌿 INÍCIO VEGA — ajustar espaço, luz 18h/dia — EC 0.8",IF('🌱 Configuração'!$B$51+38='🌱 Configuração'!$D$51,"🌸 INÍCIO FLORAÇÃO — mudar para 12h/12h — 🔴 atenção ao fotoperíodo",IF('🌱 Configuração'!$B$51+38='🌱 Configuração'!$E$51,"🚿 INÍCIO FLUSH — PARAR nutrição, somente água pura",IF('🌱 Configuração'!$B$51+38='🌱 Configuração'!$F$51-1,"🔬 Véspera da colheita — analisar tricomas âmbar",IF('🌱 Configuração'!$B$51+38='🌱 Configuração'!$F$51,"✂️ COLHEITA! Parabéns! 🎉",""))))))</f>
        <v/>
      </c>
    </row>
    <row r="45" spans="2:8" ht="18.75" customHeight="1" x14ac:dyDescent="0.3">
      <c r="B45" s="25">
        <f>IF(40&lt;='🌱 Configuração'!$F$50,40,"")</f>
        <v>40</v>
      </c>
      <c r="C45" s="26">
        <f>IF(40&lt;='🌱 Configuração'!$F$50,'🌱 Configuração'!$B$51+39,"")</f>
        <v>46062</v>
      </c>
      <c r="D45" s="27" t="str">
        <f>IF(40&gt;'🌱 Configuração'!$F$50,"",IF('🌱 Configuração'!$B$51+39&lt;'🌱 Configuração'!$C$51,"🌱 Clone",IF('🌱 Configuração'!$B$51+39&lt;'🌱 Configuração'!$D$51,"🌿 Vegetativo",IF('🌱 Configuração'!$B$51+39&lt;'🌱 Configuração'!$E$51,"🌸 Floração","🚿 Flush"))))</f>
        <v>🌿 Vegetativo</v>
      </c>
      <c r="E45" s="28" t="str">
        <f>IF(40&gt;'🌱 Configuração'!$F$50,"",IF('🌱 Configuração'!$B$51+39&lt;'🌱 Configuração'!$C$51,"Clone S"&amp;INT((40-1)/7)+1,IF('🌱 Configuração'!$B$51+39&lt;'🌱 Configuração'!$D$51,"Vega S"&amp;INT(('🌱 Configuração'!$B$51+39-'🌱 Configuração'!$C$51)/7)+1,IF('🌱 Configuração'!$B$51+39&lt;'🌱 Configuração'!$E$51,"Flora S"&amp;INT(('🌱 Configuração'!$B$51+39-'🌱 Configuração'!$D$51)/7)+1,"Flush S"&amp;INT(('🌱 Configuração'!$B$51+39-'🌱 Configuração'!$E$51)/7)+1))))</f>
        <v>Vega S4</v>
      </c>
      <c r="F45" s="29" t="str">
        <f>IF(40&gt;'🌱 Configuração'!$F$50,"",IF(AND('🌱 Configuração'!$B$51+39&lt;'🌱 Configuração'!$C$51,INT((40-1)/7)+1=1,MOD(40-1,7)=0),"🌱 Enraizador (0.5 mL/L)",IF(AND('🌱 Configuração'!$B$51+39&lt;'🌱 Configuração'!$C$51,INT((40-1)/7)+1=2,MOD(40-1,7)=0),"🌱 Enraizador + Vitamina B1",IF(AND('🌱 Configuração'!$B$51+39&gt;='🌱 Configuração'!$C$51,'🌱 Configuração'!$B$51+39&lt;'🌱 Configuração'!$D$51,INT(('🌱 Configuração'!$B$51+39-'🌱 Configuração'!$C$51)/7)+1=1,MOD('🌱 Configuração'!$B$51+39-'🌱 Configuração'!$C$51,7)=0),"🌿 Grow A+B início — EC 0.8",IF(AND('🌱 Configuração'!$B$51+39&gt;='🌱 Configuração'!$C$51,'🌱 Configuração'!$B$51+39&lt;'🌱 Configuração'!$D$51,INT(('🌱 Configuração'!$B$51+39-'🌱 Configuração'!$C$51)/7)+1=2,MOD('🌱 Configuração'!$B$51+39-'🌱 Configuração'!$C$51,7)=0),"🌿 Grow A+B + CalMag — EC 1.0",IF(AND('🌱 Configuração'!$B$51+39&gt;='🌱 Configuração'!$C$51,'🌱 Configuração'!$B$51+39&lt;'🌱 Configuração'!$D$51,INT(('🌱 Configuração'!$B$51+39-'🌱 Configuração'!$C$51)/7)+1=3,MOD('🌱 Configuração'!$B$51+39-'🌱 Configuração'!$C$51,7)=0),"🌿 Grow A+B + CalMag — EC 1.2",IF(AND('🌱 Configuração'!$B$51+39&gt;='🌱 Configuração'!$C$51,'🌱 Configuração'!$B$51+39&lt;'🌱 Configuração'!$D$51,INT(('🌱 Configuração'!$B$51+39-'🌱 Configuração'!$C$51)/7)+1=4,MOD('🌱 Configuração'!$B$51+39-'🌱 Configuração'!$C$51,7)=0),"🌿 Grow A+B + Enzimas — EC 1.4",IF(AND('🌱 Configuração'!$B$51+39&gt;='🌱 Configuração'!$C$51,'🌱 Configuração'!$B$51+39&lt;'🌱 Configuração'!$D$51,INT(('🌱 Configuração'!$B$51+39-'🌱 Configuração'!$C$51)/7)+1=5,MOD('🌱 Configuração'!$B$51+39-'🌱 Configuração'!$C$51,7)=0),"🌿 Grow A+B + Biorrizas — EC 1.5",IF(AND('🌱 Configuração'!$B$51+39&gt;='🌱 Configuração'!$C$51,'🌱 Configuração'!$B$51+39&lt;'🌱 Configuração'!$D$51,INT(('🌱 Configuração'!$B$51+39-'🌱 Configuração'!$C$51)/7)+1=6,MOD('🌱 Configuração'!$B$51+39-'🌱 Configuração'!$C$51,7)=0),"🌿 Transição Bloom — EC 1.4",IF(AND('🌱 Configuração'!$B$51+39&gt;='🌱 Configuração'!$C$51,'🌱 Configuração'!$B$51+39&lt;'🌱 Configuração'!$D$51,INT(('🌱 Configuração'!$B$51+39-'🌱 Configuração'!$C$51)/7)+1=7,MOD('🌱 Configuração'!$B$51+39-'🌱 Configuração'!$C$51,7)=0),"🌿 Bloom A+B transição — EC 1.4",IF(AND('🌱 Configuração'!$B$51+39&gt;='🌱 Configuração'!$C$51,'🌱 Configuração'!$B$51+39&lt;'🌱 Configuração'!$D$51,INT(('🌱 Configuração'!$B$51+39-'🌱 Configuração'!$C$51)/7)+1=8,MOD('🌱 Configuração'!$B$51+39-'🌱 Configuração'!$C$51,7)=0),"🌿 Bloom A+B — EC 1.4",IF(AND('🌱 Configuração'!$B$51+39&gt;='🌱 Configuração'!$D$51,'🌱 Configuração'!$B$51+39&lt;'🌱 Configuração'!$E$51,INT(('🌱 Configuração'!$B$51+39-'🌱 Configuração'!$D$51)/7)+1=1,MOD('🌱 Configuração'!$B$51+39-'🌱 Configuração'!$D$51,7)=0),"🌸 Bloom A+B — EC 1.6",IF(AND('🌱 Configuração'!$B$51+39&gt;='🌱 Configuração'!$D$51,'🌱 Configuração'!$B$51+39&lt;'🌱 Configuração'!$E$51,INT(('🌱 Configuração'!$B$51+39-'🌱 Configuração'!$D$51)/7)+1=2,MOD('🌱 Configuração'!$B$51+39-'🌱 Configuração'!$D$51,7)=0),"🌸 Bloom + PK 13/14 início",IF(AND('🌱 Configuração'!$B$51+39&gt;='🌱 Configuração'!$D$51,'🌱 Configuração'!$B$51+39&lt;'🌱 Configuração'!$E$51,INT(('🌱 Configuração'!$B$51+39-'🌱 Configuração'!$D$51)/7)+1=3,MOD('🌱 Configuração'!$B$51+39-'🌱 Configuração'!$D$51,7)=0),"🌸 Bloom + PK + CalMag — EC 1.8",IF(AND('🌱 Configuração'!$B$51+39&gt;='🌱 Configuração'!$D$51,'🌱 Configuração'!$B$51+39&lt;'🌱 Configuração'!$E$51,INT(('🌱 Configuração'!$B$51+39-'🌱 Configuração'!$D$51)/7)+1=4,MOD('🌱 Configuração'!$B$51+39-'🌱 Configuração'!$D$51,7)=0),"🌸 Bloom + PK + Boost Floral — EC 2.0",IF(AND('🌱 Configuração'!$B$51+39&gt;='🌱 Configuração'!$D$51,'🌱 Configuração'!$B$51+39&lt;'🌱 Configuração'!$E$51,INT(('🌱 Configuração'!$B$51+39-'🌱 Configuração'!$D$51)/7)+1=5,MOD('🌱 Configuração'!$B$51+39-'🌱 Configuração'!$D$51,7)=0),"🌸 Bloom + Boost + Amino",IF(AND('🌱 Configuração'!$B$51+39&gt;='🌱 Configuração'!$D$51,'🌱 Configuração'!$B$51+39&lt;'🌱 Configuração'!$E$51,INT(('🌱 Configuração'!$B$51+39-'🌱 Configuração'!$D$51)/7)+1=6,MOD('🌱 Configuração'!$B$51+39-'🌱 Configuração'!$D$51,7)=0),"🌸 Bloom + Enzimas + Amino",IF(AND('🌱 Configuração'!$B$51+39&gt;='🌱 Configuração'!$D$51,'🌱 Configuração'!$B$51+39&lt;'🌱 Configuração'!$E$51,INT(('🌱 Configuração'!$B$51+39-'🌱 Configuração'!$D$51)/7)+1=7,MOD('🌱 Configuração'!$B$51+39-'🌱 Configuração'!$D$51,7)=0),"🌸 Reduzir N — Bloom puro — EC 1.6",IF(AND('🌱 Configuração'!$B$51+39&gt;='🌱 Configuração'!$D$51,'🌱 Configuração'!$B$51+39&lt;'🌱 Configuração'!$E$51,INT(('🌱 Configuração'!$B$51+39-'🌱 Configuração'!$D$51)/7)+1=8,MOD('🌱 Configuração'!$B$51+39-'🌱 Configuração'!$D$51,7)=0),"🌸 Bloom puro — EC 1.4  (pré-flush)",IF(AND('🌱 Configuração'!$B$51+39&gt;='🌱 Configuração'!$D$51,'🌱 Configuração'!$B$51+39&lt;'🌱 Configuração'!$E$51,INT(('🌱 Configuração'!$B$51+39-'🌱 Configuração'!$D$51)/7)+1=9,MOD('🌱 Configuração'!$B$51+39-'🌱 Configuração'!$D$51,7)=0),"🌸 Último Bloom — EC 0.8",IF(AND('🌱 Configuração'!$B$51+39&gt;='🌱 Configuração'!$E$51,INT(('🌱 Configuração'!$B$51+39-'🌱 Configuração'!$E$51)/7)+1=1,MOD('🌱 Configuração'!$B$51+39-'🌱 Configuração'!$E$51,7)=0),"🚿 Água pura + Enzimas (EC &lt; 0.3)",IF(AND('🌱 Configuração'!$B$51+39&gt;='🌱 Configuração'!$E$51,INT(('🌱 Configuração'!$B$51+39-'🌱 Configuração'!$E$51)/7)+1=2,MOD('🌱 Configuração'!$B$51+39-'🌱 Configuração'!$E$51,7)=0),"🚿 Água pura (EC &lt; 0.2)",""))))))))))))))))))))))</f>
        <v/>
      </c>
      <c r="G45" s="30" t="str">
        <f>IF(40&gt;'🌱 Configuração'!$F$50,"",IF(AND('🌱 Configuração'!$B$51+39&lt;'🌱 Configuração'!$C$51,INT((40-1)/7)+1=1,MOD(40-1,7)=0),"🐛 Nim 2mL/L foliar — preventivo",IF(AND('🌱 Configuração'!$B$51+39&lt;'🌱 Configuração'!$C$51,INT((40-1)/7)+1=2,MOD(40-1,7)=0),"🐛 Beauveria bassiana foliar + solo",IF(AND('🌱 Configuração'!$B$51+39&gt;='🌱 Configuração'!$C$51,'🌱 Configuração'!$B$51+39&lt;'🌱 Configuração'!$D$51,INT(('🌱 Configuração'!$B$51+39-'🌱 Configuração'!$C$51)/7)+1=1,MOD('🌱 Configuração'!$B$51+39-'🌱 Configuração'!$C$51,7)=0),"🐛 Nim 2mL/L foliar",IF(AND('🌱 Configuração'!$B$51+39&gt;='🌱 Configuração'!$C$51,'🌱 Configuração'!$B$51+39&lt;'🌱 Configuração'!$D$51,INT(('🌱 Configuração'!$B$51+39-'🌱 Configuração'!$C$51)/7)+1=2,MOD('🌱 Configuração'!$B$51+39-'🌱 Configuração'!$C$51,7)=0),"🐛 Beauveria bassiana foliar",IF(AND('🌱 Configuração'!$B$51+39&gt;='🌱 Configuração'!$C$51,'🌱 Configuração'!$B$51+39&lt;'🌱 Configuração'!$D$51,INT(('🌱 Configuração'!$B$51+39-'🌱 Configuração'!$C$51)/7)+1=3,MOD('🌱 Configuração'!$B$51+39-'🌱 Configuração'!$C$51,7)=0),"🐛 Nim + Calda Sulfocálcica 1%",IF(AND('🌱 Configuração'!$B$51+39&gt;='🌱 Configuração'!$C$51,'🌱 Configuração'!$B$51+39&lt;'🌱 Configuração'!$D$51,INT(('🌱 Configuração'!$B$51+39-'🌱 Configuração'!$C$51)/7)+1=4,MOD('🌱 Configuração'!$B$51+39-'🌱 Configuração'!$C$51,7)=0),"🐛 Trichoderma solo + Beauveria",IF(AND('🌱 Configuração'!$B$51+39&gt;='🌱 Configuração'!$C$51,'🌱 Configuração'!$B$51+39&lt;'🌱 Configuração'!$D$51,INT(('🌱 Configuração'!$B$51+39-'🌱 Configuração'!$C$51)/7)+1=5,MOD('🌱 Configuração'!$B$51+39-'🌱 Configuração'!$C$51,7)=0),"🐛 Calda Bordalesa 0.5% foliar",IF(AND('🌱 Configuração'!$B$51+39&gt;='🌱 Configuração'!$C$51,'🌱 Configuração'!$B$51+39&lt;'🌱 Configuração'!$D$51,INT(('🌱 Configuração'!$B$51+39-'🌱 Configuração'!$C$51)/7)+1=6,MOD('🌱 Configuração'!$B$51+39-'🌱 Configuração'!$C$51,7)=0),"🐛 Nim 2mL/L — ÚLTIMA foliar",IF(AND('🌱 Configuração'!$B$51+39&gt;='🌱 Configuração'!$D$51,'🌱 Configuração'!$B$51+39&lt;'🌱 Configuração'!$E$51,INT(('🌱 Configuração'!$B$51+39-'🌱 Configuração'!$D$51)/7)+1=1,MOD('🌱 Configuração'!$B$51+39-'🌱 Configuração'!$D$51,7)=0),"🐛 Beauveria bassiana solo (sem foliar)",IF(AND('🌱 Configuração'!$B$51+39&gt;='🌱 Configuração'!$D$51,'🌱 Configuração'!$B$51+39&lt;'🌱 Configuração'!$E$51,INT(('🌱 Configuração'!$B$51+39-'🌱 Configuração'!$D$51)/7)+1=2,MOD('🌱 Configuração'!$B$51+39-'🌱 Configuração'!$D$51,7)=0),"🐛 Trichoderma solo",IF(AND('🌱 Configuração'!$B$51+39&gt;='🌱 Configuração'!$D$51,'🌱 Configuração'!$B$51+39&lt;'🌱 Configuração'!$E$51,INT(('🌱 Configuração'!$B$51+39-'🌱 Configuração'!$D$51)/7)+1=3,MOD('🌱 Configuração'!$B$51+39-'🌱 Configuração'!$D$51,7)=0),"🐛 Beauveria bassiana solo",IF(AND('🌱 Configuração'!$B$51+39&gt;='🌱 Configuração'!$D$51,'🌱 Configuração'!$B$51+39&lt;'🌱 Configuração'!$E$51,INT(('🌱 Configuração'!$B$51+39-'🌱 Configuração'!$D$51)/7)+1=4,MOD('🌱 Configuração'!$B$51+39-'🌱 Configuração'!$D$51,7)=0),"🐛 Trichoderma solo",IF(AND('🌱 Configuração'!$B$51+39&gt;='🌱 Configuração'!$E$51,INT(('🌱 Configuração'!$B$51+39-'🌱 Configuração'!$E$51)/7)+1=1,MOD('🌱 Configuração'!$B$51+39-'🌱 Configuração'!$E$51,7)=0),"🐛 Inspeção final — sem aplicação",""))))))))))))))</f>
        <v/>
      </c>
      <c r="H45" s="22" t="str">
        <f>IF(40&gt;'🌱 Configuração'!$F$50,"",IF('🌱 Configuração'!$B$51+39='🌱 Configuração'!$C$51,"🌿 INÍCIO VEGA — ajustar espaço, luz 18h/dia — EC 0.8",IF('🌱 Configuração'!$B$51+39='🌱 Configuração'!$D$51,"🌸 INÍCIO FLORAÇÃO — mudar para 12h/12h — 🔴 atenção ao fotoperíodo",IF('🌱 Configuração'!$B$51+39='🌱 Configuração'!$E$51,"🚿 INÍCIO FLUSH — PARAR nutrição, somente água pura",IF('🌱 Configuração'!$B$51+39='🌱 Configuração'!$F$51-1,"🔬 Véspera da colheita — analisar tricomas âmbar",IF('🌱 Configuração'!$B$51+39='🌱 Configuração'!$F$51,"✂️ COLHEITA! Parabéns! 🎉",""))))))</f>
        <v/>
      </c>
    </row>
    <row r="46" spans="2:8" ht="18.75" customHeight="1" x14ac:dyDescent="0.3">
      <c r="B46" s="25">
        <f>IF(41&lt;='🌱 Configuração'!$F$50,41,"")</f>
        <v>41</v>
      </c>
      <c r="C46" s="26">
        <f>IF(41&lt;='🌱 Configuração'!$F$50,'🌱 Configuração'!$B$51+40,"")</f>
        <v>46063</v>
      </c>
      <c r="D46" s="27" t="str">
        <f>IF(41&gt;'🌱 Configuração'!$F$50,"",IF('🌱 Configuração'!$B$51+40&lt;'🌱 Configuração'!$C$51,"🌱 Clone",IF('🌱 Configuração'!$B$51+40&lt;'🌱 Configuração'!$D$51,"🌿 Vegetativo",IF('🌱 Configuração'!$B$51+40&lt;'🌱 Configuração'!$E$51,"🌸 Floração","🚿 Flush"))))</f>
        <v>🌿 Vegetativo</v>
      </c>
      <c r="E46" s="28" t="str">
        <f>IF(41&gt;'🌱 Configuração'!$F$50,"",IF('🌱 Configuração'!$B$51+40&lt;'🌱 Configuração'!$C$51,"Clone S"&amp;INT((41-1)/7)+1,IF('🌱 Configuração'!$B$51+40&lt;'🌱 Configuração'!$D$51,"Vega S"&amp;INT(('🌱 Configuração'!$B$51+40-'🌱 Configuração'!$C$51)/7)+1,IF('🌱 Configuração'!$B$51+40&lt;'🌱 Configuração'!$E$51,"Flora S"&amp;INT(('🌱 Configuração'!$B$51+40-'🌱 Configuração'!$D$51)/7)+1,"Flush S"&amp;INT(('🌱 Configuração'!$B$51+40-'🌱 Configuração'!$E$51)/7)+1))))</f>
        <v>Vega S4</v>
      </c>
      <c r="F46" s="29" t="str">
        <f>IF(41&gt;'🌱 Configuração'!$F$50,"",IF(AND('🌱 Configuração'!$B$51+40&lt;'🌱 Configuração'!$C$51,INT((41-1)/7)+1=1,MOD(41-1,7)=0),"🌱 Enraizador (0.5 mL/L)",IF(AND('🌱 Configuração'!$B$51+40&lt;'🌱 Configuração'!$C$51,INT((41-1)/7)+1=2,MOD(41-1,7)=0),"🌱 Enraizador + Vitamina B1",IF(AND('🌱 Configuração'!$B$51+40&gt;='🌱 Configuração'!$C$51,'🌱 Configuração'!$B$51+40&lt;'🌱 Configuração'!$D$51,INT(('🌱 Configuração'!$B$51+40-'🌱 Configuração'!$C$51)/7)+1=1,MOD('🌱 Configuração'!$B$51+40-'🌱 Configuração'!$C$51,7)=0),"🌿 Grow A+B início — EC 0.8",IF(AND('🌱 Configuração'!$B$51+40&gt;='🌱 Configuração'!$C$51,'🌱 Configuração'!$B$51+40&lt;'🌱 Configuração'!$D$51,INT(('🌱 Configuração'!$B$51+40-'🌱 Configuração'!$C$51)/7)+1=2,MOD('🌱 Configuração'!$B$51+40-'🌱 Configuração'!$C$51,7)=0),"🌿 Grow A+B + CalMag — EC 1.0",IF(AND('🌱 Configuração'!$B$51+40&gt;='🌱 Configuração'!$C$51,'🌱 Configuração'!$B$51+40&lt;'🌱 Configuração'!$D$51,INT(('🌱 Configuração'!$B$51+40-'🌱 Configuração'!$C$51)/7)+1=3,MOD('🌱 Configuração'!$B$51+40-'🌱 Configuração'!$C$51,7)=0),"🌿 Grow A+B + CalMag — EC 1.2",IF(AND('🌱 Configuração'!$B$51+40&gt;='🌱 Configuração'!$C$51,'🌱 Configuração'!$B$51+40&lt;'🌱 Configuração'!$D$51,INT(('🌱 Configuração'!$B$51+40-'🌱 Configuração'!$C$51)/7)+1=4,MOD('🌱 Configuração'!$B$51+40-'🌱 Configuração'!$C$51,7)=0),"🌿 Grow A+B + Enzimas — EC 1.4",IF(AND('🌱 Configuração'!$B$51+40&gt;='🌱 Configuração'!$C$51,'🌱 Configuração'!$B$51+40&lt;'🌱 Configuração'!$D$51,INT(('🌱 Configuração'!$B$51+40-'🌱 Configuração'!$C$51)/7)+1=5,MOD('🌱 Configuração'!$B$51+40-'🌱 Configuração'!$C$51,7)=0),"🌿 Grow A+B + Biorrizas — EC 1.5",IF(AND('🌱 Configuração'!$B$51+40&gt;='🌱 Configuração'!$C$51,'🌱 Configuração'!$B$51+40&lt;'🌱 Configuração'!$D$51,INT(('🌱 Configuração'!$B$51+40-'🌱 Configuração'!$C$51)/7)+1=6,MOD('🌱 Configuração'!$B$51+40-'🌱 Configuração'!$C$51,7)=0),"🌿 Transição Bloom — EC 1.4",IF(AND('🌱 Configuração'!$B$51+40&gt;='🌱 Configuração'!$C$51,'🌱 Configuração'!$B$51+40&lt;'🌱 Configuração'!$D$51,INT(('🌱 Configuração'!$B$51+40-'🌱 Configuração'!$C$51)/7)+1=7,MOD('🌱 Configuração'!$B$51+40-'🌱 Configuração'!$C$51,7)=0),"🌿 Bloom A+B transição — EC 1.4",IF(AND('🌱 Configuração'!$B$51+40&gt;='🌱 Configuração'!$C$51,'🌱 Configuração'!$B$51+40&lt;'🌱 Configuração'!$D$51,INT(('🌱 Configuração'!$B$51+40-'🌱 Configuração'!$C$51)/7)+1=8,MOD('🌱 Configuração'!$B$51+40-'🌱 Configuração'!$C$51,7)=0),"🌿 Bloom A+B — EC 1.4",IF(AND('🌱 Configuração'!$B$51+40&gt;='🌱 Configuração'!$D$51,'🌱 Configuração'!$B$51+40&lt;'🌱 Configuração'!$E$51,INT(('🌱 Configuração'!$B$51+40-'🌱 Configuração'!$D$51)/7)+1=1,MOD('🌱 Configuração'!$B$51+40-'🌱 Configuração'!$D$51,7)=0),"🌸 Bloom A+B — EC 1.6",IF(AND('🌱 Configuração'!$B$51+40&gt;='🌱 Configuração'!$D$51,'🌱 Configuração'!$B$51+40&lt;'🌱 Configuração'!$E$51,INT(('🌱 Configuração'!$B$51+40-'🌱 Configuração'!$D$51)/7)+1=2,MOD('🌱 Configuração'!$B$51+40-'🌱 Configuração'!$D$51,7)=0),"🌸 Bloom + PK 13/14 início",IF(AND('🌱 Configuração'!$B$51+40&gt;='🌱 Configuração'!$D$51,'🌱 Configuração'!$B$51+40&lt;'🌱 Configuração'!$E$51,INT(('🌱 Configuração'!$B$51+40-'🌱 Configuração'!$D$51)/7)+1=3,MOD('🌱 Configuração'!$B$51+40-'🌱 Configuração'!$D$51,7)=0),"🌸 Bloom + PK + CalMag — EC 1.8",IF(AND('🌱 Configuração'!$B$51+40&gt;='🌱 Configuração'!$D$51,'🌱 Configuração'!$B$51+40&lt;'🌱 Configuração'!$E$51,INT(('🌱 Configuração'!$B$51+40-'🌱 Configuração'!$D$51)/7)+1=4,MOD('🌱 Configuração'!$B$51+40-'🌱 Configuração'!$D$51,7)=0),"🌸 Bloom + PK + Boost Floral — EC 2.0",IF(AND('🌱 Configuração'!$B$51+40&gt;='🌱 Configuração'!$D$51,'🌱 Configuração'!$B$51+40&lt;'🌱 Configuração'!$E$51,INT(('🌱 Configuração'!$B$51+40-'🌱 Configuração'!$D$51)/7)+1=5,MOD('🌱 Configuração'!$B$51+40-'🌱 Configuração'!$D$51,7)=0),"🌸 Bloom + Boost + Amino",IF(AND('🌱 Configuração'!$B$51+40&gt;='🌱 Configuração'!$D$51,'🌱 Configuração'!$B$51+40&lt;'🌱 Configuração'!$E$51,INT(('🌱 Configuração'!$B$51+40-'🌱 Configuração'!$D$51)/7)+1=6,MOD('🌱 Configuração'!$B$51+40-'🌱 Configuração'!$D$51,7)=0),"🌸 Bloom + Enzimas + Amino",IF(AND('🌱 Configuração'!$B$51+40&gt;='🌱 Configuração'!$D$51,'🌱 Configuração'!$B$51+40&lt;'🌱 Configuração'!$E$51,INT(('🌱 Configuração'!$B$51+40-'🌱 Configuração'!$D$51)/7)+1=7,MOD('🌱 Configuração'!$B$51+40-'🌱 Configuração'!$D$51,7)=0),"🌸 Reduzir N — Bloom puro — EC 1.6",IF(AND('🌱 Configuração'!$B$51+40&gt;='🌱 Configuração'!$D$51,'🌱 Configuração'!$B$51+40&lt;'🌱 Configuração'!$E$51,INT(('🌱 Configuração'!$B$51+40-'🌱 Configuração'!$D$51)/7)+1=8,MOD('🌱 Configuração'!$B$51+40-'🌱 Configuração'!$D$51,7)=0),"🌸 Bloom puro — EC 1.4  (pré-flush)",IF(AND('🌱 Configuração'!$B$51+40&gt;='🌱 Configuração'!$D$51,'🌱 Configuração'!$B$51+40&lt;'🌱 Configuração'!$E$51,INT(('🌱 Configuração'!$B$51+40-'🌱 Configuração'!$D$51)/7)+1=9,MOD('🌱 Configuração'!$B$51+40-'🌱 Configuração'!$D$51,7)=0),"🌸 Último Bloom — EC 0.8",IF(AND('🌱 Configuração'!$B$51+40&gt;='🌱 Configuração'!$E$51,INT(('🌱 Configuração'!$B$51+40-'🌱 Configuração'!$E$51)/7)+1=1,MOD('🌱 Configuração'!$B$51+40-'🌱 Configuração'!$E$51,7)=0),"🚿 Água pura + Enzimas (EC &lt; 0.3)",IF(AND('🌱 Configuração'!$B$51+40&gt;='🌱 Configuração'!$E$51,INT(('🌱 Configuração'!$B$51+40-'🌱 Configuração'!$E$51)/7)+1=2,MOD('🌱 Configuração'!$B$51+40-'🌱 Configuração'!$E$51,7)=0),"🚿 Água pura (EC &lt; 0.2)",""))))))))))))))))))))))</f>
        <v/>
      </c>
      <c r="G46" s="30" t="str">
        <f>IF(41&gt;'🌱 Configuração'!$F$50,"",IF(AND('🌱 Configuração'!$B$51+40&lt;'🌱 Configuração'!$C$51,INT((41-1)/7)+1=1,MOD(41-1,7)=0),"🐛 Nim 2mL/L foliar — preventivo",IF(AND('🌱 Configuração'!$B$51+40&lt;'🌱 Configuração'!$C$51,INT((41-1)/7)+1=2,MOD(41-1,7)=0),"🐛 Beauveria bassiana foliar + solo",IF(AND('🌱 Configuração'!$B$51+40&gt;='🌱 Configuração'!$C$51,'🌱 Configuração'!$B$51+40&lt;'🌱 Configuração'!$D$51,INT(('🌱 Configuração'!$B$51+40-'🌱 Configuração'!$C$51)/7)+1=1,MOD('🌱 Configuração'!$B$51+40-'🌱 Configuração'!$C$51,7)=0),"🐛 Nim 2mL/L foliar",IF(AND('🌱 Configuração'!$B$51+40&gt;='🌱 Configuração'!$C$51,'🌱 Configuração'!$B$51+40&lt;'🌱 Configuração'!$D$51,INT(('🌱 Configuração'!$B$51+40-'🌱 Configuração'!$C$51)/7)+1=2,MOD('🌱 Configuração'!$B$51+40-'🌱 Configuração'!$C$51,7)=0),"🐛 Beauveria bassiana foliar",IF(AND('🌱 Configuração'!$B$51+40&gt;='🌱 Configuração'!$C$51,'🌱 Configuração'!$B$51+40&lt;'🌱 Configuração'!$D$51,INT(('🌱 Configuração'!$B$51+40-'🌱 Configuração'!$C$51)/7)+1=3,MOD('🌱 Configuração'!$B$51+40-'🌱 Configuração'!$C$51,7)=0),"🐛 Nim + Calda Sulfocálcica 1%",IF(AND('🌱 Configuração'!$B$51+40&gt;='🌱 Configuração'!$C$51,'🌱 Configuração'!$B$51+40&lt;'🌱 Configuração'!$D$51,INT(('🌱 Configuração'!$B$51+40-'🌱 Configuração'!$C$51)/7)+1=4,MOD('🌱 Configuração'!$B$51+40-'🌱 Configuração'!$C$51,7)=0),"🐛 Trichoderma solo + Beauveria",IF(AND('🌱 Configuração'!$B$51+40&gt;='🌱 Configuração'!$C$51,'🌱 Configuração'!$B$51+40&lt;'🌱 Configuração'!$D$51,INT(('🌱 Configuração'!$B$51+40-'🌱 Configuração'!$C$51)/7)+1=5,MOD('🌱 Configuração'!$B$51+40-'🌱 Configuração'!$C$51,7)=0),"🐛 Calda Bordalesa 0.5% foliar",IF(AND('🌱 Configuração'!$B$51+40&gt;='🌱 Configuração'!$C$51,'🌱 Configuração'!$B$51+40&lt;'🌱 Configuração'!$D$51,INT(('🌱 Configuração'!$B$51+40-'🌱 Configuração'!$C$51)/7)+1=6,MOD('🌱 Configuração'!$B$51+40-'🌱 Configuração'!$C$51,7)=0),"🐛 Nim 2mL/L — ÚLTIMA foliar",IF(AND('🌱 Configuração'!$B$51+40&gt;='🌱 Configuração'!$D$51,'🌱 Configuração'!$B$51+40&lt;'🌱 Configuração'!$E$51,INT(('🌱 Configuração'!$B$51+40-'🌱 Configuração'!$D$51)/7)+1=1,MOD('🌱 Configuração'!$B$51+40-'🌱 Configuração'!$D$51,7)=0),"🐛 Beauveria bassiana solo (sem foliar)",IF(AND('🌱 Configuração'!$B$51+40&gt;='🌱 Configuração'!$D$51,'🌱 Configuração'!$B$51+40&lt;'🌱 Configuração'!$E$51,INT(('🌱 Configuração'!$B$51+40-'🌱 Configuração'!$D$51)/7)+1=2,MOD('🌱 Configuração'!$B$51+40-'🌱 Configuração'!$D$51,7)=0),"🐛 Trichoderma solo",IF(AND('🌱 Configuração'!$B$51+40&gt;='🌱 Configuração'!$D$51,'🌱 Configuração'!$B$51+40&lt;'🌱 Configuração'!$E$51,INT(('🌱 Configuração'!$B$51+40-'🌱 Configuração'!$D$51)/7)+1=3,MOD('🌱 Configuração'!$B$51+40-'🌱 Configuração'!$D$51,7)=0),"🐛 Beauveria bassiana solo",IF(AND('🌱 Configuração'!$B$51+40&gt;='🌱 Configuração'!$D$51,'🌱 Configuração'!$B$51+40&lt;'🌱 Configuração'!$E$51,INT(('🌱 Configuração'!$B$51+40-'🌱 Configuração'!$D$51)/7)+1=4,MOD('🌱 Configuração'!$B$51+40-'🌱 Configuração'!$D$51,7)=0),"🐛 Trichoderma solo",IF(AND('🌱 Configuração'!$B$51+40&gt;='🌱 Configuração'!$E$51,INT(('🌱 Configuração'!$B$51+40-'🌱 Configuração'!$E$51)/7)+1=1,MOD('🌱 Configuração'!$B$51+40-'🌱 Configuração'!$E$51,7)=0),"🐛 Inspeção final — sem aplicação",""))))))))))))))</f>
        <v/>
      </c>
      <c r="H46" s="22" t="str">
        <f>IF(41&gt;'🌱 Configuração'!$F$50,"",IF('🌱 Configuração'!$B$51+40='🌱 Configuração'!$C$51,"🌿 INÍCIO VEGA — ajustar espaço, luz 18h/dia — EC 0.8",IF('🌱 Configuração'!$B$51+40='🌱 Configuração'!$D$51,"🌸 INÍCIO FLORAÇÃO — mudar para 12h/12h — 🔴 atenção ao fotoperíodo",IF('🌱 Configuração'!$B$51+40='🌱 Configuração'!$E$51,"🚿 INÍCIO FLUSH — PARAR nutrição, somente água pura",IF('🌱 Configuração'!$B$51+40='🌱 Configuração'!$F$51-1,"🔬 Véspera da colheita — analisar tricomas âmbar",IF('🌱 Configuração'!$B$51+40='🌱 Configuração'!$F$51,"✂️ COLHEITA! Parabéns! 🎉",""))))))</f>
        <v/>
      </c>
    </row>
    <row r="47" spans="2:8" ht="18.75" customHeight="1" x14ac:dyDescent="0.3">
      <c r="B47" s="25">
        <f>IF(42&lt;='🌱 Configuração'!$F$50,42,"")</f>
        <v>42</v>
      </c>
      <c r="C47" s="26">
        <f>IF(42&lt;='🌱 Configuração'!$F$50,'🌱 Configuração'!$B$51+41,"")</f>
        <v>46064</v>
      </c>
      <c r="D47" s="27" t="str">
        <f>IF(42&gt;'🌱 Configuração'!$F$50,"",IF('🌱 Configuração'!$B$51+41&lt;'🌱 Configuração'!$C$51,"🌱 Clone",IF('🌱 Configuração'!$B$51+41&lt;'🌱 Configuração'!$D$51,"🌿 Vegetativo",IF('🌱 Configuração'!$B$51+41&lt;'🌱 Configuração'!$E$51,"🌸 Floração","🚿 Flush"))))</f>
        <v>🌿 Vegetativo</v>
      </c>
      <c r="E47" s="28" t="str">
        <f>IF(42&gt;'🌱 Configuração'!$F$50,"",IF('🌱 Configuração'!$B$51+41&lt;'🌱 Configuração'!$C$51,"Clone S"&amp;INT((42-1)/7)+1,IF('🌱 Configuração'!$B$51+41&lt;'🌱 Configuração'!$D$51,"Vega S"&amp;INT(('🌱 Configuração'!$B$51+41-'🌱 Configuração'!$C$51)/7)+1,IF('🌱 Configuração'!$B$51+41&lt;'🌱 Configuração'!$E$51,"Flora S"&amp;INT(('🌱 Configuração'!$B$51+41-'🌱 Configuração'!$D$51)/7)+1,"Flush S"&amp;INT(('🌱 Configuração'!$B$51+41-'🌱 Configuração'!$E$51)/7)+1))))</f>
        <v>Vega S4</v>
      </c>
      <c r="F47" s="29" t="str">
        <f>IF(42&gt;'🌱 Configuração'!$F$50,"",IF(AND('🌱 Configuração'!$B$51+41&lt;'🌱 Configuração'!$C$51,INT((42-1)/7)+1=1,MOD(42-1,7)=0),"🌱 Enraizador (0.5 mL/L)",IF(AND('🌱 Configuração'!$B$51+41&lt;'🌱 Configuração'!$C$51,INT((42-1)/7)+1=2,MOD(42-1,7)=0),"🌱 Enraizador + Vitamina B1",IF(AND('🌱 Configuração'!$B$51+41&gt;='🌱 Configuração'!$C$51,'🌱 Configuração'!$B$51+41&lt;'🌱 Configuração'!$D$51,INT(('🌱 Configuração'!$B$51+41-'🌱 Configuração'!$C$51)/7)+1=1,MOD('🌱 Configuração'!$B$51+41-'🌱 Configuração'!$C$51,7)=0),"🌿 Grow A+B início — EC 0.8",IF(AND('🌱 Configuração'!$B$51+41&gt;='🌱 Configuração'!$C$51,'🌱 Configuração'!$B$51+41&lt;'🌱 Configuração'!$D$51,INT(('🌱 Configuração'!$B$51+41-'🌱 Configuração'!$C$51)/7)+1=2,MOD('🌱 Configuração'!$B$51+41-'🌱 Configuração'!$C$51,7)=0),"🌿 Grow A+B + CalMag — EC 1.0",IF(AND('🌱 Configuração'!$B$51+41&gt;='🌱 Configuração'!$C$51,'🌱 Configuração'!$B$51+41&lt;'🌱 Configuração'!$D$51,INT(('🌱 Configuração'!$B$51+41-'🌱 Configuração'!$C$51)/7)+1=3,MOD('🌱 Configuração'!$B$51+41-'🌱 Configuração'!$C$51,7)=0),"🌿 Grow A+B + CalMag — EC 1.2",IF(AND('🌱 Configuração'!$B$51+41&gt;='🌱 Configuração'!$C$51,'🌱 Configuração'!$B$51+41&lt;'🌱 Configuração'!$D$51,INT(('🌱 Configuração'!$B$51+41-'🌱 Configuração'!$C$51)/7)+1=4,MOD('🌱 Configuração'!$B$51+41-'🌱 Configuração'!$C$51,7)=0),"🌿 Grow A+B + Enzimas — EC 1.4",IF(AND('🌱 Configuração'!$B$51+41&gt;='🌱 Configuração'!$C$51,'🌱 Configuração'!$B$51+41&lt;'🌱 Configuração'!$D$51,INT(('🌱 Configuração'!$B$51+41-'🌱 Configuração'!$C$51)/7)+1=5,MOD('🌱 Configuração'!$B$51+41-'🌱 Configuração'!$C$51,7)=0),"🌿 Grow A+B + Biorrizas — EC 1.5",IF(AND('🌱 Configuração'!$B$51+41&gt;='🌱 Configuração'!$C$51,'🌱 Configuração'!$B$51+41&lt;'🌱 Configuração'!$D$51,INT(('🌱 Configuração'!$B$51+41-'🌱 Configuração'!$C$51)/7)+1=6,MOD('🌱 Configuração'!$B$51+41-'🌱 Configuração'!$C$51,7)=0),"🌿 Transição Bloom — EC 1.4",IF(AND('🌱 Configuração'!$B$51+41&gt;='🌱 Configuração'!$C$51,'🌱 Configuração'!$B$51+41&lt;'🌱 Configuração'!$D$51,INT(('🌱 Configuração'!$B$51+41-'🌱 Configuração'!$C$51)/7)+1=7,MOD('🌱 Configuração'!$B$51+41-'🌱 Configuração'!$C$51,7)=0),"🌿 Bloom A+B transição — EC 1.4",IF(AND('🌱 Configuração'!$B$51+41&gt;='🌱 Configuração'!$C$51,'🌱 Configuração'!$B$51+41&lt;'🌱 Configuração'!$D$51,INT(('🌱 Configuração'!$B$51+41-'🌱 Configuração'!$C$51)/7)+1=8,MOD('🌱 Configuração'!$B$51+41-'🌱 Configuração'!$C$51,7)=0),"🌿 Bloom A+B — EC 1.4",IF(AND('🌱 Configuração'!$B$51+41&gt;='🌱 Configuração'!$D$51,'🌱 Configuração'!$B$51+41&lt;'🌱 Configuração'!$E$51,INT(('🌱 Configuração'!$B$51+41-'🌱 Configuração'!$D$51)/7)+1=1,MOD('🌱 Configuração'!$B$51+41-'🌱 Configuração'!$D$51,7)=0),"🌸 Bloom A+B — EC 1.6",IF(AND('🌱 Configuração'!$B$51+41&gt;='🌱 Configuração'!$D$51,'🌱 Configuração'!$B$51+41&lt;'🌱 Configuração'!$E$51,INT(('🌱 Configuração'!$B$51+41-'🌱 Configuração'!$D$51)/7)+1=2,MOD('🌱 Configuração'!$B$51+41-'🌱 Configuração'!$D$51,7)=0),"🌸 Bloom + PK 13/14 início",IF(AND('🌱 Configuração'!$B$51+41&gt;='🌱 Configuração'!$D$51,'🌱 Configuração'!$B$51+41&lt;'🌱 Configuração'!$E$51,INT(('🌱 Configuração'!$B$51+41-'🌱 Configuração'!$D$51)/7)+1=3,MOD('🌱 Configuração'!$B$51+41-'🌱 Configuração'!$D$51,7)=0),"🌸 Bloom + PK + CalMag — EC 1.8",IF(AND('🌱 Configuração'!$B$51+41&gt;='🌱 Configuração'!$D$51,'🌱 Configuração'!$B$51+41&lt;'🌱 Configuração'!$E$51,INT(('🌱 Configuração'!$B$51+41-'🌱 Configuração'!$D$51)/7)+1=4,MOD('🌱 Configuração'!$B$51+41-'🌱 Configuração'!$D$51,7)=0),"🌸 Bloom + PK + Boost Floral — EC 2.0",IF(AND('🌱 Configuração'!$B$51+41&gt;='🌱 Configuração'!$D$51,'🌱 Configuração'!$B$51+41&lt;'🌱 Configuração'!$E$51,INT(('🌱 Configuração'!$B$51+41-'🌱 Configuração'!$D$51)/7)+1=5,MOD('🌱 Configuração'!$B$51+41-'🌱 Configuração'!$D$51,7)=0),"🌸 Bloom + Boost + Amino",IF(AND('🌱 Configuração'!$B$51+41&gt;='🌱 Configuração'!$D$51,'🌱 Configuração'!$B$51+41&lt;'🌱 Configuração'!$E$51,INT(('🌱 Configuração'!$B$51+41-'🌱 Configuração'!$D$51)/7)+1=6,MOD('🌱 Configuração'!$B$51+41-'🌱 Configuração'!$D$51,7)=0),"🌸 Bloom + Enzimas + Amino",IF(AND('🌱 Configuração'!$B$51+41&gt;='🌱 Configuração'!$D$51,'🌱 Configuração'!$B$51+41&lt;'🌱 Configuração'!$E$51,INT(('🌱 Configuração'!$B$51+41-'🌱 Configuração'!$D$51)/7)+1=7,MOD('🌱 Configuração'!$B$51+41-'🌱 Configuração'!$D$51,7)=0),"🌸 Reduzir N — Bloom puro — EC 1.6",IF(AND('🌱 Configuração'!$B$51+41&gt;='🌱 Configuração'!$D$51,'🌱 Configuração'!$B$51+41&lt;'🌱 Configuração'!$E$51,INT(('🌱 Configuração'!$B$51+41-'🌱 Configuração'!$D$51)/7)+1=8,MOD('🌱 Configuração'!$B$51+41-'🌱 Configuração'!$D$51,7)=0),"🌸 Bloom puro — EC 1.4  (pré-flush)",IF(AND('🌱 Configuração'!$B$51+41&gt;='🌱 Configuração'!$D$51,'🌱 Configuração'!$B$51+41&lt;'🌱 Configuração'!$E$51,INT(('🌱 Configuração'!$B$51+41-'🌱 Configuração'!$D$51)/7)+1=9,MOD('🌱 Configuração'!$B$51+41-'🌱 Configuração'!$D$51,7)=0),"🌸 Último Bloom — EC 0.8",IF(AND('🌱 Configuração'!$B$51+41&gt;='🌱 Configuração'!$E$51,INT(('🌱 Configuração'!$B$51+41-'🌱 Configuração'!$E$51)/7)+1=1,MOD('🌱 Configuração'!$B$51+41-'🌱 Configuração'!$E$51,7)=0),"🚿 Água pura + Enzimas (EC &lt; 0.3)",IF(AND('🌱 Configuração'!$B$51+41&gt;='🌱 Configuração'!$E$51,INT(('🌱 Configuração'!$B$51+41-'🌱 Configuração'!$E$51)/7)+1=2,MOD('🌱 Configuração'!$B$51+41-'🌱 Configuração'!$E$51,7)=0),"🚿 Água pura (EC &lt; 0.2)",""))))))))))))))))))))))</f>
        <v/>
      </c>
      <c r="G47" s="30" t="str">
        <f>IF(42&gt;'🌱 Configuração'!$F$50,"",IF(AND('🌱 Configuração'!$B$51+41&lt;'🌱 Configuração'!$C$51,INT((42-1)/7)+1=1,MOD(42-1,7)=0),"🐛 Nim 2mL/L foliar — preventivo",IF(AND('🌱 Configuração'!$B$51+41&lt;'🌱 Configuração'!$C$51,INT((42-1)/7)+1=2,MOD(42-1,7)=0),"🐛 Beauveria bassiana foliar + solo",IF(AND('🌱 Configuração'!$B$51+41&gt;='🌱 Configuração'!$C$51,'🌱 Configuração'!$B$51+41&lt;'🌱 Configuração'!$D$51,INT(('🌱 Configuração'!$B$51+41-'🌱 Configuração'!$C$51)/7)+1=1,MOD('🌱 Configuração'!$B$51+41-'🌱 Configuração'!$C$51,7)=0),"🐛 Nim 2mL/L foliar",IF(AND('🌱 Configuração'!$B$51+41&gt;='🌱 Configuração'!$C$51,'🌱 Configuração'!$B$51+41&lt;'🌱 Configuração'!$D$51,INT(('🌱 Configuração'!$B$51+41-'🌱 Configuração'!$C$51)/7)+1=2,MOD('🌱 Configuração'!$B$51+41-'🌱 Configuração'!$C$51,7)=0),"🐛 Beauveria bassiana foliar",IF(AND('🌱 Configuração'!$B$51+41&gt;='🌱 Configuração'!$C$51,'🌱 Configuração'!$B$51+41&lt;'🌱 Configuração'!$D$51,INT(('🌱 Configuração'!$B$51+41-'🌱 Configuração'!$C$51)/7)+1=3,MOD('🌱 Configuração'!$B$51+41-'🌱 Configuração'!$C$51,7)=0),"🐛 Nim + Calda Sulfocálcica 1%",IF(AND('🌱 Configuração'!$B$51+41&gt;='🌱 Configuração'!$C$51,'🌱 Configuração'!$B$51+41&lt;'🌱 Configuração'!$D$51,INT(('🌱 Configuração'!$B$51+41-'🌱 Configuração'!$C$51)/7)+1=4,MOD('🌱 Configuração'!$B$51+41-'🌱 Configuração'!$C$51,7)=0),"🐛 Trichoderma solo + Beauveria",IF(AND('🌱 Configuração'!$B$51+41&gt;='🌱 Configuração'!$C$51,'🌱 Configuração'!$B$51+41&lt;'🌱 Configuração'!$D$51,INT(('🌱 Configuração'!$B$51+41-'🌱 Configuração'!$C$51)/7)+1=5,MOD('🌱 Configuração'!$B$51+41-'🌱 Configuração'!$C$51,7)=0),"🐛 Calda Bordalesa 0.5% foliar",IF(AND('🌱 Configuração'!$B$51+41&gt;='🌱 Configuração'!$C$51,'🌱 Configuração'!$B$51+41&lt;'🌱 Configuração'!$D$51,INT(('🌱 Configuração'!$B$51+41-'🌱 Configuração'!$C$51)/7)+1=6,MOD('🌱 Configuração'!$B$51+41-'🌱 Configuração'!$C$51,7)=0),"🐛 Nim 2mL/L — ÚLTIMA foliar",IF(AND('🌱 Configuração'!$B$51+41&gt;='🌱 Configuração'!$D$51,'🌱 Configuração'!$B$51+41&lt;'🌱 Configuração'!$E$51,INT(('🌱 Configuração'!$B$51+41-'🌱 Configuração'!$D$51)/7)+1=1,MOD('🌱 Configuração'!$B$51+41-'🌱 Configuração'!$D$51,7)=0),"🐛 Beauveria bassiana solo (sem foliar)",IF(AND('🌱 Configuração'!$B$51+41&gt;='🌱 Configuração'!$D$51,'🌱 Configuração'!$B$51+41&lt;'🌱 Configuração'!$E$51,INT(('🌱 Configuração'!$B$51+41-'🌱 Configuração'!$D$51)/7)+1=2,MOD('🌱 Configuração'!$B$51+41-'🌱 Configuração'!$D$51,7)=0),"🐛 Trichoderma solo",IF(AND('🌱 Configuração'!$B$51+41&gt;='🌱 Configuração'!$D$51,'🌱 Configuração'!$B$51+41&lt;'🌱 Configuração'!$E$51,INT(('🌱 Configuração'!$B$51+41-'🌱 Configuração'!$D$51)/7)+1=3,MOD('🌱 Configuração'!$B$51+41-'🌱 Configuração'!$D$51,7)=0),"🐛 Beauveria bassiana solo",IF(AND('🌱 Configuração'!$B$51+41&gt;='🌱 Configuração'!$D$51,'🌱 Configuração'!$B$51+41&lt;'🌱 Configuração'!$E$51,INT(('🌱 Configuração'!$B$51+41-'🌱 Configuração'!$D$51)/7)+1=4,MOD('🌱 Configuração'!$B$51+41-'🌱 Configuração'!$D$51,7)=0),"🐛 Trichoderma solo",IF(AND('🌱 Configuração'!$B$51+41&gt;='🌱 Configuração'!$E$51,INT(('🌱 Configuração'!$B$51+41-'🌱 Configuração'!$E$51)/7)+1=1,MOD('🌱 Configuração'!$B$51+41-'🌱 Configuração'!$E$51,7)=0),"🐛 Inspeção final — sem aplicação",""))))))))))))))</f>
        <v/>
      </c>
      <c r="H47" s="22" t="str">
        <f>IF(42&gt;'🌱 Configuração'!$F$50,"",IF('🌱 Configuração'!$B$51+41='🌱 Configuração'!$C$51,"🌿 INÍCIO VEGA — ajustar espaço, luz 18h/dia — EC 0.8",IF('🌱 Configuração'!$B$51+41='🌱 Configuração'!$D$51,"🌸 INÍCIO FLORAÇÃO — mudar para 12h/12h — 🔴 atenção ao fotoperíodo",IF('🌱 Configuração'!$B$51+41='🌱 Configuração'!$E$51,"🚿 INÍCIO FLUSH — PARAR nutrição, somente água pura",IF('🌱 Configuração'!$B$51+41='🌱 Configuração'!$F$51-1,"🔬 Véspera da colheita — analisar tricomas âmbar",IF('🌱 Configuração'!$B$51+41='🌱 Configuração'!$F$51,"✂️ COLHEITA! Parabéns! 🎉",""))))))</f>
        <v/>
      </c>
    </row>
    <row r="48" spans="2:8" ht="18.75" customHeight="1" x14ac:dyDescent="0.3">
      <c r="B48" s="25">
        <f>IF(43&lt;='🌱 Configuração'!$F$50,43,"")</f>
        <v>43</v>
      </c>
      <c r="C48" s="26">
        <f>IF(43&lt;='🌱 Configuração'!$F$50,'🌱 Configuração'!$B$51+42,"")</f>
        <v>46065</v>
      </c>
      <c r="D48" s="27" t="str">
        <f>IF(43&gt;'🌱 Configuração'!$F$50,"",IF('🌱 Configuração'!$B$51+42&lt;'🌱 Configuração'!$C$51,"🌱 Clone",IF('🌱 Configuração'!$B$51+42&lt;'🌱 Configuração'!$D$51,"🌿 Vegetativo",IF('🌱 Configuração'!$B$51+42&lt;'🌱 Configuração'!$E$51,"🌸 Floração","🚿 Flush"))))</f>
        <v>🌿 Vegetativo</v>
      </c>
      <c r="E48" s="28" t="str">
        <f>IF(43&gt;'🌱 Configuração'!$F$50,"",IF('🌱 Configuração'!$B$51+42&lt;'🌱 Configuração'!$C$51,"Clone S"&amp;INT((43-1)/7)+1,IF('🌱 Configuração'!$B$51+42&lt;'🌱 Configuração'!$D$51,"Vega S"&amp;INT(('🌱 Configuração'!$B$51+42-'🌱 Configuração'!$C$51)/7)+1,IF('🌱 Configuração'!$B$51+42&lt;'🌱 Configuração'!$E$51,"Flora S"&amp;INT(('🌱 Configuração'!$B$51+42-'🌱 Configuração'!$D$51)/7)+1,"Flush S"&amp;INT(('🌱 Configuração'!$B$51+42-'🌱 Configuração'!$E$51)/7)+1))))</f>
        <v>Vega S5</v>
      </c>
      <c r="F48" s="29" t="str">
        <f>IF(43&gt;'🌱 Configuração'!$F$50,"",IF(AND('🌱 Configuração'!$B$51+42&lt;'🌱 Configuração'!$C$51,INT((43-1)/7)+1=1,MOD(43-1,7)=0),"🌱 Enraizador (0.5 mL/L)",IF(AND('🌱 Configuração'!$B$51+42&lt;'🌱 Configuração'!$C$51,INT((43-1)/7)+1=2,MOD(43-1,7)=0),"🌱 Enraizador + Vitamina B1",IF(AND('🌱 Configuração'!$B$51+42&gt;='🌱 Configuração'!$C$51,'🌱 Configuração'!$B$51+42&lt;'🌱 Configuração'!$D$51,INT(('🌱 Configuração'!$B$51+42-'🌱 Configuração'!$C$51)/7)+1=1,MOD('🌱 Configuração'!$B$51+42-'🌱 Configuração'!$C$51,7)=0),"🌿 Grow A+B início — EC 0.8",IF(AND('🌱 Configuração'!$B$51+42&gt;='🌱 Configuração'!$C$51,'🌱 Configuração'!$B$51+42&lt;'🌱 Configuração'!$D$51,INT(('🌱 Configuração'!$B$51+42-'🌱 Configuração'!$C$51)/7)+1=2,MOD('🌱 Configuração'!$B$51+42-'🌱 Configuração'!$C$51,7)=0),"🌿 Grow A+B + CalMag — EC 1.0",IF(AND('🌱 Configuração'!$B$51+42&gt;='🌱 Configuração'!$C$51,'🌱 Configuração'!$B$51+42&lt;'🌱 Configuração'!$D$51,INT(('🌱 Configuração'!$B$51+42-'🌱 Configuração'!$C$51)/7)+1=3,MOD('🌱 Configuração'!$B$51+42-'🌱 Configuração'!$C$51,7)=0),"🌿 Grow A+B + CalMag — EC 1.2",IF(AND('🌱 Configuração'!$B$51+42&gt;='🌱 Configuração'!$C$51,'🌱 Configuração'!$B$51+42&lt;'🌱 Configuração'!$D$51,INT(('🌱 Configuração'!$B$51+42-'🌱 Configuração'!$C$51)/7)+1=4,MOD('🌱 Configuração'!$B$51+42-'🌱 Configuração'!$C$51,7)=0),"🌿 Grow A+B + Enzimas — EC 1.4",IF(AND('🌱 Configuração'!$B$51+42&gt;='🌱 Configuração'!$C$51,'🌱 Configuração'!$B$51+42&lt;'🌱 Configuração'!$D$51,INT(('🌱 Configuração'!$B$51+42-'🌱 Configuração'!$C$51)/7)+1=5,MOD('🌱 Configuração'!$B$51+42-'🌱 Configuração'!$C$51,7)=0),"🌿 Grow A+B + Biorrizas — EC 1.5",IF(AND('🌱 Configuração'!$B$51+42&gt;='🌱 Configuração'!$C$51,'🌱 Configuração'!$B$51+42&lt;'🌱 Configuração'!$D$51,INT(('🌱 Configuração'!$B$51+42-'🌱 Configuração'!$C$51)/7)+1=6,MOD('🌱 Configuração'!$B$51+42-'🌱 Configuração'!$C$51,7)=0),"🌿 Transição Bloom — EC 1.4",IF(AND('🌱 Configuração'!$B$51+42&gt;='🌱 Configuração'!$C$51,'🌱 Configuração'!$B$51+42&lt;'🌱 Configuração'!$D$51,INT(('🌱 Configuração'!$B$51+42-'🌱 Configuração'!$C$51)/7)+1=7,MOD('🌱 Configuração'!$B$51+42-'🌱 Configuração'!$C$51,7)=0),"🌿 Bloom A+B transição — EC 1.4",IF(AND('🌱 Configuração'!$B$51+42&gt;='🌱 Configuração'!$C$51,'🌱 Configuração'!$B$51+42&lt;'🌱 Configuração'!$D$51,INT(('🌱 Configuração'!$B$51+42-'🌱 Configuração'!$C$51)/7)+1=8,MOD('🌱 Configuração'!$B$51+42-'🌱 Configuração'!$C$51,7)=0),"🌿 Bloom A+B — EC 1.4",IF(AND('🌱 Configuração'!$B$51+42&gt;='🌱 Configuração'!$D$51,'🌱 Configuração'!$B$51+42&lt;'🌱 Configuração'!$E$51,INT(('🌱 Configuração'!$B$51+42-'🌱 Configuração'!$D$51)/7)+1=1,MOD('🌱 Configuração'!$B$51+42-'🌱 Configuração'!$D$51,7)=0),"🌸 Bloom A+B — EC 1.6",IF(AND('🌱 Configuração'!$B$51+42&gt;='🌱 Configuração'!$D$51,'🌱 Configuração'!$B$51+42&lt;'🌱 Configuração'!$E$51,INT(('🌱 Configuração'!$B$51+42-'🌱 Configuração'!$D$51)/7)+1=2,MOD('🌱 Configuração'!$B$51+42-'🌱 Configuração'!$D$51,7)=0),"🌸 Bloom + PK 13/14 início",IF(AND('🌱 Configuração'!$B$51+42&gt;='🌱 Configuração'!$D$51,'🌱 Configuração'!$B$51+42&lt;'🌱 Configuração'!$E$51,INT(('🌱 Configuração'!$B$51+42-'🌱 Configuração'!$D$51)/7)+1=3,MOD('🌱 Configuração'!$B$51+42-'🌱 Configuração'!$D$51,7)=0),"🌸 Bloom + PK + CalMag — EC 1.8",IF(AND('🌱 Configuração'!$B$51+42&gt;='🌱 Configuração'!$D$51,'🌱 Configuração'!$B$51+42&lt;'🌱 Configuração'!$E$51,INT(('🌱 Configuração'!$B$51+42-'🌱 Configuração'!$D$51)/7)+1=4,MOD('🌱 Configuração'!$B$51+42-'🌱 Configuração'!$D$51,7)=0),"🌸 Bloom + PK + Boost Floral — EC 2.0",IF(AND('🌱 Configuração'!$B$51+42&gt;='🌱 Configuração'!$D$51,'🌱 Configuração'!$B$51+42&lt;'🌱 Configuração'!$E$51,INT(('🌱 Configuração'!$B$51+42-'🌱 Configuração'!$D$51)/7)+1=5,MOD('🌱 Configuração'!$B$51+42-'🌱 Configuração'!$D$51,7)=0),"🌸 Bloom + Boost + Amino",IF(AND('🌱 Configuração'!$B$51+42&gt;='🌱 Configuração'!$D$51,'🌱 Configuração'!$B$51+42&lt;'🌱 Configuração'!$E$51,INT(('🌱 Configuração'!$B$51+42-'🌱 Configuração'!$D$51)/7)+1=6,MOD('🌱 Configuração'!$B$51+42-'🌱 Configuração'!$D$51,7)=0),"🌸 Bloom + Enzimas + Amino",IF(AND('🌱 Configuração'!$B$51+42&gt;='🌱 Configuração'!$D$51,'🌱 Configuração'!$B$51+42&lt;'🌱 Configuração'!$E$51,INT(('🌱 Configuração'!$B$51+42-'🌱 Configuração'!$D$51)/7)+1=7,MOD('🌱 Configuração'!$B$51+42-'🌱 Configuração'!$D$51,7)=0),"🌸 Reduzir N — Bloom puro — EC 1.6",IF(AND('🌱 Configuração'!$B$51+42&gt;='🌱 Configuração'!$D$51,'🌱 Configuração'!$B$51+42&lt;'🌱 Configuração'!$E$51,INT(('🌱 Configuração'!$B$51+42-'🌱 Configuração'!$D$51)/7)+1=8,MOD('🌱 Configuração'!$B$51+42-'🌱 Configuração'!$D$51,7)=0),"🌸 Bloom puro — EC 1.4  (pré-flush)",IF(AND('🌱 Configuração'!$B$51+42&gt;='🌱 Configuração'!$D$51,'🌱 Configuração'!$B$51+42&lt;'🌱 Configuração'!$E$51,INT(('🌱 Configuração'!$B$51+42-'🌱 Configuração'!$D$51)/7)+1=9,MOD('🌱 Configuração'!$B$51+42-'🌱 Configuração'!$D$51,7)=0),"🌸 Último Bloom — EC 0.8",IF(AND('🌱 Configuração'!$B$51+42&gt;='🌱 Configuração'!$E$51,INT(('🌱 Configuração'!$B$51+42-'🌱 Configuração'!$E$51)/7)+1=1,MOD('🌱 Configuração'!$B$51+42-'🌱 Configuração'!$E$51,7)=0),"🚿 Água pura + Enzimas (EC &lt; 0.3)",IF(AND('🌱 Configuração'!$B$51+42&gt;='🌱 Configuração'!$E$51,INT(('🌱 Configuração'!$B$51+42-'🌱 Configuração'!$E$51)/7)+1=2,MOD('🌱 Configuração'!$B$51+42-'🌱 Configuração'!$E$51,7)=0),"🚿 Água pura (EC &lt; 0.2)",""))))))))))))))))))))))</f>
        <v>🌿 Grow A+B + Biorrizas — EC 1.5</v>
      </c>
      <c r="G48" s="30" t="str">
        <f>IF(43&gt;'🌱 Configuração'!$F$50,"",IF(AND('🌱 Configuração'!$B$51+42&lt;'🌱 Configuração'!$C$51,INT((43-1)/7)+1=1,MOD(43-1,7)=0),"🐛 Nim 2mL/L foliar — preventivo",IF(AND('🌱 Configuração'!$B$51+42&lt;'🌱 Configuração'!$C$51,INT((43-1)/7)+1=2,MOD(43-1,7)=0),"🐛 Beauveria bassiana foliar + solo",IF(AND('🌱 Configuração'!$B$51+42&gt;='🌱 Configuração'!$C$51,'🌱 Configuração'!$B$51+42&lt;'🌱 Configuração'!$D$51,INT(('🌱 Configuração'!$B$51+42-'🌱 Configuração'!$C$51)/7)+1=1,MOD('🌱 Configuração'!$B$51+42-'🌱 Configuração'!$C$51,7)=0),"🐛 Nim 2mL/L foliar",IF(AND('🌱 Configuração'!$B$51+42&gt;='🌱 Configuração'!$C$51,'🌱 Configuração'!$B$51+42&lt;'🌱 Configuração'!$D$51,INT(('🌱 Configuração'!$B$51+42-'🌱 Configuração'!$C$51)/7)+1=2,MOD('🌱 Configuração'!$B$51+42-'🌱 Configuração'!$C$51,7)=0),"🐛 Beauveria bassiana foliar",IF(AND('🌱 Configuração'!$B$51+42&gt;='🌱 Configuração'!$C$51,'🌱 Configuração'!$B$51+42&lt;'🌱 Configuração'!$D$51,INT(('🌱 Configuração'!$B$51+42-'🌱 Configuração'!$C$51)/7)+1=3,MOD('🌱 Configuração'!$B$51+42-'🌱 Configuração'!$C$51,7)=0),"🐛 Nim + Calda Sulfocálcica 1%",IF(AND('🌱 Configuração'!$B$51+42&gt;='🌱 Configuração'!$C$51,'🌱 Configuração'!$B$51+42&lt;'🌱 Configuração'!$D$51,INT(('🌱 Configuração'!$B$51+42-'🌱 Configuração'!$C$51)/7)+1=4,MOD('🌱 Configuração'!$B$51+42-'🌱 Configuração'!$C$51,7)=0),"🐛 Trichoderma solo + Beauveria",IF(AND('🌱 Configuração'!$B$51+42&gt;='🌱 Configuração'!$C$51,'🌱 Configuração'!$B$51+42&lt;'🌱 Configuração'!$D$51,INT(('🌱 Configuração'!$B$51+42-'🌱 Configuração'!$C$51)/7)+1=5,MOD('🌱 Configuração'!$B$51+42-'🌱 Configuração'!$C$51,7)=0),"🐛 Calda Bordalesa 0.5% foliar",IF(AND('🌱 Configuração'!$B$51+42&gt;='🌱 Configuração'!$C$51,'🌱 Configuração'!$B$51+42&lt;'🌱 Configuração'!$D$51,INT(('🌱 Configuração'!$B$51+42-'🌱 Configuração'!$C$51)/7)+1=6,MOD('🌱 Configuração'!$B$51+42-'🌱 Configuração'!$C$51,7)=0),"🐛 Nim 2mL/L — ÚLTIMA foliar",IF(AND('🌱 Configuração'!$B$51+42&gt;='🌱 Configuração'!$D$51,'🌱 Configuração'!$B$51+42&lt;'🌱 Configuração'!$E$51,INT(('🌱 Configuração'!$B$51+42-'🌱 Configuração'!$D$51)/7)+1=1,MOD('🌱 Configuração'!$B$51+42-'🌱 Configuração'!$D$51,7)=0),"🐛 Beauveria bassiana solo (sem foliar)",IF(AND('🌱 Configuração'!$B$51+42&gt;='🌱 Configuração'!$D$51,'🌱 Configuração'!$B$51+42&lt;'🌱 Configuração'!$E$51,INT(('🌱 Configuração'!$B$51+42-'🌱 Configuração'!$D$51)/7)+1=2,MOD('🌱 Configuração'!$B$51+42-'🌱 Configuração'!$D$51,7)=0),"🐛 Trichoderma solo",IF(AND('🌱 Configuração'!$B$51+42&gt;='🌱 Configuração'!$D$51,'🌱 Configuração'!$B$51+42&lt;'🌱 Configuração'!$E$51,INT(('🌱 Configuração'!$B$51+42-'🌱 Configuração'!$D$51)/7)+1=3,MOD('🌱 Configuração'!$B$51+42-'🌱 Configuração'!$D$51,7)=0),"🐛 Beauveria bassiana solo",IF(AND('🌱 Configuração'!$B$51+42&gt;='🌱 Configuração'!$D$51,'🌱 Configuração'!$B$51+42&lt;'🌱 Configuração'!$E$51,INT(('🌱 Configuração'!$B$51+42-'🌱 Configuração'!$D$51)/7)+1=4,MOD('🌱 Configuração'!$B$51+42-'🌱 Configuração'!$D$51,7)=0),"🐛 Trichoderma solo",IF(AND('🌱 Configuração'!$B$51+42&gt;='🌱 Configuração'!$E$51,INT(('🌱 Configuração'!$B$51+42-'🌱 Configuração'!$E$51)/7)+1=1,MOD('🌱 Configuração'!$B$51+42-'🌱 Configuração'!$E$51,7)=0),"🐛 Inspeção final — sem aplicação",""))))))))))))))</f>
        <v>🐛 Calda Bordalesa 0.5% foliar</v>
      </c>
      <c r="H48" s="22" t="str">
        <f>IF(43&gt;'🌱 Configuração'!$F$50,"",IF('🌱 Configuração'!$B$51+42='🌱 Configuração'!$C$51,"🌿 INÍCIO VEGA — ajustar espaço, luz 18h/dia — EC 0.8",IF('🌱 Configuração'!$B$51+42='🌱 Configuração'!$D$51,"🌸 INÍCIO FLORAÇÃO — mudar para 12h/12h — 🔴 atenção ao fotoperíodo",IF('🌱 Configuração'!$B$51+42='🌱 Configuração'!$E$51,"🚿 INÍCIO FLUSH — PARAR nutrição, somente água pura",IF('🌱 Configuração'!$B$51+42='🌱 Configuração'!$F$51-1,"🔬 Véspera da colheita — analisar tricomas âmbar",IF('🌱 Configuração'!$B$51+42='🌱 Configuração'!$F$51,"✂️ COLHEITA! Parabéns! 🎉",""))))))</f>
        <v/>
      </c>
    </row>
    <row r="49" spans="2:8" ht="18.75" customHeight="1" x14ac:dyDescent="0.3">
      <c r="B49" s="25">
        <f>IF(44&lt;='🌱 Configuração'!$F$50,44,"")</f>
        <v>44</v>
      </c>
      <c r="C49" s="26">
        <f>IF(44&lt;='🌱 Configuração'!$F$50,'🌱 Configuração'!$B$51+43,"")</f>
        <v>46066</v>
      </c>
      <c r="D49" s="27" t="str">
        <f>IF(44&gt;'🌱 Configuração'!$F$50,"",IF('🌱 Configuração'!$B$51+43&lt;'🌱 Configuração'!$C$51,"🌱 Clone",IF('🌱 Configuração'!$B$51+43&lt;'🌱 Configuração'!$D$51,"🌿 Vegetativo",IF('🌱 Configuração'!$B$51+43&lt;'🌱 Configuração'!$E$51,"🌸 Floração","🚿 Flush"))))</f>
        <v>🌿 Vegetativo</v>
      </c>
      <c r="E49" s="28" t="str">
        <f>IF(44&gt;'🌱 Configuração'!$F$50,"",IF('🌱 Configuração'!$B$51+43&lt;'🌱 Configuração'!$C$51,"Clone S"&amp;INT((44-1)/7)+1,IF('🌱 Configuração'!$B$51+43&lt;'🌱 Configuração'!$D$51,"Vega S"&amp;INT(('🌱 Configuração'!$B$51+43-'🌱 Configuração'!$C$51)/7)+1,IF('🌱 Configuração'!$B$51+43&lt;'🌱 Configuração'!$E$51,"Flora S"&amp;INT(('🌱 Configuração'!$B$51+43-'🌱 Configuração'!$D$51)/7)+1,"Flush S"&amp;INT(('🌱 Configuração'!$B$51+43-'🌱 Configuração'!$E$51)/7)+1))))</f>
        <v>Vega S5</v>
      </c>
      <c r="F49" s="29" t="str">
        <f>IF(44&gt;'🌱 Configuração'!$F$50,"",IF(AND('🌱 Configuração'!$B$51+43&lt;'🌱 Configuração'!$C$51,INT((44-1)/7)+1=1,MOD(44-1,7)=0),"🌱 Enraizador (0.5 mL/L)",IF(AND('🌱 Configuração'!$B$51+43&lt;'🌱 Configuração'!$C$51,INT((44-1)/7)+1=2,MOD(44-1,7)=0),"🌱 Enraizador + Vitamina B1",IF(AND('🌱 Configuração'!$B$51+43&gt;='🌱 Configuração'!$C$51,'🌱 Configuração'!$B$51+43&lt;'🌱 Configuração'!$D$51,INT(('🌱 Configuração'!$B$51+43-'🌱 Configuração'!$C$51)/7)+1=1,MOD('🌱 Configuração'!$B$51+43-'🌱 Configuração'!$C$51,7)=0),"🌿 Grow A+B início — EC 0.8",IF(AND('🌱 Configuração'!$B$51+43&gt;='🌱 Configuração'!$C$51,'🌱 Configuração'!$B$51+43&lt;'🌱 Configuração'!$D$51,INT(('🌱 Configuração'!$B$51+43-'🌱 Configuração'!$C$51)/7)+1=2,MOD('🌱 Configuração'!$B$51+43-'🌱 Configuração'!$C$51,7)=0),"🌿 Grow A+B + CalMag — EC 1.0",IF(AND('🌱 Configuração'!$B$51+43&gt;='🌱 Configuração'!$C$51,'🌱 Configuração'!$B$51+43&lt;'🌱 Configuração'!$D$51,INT(('🌱 Configuração'!$B$51+43-'🌱 Configuração'!$C$51)/7)+1=3,MOD('🌱 Configuração'!$B$51+43-'🌱 Configuração'!$C$51,7)=0),"🌿 Grow A+B + CalMag — EC 1.2",IF(AND('🌱 Configuração'!$B$51+43&gt;='🌱 Configuração'!$C$51,'🌱 Configuração'!$B$51+43&lt;'🌱 Configuração'!$D$51,INT(('🌱 Configuração'!$B$51+43-'🌱 Configuração'!$C$51)/7)+1=4,MOD('🌱 Configuração'!$B$51+43-'🌱 Configuração'!$C$51,7)=0),"🌿 Grow A+B + Enzimas — EC 1.4",IF(AND('🌱 Configuração'!$B$51+43&gt;='🌱 Configuração'!$C$51,'🌱 Configuração'!$B$51+43&lt;'🌱 Configuração'!$D$51,INT(('🌱 Configuração'!$B$51+43-'🌱 Configuração'!$C$51)/7)+1=5,MOD('🌱 Configuração'!$B$51+43-'🌱 Configuração'!$C$51,7)=0),"🌿 Grow A+B + Biorrizas — EC 1.5",IF(AND('🌱 Configuração'!$B$51+43&gt;='🌱 Configuração'!$C$51,'🌱 Configuração'!$B$51+43&lt;'🌱 Configuração'!$D$51,INT(('🌱 Configuração'!$B$51+43-'🌱 Configuração'!$C$51)/7)+1=6,MOD('🌱 Configuração'!$B$51+43-'🌱 Configuração'!$C$51,7)=0),"🌿 Transição Bloom — EC 1.4",IF(AND('🌱 Configuração'!$B$51+43&gt;='🌱 Configuração'!$C$51,'🌱 Configuração'!$B$51+43&lt;'🌱 Configuração'!$D$51,INT(('🌱 Configuração'!$B$51+43-'🌱 Configuração'!$C$51)/7)+1=7,MOD('🌱 Configuração'!$B$51+43-'🌱 Configuração'!$C$51,7)=0),"🌿 Bloom A+B transição — EC 1.4",IF(AND('🌱 Configuração'!$B$51+43&gt;='🌱 Configuração'!$C$51,'🌱 Configuração'!$B$51+43&lt;'🌱 Configuração'!$D$51,INT(('🌱 Configuração'!$B$51+43-'🌱 Configuração'!$C$51)/7)+1=8,MOD('🌱 Configuração'!$B$51+43-'🌱 Configuração'!$C$51,7)=0),"🌿 Bloom A+B — EC 1.4",IF(AND('🌱 Configuração'!$B$51+43&gt;='🌱 Configuração'!$D$51,'🌱 Configuração'!$B$51+43&lt;'🌱 Configuração'!$E$51,INT(('🌱 Configuração'!$B$51+43-'🌱 Configuração'!$D$51)/7)+1=1,MOD('🌱 Configuração'!$B$51+43-'🌱 Configuração'!$D$51,7)=0),"🌸 Bloom A+B — EC 1.6",IF(AND('🌱 Configuração'!$B$51+43&gt;='🌱 Configuração'!$D$51,'🌱 Configuração'!$B$51+43&lt;'🌱 Configuração'!$E$51,INT(('🌱 Configuração'!$B$51+43-'🌱 Configuração'!$D$51)/7)+1=2,MOD('🌱 Configuração'!$B$51+43-'🌱 Configuração'!$D$51,7)=0),"🌸 Bloom + PK 13/14 início",IF(AND('🌱 Configuração'!$B$51+43&gt;='🌱 Configuração'!$D$51,'🌱 Configuração'!$B$51+43&lt;'🌱 Configuração'!$E$51,INT(('🌱 Configuração'!$B$51+43-'🌱 Configuração'!$D$51)/7)+1=3,MOD('🌱 Configuração'!$B$51+43-'🌱 Configuração'!$D$51,7)=0),"🌸 Bloom + PK + CalMag — EC 1.8",IF(AND('🌱 Configuração'!$B$51+43&gt;='🌱 Configuração'!$D$51,'🌱 Configuração'!$B$51+43&lt;'🌱 Configuração'!$E$51,INT(('🌱 Configuração'!$B$51+43-'🌱 Configuração'!$D$51)/7)+1=4,MOD('🌱 Configuração'!$B$51+43-'🌱 Configuração'!$D$51,7)=0),"🌸 Bloom + PK + Boost Floral — EC 2.0",IF(AND('🌱 Configuração'!$B$51+43&gt;='🌱 Configuração'!$D$51,'🌱 Configuração'!$B$51+43&lt;'🌱 Configuração'!$E$51,INT(('🌱 Configuração'!$B$51+43-'🌱 Configuração'!$D$51)/7)+1=5,MOD('🌱 Configuração'!$B$51+43-'🌱 Configuração'!$D$51,7)=0),"🌸 Bloom + Boost + Amino",IF(AND('🌱 Configuração'!$B$51+43&gt;='🌱 Configuração'!$D$51,'🌱 Configuração'!$B$51+43&lt;'🌱 Configuração'!$E$51,INT(('🌱 Configuração'!$B$51+43-'🌱 Configuração'!$D$51)/7)+1=6,MOD('🌱 Configuração'!$B$51+43-'🌱 Configuração'!$D$51,7)=0),"🌸 Bloom + Enzimas + Amino",IF(AND('🌱 Configuração'!$B$51+43&gt;='🌱 Configuração'!$D$51,'🌱 Configuração'!$B$51+43&lt;'🌱 Configuração'!$E$51,INT(('🌱 Configuração'!$B$51+43-'🌱 Configuração'!$D$51)/7)+1=7,MOD('🌱 Configuração'!$B$51+43-'🌱 Configuração'!$D$51,7)=0),"🌸 Reduzir N — Bloom puro — EC 1.6",IF(AND('🌱 Configuração'!$B$51+43&gt;='🌱 Configuração'!$D$51,'🌱 Configuração'!$B$51+43&lt;'🌱 Configuração'!$E$51,INT(('🌱 Configuração'!$B$51+43-'🌱 Configuração'!$D$51)/7)+1=8,MOD('🌱 Configuração'!$B$51+43-'🌱 Configuração'!$D$51,7)=0),"🌸 Bloom puro — EC 1.4  (pré-flush)",IF(AND('🌱 Configuração'!$B$51+43&gt;='🌱 Configuração'!$D$51,'🌱 Configuração'!$B$51+43&lt;'🌱 Configuração'!$E$51,INT(('🌱 Configuração'!$B$51+43-'🌱 Configuração'!$D$51)/7)+1=9,MOD('🌱 Configuração'!$B$51+43-'🌱 Configuração'!$D$51,7)=0),"🌸 Último Bloom — EC 0.8",IF(AND('🌱 Configuração'!$B$51+43&gt;='🌱 Configuração'!$E$51,INT(('🌱 Configuração'!$B$51+43-'🌱 Configuração'!$E$51)/7)+1=1,MOD('🌱 Configuração'!$B$51+43-'🌱 Configuração'!$E$51,7)=0),"🚿 Água pura + Enzimas (EC &lt; 0.3)",IF(AND('🌱 Configuração'!$B$51+43&gt;='🌱 Configuração'!$E$51,INT(('🌱 Configuração'!$B$51+43-'🌱 Configuração'!$E$51)/7)+1=2,MOD('🌱 Configuração'!$B$51+43-'🌱 Configuração'!$E$51,7)=0),"🚿 Água pura (EC &lt; 0.2)",""))))))))))))))))))))))</f>
        <v/>
      </c>
      <c r="G49" s="30" t="str">
        <f>IF(44&gt;'🌱 Configuração'!$F$50,"",IF(AND('🌱 Configuração'!$B$51+43&lt;'🌱 Configuração'!$C$51,INT((44-1)/7)+1=1,MOD(44-1,7)=0),"🐛 Nim 2mL/L foliar — preventivo",IF(AND('🌱 Configuração'!$B$51+43&lt;'🌱 Configuração'!$C$51,INT((44-1)/7)+1=2,MOD(44-1,7)=0),"🐛 Beauveria bassiana foliar + solo",IF(AND('🌱 Configuração'!$B$51+43&gt;='🌱 Configuração'!$C$51,'🌱 Configuração'!$B$51+43&lt;'🌱 Configuração'!$D$51,INT(('🌱 Configuração'!$B$51+43-'🌱 Configuração'!$C$51)/7)+1=1,MOD('🌱 Configuração'!$B$51+43-'🌱 Configuração'!$C$51,7)=0),"🐛 Nim 2mL/L foliar",IF(AND('🌱 Configuração'!$B$51+43&gt;='🌱 Configuração'!$C$51,'🌱 Configuração'!$B$51+43&lt;'🌱 Configuração'!$D$51,INT(('🌱 Configuração'!$B$51+43-'🌱 Configuração'!$C$51)/7)+1=2,MOD('🌱 Configuração'!$B$51+43-'🌱 Configuração'!$C$51,7)=0),"🐛 Beauveria bassiana foliar",IF(AND('🌱 Configuração'!$B$51+43&gt;='🌱 Configuração'!$C$51,'🌱 Configuração'!$B$51+43&lt;'🌱 Configuração'!$D$51,INT(('🌱 Configuração'!$B$51+43-'🌱 Configuração'!$C$51)/7)+1=3,MOD('🌱 Configuração'!$B$51+43-'🌱 Configuração'!$C$51,7)=0),"🐛 Nim + Calda Sulfocálcica 1%",IF(AND('🌱 Configuração'!$B$51+43&gt;='🌱 Configuração'!$C$51,'🌱 Configuração'!$B$51+43&lt;'🌱 Configuração'!$D$51,INT(('🌱 Configuração'!$B$51+43-'🌱 Configuração'!$C$51)/7)+1=4,MOD('🌱 Configuração'!$B$51+43-'🌱 Configuração'!$C$51,7)=0),"🐛 Trichoderma solo + Beauveria",IF(AND('🌱 Configuração'!$B$51+43&gt;='🌱 Configuração'!$C$51,'🌱 Configuração'!$B$51+43&lt;'🌱 Configuração'!$D$51,INT(('🌱 Configuração'!$B$51+43-'🌱 Configuração'!$C$51)/7)+1=5,MOD('🌱 Configuração'!$B$51+43-'🌱 Configuração'!$C$51,7)=0),"🐛 Calda Bordalesa 0.5% foliar",IF(AND('🌱 Configuração'!$B$51+43&gt;='🌱 Configuração'!$C$51,'🌱 Configuração'!$B$51+43&lt;'🌱 Configuração'!$D$51,INT(('🌱 Configuração'!$B$51+43-'🌱 Configuração'!$C$51)/7)+1=6,MOD('🌱 Configuração'!$B$51+43-'🌱 Configuração'!$C$51,7)=0),"🐛 Nim 2mL/L — ÚLTIMA foliar",IF(AND('🌱 Configuração'!$B$51+43&gt;='🌱 Configuração'!$D$51,'🌱 Configuração'!$B$51+43&lt;'🌱 Configuração'!$E$51,INT(('🌱 Configuração'!$B$51+43-'🌱 Configuração'!$D$51)/7)+1=1,MOD('🌱 Configuração'!$B$51+43-'🌱 Configuração'!$D$51,7)=0),"🐛 Beauveria bassiana solo (sem foliar)",IF(AND('🌱 Configuração'!$B$51+43&gt;='🌱 Configuração'!$D$51,'🌱 Configuração'!$B$51+43&lt;'🌱 Configuração'!$E$51,INT(('🌱 Configuração'!$B$51+43-'🌱 Configuração'!$D$51)/7)+1=2,MOD('🌱 Configuração'!$B$51+43-'🌱 Configuração'!$D$51,7)=0),"🐛 Trichoderma solo",IF(AND('🌱 Configuração'!$B$51+43&gt;='🌱 Configuração'!$D$51,'🌱 Configuração'!$B$51+43&lt;'🌱 Configuração'!$E$51,INT(('🌱 Configuração'!$B$51+43-'🌱 Configuração'!$D$51)/7)+1=3,MOD('🌱 Configuração'!$B$51+43-'🌱 Configuração'!$D$51,7)=0),"🐛 Beauveria bassiana solo",IF(AND('🌱 Configuração'!$B$51+43&gt;='🌱 Configuração'!$D$51,'🌱 Configuração'!$B$51+43&lt;'🌱 Configuração'!$E$51,INT(('🌱 Configuração'!$B$51+43-'🌱 Configuração'!$D$51)/7)+1=4,MOD('🌱 Configuração'!$B$51+43-'🌱 Configuração'!$D$51,7)=0),"🐛 Trichoderma solo",IF(AND('🌱 Configuração'!$B$51+43&gt;='🌱 Configuração'!$E$51,INT(('🌱 Configuração'!$B$51+43-'🌱 Configuração'!$E$51)/7)+1=1,MOD('🌱 Configuração'!$B$51+43-'🌱 Configuração'!$E$51,7)=0),"🐛 Inspeção final — sem aplicação",""))))))))))))))</f>
        <v/>
      </c>
      <c r="H49" s="22" t="str">
        <f>IF(44&gt;'🌱 Configuração'!$F$50,"",IF('🌱 Configuração'!$B$51+43='🌱 Configuração'!$C$51,"🌿 INÍCIO VEGA — ajustar espaço, luz 18h/dia — EC 0.8",IF('🌱 Configuração'!$B$51+43='🌱 Configuração'!$D$51,"🌸 INÍCIO FLORAÇÃO — mudar para 12h/12h — 🔴 atenção ao fotoperíodo",IF('🌱 Configuração'!$B$51+43='🌱 Configuração'!$E$51,"🚿 INÍCIO FLUSH — PARAR nutrição, somente água pura",IF('🌱 Configuração'!$B$51+43='🌱 Configuração'!$F$51-1,"🔬 Véspera da colheita — analisar tricomas âmbar",IF('🌱 Configuração'!$B$51+43='🌱 Configuração'!$F$51,"✂️ COLHEITA! Parabéns! 🎉",""))))))</f>
        <v/>
      </c>
    </row>
    <row r="50" spans="2:8" ht="18.75" customHeight="1" x14ac:dyDescent="0.3">
      <c r="B50" s="25">
        <f>IF(45&lt;='🌱 Configuração'!$F$50,45,"")</f>
        <v>45</v>
      </c>
      <c r="C50" s="26">
        <f>IF(45&lt;='🌱 Configuração'!$F$50,'🌱 Configuração'!$B$51+44,"")</f>
        <v>46067</v>
      </c>
      <c r="D50" s="27" t="str">
        <f>IF(45&gt;'🌱 Configuração'!$F$50,"",IF('🌱 Configuração'!$B$51+44&lt;'🌱 Configuração'!$C$51,"🌱 Clone",IF('🌱 Configuração'!$B$51+44&lt;'🌱 Configuração'!$D$51,"🌿 Vegetativo",IF('🌱 Configuração'!$B$51+44&lt;'🌱 Configuração'!$E$51,"🌸 Floração","🚿 Flush"))))</f>
        <v>🌿 Vegetativo</v>
      </c>
      <c r="E50" s="28" t="str">
        <f>IF(45&gt;'🌱 Configuração'!$F$50,"",IF('🌱 Configuração'!$B$51+44&lt;'🌱 Configuração'!$C$51,"Clone S"&amp;INT((45-1)/7)+1,IF('🌱 Configuração'!$B$51+44&lt;'🌱 Configuração'!$D$51,"Vega S"&amp;INT(('🌱 Configuração'!$B$51+44-'🌱 Configuração'!$C$51)/7)+1,IF('🌱 Configuração'!$B$51+44&lt;'🌱 Configuração'!$E$51,"Flora S"&amp;INT(('🌱 Configuração'!$B$51+44-'🌱 Configuração'!$D$51)/7)+1,"Flush S"&amp;INT(('🌱 Configuração'!$B$51+44-'🌱 Configuração'!$E$51)/7)+1))))</f>
        <v>Vega S5</v>
      </c>
      <c r="F50" s="29" t="str">
        <f>IF(45&gt;'🌱 Configuração'!$F$50,"",IF(AND('🌱 Configuração'!$B$51+44&lt;'🌱 Configuração'!$C$51,INT((45-1)/7)+1=1,MOD(45-1,7)=0),"🌱 Enraizador (0.5 mL/L)",IF(AND('🌱 Configuração'!$B$51+44&lt;'🌱 Configuração'!$C$51,INT((45-1)/7)+1=2,MOD(45-1,7)=0),"🌱 Enraizador + Vitamina B1",IF(AND('🌱 Configuração'!$B$51+44&gt;='🌱 Configuração'!$C$51,'🌱 Configuração'!$B$51+44&lt;'🌱 Configuração'!$D$51,INT(('🌱 Configuração'!$B$51+44-'🌱 Configuração'!$C$51)/7)+1=1,MOD('🌱 Configuração'!$B$51+44-'🌱 Configuração'!$C$51,7)=0),"🌿 Grow A+B início — EC 0.8",IF(AND('🌱 Configuração'!$B$51+44&gt;='🌱 Configuração'!$C$51,'🌱 Configuração'!$B$51+44&lt;'🌱 Configuração'!$D$51,INT(('🌱 Configuração'!$B$51+44-'🌱 Configuração'!$C$51)/7)+1=2,MOD('🌱 Configuração'!$B$51+44-'🌱 Configuração'!$C$51,7)=0),"🌿 Grow A+B + CalMag — EC 1.0",IF(AND('🌱 Configuração'!$B$51+44&gt;='🌱 Configuração'!$C$51,'🌱 Configuração'!$B$51+44&lt;'🌱 Configuração'!$D$51,INT(('🌱 Configuração'!$B$51+44-'🌱 Configuração'!$C$51)/7)+1=3,MOD('🌱 Configuração'!$B$51+44-'🌱 Configuração'!$C$51,7)=0),"🌿 Grow A+B + CalMag — EC 1.2",IF(AND('🌱 Configuração'!$B$51+44&gt;='🌱 Configuração'!$C$51,'🌱 Configuração'!$B$51+44&lt;'🌱 Configuração'!$D$51,INT(('🌱 Configuração'!$B$51+44-'🌱 Configuração'!$C$51)/7)+1=4,MOD('🌱 Configuração'!$B$51+44-'🌱 Configuração'!$C$51,7)=0),"🌿 Grow A+B + Enzimas — EC 1.4",IF(AND('🌱 Configuração'!$B$51+44&gt;='🌱 Configuração'!$C$51,'🌱 Configuração'!$B$51+44&lt;'🌱 Configuração'!$D$51,INT(('🌱 Configuração'!$B$51+44-'🌱 Configuração'!$C$51)/7)+1=5,MOD('🌱 Configuração'!$B$51+44-'🌱 Configuração'!$C$51,7)=0),"🌿 Grow A+B + Biorrizas — EC 1.5",IF(AND('🌱 Configuração'!$B$51+44&gt;='🌱 Configuração'!$C$51,'🌱 Configuração'!$B$51+44&lt;'🌱 Configuração'!$D$51,INT(('🌱 Configuração'!$B$51+44-'🌱 Configuração'!$C$51)/7)+1=6,MOD('🌱 Configuração'!$B$51+44-'🌱 Configuração'!$C$51,7)=0),"🌿 Transição Bloom — EC 1.4",IF(AND('🌱 Configuração'!$B$51+44&gt;='🌱 Configuração'!$C$51,'🌱 Configuração'!$B$51+44&lt;'🌱 Configuração'!$D$51,INT(('🌱 Configuração'!$B$51+44-'🌱 Configuração'!$C$51)/7)+1=7,MOD('🌱 Configuração'!$B$51+44-'🌱 Configuração'!$C$51,7)=0),"🌿 Bloom A+B transição — EC 1.4",IF(AND('🌱 Configuração'!$B$51+44&gt;='🌱 Configuração'!$C$51,'🌱 Configuração'!$B$51+44&lt;'🌱 Configuração'!$D$51,INT(('🌱 Configuração'!$B$51+44-'🌱 Configuração'!$C$51)/7)+1=8,MOD('🌱 Configuração'!$B$51+44-'🌱 Configuração'!$C$51,7)=0),"🌿 Bloom A+B — EC 1.4",IF(AND('🌱 Configuração'!$B$51+44&gt;='🌱 Configuração'!$D$51,'🌱 Configuração'!$B$51+44&lt;'🌱 Configuração'!$E$51,INT(('🌱 Configuração'!$B$51+44-'🌱 Configuração'!$D$51)/7)+1=1,MOD('🌱 Configuração'!$B$51+44-'🌱 Configuração'!$D$51,7)=0),"🌸 Bloom A+B — EC 1.6",IF(AND('🌱 Configuração'!$B$51+44&gt;='🌱 Configuração'!$D$51,'🌱 Configuração'!$B$51+44&lt;'🌱 Configuração'!$E$51,INT(('🌱 Configuração'!$B$51+44-'🌱 Configuração'!$D$51)/7)+1=2,MOD('🌱 Configuração'!$B$51+44-'🌱 Configuração'!$D$51,7)=0),"🌸 Bloom + PK 13/14 início",IF(AND('🌱 Configuração'!$B$51+44&gt;='🌱 Configuração'!$D$51,'🌱 Configuração'!$B$51+44&lt;'🌱 Configuração'!$E$51,INT(('🌱 Configuração'!$B$51+44-'🌱 Configuração'!$D$51)/7)+1=3,MOD('🌱 Configuração'!$B$51+44-'🌱 Configuração'!$D$51,7)=0),"🌸 Bloom + PK + CalMag — EC 1.8",IF(AND('🌱 Configuração'!$B$51+44&gt;='🌱 Configuração'!$D$51,'🌱 Configuração'!$B$51+44&lt;'🌱 Configuração'!$E$51,INT(('🌱 Configuração'!$B$51+44-'🌱 Configuração'!$D$51)/7)+1=4,MOD('🌱 Configuração'!$B$51+44-'🌱 Configuração'!$D$51,7)=0),"🌸 Bloom + PK + Boost Floral — EC 2.0",IF(AND('🌱 Configuração'!$B$51+44&gt;='🌱 Configuração'!$D$51,'🌱 Configuração'!$B$51+44&lt;'🌱 Configuração'!$E$51,INT(('🌱 Configuração'!$B$51+44-'🌱 Configuração'!$D$51)/7)+1=5,MOD('🌱 Configuração'!$B$51+44-'🌱 Configuração'!$D$51,7)=0),"🌸 Bloom + Boost + Amino",IF(AND('🌱 Configuração'!$B$51+44&gt;='🌱 Configuração'!$D$51,'🌱 Configuração'!$B$51+44&lt;'🌱 Configuração'!$E$51,INT(('🌱 Configuração'!$B$51+44-'🌱 Configuração'!$D$51)/7)+1=6,MOD('🌱 Configuração'!$B$51+44-'🌱 Configuração'!$D$51,7)=0),"🌸 Bloom + Enzimas + Amino",IF(AND('🌱 Configuração'!$B$51+44&gt;='🌱 Configuração'!$D$51,'🌱 Configuração'!$B$51+44&lt;'🌱 Configuração'!$E$51,INT(('🌱 Configuração'!$B$51+44-'🌱 Configuração'!$D$51)/7)+1=7,MOD('🌱 Configuração'!$B$51+44-'🌱 Configuração'!$D$51,7)=0),"🌸 Reduzir N — Bloom puro — EC 1.6",IF(AND('🌱 Configuração'!$B$51+44&gt;='🌱 Configuração'!$D$51,'🌱 Configuração'!$B$51+44&lt;'🌱 Configuração'!$E$51,INT(('🌱 Configuração'!$B$51+44-'🌱 Configuração'!$D$51)/7)+1=8,MOD('🌱 Configuração'!$B$51+44-'🌱 Configuração'!$D$51,7)=0),"🌸 Bloom puro — EC 1.4  (pré-flush)",IF(AND('🌱 Configuração'!$B$51+44&gt;='🌱 Configuração'!$D$51,'🌱 Configuração'!$B$51+44&lt;'🌱 Configuração'!$E$51,INT(('🌱 Configuração'!$B$51+44-'🌱 Configuração'!$D$51)/7)+1=9,MOD('🌱 Configuração'!$B$51+44-'🌱 Configuração'!$D$51,7)=0),"🌸 Último Bloom — EC 0.8",IF(AND('🌱 Configuração'!$B$51+44&gt;='🌱 Configuração'!$E$51,INT(('🌱 Configuração'!$B$51+44-'🌱 Configuração'!$E$51)/7)+1=1,MOD('🌱 Configuração'!$B$51+44-'🌱 Configuração'!$E$51,7)=0),"🚿 Água pura + Enzimas (EC &lt; 0.3)",IF(AND('🌱 Configuração'!$B$51+44&gt;='🌱 Configuração'!$E$51,INT(('🌱 Configuração'!$B$51+44-'🌱 Configuração'!$E$51)/7)+1=2,MOD('🌱 Configuração'!$B$51+44-'🌱 Configuração'!$E$51,7)=0),"🚿 Água pura (EC &lt; 0.2)",""))))))))))))))))))))))</f>
        <v/>
      </c>
      <c r="G50" s="30" t="str">
        <f>IF(45&gt;'🌱 Configuração'!$F$50,"",IF(AND('🌱 Configuração'!$B$51+44&lt;'🌱 Configuração'!$C$51,INT((45-1)/7)+1=1,MOD(45-1,7)=0),"🐛 Nim 2mL/L foliar — preventivo",IF(AND('🌱 Configuração'!$B$51+44&lt;'🌱 Configuração'!$C$51,INT((45-1)/7)+1=2,MOD(45-1,7)=0),"🐛 Beauveria bassiana foliar + solo",IF(AND('🌱 Configuração'!$B$51+44&gt;='🌱 Configuração'!$C$51,'🌱 Configuração'!$B$51+44&lt;'🌱 Configuração'!$D$51,INT(('🌱 Configuração'!$B$51+44-'🌱 Configuração'!$C$51)/7)+1=1,MOD('🌱 Configuração'!$B$51+44-'🌱 Configuração'!$C$51,7)=0),"🐛 Nim 2mL/L foliar",IF(AND('🌱 Configuração'!$B$51+44&gt;='🌱 Configuração'!$C$51,'🌱 Configuração'!$B$51+44&lt;'🌱 Configuração'!$D$51,INT(('🌱 Configuração'!$B$51+44-'🌱 Configuração'!$C$51)/7)+1=2,MOD('🌱 Configuração'!$B$51+44-'🌱 Configuração'!$C$51,7)=0),"🐛 Beauveria bassiana foliar",IF(AND('🌱 Configuração'!$B$51+44&gt;='🌱 Configuração'!$C$51,'🌱 Configuração'!$B$51+44&lt;'🌱 Configuração'!$D$51,INT(('🌱 Configuração'!$B$51+44-'🌱 Configuração'!$C$51)/7)+1=3,MOD('🌱 Configuração'!$B$51+44-'🌱 Configuração'!$C$51,7)=0),"🐛 Nim + Calda Sulfocálcica 1%",IF(AND('🌱 Configuração'!$B$51+44&gt;='🌱 Configuração'!$C$51,'🌱 Configuração'!$B$51+44&lt;'🌱 Configuração'!$D$51,INT(('🌱 Configuração'!$B$51+44-'🌱 Configuração'!$C$51)/7)+1=4,MOD('🌱 Configuração'!$B$51+44-'🌱 Configuração'!$C$51,7)=0),"🐛 Trichoderma solo + Beauveria",IF(AND('🌱 Configuração'!$B$51+44&gt;='🌱 Configuração'!$C$51,'🌱 Configuração'!$B$51+44&lt;'🌱 Configuração'!$D$51,INT(('🌱 Configuração'!$B$51+44-'🌱 Configuração'!$C$51)/7)+1=5,MOD('🌱 Configuração'!$B$51+44-'🌱 Configuração'!$C$51,7)=0),"🐛 Calda Bordalesa 0.5% foliar",IF(AND('🌱 Configuração'!$B$51+44&gt;='🌱 Configuração'!$C$51,'🌱 Configuração'!$B$51+44&lt;'🌱 Configuração'!$D$51,INT(('🌱 Configuração'!$B$51+44-'🌱 Configuração'!$C$51)/7)+1=6,MOD('🌱 Configuração'!$B$51+44-'🌱 Configuração'!$C$51,7)=0),"🐛 Nim 2mL/L — ÚLTIMA foliar",IF(AND('🌱 Configuração'!$B$51+44&gt;='🌱 Configuração'!$D$51,'🌱 Configuração'!$B$51+44&lt;'🌱 Configuração'!$E$51,INT(('🌱 Configuração'!$B$51+44-'🌱 Configuração'!$D$51)/7)+1=1,MOD('🌱 Configuração'!$B$51+44-'🌱 Configuração'!$D$51,7)=0),"🐛 Beauveria bassiana solo (sem foliar)",IF(AND('🌱 Configuração'!$B$51+44&gt;='🌱 Configuração'!$D$51,'🌱 Configuração'!$B$51+44&lt;'🌱 Configuração'!$E$51,INT(('🌱 Configuração'!$B$51+44-'🌱 Configuração'!$D$51)/7)+1=2,MOD('🌱 Configuração'!$B$51+44-'🌱 Configuração'!$D$51,7)=0),"🐛 Trichoderma solo",IF(AND('🌱 Configuração'!$B$51+44&gt;='🌱 Configuração'!$D$51,'🌱 Configuração'!$B$51+44&lt;'🌱 Configuração'!$E$51,INT(('🌱 Configuração'!$B$51+44-'🌱 Configuração'!$D$51)/7)+1=3,MOD('🌱 Configuração'!$B$51+44-'🌱 Configuração'!$D$51,7)=0),"🐛 Beauveria bassiana solo",IF(AND('🌱 Configuração'!$B$51+44&gt;='🌱 Configuração'!$D$51,'🌱 Configuração'!$B$51+44&lt;'🌱 Configuração'!$E$51,INT(('🌱 Configuração'!$B$51+44-'🌱 Configuração'!$D$51)/7)+1=4,MOD('🌱 Configuração'!$B$51+44-'🌱 Configuração'!$D$51,7)=0),"🐛 Trichoderma solo",IF(AND('🌱 Configuração'!$B$51+44&gt;='🌱 Configuração'!$E$51,INT(('🌱 Configuração'!$B$51+44-'🌱 Configuração'!$E$51)/7)+1=1,MOD('🌱 Configuração'!$B$51+44-'🌱 Configuração'!$E$51,7)=0),"🐛 Inspeção final — sem aplicação",""))))))))))))))</f>
        <v/>
      </c>
      <c r="H50" s="22" t="str">
        <f>IF(45&gt;'🌱 Configuração'!$F$50,"",IF('🌱 Configuração'!$B$51+44='🌱 Configuração'!$C$51,"🌿 INÍCIO VEGA — ajustar espaço, luz 18h/dia — EC 0.8",IF('🌱 Configuração'!$B$51+44='🌱 Configuração'!$D$51,"🌸 INÍCIO FLORAÇÃO — mudar para 12h/12h — 🔴 atenção ao fotoperíodo",IF('🌱 Configuração'!$B$51+44='🌱 Configuração'!$E$51,"🚿 INÍCIO FLUSH — PARAR nutrição, somente água pura",IF('🌱 Configuração'!$B$51+44='🌱 Configuração'!$F$51-1,"🔬 Véspera da colheita — analisar tricomas âmbar",IF('🌱 Configuração'!$B$51+44='🌱 Configuração'!$F$51,"✂️ COLHEITA! Parabéns! 🎉",""))))))</f>
        <v/>
      </c>
    </row>
    <row r="51" spans="2:8" ht="18.75" customHeight="1" x14ac:dyDescent="0.3">
      <c r="B51" s="25">
        <f>IF(46&lt;='🌱 Configuração'!$F$50,46,"")</f>
        <v>46</v>
      </c>
      <c r="C51" s="26">
        <f>IF(46&lt;='🌱 Configuração'!$F$50,'🌱 Configuração'!$B$51+45,"")</f>
        <v>46068</v>
      </c>
      <c r="D51" s="27" t="str">
        <f>IF(46&gt;'🌱 Configuração'!$F$50,"",IF('🌱 Configuração'!$B$51+45&lt;'🌱 Configuração'!$C$51,"🌱 Clone",IF('🌱 Configuração'!$B$51+45&lt;'🌱 Configuração'!$D$51,"🌿 Vegetativo",IF('🌱 Configuração'!$B$51+45&lt;'🌱 Configuração'!$E$51,"🌸 Floração","🚿 Flush"))))</f>
        <v>🌿 Vegetativo</v>
      </c>
      <c r="E51" s="28" t="str">
        <f>IF(46&gt;'🌱 Configuração'!$F$50,"",IF('🌱 Configuração'!$B$51+45&lt;'🌱 Configuração'!$C$51,"Clone S"&amp;INT((46-1)/7)+1,IF('🌱 Configuração'!$B$51+45&lt;'🌱 Configuração'!$D$51,"Vega S"&amp;INT(('🌱 Configuração'!$B$51+45-'🌱 Configuração'!$C$51)/7)+1,IF('🌱 Configuração'!$B$51+45&lt;'🌱 Configuração'!$E$51,"Flora S"&amp;INT(('🌱 Configuração'!$B$51+45-'🌱 Configuração'!$D$51)/7)+1,"Flush S"&amp;INT(('🌱 Configuração'!$B$51+45-'🌱 Configuração'!$E$51)/7)+1))))</f>
        <v>Vega S5</v>
      </c>
      <c r="F51" s="29" t="str">
        <f>IF(46&gt;'🌱 Configuração'!$F$50,"",IF(AND('🌱 Configuração'!$B$51+45&lt;'🌱 Configuração'!$C$51,INT((46-1)/7)+1=1,MOD(46-1,7)=0),"🌱 Enraizador (0.5 mL/L)",IF(AND('🌱 Configuração'!$B$51+45&lt;'🌱 Configuração'!$C$51,INT((46-1)/7)+1=2,MOD(46-1,7)=0),"🌱 Enraizador + Vitamina B1",IF(AND('🌱 Configuração'!$B$51+45&gt;='🌱 Configuração'!$C$51,'🌱 Configuração'!$B$51+45&lt;'🌱 Configuração'!$D$51,INT(('🌱 Configuração'!$B$51+45-'🌱 Configuração'!$C$51)/7)+1=1,MOD('🌱 Configuração'!$B$51+45-'🌱 Configuração'!$C$51,7)=0),"🌿 Grow A+B início — EC 0.8",IF(AND('🌱 Configuração'!$B$51+45&gt;='🌱 Configuração'!$C$51,'🌱 Configuração'!$B$51+45&lt;'🌱 Configuração'!$D$51,INT(('🌱 Configuração'!$B$51+45-'🌱 Configuração'!$C$51)/7)+1=2,MOD('🌱 Configuração'!$B$51+45-'🌱 Configuração'!$C$51,7)=0),"🌿 Grow A+B + CalMag — EC 1.0",IF(AND('🌱 Configuração'!$B$51+45&gt;='🌱 Configuração'!$C$51,'🌱 Configuração'!$B$51+45&lt;'🌱 Configuração'!$D$51,INT(('🌱 Configuração'!$B$51+45-'🌱 Configuração'!$C$51)/7)+1=3,MOD('🌱 Configuração'!$B$51+45-'🌱 Configuração'!$C$51,7)=0),"🌿 Grow A+B + CalMag — EC 1.2",IF(AND('🌱 Configuração'!$B$51+45&gt;='🌱 Configuração'!$C$51,'🌱 Configuração'!$B$51+45&lt;'🌱 Configuração'!$D$51,INT(('🌱 Configuração'!$B$51+45-'🌱 Configuração'!$C$51)/7)+1=4,MOD('🌱 Configuração'!$B$51+45-'🌱 Configuração'!$C$51,7)=0),"🌿 Grow A+B + Enzimas — EC 1.4",IF(AND('🌱 Configuração'!$B$51+45&gt;='🌱 Configuração'!$C$51,'🌱 Configuração'!$B$51+45&lt;'🌱 Configuração'!$D$51,INT(('🌱 Configuração'!$B$51+45-'🌱 Configuração'!$C$51)/7)+1=5,MOD('🌱 Configuração'!$B$51+45-'🌱 Configuração'!$C$51,7)=0),"🌿 Grow A+B + Biorrizas — EC 1.5",IF(AND('🌱 Configuração'!$B$51+45&gt;='🌱 Configuração'!$C$51,'🌱 Configuração'!$B$51+45&lt;'🌱 Configuração'!$D$51,INT(('🌱 Configuração'!$B$51+45-'🌱 Configuração'!$C$51)/7)+1=6,MOD('🌱 Configuração'!$B$51+45-'🌱 Configuração'!$C$51,7)=0),"🌿 Transição Bloom — EC 1.4",IF(AND('🌱 Configuração'!$B$51+45&gt;='🌱 Configuração'!$C$51,'🌱 Configuração'!$B$51+45&lt;'🌱 Configuração'!$D$51,INT(('🌱 Configuração'!$B$51+45-'🌱 Configuração'!$C$51)/7)+1=7,MOD('🌱 Configuração'!$B$51+45-'🌱 Configuração'!$C$51,7)=0),"🌿 Bloom A+B transição — EC 1.4",IF(AND('🌱 Configuração'!$B$51+45&gt;='🌱 Configuração'!$C$51,'🌱 Configuração'!$B$51+45&lt;'🌱 Configuração'!$D$51,INT(('🌱 Configuração'!$B$51+45-'🌱 Configuração'!$C$51)/7)+1=8,MOD('🌱 Configuração'!$B$51+45-'🌱 Configuração'!$C$51,7)=0),"🌿 Bloom A+B — EC 1.4",IF(AND('🌱 Configuração'!$B$51+45&gt;='🌱 Configuração'!$D$51,'🌱 Configuração'!$B$51+45&lt;'🌱 Configuração'!$E$51,INT(('🌱 Configuração'!$B$51+45-'🌱 Configuração'!$D$51)/7)+1=1,MOD('🌱 Configuração'!$B$51+45-'🌱 Configuração'!$D$51,7)=0),"🌸 Bloom A+B — EC 1.6",IF(AND('🌱 Configuração'!$B$51+45&gt;='🌱 Configuração'!$D$51,'🌱 Configuração'!$B$51+45&lt;'🌱 Configuração'!$E$51,INT(('🌱 Configuração'!$B$51+45-'🌱 Configuração'!$D$51)/7)+1=2,MOD('🌱 Configuração'!$B$51+45-'🌱 Configuração'!$D$51,7)=0),"🌸 Bloom + PK 13/14 início",IF(AND('🌱 Configuração'!$B$51+45&gt;='🌱 Configuração'!$D$51,'🌱 Configuração'!$B$51+45&lt;'🌱 Configuração'!$E$51,INT(('🌱 Configuração'!$B$51+45-'🌱 Configuração'!$D$51)/7)+1=3,MOD('🌱 Configuração'!$B$51+45-'🌱 Configuração'!$D$51,7)=0),"🌸 Bloom + PK + CalMag — EC 1.8",IF(AND('🌱 Configuração'!$B$51+45&gt;='🌱 Configuração'!$D$51,'🌱 Configuração'!$B$51+45&lt;'🌱 Configuração'!$E$51,INT(('🌱 Configuração'!$B$51+45-'🌱 Configuração'!$D$51)/7)+1=4,MOD('🌱 Configuração'!$B$51+45-'🌱 Configuração'!$D$51,7)=0),"🌸 Bloom + PK + Boost Floral — EC 2.0",IF(AND('🌱 Configuração'!$B$51+45&gt;='🌱 Configuração'!$D$51,'🌱 Configuração'!$B$51+45&lt;'🌱 Configuração'!$E$51,INT(('🌱 Configuração'!$B$51+45-'🌱 Configuração'!$D$51)/7)+1=5,MOD('🌱 Configuração'!$B$51+45-'🌱 Configuração'!$D$51,7)=0),"🌸 Bloom + Boost + Amino",IF(AND('🌱 Configuração'!$B$51+45&gt;='🌱 Configuração'!$D$51,'🌱 Configuração'!$B$51+45&lt;'🌱 Configuração'!$E$51,INT(('🌱 Configuração'!$B$51+45-'🌱 Configuração'!$D$51)/7)+1=6,MOD('🌱 Configuração'!$B$51+45-'🌱 Configuração'!$D$51,7)=0),"🌸 Bloom + Enzimas + Amino",IF(AND('🌱 Configuração'!$B$51+45&gt;='🌱 Configuração'!$D$51,'🌱 Configuração'!$B$51+45&lt;'🌱 Configuração'!$E$51,INT(('🌱 Configuração'!$B$51+45-'🌱 Configuração'!$D$51)/7)+1=7,MOD('🌱 Configuração'!$B$51+45-'🌱 Configuração'!$D$51,7)=0),"🌸 Reduzir N — Bloom puro — EC 1.6",IF(AND('🌱 Configuração'!$B$51+45&gt;='🌱 Configuração'!$D$51,'🌱 Configuração'!$B$51+45&lt;'🌱 Configuração'!$E$51,INT(('🌱 Configuração'!$B$51+45-'🌱 Configuração'!$D$51)/7)+1=8,MOD('🌱 Configuração'!$B$51+45-'🌱 Configuração'!$D$51,7)=0),"🌸 Bloom puro — EC 1.4  (pré-flush)",IF(AND('🌱 Configuração'!$B$51+45&gt;='🌱 Configuração'!$D$51,'🌱 Configuração'!$B$51+45&lt;'🌱 Configuração'!$E$51,INT(('🌱 Configuração'!$B$51+45-'🌱 Configuração'!$D$51)/7)+1=9,MOD('🌱 Configuração'!$B$51+45-'🌱 Configuração'!$D$51,7)=0),"🌸 Último Bloom — EC 0.8",IF(AND('🌱 Configuração'!$B$51+45&gt;='🌱 Configuração'!$E$51,INT(('🌱 Configuração'!$B$51+45-'🌱 Configuração'!$E$51)/7)+1=1,MOD('🌱 Configuração'!$B$51+45-'🌱 Configuração'!$E$51,7)=0),"🚿 Água pura + Enzimas (EC &lt; 0.3)",IF(AND('🌱 Configuração'!$B$51+45&gt;='🌱 Configuração'!$E$51,INT(('🌱 Configuração'!$B$51+45-'🌱 Configuração'!$E$51)/7)+1=2,MOD('🌱 Configuração'!$B$51+45-'🌱 Configuração'!$E$51,7)=0),"🚿 Água pura (EC &lt; 0.2)",""))))))))))))))))))))))</f>
        <v/>
      </c>
      <c r="G51" s="30" t="str">
        <f>IF(46&gt;'🌱 Configuração'!$F$50,"",IF(AND('🌱 Configuração'!$B$51+45&lt;'🌱 Configuração'!$C$51,INT((46-1)/7)+1=1,MOD(46-1,7)=0),"🐛 Nim 2mL/L foliar — preventivo",IF(AND('🌱 Configuração'!$B$51+45&lt;'🌱 Configuração'!$C$51,INT((46-1)/7)+1=2,MOD(46-1,7)=0),"🐛 Beauveria bassiana foliar + solo",IF(AND('🌱 Configuração'!$B$51+45&gt;='🌱 Configuração'!$C$51,'🌱 Configuração'!$B$51+45&lt;'🌱 Configuração'!$D$51,INT(('🌱 Configuração'!$B$51+45-'🌱 Configuração'!$C$51)/7)+1=1,MOD('🌱 Configuração'!$B$51+45-'🌱 Configuração'!$C$51,7)=0),"🐛 Nim 2mL/L foliar",IF(AND('🌱 Configuração'!$B$51+45&gt;='🌱 Configuração'!$C$51,'🌱 Configuração'!$B$51+45&lt;'🌱 Configuração'!$D$51,INT(('🌱 Configuração'!$B$51+45-'🌱 Configuração'!$C$51)/7)+1=2,MOD('🌱 Configuração'!$B$51+45-'🌱 Configuração'!$C$51,7)=0),"🐛 Beauveria bassiana foliar",IF(AND('🌱 Configuração'!$B$51+45&gt;='🌱 Configuração'!$C$51,'🌱 Configuração'!$B$51+45&lt;'🌱 Configuração'!$D$51,INT(('🌱 Configuração'!$B$51+45-'🌱 Configuração'!$C$51)/7)+1=3,MOD('🌱 Configuração'!$B$51+45-'🌱 Configuração'!$C$51,7)=0),"🐛 Nim + Calda Sulfocálcica 1%",IF(AND('🌱 Configuração'!$B$51+45&gt;='🌱 Configuração'!$C$51,'🌱 Configuração'!$B$51+45&lt;'🌱 Configuração'!$D$51,INT(('🌱 Configuração'!$B$51+45-'🌱 Configuração'!$C$51)/7)+1=4,MOD('🌱 Configuração'!$B$51+45-'🌱 Configuração'!$C$51,7)=0),"🐛 Trichoderma solo + Beauveria",IF(AND('🌱 Configuração'!$B$51+45&gt;='🌱 Configuração'!$C$51,'🌱 Configuração'!$B$51+45&lt;'🌱 Configuração'!$D$51,INT(('🌱 Configuração'!$B$51+45-'🌱 Configuração'!$C$51)/7)+1=5,MOD('🌱 Configuração'!$B$51+45-'🌱 Configuração'!$C$51,7)=0),"🐛 Calda Bordalesa 0.5% foliar",IF(AND('🌱 Configuração'!$B$51+45&gt;='🌱 Configuração'!$C$51,'🌱 Configuração'!$B$51+45&lt;'🌱 Configuração'!$D$51,INT(('🌱 Configuração'!$B$51+45-'🌱 Configuração'!$C$51)/7)+1=6,MOD('🌱 Configuração'!$B$51+45-'🌱 Configuração'!$C$51,7)=0),"🐛 Nim 2mL/L — ÚLTIMA foliar",IF(AND('🌱 Configuração'!$B$51+45&gt;='🌱 Configuração'!$D$51,'🌱 Configuração'!$B$51+45&lt;'🌱 Configuração'!$E$51,INT(('🌱 Configuração'!$B$51+45-'🌱 Configuração'!$D$51)/7)+1=1,MOD('🌱 Configuração'!$B$51+45-'🌱 Configuração'!$D$51,7)=0),"🐛 Beauveria bassiana solo (sem foliar)",IF(AND('🌱 Configuração'!$B$51+45&gt;='🌱 Configuração'!$D$51,'🌱 Configuração'!$B$51+45&lt;'🌱 Configuração'!$E$51,INT(('🌱 Configuração'!$B$51+45-'🌱 Configuração'!$D$51)/7)+1=2,MOD('🌱 Configuração'!$B$51+45-'🌱 Configuração'!$D$51,7)=0),"🐛 Trichoderma solo",IF(AND('🌱 Configuração'!$B$51+45&gt;='🌱 Configuração'!$D$51,'🌱 Configuração'!$B$51+45&lt;'🌱 Configuração'!$E$51,INT(('🌱 Configuração'!$B$51+45-'🌱 Configuração'!$D$51)/7)+1=3,MOD('🌱 Configuração'!$B$51+45-'🌱 Configuração'!$D$51,7)=0),"🐛 Beauveria bassiana solo",IF(AND('🌱 Configuração'!$B$51+45&gt;='🌱 Configuração'!$D$51,'🌱 Configuração'!$B$51+45&lt;'🌱 Configuração'!$E$51,INT(('🌱 Configuração'!$B$51+45-'🌱 Configuração'!$D$51)/7)+1=4,MOD('🌱 Configuração'!$B$51+45-'🌱 Configuração'!$D$51,7)=0),"🐛 Trichoderma solo",IF(AND('🌱 Configuração'!$B$51+45&gt;='🌱 Configuração'!$E$51,INT(('🌱 Configuração'!$B$51+45-'🌱 Configuração'!$E$51)/7)+1=1,MOD('🌱 Configuração'!$B$51+45-'🌱 Configuração'!$E$51,7)=0),"🐛 Inspeção final — sem aplicação",""))))))))))))))</f>
        <v/>
      </c>
      <c r="H51" s="22" t="str">
        <f>IF(46&gt;'🌱 Configuração'!$F$50,"",IF('🌱 Configuração'!$B$51+45='🌱 Configuração'!$C$51,"🌿 INÍCIO VEGA — ajustar espaço, luz 18h/dia — EC 0.8",IF('🌱 Configuração'!$B$51+45='🌱 Configuração'!$D$51,"🌸 INÍCIO FLORAÇÃO — mudar para 12h/12h — 🔴 atenção ao fotoperíodo",IF('🌱 Configuração'!$B$51+45='🌱 Configuração'!$E$51,"🚿 INÍCIO FLUSH — PARAR nutrição, somente água pura",IF('🌱 Configuração'!$B$51+45='🌱 Configuração'!$F$51-1,"🔬 Véspera da colheita — analisar tricomas âmbar",IF('🌱 Configuração'!$B$51+45='🌱 Configuração'!$F$51,"✂️ COLHEITA! Parabéns! 🎉",""))))))</f>
        <v/>
      </c>
    </row>
    <row r="52" spans="2:8" ht="18.75" customHeight="1" x14ac:dyDescent="0.3">
      <c r="B52" s="25">
        <f>IF(47&lt;='🌱 Configuração'!$F$50,47,"")</f>
        <v>47</v>
      </c>
      <c r="C52" s="26">
        <f>IF(47&lt;='🌱 Configuração'!$F$50,'🌱 Configuração'!$B$51+46,"")</f>
        <v>46069</v>
      </c>
      <c r="D52" s="27" t="str">
        <f>IF(47&gt;'🌱 Configuração'!$F$50,"",IF('🌱 Configuração'!$B$51+46&lt;'🌱 Configuração'!$C$51,"🌱 Clone",IF('🌱 Configuração'!$B$51+46&lt;'🌱 Configuração'!$D$51,"🌿 Vegetativo",IF('🌱 Configuração'!$B$51+46&lt;'🌱 Configuração'!$E$51,"🌸 Floração","🚿 Flush"))))</f>
        <v>🌿 Vegetativo</v>
      </c>
      <c r="E52" s="28" t="str">
        <f>IF(47&gt;'🌱 Configuração'!$F$50,"",IF('🌱 Configuração'!$B$51+46&lt;'🌱 Configuração'!$C$51,"Clone S"&amp;INT((47-1)/7)+1,IF('🌱 Configuração'!$B$51+46&lt;'🌱 Configuração'!$D$51,"Vega S"&amp;INT(('🌱 Configuração'!$B$51+46-'🌱 Configuração'!$C$51)/7)+1,IF('🌱 Configuração'!$B$51+46&lt;'🌱 Configuração'!$E$51,"Flora S"&amp;INT(('🌱 Configuração'!$B$51+46-'🌱 Configuração'!$D$51)/7)+1,"Flush S"&amp;INT(('🌱 Configuração'!$B$51+46-'🌱 Configuração'!$E$51)/7)+1))))</f>
        <v>Vega S5</v>
      </c>
      <c r="F52" s="29" t="str">
        <f>IF(47&gt;'🌱 Configuração'!$F$50,"",IF(AND('🌱 Configuração'!$B$51+46&lt;'🌱 Configuração'!$C$51,INT((47-1)/7)+1=1,MOD(47-1,7)=0),"🌱 Enraizador (0.5 mL/L)",IF(AND('🌱 Configuração'!$B$51+46&lt;'🌱 Configuração'!$C$51,INT((47-1)/7)+1=2,MOD(47-1,7)=0),"🌱 Enraizador + Vitamina B1",IF(AND('🌱 Configuração'!$B$51+46&gt;='🌱 Configuração'!$C$51,'🌱 Configuração'!$B$51+46&lt;'🌱 Configuração'!$D$51,INT(('🌱 Configuração'!$B$51+46-'🌱 Configuração'!$C$51)/7)+1=1,MOD('🌱 Configuração'!$B$51+46-'🌱 Configuração'!$C$51,7)=0),"🌿 Grow A+B início — EC 0.8",IF(AND('🌱 Configuração'!$B$51+46&gt;='🌱 Configuração'!$C$51,'🌱 Configuração'!$B$51+46&lt;'🌱 Configuração'!$D$51,INT(('🌱 Configuração'!$B$51+46-'🌱 Configuração'!$C$51)/7)+1=2,MOD('🌱 Configuração'!$B$51+46-'🌱 Configuração'!$C$51,7)=0),"🌿 Grow A+B + CalMag — EC 1.0",IF(AND('🌱 Configuração'!$B$51+46&gt;='🌱 Configuração'!$C$51,'🌱 Configuração'!$B$51+46&lt;'🌱 Configuração'!$D$51,INT(('🌱 Configuração'!$B$51+46-'🌱 Configuração'!$C$51)/7)+1=3,MOD('🌱 Configuração'!$B$51+46-'🌱 Configuração'!$C$51,7)=0),"🌿 Grow A+B + CalMag — EC 1.2",IF(AND('🌱 Configuração'!$B$51+46&gt;='🌱 Configuração'!$C$51,'🌱 Configuração'!$B$51+46&lt;'🌱 Configuração'!$D$51,INT(('🌱 Configuração'!$B$51+46-'🌱 Configuração'!$C$51)/7)+1=4,MOD('🌱 Configuração'!$B$51+46-'🌱 Configuração'!$C$51,7)=0),"🌿 Grow A+B + Enzimas — EC 1.4",IF(AND('🌱 Configuração'!$B$51+46&gt;='🌱 Configuração'!$C$51,'🌱 Configuração'!$B$51+46&lt;'🌱 Configuração'!$D$51,INT(('🌱 Configuração'!$B$51+46-'🌱 Configuração'!$C$51)/7)+1=5,MOD('🌱 Configuração'!$B$51+46-'🌱 Configuração'!$C$51,7)=0),"🌿 Grow A+B + Biorrizas — EC 1.5",IF(AND('🌱 Configuração'!$B$51+46&gt;='🌱 Configuração'!$C$51,'🌱 Configuração'!$B$51+46&lt;'🌱 Configuração'!$D$51,INT(('🌱 Configuração'!$B$51+46-'🌱 Configuração'!$C$51)/7)+1=6,MOD('🌱 Configuração'!$B$51+46-'🌱 Configuração'!$C$51,7)=0),"🌿 Transição Bloom — EC 1.4",IF(AND('🌱 Configuração'!$B$51+46&gt;='🌱 Configuração'!$C$51,'🌱 Configuração'!$B$51+46&lt;'🌱 Configuração'!$D$51,INT(('🌱 Configuração'!$B$51+46-'🌱 Configuração'!$C$51)/7)+1=7,MOD('🌱 Configuração'!$B$51+46-'🌱 Configuração'!$C$51,7)=0),"🌿 Bloom A+B transição — EC 1.4",IF(AND('🌱 Configuração'!$B$51+46&gt;='🌱 Configuração'!$C$51,'🌱 Configuração'!$B$51+46&lt;'🌱 Configuração'!$D$51,INT(('🌱 Configuração'!$B$51+46-'🌱 Configuração'!$C$51)/7)+1=8,MOD('🌱 Configuração'!$B$51+46-'🌱 Configuração'!$C$51,7)=0),"🌿 Bloom A+B — EC 1.4",IF(AND('🌱 Configuração'!$B$51+46&gt;='🌱 Configuração'!$D$51,'🌱 Configuração'!$B$51+46&lt;'🌱 Configuração'!$E$51,INT(('🌱 Configuração'!$B$51+46-'🌱 Configuração'!$D$51)/7)+1=1,MOD('🌱 Configuração'!$B$51+46-'🌱 Configuração'!$D$51,7)=0),"🌸 Bloom A+B — EC 1.6",IF(AND('🌱 Configuração'!$B$51+46&gt;='🌱 Configuração'!$D$51,'🌱 Configuração'!$B$51+46&lt;'🌱 Configuração'!$E$51,INT(('🌱 Configuração'!$B$51+46-'🌱 Configuração'!$D$51)/7)+1=2,MOD('🌱 Configuração'!$B$51+46-'🌱 Configuração'!$D$51,7)=0),"🌸 Bloom + PK 13/14 início",IF(AND('🌱 Configuração'!$B$51+46&gt;='🌱 Configuração'!$D$51,'🌱 Configuração'!$B$51+46&lt;'🌱 Configuração'!$E$51,INT(('🌱 Configuração'!$B$51+46-'🌱 Configuração'!$D$51)/7)+1=3,MOD('🌱 Configuração'!$B$51+46-'🌱 Configuração'!$D$51,7)=0),"🌸 Bloom + PK + CalMag — EC 1.8",IF(AND('🌱 Configuração'!$B$51+46&gt;='🌱 Configuração'!$D$51,'🌱 Configuração'!$B$51+46&lt;'🌱 Configuração'!$E$51,INT(('🌱 Configuração'!$B$51+46-'🌱 Configuração'!$D$51)/7)+1=4,MOD('🌱 Configuração'!$B$51+46-'🌱 Configuração'!$D$51,7)=0),"🌸 Bloom + PK + Boost Floral — EC 2.0",IF(AND('🌱 Configuração'!$B$51+46&gt;='🌱 Configuração'!$D$51,'🌱 Configuração'!$B$51+46&lt;'🌱 Configuração'!$E$51,INT(('🌱 Configuração'!$B$51+46-'🌱 Configuração'!$D$51)/7)+1=5,MOD('🌱 Configuração'!$B$51+46-'🌱 Configuração'!$D$51,7)=0),"🌸 Bloom + Boost + Amino",IF(AND('🌱 Configuração'!$B$51+46&gt;='🌱 Configuração'!$D$51,'🌱 Configuração'!$B$51+46&lt;'🌱 Configuração'!$E$51,INT(('🌱 Configuração'!$B$51+46-'🌱 Configuração'!$D$51)/7)+1=6,MOD('🌱 Configuração'!$B$51+46-'🌱 Configuração'!$D$51,7)=0),"🌸 Bloom + Enzimas + Amino",IF(AND('🌱 Configuração'!$B$51+46&gt;='🌱 Configuração'!$D$51,'🌱 Configuração'!$B$51+46&lt;'🌱 Configuração'!$E$51,INT(('🌱 Configuração'!$B$51+46-'🌱 Configuração'!$D$51)/7)+1=7,MOD('🌱 Configuração'!$B$51+46-'🌱 Configuração'!$D$51,7)=0),"🌸 Reduzir N — Bloom puro — EC 1.6",IF(AND('🌱 Configuração'!$B$51+46&gt;='🌱 Configuração'!$D$51,'🌱 Configuração'!$B$51+46&lt;'🌱 Configuração'!$E$51,INT(('🌱 Configuração'!$B$51+46-'🌱 Configuração'!$D$51)/7)+1=8,MOD('🌱 Configuração'!$B$51+46-'🌱 Configuração'!$D$51,7)=0),"🌸 Bloom puro — EC 1.4  (pré-flush)",IF(AND('🌱 Configuração'!$B$51+46&gt;='🌱 Configuração'!$D$51,'🌱 Configuração'!$B$51+46&lt;'🌱 Configuração'!$E$51,INT(('🌱 Configuração'!$B$51+46-'🌱 Configuração'!$D$51)/7)+1=9,MOD('🌱 Configuração'!$B$51+46-'🌱 Configuração'!$D$51,7)=0),"🌸 Último Bloom — EC 0.8",IF(AND('🌱 Configuração'!$B$51+46&gt;='🌱 Configuração'!$E$51,INT(('🌱 Configuração'!$B$51+46-'🌱 Configuração'!$E$51)/7)+1=1,MOD('🌱 Configuração'!$B$51+46-'🌱 Configuração'!$E$51,7)=0),"🚿 Água pura + Enzimas (EC &lt; 0.3)",IF(AND('🌱 Configuração'!$B$51+46&gt;='🌱 Configuração'!$E$51,INT(('🌱 Configuração'!$B$51+46-'🌱 Configuração'!$E$51)/7)+1=2,MOD('🌱 Configuração'!$B$51+46-'🌱 Configuração'!$E$51,7)=0),"🚿 Água pura (EC &lt; 0.2)",""))))))))))))))))))))))</f>
        <v/>
      </c>
      <c r="G52" s="30" t="str">
        <f>IF(47&gt;'🌱 Configuração'!$F$50,"",IF(AND('🌱 Configuração'!$B$51+46&lt;'🌱 Configuração'!$C$51,INT((47-1)/7)+1=1,MOD(47-1,7)=0),"🐛 Nim 2mL/L foliar — preventivo",IF(AND('🌱 Configuração'!$B$51+46&lt;'🌱 Configuração'!$C$51,INT((47-1)/7)+1=2,MOD(47-1,7)=0),"🐛 Beauveria bassiana foliar + solo",IF(AND('🌱 Configuração'!$B$51+46&gt;='🌱 Configuração'!$C$51,'🌱 Configuração'!$B$51+46&lt;'🌱 Configuração'!$D$51,INT(('🌱 Configuração'!$B$51+46-'🌱 Configuração'!$C$51)/7)+1=1,MOD('🌱 Configuração'!$B$51+46-'🌱 Configuração'!$C$51,7)=0),"🐛 Nim 2mL/L foliar",IF(AND('🌱 Configuração'!$B$51+46&gt;='🌱 Configuração'!$C$51,'🌱 Configuração'!$B$51+46&lt;'🌱 Configuração'!$D$51,INT(('🌱 Configuração'!$B$51+46-'🌱 Configuração'!$C$51)/7)+1=2,MOD('🌱 Configuração'!$B$51+46-'🌱 Configuração'!$C$51,7)=0),"🐛 Beauveria bassiana foliar",IF(AND('🌱 Configuração'!$B$51+46&gt;='🌱 Configuração'!$C$51,'🌱 Configuração'!$B$51+46&lt;'🌱 Configuração'!$D$51,INT(('🌱 Configuração'!$B$51+46-'🌱 Configuração'!$C$51)/7)+1=3,MOD('🌱 Configuração'!$B$51+46-'🌱 Configuração'!$C$51,7)=0),"🐛 Nim + Calda Sulfocálcica 1%",IF(AND('🌱 Configuração'!$B$51+46&gt;='🌱 Configuração'!$C$51,'🌱 Configuração'!$B$51+46&lt;'🌱 Configuração'!$D$51,INT(('🌱 Configuração'!$B$51+46-'🌱 Configuração'!$C$51)/7)+1=4,MOD('🌱 Configuração'!$B$51+46-'🌱 Configuração'!$C$51,7)=0),"🐛 Trichoderma solo + Beauveria",IF(AND('🌱 Configuração'!$B$51+46&gt;='🌱 Configuração'!$C$51,'🌱 Configuração'!$B$51+46&lt;'🌱 Configuração'!$D$51,INT(('🌱 Configuração'!$B$51+46-'🌱 Configuração'!$C$51)/7)+1=5,MOD('🌱 Configuração'!$B$51+46-'🌱 Configuração'!$C$51,7)=0),"🐛 Calda Bordalesa 0.5% foliar",IF(AND('🌱 Configuração'!$B$51+46&gt;='🌱 Configuração'!$C$51,'🌱 Configuração'!$B$51+46&lt;'🌱 Configuração'!$D$51,INT(('🌱 Configuração'!$B$51+46-'🌱 Configuração'!$C$51)/7)+1=6,MOD('🌱 Configuração'!$B$51+46-'🌱 Configuração'!$C$51,7)=0),"🐛 Nim 2mL/L — ÚLTIMA foliar",IF(AND('🌱 Configuração'!$B$51+46&gt;='🌱 Configuração'!$D$51,'🌱 Configuração'!$B$51+46&lt;'🌱 Configuração'!$E$51,INT(('🌱 Configuração'!$B$51+46-'🌱 Configuração'!$D$51)/7)+1=1,MOD('🌱 Configuração'!$B$51+46-'🌱 Configuração'!$D$51,7)=0),"🐛 Beauveria bassiana solo (sem foliar)",IF(AND('🌱 Configuração'!$B$51+46&gt;='🌱 Configuração'!$D$51,'🌱 Configuração'!$B$51+46&lt;'🌱 Configuração'!$E$51,INT(('🌱 Configuração'!$B$51+46-'🌱 Configuração'!$D$51)/7)+1=2,MOD('🌱 Configuração'!$B$51+46-'🌱 Configuração'!$D$51,7)=0),"🐛 Trichoderma solo",IF(AND('🌱 Configuração'!$B$51+46&gt;='🌱 Configuração'!$D$51,'🌱 Configuração'!$B$51+46&lt;'🌱 Configuração'!$E$51,INT(('🌱 Configuração'!$B$51+46-'🌱 Configuração'!$D$51)/7)+1=3,MOD('🌱 Configuração'!$B$51+46-'🌱 Configuração'!$D$51,7)=0),"🐛 Beauveria bassiana solo",IF(AND('🌱 Configuração'!$B$51+46&gt;='🌱 Configuração'!$D$51,'🌱 Configuração'!$B$51+46&lt;'🌱 Configuração'!$E$51,INT(('🌱 Configuração'!$B$51+46-'🌱 Configuração'!$D$51)/7)+1=4,MOD('🌱 Configuração'!$B$51+46-'🌱 Configuração'!$D$51,7)=0),"🐛 Trichoderma solo",IF(AND('🌱 Configuração'!$B$51+46&gt;='🌱 Configuração'!$E$51,INT(('🌱 Configuração'!$B$51+46-'🌱 Configuração'!$E$51)/7)+1=1,MOD('🌱 Configuração'!$B$51+46-'🌱 Configuração'!$E$51,7)=0),"🐛 Inspeção final — sem aplicação",""))))))))))))))</f>
        <v/>
      </c>
      <c r="H52" s="22" t="str">
        <f>IF(47&gt;'🌱 Configuração'!$F$50,"",IF('🌱 Configuração'!$B$51+46='🌱 Configuração'!$C$51,"🌿 INÍCIO VEGA — ajustar espaço, luz 18h/dia — EC 0.8",IF('🌱 Configuração'!$B$51+46='🌱 Configuração'!$D$51,"🌸 INÍCIO FLORAÇÃO — mudar para 12h/12h — 🔴 atenção ao fotoperíodo",IF('🌱 Configuração'!$B$51+46='🌱 Configuração'!$E$51,"🚿 INÍCIO FLUSH — PARAR nutrição, somente água pura",IF('🌱 Configuração'!$B$51+46='🌱 Configuração'!$F$51-1,"🔬 Véspera da colheita — analisar tricomas âmbar",IF('🌱 Configuração'!$B$51+46='🌱 Configuração'!$F$51,"✂️ COLHEITA! Parabéns! 🎉",""))))))</f>
        <v/>
      </c>
    </row>
    <row r="53" spans="2:8" ht="18.75" customHeight="1" x14ac:dyDescent="0.3">
      <c r="B53" s="25">
        <f>IF(48&lt;='🌱 Configuração'!$F$50,48,"")</f>
        <v>48</v>
      </c>
      <c r="C53" s="26">
        <f>IF(48&lt;='🌱 Configuração'!$F$50,'🌱 Configuração'!$B$51+47,"")</f>
        <v>46070</v>
      </c>
      <c r="D53" s="27" t="str">
        <f>IF(48&gt;'🌱 Configuração'!$F$50,"",IF('🌱 Configuração'!$B$51+47&lt;'🌱 Configuração'!$C$51,"🌱 Clone",IF('🌱 Configuração'!$B$51+47&lt;'🌱 Configuração'!$D$51,"🌿 Vegetativo",IF('🌱 Configuração'!$B$51+47&lt;'🌱 Configuração'!$E$51,"🌸 Floração","🚿 Flush"))))</f>
        <v>🌿 Vegetativo</v>
      </c>
      <c r="E53" s="28" t="str">
        <f>IF(48&gt;'🌱 Configuração'!$F$50,"",IF('🌱 Configuração'!$B$51+47&lt;'🌱 Configuração'!$C$51,"Clone S"&amp;INT((48-1)/7)+1,IF('🌱 Configuração'!$B$51+47&lt;'🌱 Configuração'!$D$51,"Vega S"&amp;INT(('🌱 Configuração'!$B$51+47-'🌱 Configuração'!$C$51)/7)+1,IF('🌱 Configuração'!$B$51+47&lt;'🌱 Configuração'!$E$51,"Flora S"&amp;INT(('🌱 Configuração'!$B$51+47-'🌱 Configuração'!$D$51)/7)+1,"Flush S"&amp;INT(('🌱 Configuração'!$B$51+47-'🌱 Configuração'!$E$51)/7)+1))))</f>
        <v>Vega S5</v>
      </c>
      <c r="F53" s="29" t="str">
        <f>IF(48&gt;'🌱 Configuração'!$F$50,"",IF(AND('🌱 Configuração'!$B$51+47&lt;'🌱 Configuração'!$C$51,INT((48-1)/7)+1=1,MOD(48-1,7)=0),"🌱 Enraizador (0.5 mL/L)",IF(AND('🌱 Configuração'!$B$51+47&lt;'🌱 Configuração'!$C$51,INT((48-1)/7)+1=2,MOD(48-1,7)=0),"🌱 Enraizador + Vitamina B1",IF(AND('🌱 Configuração'!$B$51+47&gt;='🌱 Configuração'!$C$51,'🌱 Configuração'!$B$51+47&lt;'🌱 Configuração'!$D$51,INT(('🌱 Configuração'!$B$51+47-'🌱 Configuração'!$C$51)/7)+1=1,MOD('🌱 Configuração'!$B$51+47-'🌱 Configuração'!$C$51,7)=0),"🌿 Grow A+B início — EC 0.8",IF(AND('🌱 Configuração'!$B$51+47&gt;='🌱 Configuração'!$C$51,'🌱 Configuração'!$B$51+47&lt;'🌱 Configuração'!$D$51,INT(('🌱 Configuração'!$B$51+47-'🌱 Configuração'!$C$51)/7)+1=2,MOD('🌱 Configuração'!$B$51+47-'🌱 Configuração'!$C$51,7)=0),"🌿 Grow A+B + CalMag — EC 1.0",IF(AND('🌱 Configuração'!$B$51+47&gt;='🌱 Configuração'!$C$51,'🌱 Configuração'!$B$51+47&lt;'🌱 Configuração'!$D$51,INT(('🌱 Configuração'!$B$51+47-'🌱 Configuração'!$C$51)/7)+1=3,MOD('🌱 Configuração'!$B$51+47-'🌱 Configuração'!$C$51,7)=0),"🌿 Grow A+B + CalMag — EC 1.2",IF(AND('🌱 Configuração'!$B$51+47&gt;='🌱 Configuração'!$C$51,'🌱 Configuração'!$B$51+47&lt;'🌱 Configuração'!$D$51,INT(('🌱 Configuração'!$B$51+47-'🌱 Configuração'!$C$51)/7)+1=4,MOD('🌱 Configuração'!$B$51+47-'🌱 Configuração'!$C$51,7)=0),"🌿 Grow A+B + Enzimas — EC 1.4",IF(AND('🌱 Configuração'!$B$51+47&gt;='🌱 Configuração'!$C$51,'🌱 Configuração'!$B$51+47&lt;'🌱 Configuração'!$D$51,INT(('🌱 Configuração'!$B$51+47-'🌱 Configuração'!$C$51)/7)+1=5,MOD('🌱 Configuração'!$B$51+47-'🌱 Configuração'!$C$51,7)=0),"🌿 Grow A+B + Biorrizas — EC 1.5",IF(AND('🌱 Configuração'!$B$51+47&gt;='🌱 Configuração'!$C$51,'🌱 Configuração'!$B$51+47&lt;'🌱 Configuração'!$D$51,INT(('🌱 Configuração'!$B$51+47-'🌱 Configuração'!$C$51)/7)+1=6,MOD('🌱 Configuração'!$B$51+47-'🌱 Configuração'!$C$51,7)=0),"🌿 Transição Bloom — EC 1.4",IF(AND('🌱 Configuração'!$B$51+47&gt;='🌱 Configuração'!$C$51,'🌱 Configuração'!$B$51+47&lt;'🌱 Configuração'!$D$51,INT(('🌱 Configuração'!$B$51+47-'🌱 Configuração'!$C$51)/7)+1=7,MOD('🌱 Configuração'!$B$51+47-'🌱 Configuração'!$C$51,7)=0),"🌿 Bloom A+B transição — EC 1.4",IF(AND('🌱 Configuração'!$B$51+47&gt;='🌱 Configuração'!$C$51,'🌱 Configuração'!$B$51+47&lt;'🌱 Configuração'!$D$51,INT(('🌱 Configuração'!$B$51+47-'🌱 Configuração'!$C$51)/7)+1=8,MOD('🌱 Configuração'!$B$51+47-'🌱 Configuração'!$C$51,7)=0),"🌿 Bloom A+B — EC 1.4",IF(AND('🌱 Configuração'!$B$51+47&gt;='🌱 Configuração'!$D$51,'🌱 Configuração'!$B$51+47&lt;'🌱 Configuração'!$E$51,INT(('🌱 Configuração'!$B$51+47-'🌱 Configuração'!$D$51)/7)+1=1,MOD('🌱 Configuração'!$B$51+47-'🌱 Configuração'!$D$51,7)=0),"🌸 Bloom A+B — EC 1.6",IF(AND('🌱 Configuração'!$B$51+47&gt;='🌱 Configuração'!$D$51,'🌱 Configuração'!$B$51+47&lt;'🌱 Configuração'!$E$51,INT(('🌱 Configuração'!$B$51+47-'🌱 Configuração'!$D$51)/7)+1=2,MOD('🌱 Configuração'!$B$51+47-'🌱 Configuração'!$D$51,7)=0),"🌸 Bloom + PK 13/14 início",IF(AND('🌱 Configuração'!$B$51+47&gt;='🌱 Configuração'!$D$51,'🌱 Configuração'!$B$51+47&lt;'🌱 Configuração'!$E$51,INT(('🌱 Configuração'!$B$51+47-'🌱 Configuração'!$D$51)/7)+1=3,MOD('🌱 Configuração'!$B$51+47-'🌱 Configuração'!$D$51,7)=0),"🌸 Bloom + PK + CalMag — EC 1.8",IF(AND('🌱 Configuração'!$B$51+47&gt;='🌱 Configuração'!$D$51,'🌱 Configuração'!$B$51+47&lt;'🌱 Configuração'!$E$51,INT(('🌱 Configuração'!$B$51+47-'🌱 Configuração'!$D$51)/7)+1=4,MOD('🌱 Configuração'!$B$51+47-'🌱 Configuração'!$D$51,7)=0),"🌸 Bloom + PK + Boost Floral — EC 2.0",IF(AND('🌱 Configuração'!$B$51+47&gt;='🌱 Configuração'!$D$51,'🌱 Configuração'!$B$51+47&lt;'🌱 Configuração'!$E$51,INT(('🌱 Configuração'!$B$51+47-'🌱 Configuração'!$D$51)/7)+1=5,MOD('🌱 Configuração'!$B$51+47-'🌱 Configuração'!$D$51,7)=0),"🌸 Bloom + Boost + Amino",IF(AND('🌱 Configuração'!$B$51+47&gt;='🌱 Configuração'!$D$51,'🌱 Configuração'!$B$51+47&lt;'🌱 Configuração'!$E$51,INT(('🌱 Configuração'!$B$51+47-'🌱 Configuração'!$D$51)/7)+1=6,MOD('🌱 Configuração'!$B$51+47-'🌱 Configuração'!$D$51,7)=0),"🌸 Bloom + Enzimas + Amino",IF(AND('🌱 Configuração'!$B$51+47&gt;='🌱 Configuração'!$D$51,'🌱 Configuração'!$B$51+47&lt;'🌱 Configuração'!$E$51,INT(('🌱 Configuração'!$B$51+47-'🌱 Configuração'!$D$51)/7)+1=7,MOD('🌱 Configuração'!$B$51+47-'🌱 Configuração'!$D$51,7)=0),"🌸 Reduzir N — Bloom puro — EC 1.6",IF(AND('🌱 Configuração'!$B$51+47&gt;='🌱 Configuração'!$D$51,'🌱 Configuração'!$B$51+47&lt;'🌱 Configuração'!$E$51,INT(('🌱 Configuração'!$B$51+47-'🌱 Configuração'!$D$51)/7)+1=8,MOD('🌱 Configuração'!$B$51+47-'🌱 Configuração'!$D$51,7)=0),"🌸 Bloom puro — EC 1.4  (pré-flush)",IF(AND('🌱 Configuração'!$B$51+47&gt;='🌱 Configuração'!$D$51,'🌱 Configuração'!$B$51+47&lt;'🌱 Configuração'!$E$51,INT(('🌱 Configuração'!$B$51+47-'🌱 Configuração'!$D$51)/7)+1=9,MOD('🌱 Configuração'!$B$51+47-'🌱 Configuração'!$D$51,7)=0),"🌸 Último Bloom — EC 0.8",IF(AND('🌱 Configuração'!$B$51+47&gt;='🌱 Configuração'!$E$51,INT(('🌱 Configuração'!$B$51+47-'🌱 Configuração'!$E$51)/7)+1=1,MOD('🌱 Configuração'!$B$51+47-'🌱 Configuração'!$E$51,7)=0),"🚿 Água pura + Enzimas (EC &lt; 0.3)",IF(AND('🌱 Configuração'!$B$51+47&gt;='🌱 Configuração'!$E$51,INT(('🌱 Configuração'!$B$51+47-'🌱 Configuração'!$E$51)/7)+1=2,MOD('🌱 Configuração'!$B$51+47-'🌱 Configuração'!$E$51,7)=0),"🚿 Água pura (EC &lt; 0.2)",""))))))))))))))))))))))</f>
        <v/>
      </c>
      <c r="G53" s="30" t="str">
        <f>IF(48&gt;'🌱 Configuração'!$F$50,"",IF(AND('🌱 Configuração'!$B$51+47&lt;'🌱 Configuração'!$C$51,INT((48-1)/7)+1=1,MOD(48-1,7)=0),"🐛 Nim 2mL/L foliar — preventivo",IF(AND('🌱 Configuração'!$B$51+47&lt;'🌱 Configuração'!$C$51,INT((48-1)/7)+1=2,MOD(48-1,7)=0),"🐛 Beauveria bassiana foliar + solo",IF(AND('🌱 Configuração'!$B$51+47&gt;='🌱 Configuração'!$C$51,'🌱 Configuração'!$B$51+47&lt;'🌱 Configuração'!$D$51,INT(('🌱 Configuração'!$B$51+47-'🌱 Configuração'!$C$51)/7)+1=1,MOD('🌱 Configuração'!$B$51+47-'🌱 Configuração'!$C$51,7)=0),"🐛 Nim 2mL/L foliar",IF(AND('🌱 Configuração'!$B$51+47&gt;='🌱 Configuração'!$C$51,'🌱 Configuração'!$B$51+47&lt;'🌱 Configuração'!$D$51,INT(('🌱 Configuração'!$B$51+47-'🌱 Configuração'!$C$51)/7)+1=2,MOD('🌱 Configuração'!$B$51+47-'🌱 Configuração'!$C$51,7)=0),"🐛 Beauveria bassiana foliar",IF(AND('🌱 Configuração'!$B$51+47&gt;='🌱 Configuração'!$C$51,'🌱 Configuração'!$B$51+47&lt;'🌱 Configuração'!$D$51,INT(('🌱 Configuração'!$B$51+47-'🌱 Configuração'!$C$51)/7)+1=3,MOD('🌱 Configuração'!$B$51+47-'🌱 Configuração'!$C$51,7)=0),"🐛 Nim + Calda Sulfocálcica 1%",IF(AND('🌱 Configuração'!$B$51+47&gt;='🌱 Configuração'!$C$51,'🌱 Configuração'!$B$51+47&lt;'🌱 Configuração'!$D$51,INT(('🌱 Configuração'!$B$51+47-'🌱 Configuração'!$C$51)/7)+1=4,MOD('🌱 Configuração'!$B$51+47-'🌱 Configuração'!$C$51,7)=0),"🐛 Trichoderma solo + Beauveria",IF(AND('🌱 Configuração'!$B$51+47&gt;='🌱 Configuração'!$C$51,'🌱 Configuração'!$B$51+47&lt;'🌱 Configuração'!$D$51,INT(('🌱 Configuração'!$B$51+47-'🌱 Configuração'!$C$51)/7)+1=5,MOD('🌱 Configuração'!$B$51+47-'🌱 Configuração'!$C$51,7)=0),"🐛 Calda Bordalesa 0.5% foliar",IF(AND('🌱 Configuração'!$B$51+47&gt;='🌱 Configuração'!$C$51,'🌱 Configuração'!$B$51+47&lt;'🌱 Configuração'!$D$51,INT(('🌱 Configuração'!$B$51+47-'🌱 Configuração'!$C$51)/7)+1=6,MOD('🌱 Configuração'!$B$51+47-'🌱 Configuração'!$C$51,7)=0),"🐛 Nim 2mL/L — ÚLTIMA foliar",IF(AND('🌱 Configuração'!$B$51+47&gt;='🌱 Configuração'!$D$51,'🌱 Configuração'!$B$51+47&lt;'🌱 Configuração'!$E$51,INT(('🌱 Configuração'!$B$51+47-'🌱 Configuração'!$D$51)/7)+1=1,MOD('🌱 Configuração'!$B$51+47-'🌱 Configuração'!$D$51,7)=0),"🐛 Beauveria bassiana solo (sem foliar)",IF(AND('🌱 Configuração'!$B$51+47&gt;='🌱 Configuração'!$D$51,'🌱 Configuração'!$B$51+47&lt;'🌱 Configuração'!$E$51,INT(('🌱 Configuração'!$B$51+47-'🌱 Configuração'!$D$51)/7)+1=2,MOD('🌱 Configuração'!$B$51+47-'🌱 Configuração'!$D$51,7)=0),"🐛 Trichoderma solo",IF(AND('🌱 Configuração'!$B$51+47&gt;='🌱 Configuração'!$D$51,'🌱 Configuração'!$B$51+47&lt;'🌱 Configuração'!$E$51,INT(('🌱 Configuração'!$B$51+47-'🌱 Configuração'!$D$51)/7)+1=3,MOD('🌱 Configuração'!$B$51+47-'🌱 Configuração'!$D$51,7)=0),"🐛 Beauveria bassiana solo",IF(AND('🌱 Configuração'!$B$51+47&gt;='🌱 Configuração'!$D$51,'🌱 Configuração'!$B$51+47&lt;'🌱 Configuração'!$E$51,INT(('🌱 Configuração'!$B$51+47-'🌱 Configuração'!$D$51)/7)+1=4,MOD('🌱 Configuração'!$B$51+47-'🌱 Configuração'!$D$51,7)=0),"🐛 Trichoderma solo",IF(AND('🌱 Configuração'!$B$51+47&gt;='🌱 Configuração'!$E$51,INT(('🌱 Configuração'!$B$51+47-'🌱 Configuração'!$E$51)/7)+1=1,MOD('🌱 Configuração'!$B$51+47-'🌱 Configuração'!$E$51,7)=0),"🐛 Inspeção final — sem aplicação",""))))))))))))))</f>
        <v/>
      </c>
      <c r="H53" s="22" t="str">
        <f>IF(48&gt;'🌱 Configuração'!$F$50,"",IF('🌱 Configuração'!$B$51+47='🌱 Configuração'!$C$51,"🌿 INÍCIO VEGA — ajustar espaço, luz 18h/dia — EC 0.8",IF('🌱 Configuração'!$B$51+47='🌱 Configuração'!$D$51,"🌸 INÍCIO FLORAÇÃO — mudar para 12h/12h — 🔴 atenção ao fotoperíodo",IF('🌱 Configuração'!$B$51+47='🌱 Configuração'!$E$51,"🚿 INÍCIO FLUSH — PARAR nutrição, somente água pura",IF('🌱 Configuração'!$B$51+47='🌱 Configuração'!$F$51-1,"🔬 Véspera da colheita — analisar tricomas âmbar",IF('🌱 Configuração'!$B$51+47='🌱 Configuração'!$F$51,"✂️ COLHEITA! Parabéns! 🎉",""))))))</f>
        <v/>
      </c>
    </row>
    <row r="54" spans="2:8" ht="18.75" customHeight="1" x14ac:dyDescent="0.3">
      <c r="B54" s="25">
        <f>IF(49&lt;='🌱 Configuração'!$F$50,49,"")</f>
        <v>49</v>
      </c>
      <c r="C54" s="26">
        <f>IF(49&lt;='🌱 Configuração'!$F$50,'🌱 Configuração'!$B$51+48,"")</f>
        <v>46071</v>
      </c>
      <c r="D54" s="27" t="str">
        <f>IF(49&gt;'🌱 Configuração'!$F$50,"",IF('🌱 Configuração'!$B$51+48&lt;'🌱 Configuração'!$C$51,"🌱 Clone",IF('🌱 Configuração'!$B$51+48&lt;'🌱 Configuração'!$D$51,"🌿 Vegetativo",IF('🌱 Configuração'!$B$51+48&lt;'🌱 Configuração'!$E$51,"🌸 Floração","🚿 Flush"))))</f>
        <v>🌿 Vegetativo</v>
      </c>
      <c r="E54" s="28" t="str">
        <f>IF(49&gt;'🌱 Configuração'!$F$50,"",IF('🌱 Configuração'!$B$51+48&lt;'🌱 Configuração'!$C$51,"Clone S"&amp;INT((49-1)/7)+1,IF('🌱 Configuração'!$B$51+48&lt;'🌱 Configuração'!$D$51,"Vega S"&amp;INT(('🌱 Configuração'!$B$51+48-'🌱 Configuração'!$C$51)/7)+1,IF('🌱 Configuração'!$B$51+48&lt;'🌱 Configuração'!$E$51,"Flora S"&amp;INT(('🌱 Configuração'!$B$51+48-'🌱 Configuração'!$D$51)/7)+1,"Flush S"&amp;INT(('🌱 Configuração'!$B$51+48-'🌱 Configuração'!$E$51)/7)+1))))</f>
        <v>Vega S5</v>
      </c>
      <c r="F54" s="29" t="str">
        <f>IF(49&gt;'🌱 Configuração'!$F$50,"",IF(AND('🌱 Configuração'!$B$51+48&lt;'🌱 Configuração'!$C$51,INT((49-1)/7)+1=1,MOD(49-1,7)=0),"🌱 Enraizador (0.5 mL/L)",IF(AND('🌱 Configuração'!$B$51+48&lt;'🌱 Configuração'!$C$51,INT((49-1)/7)+1=2,MOD(49-1,7)=0),"🌱 Enraizador + Vitamina B1",IF(AND('🌱 Configuração'!$B$51+48&gt;='🌱 Configuração'!$C$51,'🌱 Configuração'!$B$51+48&lt;'🌱 Configuração'!$D$51,INT(('🌱 Configuração'!$B$51+48-'🌱 Configuração'!$C$51)/7)+1=1,MOD('🌱 Configuração'!$B$51+48-'🌱 Configuração'!$C$51,7)=0),"🌿 Grow A+B início — EC 0.8",IF(AND('🌱 Configuração'!$B$51+48&gt;='🌱 Configuração'!$C$51,'🌱 Configuração'!$B$51+48&lt;'🌱 Configuração'!$D$51,INT(('🌱 Configuração'!$B$51+48-'🌱 Configuração'!$C$51)/7)+1=2,MOD('🌱 Configuração'!$B$51+48-'🌱 Configuração'!$C$51,7)=0),"🌿 Grow A+B + CalMag — EC 1.0",IF(AND('🌱 Configuração'!$B$51+48&gt;='🌱 Configuração'!$C$51,'🌱 Configuração'!$B$51+48&lt;'🌱 Configuração'!$D$51,INT(('🌱 Configuração'!$B$51+48-'🌱 Configuração'!$C$51)/7)+1=3,MOD('🌱 Configuração'!$B$51+48-'🌱 Configuração'!$C$51,7)=0),"🌿 Grow A+B + CalMag — EC 1.2",IF(AND('🌱 Configuração'!$B$51+48&gt;='🌱 Configuração'!$C$51,'🌱 Configuração'!$B$51+48&lt;'🌱 Configuração'!$D$51,INT(('🌱 Configuração'!$B$51+48-'🌱 Configuração'!$C$51)/7)+1=4,MOD('🌱 Configuração'!$B$51+48-'🌱 Configuração'!$C$51,7)=0),"🌿 Grow A+B + Enzimas — EC 1.4",IF(AND('🌱 Configuração'!$B$51+48&gt;='🌱 Configuração'!$C$51,'🌱 Configuração'!$B$51+48&lt;'🌱 Configuração'!$D$51,INT(('🌱 Configuração'!$B$51+48-'🌱 Configuração'!$C$51)/7)+1=5,MOD('🌱 Configuração'!$B$51+48-'🌱 Configuração'!$C$51,7)=0),"🌿 Grow A+B + Biorrizas — EC 1.5",IF(AND('🌱 Configuração'!$B$51+48&gt;='🌱 Configuração'!$C$51,'🌱 Configuração'!$B$51+48&lt;'🌱 Configuração'!$D$51,INT(('🌱 Configuração'!$B$51+48-'🌱 Configuração'!$C$51)/7)+1=6,MOD('🌱 Configuração'!$B$51+48-'🌱 Configuração'!$C$51,7)=0),"🌿 Transição Bloom — EC 1.4",IF(AND('🌱 Configuração'!$B$51+48&gt;='🌱 Configuração'!$C$51,'🌱 Configuração'!$B$51+48&lt;'🌱 Configuração'!$D$51,INT(('🌱 Configuração'!$B$51+48-'🌱 Configuração'!$C$51)/7)+1=7,MOD('🌱 Configuração'!$B$51+48-'🌱 Configuração'!$C$51,7)=0),"🌿 Bloom A+B transição — EC 1.4",IF(AND('🌱 Configuração'!$B$51+48&gt;='🌱 Configuração'!$C$51,'🌱 Configuração'!$B$51+48&lt;'🌱 Configuração'!$D$51,INT(('🌱 Configuração'!$B$51+48-'🌱 Configuração'!$C$51)/7)+1=8,MOD('🌱 Configuração'!$B$51+48-'🌱 Configuração'!$C$51,7)=0),"🌿 Bloom A+B — EC 1.4",IF(AND('🌱 Configuração'!$B$51+48&gt;='🌱 Configuração'!$D$51,'🌱 Configuração'!$B$51+48&lt;'🌱 Configuração'!$E$51,INT(('🌱 Configuração'!$B$51+48-'🌱 Configuração'!$D$51)/7)+1=1,MOD('🌱 Configuração'!$B$51+48-'🌱 Configuração'!$D$51,7)=0),"🌸 Bloom A+B — EC 1.6",IF(AND('🌱 Configuração'!$B$51+48&gt;='🌱 Configuração'!$D$51,'🌱 Configuração'!$B$51+48&lt;'🌱 Configuração'!$E$51,INT(('🌱 Configuração'!$B$51+48-'🌱 Configuração'!$D$51)/7)+1=2,MOD('🌱 Configuração'!$B$51+48-'🌱 Configuração'!$D$51,7)=0),"🌸 Bloom + PK 13/14 início",IF(AND('🌱 Configuração'!$B$51+48&gt;='🌱 Configuração'!$D$51,'🌱 Configuração'!$B$51+48&lt;'🌱 Configuração'!$E$51,INT(('🌱 Configuração'!$B$51+48-'🌱 Configuração'!$D$51)/7)+1=3,MOD('🌱 Configuração'!$B$51+48-'🌱 Configuração'!$D$51,7)=0),"🌸 Bloom + PK + CalMag — EC 1.8",IF(AND('🌱 Configuração'!$B$51+48&gt;='🌱 Configuração'!$D$51,'🌱 Configuração'!$B$51+48&lt;'🌱 Configuração'!$E$51,INT(('🌱 Configuração'!$B$51+48-'🌱 Configuração'!$D$51)/7)+1=4,MOD('🌱 Configuração'!$B$51+48-'🌱 Configuração'!$D$51,7)=0),"🌸 Bloom + PK + Boost Floral — EC 2.0",IF(AND('🌱 Configuração'!$B$51+48&gt;='🌱 Configuração'!$D$51,'🌱 Configuração'!$B$51+48&lt;'🌱 Configuração'!$E$51,INT(('🌱 Configuração'!$B$51+48-'🌱 Configuração'!$D$51)/7)+1=5,MOD('🌱 Configuração'!$B$51+48-'🌱 Configuração'!$D$51,7)=0),"🌸 Bloom + Boost + Amino",IF(AND('🌱 Configuração'!$B$51+48&gt;='🌱 Configuração'!$D$51,'🌱 Configuração'!$B$51+48&lt;'🌱 Configuração'!$E$51,INT(('🌱 Configuração'!$B$51+48-'🌱 Configuração'!$D$51)/7)+1=6,MOD('🌱 Configuração'!$B$51+48-'🌱 Configuração'!$D$51,7)=0),"🌸 Bloom + Enzimas + Amino",IF(AND('🌱 Configuração'!$B$51+48&gt;='🌱 Configuração'!$D$51,'🌱 Configuração'!$B$51+48&lt;'🌱 Configuração'!$E$51,INT(('🌱 Configuração'!$B$51+48-'🌱 Configuração'!$D$51)/7)+1=7,MOD('🌱 Configuração'!$B$51+48-'🌱 Configuração'!$D$51,7)=0),"🌸 Reduzir N — Bloom puro — EC 1.6",IF(AND('🌱 Configuração'!$B$51+48&gt;='🌱 Configuração'!$D$51,'🌱 Configuração'!$B$51+48&lt;'🌱 Configuração'!$E$51,INT(('🌱 Configuração'!$B$51+48-'🌱 Configuração'!$D$51)/7)+1=8,MOD('🌱 Configuração'!$B$51+48-'🌱 Configuração'!$D$51,7)=0),"🌸 Bloom puro — EC 1.4  (pré-flush)",IF(AND('🌱 Configuração'!$B$51+48&gt;='🌱 Configuração'!$D$51,'🌱 Configuração'!$B$51+48&lt;'🌱 Configuração'!$E$51,INT(('🌱 Configuração'!$B$51+48-'🌱 Configuração'!$D$51)/7)+1=9,MOD('🌱 Configuração'!$B$51+48-'🌱 Configuração'!$D$51,7)=0),"🌸 Último Bloom — EC 0.8",IF(AND('🌱 Configuração'!$B$51+48&gt;='🌱 Configuração'!$E$51,INT(('🌱 Configuração'!$B$51+48-'🌱 Configuração'!$E$51)/7)+1=1,MOD('🌱 Configuração'!$B$51+48-'🌱 Configuração'!$E$51,7)=0),"🚿 Água pura + Enzimas (EC &lt; 0.3)",IF(AND('🌱 Configuração'!$B$51+48&gt;='🌱 Configuração'!$E$51,INT(('🌱 Configuração'!$B$51+48-'🌱 Configuração'!$E$51)/7)+1=2,MOD('🌱 Configuração'!$B$51+48-'🌱 Configuração'!$E$51,7)=0),"🚿 Água pura (EC &lt; 0.2)",""))))))))))))))))))))))</f>
        <v/>
      </c>
      <c r="G54" s="30" t="str">
        <f>IF(49&gt;'🌱 Configuração'!$F$50,"",IF(AND('🌱 Configuração'!$B$51+48&lt;'🌱 Configuração'!$C$51,INT((49-1)/7)+1=1,MOD(49-1,7)=0),"🐛 Nim 2mL/L foliar — preventivo",IF(AND('🌱 Configuração'!$B$51+48&lt;'🌱 Configuração'!$C$51,INT((49-1)/7)+1=2,MOD(49-1,7)=0),"🐛 Beauveria bassiana foliar + solo",IF(AND('🌱 Configuração'!$B$51+48&gt;='🌱 Configuração'!$C$51,'🌱 Configuração'!$B$51+48&lt;'🌱 Configuração'!$D$51,INT(('🌱 Configuração'!$B$51+48-'🌱 Configuração'!$C$51)/7)+1=1,MOD('🌱 Configuração'!$B$51+48-'🌱 Configuração'!$C$51,7)=0),"🐛 Nim 2mL/L foliar",IF(AND('🌱 Configuração'!$B$51+48&gt;='🌱 Configuração'!$C$51,'🌱 Configuração'!$B$51+48&lt;'🌱 Configuração'!$D$51,INT(('🌱 Configuração'!$B$51+48-'🌱 Configuração'!$C$51)/7)+1=2,MOD('🌱 Configuração'!$B$51+48-'🌱 Configuração'!$C$51,7)=0),"🐛 Beauveria bassiana foliar",IF(AND('🌱 Configuração'!$B$51+48&gt;='🌱 Configuração'!$C$51,'🌱 Configuração'!$B$51+48&lt;'🌱 Configuração'!$D$51,INT(('🌱 Configuração'!$B$51+48-'🌱 Configuração'!$C$51)/7)+1=3,MOD('🌱 Configuração'!$B$51+48-'🌱 Configuração'!$C$51,7)=0),"🐛 Nim + Calda Sulfocálcica 1%",IF(AND('🌱 Configuração'!$B$51+48&gt;='🌱 Configuração'!$C$51,'🌱 Configuração'!$B$51+48&lt;'🌱 Configuração'!$D$51,INT(('🌱 Configuração'!$B$51+48-'🌱 Configuração'!$C$51)/7)+1=4,MOD('🌱 Configuração'!$B$51+48-'🌱 Configuração'!$C$51,7)=0),"🐛 Trichoderma solo + Beauveria",IF(AND('🌱 Configuração'!$B$51+48&gt;='🌱 Configuração'!$C$51,'🌱 Configuração'!$B$51+48&lt;'🌱 Configuração'!$D$51,INT(('🌱 Configuração'!$B$51+48-'🌱 Configuração'!$C$51)/7)+1=5,MOD('🌱 Configuração'!$B$51+48-'🌱 Configuração'!$C$51,7)=0),"🐛 Calda Bordalesa 0.5% foliar",IF(AND('🌱 Configuração'!$B$51+48&gt;='🌱 Configuração'!$C$51,'🌱 Configuração'!$B$51+48&lt;'🌱 Configuração'!$D$51,INT(('🌱 Configuração'!$B$51+48-'🌱 Configuração'!$C$51)/7)+1=6,MOD('🌱 Configuração'!$B$51+48-'🌱 Configuração'!$C$51,7)=0),"🐛 Nim 2mL/L — ÚLTIMA foliar",IF(AND('🌱 Configuração'!$B$51+48&gt;='🌱 Configuração'!$D$51,'🌱 Configuração'!$B$51+48&lt;'🌱 Configuração'!$E$51,INT(('🌱 Configuração'!$B$51+48-'🌱 Configuração'!$D$51)/7)+1=1,MOD('🌱 Configuração'!$B$51+48-'🌱 Configuração'!$D$51,7)=0),"🐛 Beauveria bassiana solo (sem foliar)",IF(AND('🌱 Configuração'!$B$51+48&gt;='🌱 Configuração'!$D$51,'🌱 Configuração'!$B$51+48&lt;'🌱 Configuração'!$E$51,INT(('🌱 Configuração'!$B$51+48-'🌱 Configuração'!$D$51)/7)+1=2,MOD('🌱 Configuração'!$B$51+48-'🌱 Configuração'!$D$51,7)=0),"🐛 Trichoderma solo",IF(AND('🌱 Configuração'!$B$51+48&gt;='🌱 Configuração'!$D$51,'🌱 Configuração'!$B$51+48&lt;'🌱 Configuração'!$E$51,INT(('🌱 Configuração'!$B$51+48-'🌱 Configuração'!$D$51)/7)+1=3,MOD('🌱 Configuração'!$B$51+48-'🌱 Configuração'!$D$51,7)=0),"🐛 Beauveria bassiana solo",IF(AND('🌱 Configuração'!$B$51+48&gt;='🌱 Configuração'!$D$51,'🌱 Configuração'!$B$51+48&lt;'🌱 Configuração'!$E$51,INT(('🌱 Configuração'!$B$51+48-'🌱 Configuração'!$D$51)/7)+1=4,MOD('🌱 Configuração'!$B$51+48-'🌱 Configuração'!$D$51,7)=0),"🐛 Trichoderma solo",IF(AND('🌱 Configuração'!$B$51+48&gt;='🌱 Configuração'!$E$51,INT(('🌱 Configuração'!$B$51+48-'🌱 Configuração'!$E$51)/7)+1=1,MOD('🌱 Configuração'!$B$51+48-'🌱 Configuração'!$E$51,7)=0),"🐛 Inspeção final — sem aplicação",""))))))))))))))</f>
        <v/>
      </c>
      <c r="H54" s="22" t="str">
        <f>IF(49&gt;'🌱 Configuração'!$F$50,"",IF('🌱 Configuração'!$B$51+48='🌱 Configuração'!$C$51,"🌿 INÍCIO VEGA — ajustar espaço, luz 18h/dia — EC 0.8",IF('🌱 Configuração'!$B$51+48='🌱 Configuração'!$D$51,"🌸 INÍCIO FLORAÇÃO — mudar para 12h/12h — 🔴 atenção ao fotoperíodo",IF('🌱 Configuração'!$B$51+48='🌱 Configuração'!$E$51,"🚿 INÍCIO FLUSH — PARAR nutrição, somente água pura",IF('🌱 Configuração'!$B$51+48='🌱 Configuração'!$F$51-1,"🔬 Véspera da colheita — analisar tricomas âmbar",IF('🌱 Configuração'!$B$51+48='🌱 Configuração'!$F$51,"✂️ COLHEITA! Parabéns! 🎉",""))))))</f>
        <v/>
      </c>
    </row>
    <row r="55" spans="2:8" ht="18.75" customHeight="1" x14ac:dyDescent="0.3">
      <c r="B55" s="25">
        <f>IF(50&lt;='🌱 Configuração'!$F$50,50,"")</f>
        <v>50</v>
      </c>
      <c r="C55" s="26">
        <f>IF(50&lt;='🌱 Configuração'!$F$50,'🌱 Configuração'!$B$51+49,"")</f>
        <v>46072</v>
      </c>
      <c r="D55" s="27" t="str">
        <f>IF(50&gt;'🌱 Configuração'!$F$50,"",IF('🌱 Configuração'!$B$51+49&lt;'🌱 Configuração'!$C$51,"🌱 Clone",IF('🌱 Configuração'!$B$51+49&lt;'🌱 Configuração'!$D$51,"🌿 Vegetativo",IF('🌱 Configuração'!$B$51+49&lt;'🌱 Configuração'!$E$51,"🌸 Floração","🚿 Flush"))))</f>
        <v>🌿 Vegetativo</v>
      </c>
      <c r="E55" s="28" t="str">
        <f>IF(50&gt;'🌱 Configuração'!$F$50,"",IF('🌱 Configuração'!$B$51+49&lt;'🌱 Configuração'!$C$51,"Clone S"&amp;INT((50-1)/7)+1,IF('🌱 Configuração'!$B$51+49&lt;'🌱 Configuração'!$D$51,"Vega S"&amp;INT(('🌱 Configuração'!$B$51+49-'🌱 Configuração'!$C$51)/7)+1,IF('🌱 Configuração'!$B$51+49&lt;'🌱 Configuração'!$E$51,"Flora S"&amp;INT(('🌱 Configuração'!$B$51+49-'🌱 Configuração'!$D$51)/7)+1,"Flush S"&amp;INT(('🌱 Configuração'!$B$51+49-'🌱 Configuração'!$E$51)/7)+1))))</f>
        <v>Vega S6</v>
      </c>
      <c r="F55" s="29" t="str">
        <f>IF(50&gt;'🌱 Configuração'!$F$50,"",IF(AND('🌱 Configuração'!$B$51+49&lt;'🌱 Configuração'!$C$51,INT((50-1)/7)+1=1,MOD(50-1,7)=0),"🌱 Enraizador (0.5 mL/L)",IF(AND('🌱 Configuração'!$B$51+49&lt;'🌱 Configuração'!$C$51,INT((50-1)/7)+1=2,MOD(50-1,7)=0),"🌱 Enraizador + Vitamina B1",IF(AND('🌱 Configuração'!$B$51+49&gt;='🌱 Configuração'!$C$51,'🌱 Configuração'!$B$51+49&lt;'🌱 Configuração'!$D$51,INT(('🌱 Configuração'!$B$51+49-'🌱 Configuração'!$C$51)/7)+1=1,MOD('🌱 Configuração'!$B$51+49-'🌱 Configuração'!$C$51,7)=0),"🌿 Grow A+B início — EC 0.8",IF(AND('🌱 Configuração'!$B$51+49&gt;='🌱 Configuração'!$C$51,'🌱 Configuração'!$B$51+49&lt;'🌱 Configuração'!$D$51,INT(('🌱 Configuração'!$B$51+49-'🌱 Configuração'!$C$51)/7)+1=2,MOD('🌱 Configuração'!$B$51+49-'🌱 Configuração'!$C$51,7)=0),"🌿 Grow A+B + CalMag — EC 1.0",IF(AND('🌱 Configuração'!$B$51+49&gt;='🌱 Configuração'!$C$51,'🌱 Configuração'!$B$51+49&lt;'🌱 Configuração'!$D$51,INT(('🌱 Configuração'!$B$51+49-'🌱 Configuração'!$C$51)/7)+1=3,MOD('🌱 Configuração'!$B$51+49-'🌱 Configuração'!$C$51,7)=0),"🌿 Grow A+B + CalMag — EC 1.2",IF(AND('🌱 Configuração'!$B$51+49&gt;='🌱 Configuração'!$C$51,'🌱 Configuração'!$B$51+49&lt;'🌱 Configuração'!$D$51,INT(('🌱 Configuração'!$B$51+49-'🌱 Configuração'!$C$51)/7)+1=4,MOD('🌱 Configuração'!$B$51+49-'🌱 Configuração'!$C$51,7)=0),"🌿 Grow A+B + Enzimas — EC 1.4",IF(AND('🌱 Configuração'!$B$51+49&gt;='🌱 Configuração'!$C$51,'🌱 Configuração'!$B$51+49&lt;'🌱 Configuração'!$D$51,INT(('🌱 Configuração'!$B$51+49-'🌱 Configuração'!$C$51)/7)+1=5,MOD('🌱 Configuração'!$B$51+49-'🌱 Configuração'!$C$51,7)=0),"🌿 Grow A+B + Biorrizas — EC 1.5",IF(AND('🌱 Configuração'!$B$51+49&gt;='🌱 Configuração'!$C$51,'🌱 Configuração'!$B$51+49&lt;'🌱 Configuração'!$D$51,INT(('🌱 Configuração'!$B$51+49-'🌱 Configuração'!$C$51)/7)+1=6,MOD('🌱 Configuração'!$B$51+49-'🌱 Configuração'!$C$51,7)=0),"🌿 Transição Bloom — EC 1.4",IF(AND('🌱 Configuração'!$B$51+49&gt;='🌱 Configuração'!$C$51,'🌱 Configuração'!$B$51+49&lt;'🌱 Configuração'!$D$51,INT(('🌱 Configuração'!$B$51+49-'🌱 Configuração'!$C$51)/7)+1=7,MOD('🌱 Configuração'!$B$51+49-'🌱 Configuração'!$C$51,7)=0),"🌿 Bloom A+B transição — EC 1.4",IF(AND('🌱 Configuração'!$B$51+49&gt;='🌱 Configuração'!$C$51,'🌱 Configuração'!$B$51+49&lt;'🌱 Configuração'!$D$51,INT(('🌱 Configuração'!$B$51+49-'🌱 Configuração'!$C$51)/7)+1=8,MOD('🌱 Configuração'!$B$51+49-'🌱 Configuração'!$C$51,7)=0),"🌿 Bloom A+B — EC 1.4",IF(AND('🌱 Configuração'!$B$51+49&gt;='🌱 Configuração'!$D$51,'🌱 Configuração'!$B$51+49&lt;'🌱 Configuração'!$E$51,INT(('🌱 Configuração'!$B$51+49-'🌱 Configuração'!$D$51)/7)+1=1,MOD('🌱 Configuração'!$B$51+49-'🌱 Configuração'!$D$51,7)=0),"🌸 Bloom A+B — EC 1.6",IF(AND('🌱 Configuração'!$B$51+49&gt;='🌱 Configuração'!$D$51,'🌱 Configuração'!$B$51+49&lt;'🌱 Configuração'!$E$51,INT(('🌱 Configuração'!$B$51+49-'🌱 Configuração'!$D$51)/7)+1=2,MOD('🌱 Configuração'!$B$51+49-'🌱 Configuração'!$D$51,7)=0),"🌸 Bloom + PK 13/14 início",IF(AND('🌱 Configuração'!$B$51+49&gt;='🌱 Configuração'!$D$51,'🌱 Configuração'!$B$51+49&lt;'🌱 Configuração'!$E$51,INT(('🌱 Configuração'!$B$51+49-'🌱 Configuração'!$D$51)/7)+1=3,MOD('🌱 Configuração'!$B$51+49-'🌱 Configuração'!$D$51,7)=0),"🌸 Bloom + PK + CalMag — EC 1.8",IF(AND('🌱 Configuração'!$B$51+49&gt;='🌱 Configuração'!$D$51,'🌱 Configuração'!$B$51+49&lt;'🌱 Configuração'!$E$51,INT(('🌱 Configuração'!$B$51+49-'🌱 Configuração'!$D$51)/7)+1=4,MOD('🌱 Configuração'!$B$51+49-'🌱 Configuração'!$D$51,7)=0),"🌸 Bloom + PK + Boost Floral — EC 2.0",IF(AND('🌱 Configuração'!$B$51+49&gt;='🌱 Configuração'!$D$51,'🌱 Configuração'!$B$51+49&lt;'🌱 Configuração'!$E$51,INT(('🌱 Configuração'!$B$51+49-'🌱 Configuração'!$D$51)/7)+1=5,MOD('🌱 Configuração'!$B$51+49-'🌱 Configuração'!$D$51,7)=0),"🌸 Bloom + Boost + Amino",IF(AND('🌱 Configuração'!$B$51+49&gt;='🌱 Configuração'!$D$51,'🌱 Configuração'!$B$51+49&lt;'🌱 Configuração'!$E$51,INT(('🌱 Configuração'!$B$51+49-'🌱 Configuração'!$D$51)/7)+1=6,MOD('🌱 Configuração'!$B$51+49-'🌱 Configuração'!$D$51,7)=0),"🌸 Bloom + Enzimas + Amino",IF(AND('🌱 Configuração'!$B$51+49&gt;='🌱 Configuração'!$D$51,'🌱 Configuração'!$B$51+49&lt;'🌱 Configuração'!$E$51,INT(('🌱 Configuração'!$B$51+49-'🌱 Configuração'!$D$51)/7)+1=7,MOD('🌱 Configuração'!$B$51+49-'🌱 Configuração'!$D$51,7)=0),"🌸 Reduzir N — Bloom puro — EC 1.6",IF(AND('🌱 Configuração'!$B$51+49&gt;='🌱 Configuração'!$D$51,'🌱 Configuração'!$B$51+49&lt;'🌱 Configuração'!$E$51,INT(('🌱 Configuração'!$B$51+49-'🌱 Configuração'!$D$51)/7)+1=8,MOD('🌱 Configuração'!$B$51+49-'🌱 Configuração'!$D$51,7)=0),"🌸 Bloom puro — EC 1.4  (pré-flush)",IF(AND('🌱 Configuração'!$B$51+49&gt;='🌱 Configuração'!$D$51,'🌱 Configuração'!$B$51+49&lt;'🌱 Configuração'!$E$51,INT(('🌱 Configuração'!$B$51+49-'🌱 Configuração'!$D$51)/7)+1=9,MOD('🌱 Configuração'!$B$51+49-'🌱 Configuração'!$D$51,7)=0),"🌸 Último Bloom — EC 0.8",IF(AND('🌱 Configuração'!$B$51+49&gt;='🌱 Configuração'!$E$51,INT(('🌱 Configuração'!$B$51+49-'🌱 Configuração'!$E$51)/7)+1=1,MOD('🌱 Configuração'!$B$51+49-'🌱 Configuração'!$E$51,7)=0),"🚿 Água pura + Enzimas (EC &lt; 0.3)",IF(AND('🌱 Configuração'!$B$51+49&gt;='🌱 Configuração'!$E$51,INT(('🌱 Configuração'!$B$51+49-'🌱 Configuração'!$E$51)/7)+1=2,MOD('🌱 Configuração'!$B$51+49-'🌱 Configuração'!$E$51,7)=0),"🚿 Água pura (EC &lt; 0.2)",""))))))))))))))))))))))</f>
        <v>🌿 Transição Bloom — EC 1.4</v>
      </c>
      <c r="G55" s="30" t="str">
        <f>IF(50&gt;'🌱 Configuração'!$F$50,"",IF(AND('🌱 Configuração'!$B$51+49&lt;'🌱 Configuração'!$C$51,INT((50-1)/7)+1=1,MOD(50-1,7)=0),"🐛 Nim 2mL/L foliar — preventivo",IF(AND('🌱 Configuração'!$B$51+49&lt;'🌱 Configuração'!$C$51,INT((50-1)/7)+1=2,MOD(50-1,7)=0),"🐛 Beauveria bassiana foliar + solo",IF(AND('🌱 Configuração'!$B$51+49&gt;='🌱 Configuração'!$C$51,'🌱 Configuração'!$B$51+49&lt;'🌱 Configuração'!$D$51,INT(('🌱 Configuração'!$B$51+49-'🌱 Configuração'!$C$51)/7)+1=1,MOD('🌱 Configuração'!$B$51+49-'🌱 Configuração'!$C$51,7)=0),"🐛 Nim 2mL/L foliar",IF(AND('🌱 Configuração'!$B$51+49&gt;='🌱 Configuração'!$C$51,'🌱 Configuração'!$B$51+49&lt;'🌱 Configuração'!$D$51,INT(('🌱 Configuração'!$B$51+49-'🌱 Configuração'!$C$51)/7)+1=2,MOD('🌱 Configuração'!$B$51+49-'🌱 Configuração'!$C$51,7)=0),"🐛 Beauveria bassiana foliar",IF(AND('🌱 Configuração'!$B$51+49&gt;='🌱 Configuração'!$C$51,'🌱 Configuração'!$B$51+49&lt;'🌱 Configuração'!$D$51,INT(('🌱 Configuração'!$B$51+49-'🌱 Configuração'!$C$51)/7)+1=3,MOD('🌱 Configuração'!$B$51+49-'🌱 Configuração'!$C$51,7)=0),"🐛 Nim + Calda Sulfocálcica 1%",IF(AND('🌱 Configuração'!$B$51+49&gt;='🌱 Configuração'!$C$51,'🌱 Configuração'!$B$51+49&lt;'🌱 Configuração'!$D$51,INT(('🌱 Configuração'!$B$51+49-'🌱 Configuração'!$C$51)/7)+1=4,MOD('🌱 Configuração'!$B$51+49-'🌱 Configuração'!$C$51,7)=0),"🐛 Trichoderma solo + Beauveria",IF(AND('🌱 Configuração'!$B$51+49&gt;='🌱 Configuração'!$C$51,'🌱 Configuração'!$B$51+49&lt;'🌱 Configuração'!$D$51,INT(('🌱 Configuração'!$B$51+49-'🌱 Configuração'!$C$51)/7)+1=5,MOD('🌱 Configuração'!$B$51+49-'🌱 Configuração'!$C$51,7)=0),"🐛 Calda Bordalesa 0.5% foliar",IF(AND('🌱 Configuração'!$B$51+49&gt;='🌱 Configuração'!$C$51,'🌱 Configuração'!$B$51+49&lt;'🌱 Configuração'!$D$51,INT(('🌱 Configuração'!$B$51+49-'🌱 Configuração'!$C$51)/7)+1=6,MOD('🌱 Configuração'!$B$51+49-'🌱 Configuração'!$C$51,7)=0),"🐛 Nim 2mL/L — ÚLTIMA foliar",IF(AND('🌱 Configuração'!$B$51+49&gt;='🌱 Configuração'!$D$51,'🌱 Configuração'!$B$51+49&lt;'🌱 Configuração'!$E$51,INT(('🌱 Configuração'!$B$51+49-'🌱 Configuração'!$D$51)/7)+1=1,MOD('🌱 Configuração'!$B$51+49-'🌱 Configuração'!$D$51,7)=0),"🐛 Beauveria bassiana solo (sem foliar)",IF(AND('🌱 Configuração'!$B$51+49&gt;='🌱 Configuração'!$D$51,'🌱 Configuração'!$B$51+49&lt;'🌱 Configuração'!$E$51,INT(('🌱 Configuração'!$B$51+49-'🌱 Configuração'!$D$51)/7)+1=2,MOD('🌱 Configuração'!$B$51+49-'🌱 Configuração'!$D$51,7)=0),"🐛 Trichoderma solo",IF(AND('🌱 Configuração'!$B$51+49&gt;='🌱 Configuração'!$D$51,'🌱 Configuração'!$B$51+49&lt;'🌱 Configuração'!$E$51,INT(('🌱 Configuração'!$B$51+49-'🌱 Configuração'!$D$51)/7)+1=3,MOD('🌱 Configuração'!$B$51+49-'🌱 Configuração'!$D$51,7)=0),"🐛 Beauveria bassiana solo",IF(AND('🌱 Configuração'!$B$51+49&gt;='🌱 Configuração'!$D$51,'🌱 Configuração'!$B$51+49&lt;'🌱 Configuração'!$E$51,INT(('🌱 Configuração'!$B$51+49-'🌱 Configuração'!$D$51)/7)+1=4,MOD('🌱 Configuração'!$B$51+49-'🌱 Configuração'!$D$51,7)=0),"🐛 Trichoderma solo",IF(AND('🌱 Configuração'!$B$51+49&gt;='🌱 Configuração'!$E$51,INT(('🌱 Configuração'!$B$51+49-'🌱 Configuração'!$E$51)/7)+1=1,MOD('🌱 Configuração'!$B$51+49-'🌱 Configuração'!$E$51,7)=0),"🐛 Inspeção final — sem aplicação",""))))))))))))))</f>
        <v>🐛 Nim 2mL/L — ÚLTIMA foliar</v>
      </c>
      <c r="H55" s="22" t="str">
        <f>IF(50&gt;'🌱 Configuração'!$F$50,"",IF('🌱 Configuração'!$B$51+49='🌱 Configuração'!$C$51,"🌿 INÍCIO VEGA — ajustar espaço, luz 18h/dia — EC 0.8",IF('🌱 Configuração'!$B$51+49='🌱 Configuração'!$D$51,"🌸 INÍCIO FLORAÇÃO — mudar para 12h/12h — 🔴 atenção ao fotoperíodo",IF('🌱 Configuração'!$B$51+49='🌱 Configuração'!$E$51,"🚿 INÍCIO FLUSH — PARAR nutrição, somente água pura",IF('🌱 Configuração'!$B$51+49='🌱 Configuração'!$F$51-1,"🔬 Véspera da colheita — analisar tricomas âmbar",IF('🌱 Configuração'!$B$51+49='🌱 Configuração'!$F$51,"✂️ COLHEITA! Parabéns! 🎉",""))))))</f>
        <v/>
      </c>
    </row>
    <row r="56" spans="2:8" ht="18.75" customHeight="1" x14ac:dyDescent="0.3">
      <c r="B56" s="25">
        <f>IF(51&lt;='🌱 Configuração'!$F$50,51,"")</f>
        <v>51</v>
      </c>
      <c r="C56" s="26">
        <f>IF(51&lt;='🌱 Configuração'!$F$50,'🌱 Configuração'!$B$51+50,"")</f>
        <v>46073</v>
      </c>
      <c r="D56" s="27" t="str">
        <f>IF(51&gt;'🌱 Configuração'!$F$50,"",IF('🌱 Configuração'!$B$51+50&lt;'🌱 Configuração'!$C$51,"🌱 Clone",IF('🌱 Configuração'!$B$51+50&lt;'🌱 Configuração'!$D$51,"🌿 Vegetativo",IF('🌱 Configuração'!$B$51+50&lt;'🌱 Configuração'!$E$51,"🌸 Floração","🚿 Flush"))))</f>
        <v>🌿 Vegetativo</v>
      </c>
      <c r="E56" s="28" t="str">
        <f>IF(51&gt;'🌱 Configuração'!$F$50,"",IF('🌱 Configuração'!$B$51+50&lt;'🌱 Configuração'!$C$51,"Clone S"&amp;INT((51-1)/7)+1,IF('🌱 Configuração'!$B$51+50&lt;'🌱 Configuração'!$D$51,"Vega S"&amp;INT(('🌱 Configuração'!$B$51+50-'🌱 Configuração'!$C$51)/7)+1,IF('🌱 Configuração'!$B$51+50&lt;'🌱 Configuração'!$E$51,"Flora S"&amp;INT(('🌱 Configuração'!$B$51+50-'🌱 Configuração'!$D$51)/7)+1,"Flush S"&amp;INT(('🌱 Configuração'!$B$51+50-'🌱 Configuração'!$E$51)/7)+1))))</f>
        <v>Vega S6</v>
      </c>
      <c r="F56" s="29" t="str">
        <f>IF(51&gt;'🌱 Configuração'!$F$50,"",IF(AND('🌱 Configuração'!$B$51+50&lt;'🌱 Configuração'!$C$51,INT((51-1)/7)+1=1,MOD(51-1,7)=0),"🌱 Enraizador (0.5 mL/L)",IF(AND('🌱 Configuração'!$B$51+50&lt;'🌱 Configuração'!$C$51,INT((51-1)/7)+1=2,MOD(51-1,7)=0),"🌱 Enraizador + Vitamina B1",IF(AND('🌱 Configuração'!$B$51+50&gt;='🌱 Configuração'!$C$51,'🌱 Configuração'!$B$51+50&lt;'🌱 Configuração'!$D$51,INT(('🌱 Configuração'!$B$51+50-'🌱 Configuração'!$C$51)/7)+1=1,MOD('🌱 Configuração'!$B$51+50-'🌱 Configuração'!$C$51,7)=0),"🌿 Grow A+B início — EC 0.8",IF(AND('🌱 Configuração'!$B$51+50&gt;='🌱 Configuração'!$C$51,'🌱 Configuração'!$B$51+50&lt;'🌱 Configuração'!$D$51,INT(('🌱 Configuração'!$B$51+50-'🌱 Configuração'!$C$51)/7)+1=2,MOD('🌱 Configuração'!$B$51+50-'🌱 Configuração'!$C$51,7)=0),"🌿 Grow A+B + CalMag — EC 1.0",IF(AND('🌱 Configuração'!$B$51+50&gt;='🌱 Configuração'!$C$51,'🌱 Configuração'!$B$51+50&lt;'🌱 Configuração'!$D$51,INT(('🌱 Configuração'!$B$51+50-'🌱 Configuração'!$C$51)/7)+1=3,MOD('🌱 Configuração'!$B$51+50-'🌱 Configuração'!$C$51,7)=0),"🌿 Grow A+B + CalMag — EC 1.2",IF(AND('🌱 Configuração'!$B$51+50&gt;='🌱 Configuração'!$C$51,'🌱 Configuração'!$B$51+50&lt;'🌱 Configuração'!$D$51,INT(('🌱 Configuração'!$B$51+50-'🌱 Configuração'!$C$51)/7)+1=4,MOD('🌱 Configuração'!$B$51+50-'🌱 Configuração'!$C$51,7)=0),"🌿 Grow A+B + Enzimas — EC 1.4",IF(AND('🌱 Configuração'!$B$51+50&gt;='🌱 Configuração'!$C$51,'🌱 Configuração'!$B$51+50&lt;'🌱 Configuração'!$D$51,INT(('🌱 Configuração'!$B$51+50-'🌱 Configuração'!$C$51)/7)+1=5,MOD('🌱 Configuração'!$B$51+50-'🌱 Configuração'!$C$51,7)=0),"🌿 Grow A+B + Biorrizas — EC 1.5",IF(AND('🌱 Configuração'!$B$51+50&gt;='🌱 Configuração'!$C$51,'🌱 Configuração'!$B$51+50&lt;'🌱 Configuração'!$D$51,INT(('🌱 Configuração'!$B$51+50-'🌱 Configuração'!$C$51)/7)+1=6,MOD('🌱 Configuração'!$B$51+50-'🌱 Configuração'!$C$51,7)=0),"🌿 Transição Bloom — EC 1.4",IF(AND('🌱 Configuração'!$B$51+50&gt;='🌱 Configuração'!$C$51,'🌱 Configuração'!$B$51+50&lt;'🌱 Configuração'!$D$51,INT(('🌱 Configuração'!$B$51+50-'🌱 Configuração'!$C$51)/7)+1=7,MOD('🌱 Configuração'!$B$51+50-'🌱 Configuração'!$C$51,7)=0),"🌿 Bloom A+B transição — EC 1.4",IF(AND('🌱 Configuração'!$B$51+50&gt;='🌱 Configuração'!$C$51,'🌱 Configuração'!$B$51+50&lt;'🌱 Configuração'!$D$51,INT(('🌱 Configuração'!$B$51+50-'🌱 Configuração'!$C$51)/7)+1=8,MOD('🌱 Configuração'!$B$51+50-'🌱 Configuração'!$C$51,7)=0),"🌿 Bloom A+B — EC 1.4",IF(AND('🌱 Configuração'!$B$51+50&gt;='🌱 Configuração'!$D$51,'🌱 Configuração'!$B$51+50&lt;'🌱 Configuração'!$E$51,INT(('🌱 Configuração'!$B$51+50-'🌱 Configuração'!$D$51)/7)+1=1,MOD('🌱 Configuração'!$B$51+50-'🌱 Configuração'!$D$51,7)=0),"🌸 Bloom A+B — EC 1.6",IF(AND('🌱 Configuração'!$B$51+50&gt;='🌱 Configuração'!$D$51,'🌱 Configuração'!$B$51+50&lt;'🌱 Configuração'!$E$51,INT(('🌱 Configuração'!$B$51+50-'🌱 Configuração'!$D$51)/7)+1=2,MOD('🌱 Configuração'!$B$51+50-'🌱 Configuração'!$D$51,7)=0),"🌸 Bloom + PK 13/14 início",IF(AND('🌱 Configuração'!$B$51+50&gt;='🌱 Configuração'!$D$51,'🌱 Configuração'!$B$51+50&lt;'🌱 Configuração'!$E$51,INT(('🌱 Configuração'!$B$51+50-'🌱 Configuração'!$D$51)/7)+1=3,MOD('🌱 Configuração'!$B$51+50-'🌱 Configuração'!$D$51,7)=0),"🌸 Bloom + PK + CalMag — EC 1.8",IF(AND('🌱 Configuração'!$B$51+50&gt;='🌱 Configuração'!$D$51,'🌱 Configuração'!$B$51+50&lt;'🌱 Configuração'!$E$51,INT(('🌱 Configuração'!$B$51+50-'🌱 Configuração'!$D$51)/7)+1=4,MOD('🌱 Configuração'!$B$51+50-'🌱 Configuração'!$D$51,7)=0),"🌸 Bloom + PK + Boost Floral — EC 2.0",IF(AND('🌱 Configuração'!$B$51+50&gt;='🌱 Configuração'!$D$51,'🌱 Configuração'!$B$51+50&lt;'🌱 Configuração'!$E$51,INT(('🌱 Configuração'!$B$51+50-'🌱 Configuração'!$D$51)/7)+1=5,MOD('🌱 Configuração'!$B$51+50-'🌱 Configuração'!$D$51,7)=0),"🌸 Bloom + Boost + Amino",IF(AND('🌱 Configuração'!$B$51+50&gt;='🌱 Configuração'!$D$51,'🌱 Configuração'!$B$51+50&lt;'🌱 Configuração'!$E$51,INT(('🌱 Configuração'!$B$51+50-'🌱 Configuração'!$D$51)/7)+1=6,MOD('🌱 Configuração'!$B$51+50-'🌱 Configuração'!$D$51,7)=0),"🌸 Bloom + Enzimas + Amino",IF(AND('🌱 Configuração'!$B$51+50&gt;='🌱 Configuração'!$D$51,'🌱 Configuração'!$B$51+50&lt;'🌱 Configuração'!$E$51,INT(('🌱 Configuração'!$B$51+50-'🌱 Configuração'!$D$51)/7)+1=7,MOD('🌱 Configuração'!$B$51+50-'🌱 Configuração'!$D$51,7)=0),"🌸 Reduzir N — Bloom puro — EC 1.6",IF(AND('🌱 Configuração'!$B$51+50&gt;='🌱 Configuração'!$D$51,'🌱 Configuração'!$B$51+50&lt;'🌱 Configuração'!$E$51,INT(('🌱 Configuração'!$B$51+50-'🌱 Configuração'!$D$51)/7)+1=8,MOD('🌱 Configuração'!$B$51+50-'🌱 Configuração'!$D$51,7)=0),"🌸 Bloom puro — EC 1.4  (pré-flush)",IF(AND('🌱 Configuração'!$B$51+50&gt;='🌱 Configuração'!$D$51,'🌱 Configuração'!$B$51+50&lt;'🌱 Configuração'!$E$51,INT(('🌱 Configuração'!$B$51+50-'🌱 Configuração'!$D$51)/7)+1=9,MOD('🌱 Configuração'!$B$51+50-'🌱 Configuração'!$D$51,7)=0),"🌸 Último Bloom — EC 0.8",IF(AND('🌱 Configuração'!$B$51+50&gt;='🌱 Configuração'!$E$51,INT(('🌱 Configuração'!$B$51+50-'🌱 Configuração'!$E$51)/7)+1=1,MOD('🌱 Configuração'!$B$51+50-'🌱 Configuração'!$E$51,7)=0),"🚿 Água pura + Enzimas (EC &lt; 0.3)",IF(AND('🌱 Configuração'!$B$51+50&gt;='🌱 Configuração'!$E$51,INT(('🌱 Configuração'!$B$51+50-'🌱 Configuração'!$E$51)/7)+1=2,MOD('🌱 Configuração'!$B$51+50-'🌱 Configuração'!$E$51,7)=0),"🚿 Água pura (EC &lt; 0.2)",""))))))))))))))))))))))</f>
        <v/>
      </c>
      <c r="G56" s="30" t="str">
        <f>IF(51&gt;'🌱 Configuração'!$F$50,"",IF(AND('🌱 Configuração'!$B$51+50&lt;'🌱 Configuração'!$C$51,INT((51-1)/7)+1=1,MOD(51-1,7)=0),"🐛 Nim 2mL/L foliar — preventivo",IF(AND('🌱 Configuração'!$B$51+50&lt;'🌱 Configuração'!$C$51,INT((51-1)/7)+1=2,MOD(51-1,7)=0),"🐛 Beauveria bassiana foliar + solo",IF(AND('🌱 Configuração'!$B$51+50&gt;='🌱 Configuração'!$C$51,'🌱 Configuração'!$B$51+50&lt;'🌱 Configuração'!$D$51,INT(('🌱 Configuração'!$B$51+50-'🌱 Configuração'!$C$51)/7)+1=1,MOD('🌱 Configuração'!$B$51+50-'🌱 Configuração'!$C$51,7)=0),"🐛 Nim 2mL/L foliar",IF(AND('🌱 Configuração'!$B$51+50&gt;='🌱 Configuração'!$C$51,'🌱 Configuração'!$B$51+50&lt;'🌱 Configuração'!$D$51,INT(('🌱 Configuração'!$B$51+50-'🌱 Configuração'!$C$51)/7)+1=2,MOD('🌱 Configuração'!$B$51+50-'🌱 Configuração'!$C$51,7)=0),"🐛 Beauveria bassiana foliar",IF(AND('🌱 Configuração'!$B$51+50&gt;='🌱 Configuração'!$C$51,'🌱 Configuração'!$B$51+50&lt;'🌱 Configuração'!$D$51,INT(('🌱 Configuração'!$B$51+50-'🌱 Configuração'!$C$51)/7)+1=3,MOD('🌱 Configuração'!$B$51+50-'🌱 Configuração'!$C$51,7)=0),"🐛 Nim + Calda Sulfocálcica 1%",IF(AND('🌱 Configuração'!$B$51+50&gt;='🌱 Configuração'!$C$51,'🌱 Configuração'!$B$51+50&lt;'🌱 Configuração'!$D$51,INT(('🌱 Configuração'!$B$51+50-'🌱 Configuração'!$C$51)/7)+1=4,MOD('🌱 Configuração'!$B$51+50-'🌱 Configuração'!$C$51,7)=0),"🐛 Trichoderma solo + Beauveria",IF(AND('🌱 Configuração'!$B$51+50&gt;='🌱 Configuração'!$C$51,'🌱 Configuração'!$B$51+50&lt;'🌱 Configuração'!$D$51,INT(('🌱 Configuração'!$B$51+50-'🌱 Configuração'!$C$51)/7)+1=5,MOD('🌱 Configuração'!$B$51+50-'🌱 Configuração'!$C$51,7)=0),"🐛 Calda Bordalesa 0.5% foliar",IF(AND('🌱 Configuração'!$B$51+50&gt;='🌱 Configuração'!$C$51,'🌱 Configuração'!$B$51+50&lt;'🌱 Configuração'!$D$51,INT(('🌱 Configuração'!$B$51+50-'🌱 Configuração'!$C$51)/7)+1=6,MOD('🌱 Configuração'!$B$51+50-'🌱 Configuração'!$C$51,7)=0),"🐛 Nim 2mL/L — ÚLTIMA foliar",IF(AND('🌱 Configuração'!$B$51+50&gt;='🌱 Configuração'!$D$51,'🌱 Configuração'!$B$51+50&lt;'🌱 Configuração'!$E$51,INT(('🌱 Configuração'!$B$51+50-'🌱 Configuração'!$D$51)/7)+1=1,MOD('🌱 Configuração'!$B$51+50-'🌱 Configuração'!$D$51,7)=0),"🐛 Beauveria bassiana solo (sem foliar)",IF(AND('🌱 Configuração'!$B$51+50&gt;='🌱 Configuração'!$D$51,'🌱 Configuração'!$B$51+50&lt;'🌱 Configuração'!$E$51,INT(('🌱 Configuração'!$B$51+50-'🌱 Configuração'!$D$51)/7)+1=2,MOD('🌱 Configuração'!$B$51+50-'🌱 Configuração'!$D$51,7)=0),"🐛 Trichoderma solo",IF(AND('🌱 Configuração'!$B$51+50&gt;='🌱 Configuração'!$D$51,'🌱 Configuração'!$B$51+50&lt;'🌱 Configuração'!$E$51,INT(('🌱 Configuração'!$B$51+50-'🌱 Configuração'!$D$51)/7)+1=3,MOD('🌱 Configuração'!$B$51+50-'🌱 Configuração'!$D$51,7)=0),"🐛 Beauveria bassiana solo",IF(AND('🌱 Configuração'!$B$51+50&gt;='🌱 Configuração'!$D$51,'🌱 Configuração'!$B$51+50&lt;'🌱 Configuração'!$E$51,INT(('🌱 Configuração'!$B$51+50-'🌱 Configuração'!$D$51)/7)+1=4,MOD('🌱 Configuração'!$B$51+50-'🌱 Configuração'!$D$51,7)=0),"🐛 Trichoderma solo",IF(AND('🌱 Configuração'!$B$51+50&gt;='🌱 Configuração'!$E$51,INT(('🌱 Configuração'!$B$51+50-'🌱 Configuração'!$E$51)/7)+1=1,MOD('🌱 Configuração'!$B$51+50-'🌱 Configuração'!$E$51,7)=0),"🐛 Inspeção final — sem aplicação",""))))))))))))))</f>
        <v/>
      </c>
      <c r="H56" s="22" t="str">
        <f>IF(51&gt;'🌱 Configuração'!$F$50,"",IF('🌱 Configuração'!$B$51+50='🌱 Configuração'!$C$51,"🌿 INÍCIO VEGA — ajustar espaço, luz 18h/dia — EC 0.8",IF('🌱 Configuração'!$B$51+50='🌱 Configuração'!$D$51,"🌸 INÍCIO FLORAÇÃO — mudar para 12h/12h — 🔴 atenção ao fotoperíodo",IF('🌱 Configuração'!$B$51+50='🌱 Configuração'!$E$51,"🚿 INÍCIO FLUSH — PARAR nutrição, somente água pura",IF('🌱 Configuração'!$B$51+50='🌱 Configuração'!$F$51-1,"🔬 Véspera da colheita — analisar tricomas âmbar",IF('🌱 Configuração'!$B$51+50='🌱 Configuração'!$F$51,"✂️ COLHEITA! Parabéns! 🎉",""))))))</f>
        <v/>
      </c>
    </row>
    <row r="57" spans="2:8" ht="18.75" customHeight="1" x14ac:dyDescent="0.3">
      <c r="B57" s="25">
        <f>IF(52&lt;='🌱 Configuração'!$F$50,52,"")</f>
        <v>52</v>
      </c>
      <c r="C57" s="26">
        <f>IF(52&lt;='🌱 Configuração'!$F$50,'🌱 Configuração'!$B$51+51,"")</f>
        <v>46074</v>
      </c>
      <c r="D57" s="27" t="str">
        <f>IF(52&gt;'🌱 Configuração'!$F$50,"",IF('🌱 Configuração'!$B$51+51&lt;'🌱 Configuração'!$C$51,"🌱 Clone",IF('🌱 Configuração'!$B$51+51&lt;'🌱 Configuração'!$D$51,"🌿 Vegetativo",IF('🌱 Configuração'!$B$51+51&lt;'🌱 Configuração'!$E$51,"🌸 Floração","🚿 Flush"))))</f>
        <v>🌿 Vegetativo</v>
      </c>
      <c r="E57" s="28" t="str">
        <f>IF(52&gt;'🌱 Configuração'!$F$50,"",IF('🌱 Configuração'!$B$51+51&lt;'🌱 Configuração'!$C$51,"Clone S"&amp;INT((52-1)/7)+1,IF('🌱 Configuração'!$B$51+51&lt;'🌱 Configuração'!$D$51,"Vega S"&amp;INT(('🌱 Configuração'!$B$51+51-'🌱 Configuração'!$C$51)/7)+1,IF('🌱 Configuração'!$B$51+51&lt;'🌱 Configuração'!$E$51,"Flora S"&amp;INT(('🌱 Configuração'!$B$51+51-'🌱 Configuração'!$D$51)/7)+1,"Flush S"&amp;INT(('🌱 Configuração'!$B$51+51-'🌱 Configuração'!$E$51)/7)+1))))</f>
        <v>Vega S6</v>
      </c>
      <c r="F57" s="29" t="str">
        <f>IF(52&gt;'🌱 Configuração'!$F$50,"",IF(AND('🌱 Configuração'!$B$51+51&lt;'🌱 Configuração'!$C$51,INT((52-1)/7)+1=1,MOD(52-1,7)=0),"🌱 Enraizador (0.5 mL/L)",IF(AND('🌱 Configuração'!$B$51+51&lt;'🌱 Configuração'!$C$51,INT((52-1)/7)+1=2,MOD(52-1,7)=0),"🌱 Enraizador + Vitamina B1",IF(AND('🌱 Configuração'!$B$51+51&gt;='🌱 Configuração'!$C$51,'🌱 Configuração'!$B$51+51&lt;'🌱 Configuração'!$D$51,INT(('🌱 Configuração'!$B$51+51-'🌱 Configuração'!$C$51)/7)+1=1,MOD('🌱 Configuração'!$B$51+51-'🌱 Configuração'!$C$51,7)=0),"🌿 Grow A+B início — EC 0.8",IF(AND('🌱 Configuração'!$B$51+51&gt;='🌱 Configuração'!$C$51,'🌱 Configuração'!$B$51+51&lt;'🌱 Configuração'!$D$51,INT(('🌱 Configuração'!$B$51+51-'🌱 Configuração'!$C$51)/7)+1=2,MOD('🌱 Configuração'!$B$51+51-'🌱 Configuração'!$C$51,7)=0),"🌿 Grow A+B + CalMag — EC 1.0",IF(AND('🌱 Configuração'!$B$51+51&gt;='🌱 Configuração'!$C$51,'🌱 Configuração'!$B$51+51&lt;'🌱 Configuração'!$D$51,INT(('🌱 Configuração'!$B$51+51-'🌱 Configuração'!$C$51)/7)+1=3,MOD('🌱 Configuração'!$B$51+51-'🌱 Configuração'!$C$51,7)=0),"🌿 Grow A+B + CalMag — EC 1.2",IF(AND('🌱 Configuração'!$B$51+51&gt;='🌱 Configuração'!$C$51,'🌱 Configuração'!$B$51+51&lt;'🌱 Configuração'!$D$51,INT(('🌱 Configuração'!$B$51+51-'🌱 Configuração'!$C$51)/7)+1=4,MOD('🌱 Configuração'!$B$51+51-'🌱 Configuração'!$C$51,7)=0),"🌿 Grow A+B + Enzimas — EC 1.4",IF(AND('🌱 Configuração'!$B$51+51&gt;='🌱 Configuração'!$C$51,'🌱 Configuração'!$B$51+51&lt;'🌱 Configuração'!$D$51,INT(('🌱 Configuração'!$B$51+51-'🌱 Configuração'!$C$51)/7)+1=5,MOD('🌱 Configuração'!$B$51+51-'🌱 Configuração'!$C$51,7)=0),"🌿 Grow A+B + Biorrizas — EC 1.5",IF(AND('🌱 Configuração'!$B$51+51&gt;='🌱 Configuração'!$C$51,'🌱 Configuração'!$B$51+51&lt;'🌱 Configuração'!$D$51,INT(('🌱 Configuração'!$B$51+51-'🌱 Configuração'!$C$51)/7)+1=6,MOD('🌱 Configuração'!$B$51+51-'🌱 Configuração'!$C$51,7)=0),"🌿 Transição Bloom — EC 1.4",IF(AND('🌱 Configuração'!$B$51+51&gt;='🌱 Configuração'!$C$51,'🌱 Configuração'!$B$51+51&lt;'🌱 Configuração'!$D$51,INT(('🌱 Configuração'!$B$51+51-'🌱 Configuração'!$C$51)/7)+1=7,MOD('🌱 Configuração'!$B$51+51-'🌱 Configuração'!$C$51,7)=0),"🌿 Bloom A+B transição — EC 1.4",IF(AND('🌱 Configuração'!$B$51+51&gt;='🌱 Configuração'!$C$51,'🌱 Configuração'!$B$51+51&lt;'🌱 Configuração'!$D$51,INT(('🌱 Configuração'!$B$51+51-'🌱 Configuração'!$C$51)/7)+1=8,MOD('🌱 Configuração'!$B$51+51-'🌱 Configuração'!$C$51,7)=0),"🌿 Bloom A+B — EC 1.4",IF(AND('🌱 Configuração'!$B$51+51&gt;='🌱 Configuração'!$D$51,'🌱 Configuração'!$B$51+51&lt;'🌱 Configuração'!$E$51,INT(('🌱 Configuração'!$B$51+51-'🌱 Configuração'!$D$51)/7)+1=1,MOD('🌱 Configuração'!$B$51+51-'🌱 Configuração'!$D$51,7)=0),"🌸 Bloom A+B — EC 1.6",IF(AND('🌱 Configuração'!$B$51+51&gt;='🌱 Configuração'!$D$51,'🌱 Configuração'!$B$51+51&lt;'🌱 Configuração'!$E$51,INT(('🌱 Configuração'!$B$51+51-'🌱 Configuração'!$D$51)/7)+1=2,MOD('🌱 Configuração'!$B$51+51-'🌱 Configuração'!$D$51,7)=0),"🌸 Bloom + PK 13/14 início",IF(AND('🌱 Configuração'!$B$51+51&gt;='🌱 Configuração'!$D$51,'🌱 Configuração'!$B$51+51&lt;'🌱 Configuração'!$E$51,INT(('🌱 Configuração'!$B$51+51-'🌱 Configuração'!$D$51)/7)+1=3,MOD('🌱 Configuração'!$B$51+51-'🌱 Configuração'!$D$51,7)=0),"🌸 Bloom + PK + CalMag — EC 1.8",IF(AND('🌱 Configuração'!$B$51+51&gt;='🌱 Configuração'!$D$51,'🌱 Configuração'!$B$51+51&lt;'🌱 Configuração'!$E$51,INT(('🌱 Configuração'!$B$51+51-'🌱 Configuração'!$D$51)/7)+1=4,MOD('🌱 Configuração'!$B$51+51-'🌱 Configuração'!$D$51,7)=0),"🌸 Bloom + PK + Boost Floral — EC 2.0",IF(AND('🌱 Configuração'!$B$51+51&gt;='🌱 Configuração'!$D$51,'🌱 Configuração'!$B$51+51&lt;'🌱 Configuração'!$E$51,INT(('🌱 Configuração'!$B$51+51-'🌱 Configuração'!$D$51)/7)+1=5,MOD('🌱 Configuração'!$B$51+51-'🌱 Configuração'!$D$51,7)=0),"🌸 Bloom + Boost + Amino",IF(AND('🌱 Configuração'!$B$51+51&gt;='🌱 Configuração'!$D$51,'🌱 Configuração'!$B$51+51&lt;'🌱 Configuração'!$E$51,INT(('🌱 Configuração'!$B$51+51-'🌱 Configuração'!$D$51)/7)+1=6,MOD('🌱 Configuração'!$B$51+51-'🌱 Configuração'!$D$51,7)=0),"🌸 Bloom + Enzimas + Amino",IF(AND('🌱 Configuração'!$B$51+51&gt;='🌱 Configuração'!$D$51,'🌱 Configuração'!$B$51+51&lt;'🌱 Configuração'!$E$51,INT(('🌱 Configuração'!$B$51+51-'🌱 Configuração'!$D$51)/7)+1=7,MOD('🌱 Configuração'!$B$51+51-'🌱 Configuração'!$D$51,7)=0),"🌸 Reduzir N — Bloom puro — EC 1.6",IF(AND('🌱 Configuração'!$B$51+51&gt;='🌱 Configuração'!$D$51,'🌱 Configuração'!$B$51+51&lt;'🌱 Configuração'!$E$51,INT(('🌱 Configuração'!$B$51+51-'🌱 Configuração'!$D$51)/7)+1=8,MOD('🌱 Configuração'!$B$51+51-'🌱 Configuração'!$D$51,7)=0),"🌸 Bloom puro — EC 1.4  (pré-flush)",IF(AND('🌱 Configuração'!$B$51+51&gt;='🌱 Configuração'!$D$51,'🌱 Configuração'!$B$51+51&lt;'🌱 Configuração'!$E$51,INT(('🌱 Configuração'!$B$51+51-'🌱 Configuração'!$D$51)/7)+1=9,MOD('🌱 Configuração'!$B$51+51-'🌱 Configuração'!$D$51,7)=0),"🌸 Último Bloom — EC 0.8",IF(AND('🌱 Configuração'!$B$51+51&gt;='🌱 Configuração'!$E$51,INT(('🌱 Configuração'!$B$51+51-'🌱 Configuração'!$E$51)/7)+1=1,MOD('🌱 Configuração'!$B$51+51-'🌱 Configuração'!$E$51,7)=0),"🚿 Água pura + Enzimas (EC &lt; 0.3)",IF(AND('🌱 Configuração'!$B$51+51&gt;='🌱 Configuração'!$E$51,INT(('🌱 Configuração'!$B$51+51-'🌱 Configuração'!$E$51)/7)+1=2,MOD('🌱 Configuração'!$B$51+51-'🌱 Configuração'!$E$51,7)=0),"🚿 Água pura (EC &lt; 0.2)",""))))))))))))))))))))))</f>
        <v/>
      </c>
      <c r="G57" s="30" t="str">
        <f>IF(52&gt;'🌱 Configuração'!$F$50,"",IF(AND('🌱 Configuração'!$B$51+51&lt;'🌱 Configuração'!$C$51,INT((52-1)/7)+1=1,MOD(52-1,7)=0),"🐛 Nim 2mL/L foliar — preventivo",IF(AND('🌱 Configuração'!$B$51+51&lt;'🌱 Configuração'!$C$51,INT((52-1)/7)+1=2,MOD(52-1,7)=0),"🐛 Beauveria bassiana foliar + solo",IF(AND('🌱 Configuração'!$B$51+51&gt;='🌱 Configuração'!$C$51,'🌱 Configuração'!$B$51+51&lt;'🌱 Configuração'!$D$51,INT(('🌱 Configuração'!$B$51+51-'🌱 Configuração'!$C$51)/7)+1=1,MOD('🌱 Configuração'!$B$51+51-'🌱 Configuração'!$C$51,7)=0),"🐛 Nim 2mL/L foliar",IF(AND('🌱 Configuração'!$B$51+51&gt;='🌱 Configuração'!$C$51,'🌱 Configuração'!$B$51+51&lt;'🌱 Configuração'!$D$51,INT(('🌱 Configuração'!$B$51+51-'🌱 Configuração'!$C$51)/7)+1=2,MOD('🌱 Configuração'!$B$51+51-'🌱 Configuração'!$C$51,7)=0),"🐛 Beauveria bassiana foliar",IF(AND('🌱 Configuração'!$B$51+51&gt;='🌱 Configuração'!$C$51,'🌱 Configuração'!$B$51+51&lt;'🌱 Configuração'!$D$51,INT(('🌱 Configuração'!$B$51+51-'🌱 Configuração'!$C$51)/7)+1=3,MOD('🌱 Configuração'!$B$51+51-'🌱 Configuração'!$C$51,7)=0),"🐛 Nim + Calda Sulfocálcica 1%",IF(AND('🌱 Configuração'!$B$51+51&gt;='🌱 Configuração'!$C$51,'🌱 Configuração'!$B$51+51&lt;'🌱 Configuração'!$D$51,INT(('🌱 Configuração'!$B$51+51-'🌱 Configuração'!$C$51)/7)+1=4,MOD('🌱 Configuração'!$B$51+51-'🌱 Configuração'!$C$51,7)=0),"🐛 Trichoderma solo + Beauveria",IF(AND('🌱 Configuração'!$B$51+51&gt;='🌱 Configuração'!$C$51,'🌱 Configuração'!$B$51+51&lt;'🌱 Configuração'!$D$51,INT(('🌱 Configuração'!$B$51+51-'🌱 Configuração'!$C$51)/7)+1=5,MOD('🌱 Configuração'!$B$51+51-'🌱 Configuração'!$C$51,7)=0),"🐛 Calda Bordalesa 0.5% foliar",IF(AND('🌱 Configuração'!$B$51+51&gt;='🌱 Configuração'!$C$51,'🌱 Configuração'!$B$51+51&lt;'🌱 Configuração'!$D$51,INT(('🌱 Configuração'!$B$51+51-'🌱 Configuração'!$C$51)/7)+1=6,MOD('🌱 Configuração'!$B$51+51-'🌱 Configuração'!$C$51,7)=0),"🐛 Nim 2mL/L — ÚLTIMA foliar",IF(AND('🌱 Configuração'!$B$51+51&gt;='🌱 Configuração'!$D$51,'🌱 Configuração'!$B$51+51&lt;'🌱 Configuração'!$E$51,INT(('🌱 Configuração'!$B$51+51-'🌱 Configuração'!$D$51)/7)+1=1,MOD('🌱 Configuração'!$B$51+51-'🌱 Configuração'!$D$51,7)=0),"🐛 Beauveria bassiana solo (sem foliar)",IF(AND('🌱 Configuração'!$B$51+51&gt;='🌱 Configuração'!$D$51,'🌱 Configuração'!$B$51+51&lt;'🌱 Configuração'!$E$51,INT(('🌱 Configuração'!$B$51+51-'🌱 Configuração'!$D$51)/7)+1=2,MOD('🌱 Configuração'!$B$51+51-'🌱 Configuração'!$D$51,7)=0),"🐛 Trichoderma solo",IF(AND('🌱 Configuração'!$B$51+51&gt;='🌱 Configuração'!$D$51,'🌱 Configuração'!$B$51+51&lt;'🌱 Configuração'!$E$51,INT(('🌱 Configuração'!$B$51+51-'🌱 Configuração'!$D$51)/7)+1=3,MOD('🌱 Configuração'!$B$51+51-'🌱 Configuração'!$D$51,7)=0),"🐛 Beauveria bassiana solo",IF(AND('🌱 Configuração'!$B$51+51&gt;='🌱 Configuração'!$D$51,'🌱 Configuração'!$B$51+51&lt;'🌱 Configuração'!$E$51,INT(('🌱 Configuração'!$B$51+51-'🌱 Configuração'!$D$51)/7)+1=4,MOD('🌱 Configuração'!$B$51+51-'🌱 Configuração'!$D$51,7)=0),"🐛 Trichoderma solo",IF(AND('🌱 Configuração'!$B$51+51&gt;='🌱 Configuração'!$E$51,INT(('🌱 Configuração'!$B$51+51-'🌱 Configuração'!$E$51)/7)+1=1,MOD('🌱 Configuração'!$B$51+51-'🌱 Configuração'!$E$51,7)=0),"🐛 Inspeção final — sem aplicação",""))))))))))))))</f>
        <v/>
      </c>
      <c r="H57" s="22" t="str">
        <f>IF(52&gt;'🌱 Configuração'!$F$50,"",IF('🌱 Configuração'!$B$51+51='🌱 Configuração'!$C$51,"🌿 INÍCIO VEGA — ajustar espaço, luz 18h/dia — EC 0.8",IF('🌱 Configuração'!$B$51+51='🌱 Configuração'!$D$51,"🌸 INÍCIO FLORAÇÃO — mudar para 12h/12h — 🔴 atenção ao fotoperíodo",IF('🌱 Configuração'!$B$51+51='🌱 Configuração'!$E$51,"🚿 INÍCIO FLUSH — PARAR nutrição, somente água pura",IF('🌱 Configuração'!$B$51+51='🌱 Configuração'!$F$51-1,"🔬 Véspera da colheita — analisar tricomas âmbar",IF('🌱 Configuração'!$B$51+51='🌱 Configuração'!$F$51,"✂️ COLHEITA! Parabéns! 🎉",""))))))</f>
        <v/>
      </c>
    </row>
    <row r="58" spans="2:8" ht="18.75" customHeight="1" x14ac:dyDescent="0.3">
      <c r="B58" s="25">
        <f>IF(53&lt;='🌱 Configuração'!$F$50,53,"")</f>
        <v>53</v>
      </c>
      <c r="C58" s="26">
        <f>IF(53&lt;='🌱 Configuração'!$F$50,'🌱 Configuração'!$B$51+52,"")</f>
        <v>46075</v>
      </c>
      <c r="D58" s="27" t="str">
        <f>IF(53&gt;'🌱 Configuração'!$F$50,"",IF('🌱 Configuração'!$B$51+52&lt;'🌱 Configuração'!$C$51,"🌱 Clone",IF('🌱 Configuração'!$B$51+52&lt;'🌱 Configuração'!$D$51,"🌿 Vegetativo",IF('🌱 Configuração'!$B$51+52&lt;'🌱 Configuração'!$E$51,"🌸 Floração","🚿 Flush"))))</f>
        <v>🌿 Vegetativo</v>
      </c>
      <c r="E58" s="28" t="str">
        <f>IF(53&gt;'🌱 Configuração'!$F$50,"",IF('🌱 Configuração'!$B$51+52&lt;'🌱 Configuração'!$C$51,"Clone S"&amp;INT((53-1)/7)+1,IF('🌱 Configuração'!$B$51+52&lt;'🌱 Configuração'!$D$51,"Vega S"&amp;INT(('🌱 Configuração'!$B$51+52-'🌱 Configuração'!$C$51)/7)+1,IF('🌱 Configuração'!$B$51+52&lt;'🌱 Configuração'!$E$51,"Flora S"&amp;INT(('🌱 Configuração'!$B$51+52-'🌱 Configuração'!$D$51)/7)+1,"Flush S"&amp;INT(('🌱 Configuração'!$B$51+52-'🌱 Configuração'!$E$51)/7)+1))))</f>
        <v>Vega S6</v>
      </c>
      <c r="F58" s="29" t="str">
        <f>IF(53&gt;'🌱 Configuração'!$F$50,"",IF(AND('🌱 Configuração'!$B$51+52&lt;'🌱 Configuração'!$C$51,INT((53-1)/7)+1=1,MOD(53-1,7)=0),"🌱 Enraizador (0.5 mL/L)",IF(AND('🌱 Configuração'!$B$51+52&lt;'🌱 Configuração'!$C$51,INT((53-1)/7)+1=2,MOD(53-1,7)=0),"🌱 Enraizador + Vitamina B1",IF(AND('🌱 Configuração'!$B$51+52&gt;='🌱 Configuração'!$C$51,'🌱 Configuração'!$B$51+52&lt;'🌱 Configuração'!$D$51,INT(('🌱 Configuração'!$B$51+52-'🌱 Configuração'!$C$51)/7)+1=1,MOD('🌱 Configuração'!$B$51+52-'🌱 Configuração'!$C$51,7)=0),"🌿 Grow A+B início — EC 0.8",IF(AND('🌱 Configuração'!$B$51+52&gt;='🌱 Configuração'!$C$51,'🌱 Configuração'!$B$51+52&lt;'🌱 Configuração'!$D$51,INT(('🌱 Configuração'!$B$51+52-'🌱 Configuração'!$C$51)/7)+1=2,MOD('🌱 Configuração'!$B$51+52-'🌱 Configuração'!$C$51,7)=0),"🌿 Grow A+B + CalMag — EC 1.0",IF(AND('🌱 Configuração'!$B$51+52&gt;='🌱 Configuração'!$C$51,'🌱 Configuração'!$B$51+52&lt;'🌱 Configuração'!$D$51,INT(('🌱 Configuração'!$B$51+52-'🌱 Configuração'!$C$51)/7)+1=3,MOD('🌱 Configuração'!$B$51+52-'🌱 Configuração'!$C$51,7)=0),"🌿 Grow A+B + CalMag — EC 1.2",IF(AND('🌱 Configuração'!$B$51+52&gt;='🌱 Configuração'!$C$51,'🌱 Configuração'!$B$51+52&lt;'🌱 Configuração'!$D$51,INT(('🌱 Configuração'!$B$51+52-'🌱 Configuração'!$C$51)/7)+1=4,MOD('🌱 Configuração'!$B$51+52-'🌱 Configuração'!$C$51,7)=0),"🌿 Grow A+B + Enzimas — EC 1.4",IF(AND('🌱 Configuração'!$B$51+52&gt;='🌱 Configuração'!$C$51,'🌱 Configuração'!$B$51+52&lt;'🌱 Configuração'!$D$51,INT(('🌱 Configuração'!$B$51+52-'🌱 Configuração'!$C$51)/7)+1=5,MOD('🌱 Configuração'!$B$51+52-'🌱 Configuração'!$C$51,7)=0),"🌿 Grow A+B + Biorrizas — EC 1.5",IF(AND('🌱 Configuração'!$B$51+52&gt;='🌱 Configuração'!$C$51,'🌱 Configuração'!$B$51+52&lt;'🌱 Configuração'!$D$51,INT(('🌱 Configuração'!$B$51+52-'🌱 Configuração'!$C$51)/7)+1=6,MOD('🌱 Configuração'!$B$51+52-'🌱 Configuração'!$C$51,7)=0),"🌿 Transição Bloom — EC 1.4",IF(AND('🌱 Configuração'!$B$51+52&gt;='🌱 Configuração'!$C$51,'🌱 Configuração'!$B$51+52&lt;'🌱 Configuração'!$D$51,INT(('🌱 Configuração'!$B$51+52-'🌱 Configuração'!$C$51)/7)+1=7,MOD('🌱 Configuração'!$B$51+52-'🌱 Configuração'!$C$51,7)=0),"🌿 Bloom A+B transição — EC 1.4",IF(AND('🌱 Configuração'!$B$51+52&gt;='🌱 Configuração'!$C$51,'🌱 Configuração'!$B$51+52&lt;'🌱 Configuração'!$D$51,INT(('🌱 Configuração'!$B$51+52-'🌱 Configuração'!$C$51)/7)+1=8,MOD('🌱 Configuração'!$B$51+52-'🌱 Configuração'!$C$51,7)=0),"🌿 Bloom A+B — EC 1.4",IF(AND('🌱 Configuração'!$B$51+52&gt;='🌱 Configuração'!$D$51,'🌱 Configuração'!$B$51+52&lt;'🌱 Configuração'!$E$51,INT(('🌱 Configuração'!$B$51+52-'🌱 Configuração'!$D$51)/7)+1=1,MOD('🌱 Configuração'!$B$51+52-'🌱 Configuração'!$D$51,7)=0),"🌸 Bloom A+B — EC 1.6",IF(AND('🌱 Configuração'!$B$51+52&gt;='🌱 Configuração'!$D$51,'🌱 Configuração'!$B$51+52&lt;'🌱 Configuração'!$E$51,INT(('🌱 Configuração'!$B$51+52-'🌱 Configuração'!$D$51)/7)+1=2,MOD('🌱 Configuração'!$B$51+52-'🌱 Configuração'!$D$51,7)=0),"🌸 Bloom + PK 13/14 início",IF(AND('🌱 Configuração'!$B$51+52&gt;='🌱 Configuração'!$D$51,'🌱 Configuração'!$B$51+52&lt;'🌱 Configuração'!$E$51,INT(('🌱 Configuração'!$B$51+52-'🌱 Configuração'!$D$51)/7)+1=3,MOD('🌱 Configuração'!$B$51+52-'🌱 Configuração'!$D$51,7)=0),"🌸 Bloom + PK + CalMag — EC 1.8",IF(AND('🌱 Configuração'!$B$51+52&gt;='🌱 Configuração'!$D$51,'🌱 Configuração'!$B$51+52&lt;'🌱 Configuração'!$E$51,INT(('🌱 Configuração'!$B$51+52-'🌱 Configuração'!$D$51)/7)+1=4,MOD('🌱 Configuração'!$B$51+52-'🌱 Configuração'!$D$51,7)=0),"🌸 Bloom + PK + Boost Floral — EC 2.0",IF(AND('🌱 Configuração'!$B$51+52&gt;='🌱 Configuração'!$D$51,'🌱 Configuração'!$B$51+52&lt;'🌱 Configuração'!$E$51,INT(('🌱 Configuração'!$B$51+52-'🌱 Configuração'!$D$51)/7)+1=5,MOD('🌱 Configuração'!$B$51+52-'🌱 Configuração'!$D$51,7)=0),"🌸 Bloom + Boost + Amino",IF(AND('🌱 Configuração'!$B$51+52&gt;='🌱 Configuração'!$D$51,'🌱 Configuração'!$B$51+52&lt;'🌱 Configuração'!$E$51,INT(('🌱 Configuração'!$B$51+52-'🌱 Configuração'!$D$51)/7)+1=6,MOD('🌱 Configuração'!$B$51+52-'🌱 Configuração'!$D$51,7)=0),"🌸 Bloom + Enzimas + Amino",IF(AND('🌱 Configuração'!$B$51+52&gt;='🌱 Configuração'!$D$51,'🌱 Configuração'!$B$51+52&lt;'🌱 Configuração'!$E$51,INT(('🌱 Configuração'!$B$51+52-'🌱 Configuração'!$D$51)/7)+1=7,MOD('🌱 Configuração'!$B$51+52-'🌱 Configuração'!$D$51,7)=0),"🌸 Reduzir N — Bloom puro — EC 1.6",IF(AND('🌱 Configuração'!$B$51+52&gt;='🌱 Configuração'!$D$51,'🌱 Configuração'!$B$51+52&lt;'🌱 Configuração'!$E$51,INT(('🌱 Configuração'!$B$51+52-'🌱 Configuração'!$D$51)/7)+1=8,MOD('🌱 Configuração'!$B$51+52-'🌱 Configuração'!$D$51,7)=0),"🌸 Bloom puro — EC 1.4  (pré-flush)",IF(AND('🌱 Configuração'!$B$51+52&gt;='🌱 Configuração'!$D$51,'🌱 Configuração'!$B$51+52&lt;'🌱 Configuração'!$E$51,INT(('🌱 Configuração'!$B$51+52-'🌱 Configuração'!$D$51)/7)+1=9,MOD('🌱 Configuração'!$B$51+52-'🌱 Configuração'!$D$51,7)=0),"🌸 Último Bloom — EC 0.8",IF(AND('🌱 Configuração'!$B$51+52&gt;='🌱 Configuração'!$E$51,INT(('🌱 Configuração'!$B$51+52-'🌱 Configuração'!$E$51)/7)+1=1,MOD('🌱 Configuração'!$B$51+52-'🌱 Configuração'!$E$51,7)=0),"🚿 Água pura + Enzimas (EC &lt; 0.3)",IF(AND('🌱 Configuração'!$B$51+52&gt;='🌱 Configuração'!$E$51,INT(('🌱 Configuração'!$B$51+52-'🌱 Configuração'!$E$51)/7)+1=2,MOD('🌱 Configuração'!$B$51+52-'🌱 Configuração'!$E$51,7)=0),"🚿 Água pura (EC &lt; 0.2)",""))))))))))))))))))))))</f>
        <v/>
      </c>
      <c r="G58" s="30" t="str">
        <f>IF(53&gt;'🌱 Configuração'!$F$50,"",IF(AND('🌱 Configuração'!$B$51+52&lt;'🌱 Configuração'!$C$51,INT((53-1)/7)+1=1,MOD(53-1,7)=0),"🐛 Nim 2mL/L foliar — preventivo",IF(AND('🌱 Configuração'!$B$51+52&lt;'🌱 Configuração'!$C$51,INT((53-1)/7)+1=2,MOD(53-1,7)=0),"🐛 Beauveria bassiana foliar + solo",IF(AND('🌱 Configuração'!$B$51+52&gt;='🌱 Configuração'!$C$51,'🌱 Configuração'!$B$51+52&lt;'🌱 Configuração'!$D$51,INT(('🌱 Configuração'!$B$51+52-'🌱 Configuração'!$C$51)/7)+1=1,MOD('🌱 Configuração'!$B$51+52-'🌱 Configuração'!$C$51,7)=0),"🐛 Nim 2mL/L foliar",IF(AND('🌱 Configuração'!$B$51+52&gt;='🌱 Configuração'!$C$51,'🌱 Configuração'!$B$51+52&lt;'🌱 Configuração'!$D$51,INT(('🌱 Configuração'!$B$51+52-'🌱 Configuração'!$C$51)/7)+1=2,MOD('🌱 Configuração'!$B$51+52-'🌱 Configuração'!$C$51,7)=0),"🐛 Beauveria bassiana foliar",IF(AND('🌱 Configuração'!$B$51+52&gt;='🌱 Configuração'!$C$51,'🌱 Configuração'!$B$51+52&lt;'🌱 Configuração'!$D$51,INT(('🌱 Configuração'!$B$51+52-'🌱 Configuração'!$C$51)/7)+1=3,MOD('🌱 Configuração'!$B$51+52-'🌱 Configuração'!$C$51,7)=0),"🐛 Nim + Calda Sulfocálcica 1%",IF(AND('🌱 Configuração'!$B$51+52&gt;='🌱 Configuração'!$C$51,'🌱 Configuração'!$B$51+52&lt;'🌱 Configuração'!$D$51,INT(('🌱 Configuração'!$B$51+52-'🌱 Configuração'!$C$51)/7)+1=4,MOD('🌱 Configuração'!$B$51+52-'🌱 Configuração'!$C$51,7)=0),"🐛 Trichoderma solo + Beauveria",IF(AND('🌱 Configuração'!$B$51+52&gt;='🌱 Configuração'!$C$51,'🌱 Configuração'!$B$51+52&lt;'🌱 Configuração'!$D$51,INT(('🌱 Configuração'!$B$51+52-'🌱 Configuração'!$C$51)/7)+1=5,MOD('🌱 Configuração'!$B$51+52-'🌱 Configuração'!$C$51,7)=0),"🐛 Calda Bordalesa 0.5% foliar",IF(AND('🌱 Configuração'!$B$51+52&gt;='🌱 Configuração'!$C$51,'🌱 Configuração'!$B$51+52&lt;'🌱 Configuração'!$D$51,INT(('🌱 Configuração'!$B$51+52-'🌱 Configuração'!$C$51)/7)+1=6,MOD('🌱 Configuração'!$B$51+52-'🌱 Configuração'!$C$51,7)=0),"🐛 Nim 2mL/L — ÚLTIMA foliar",IF(AND('🌱 Configuração'!$B$51+52&gt;='🌱 Configuração'!$D$51,'🌱 Configuração'!$B$51+52&lt;'🌱 Configuração'!$E$51,INT(('🌱 Configuração'!$B$51+52-'🌱 Configuração'!$D$51)/7)+1=1,MOD('🌱 Configuração'!$B$51+52-'🌱 Configuração'!$D$51,7)=0),"🐛 Beauveria bassiana solo (sem foliar)",IF(AND('🌱 Configuração'!$B$51+52&gt;='🌱 Configuração'!$D$51,'🌱 Configuração'!$B$51+52&lt;'🌱 Configuração'!$E$51,INT(('🌱 Configuração'!$B$51+52-'🌱 Configuração'!$D$51)/7)+1=2,MOD('🌱 Configuração'!$B$51+52-'🌱 Configuração'!$D$51,7)=0),"🐛 Trichoderma solo",IF(AND('🌱 Configuração'!$B$51+52&gt;='🌱 Configuração'!$D$51,'🌱 Configuração'!$B$51+52&lt;'🌱 Configuração'!$E$51,INT(('🌱 Configuração'!$B$51+52-'🌱 Configuração'!$D$51)/7)+1=3,MOD('🌱 Configuração'!$B$51+52-'🌱 Configuração'!$D$51,7)=0),"🐛 Beauveria bassiana solo",IF(AND('🌱 Configuração'!$B$51+52&gt;='🌱 Configuração'!$D$51,'🌱 Configuração'!$B$51+52&lt;'🌱 Configuração'!$E$51,INT(('🌱 Configuração'!$B$51+52-'🌱 Configuração'!$D$51)/7)+1=4,MOD('🌱 Configuração'!$B$51+52-'🌱 Configuração'!$D$51,7)=0),"🐛 Trichoderma solo",IF(AND('🌱 Configuração'!$B$51+52&gt;='🌱 Configuração'!$E$51,INT(('🌱 Configuração'!$B$51+52-'🌱 Configuração'!$E$51)/7)+1=1,MOD('🌱 Configuração'!$B$51+52-'🌱 Configuração'!$E$51,7)=0),"🐛 Inspeção final — sem aplicação",""))))))))))))))</f>
        <v/>
      </c>
      <c r="H58" s="22" t="str">
        <f>IF(53&gt;'🌱 Configuração'!$F$50,"",IF('🌱 Configuração'!$B$51+52='🌱 Configuração'!$C$51,"🌿 INÍCIO VEGA — ajustar espaço, luz 18h/dia — EC 0.8",IF('🌱 Configuração'!$B$51+52='🌱 Configuração'!$D$51,"🌸 INÍCIO FLORAÇÃO — mudar para 12h/12h — 🔴 atenção ao fotoperíodo",IF('🌱 Configuração'!$B$51+52='🌱 Configuração'!$E$51,"🚿 INÍCIO FLUSH — PARAR nutrição, somente água pura",IF('🌱 Configuração'!$B$51+52='🌱 Configuração'!$F$51-1,"🔬 Véspera da colheita — analisar tricomas âmbar",IF('🌱 Configuração'!$B$51+52='🌱 Configuração'!$F$51,"✂️ COLHEITA! Parabéns! 🎉",""))))))</f>
        <v/>
      </c>
    </row>
    <row r="59" spans="2:8" ht="18.75" customHeight="1" x14ac:dyDescent="0.3">
      <c r="B59" s="25">
        <f>IF(54&lt;='🌱 Configuração'!$F$50,54,"")</f>
        <v>54</v>
      </c>
      <c r="C59" s="26">
        <f>IF(54&lt;='🌱 Configuração'!$F$50,'🌱 Configuração'!$B$51+53,"")</f>
        <v>46076</v>
      </c>
      <c r="D59" s="27" t="str">
        <f>IF(54&gt;'🌱 Configuração'!$F$50,"",IF('🌱 Configuração'!$B$51+53&lt;'🌱 Configuração'!$C$51,"🌱 Clone",IF('🌱 Configuração'!$B$51+53&lt;'🌱 Configuração'!$D$51,"🌿 Vegetativo",IF('🌱 Configuração'!$B$51+53&lt;'🌱 Configuração'!$E$51,"🌸 Floração","🚿 Flush"))))</f>
        <v>🌿 Vegetativo</v>
      </c>
      <c r="E59" s="28" t="str">
        <f>IF(54&gt;'🌱 Configuração'!$F$50,"",IF('🌱 Configuração'!$B$51+53&lt;'🌱 Configuração'!$C$51,"Clone S"&amp;INT((54-1)/7)+1,IF('🌱 Configuração'!$B$51+53&lt;'🌱 Configuração'!$D$51,"Vega S"&amp;INT(('🌱 Configuração'!$B$51+53-'🌱 Configuração'!$C$51)/7)+1,IF('🌱 Configuração'!$B$51+53&lt;'🌱 Configuração'!$E$51,"Flora S"&amp;INT(('🌱 Configuração'!$B$51+53-'🌱 Configuração'!$D$51)/7)+1,"Flush S"&amp;INT(('🌱 Configuração'!$B$51+53-'🌱 Configuração'!$E$51)/7)+1))))</f>
        <v>Vega S6</v>
      </c>
      <c r="F59" s="29" t="str">
        <f>IF(54&gt;'🌱 Configuração'!$F$50,"",IF(AND('🌱 Configuração'!$B$51+53&lt;'🌱 Configuração'!$C$51,INT((54-1)/7)+1=1,MOD(54-1,7)=0),"🌱 Enraizador (0.5 mL/L)",IF(AND('🌱 Configuração'!$B$51+53&lt;'🌱 Configuração'!$C$51,INT((54-1)/7)+1=2,MOD(54-1,7)=0),"🌱 Enraizador + Vitamina B1",IF(AND('🌱 Configuração'!$B$51+53&gt;='🌱 Configuração'!$C$51,'🌱 Configuração'!$B$51+53&lt;'🌱 Configuração'!$D$51,INT(('🌱 Configuração'!$B$51+53-'🌱 Configuração'!$C$51)/7)+1=1,MOD('🌱 Configuração'!$B$51+53-'🌱 Configuração'!$C$51,7)=0),"🌿 Grow A+B início — EC 0.8",IF(AND('🌱 Configuração'!$B$51+53&gt;='🌱 Configuração'!$C$51,'🌱 Configuração'!$B$51+53&lt;'🌱 Configuração'!$D$51,INT(('🌱 Configuração'!$B$51+53-'🌱 Configuração'!$C$51)/7)+1=2,MOD('🌱 Configuração'!$B$51+53-'🌱 Configuração'!$C$51,7)=0),"🌿 Grow A+B + CalMag — EC 1.0",IF(AND('🌱 Configuração'!$B$51+53&gt;='🌱 Configuração'!$C$51,'🌱 Configuração'!$B$51+53&lt;'🌱 Configuração'!$D$51,INT(('🌱 Configuração'!$B$51+53-'🌱 Configuração'!$C$51)/7)+1=3,MOD('🌱 Configuração'!$B$51+53-'🌱 Configuração'!$C$51,7)=0),"🌿 Grow A+B + CalMag — EC 1.2",IF(AND('🌱 Configuração'!$B$51+53&gt;='🌱 Configuração'!$C$51,'🌱 Configuração'!$B$51+53&lt;'🌱 Configuração'!$D$51,INT(('🌱 Configuração'!$B$51+53-'🌱 Configuração'!$C$51)/7)+1=4,MOD('🌱 Configuração'!$B$51+53-'🌱 Configuração'!$C$51,7)=0),"🌿 Grow A+B + Enzimas — EC 1.4",IF(AND('🌱 Configuração'!$B$51+53&gt;='🌱 Configuração'!$C$51,'🌱 Configuração'!$B$51+53&lt;'🌱 Configuração'!$D$51,INT(('🌱 Configuração'!$B$51+53-'🌱 Configuração'!$C$51)/7)+1=5,MOD('🌱 Configuração'!$B$51+53-'🌱 Configuração'!$C$51,7)=0),"🌿 Grow A+B + Biorrizas — EC 1.5",IF(AND('🌱 Configuração'!$B$51+53&gt;='🌱 Configuração'!$C$51,'🌱 Configuração'!$B$51+53&lt;'🌱 Configuração'!$D$51,INT(('🌱 Configuração'!$B$51+53-'🌱 Configuração'!$C$51)/7)+1=6,MOD('🌱 Configuração'!$B$51+53-'🌱 Configuração'!$C$51,7)=0),"🌿 Transição Bloom — EC 1.4",IF(AND('🌱 Configuração'!$B$51+53&gt;='🌱 Configuração'!$C$51,'🌱 Configuração'!$B$51+53&lt;'🌱 Configuração'!$D$51,INT(('🌱 Configuração'!$B$51+53-'🌱 Configuração'!$C$51)/7)+1=7,MOD('🌱 Configuração'!$B$51+53-'🌱 Configuração'!$C$51,7)=0),"🌿 Bloom A+B transição — EC 1.4",IF(AND('🌱 Configuração'!$B$51+53&gt;='🌱 Configuração'!$C$51,'🌱 Configuração'!$B$51+53&lt;'🌱 Configuração'!$D$51,INT(('🌱 Configuração'!$B$51+53-'🌱 Configuração'!$C$51)/7)+1=8,MOD('🌱 Configuração'!$B$51+53-'🌱 Configuração'!$C$51,7)=0),"🌿 Bloom A+B — EC 1.4",IF(AND('🌱 Configuração'!$B$51+53&gt;='🌱 Configuração'!$D$51,'🌱 Configuração'!$B$51+53&lt;'🌱 Configuração'!$E$51,INT(('🌱 Configuração'!$B$51+53-'🌱 Configuração'!$D$51)/7)+1=1,MOD('🌱 Configuração'!$B$51+53-'🌱 Configuração'!$D$51,7)=0),"🌸 Bloom A+B — EC 1.6",IF(AND('🌱 Configuração'!$B$51+53&gt;='🌱 Configuração'!$D$51,'🌱 Configuração'!$B$51+53&lt;'🌱 Configuração'!$E$51,INT(('🌱 Configuração'!$B$51+53-'🌱 Configuração'!$D$51)/7)+1=2,MOD('🌱 Configuração'!$B$51+53-'🌱 Configuração'!$D$51,7)=0),"🌸 Bloom + PK 13/14 início",IF(AND('🌱 Configuração'!$B$51+53&gt;='🌱 Configuração'!$D$51,'🌱 Configuração'!$B$51+53&lt;'🌱 Configuração'!$E$51,INT(('🌱 Configuração'!$B$51+53-'🌱 Configuração'!$D$51)/7)+1=3,MOD('🌱 Configuração'!$B$51+53-'🌱 Configuração'!$D$51,7)=0),"🌸 Bloom + PK + CalMag — EC 1.8",IF(AND('🌱 Configuração'!$B$51+53&gt;='🌱 Configuração'!$D$51,'🌱 Configuração'!$B$51+53&lt;'🌱 Configuração'!$E$51,INT(('🌱 Configuração'!$B$51+53-'🌱 Configuração'!$D$51)/7)+1=4,MOD('🌱 Configuração'!$B$51+53-'🌱 Configuração'!$D$51,7)=0),"🌸 Bloom + PK + Boost Floral — EC 2.0",IF(AND('🌱 Configuração'!$B$51+53&gt;='🌱 Configuração'!$D$51,'🌱 Configuração'!$B$51+53&lt;'🌱 Configuração'!$E$51,INT(('🌱 Configuração'!$B$51+53-'🌱 Configuração'!$D$51)/7)+1=5,MOD('🌱 Configuração'!$B$51+53-'🌱 Configuração'!$D$51,7)=0),"🌸 Bloom + Boost + Amino",IF(AND('🌱 Configuração'!$B$51+53&gt;='🌱 Configuração'!$D$51,'🌱 Configuração'!$B$51+53&lt;'🌱 Configuração'!$E$51,INT(('🌱 Configuração'!$B$51+53-'🌱 Configuração'!$D$51)/7)+1=6,MOD('🌱 Configuração'!$B$51+53-'🌱 Configuração'!$D$51,7)=0),"🌸 Bloom + Enzimas + Amino",IF(AND('🌱 Configuração'!$B$51+53&gt;='🌱 Configuração'!$D$51,'🌱 Configuração'!$B$51+53&lt;'🌱 Configuração'!$E$51,INT(('🌱 Configuração'!$B$51+53-'🌱 Configuração'!$D$51)/7)+1=7,MOD('🌱 Configuração'!$B$51+53-'🌱 Configuração'!$D$51,7)=0),"🌸 Reduzir N — Bloom puro — EC 1.6",IF(AND('🌱 Configuração'!$B$51+53&gt;='🌱 Configuração'!$D$51,'🌱 Configuração'!$B$51+53&lt;'🌱 Configuração'!$E$51,INT(('🌱 Configuração'!$B$51+53-'🌱 Configuração'!$D$51)/7)+1=8,MOD('🌱 Configuração'!$B$51+53-'🌱 Configuração'!$D$51,7)=0),"🌸 Bloom puro — EC 1.4  (pré-flush)",IF(AND('🌱 Configuração'!$B$51+53&gt;='🌱 Configuração'!$D$51,'🌱 Configuração'!$B$51+53&lt;'🌱 Configuração'!$E$51,INT(('🌱 Configuração'!$B$51+53-'🌱 Configuração'!$D$51)/7)+1=9,MOD('🌱 Configuração'!$B$51+53-'🌱 Configuração'!$D$51,7)=0),"🌸 Último Bloom — EC 0.8",IF(AND('🌱 Configuração'!$B$51+53&gt;='🌱 Configuração'!$E$51,INT(('🌱 Configuração'!$B$51+53-'🌱 Configuração'!$E$51)/7)+1=1,MOD('🌱 Configuração'!$B$51+53-'🌱 Configuração'!$E$51,7)=0),"🚿 Água pura + Enzimas (EC &lt; 0.3)",IF(AND('🌱 Configuração'!$B$51+53&gt;='🌱 Configuração'!$E$51,INT(('🌱 Configuração'!$B$51+53-'🌱 Configuração'!$E$51)/7)+1=2,MOD('🌱 Configuração'!$B$51+53-'🌱 Configuração'!$E$51,7)=0),"🚿 Água pura (EC &lt; 0.2)",""))))))))))))))))))))))</f>
        <v/>
      </c>
      <c r="G59" s="30" t="str">
        <f>IF(54&gt;'🌱 Configuração'!$F$50,"",IF(AND('🌱 Configuração'!$B$51+53&lt;'🌱 Configuração'!$C$51,INT((54-1)/7)+1=1,MOD(54-1,7)=0),"🐛 Nim 2mL/L foliar — preventivo",IF(AND('🌱 Configuração'!$B$51+53&lt;'🌱 Configuração'!$C$51,INT((54-1)/7)+1=2,MOD(54-1,7)=0),"🐛 Beauveria bassiana foliar + solo",IF(AND('🌱 Configuração'!$B$51+53&gt;='🌱 Configuração'!$C$51,'🌱 Configuração'!$B$51+53&lt;'🌱 Configuração'!$D$51,INT(('🌱 Configuração'!$B$51+53-'🌱 Configuração'!$C$51)/7)+1=1,MOD('🌱 Configuração'!$B$51+53-'🌱 Configuração'!$C$51,7)=0),"🐛 Nim 2mL/L foliar",IF(AND('🌱 Configuração'!$B$51+53&gt;='🌱 Configuração'!$C$51,'🌱 Configuração'!$B$51+53&lt;'🌱 Configuração'!$D$51,INT(('🌱 Configuração'!$B$51+53-'🌱 Configuração'!$C$51)/7)+1=2,MOD('🌱 Configuração'!$B$51+53-'🌱 Configuração'!$C$51,7)=0),"🐛 Beauveria bassiana foliar",IF(AND('🌱 Configuração'!$B$51+53&gt;='🌱 Configuração'!$C$51,'🌱 Configuração'!$B$51+53&lt;'🌱 Configuração'!$D$51,INT(('🌱 Configuração'!$B$51+53-'🌱 Configuração'!$C$51)/7)+1=3,MOD('🌱 Configuração'!$B$51+53-'🌱 Configuração'!$C$51,7)=0),"🐛 Nim + Calda Sulfocálcica 1%",IF(AND('🌱 Configuração'!$B$51+53&gt;='🌱 Configuração'!$C$51,'🌱 Configuração'!$B$51+53&lt;'🌱 Configuração'!$D$51,INT(('🌱 Configuração'!$B$51+53-'🌱 Configuração'!$C$51)/7)+1=4,MOD('🌱 Configuração'!$B$51+53-'🌱 Configuração'!$C$51,7)=0),"🐛 Trichoderma solo + Beauveria",IF(AND('🌱 Configuração'!$B$51+53&gt;='🌱 Configuração'!$C$51,'🌱 Configuração'!$B$51+53&lt;'🌱 Configuração'!$D$51,INT(('🌱 Configuração'!$B$51+53-'🌱 Configuração'!$C$51)/7)+1=5,MOD('🌱 Configuração'!$B$51+53-'🌱 Configuração'!$C$51,7)=0),"🐛 Calda Bordalesa 0.5% foliar",IF(AND('🌱 Configuração'!$B$51+53&gt;='🌱 Configuração'!$C$51,'🌱 Configuração'!$B$51+53&lt;'🌱 Configuração'!$D$51,INT(('🌱 Configuração'!$B$51+53-'🌱 Configuração'!$C$51)/7)+1=6,MOD('🌱 Configuração'!$B$51+53-'🌱 Configuração'!$C$51,7)=0),"🐛 Nim 2mL/L — ÚLTIMA foliar",IF(AND('🌱 Configuração'!$B$51+53&gt;='🌱 Configuração'!$D$51,'🌱 Configuração'!$B$51+53&lt;'🌱 Configuração'!$E$51,INT(('🌱 Configuração'!$B$51+53-'🌱 Configuração'!$D$51)/7)+1=1,MOD('🌱 Configuração'!$B$51+53-'🌱 Configuração'!$D$51,7)=0),"🐛 Beauveria bassiana solo (sem foliar)",IF(AND('🌱 Configuração'!$B$51+53&gt;='🌱 Configuração'!$D$51,'🌱 Configuração'!$B$51+53&lt;'🌱 Configuração'!$E$51,INT(('🌱 Configuração'!$B$51+53-'🌱 Configuração'!$D$51)/7)+1=2,MOD('🌱 Configuração'!$B$51+53-'🌱 Configuração'!$D$51,7)=0),"🐛 Trichoderma solo",IF(AND('🌱 Configuração'!$B$51+53&gt;='🌱 Configuração'!$D$51,'🌱 Configuração'!$B$51+53&lt;'🌱 Configuração'!$E$51,INT(('🌱 Configuração'!$B$51+53-'🌱 Configuração'!$D$51)/7)+1=3,MOD('🌱 Configuração'!$B$51+53-'🌱 Configuração'!$D$51,7)=0),"🐛 Beauveria bassiana solo",IF(AND('🌱 Configuração'!$B$51+53&gt;='🌱 Configuração'!$D$51,'🌱 Configuração'!$B$51+53&lt;'🌱 Configuração'!$E$51,INT(('🌱 Configuração'!$B$51+53-'🌱 Configuração'!$D$51)/7)+1=4,MOD('🌱 Configuração'!$B$51+53-'🌱 Configuração'!$D$51,7)=0),"🐛 Trichoderma solo",IF(AND('🌱 Configuração'!$B$51+53&gt;='🌱 Configuração'!$E$51,INT(('🌱 Configuração'!$B$51+53-'🌱 Configuração'!$E$51)/7)+1=1,MOD('🌱 Configuração'!$B$51+53-'🌱 Configuração'!$E$51,7)=0),"🐛 Inspeção final — sem aplicação",""))))))))))))))</f>
        <v/>
      </c>
      <c r="H59" s="22" t="str">
        <f>IF(54&gt;'🌱 Configuração'!$F$50,"",IF('🌱 Configuração'!$B$51+53='🌱 Configuração'!$C$51,"🌿 INÍCIO VEGA — ajustar espaço, luz 18h/dia — EC 0.8",IF('🌱 Configuração'!$B$51+53='🌱 Configuração'!$D$51,"🌸 INÍCIO FLORAÇÃO — mudar para 12h/12h — 🔴 atenção ao fotoperíodo",IF('🌱 Configuração'!$B$51+53='🌱 Configuração'!$E$51,"🚿 INÍCIO FLUSH — PARAR nutrição, somente água pura",IF('🌱 Configuração'!$B$51+53='🌱 Configuração'!$F$51-1,"🔬 Véspera da colheita — analisar tricomas âmbar",IF('🌱 Configuração'!$B$51+53='🌱 Configuração'!$F$51,"✂️ COLHEITA! Parabéns! 🎉",""))))))</f>
        <v/>
      </c>
    </row>
    <row r="60" spans="2:8" ht="18.75" customHeight="1" x14ac:dyDescent="0.3">
      <c r="B60" s="25">
        <f>IF(55&lt;='🌱 Configuração'!$F$50,55,"")</f>
        <v>55</v>
      </c>
      <c r="C60" s="26">
        <f>IF(55&lt;='🌱 Configuração'!$F$50,'🌱 Configuração'!$B$51+54,"")</f>
        <v>46077</v>
      </c>
      <c r="D60" s="27" t="str">
        <f>IF(55&gt;'🌱 Configuração'!$F$50,"",IF('🌱 Configuração'!$B$51+54&lt;'🌱 Configuração'!$C$51,"🌱 Clone",IF('🌱 Configuração'!$B$51+54&lt;'🌱 Configuração'!$D$51,"🌿 Vegetativo",IF('🌱 Configuração'!$B$51+54&lt;'🌱 Configuração'!$E$51,"🌸 Floração","🚿 Flush"))))</f>
        <v>🌿 Vegetativo</v>
      </c>
      <c r="E60" s="28" t="str">
        <f>IF(55&gt;'🌱 Configuração'!$F$50,"",IF('🌱 Configuração'!$B$51+54&lt;'🌱 Configuração'!$C$51,"Clone S"&amp;INT((55-1)/7)+1,IF('🌱 Configuração'!$B$51+54&lt;'🌱 Configuração'!$D$51,"Vega S"&amp;INT(('🌱 Configuração'!$B$51+54-'🌱 Configuração'!$C$51)/7)+1,IF('🌱 Configuração'!$B$51+54&lt;'🌱 Configuração'!$E$51,"Flora S"&amp;INT(('🌱 Configuração'!$B$51+54-'🌱 Configuração'!$D$51)/7)+1,"Flush S"&amp;INT(('🌱 Configuração'!$B$51+54-'🌱 Configuração'!$E$51)/7)+1))))</f>
        <v>Vega S6</v>
      </c>
      <c r="F60" s="29" t="str">
        <f>IF(55&gt;'🌱 Configuração'!$F$50,"",IF(AND('🌱 Configuração'!$B$51+54&lt;'🌱 Configuração'!$C$51,INT((55-1)/7)+1=1,MOD(55-1,7)=0),"🌱 Enraizador (0.5 mL/L)",IF(AND('🌱 Configuração'!$B$51+54&lt;'🌱 Configuração'!$C$51,INT((55-1)/7)+1=2,MOD(55-1,7)=0),"🌱 Enraizador + Vitamina B1",IF(AND('🌱 Configuração'!$B$51+54&gt;='🌱 Configuração'!$C$51,'🌱 Configuração'!$B$51+54&lt;'🌱 Configuração'!$D$51,INT(('🌱 Configuração'!$B$51+54-'🌱 Configuração'!$C$51)/7)+1=1,MOD('🌱 Configuração'!$B$51+54-'🌱 Configuração'!$C$51,7)=0),"🌿 Grow A+B início — EC 0.8",IF(AND('🌱 Configuração'!$B$51+54&gt;='🌱 Configuração'!$C$51,'🌱 Configuração'!$B$51+54&lt;'🌱 Configuração'!$D$51,INT(('🌱 Configuração'!$B$51+54-'🌱 Configuração'!$C$51)/7)+1=2,MOD('🌱 Configuração'!$B$51+54-'🌱 Configuração'!$C$51,7)=0),"🌿 Grow A+B + CalMag — EC 1.0",IF(AND('🌱 Configuração'!$B$51+54&gt;='🌱 Configuração'!$C$51,'🌱 Configuração'!$B$51+54&lt;'🌱 Configuração'!$D$51,INT(('🌱 Configuração'!$B$51+54-'🌱 Configuração'!$C$51)/7)+1=3,MOD('🌱 Configuração'!$B$51+54-'🌱 Configuração'!$C$51,7)=0),"🌿 Grow A+B + CalMag — EC 1.2",IF(AND('🌱 Configuração'!$B$51+54&gt;='🌱 Configuração'!$C$51,'🌱 Configuração'!$B$51+54&lt;'🌱 Configuração'!$D$51,INT(('🌱 Configuração'!$B$51+54-'🌱 Configuração'!$C$51)/7)+1=4,MOD('🌱 Configuração'!$B$51+54-'🌱 Configuração'!$C$51,7)=0),"🌿 Grow A+B + Enzimas — EC 1.4",IF(AND('🌱 Configuração'!$B$51+54&gt;='🌱 Configuração'!$C$51,'🌱 Configuração'!$B$51+54&lt;'🌱 Configuração'!$D$51,INT(('🌱 Configuração'!$B$51+54-'🌱 Configuração'!$C$51)/7)+1=5,MOD('🌱 Configuração'!$B$51+54-'🌱 Configuração'!$C$51,7)=0),"🌿 Grow A+B + Biorrizas — EC 1.5",IF(AND('🌱 Configuração'!$B$51+54&gt;='🌱 Configuração'!$C$51,'🌱 Configuração'!$B$51+54&lt;'🌱 Configuração'!$D$51,INT(('🌱 Configuração'!$B$51+54-'🌱 Configuração'!$C$51)/7)+1=6,MOD('🌱 Configuração'!$B$51+54-'🌱 Configuração'!$C$51,7)=0),"🌿 Transição Bloom — EC 1.4",IF(AND('🌱 Configuração'!$B$51+54&gt;='🌱 Configuração'!$C$51,'🌱 Configuração'!$B$51+54&lt;'🌱 Configuração'!$D$51,INT(('🌱 Configuração'!$B$51+54-'🌱 Configuração'!$C$51)/7)+1=7,MOD('🌱 Configuração'!$B$51+54-'🌱 Configuração'!$C$51,7)=0),"🌿 Bloom A+B transição — EC 1.4",IF(AND('🌱 Configuração'!$B$51+54&gt;='🌱 Configuração'!$C$51,'🌱 Configuração'!$B$51+54&lt;'🌱 Configuração'!$D$51,INT(('🌱 Configuração'!$B$51+54-'🌱 Configuração'!$C$51)/7)+1=8,MOD('🌱 Configuração'!$B$51+54-'🌱 Configuração'!$C$51,7)=0),"🌿 Bloom A+B — EC 1.4",IF(AND('🌱 Configuração'!$B$51+54&gt;='🌱 Configuração'!$D$51,'🌱 Configuração'!$B$51+54&lt;'🌱 Configuração'!$E$51,INT(('🌱 Configuração'!$B$51+54-'🌱 Configuração'!$D$51)/7)+1=1,MOD('🌱 Configuração'!$B$51+54-'🌱 Configuração'!$D$51,7)=0),"🌸 Bloom A+B — EC 1.6",IF(AND('🌱 Configuração'!$B$51+54&gt;='🌱 Configuração'!$D$51,'🌱 Configuração'!$B$51+54&lt;'🌱 Configuração'!$E$51,INT(('🌱 Configuração'!$B$51+54-'🌱 Configuração'!$D$51)/7)+1=2,MOD('🌱 Configuração'!$B$51+54-'🌱 Configuração'!$D$51,7)=0),"🌸 Bloom + PK 13/14 início",IF(AND('🌱 Configuração'!$B$51+54&gt;='🌱 Configuração'!$D$51,'🌱 Configuração'!$B$51+54&lt;'🌱 Configuração'!$E$51,INT(('🌱 Configuração'!$B$51+54-'🌱 Configuração'!$D$51)/7)+1=3,MOD('🌱 Configuração'!$B$51+54-'🌱 Configuração'!$D$51,7)=0),"🌸 Bloom + PK + CalMag — EC 1.8",IF(AND('🌱 Configuração'!$B$51+54&gt;='🌱 Configuração'!$D$51,'🌱 Configuração'!$B$51+54&lt;'🌱 Configuração'!$E$51,INT(('🌱 Configuração'!$B$51+54-'🌱 Configuração'!$D$51)/7)+1=4,MOD('🌱 Configuração'!$B$51+54-'🌱 Configuração'!$D$51,7)=0),"🌸 Bloom + PK + Boost Floral — EC 2.0",IF(AND('🌱 Configuração'!$B$51+54&gt;='🌱 Configuração'!$D$51,'🌱 Configuração'!$B$51+54&lt;'🌱 Configuração'!$E$51,INT(('🌱 Configuração'!$B$51+54-'🌱 Configuração'!$D$51)/7)+1=5,MOD('🌱 Configuração'!$B$51+54-'🌱 Configuração'!$D$51,7)=0),"🌸 Bloom + Boost + Amino",IF(AND('🌱 Configuração'!$B$51+54&gt;='🌱 Configuração'!$D$51,'🌱 Configuração'!$B$51+54&lt;'🌱 Configuração'!$E$51,INT(('🌱 Configuração'!$B$51+54-'🌱 Configuração'!$D$51)/7)+1=6,MOD('🌱 Configuração'!$B$51+54-'🌱 Configuração'!$D$51,7)=0),"🌸 Bloom + Enzimas + Amino",IF(AND('🌱 Configuração'!$B$51+54&gt;='🌱 Configuração'!$D$51,'🌱 Configuração'!$B$51+54&lt;'🌱 Configuração'!$E$51,INT(('🌱 Configuração'!$B$51+54-'🌱 Configuração'!$D$51)/7)+1=7,MOD('🌱 Configuração'!$B$51+54-'🌱 Configuração'!$D$51,7)=0),"🌸 Reduzir N — Bloom puro — EC 1.6",IF(AND('🌱 Configuração'!$B$51+54&gt;='🌱 Configuração'!$D$51,'🌱 Configuração'!$B$51+54&lt;'🌱 Configuração'!$E$51,INT(('🌱 Configuração'!$B$51+54-'🌱 Configuração'!$D$51)/7)+1=8,MOD('🌱 Configuração'!$B$51+54-'🌱 Configuração'!$D$51,7)=0),"🌸 Bloom puro — EC 1.4  (pré-flush)",IF(AND('🌱 Configuração'!$B$51+54&gt;='🌱 Configuração'!$D$51,'🌱 Configuração'!$B$51+54&lt;'🌱 Configuração'!$E$51,INT(('🌱 Configuração'!$B$51+54-'🌱 Configuração'!$D$51)/7)+1=9,MOD('🌱 Configuração'!$B$51+54-'🌱 Configuração'!$D$51,7)=0),"🌸 Último Bloom — EC 0.8",IF(AND('🌱 Configuração'!$B$51+54&gt;='🌱 Configuração'!$E$51,INT(('🌱 Configuração'!$B$51+54-'🌱 Configuração'!$E$51)/7)+1=1,MOD('🌱 Configuração'!$B$51+54-'🌱 Configuração'!$E$51,7)=0),"🚿 Água pura + Enzimas (EC &lt; 0.3)",IF(AND('🌱 Configuração'!$B$51+54&gt;='🌱 Configuração'!$E$51,INT(('🌱 Configuração'!$B$51+54-'🌱 Configuração'!$E$51)/7)+1=2,MOD('🌱 Configuração'!$B$51+54-'🌱 Configuração'!$E$51,7)=0),"🚿 Água pura (EC &lt; 0.2)",""))))))))))))))))))))))</f>
        <v/>
      </c>
      <c r="G60" s="30" t="str">
        <f>IF(55&gt;'🌱 Configuração'!$F$50,"",IF(AND('🌱 Configuração'!$B$51+54&lt;'🌱 Configuração'!$C$51,INT((55-1)/7)+1=1,MOD(55-1,7)=0),"🐛 Nim 2mL/L foliar — preventivo",IF(AND('🌱 Configuração'!$B$51+54&lt;'🌱 Configuração'!$C$51,INT((55-1)/7)+1=2,MOD(55-1,7)=0),"🐛 Beauveria bassiana foliar + solo",IF(AND('🌱 Configuração'!$B$51+54&gt;='🌱 Configuração'!$C$51,'🌱 Configuração'!$B$51+54&lt;'🌱 Configuração'!$D$51,INT(('🌱 Configuração'!$B$51+54-'🌱 Configuração'!$C$51)/7)+1=1,MOD('🌱 Configuração'!$B$51+54-'🌱 Configuração'!$C$51,7)=0),"🐛 Nim 2mL/L foliar",IF(AND('🌱 Configuração'!$B$51+54&gt;='🌱 Configuração'!$C$51,'🌱 Configuração'!$B$51+54&lt;'🌱 Configuração'!$D$51,INT(('🌱 Configuração'!$B$51+54-'🌱 Configuração'!$C$51)/7)+1=2,MOD('🌱 Configuração'!$B$51+54-'🌱 Configuração'!$C$51,7)=0),"🐛 Beauveria bassiana foliar",IF(AND('🌱 Configuração'!$B$51+54&gt;='🌱 Configuração'!$C$51,'🌱 Configuração'!$B$51+54&lt;'🌱 Configuração'!$D$51,INT(('🌱 Configuração'!$B$51+54-'🌱 Configuração'!$C$51)/7)+1=3,MOD('🌱 Configuração'!$B$51+54-'🌱 Configuração'!$C$51,7)=0),"🐛 Nim + Calda Sulfocálcica 1%",IF(AND('🌱 Configuração'!$B$51+54&gt;='🌱 Configuração'!$C$51,'🌱 Configuração'!$B$51+54&lt;'🌱 Configuração'!$D$51,INT(('🌱 Configuração'!$B$51+54-'🌱 Configuração'!$C$51)/7)+1=4,MOD('🌱 Configuração'!$B$51+54-'🌱 Configuração'!$C$51,7)=0),"🐛 Trichoderma solo + Beauveria",IF(AND('🌱 Configuração'!$B$51+54&gt;='🌱 Configuração'!$C$51,'🌱 Configuração'!$B$51+54&lt;'🌱 Configuração'!$D$51,INT(('🌱 Configuração'!$B$51+54-'🌱 Configuração'!$C$51)/7)+1=5,MOD('🌱 Configuração'!$B$51+54-'🌱 Configuração'!$C$51,7)=0),"🐛 Calda Bordalesa 0.5% foliar",IF(AND('🌱 Configuração'!$B$51+54&gt;='🌱 Configuração'!$C$51,'🌱 Configuração'!$B$51+54&lt;'🌱 Configuração'!$D$51,INT(('🌱 Configuração'!$B$51+54-'🌱 Configuração'!$C$51)/7)+1=6,MOD('🌱 Configuração'!$B$51+54-'🌱 Configuração'!$C$51,7)=0),"🐛 Nim 2mL/L — ÚLTIMA foliar",IF(AND('🌱 Configuração'!$B$51+54&gt;='🌱 Configuração'!$D$51,'🌱 Configuração'!$B$51+54&lt;'🌱 Configuração'!$E$51,INT(('🌱 Configuração'!$B$51+54-'🌱 Configuração'!$D$51)/7)+1=1,MOD('🌱 Configuração'!$B$51+54-'🌱 Configuração'!$D$51,7)=0),"🐛 Beauveria bassiana solo (sem foliar)",IF(AND('🌱 Configuração'!$B$51+54&gt;='🌱 Configuração'!$D$51,'🌱 Configuração'!$B$51+54&lt;'🌱 Configuração'!$E$51,INT(('🌱 Configuração'!$B$51+54-'🌱 Configuração'!$D$51)/7)+1=2,MOD('🌱 Configuração'!$B$51+54-'🌱 Configuração'!$D$51,7)=0),"🐛 Trichoderma solo",IF(AND('🌱 Configuração'!$B$51+54&gt;='🌱 Configuração'!$D$51,'🌱 Configuração'!$B$51+54&lt;'🌱 Configuração'!$E$51,INT(('🌱 Configuração'!$B$51+54-'🌱 Configuração'!$D$51)/7)+1=3,MOD('🌱 Configuração'!$B$51+54-'🌱 Configuração'!$D$51,7)=0),"🐛 Beauveria bassiana solo",IF(AND('🌱 Configuração'!$B$51+54&gt;='🌱 Configuração'!$D$51,'🌱 Configuração'!$B$51+54&lt;'🌱 Configuração'!$E$51,INT(('🌱 Configuração'!$B$51+54-'🌱 Configuração'!$D$51)/7)+1=4,MOD('🌱 Configuração'!$B$51+54-'🌱 Configuração'!$D$51,7)=0),"🐛 Trichoderma solo",IF(AND('🌱 Configuração'!$B$51+54&gt;='🌱 Configuração'!$E$51,INT(('🌱 Configuração'!$B$51+54-'🌱 Configuração'!$E$51)/7)+1=1,MOD('🌱 Configuração'!$B$51+54-'🌱 Configuração'!$E$51,7)=0),"🐛 Inspeção final — sem aplicação",""))))))))))))))</f>
        <v/>
      </c>
      <c r="H60" s="22" t="str">
        <f>IF(55&gt;'🌱 Configuração'!$F$50,"",IF('🌱 Configuração'!$B$51+54='🌱 Configuração'!$C$51,"🌿 INÍCIO VEGA — ajustar espaço, luz 18h/dia — EC 0.8",IF('🌱 Configuração'!$B$51+54='🌱 Configuração'!$D$51,"🌸 INÍCIO FLORAÇÃO — mudar para 12h/12h — 🔴 atenção ao fotoperíodo",IF('🌱 Configuração'!$B$51+54='🌱 Configuração'!$E$51,"🚿 INÍCIO FLUSH — PARAR nutrição, somente água pura",IF('🌱 Configuração'!$B$51+54='🌱 Configuração'!$F$51-1,"🔬 Véspera da colheita — analisar tricomas âmbar",IF('🌱 Configuração'!$B$51+54='🌱 Configuração'!$F$51,"✂️ COLHEITA! Parabéns! 🎉",""))))))</f>
        <v/>
      </c>
    </row>
    <row r="61" spans="2:8" ht="18.75" customHeight="1" x14ac:dyDescent="0.3">
      <c r="B61" s="25">
        <f>IF(56&lt;='🌱 Configuração'!$F$50,56,"")</f>
        <v>56</v>
      </c>
      <c r="C61" s="26">
        <f>IF(56&lt;='🌱 Configuração'!$F$50,'🌱 Configuração'!$B$51+55,"")</f>
        <v>46078</v>
      </c>
      <c r="D61" s="27" t="str">
        <f>IF(56&gt;'🌱 Configuração'!$F$50,"",IF('🌱 Configuração'!$B$51+55&lt;'🌱 Configuração'!$C$51,"🌱 Clone",IF('🌱 Configuração'!$B$51+55&lt;'🌱 Configuração'!$D$51,"🌿 Vegetativo",IF('🌱 Configuração'!$B$51+55&lt;'🌱 Configuração'!$E$51,"🌸 Floração","🚿 Flush"))))</f>
        <v>🌿 Vegetativo</v>
      </c>
      <c r="E61" s="28" t="str">
        <f>IF(56&gt;'🌱 Configuração'!$F$50,"",IF('🌱 Configuração'!$B$51+55&lt;'🌱 Configuração'!$C$51,"Clone S"&amp;INT((56-1)/7)+1,IF('🌱 Configuração'!$B$51+55&lt;'🌱 Configuração'!$D$51,"Vega S"&amp;INT(('🌱 Configuração'!$B$51+55-'🌱 Configuração'!$C$51)/7)+1,IF('🌱 Configuração'!$B$51+55&lt;'🌱 Configuração'!$E$51,"Flora S"&amp;INT(('🌱 Configuração'!$B$51+55-'🌱 Configuração'!$D$51)/7)+1,"Flush S"&amp;INT(('🌱 Configuração'!$B$51+55-'🌱 Configuração'!$E$51)/7)+1))))</f>
        <v>Vega S6</v>
      </c>
      <c r="F61" s="29" t="str">
        <f>IF(56&gt;'🌱 Configuração'!$F$50,"",IF(AND('🌱 Configuração'!$B$51+55&lt;'🌱 Configuração'!$C$51,INT((56-1)/7)+1=1,MOD(56-1,7)=0),"🌱 Enraizador (0.5 mL/L)",IF(AND('🌱 Configuração'!$B$51+55&lt;'🌱 Configuração'!$C$51,INT((56-1)/7)+1=2,MOD(56-1,7)=0),"🌱 Enraizador + Vitamina B1",IF(AND('🌱 Configuração'!$B$51+55&gt;='🌱 Configuração'!$C$51,'🌱 Configuração'!$B$51+55&lt;'🌱 Configuração'!$D$51,INT(('🌱 Configuração'!$B$51+55-'🌱 Configuração'!$C$51)/7)+1=1,MOD('🌱 Configuração'!$B$51+55-'🌱 Configuração'!$C$51,7)=0),"🌿 Grow A+B início — EC 0.8",IF(AND('🌱 Configuração'!$B$51+55&gt;='🌱 Configuração'!$C$51,'🌱 Configuração'!$B$51+55&lt;'🌱 Configuração'!$D$51,INT(('🌱 Configuração'!$B$51+55-'🌱 Configuração'!$C$51)/7)+1=2,MOD('🌱 Configuração'!$B$51+55-'🌱 Configuração'!$C$51,7)=0),"🌿 Grow A+B + CalMag — EC 1.0",IF(AND('🌱 Configuração'!$B$51+55&gt;='🌱 Configuração'!$C$51,'🌱 Configuração'!$B$51+55&lt;'🌱 Configuração'!$D$51,INT(('🌱 Configuração'!$B$51+55-'🌱 Configuração'!$C$51)/7)+1=3,MOD('🌱 Configuração'!$B$51+55-'🌱 Configuração'!$C$51,7)=0),"🌿 Grow A+B + CalMag — EC 1.2",IF(AND('🌱 Configuração'!$B$51+55&gt;='🌱 Configuração'!$C$51,'🌱 Configuração'!$B$51+55&lt;'🌱 Configuração'!$D$51,INT(('🌱 Configuração'!$B$51+55-'🌱 Configuração'!$C$51)/7)+1=4,MOD('🌱 Configuração'!$B$51+55-'🌱 Configuração'!$C$51,7)=0),"🌿 Grow A+B + Enzimas — EC 1.4",IF(AND('🌱 Configuração'!$B$51+55&gt;='🌱 Configuração'!$C$51,'🌱 Configuração'!$B$51+55&lt;'🌱 Configuração'!$D$51,INT(('🌱 Configuração'!$B$51+55-'🌱 Configuração'!$C$51)/7)+1=5,MOD('🌱 Configuração'!$B$51+55-'🌱 Configuração'!$C$51,7)=0),"🌿 Grow A+B + Biorrizas — EC 1.5",IF(AND('🌱 Configuração'!$B$51+55&gt;='🌱 Configuração'!$C$51,'🌱 Configuração'!$B$51+55&lt;'🌱 Configuração'!$D$51,INT(('🌱 Configuração'!$B$51+55-'🌱 Configuração'!$C$51)/7)+1=6,MOD('🌱 Configuração'!$B$51+55-'🌱 Configuração'!$C$51,7)=0),"🌿 Transição Bloom — EC 1.4",IF(AND('🌱 Configuração'!$B$51+55&gt;='🌱 Configuração'!$C$51,'🌱 Configuração'!$B$51+55&lt;'🌱 Configuração'!$D$51,INT(('🌱 Configuração'!$B$51+55-'🌱 Configuração'!$C$51)/7)+1=7,MOD('🌱 Configuração'!$B$51+55-'🌱 Configuração'!$C$51,7)=0),"🌿 Bloom A+B transição — EC 1.4",IF(AND('🌱 Configuração'!$B$51+55&gt;='🌱 Configuração'!$C$51,'🌱 Configuração'!$B$51+55&lt;'🌱 Configuração'!$D$51,INT(('🌱 Configuração'!$B$51+55-'🌱 Configuração'!$C$51)/7)+1=8,MOD('🌱 Configuração'!$B$51+55-'🌱 Configuração'!$C$51,7)=0),"🌿 Bloom A+B — EC 1.4",IF(AND('🌱 Configuração'!$B$51+55&gt;='🌱 Configuração'!$D$51,'🌱 Configuração'!$B$51+55&lt;'🌱 Configuração'!$E$51,INT(('🌱 Configuração'!$B$51+55-'🌱 Configuração'!$D$51)/7)+1=1,MOD('🌱 Configuração'!$B$51+55-'🌱 Configuração'!$D$51,7)=0),"🌸 Bloom A+B — EC 1.6",IF(AND('🌱 Configuração'!$B$51+55&gt;='🌱 Configuração'!$D$51,'🌱 Configuração'!$B$51+55&lt;'🌱 Configuração'!$E$51,INT(('🌱 Configuração'!$B$51+55-'🌱 Configuração'!$D$51)/7)+1=2,MOD('🌱 Configuração'!$B$51+55-'🌱 Configuração'!$D$51,7)=0),"🌸 Bloom + PK 13/14 início",IF(AND('🌱 Configuração'!$B$51+55&gt;='🌱 Configuração'!$D$51,'🌱 Configuração'!$B$51+55&lt;'🌱 Configuração'!$E$51,INT(('🌱 Configuração'!$B$51+55-'🌱 Configuração'!$D$51)/7)+1=3,MOD('🌱 Configuração'!$B$51+55-'🌱 Configuração'!$D$51,7)=0),"🌸 Bloom + PK + CalMag — EC 1.8",IF(AND('🌱 Configuração'!$B$51+55&gt;='🌱 Configuração'!$D$51,'🌱 Configuração'!$B$51+55&lt;'🌱 Configuração'!$E$51,INT(('🌱 Configuração'!$B$51+55-'🌱 Configuração'!$D$51)/7)+1=4,MOD('🌱 Configuração'!$B$51+55-'🌱 Configuração'!$D$51,7)=0),"🌸 Bloom + PK + Boost Floral — EC 2.0",IF(AND('🌱 Configuração'!$B$51+55&gt;='🌱 Configuração'!$D$51,'🌱 Configuração'!$B$51+55&lt;'🌱 Configuração'!$E$51,INT(('🌱 Configuração'!$B$51+55-'🌱 Configuração'!$D$51)/7)+1=5,MOD('🌱 Configuração'!$B$51+55-'🌱 Configuração'!$D$51,7)=0),"🌸 Bloom + Boost + Amino",IF(AND('🌱 Configuração'!$B$51+55&gt;='🌱 Configuração'!$D$51,'🌱 Configuração'!$B$51+55&lt;'🌱 Configuração'!$E$51,INT(('🌱 Configuração'!$B$51+55-'🌱 Configuração'!$D$51)/7)+1=6,MOD('🌱 Configuração'!$B$51+55-'🌱 Configuração'!$D$51,7)=0),"🌸 Bloom + Enzimas + Amino",IF(AND('🌱 Configuração'!$B$51+55&gt;='🌱 Configuração'!$D$51,'🌱 Configuração'!$B$51+55&lt;'🌱 Configuração'!$E$51,INT(('🌱 Configuração'!$B$51+55-'🌱 Configuração'!$D$51)/7)+1=7,MOD('🌱 Configuração'!$B$51+55-'🌱 Configuração'!$D$51,7)=0),"🌸 Reduzir N — Bloom puro — EC 1.6",IF(AND('🌱 Configuração'!$B$51+55&gt;='🌱 Configuração'!$D$51,'🌱 Configuração'!$B$51+55&lt;'🌱 Configuração'!$E$51,INT(('🌱 Configuração'!$B$51+55-'🌱 Configuração'!$D$51)/7)+1=8,MOD('🌱 Configuração'!$B$51+55-'🌱 Configuração'!$D$51,7)=0),"🌸 Bloom puro — EC 1.4  (pré-flush)",IF(AND('🌱 Configuração'!$B$51+55&gt;='🌱 Configuração'!$D$51,'🌱 Configuração'!$B$51+55&lt;'🌱 Configuração'!$E$51,INT(('🌱 Configuração'!$B$51+55-'🌱 Configuração'!$D$51)/7)+1=9,MOD('🌱 Configuração'!$B$51+55-'🌱 Configuração'!$D$51,7)=0),"🌸 Último Bloom — EC 0.8",IF(AND('🌱 Configuração'!$B$51+55&gt;='🌱 Configuração'!$E$51,INT(('🌱 Configuração'!$B$51+55-'🌱 Configuração'!$E$51)/7)+1=1,MOD('🌱 Configuração'!$B$51+55-'🌱 Configuração'!$E$51,7)=0),"🚿 Água pura + Enzimas (EC &lt; 0.3)",IF(AND('🌱 Configuração'!$B$51+55&gt;='🌱 Configuração'!$E$51,INT(('🌱 Configuração'!$B$51+55-'🌱 Configuração'!$E$51)/7)+1=2,MOD('🌱 Configuração'!$B$51+55-'🌱 Configuração'!$E$51,7)=0),"🚿 Água pura (EC &lt; 0.2)",""))))))))))))))))))))))</f>
        <v/>
      </c>
      <c r="G61" s="30" t="str">
        <f>IF(56&gt;'🌱 Configuração'!$F$50,"",IF(AND('🌱 Configuração'!$B$51+55&lt;'🌱 Configuração'!$C$51,INT((56-1)/7)+1=1,MOD(56-1,7)=0),"🐛 Nim 2mL/L foliar — preventivo",IF(AND('🌱 Configuração'!$B$51+55&lt;'🌱 Configuração'!$C$51,INT((56-1)/7)+1=2,MOD(56-1,7)=0),"🐛 Beauveria bassiana foliar + solo",IF(AND('🌱 Configuração'!$B$51+55&gt;='🌱 Configuração'!$C$51,'🌱 Configuração'!$B$51+55&lt;'🌱 Configuração'!$D$51,INT(('🌱 Configuração'!$B$51+55-'🌱 Configuração'!$C$51)/7)+1=1,MOD('🌱 Configuração'!$B$51+55-'🌱 Configuração'!$C$51,7)=0),"🐛 Nim 2mL/L foliar",IF(AND('🌱 Configuração'!$B$51+55&gt;='🌱 Configuração'!$C$51,'🌱 Configuração'!$B$51+55&lt;'🌱 Configuração'!$D$51,INT(('🌱 Configuração'!$B$51+55-'🌱 Configuração'!$C$51)/7)+1=2,MOD('🌱 Configuração'!$B$51+55-'🌱 Configuração'!$C$51,7)=0),"🐛 Beauveria bassiana foliar",IF(AND('🌱 Configuração'!$B$51+55&gt;='🌱 Configuração'!$C$51,'🌱 Configuração'!$B$51+55&lt;'🌱 Configuração'!$D$51,INT(('🌱 Configuração'!$B$51+55-'🌱 Configuração'!$C$51)/7)+1=3,MOD('🌱 Configuração'!$B$51+55-'🌱 Configuração'!$C$51,7)=0),"🐛 Nim + Calda Sulfocálcica 1%",IF(AND('🌱 Configuração'!$B$51+55&gt;='🌱 Configuração'!$C$51,'🌱 Configuração'!$B$51+55&lt;'🌱 Configuração'!$D$51,INT(('🌱 Configuração'!$B$51+55-'🌱 Configuração'!$C$51)/7)+1=4,MOD('🌱 Configuração'!$B$51+55-'🌱 Configuração'!$C$51,7)=0),"🐛 Trichoderma solo + Beauveria",IF(AND('🌱 Configuração'!$B$51+55&gt;='🌱 Configuração'!$C$51,'🌱 Configuração'!$B$51+55&lt;'🌱 Configuração'!$D$51,INT(('🌱 Configuração'!$B$51+55-'🌱 Configuração'!$C$51)/7)+1=5,MOD('🌱 Configuração'!$B$51+55-'🌱 Configuração'!$C$51,7)=0),"🐛 Calda Bordalesa 0.5% foliar",IF(AND('🌱 Configuração'!$B$51+55&gt;='🌱 Configuração'!$C$51,'🌱 Configuração'!$B$51+55&lt;'🌱 Configuração'!$D$51,INT(('🌱 Configuração'!$B$51+55-'🌱 Configuração'!$C$51)/7)+1=6,MOD('🌱 Configuração'!$B$51+55-'🌱 Configuração'!$C$51,7)=0),"🐛 Nim 2mL/L — ÚLTIMA foliar",IF(AND('🌱 Configuração'!$B$51+55&gt;='🌱 Configuração'!$D$51,'🌱 Configuração'!$B$51+55&lt;'🌱 Configuração'!$E$51,INT(('🌱 Configuração'!$B$51+55-'🌱 Configuração'!$D$51)/7)+1=1,MOD('🌱 Configuração'!$B$51+55-'🌱 Configuração'!$D$51,7)=0),"🐛 Beauveria bassiana solo (sem foliar)",IF(AND('🌱 Configuração'!$B$51+55&gt;='🌱 Configuração'!$D$51,'🌱 Configuração'!$B$51+55&lt;'🌱 Configuração'!$E$51,INT(('🌱 Configuração'!$B$51+55-'🌱 Configuração'!$D$51)/7)+1=2,MOD('🌱 Configuração'!$B$51+55-'🌱 Configuração'!$D$51,7)=0),"🐛 Trichoderma solo",IF(AND('🌱 Configuração'!$B$51+55&gt;='🌱 Configuração'!$D$51,'🌱 Configuração'!$B$51+55&lt;'🌱 Configuração'!$E$51,INT(('🌱 Configuração'!$B$51+55-'🌱 Configuração'!$D$51)/7)+1=3,MOD('🌱 Configuração'!$B$51+55-'🌱 Configuração'!$D$51,7)=0),"🐛 Beauveria bassiana solo",IF(AND('🌱 Configuração'!$B$51+55&gt;='🌱 Configuração'!$D$51,'🌱 Configuração'!$B$51+55&lt;'🌱 Configuração'!$E$51,INT(('🌱 Configuração'!$B$51+55-'🌱 Configuração'!$D$51)/7)+1=4,MOD('🌱 Configuração'!$B$51+55-'🌱 Configuração'!$D$51,7)=0),"🐛 Trichoderma solo",IF(AND('🌱 Configuração'!$B$51+55&gt;='🌱 Configuração'!$E$51,INT(('🌱 Configuração'!$B$51+55-'🌱 Configuração'!$E$51)/7)+1=1,MOD('🌱 Configuração'!$B$51+55-'🌱 Configuração'!$E$51,7)=0),"🐛 Inspeção final — sem aplicação",""))))))))))))))</f>
        <v/>
      </c>
      <c r="H61" s="22" t="str">
        <f>IF(56&gt;'🌱 Configuração'!$F$50,"",IF('🌱 Configuração'!$B$51+55='🌱 Configuração'!$C$51,"🌿 INÍCIO VEGA — ajustar espaço, luz 18h/dia — EC 0.8",IF('🌱 Configuração'!$B$51+55='🌱 Configuração'!$D$51,"🌸 INÍCIO FLORAÇÃO — mudar para 12h/12h — 🔴 atenção ao fotoperíodo",IF('🌱 Configuração'!$B$51+55='🌱 Configuração'!$E$51,"🚿 INÍCIO FLUSH — PARAR nutrição, somente água pura",IF('🌱 Configuração'!$B$51+55='🌱 Configuração'!$F$51-1,"🔬 Véspera da colheita — analisar tricomas âmbar",IF('🌱 Configuração'!$B$51+55='🌱 Configuração'!$F$51,"✂️ COLHEITA! Parabéns! 🎉",""))))))</f>
        <v/>
      </c>
    </row>
    <row r="62" spans="2:8" ht="18.75" customHeight="1" x14ac:dyDescent="0.3">
      <c r="B62" s="25">
        <f>IF(57&lt;='🌱 Configuração'!$F$50,57,"")</f>
        <v>57</v>
      </c>
      <c r="C62" s="26">
        <f>IF(57&lt;='🌱 Configuração'!$F$50,'🌱 Configuração'!$B$51+56,"")</f>
        <v>46079</v>
      </c>
      <c r="D62" s="27" t="str">
        <f>IF(57&gt;'🌱 Configuração'!$F$50,"",IF('🌱 Configuração'!$B$51+56&lt;'🌱 Configuração'!$C$51,"🌱 Clone",IF('🌱 Configuração'!$B$51+56&lt;'🌱 Configuração'!$D$51,"🌿 Vegetativo",IF('🌱 Configuração'!$B$51+56&lt;'🌱 Configuração'!$E$51,"🌸 Floração","🚿 Flush"))))</f>
        <v>🌸 Floração</v>
      </c>
      <c r="E62" s="28" t="str">
        <f>IF(57&gt;'🌱 Configuração'!$F$50,"",IF('🌱 Configuração'!$B$51+56&lt;'🌱 Configuração'!$C$51,"Clone S"&amp;INT((57-1)/7)+1,IF('🌱 Configuração'!$B$51+56&lt;'🌱 Configuração'!$D$51,"Vega S"&amp;INT(('🌱 Configuração'!$B$51+56-'🌱 Configuração'!$C$51)/7)+1,IF('🌱 Configuração'!$B$51+56&lt;'🌱 Configuração'!$E$51,"Flora S"&amp;INT(('🌱 Configuração'!$B$51+56-'🌱 Configuração'!$D$51)/7)+1,"Flush S"&amp;INT(('🌱 Configuração'!$B$51+56-'🌱 Configuração'!$E$51)/7)+1))))</f>
        <v>Flora S1</v>
      </c>
      <c r="F62" s="29" t="str">
        <f>IF(57&gt;'🌱 Configuração'!$F$50,"",IF(AND('🌱 Configuração'!$B$51+56&lt;'🌱 Configuração'!$C$51,INT((57-1)/7)+1=1,MOD(57-1,7)=0),"🌱 Enraizador (0.5 mL/L)",IF(AND('🌱 Configuração'!$B$51+56&lt;'🌱 Configuração'!$C$51,INT((57-1)/7)+1=2,MOD(57-1,7)=0),"🌱 Enraizador + Vitamina B1",IF(AND('🌱 Configuração'!$B$51+56&gt;='🌱 Configuração'!$C$51,'🌱 Configuração'!$B$51+56&lt;'🌱 Configuração'!$D$51,INT(('🌱 Configuração'!$B$51+56-'🌱 Configuração'!$C$51)/7)+1=1,MOD('🌱 Configuração'!$B$51+56-'🌱 Configuração'!$C$51,7)=0),"🌿 Grow A+B início — EC 0.8",IF(AND('🌱 Configuração'!$B$51+56&gt;='🌱 Configuração'!$C$51,'🌱 Configuração'!$B$51+56&lt;'🌱 Configuração'!$D$51,INT(('🌱 Configuração'!$B$51+56-'🌱 Configuração'!$C$51)/7)+1=2,MOD('🌱 Configuração'!$B$51+56-'🌱 Configuração'!$C$51,7)=0),"🌿 Grow A+B + CalMag — EC 1.0",IF(AND('🌱 Configuração'!$B$51+56&gt;='🌱 Configuração'!$C$51,'🌱 Configuração'!$B$51+56&lt;'🌱 Configuração'!$D$51,INT(('🌱 Configuração'!$B$51+56-'🌱 Configuração'!$C$51)/7)+1=3,MOD('🌱 Configuração'!$B$51+56-'🌱 Configuração'!$C$51,7)=0),"🌿 Grow A+B + CalMag — EC 1.2",IF(AND('🌱 Configuração'!$B$51+56&gt;='🌱 Configuração'!$C$51,'🌱 Configuração'!$B$51+56&lt;'🌱 Configuração'!$D$51,INT(('🌱 Configuração'!$B$51+56-'🌱 Configuração'!$C$51)/7)+1=4,MOD('🌱 Configuração'!$B$51+56-'🌱 Configuração'!$C$51,7)=0),"🌿 Grow A+B + Enzimas — EC 1.4",IF(AND('🌱 Configuração'!$B$51+56&gt;='🌱 Configuração'!$C$51,'🌱 Configuração'!$B$51+56&lt;'🌱 Configuração'!$D$51,INT(('🌱 Configuração'!$B$51+56-'🌱 Configuração'!$C$51)/7)+1=5,MOD('🌱 Configuração'!$B$51+56-'🌱 Configuração'!$C$51,7)=0),"🌿 Grow A+B + Biorrizas — EC 1.5",IF(AND('🌱 Configuração'!$B$51+56&gt;='🌱 Configuração'!$C$51,'🌱 Configuração'!$B$51+56&lt;'🌱 Configuração'!$D$51,INT(('🌱 Configuração'!$B$51+56-'🌱 Configuração'!$C$51)/7)+1=6,MOD('🌱 Configuração'!$B$51+56-'🌱 Configuração'!$C$51,7)=0),"🌿 Transição Bloom — EC 1.4",IF(AND('🌱 Configuração'!$B$51+56&gt;='🌱 Configuração'!$C$51,'🌱 Configuração'!$B$51+56&lt;'🌱 Configuração'!$D$51,INT(('🌱 Configuração'!$B$51+56-'🌱 Configuração'!$C$51)/7)+1=7,MOD('🌱 Configuração'!$B$51+56-'🌱 Configuração'!$C$51,7)=0),"🌿 Bloom A+B transição — EC 1.4",IF(AND('🌱 Configuração'!$B$51+56&gt;='🌱 Configuração'!$C$51,'🌱 Configuração'!$B$51+56&lt;'🌱 Configuração'!$D$51,INT(('🌱 Configuração'!$B$51+56-'🌱 Configuração'!$C$51)/7)+1=8,MOD('🌱 Configuração'!$B$51+56-'🌱 Configuração'!$C$51,7)=0),"🌿 Bloom A+B — EC 1.4",IF(AND('🌱 Configuração'!$B$51+56&gt;='🌱 Configuração'!$D$51,'🌱 Configuração'!$B$51+56&lt;'🌱 Configuração'!$E$51,INT(('🌱 Configuração'!$B$51+56-'🌱 Configuração'!$D$51)/7)+1=1,MOD('🌱 Configuração'!$B$51+56-'🌱 Configuração'!$D$51,7)=0),"🌸 Bloom A+B — EC 1.6",IF(AND('🌱 Configuração'!$B$51+56&gt;='🌱 Configuração'!$D$51,'🌱 Configuração'!$B$51+56&lt;'🌱 Configuração'!$E$51,INT(('🌱 Configuração'!$B$51+56-'🌱 Configuração'!$D$51)/7)+1=2,MOD('🌱 Configuração'!$B$51+56-'🌱 Configuração'!$D$51,7)=0),"🌸 Bloom + PK 13/14 início",IF(AND('🌱 Configuração'!$B$51+56&gt;='🌱 Configuração'!$D$51,'🌱 Configuração'!$B$51+56&lt;'🌱 Configuração'!$E$51,INT(('🌱 Configuração'!$B$51+56-'🌱 Configuração'!$D$51)/7)+1=3,MOD('🌱 Configuração'!$B$51+56-'🌱 Configuração'!$D$51,7)=0),"🌸 Bloom + PK + CalMag — EC 1.8",IF(AND('🌱 Configuração'!$B$51+56&gt;='🌱 Configuração'!$D$51,'🌱 Configuração'!$B$51+56&lt;'🌱 Configuração'!$E$51,INT(('🌱 Configuração'!$B$51+56-'🌱 Configuração'!$D$51)/7)+1=4,MOD('🌱 Configuração'!$B$51+56-'🌱 Configuração'!$D$51,7)=0),"🌸 Bloom + PK + Boost Floral — EC 2.0",IF(AND('🌱 Configuração'!$B$51+56&gt;='🌱 Configuração'!$D$51,'🌱 Configuração'!$B$51+56&lt;'🌱 Configuração'!$E$51,INT(('🌱 Configuração'!$B$51+56-'🌱 Configuração'!$D$51)/7)+1=5,MOD('🌱 Configuração'!$B$51+56-'🌱 Configuração'!$D$51,7)=0),"🌸 Bloom + Boost + Amino",IF(AND('🌱 Configuração'!$B$51+56&gt;='🌱 Configuração'!$D$51,'🌱 Configuração'!$B$51+56&lt;'🌱 Configuração'!$E$51,INT(('🌱 Configuração'!$B$51+56-'🌱 Configuração'!$D$51)/7)+1=6,MOD('🌱 Configuração'!$B$51+56-'🌱 Configuração'!$D$51,7)=0),"🌸 Bloom + Enzimas + Amino",IF(AND('🌱 Configuração'!$B$51+56&gt;='🌱 Configuração'!$D$51,'🌱 Configuração'!$B$51+56&lt;'🌱 Configuração'!$E$51,INT(('🌱 Configuração'!$B$51+56-'🌱 Configuração'!$D$51)/7)+1=7,MOD('🌱 Configuração'!$B$51+56-'🌱 Configuração'!$D$51,7)=0),"🌸 Reduzir N — Bloom puro — EC 1.6",IF(AND('🌱 Configuração'!$B$51+56&gt;='🌱 Configuração'!$D$51,'🌱 Configuração'!$B$51+56&lt;'🌱 Configuração'!$E$51,INT(('🌱 Configuração'!$B$51+56-'🌱 Configuração'!$D$51)/7)+1=8,MOD('🌱 Configuração'!$B$51+56-'🌱 Configuração'!$D$51,7)=0),"🌸 Bloom puro — EC 1.4  (pré-flush)",IF(AND('🌱 Configuração'!$B$51+56&gt;='🌱 Configuração'!$D$51,'🌱 Configuração'!$B$51+56&lt;'🌱 Configuração'!$E$51,INT(('🌱 Configuração'!$B$51+56-'🌱 Configuração'!$D$51)/7)+1=9,MOD('🌱 Configuração'!$B$51+56-'🌱 Configuração'!$D$51,7)=0),"🌸 Último Bloom — EC 0.8",IF(AND('🌱 Configuração'!$B$51+56&gt;='🌱 Configuração'!$E$51,INT(('🌱 Configuração'!$B$51+56-'🌱 Configuração'!$E$51)/7)+1=1,MOD('🌱 Configuração'!$B$51+56-'🌱 Configuração'!$E$51,7)=0),"🚿 Água pura + Enzimas (EC &lt; 0.3)",IF(AND('🌱 Configuração'!$B$51+56&gt;='🌱 Configuração'!$E$51,INT(('🌱 Configuração'!$B$51+56-'🌱 Configuração'!$E$51)/7)+1=2,MOD('🌱 Configuração'!$B$51+56-'🌱 Configuração'!$E$51,7)=0),"🚿 Água pura (EC &lt; 0.2)",""))))))))))))))))))))))</f>
        <v>🌸 Bloom A+B — EC 1.6</v>
      </c>
      <c r="G62" s="30" t="str">
        <f>IF(57&gt;'🌱 Configuração'!$F$50,"",IF(AND('🌱 Configuração'!$B$51+56&lt;'🌱 Configuração'!$C$51,INT((57-1)/7)+1=1,MOD(57-1,7)=0),"🐛 Nim 2mL/L foliar — preventivo",IF(AND('🌱 Configuração'!$B$51+56&lt;'🌱 Configuração'!$C$51,INT((57-1)/7)+1=2,MOD(57-1,7)=0),"🐛 Beauveria bassiana foliar + solo",IF(AND('🌱 Configuração'!$B$51+56&gt;='🌱 Configuração'!$C$51,'🌱 Configuração'!$B$51+56&lt;'🌱 Configuração'!$D$51,INT(('🌱 Configuração'!$B$51+56-'🌱 Configuração'!$C$51)/7)+1=1,MOD('🌱 Configuração'!$B$51+56-'🌱 Configuração'!$C$51,7)=0),"🐛 Nim 2mL/L foliar",IF(AND('🌱 Configuração'!$B$51+56&gt;='🌱 Configuração'!$C$51,'🌱 Configuração'!$B$51+56&lt;'🌱 Configuração'!$D$51,INT(('🌱 Configuração'!$B$51+56-'🌱 Configuração'!$C$51)/7)+1=2,MOD('🌱 Configuração'!$B$51+56-'🌱 Configuração'!$C$51,7)=0),"🐛 Beauveria bassiana foliar",IF(AND('🌱 Configuração'!$B$51+56&gt;='🌱 Configuração'!$C$51,'🌱 Configuração'!$B$51+56&lt;'🌱 Configuração'!$D$51,INT(('🌱 Configuração'!$B$51+56-'🌱 Configuração'!$C$51)/7)+1=3,MOD('🌱 Configuração'!$B$51+56-'🌱 Configuração'!$C$51,7)=0),"🐛 Nim + Calda Sulfocálcica 1%",IF(AND('🌱 Configuração'!$B$51+56&gt;='🌱 Configuração'!$C$51,'🌱 Configuração'!$B$51+56&lt;'🌱 Configuração'!$D$51,INT(('🌱 Configuração'!$B$51+56-'🌱 Configuração'!$C$51)/7)+1=4,MOD('🌱 Configuração'!$B$51+56-'🌱 Configuração'!$C$51,7)=0),"🐛 Trichoderma solo + Beauveria",IF(AND('🌱 Configuração'!$B$51+56&gt;='🌱 Configuração'!$C$51,'🌱 Configuração'!$B$51+56&lt;'🌱 Configuração'!$D$51,INT(('🌱 Configuração'!$B$51+56-'🌱 Configuração'!$C$51)/7)+1=5,MOD('🌱 Configuração'!$B$51+56-'🌱 Configuração'!$C$51,7)=0),"🐛 Calda Bordalesa 0.5% foliar",IF(AND('🌱 Configuração'!$B$51+56&gt;='🌱 Configuração'!$C$51,'🌱 Configuração'!$B$51+56&lt;'🌱 Configuração'!$D$51,INT(('🌱 Configuração'!$B$51+56-'🌱 Configuração'!$C$51)/7)+1=6,MOD('🌱 Configuração'!$B$51+56-'🌱 Configuração'!$C$51,7)=0),"🐛 Nim 2mL/L — ÚLTIMA foliar",IF(AND('🌱 Configuração'!$B$51+56&gt;='🌱 Configuração'!$D$51,'🌱 Configuração'!$B$51+56&lt;'🌱 Configuração'!$E$51,INT(('🌱 Configuração'!$B$51+56-'🌱 Configuração'!$D$51)/7)+1=1,MOD('🌱 Configuração'!$B$51+56-'🌱 Configuração'!$D$51,7)=0),"🐛 Beauveria bassiana solo (sem foliar)",IF(AND('🌱 Configuração'!$B$51+56&gt;='🌱 Configuração'!$D$51,'🌱 Configuração'!$B$51+56&lt;'🌱 Configuração'!$E$51,INT(('🌱 Configuração'!$B$51+56-'🌱 Configuração'!$D$51)/7)+1=2,MOD('🌱 Configuração'!$B$51+56-'🌱 Configuração'!$D$51,7)=0),"🐛 Trichoderma solo",IF(AND('🌱 Configuração'!$B$51+56&gt;='🌱 Configuração'!$D$51,'🌱 Configuração'!$B$51+56&lt;'🌱 Configuração'!$E$51,INT(('🌱 Configuração'!$B$51+56-'🌱 Configuração'!$D$51)/7)+1=3,MOD('🌱 Configuração'!$B$51+56-'🌱 Configuração'!$D$51,7)=0),"🐛 Beauveria bassiana solo",IF(AND('🌱 Configuração'!$B$51+56&gt;='🌱 Configuração'!$D$51,'🌱 Configuração'!$B$51+56&lt;'🌱 Configuração'!$E$51,INT(('🌱 Configuração'!$B$51+56-'🌱 Configuração'!$D$51)/7)+1=4,MOD('🌱 Configuração'!$B$51+56-'🌱 Configuração'!$D$51,7)=0),"🐛 Trichoderma solo",IF(AND('🌱 Configuração'!$B$51+56&gt;='🌱 Configuração'!$E$51,INT(('🌱 Configuração'!$B$51+56-'🌱 Configuração'!$E$51)/7)+1=1,MOD('🌱 Configuração'!$B$51+56-'🌱 Configuração'!$E$51,7)=0),"🐛 Inspeção final — sem aplicação",""))))))))))))))</f>
        <v>🐛 Beauveria bassiana solo (sem foliar)</v>
      </c>
      <c r="H62" s="22" t="str">
        <f>IF(57&gt;'🌱 Configuração'!$F$50,"",IF('🌱 Configuração'!$B$51+56='🌱 Configuração'!$C$51,"🌿 INÍCIO VEGA — ajustar espaço, luz 18h/dia — EC 0.8",IF('🌱 Configuração'!$B$51+56='🌱 Configuração'!$D$51,"🌸 INÍCIO FLORAÇÃO — mudar para 12h/12h — 🔴 atenção ao fotoperíodo",IF('🌱 Configuração'!$B$51+56='🌱 Configuração'!$E$51,"🚿 INÍCIO FLUSH — PARAR nutrição, somente água pura",IF('🌱 Configuração'!$B$51+56='🌱 Configuração'!$F$51-1,"🔬 Véspera da colheita — analisar tricomas âmbar",IF('🌱 Configuração'!$B$51+56='🌱 Configuração'!$F$51,"✂️ COLHEITA! Parabéns! 🎉",""))))))</f>
        <v>🌸 INÍCIO FLORAÇÃO — mudar para 12h/12h — 🔴 atenção ao fotoperíodo</v>
      </c>
    </row>
    <row r="63" spans="2:8" ht="18.75" customHeight="1" x14ac:dyDescent="0.3">
      <c r="B63" s="25">
        <f>IF(58&lt;='🌱 Configuração'!$F$50,58,"")</f>
        <v>58</v>
      </c>
      <c r="C63" s="26">
        <f>IF(58&lt;='🌱 Configuração'!$F$50,'🌱 Configuração'!$B$51+57,"")</f>
        <v>46080</v>
      </c>
      <c r="D63" s="27" t="str">
        <f>IF(58&gt;'🌱 Configuração'!$F$50,"",IF('🌱 Configuração'!$B$51+57&lt;'🌱 Configuração'!$C$51,"🌱 Clone",IF('🌱 Configuração'!$B$51+57&lt;'🌱 Configuração'!$D$51,"🌿 Vegetativo",IF('🌱 Configuração'!$B$51+57&lt;'🌱 Configuração'!$E$51,"🌸 Floração","🚿 Flush"))))</f>
        <v>🌸 Floração</v>
      </c>
      <c r="E63" s="28" t="str">
        <f>IF(58&gt;'🌱 Configuração'!$F$50,"",IF('🌱 Configuração'!$B$51+57&lt;'🌱 Configuração'!$C$51,"Clone S"&amp;INT((58-1)/7)+1,IF('🌱 Configuração'!$B$51+57&lt;'🌱 Configuração'!$D$51,"Vega S"&amp;INT(('🌱 Configuração'!$B$51+57-'🌱 Configuração'!$C$51)/7)+1,IF('🌱 Configuração'!$B$51+57&lt;'🌱 Configuração'!$E$51,"Flora S"&amp;INT(('🌱 Configuração'!$B$51+57-'🌱 Configuração'!$D$51)/7)+1,"Flush S"&amp;INT(('🌱 Configuração'!$B$51+57-'🌱 Configuração'!$E$51)/7)+1))))</f>
        <v>Flora S1</v>
      </c>
      <c r="F63" s="29" t="str">
        <f>IF(58&gt;'🌱 Configuração'!$F$50,"",IF(AND('🌱 Configuração'!$B$51+57&lt;'🌱 Configuração'!$C$51,INT((58-1)/7)+1=1,MOD(58-1,7)=0),"🌱 Enraizador (0.5 mL/L)",IF(AND('🌱 Configuração'!$B$51+57&lt;'🌱 Configuração'!$C$51,INT((58-1)/7)+1=2,MOD(58-1,7)=0),"🌱 Enraizador + Vitamina B1",IF(AND('🌱 Configuração'!$B$51+57&gt;='🌱 Configuração'!$C$51,'🌱 Configuração'!$B$51+57&lt;'🌱 Configuração'!$D$51,INT(('🌱 Configuração'!$B$51+57-'🌱 Configuração'!$C$51)/7)+1=1,MOD('🌱 Configuração'!$B$51+57-'🌱 Configuração'!$C$51,7)=0),"🌿 Grow A+B início — EC 0.8",IF(AND('🌱 Configuração'!$B$51+57&gt;='🌱 Configuração'!$C$51,'🌱 Configuração'!$B$51+57&lt;'🌱 Configuração'!$D$51,INT(('🌱 Configuração'!$B$51+57-'🌱 Configuração'!$C$51)/7)+1=2,MOD('🌱 Configuração'!$B$51+57-'🌱 Configuração'!$C$51,7)=0),"🌿 Grow A+B + CalMag — EC 1.0",IF(AND('🌱 Configuração'!$B$51+57&gt;='🌱 Configuração'!$C$51,'🌱 Configuração'!$B$51+57&lt;'🌱 Configuração'!$D$51,INT(('🌱 Configuração'!$B$51+57-'🌱 Configuração'!$C$51)/7)+1=3,MOD('🌱 Configuração'!$B$51+57-'🌱 Configuração'!$C$51,7)=0),"🌿 Grow A+B + CalMag — EC 1.2",IF(AND('🌱 Configuração'!$B$51+57&gt;='🌱 Configuração'!$C$51,'🌱 Configuração'!$B$51+57&lt;'🌱 Configuração'!$D$51,INT(('🌱 Configuração'!$B$51+57-'🌱 Configuração'!$C$51)/7)+1=4,MOD('🌱 Configuração'!$B$51+57-'🌱 Configuração'!$C$51,7)=0),"🌿 Grow A+B + Enzimas — EC 1.4",IF(AND('🌱 Configuração'!$B$51+57&gt;='🌱 Configuração'!$C$51,'🌱 Configuração'!$B$51+57&lt;'🌱 Configuração'!$D$51,INT(('🌱 Configuração'!$B$51+57-'🌱 Configuração'!$C$51)/7)+1=5,MOD('🌱 Configuração'!$B$51+57-'🌱 Configuração'!$C$51,7)=0),"🌿 Grow A+B + Biorrizas — EC 1.5",IF(AND('🌱 Configuração'!$B$51+57&gt;='🌱 Configuração'!$C$51,'🌱 Configuração'!$B$51+57&lt;'🌱 Configuração'!$D$51,INT(('🌱 Configuração'!$B$51+57-'🌱 Configuração'!$C$51)/7)+1=6,MOD('🌱 Configuração'!$B$51+57-'🌱 Configuração'!$C$51,7)=0),"🌿 Transição Bloom — EC 1.4",IF(AND('🌱 Configuração'!$B$51+57&gt;='🌱 Configuração'!$C$51,'🌱 Configuração'!$B$51+57&lt;'🌱 Configuração'!$D$51,INT(('🌱 Configuração'!$B$51+57-'🌱 Configuração'!$C$51)/7)+1=7,MOD('🌱 Configuração'!$B$51+57-'🌱 Configuração'!$C$51,7)=0),"🌿 Bloom A+B transição — EC 1.4",IF(AND('🌱 Configuração'!$B$51+57&gt;='🌱 Configuração'!$C$51,'🌱 Configuração'!$B$51+57&lt;'🌱 Configuração'!$D$51,INT(('🌱 Configuração'!$B$51+57-'🌱 Configuração'!$C$51)/7)+1=8,MOD('🌱 Configuração'!$B$51+57-'🌱 Configuração'!$C$51,7)=0),"🌿 Bloom A+B — EC 1.4",IF(AND('🌱 Configuração'!$B$51+57&gt;='🌱 Configuração'!$D$51,'🌱 Configuração'!$B$51+57&lt;'🌱 Configuração'!$E$51,INT(('🌱 Configuração'!$B$51+57-'🌱 Configuração'!$D$51)/7)+1=1,MOD('🌱 Configuração'!$B$51+57-'🌱 Configuração'!$D$51,7)=0),"🌸 Bloom A+B — EC 1.6",IF(AND('🌱 Configuração'!$B$51+57&gt;='🌱 Configuração'!$D$51,'🌱 Configuração'!$B$51+57&lt;'🌱 Configuração'!$E$51,INT(('🌱 Configuração'!$B$51+57-'🌱 Configuração'!$D$51)/7)+1=2,MOD('🌱 Configuração'!$B$51+57-'🌱 Configuração'!$D$51,7)=0),"🌸 Bloom + PK 13/14 início",IF(AND('🌱 Configuração'!$B$51+57&gt;='🌱 Configuração'!$D$51,'🌱 Configuração'!$B$51+57&lt;'🌱 Configuração'!$E$51,INT(('🌱 Configuração'!$B$51+57-'🌱 Configuração'!$D$51)/7)+1=3,MOD('🌱 Configuração'!$B$51+57-'🌱 Configuração'!$D$51,7)=0),"🌸 Bloom + PK + CalMag — EC 1.8",IF(AND('🌱 Configuração'!$B$51+57&gt;='🌱 Configuração'!$D$51,'🌱 Configuração'!$B$51+57&lt;'🌱 Configuração'!$E$51,INT(('🌱 Configuração'!$B$51+57-'🌱 Configuração'!$D$51)/7)+1=4,MOD('🌱 Configuração'!$B$51+57-'🌱 Configuração'!$D$51,7)=0),"🌸 Bloom + PK + Boost Floral — EC 2.0",IF(AND('🌱 Configuração'!$B$51+57&gt;='🌱 Configuração'!$D$51,'🌱 Configuração'!$B$51+57&lt;'🌱 Configuração'!$E$51,INT(('🌱 Configuração'!$B$51+57-'🌱 Configuração'!$D$51)/7)+1=5,MOD('🌱 Configuração'!$B$51+57-'🌱 Configuração'!$D$51,7)=0),"🌸 Bloom + Boost + Amino",IF(AND('🌱 Configuração'!$B$51+57&gt;='🌱 Configuração'!$D$51,'🌱 Configuração'!$B$51+57&lt;'🌱 Configuração'!$E$51,INT(('🌱 Configuração'!$B$51+57-'🌱 Configuração'!$D$51)/7)+1=6,MOD('🌱 Configuração'!$B$51+57-'🌱 Configuração'!$D$51,7)=0),"🌸 Bloom + Enzimas + Amino",IF(AND('🌱 Configuração'!$B$51+57&gt;='🌱 Configuração'!$D$51,'🌱 Configuração'!$B$51+57&lt;'🌱 Configuração'!$E$51,INT(('🌱 Configuração'!$B$51+57-'🌱 Configuração'!$D$51)/7)+1=7,MOD('🌱 Configuração'!$B$51+57-'🌱 Configuração'!$D$51,7)=0),"🌸 Reduzir N — Bloom puro — EC 1.6",IF(AND('🌱 Configuração'!$B$51+57&gt;='🌱 Configuração'!$D$51,'🌱 Configuração'!$B$51+57&lt;'🌱 Configuração'!$E$51,INT(('🌱 Configuração'!$B$51+57-'🌱 Configuração'!$D$51)/7)+1=8,MOD('🌱 Configuração'!$B$51+57-'🌱 Configuração'!$D$51,7)=0),"🌸 Bloom puro — EC 1.4  (pré-flush)",IF(AND('🌱 Configuração'!$B$51+57&gt;='🌱 Configuração'!$D$51,'🌱 Configuração'!$B$51+57&lt;'🌱 Configuração'!$E$51,INT(('🌱 Configuração'!$B$51+57-'🌱 Configuração'!$D$51)/7)+1=9,MOD('🌱 Configuração'!$B$51+57-'🌱 Configuração'!$D$51,7)=0),"🌸 Último Bloom — EC 0.8",IF(AND('🌱 Configuração'!$B$51+57&gt;='🌱 Configuração'!$E$51,INT(('🌱 Configuração'!$B$51+57-'🌱 Configuração'!$E$51)/7)+1=1,MOD('🌱 Configuração'!$B$51+57-'🌱 Configuração'!$E$51,7)=0),"🚿 Água pura + Enzimas (EC &lt; 0.3)",IF(AND('🌱 Configuração'!$B$51+57&gt;='🌱 Configuração'!$E$51,INT(('🌱 Configuração'!$B$51+57-'🌱 Configuração'!$E$51)/7)+1=2,MOD('🌱 Configuração'!$B$51+57-'🌱 Configuração'!$E$51,7)=0),"🚿 Água pura (EC &lt; 0.2)",""))))))))))))))))))))))</f>
        <v/>
      </c>
      <c r="G63" s="30" t="str">
        <f>IF(58&gt;'🌱 Configuração'!$F$50,"",IF(AND('🌱 Configuração'!$B$51+57&lt;'🌱 Configuração'!$C$51,INT((58-1)/7)+1=1,MOD(58-1,7)=0),"🐛 Nim 2mL/L foliar — preventivo",IF(AND('🌱 Configuração'!$B$51+57&lt;'🌱 Configuração'!$C$51,INT((58-1)/7)+1=2,MOD(58-1,7)=0),"🐛 Beauveria bassiana foliar + solo",IF(AND('🌱 Configuração'!$B$51+57&gt;='🌱 Configuração'!$C$51,'🌱 Configuração'!$B$51+57&lt;'🌱 Configuração'!$D$51,INT(('🌱 Configuração'!$B$51+57-'🌱 Configuração'!$C$51)/7)+1=1,MOD('🌱 Configuração'!$B$51+57-'🌱 Configuração'!$C$51,7)=0),"🐛 Nim 2mL/L foliar",IF(AND('🌱 Configuração'!$B$51+57&gt;='🌱 Configuração'!$C$51,'🌱 Configuração'!$B$51+57&lt;'🌱 Configuração'!$D$51,INT(('🌱 Configuração'!$B$51+57-'🌱 Configuração'!$C$51)/7)+1=2,MOD('🌱 Configuração'!$B$51+57-'🌱 Configuração'!$C$51,7)=0),"🐛 Beauveria bassiana foliar",IF(AND('🌱 Configuração'!$B$51+57&gt;='🌱 Configuração'!$C$51,'🌱 Configuração'!$B$51+57&lt;'🌱 Configuração'!$D$51,INT(('🌱 Configuração'!$B$51+57-'🌱 Configuração'!$C$51)/7)+1=3,MOD('🌱 Configuração'!$B$51+57-'🌱 Configuração'!$C$51,7)=0),"🐛 Nim + Calda Sulfocálcica 1%",IF(AND('🌱 Configuração'!$B$51+57&gt;='🌱 Configuração'!$C$51,'🌱 Configuração'!$B$51+57&lt;'🌱 Configuração'!$D$51,INT(('🌱 Configuração'!$B$51+57-'🌱 Configuração'!$C$51)/7)+1=4,MOD('🌱 Configuração'!$B$51+57-'🌱 Configuração'!$C$51,7)=0),"🐛 Trichoderma solo + Beauveria",IF(AND('🌱 Configuração'!$B$51+57&gt;='🌱 Configuração'!$C$51,'🌱 Configuração'!$B$51+57&lt;'🌱 Configuração'!$D$51,INT(('🌱 Configuração'!$B$51+57-'🌱 Configuração'!$C$51)/7)+1=5,MOD('🌱 Configuração'!$B$51+57-'🌱 Configuração'!$C$51,7)=0),"🐛 Calda Bordalesa 0.5% foliar",IF(AND('🌱 Configuração'!$B$51+57&gt;='🌱 Configuração'!$C$51,'🌱 Configuração'!$B$51+57&lt;'🌱 Configuração'!$D$51,INT(('🌱 Configuração'!$B$51+57-'🌱 Configuração'!$C$51)/7)+1=6,MOD('🌱 Configuração'!$B$51+57-'🌱 Configuração'!$C$51,7)=0),"🐛 Nim 2mL/L — ÚLTIMA foliar",IF(AND('🌱 Configuração'!$B$51+57&gt;='🌱 Configuração'!$D$51,'🌱 Configuração'!$B$51+57&lt;'🌱 Configuração'!$E$51,INT(('🌱 Configuração'!$B$51+57-'🌱 Configuração'!$D$51)/7)+1=1,MOD('🌱 Configuração'!$B$51+57-'🌱 Configuração'!$D$51,7)=0),"🐛 Beauveria bassiana solo (sem foliar)",IF(AND('🌱 Configuração'!$B$51+57&gt;='🌱 Configuração'!$D$51,'🌱 Configuração'!$B$51+57&lt;'🌱 Configuração'!$E$51,INT(('🌱 Configuração'!$B$51+57-'🌱 Configuração'!$D$51)/7)+1=2,MOD('🌱 Configuração'!$B$51+57-'🌱 Configuração'!$D$51,7)=0),"🐛 Trichoderma solo",IF(AND('🌱 Configuração'!$B$51+57&gt;='🌱 Configuração'!$D$51,'🌱 Configuração'!$B$51+57&lt;'🌱 Configuração'!$E$51,INT(('🌱 Configuração'!$B$51+57-'🌱 Configuração'!$D$51)/7)+1=3,MOD('🌱 Configuração'!$B$51+57-'🌱 Configuração'!$D$51,7)=0),"🐛 Beauveria bassiana solo",IF(AND('🌱 Configuração'!$B$51+57&gt;='🌱 Configuração'!$D$51,'🌱 Configuração'!$B$51+57&lt;'🌱 Configuração'!$E$51,INT(('🌱 Configuração'!$B$51+57-'🌱 Configuração'!$D$51)/7)+1=4,MOD('🌱 Configuração'!$B$51+57-'🌱 Configuração'!$D$51,7)=0),"🐛 Trichoderma solo",IF(AND('🌱 Configuração'!$B$51+57&gt;='🌱 Configuração'!$E$51,INT(('🌱 Configuração'!$B$51+57-'🌱 Configuração'!$E$51)/7)+1=1,MOD('🌱 Configuração'!$B$51+57-'🌱 Configuração'!$E$51,7)=0),"🐛 Inspeção final — sem aplicação",""))))))))))))))</f>
        <v/>
      </c>
      <c r="H63" s="22" t="str">
        <f>IF(58&gt;'🌱 Configuração'!$F$50,"",IF('🌱 Configuração'!$B$51+57='🌱 Configuração'!$C$51,"🌿 INÍCIO VEGA — ajustar espaço, luz 18h/dia — EC 0.8",IF('🌱 Configuração'!$B$51+57='🌱 Configuração'!$D$51,"🌸 INÍCIO FLORAÇÃO — mudar para 12h/12h — 🔴 atenção ao fotoperíodo",IF('🌱 Configuração'!$B$51+57='🌱 Configuração'!$E$51,"🚿 INÍCIO FLUSH — PARAR nutrição, somente água pura",IF('🌱 Configuração'!$B$51+57='🌱 Configuração'!$F$51-1,"🔬 Véspera da colheita — analisar tricomas âmbar",IF('🌱 Configuração'!$B$51+57='🌱 Configuração'!$F$51,"✂️ COLHEITA! Parabéns! 🎉",""))))))</f>
        <v/>
      </c>
    </row>
    <row r="64" spans="2:8" ht="18.75" customHeight="1" x14ac:dyDescent="0.3">
      <c r="B64" s="25">
        <f>IF(59&lt;='🌱 Configuração'!$F$50,59,"")</f>
        <v>59</v>
      </c>
      <c r="C64" s="26">
        <f>IF(59&lt;='🌱 Configuração'!$F$50,'🌱 Configuração'!$B$51+58,"")</f>
        <v>46081</v>
      </c>
      <c r="D64" s="27" t="str">
        <f>IF(59&gt;'🌱 Configuração'!$F$50,"",IF('🌱 Configuração'!$B$51+58&lt;'🌱 Configuração'!$C$51,"🌱 Clone",IF('🌱 Configuração'!$B$51+58&lt;'🌱 Configuração'!$D$51,"🌿 Vegetativo",IF('🌱 Configuração'!$B$51+58&lt;'🌱 Configuração'!$E$51,"🌸 Floração","🚿 Flush"))))</f>
        <v>🌸 Floração</v>
      </c>
      <c r="E64" s="28" t="str">
        <f>IF(59&gt;'🌱 Configuração'!$F$50,"",IF('🌱 Configuração'!$B$51+58&lt;'🌱 Configuração'!$C$51,"Clone S"&amp;INT((59-1)/7)+1,IF('🌱 Configuração'!$B$51+58&lt;'🌱 Configuração'!$D$51,"Vega S"&amp;INT(('🌱 Configuração'!$B$51+58-'🌱 Configuração'!$C$51)/7)+1,IF('🌱 Configuração'!$B$51+58&lt;'🌱 Configuração'!$E$51,"Flora S"&amp;INT(('🌱 Configuração'!$B$51+58-'🌱 Configuração'!$D$51)/7)+1,"Flush S"&amp;INT(('🌱 Configuração'!$B$51+58-'🌱 Configuração'!$E$51)/7)+1))))</f>
        <v>Flora S1</v>
      </c>
      <c r="F64" s="29" t="str">
        <f>IF(59&gt;'🌱 Configuração'!$F$50,"",IF(AND('🌱 Configuração'!$B$51+58&lt;'🌱 Configuração'!$C$51,INT((59-1)/7)+1=1,MOD(59-1,7)=0),"🌱 Enraizador (0.5 mL/L)",IF(AND('🌱 Configuração'!$B$51+58&lt;'🌱 Configuração'!$C$51,INT((59-1)/7)+1=2,MOD(59-1,7)=0),"🌱 Enraizador + Vitamina B1",IF(AND('🌱 Configuração'!$B$51+58&gt;='🌱 Configuração'!$C$51,'🌱 Configuração'!$B$51+58&lt;'🌱 Configuração'!$D$51,INT(('🌱 Configuração'!$B$51+58-'🌱 Configuração'!$C$51)/7)+1=1,MOD('🌱 Configuração'!$B$51+58-'🌱 Configuração'!$C$51,7)=0),"🌿 Grow A+B início — EC 0.8",IF(AND('🌱 Configuração'!$B$51+58&gt;='🌱 Configuração'!$C$51,'🌱 Configuração'!$B$51+58&lt;'🌱 Configuração'!$D$51,INT(('🌱 Configuração'!$B$51+58-'🌱 Configuração'!$C$51)/7)+1=2,MOD('🌱 Configuração'!$B$51+58-'🌱 Configuração'!$C$51,7)=0),"🌿 Grow A+B + CalMag — EC 1.0",IF(AND('🌱 Configuração'!$B$51+58&gt;='🌱 Configuração'!$C$51,'🌱 Configuração'!$B$51+58&lt;'🌱 Configuração'!$D$51,INT(('🌱 Configuração'!$B$51+58-'🌱 Configuração'!$C$51)/7)+1=3,MOD('🌱 Configuração'!$B$51+58-'🌱 Configuração'!$C$51,7)=0),"🌿 Grow A+B + CalMag — EC 1.2",IF(AND('🌱 Configuração'!$B$51+58&gt;='🌱 Configuração'!$C$51,'🌱 Configuração'!$B$51+58&lt;'🌱 Configuração'!$D$51,INT(('🌱 Configuração'!$B$51+58-'🌱 Configuração'!$C$51)/7)+1=4,MOD('🌱 Configuração'!$B$51+58-'🌱 Configuração'!$C$51,7)=0),"🌿 Grow A+B + Enzimas — EC 1.4",IF(AND('🌱 Configuração'!$B$51+58&gt;='🌱 Configuração'!$C$51,'🌱 Configuração'!$B$51+58&lt;'🌱 Configuração'!$D$51,INT(('🌱 Configuração'!$B$51+58-'🌱 Configuração'!$C$51)/7)+1=5,MOD('🌱 Configuração'!$B$51+58-'🌱 Configuração'!$C$51,7)=0),"🌿 Grow A+B + Biorrizas — EC 1.5",IF(AND('🌱 Configuração'!$B$51+58&gt;='🌱 Configuração'!$C$51,'🌱 Configuração'!$B$51+58&lt;'🌱 Configuração'!$D$51,INT(('🌱 Configuração'!$B$51+58-'🌱 Configuração'!$C$51)/7)+1=6,MOD('🌱 Configuração'!$B$51+58-'🌱 Configuração'!$C$51,7)=0),"🌿 Transição Bloom — EC 1.4",IF(AND('🌱 Configuração'!$B$51+58&gt;='🌱 Configuração'!$C$51,'🌱 Configuração'!$B$51+58&lt;'🌱 Configuração'!$D$51,INT(('🌱 Configuração'!$B$51+58-'🌱 Configuração'!$C$51)/7)+1=7,MOD('🌱 Configuração'!$B$51+58-'🌱 Configuração'!$C$51,7)=0),"🌿 Bloom A+B transição — EC 1.4",IF(AND('🌱 Configuração'!$B$51+58&gt;='🌱 Configuração'!$C$51,'🌱 Configuração'!$B$51+58&lt;'🌱 Configuração'!$D$51,INT(('🌱 Configuração'!$B$51+58-'🌱 Configuração'!$C$51)/7)+1=8,MOD('🌱 Configuração'!$B$51+58-'🌱 Configuração'!$C$51,7)=0),"🌿 Bloom A+B — EC 1.4",IF(AND('🌱 Configuração'!$B$51+58&gt;='🌱 Configuração'!$D$51,'🌱 Configuração'!$B$51+58&lt;'🌱 Configuração'!$E$51,INT(('🌱 Configuração'!$B$51+58-'🌱 Configuração'!$D$51)/7)+1=1,MOD('🌱 Configuração'!$B$51+58-'🌱 Configuração'!$D$51,7)=0),"🌸 Bloom A+B — EC 1.6",IF(AND('🌱 Configuração'!$B$51+58&gt;='🌱 Configuração'!$D$51,'🌱 Configuração'!$B$51+58&lt;'🌱 Configuração'!$E$51,INT(('🌱 Configuração'!$B$51+58-'🌱 Configuração'!$D$51)/7)+1=2,MOD('🌱 Configuração'!$B$51+58-'🌱 Configuração'!$D$51,7)=0),"🌸 Bloom + PK 13/14 início",IF(AND('🌱 Configuração'!$B$51+58&gt;='🌱 Configuração'!$D$51,'🌱 Configuração'!$B$51+58&lt;'🌱 Configuração'!$E$51,INT(('🌱 Configuração'!$B$51+58-'🌱 Configuração'!$D$51)/7)+1=3,MOD('🌱 Configuração'!$B$51+58-'🌱 Configuração'!$D$51,7)=0),"🌸 Bloom + PK + CalMag — EC 1.8",IF(AND('🌱 Configuração'!$B$51+58&gt;='🌱 Configuração'!$D$51,'🌱 Configuração'!$B$51+58&lt;'🌱 Configuração'!$E$51,INT(('🌱 Configuração'!$B$51+58-'🌱 Configuração'!$D$51)/7)+1=4,MOD('🌱 Configuração'!$B$51+58-'🌱 Configuração'!$D$51,7)=0),"🌸 Bloom + PK + Boost Floral — EC 2.0",IF(AND('🌱 Configuração'!$B$51+58&gt;='🌱 Configuração'!$D$51,'🌱 Configuração'!$B$51+58&lt;'🌱 Configuração'!$E$51,INT(('🌱 Configuração'!$B$51+58-'🌱 Configuração'!$D$51)/7)+1=5,MOD('🌱 Configuração'!$B$51+58-'🌱 Configuração'!$D$51,7)=0),"🌸 Bloom + Boost + Amino",IF(AND('🌱 Configuração'!$B$51+58&gt;='🌱 Configuração'!$D$51,'🌱 Configuração'!$B$51+58&lt;'🌱 Configuração'!$E$51,INT(('🌱 Configuração'!$B$51+58-'🌱 Configuração'!$D$51)/7)+1=6,MOD('🌱 Configuração'!$B$51+58-'🌱 Configuração'!$D$51,7)=0),"🌸 Bloom + Enzimas + Amino",IF(AND('🌱 Configuração'!$B$51+58&gt;='🌱 Configuração'!$D$51,'🌱 Configuração'!$B$51+58&lt;'🌱 Configuração'!$E$51,INT(('🌱 Configuração'!$B$51+58-'🌱 Configuração'!$D$51)/7)+1=7,MOD('🌱 Configuração'!$B$51+58-'🌱 Configuração'!$D$51,7)=0),"🌸 Reduzir N — Bloom puro — EC 1.6",IF(AND('🌱 Configuração'!$B$51+58&gt;='🌱 Configuração'!$D$51,'🌱 Configuração'!$B$51+58&lt;'🌱 Configuração'!$E$51,INT(('🌱 Configuração'!$B$51+58-'🌱 Configuração'!$D$51)/7)+1=8,MOD('🌱 Configuração'!$B$51+58-'🌱 Configuração'!$D$51,7)=0),"🌸 Bloom puro — EC 1.4  (pré-flush)",IF(AND('🌱 Configuração'!$B$51+58&gt;='🌱 Configuração'!$D$51,'🌱 Configuração'!$B$51+58&lt;'🌱 Configuração'!$E$51,INT(('🌱 Configuração'!$B$51+58-'🌱 Configuração'!$D$51)/7)+1=9,MOD('🌱 Configuração'!$B$51+58-'🌱 Configuração'!$D$51,7)=0),"🌸 Último Bloom — EC 0.8",IF(AND('🌱 Configuração'!$B$51+58&gt;='🌱 Configuração'!$E$51,INT(('🌱 Configuração'!$B$51+58-'🌱 Configuração'!$E$51)/7)+1=1,MOD('🌱 Configuração'!$B$51+58-'🌱 Configuração'!$E$51,7)=0),"🚿 Água pura + Enzimas (EC &lt; 0.3)",IF(AND('🌱 Configuração'!$B$51+58&gt;='🌱 Configuração'!$E$51,INT(('🌱 Configuração'!$B$51+58-'🌱 Configuração'!$E$51)/7)+1=2,MOD('🌱 Configuração'!$B$51+58-'🌱 Configuração'!$E$51,7)=0),"🚿 Água pura (EC &lt; 0.2)",""))))))))))))))))))))))</f>
        <v/>
      </c>
      <c r="G64" s="30" t="str">
        <f>IF(59&gt;'🌱 Configuração'!$F$50,"",IF(AND('🌱 Configuração'!$B$51+58&lt;'🌱 Configuração'!$C$51,INT((59-1)/7)+1=1,MOD(59-1,7)=0),"🐛 Nim 2mL/L foliar — preventivo",IF(AND('🌱 Configuração'!$B$51+58&lt;'🌱 Configuração'!$C$51,INT((59-1)/7)+1=2,MOD(59-1,7)=0),"🐛 Beauveria bassiana foliar + solo",IF(AND('🌱 Configuração'!$B$51+58&gt;='🌱 Configuração'!$C$51,'🌱 Configuração'!$B$51+58&lt;'🌱 Configuração'!$D$51,INT(('🌱 Configuração'!$B$51+58-'🌱 Configuração'!$C$51)/7)+1=1,MOD('🌱 Configuração'!$B$51+58-'🌱 Configuração'!$C$51,7)=0),"🐛 Nim 2mL/L foliar",IF(AND('🌱 Configuração'!$B$51+58&gt;='🌱 Configuração'!$C$51,'🌱 Configuração'!$B$51+58&lt;'🌱 Configuração'!$D$51,INT(('🌱 Configuração'!$B$51+58-'🌱 Configuração'!$C$51)/7)+1=2,MOD('🌱 Configuração'!$B$51+58-'🌱 Configuração'!$C$51,7)=0),"🐛 Beauveria bassiana foliar",IF(AND('🌱 Configuração'!$B$51+58&gt;='🌱 Configuração'!$C$51,'🌱 Configuração'!$B$51+58&lt;'🌱 Configuração'!$D$51,INT(('🌱 Configuração'!$B$51+58-'🌱 Configuração'!$C$51)/7)+1=3,MOD('🌱 Configuração'!$B$51+58-'🌱 Configuração'!$C$51,7)=0),"🐛 Nim + Calda Sulfocálcica 1%",IF(AND('🌱 Configuração'!$B$51+58&gt;='🌱 Configuração'!$C$51,'🌱 Configuração'!$B$51+58&lt;'🌱 Configuração'!$D$51,INT(('🌱 Configuração'!$B$51+58-'🌱 Configuração'!$C$51)/7)+1=4,MOD('🌱 Configuração'!$B$51+58-'🌱 Configuração'!$C$51,7)=0),"🐛 Trichoderma solo + Beauveria",IF(AND('🌱 Configuração'!$B$51+58&gt;='🌱 Configuração'!$C$51,'🌱 Configuração'!$B$51+58&lt;'🌱 Configuração'!$D$51,INT(('🌱 Configuração'!$B$51+58-'🌱 Configuração'!$C$51)/7)+1=5,MOD('🌱 Configuração'!$B$51+58-'🌱 Configuração'!$C$51,7)=0),"🐛 Calda Bordalesa 0.5% foliar",IF(AND('🌱 Configuração'!$B$51+58&gt;='🌱 Configuração'!$C$51,'🌱 Configuração'!$B$51+58&lt;'🌱 Configuração'!$D$51,INT(('🌱 Configuração'!$B$51+58-'🌱 Configuração'!$C$51)/7)+1=6,MOD('🌱 Configuração'!$B$51+58-'🌱 Configuração'!$C$51,7)=0),"🐛 Nim 2mL/L — ÚLTIMA foliar",IF(AND('🌱 Configuração'!$B$51+58&gt;='🌱 Configuração'!$D$51,'🌱 Configuração'!$B$51+58&lt;'🌱 Configuração'!$E$51,INT(('🌱 Configuração'!$B$51+58-'🌱 Configuração'!$D$51)/7)+1=1,MOD('🌱 Configuração'!$B$51+58-'🌱 Configuração'!$D$51,7)=0),"🐛 Beauveria bassiana solo (sem foliar)",IF(AND('🌱 Configuração'!$B$51+58&gt;='🌱 Configuração'!$D$51,'🌱 Configuração'!$B$51+58&lt;'🌱 Configuração'!$E$51,INT(('🌱 Configuração'!$B$51+58-'🌱 Configuração'!$D$51)/7)+1=2,MOD('🌱 Configuração'!$B$51+58-'🌱 Configuração'!$D$51,7)=0),"🐛 Trichoderma solo",IF(AND('🌱 Configuração'!$B$51+58&gt;='🌱 Configuração'!$D$51,'🌱 Configuração'!$B$51+58&lt;'🌱 Configuração'!$E$51,INT(('🌱 Configuração'!$B$51+58-'🌱 Configuração'!$D$51)/7)+1=3,MOD('🌱 Configuração'!$B$51+58-'🌱 Configuração'!$D$51,7)=0),"🐛 Beauveria bassiana solo",IF(AND('🌱 Configuração'!$B$51+58&gt;='🌱 Configuração'!$D$51,'🌱 Configuração'!$B$51+58&lt;'🌱 Configuração'!$E$51,INT(('🌱 Configuração'!$B$51+58-'🌱 Configuração'!$D$51)/7)+1=4,MOD('🌱 Configuração'!$B$51+58-'🌱 Configuração'!$D$51,7)=0),"🐛 Trichoderma solo",IF(AND('🌱 Configuração'!$B$51+58&gt;='🌱 Configuração'!$E$51,INT(('🌱 Configuração'!$B$51+58-'🌱 Configuração'!$E$51)/7)+1=1,MOD('🌱 Configuração'!$B$51+58-'🌱 Configuração'!$E$51,7)=0),"🐛 Inspeção final — sem aplicação",""))))))))))))))</f>
        <v/>
      </c>
      <c r="H64" s="22" t="str">
        <f>IF(59&gt;'🌱 Configuração'!$F$50,"",IF('🌱 Configuração'!$B$51+58='🌱 Configuração'!$C$51,"🌿 INÍCIO VEGA — ajustar espaço, luz 18h/dia — EC 0.8",IF('🌱 Configuração'!$B$51+58='🌱 Configuração'!$D$51,"🌸 INÍCIO FLORAÇÃO — mudar para 12h/12h — 🔴 atenção ao fotoperíodo",IF('🌱 Configuração'!$B$51+58='🌱 Configuração'!$E$51,"🚿 INÍCIO FLUSH — PARAR nutrição, somente água pura",IF('🌱 Configuração'!$B$51+58='🌱 Configuração'!$F$51-1,"🔬 Véspera da colheita — analisar tricomas âmbar",IF('🌱 Configuração'!$B$51+58='🌱 Configuração'!$F$51,"✂️ COLHEITA! Parabéns! 🎉",""))))))</f>
        <v/>
      </c>
    </row>
    <row r="65" spans="2:8" ht="18.75" customHeight="1" x14ac:dyDescent="0.3">
      <c r="B65" s="25">
        <f>IF(60&lt;='🌱 Configuração'!$F$50,60,"")</f>
        <v>60</v>
      </c>
      <c r="C65" s="26">
        <f>IF(60&lt;='🌱 Configuração'!$F$50,'🌱 Configuração'!$B$51+59,"")</f>
        <v>46082</v>
      </c>
      <c r="D65" s="27" t="str">
        <f>IF(60&gt;'🌱 Configuração'!$F$50,"",IF('🌱 Configuração'!$B$51+59&lt;'🌱 Configuração'!$C$51,"🌱 Clone",IF('🌱 Configuração'!$B$51+59&lt;'🌱 Configuração'!$D$51,"🌿 Vegetativo",IF('🌱 Configuração'!$B$51+59&lt;'🌱 Configuração'!$E$51,"🌸 Floração","🚿 Flush"))))</f>
        <v>🌸 Floração</v>
      </c>
      <c r="E65" s="28" t="str">
        <f>IF(60&gt;'🌱 Configuração'!$F$50,"",IF('🌱 Configuração'!$B$51+59&lt;'🌱 Configuração'!$C$51,"Clone S"&amp;INT((60-1)/7)+1,IF('🌱 Configuração'!$B$51+59&lt;'🌱 Configuração'!$D$51,"Vega S"&amp;INT(('🌱 Configuração'!$B$51+59-'🌱 Configuração'!$C$51)/7)+1,IF('🌱 Configuração'!$B$51+59&lt;'🌱 Configuração'!$E$51,"Flora S"&amp;INT(('🌱 Configuração'!$B$51+59-'🌱 Configuração'!$D$51)/7)+1,"Flush S"&amp;INT(('🌱 Configuração'!$B$51+59-'🌱 Configuração'!$E$51)/7)+1))))</f>
        <v>Flora S1</v>
      </c>
      <c r="F65" s="29" t="str">
        <f>IF(60&gt;'🌱 Configuração'!$F$50,"",IF(AND('🌱 Configuração'!$B$51+59&lt;'🌱 Configuração'!$C$51,INT((60-1)/7)+1=1,MOD(60-1,7)=0),"🌱 Enraizador (0.5 mL/L)",IF(AND('🌱 Configuração'!$B$51+59&lt;'🌱 Configuração'!$C$51,INT((60-1)/7)+1=2,MOD(60-1,7)=0),"🌱 Enraizador + Vitamina B1",IF(AND('🌱 Configuração'!$B$51+59&gt;='🌱 Configuração'!$C$51,'🌱 Configuração'!$B$51+59&lt;'🌱 Configuração'!$D$51,INT(('🌱 Configuração'!$B$51+59-'🌱 Configuração'!$C$51)/7)+1=1,MOD('🌱 Configuração'!$B$51+59-'🌱 Configuração'!$C$51,7)=0),"🌿 Grow A+B início — EC 0.8",IF(AND('🌱 Configuração'!$B$51+59&gt;='🌱 Configuração'!$C$51,'🌱 Configuração'!$B$51+59&lt;'🌱 Configuração'!$D$51,INT(('🌱 Configuração'!$B$51+59-'🌱 Configuração'!$C$51)/7)+1=2,MOD('🌱 Configuração'!$B$51+59-'🌱 Configuração'!$C$51,7)=0),"🌿 Grow A+B + CalMag — EC 1.0",IF(AND('🌱 Configuração'!$B$51+59&gt;='🌱 Configuração'!$C$51,'🌱 Configuração'!$B$51+59&lt;'🌱 Configuração'!$D$51,INT(('🌱 Configuração'!$B$51+59-'🌱 Configuração'!$C$51)/7)+1=3,MOD('🌱 Configuração'!$B$51+59-'🌱 Configuração'!$C$51,7)=0),"🌿 Grow A+B + CalMag — EC 1.2",IF(AND('🌱 Configuração'!$B$51+59&gt;='🌱 Configuração'!$C$51,'🌱 Configuração'!$B$51+59&lt;'🌱 Configuração'!$D$51,INT(('🌱 Configuração'!$B$51+59-'🌱 Configuração'!$C$51)/7)+1=4,MOD('🌱 Configuração'!$B$51+59-'🌱 Configuração'!$C$51,7)=0),"🌿 Grow A+B + Enzimas — EC 1.4",IF(AND('🌱 Configuração'!$B$51+59&gt;='🌱 Configuração'!$C$51,'🌱 Configuração'!$B$51+59&lt;'🌱 Configuração'!$D$51,INT(('🌱 Configuração'!$B$51+59-'🌱 Configuração'!$C$51)/7)+1=5,MOD('🌱 Configuração'!$B$51+59-'🌱 Configuração'!$C$51,7)=0),"🌿 Grow A+B + Biorrizas — EC 1.5",IF(AND('🌱 Configuração'!$B$51+59&gt;='🌱 Configuração'!$C$51,'🌱 Configuração'!$B$51+59&lt;'🌱 Configuração'!$D$51,INT(('🌱 Configuração'!$B$51+59-'🌱 Configuração'!$C$51)/7)+1=6,MOD('🌱 Configuração'!$B$51+59-'🌱 Configuração'!$C$51,7)=0),"🌿 Transição Bloom — EC 1.4",IF(AND('🌱 Configuração'!$B$51+59&gt;='🌱 Configuração'!$C$51,'🌱 Configuração'!$B$51+59&lt;'🌱 Configuração'!$D$51,INT(('🌱 Configuração'!$B$51+59-'🌱 Configuração'!$C$51)/7)+1=7,MOD('🌱 Configuração'!$B$51+59-'🌱 Configuração'!$C$51,7)=0),"🌿 Bloom A+B transição — EC 1.4",IF(AND('🌱 Configuração'!$B$51+59&gt;='🌱 Configuração'!$C$51,'🌱 Configuração'!$B$51+59&lt;'🌱 Configuração'!$D$51,INT(('🌱 Configuração'!$B$51+59-'🌱 Configuração'!$C$51)/7)+1=8,MOD('🌱 Configuração'!$B$51+59-'🌱 Configuração'!$C$51,7)=0),"🌿 Bloom A+B — EC 1.4",IF(AND('🌱 Configuração'!$B$51+59&gt;='🌱 Configuração'!$D$51,'🌱 Configuração'!$B$51+59&lt;'🌱 Configuração'!$E$51,INT(('🌱 Configuração'!$B$51+59-'🌱 Configuração'!$D$51)/7)+1=1,MOD('🌱 Configuração'!$B$51+59-'🌱 Configuração'!$D$51,7)=0),"🌸 Bloom A+B — EC 1.6",IF(AND('🌱 Configuração'!$B$51+59&gt;='🌱 Configuração'!$D$51,'🌱 Configuração'!$B$51+59&lt;'🌱 Configuração'!$E$51,INT(('🌱 Configuração'!$B$51+59-'🌱 Configuração'!$D$51)/7)+1=2,MOD('🌱 Configuração'!$B$51+59-'🌱 Configuração'!$D$51,7)=0),"🌸 Bloom + PK 13/14 início",IF(AND('🌱 Configuração'!$B$51+59&gt;='🌱 Configuração'!$D$51,'🌱 Configuração'!$B$51+59&lt;'🌱 Configuração'!$E$51,INT(('🌱 Configuração'!$B$51+59-'🌱 Configuração'!$D$51)/7)+1=3,MOD('🌱 Configuração'!$B$51+59-'🌱 Configuração'!$D$51,7)=0),"🌸 Bloom + PK + CalMag — EC 1.8",IF(AND('🌱 Configuração'!$B$51+59&gt;='🌱 Configuração'!$D$51,'🌱 Configuração'!$B$51+59&lt;'🌱 Configuração'!$E$51,INT(('🌱 Configuração'!$B$51+59-'🌱 Configuração'!$D$51)/7)+1=4,MOD('🌱 Configuração'!$B$51+59-'🌱 Configuração'!$D$51,7)=0),"🌸 Bloom + PK + Boost Floral — EC 2.0",IF(AND('🌱 Configuração'!$B$51+59&gt;='🌱 Configuração'!$D$51,'🌱 Configuração'!$B$51+59&lt;'🌱 Configuração'!$E$51,INT(('🌱 Configuração'!$B$51+59-'🌱 Configuração'!$D$51)/7)+1=5,MOD('🌱 Configuração'!$B$51+59-'🌱 Configuração'!$D$51,7)=0),"🌸 Bloom + Boost + Amino",IF(AND('🌱 Configuração'!$B$51+59&gt;='🌱 Configuração'!$D$51,'🌱 Configuração'!$B$51+59&lt;'🌱 Configuração'!$E$51,INT(('🌱 Configuração'!$B$51+59-'🌱 Configuração'!$D$51)/7)+1=6,MOD('🌱 Configuração'!$B$51+59-'🌱 Configuração'!$D$51,7)=0),"🌸 Bloom + Enzimas + Amino",IF(AND('🌱 Configuração'!$B$51+59&gt;='🌱 Configuração'!$D$51,'🌱 Configuração'!$B$51+59&lt;'🌱 Configuração'!$E$51,INT(('🌱 Configuração'!$B$51+59-'🌱 Configuração'!$D$51)/7)+1=7,MOD('🌱 Configuração'!$B$51+59-'🌱 Configuração'!$D$51,7)=0),"🌸 Reduzir N — Bloom puro — EC 1.6",IF(AND('🌱 Configuração'!$B$51+59&gt;='🌱 Configuração'!$D$51,'🌱 Configuração'!$B$51+59&lt;'🌱 Configuração'!$E$51,INT(('🌱 Configuração'!$B$51+59-'🌱 Configuração'!$D$51)/7)+1=8,MOD('🌱 Configuração'!$B$51+59-'🌱 Configuração'!$D$51,7)=0),"🌸 Bloom puro — EC 1.4  (pré-flush)",IF(AND('🌱 Configuração'!$B$51+59&gt;='🌱 Configuração'!$D$51,'🌱 Configuração'!$B$51+59&lt;'🌱 Configuração'!$E$51,INT(('🌱 Configuração'!$B$51+59-'🌱 Configuração'!$D$51)/7)+1=9,MOD('🌱 Configuração'!$B$51+59-'🌱 Configuração'!$D$51,7)=0),"🌸 Último Bloom — EC 0.8",IF(AND('🌱 Configuração'!$B$51+59&gt;='🌱 Configuração'!$E$51,INT(('🌱 Configuração'!$B$51+59-'🌱 Configuração'!$E$51)/7)+1=1,MOD('🌱 Configuração'!$B$51+59-'🌱 Configuração'!$E$51,7)=0),"🚿 Água pura + Enzimas (EC &lt; 0.3)",IF(AND('🌱 Configuração'!$B$51+59&gt;='🌱 Configuração'!$E$51,INT(('🌱 Configuração'!$B$51+59-'🌱 Configuração'!$E$51)/7)+1=2,MOD('🌱 Configuração'!$B$51+59-'🌱 Configuração'!$E$51,7)=0),"🚿 Água pura (EC &lt; 0.2)",""))))))))))))))))))))))</f>
        <v/>
      </c>
      <c r="G65" s="30" t="str">
        <f>IF(60&gt;'🌱 Configuração'!$F$50,"",IF(AND('🌱 Configuração'!$B$51+59&lt;'🌱 Configuração'!$C$51,INT((60-1)/7)+1=1,MOD(60-1,7)=0),"🐛 Nim 2mL/L foliar — preventivo",IF(AND('🌱 Configuração'!$B$51+59&lt;'🌱 Configuração'!$C$51,INT((60-1)/7)+1=2,MOD(60-1,7)=0),"🐛 Beauveria bassiana foliar + solo",IF(AND('🌱 Configuração'!$B$51+59&gt;='🌱 Configuração'!$C$51,'🌱 Configuração'!$B$51+59&lt;'🌱 Configuração'!$D$51,INT(('🌱 Configuração'!$B$51+59-'🌱 Configuração'!$C$51)/7)+1=1,MOD('🌱 Configuração'!$B$51+59-'🌱 Configuração'!$C$51,7)=0),"🐛 Nim 2mL/L foliar",IF(AND('🌱 Configuração'!$B$51+59&gt;='🌱 Configuração'!$C$51,'🌱 Configuração'!$B$51+59&lt;'🌱 Configuração'!$D$51,INT(('🌱 Configuração'!$B$51+59-'🌱 Configuração'!$C$51)/7)+1=2,MOD('🌱 Configuração'!$B$51+59-'🌱 Configuração'!$C$51,7)=0),"🐛 Beauveria bassiana foliar",IF(AND('🌱 Configuração'!$B$51+59&gt;='🌱 Configuração'!$C$51,'🌱 Configuração'!$B$51+59&lt;'🌱 Configuração'!$D$51,INT(('🌱 Configuração'!$B$51+59-'🌱 Configuração'!$C$51)/7)+1=3,MOD('🌱 Configuração'!$B$51+59-'🌱 Configuração'!$C$51,7)=0),"🐛 Nim + Calda Sulfocálcica 1%",IF(AND('🌱 Configuração'!$B$51+59&gt;='🌱 Configuração'!$C$51,'🌱 Configuração'!$B$51+59&lt;'🌱 Configuração'!$D$51,INT(('🌱 Configuração'!$B$51+59-'🌱 Configuração'!$C$51)/7)+1=4,MOD('🌱 Configuração'!$B$51+59-'🌱 Configuração'!$C$51,7)=0),"🐛 Trichoderma solo + Beauveria",IF(AND('🌱 Configuração'!$B$51+59&gt;='🌱 Configuração'!$C$51,'🌱 Configuração'!$B$51+59&lt;'🌱 Configuração'!$D$51,INT(('🌱 Configuração'!$B$51+59-'🌱 Configuração'!$C$51)/7)+1=5,MOD('🌱 Configuração'!$B$51+59-'🌱 Configuração'!$C$51,7)=0),"🐛 Calda Bordalesa 0.5% foliar",IF(AND('🌱 Configuração'!$B$51+59&gt;='🌱 Configuração'!$C$51,'🌱 Configuração'!$B$51+59&lt;'🌱 Configuração'!$D$51,INT(('🌱 Configuração'!$B$51+59-'🌱 Configuração'!$C$51)/7)+1=6,MOD('🌱 Configuração'!$B$51+59-'🌱 Configuração'!$C$51,7)=0),"🐛 Nim 2mL/L — ÚLTIMA foliar",IF(AND('🌱 Configuração'!$B$51+59&gt;='🌱 Configuração'!$D$51,'🌱 Configuração'!$B$51+59&lt;'🌱 Configuração'!$E$51,INT(('🌱 Configuração'!$B$51+59-'🌱 Configuração'!$D$51)/7)+1=1,MOD('🌱 Configuração'!$B$51+59-'🌱 Configuração'!$D$51,7)=0),"🐛 Beauveria bassiana solo (sem foliar)",IF(AND('🌱 Configuração'!$B$51+59&gt;='🌱 Configuração'!$D$51,'🌱 Configuração'!$B$51+59&lt;'🌱 Configuração'!$E$51,INT(('🌱 Configuração'!$B$51+59-'🌱 Configuração'!$D$51)/7)+1=2,MOD('🌱 Configuração'!$B$51+59-'🌱 Configuração'!$D$51,7)=0),"🐛 Trichoderma solo",IF(AND('🌱 Configuração'!$B$51+59&gt;='🌱 Configuração'!$D$51,'🌱 Configuração'!$B$51+59&lt;'🌱 Configuração'!$E$51,INT(('🌱 Configuração'!$B$51+59-'🌱 Configuração'!$D$51)/7)+1=3,MOD('🌱 Configuração'!$B$51+59-'🌱 Configuração'!$D$51,7)=0),"🐛 Beauveria bassiana solo",IF(AND('🌱 Configuração'!$B$51+59&gt;='🌱 Configuração'!$D$51,'🌱 Configuração'!$B$51+59&lt;'🌱 Configuração'!$E$51,INT(('🌱 Configuração'!$B$51+59-'🌱 Configuração'!$D$51)/7)+1=4,MOD('🌱 Configuração'!$B$51+59-'🌱 Configuração'!$D$51,7)=0),"🐛 Trichoderma solo",IF(AND('🌱 Configuração'!$B$51+59&gt;='🌱 Configuração'!$E$51,INT(('🌱 Configuração'!$B$51+59-'🌱 Configuração'!$E$51)/7)+1=1,MOD('🌱 Configuração'!$B$51+59-'🌱 Configuração'!$E$51,7)=0),"🐛 Inspeção final — sem aplicação",""))))))))))))))</f>
        <v/>
      </c>
      <c r="H65" s="22" t="str">
        <f>IF(60&gt;'🌱 Configuração'!$F$50,"",IF('🌱 Configuração'!$B$51+59='🌱 Configuração'!$C$51,"🌿 INÍCIO VEGA — ajustar espaço, luz 18h/dia — EC 0.8",IF('🌱 Configuração'!$B$51+59='🌱 Configuração'!$D$51,"🌸 INÍCIO FLORAÇÃO — mudar para 12h/12h — 🔴 atenção ao fotoperíodo",IF('🌱 Configuração'!$B$51+59='🌱 Configuração'!$E$51,"🚿 INÍCIO FLUSH — PARAR nutrição, somente água pura",IF('🌱 Configuração'!$B$51+59='🌱 Configuração'!$F$51-1,"🔬 Véspera da colheita — analisar tricomas âmbar",IF('🌱 Configuração'!$B$51+59='🌱 Configuração'!$F$51,"✂️ COLHEITA! Parabéns! 🎉",""))))))</f>
        <v/>
      </c>
    </row>
    <row r="66" spans="2:8" ht="18.75" customHeight="1" x14ac:dyDescent="0.3">
      <c r="B66" s="25">
        <f>IF(61&lt;='🌱 Configuração'!$F$50,61,"")</f>
        <v>61</v>
      </c>
      <c r="C66" s="26">
        <f>IF(61&lt;='🌱 Configuração'!$F$50,'🌱 Configuração'!$B$51+60,"")</f>
        <v>46083</v>
      </c>
      <c r="D66" s="27" t="str">
        <f>IF(61&gt;'🌱 Configuração'!$F$50,"",IF('🌱 Configuração'!$B$51+60&lt;'🌱 Configuração'!$C$51,"🌱 Clone",IF('🌱 Configuração'!$B$51+60&lt;'🌱 Configuração'!$D$51,"🌿 Vegetativo",IF('🌱 Configuração'!$B$51+60&lt;'🌱 Configuração'!$E$51,"🌸 Floração","🚿 Flush"))))</f>
        <v>🌸 Floração</v>
      </c>
      <c r="E66" s="28" t="str">
        <f>IF(61&gt;'🌱 Configuração'!$F$50,"",IF('🌱 Configuração'!$B$51+60&lt;'🌱 Configuração'!$C$51,"Clone S"&amp;INT((61-1)/7)+1,IF('🌱 Configuração'!$B$51+60&lt;'🌱 Configuração'!$D$51,"Vega S"&amp;INT(('🌱 Configuração'!$B$51+60-'🌱 Configuração'!$C$51)/7)+1,IF('🌱 Configuração'!$B$51+60&lt;'🌱 Configuração'!$E$51,"Flora S"&amp;INT(('🌱 Configuração'!$B$51+60-'🌱 Configuração'!$D$51)/7)+1,"Flush S"&amp;INT(('🌱 Configuração'!$B$51+60-'🌱 Configuração'!$E$51)/7)+1))))</f>
        <v>Flora S1</v>
      </c>
      <c r="F66" s="29" t="str">
        <f>IF(61&gt;'🌱 Configuração'!$F$50,"",IF(AND('🌱 Configuração'!$B$51+60&lt;'🌱 Configuração'!$C$51,INT((61-1)/7)+1=1,MOD(61-1,7)=0),"🌱 Enraizador (0.5 mL/L)",IF(AND('🌱 Configuração'!$B$51+60&lt;'🌱 Configuração'!$C$51,INT((61-1)/7)+1=2,MOD(61-1,7)=0),"🌱 Enraizador + Vitamina B1",IF(AND('🌱 Configuração'!$B$51+60&gt;='🌱 Configuração'!$C$51,'🌱 Configuração'!$B$51+60&lt;'🌱 Configuração'!$D$51,INT(('🌱 Configuração'!$B$51+60-'🌱 Configuração'!$C$51)/7)+1=1,MOD('🌱 Configuração'!$B$51+60-'🌱 Configuração'!$C$51,7)=0),"🌿 Grow A+B início — EC 0.8",IF(AND('🌱 Configuração'!$B$51+60&gt;='🌱 Configuração'!$C$51,'🌱 Configuração'!$B$51+60&lt;'🌱 Configuração'!$D$51,INT(('🌱 Configuração'!$B$51+60-'🌱 Configuração'!$C$51)/7)+1=2,MOD('🌱 Configuração'!$B$51+60-'🌱 Configuração'!$C$51,7)=0),"🌿 Grow A+B + CalMag — EC 1.0",IF(AND('🌱 Configuração'!$B$51+60&gt;='🌱 Configuração'!$C$51,'🌱 Configuração'!$B$51+60&lt;'🌱 Configuração'!$D$51,INT(('🌱 Configuração'!$B$51+60-'🌱 Configuração'!$C$51)/7)+1=3,MOD('🌱 Configuração'!$B$51+60-'🌱 Configuração'!$C$51,7)=0),"🌿 Grow A+B + CalMag — EC 1.2",IF(AND('🌱 Configuração'!$B$51+60&gt;='🌱 Configuração'!$C$51,'🌱 Configuração'!$B$51+60&lt;'🌱 Configuração'!$D$51,INT(('🌱 Configuração'!$B$51+60-'🌱 Configuração'!$C$51)/7)+1=4,MOD('🌱 Configuração'!$B$51+60-'🌱 Configuração'!$C$51,7)=0),"🌿 Grow A+B + Enzimas — EC 1.4",IF(AND('🌱 Configuração'!$B$51+60&gt;='🌱 Configuração'!$C$51,'🌱 Configuração'!$B$51+60&lt;'🌱 Configuração'!$D$51,INT(('🌱 Configuração'!$B$51+60-'🌱 Configuração'!$C$51)/7)+1=5,MOD('🌱 Configuração'!$B$51+60-'🌱 Configuração'!$C$51,7)=0),"🌿 Grow A+B + Biorrizas — EC 1.5",IF(AND('🌱 Configuração'!$B$51+60&gt;='🌱 Configuração'!$C$51,'🌱 Configuração'!$B$51+60&lt;'🌱 Configuração'!$D$51,INT(('🌱 Configuração'!$B$51+60-'🌱 Configuração'!$C$51)/7)+1=6,MOD('🌱 Configuração'!$B$51+60-'🌱 Configuração'!$C$51,7)=0),"🌿 Transição Bloom — EC 1.4",IF(AND('🌱 Configuração'!$B$51+60&gt;='🌱 Configuração'!$C$51,'🌱 Configuração'!$B$51+60&lt;'🌱 Configuração'!$D$51,INT(('🌱 Configuração'!$B$51+60-'🌱 Configuração'!$C$51)/7)+1=7,MOD('🌱 Configuração'!$B$51+60-'🌱 Configuração'!$C$51,7)=0),"🌿 Bloom A+B transição — EC 1.4",IF(AND('🌱 Configuração'!$B$51+60&gt;='🌱 Configuração'!$C$51,'🌱 Configuração'!$B$51+60&lt;'🌱 Configuração'!$D$51,INT(('🌱 Configuração'!$B$51+60-'🌱 Configuração'!$C$51)/7)+1=8,MOD('🌱 Configuração'!$B$51+60-'🌱 Configuração'!$C$51,7)=0),"🌿 Bloom A+B — EC 1.4",IF(AND('🌱 Configuração'!$B$51+60&gt;='🌱 Configuração'!$D$51,'🌱 Configuração'!$B$51+60&lt;'🌱 Configuração'!$E$51,INT(('🌱 Configuração'!$B$51+60-'🌱 Configuração'!$D$51)/7)+1=1,MOD('🌱 Configuração'!$B$51+60-'🌱 Configuração'!$D$51,7)=0),"🌸 Bloom A+B — EC 1.6",IF(AND('🌱 Configuração'!$B$51+60&gt;='🌱 Configuração'!$D$51,'🌱 Configuração'!$B$51+60&lt;'🌱 Configuração'!$E$51,INT(('🌱 Configuração'!$B$51+60-'🌱 Configuração'!$D$51)/7)+1=2,MOD('🌱 Configuração'!$B$51+60-'🌱 Configuração'!$D$51,7)=0),"🌸 Bloom + PK 13/14 início",IF(AND('🌱 Configuração'!$B$51+60&gt;='🌱 Configuração'!$D$51,'🌱 Configuração'!$B$51+60&lt;'🌱 Configuração'!$E$51,INT(('🌱 Configuração'!$B$51+60-'🌱 Configuração'!$D$51)/7)+1=3,MOD('🌱 Configuração'!$B$51+60-'🌱 Configuração'!$D$51,7)=0),"🌸 Bloom + PK + CalMag — EC 1.8",IF(AND('🌱 Configuração'!$B$51+60&gt;='🌱 Configuração'!$D$51,'🌱 Configuração'!$B$51+60&lt;'🌱 Configuração'!$E$51,INT(('🌱 Configuração'!$B$51+60-'🌱 Configuração'!$D$51)/7)+1=4,MOD('🌱 Configuração'!$B$51+60-'🌱 Configuração'!$D$51,7)=0),"🌸 Bloom + PK + Boost Floral — EC 2.0",IF(AND('🌱 Configuração'!$B$51+60&gt;='🌱 Configuração'!$D$51,'🌱 Configuração'!$B$51+60&lt;'🌱 Configuração'!$E$51,INT(('🌱 Configuração'!$B$51+60-'🌱 Configuração'!$D$51)/7)+1=5,MOD('🌱 Configuração'!$B$51+60-'🌱 Configuração'!$D$51,7)=0),"🌸 Bloom + Boost + Amino",IF(AND('🌱 Configuração'!$B$51+60&gt;='🌱 Configuração'!$D$51,'🌱 Configuração'!$B$51+60&lt;'🌱 Configuração'!$E$51,INT(('🌱 Configuração'!$B$51+60-'🌱 Configuração'!$D$51)/7)+1=6,MOD('🌱 Configuração'!$B$51+60-'🌱 Configuração'!$D$51,7)=0),"🌸 Bloom + Enzimas + Amino",IF(AND('🌱 Configuração'!$B$51+60&gt;='🌱 Configuração'!$D$51,'🌱 Configuração'!$B$51+60&lt;'🌱 Configuração'!$E$51,INT(('🌱 Configuração'!$B$51+60-'🌱 Configuração'!$D$51)/7)+1=7,MOD('🌱 Configuração'!$B$51+60-'🌱 Configuração'!$D$51,7)=0),"🌸 Reduzir N — Bloom puro — EC 1.6",IF(AND('🌱 Configuração'!$B$51+60&gt;='🌱 Configuração'!$D$51,'🌱 Configuração'!$B$51+60&lt;'🌱 Configuração'!$E$51,INT(('🌱 Configuração'!$B$51+60-'🌱 Configuração'!$D$51)/7)+1=8,MOD('🌱 Configuração'!$B$51+60-'🌱 Configuração'!$D$51,7)=0),"🌸 Bloom puro — EC 1.4  (pré-flush)",IF(AND('🌱 Configuração'!$B$51+60&gt;='🌱 Configuração'!$D$51,'🌱 Configuração'!$B$51+60&lt;'🌱 Configuração'!$E$51,INT(('🌱 Configuração'!$B$51+60-'🌱 Configuração'!$D$51)/7)+1=9,MOD('🌱 Configuração'!$B$51+60-'🌱 Configuração'!$D$51,7)=0),"🌸 Último Bloom — EC 0.8",IF(AND('🌱 Configuração'!$B$51+60&gt;='🌱 Configuração'!$E$51,INT(('🌱 Configuração'!$B$51+60-'🌱 Configuração'!$E$51)/7)+1=1,MOD('🌱 Configuração'!$B$51+60-'🌱 Configuração'!$E$51,7)=0),"🚿 Água pura + Enzimas (EC &lt; 0.3)",IF(AND('🌱 Configuração'!$B$51+60&gt;='🌱 Configuração'!$E$51,INT(('🌱 Configuração'!$B$51+60-'🌱 Configuração'!$E$51)/7)+1=2,MOD('🌱 Configuração'!$B$51+60-'🌱 Configuração'!$E$51,7)=0),"🚿 Água pura (EC &lt; 0.2)",""))))))))))))))))))))))</f>
        <v/>
      </c>
      <c r="G66" s="30" t="str">
        <f>IF(61&gt;'🌱 Configuração'!$F$50,"",IF(AND('🌱 Configuração'!$B$51+60&lt;'🌱 Configuração'!$C$51,INT((61-1)/7)+1=1,MOD(61-1,7)=0),"🐛 Nim 2mL/L foliar — preventivo",IF(AND('🌱 Configuração'!$B$51+60&lt;'🌱 Configuração'!$C$51,INT((61-1)/7)+1=2,MOD(61-1,7)=0),"🐛 Beauveria bassiana foliar + solo",IF(AND('🌱 Configuração'!$B$51+60&gt;='🌱 Configuração'!$C$51,'🌱 Configuração'!$B$51+60&lt;'🌱 Configuração'!$D$51,INT(('🌱 Configuração'!$B$51+60-'🌱 Configuração'!$C$51)/7)+1=1,MOD('🌱 Configuração'!$B$51+60-'🌱 Configuração'!$C$51,7)=0),"🐛 Nim 2mL/L foliar",IF(AND('🌱 Configuração'!$B$51+60&gt;='🌱 Configuração'!$C$51,'🌱 Configuração'!$B$51+60&lt;'🌱 Configuração'!$D$51,INT(('🌱 Configuração'!$B$51+60-'🌱 Configuração'!$C$51)/7)+1=2,MOD('🌱 Configuração'!$B$51+60-'🌱 Configuração'!$C$51,7)=0),"🐛 Beauveria bassiana foliar",IF(AND('🌱 Configuração'!$B$51+60&gt;='🌱 Configuração'!$C$51,'🌱 Configuração'!$B$51+60&lt;'🌱 Configuração'!$D$51,INT(('🌱 Configuração'!$B$51+60-'🌱 Configuração'!$C$51)/7)+1=3,MOD('🌱 Configuração'!$B$51+60-'🌱 Configuração'!$C$51,7)=0),"🐛 Nim + Calda Sulfocálcica 1%",IF(AND('🌱 Configuração'!$B$51+60&gt;='🌱 Configuração'!$C$51,'🌱 Configuração'!$B$51+60&lt;'🌱 Configuração'!$D$51,INT(('🌱 Configuração'!$B$51+60-'🌱 Configuração'!$C$51)/7)+1=4,MOD('🌱 Configuração'!$B$51+60-'🌱 Configuração'!$C$51,7)=0),"🐛 Trichoderma solo + Beauveria",IF(AND('🌱 Configuração'!$B$51+60&gt;='🌱 Configuração'!$C$51,'🌱 Configuração'!$B$51+60&lt;'🌱 Configuração'!$D$51,INT(('🌱 Configuração'!$B$51+60-'🌱 Configuração'!$C$51)/7)+1=5,MOD('🌱 Configuração'!$B$51+60-'🌱 Configuração'!$C$51,7)=0),"🐛 Calda Bordalesa 0.5% foliar",IF(AND('🌱 Configuração'!$B$51+60&gt;='🌱 Configuração'!$C$51,'🌱 Configuração'!$B$51+60&lt;'🌱 Configuração'!$D$51,INT(('🌱 Configuração'!$B$51+60-'🌱 Configuração'!$C$51)/7)+1=6,MOD('🌱 Configuração'!$B$51+60-'🌱 Configuração'!$C$51,7)=0),"🐛 Nim 2mL/L — ÚLTIMA foliar",IF(AND('🌱 Configuração'!$B$51+60&gt;='🌱 Configuração'!$D$51,'🌱 Configuração'!$B$51+60&lt;'🌱 Configuração'!$E$51,INT(('🌱 Configuração'!$B$51+60-'🌱 Configuração'!$D$51)/7)+1=1,MOD('🌱 Configuração'!$B$51+60-'🌱 Configuração'!$D$51,7)=0),"🐛 Beauveria bassiana solo (sem foliar)",IF(AND('🌱 Configuração'!$B$51+60&gt;='🌱 Configuração'!$D$51,'🌱 Configuração'!$B$51+60&lt;'🌱 Configuração'!$E$51,INT(('🌱 Configuração'!$B$51+60-'🌱 Configuração'!$D$51)/7)+1=2,MOD('🌱 Configuração'!$B$51+60-'🌱 Configuração'!$D$51,7)=0),"🐛 Trichoderma solo",IF(AND('🌱 Configuração'!$B$51+60&gt;='🌱 Configuração'!$D$51,'🌱 Configuração'!$B$51+60&lt;'🌱 Configuração'!$E$51,INT(('🌱 Configuração'!$B$51+60-'🌱 Configuração'!$D$51)/7)+1=3,MOD('🌱 Configuração'!$B$51+60-'🌱 Configuração'!$D$51,7)=0),"🐛 Beauveria bassiana solo",IF(AND('🌱 Configuração'!$B$51+60&gt;='🌱 Configuração'!$D$51,'🌱 Configuração'!$B$51+60&lt;'🌱 Configuração'!$E$51,INT(('🌱 Configuração'!$B$51+60-'🌱 Configuração'!$D$51)/7)+1=4,MOD('🌱 Configuração'!$B$51+60-'🌱 Configuração'!$D$51,7)=0),"🐛 Trichoderma solo",IF(AND('🌱 Configuração'!$B$51+60&gt;='🌱 Configuração'!$E$51,INT(('🌱 Configuração'!$B$51+60-'🌱 Configuração'!$E$51)/7)+1=1,MOD('🌱 Configuração'!$B$51+60-'🌱 Configuração'!$E$51,7)=0),"🐛 Inspeção final — sem aplicação",""))))))))))))))</f>
        <v/>
      </c>
      <c r="H66" s="22" t="str">
        <f>IF(61&gt;'🌱 Configuração'!$F$50,"",IF('🌱 Configuração'!$B$51+60='🌱 Configuração'!$C$51,"🌿 INÍCIO VEGA — ajustar espaço, luz 18h/dia — EC 0.8",IF('🌱 Configuração'!$B$51+60='🌱 Configuração'!$D$51,"🌸 INÍCIO FLORAÇÃO — mudar para 12h/12h — 🔴 atenção ao fotoperíodo",IF('🌱 Configuração'!$B$51+60='🌱 Configuração'!$E$51,"🚿 INÍCIO FLUSH — PARAR nutrição, somente água pura",IF('🌱 Configuração'!$B$51+60='🌱 Configuração'!$F$51-1,"🔬 Véspera da colheita — analisar tricomas âmbar",IF('🌱 Configuração'!$B$51+60='🌱 Configuração'!$F$51,"✂️ COLHEITA! Parabéns! 🎉",""))))))</f>
        <v/>
      </c>
    </row>
    <row r="67" spans="2:8" ht="18.75" customHeight="1" x14ac:dyDescent="0.3">
      <c r="B67" s="25">
        <f>IF(62&lt;='🌱 Configuração'!$F$50,62,"")</f>
        <v>62</v>
      </c>
      <c r="C67" s="26">
        <f>IF(62&lt;='🌱 Configuração'!$F$50,'🌱 Configuração'!$B$51+61,"")</f>
        <v>46084</v>
      </c>
      <c r="D67" s="27" t="str">
        <f>IF(62&gt;'🌱 Configuração'!$F$50,"",IF('🌱 Configuração'!$B$51+61&lt;'🌱 Configuração'!$C$51,"🌱 Clone",IF('🌱 Configuração'!$B$51+61&lt;'🌱 Configuração'!$D$51,"🌿 Vegetativo",IF('🌱 Configuração'!$B$51+61&lt;'🌱 Configuração'!$E$51,"🌸 Floração","🚿 Flush"))))</f>
        <v>🌸 Floração</v>
      </c>
      <c r="E67" s="28" t="str">
        <f>IF(62&gt;'🌱 Configuração'!$F$50,"",IF('🌱 Configuração'!$B$51+61&lt;'🌱 Configuração'!$C$51,"Clone S"&amp;INT((62-1)/7)+1,IF('🌱 Configuração'!$B$51+61&lt;'🌱 Configuração'!$D$51,"Vega S"&amp;INT(('🌱 Configuração'!$B$51+61-'🌱 Configuração'!$C$51)/7)+1,IF('🌱 Configuração'!$B$51+61&lt;'🌱 Configuração'!$E$51,"Flora S"&amp;INT(('🌱 Configuração'!$B$51+61-'🌱 Configuração'!$D$51)/7)+1,"Flush S"&amp;INT(('🌱 Configuração'!$B$51+61-'🌱 Configuração'!$E$51)/7)+1))))</f>
        <v>Flora S1</v>
      </c>
      <c r="F67" s="29" t="str">
        <f>IF(62&gt;'🌱 Configuração'!$F$50,"",IF(AND('🌱 Configuração'!$B$51+61&lt;'🌱 Configuração'!$C$51,INT((62-1)/7)+1=1,MOD(62-1,7)=0),"🌱 Enraizador (0.5 mL/L)",IF(AND('🌱 Configuração'!$B$51+61&lt;'🌱 Configuração'!$C$51,INT((62-1)/7)+1=2,MOD(62-1,7)=0),"🌱 Enraizador + Vitamina B1",IF(AND('🌱 Configuração'!$B$51+61&gt;='🌱 Configuração'!$C$51,'🌱 Configuração'!$B$51+61&lt;'🌱 Configuração'!$D$51,INT(('🌱 Configuração'!$B$51+61-'🌱 Configuração'!$C$51)/7)+1=1,MOD('🌱 Configuração'!$B$51+61-'🌱 Configuração'!$C$51,7)=0),"🌿 Grow A+B início — EC 0.8",IF(AND('🌱 Configuração'!$B$51+61&gt;='🌱 Configuração'!$C$51,'🌱 Configuração'!$B$51+61&lt;'🌱 Configuração'!$D$51,INT(('🌱 Configuração'!$B$51+61-'🌱 Configuração'!$C$51)/7)+1=2,MOD('🌱 Configuração'!$B$51+61-'🌱 Configuração'!$C$51,7)=0),"🌿 Grow A+B + CalMag — EC 1.0",IF(AND('🌱 Configuração'!$B$51+61&gt;='🌱 Configuração'!$C$51,'🌱 Configuração'!$B$51+61&lt;'🌱 Configuração'!$D$51,INT(('🌱 Configuração'!$B$51+61-'🌱 Configuração'!$C$51)/7)+1=3,MOD('🌱 Configuração'!$B$51+61-'🌱 Configuração'!$C$51,7)=0),"🌿 Grow A+B + CalMag — EC 1.2",IF(AND('🌱 Configuração'!$B$51+61&gt;='🌱 Configuração'!$C$51,'🌱 Configuração'!$B$51+61&lt;'🌱 Configuração'!$D$51,INT(('🌱 Configuração'!$B$51+61-'🌱 Configuração'!$C$51)/7)+1=4,MOD('🌱 Configuração'!$B$51+61-'🌱 Configuração'!$C$51,7)=0),"🌿 Grow A+B + Enzimas — EC 1.4",IF(AND('🌱 Configuração'!$B$51+61&gt;='🌱 Configuração'!$C$51,'🌱 Configuração'!$B$51+61&lt;'🌱 Configuração'!$D$51,INT(('🌱 Configuração'!$B$51+61-'🌱 Configuração'!$C$51)/7)+1=5,MOD('🌱 Configuração'!$B$51+61-'🌱 Configuração'!$C$51,7)=0),"🌿 Grow A+B + Biorrizas — EC 1.5",IF(AND('🌱 Configuração'!$B$51+61&gt;='🌱 Configuração'!$C$51,'🌱 Configuração'!$B$51+61&lt;'🌱 Configuração'!$D$51,INT(('🌱 Configuração'!$B$51+61-'🌱 Configuração'!$C$51)/7)+1=6,MOD('🌱 Configuração'!$B$51+61-'🌱 Configuração'!$C$51,7)=0),"🌿 Transição Bloom — EC 1.4",IF(AND('🌱 Configuração'!$B$51+61&gt;='🌱 Configuração'!$C$51,'🌱 Configuração'!$B$51+61&lt;'🌱 Configuração'!$D$51,INT(('🌱 Configuração'!$B$51+61-'🌱 Configuração'!$C$51)/7)+1=7,MOD('🌱 Configuração'!$B$51+61-'🌱 Configuração'!$C$51,7)=0),"🌿 Bloom A+B transição — EC 1.4",IF(AND('🌱 Configuração'!$B$51+61&gt;='🌱 Configuração'!$C$51,'🌱 Configuração'!$B$51+61&lt;'🌱 Configuração'!$D$51,INT(('🌱 Configuração'!$B$51+61-'🌱 Configuração'!$C$51)/7)+1=8,MOD('🌱 Configuração'!$B$51+61-'🌱 Configuração'!$C$51,7)=0),"🌿 Bloom A+B — EC 1.4",IF(AND('🌱 Configuração'!$B$51+61&gt;='🌱 Configuração'!$D$51,'🌱 Configuração'!$B$51+61&lt;'🌱 Configuração'!$E$51,INT(('🌱 Configuração'!$B$51+61-'🌱 Configuração'!$D$51)/7)+1=1,MOD('🌱 Configuração'!$B$51+61-'🌱 Configuração'!$D$51,7)=0),"🌸 Bloom A+B — EC 1.6",IF(AND('🌱 Configuração'!$B$51+61&gt;='🌱 Configuração'!$D$51,'🌱 Configuração'!$B$51+61&lt;'🌱 Configuração'!$E$51,INT(('🌱 Configuração'!$B$51+61-'🌱 Configuração'!$D$51)/7)+1=2,MOD('🌱 Configuração'!$B$51+61-'🌱 Configuração'!$D$51,7)=0),"🌸 Bloom + PK 13/14 início",IF(AND('🌱 Configuração'!$B$51+61&gt;='🌱 Configuração'!$D$51,'🌱 Configuração'!$B$51+61&lt;'🌱 Configuração'!$E$51,INT(('🌱 Configuração'!$B$51+61-'🌱 Configuração'!$D$51)/7)+1=3,MOD('🌱 Configuração'!$B$51+61-'🌱 Configuração'!$D$51,7)=0),"🌸 Bloom + PK + CalMag — EC 1.8",IF(AND('🌱 Configuração'!$B$51+61&gt;='🌱 Configuração'!$D$51,'🌱 Configuração'!$B$51+61&lt;'🌱 Configuração'!$E$51,INT(('🌱 Configuração'!$B$51+61-'🌱 Configuração'!$D$51)/7)+1=4,MOD('🌱 Configuração'!$B$51+61-'🌱 Configuração'!$D$51,7)=0),"🌸 Bloom + PK + Boost Floral — EC 2.0",IF(AND('🌱 Configuração'!$B$51+61&gt;='🌱 Configuração'!$D$51,'🌱 Configuração'!$B$51+61&lt;'🌱 Configuração'!$E$51,INT(('🌱 Configuração'!$B$51+61-'🌱 Configuração'!$D$51)/7)+1=5,MOD('🌱 Configuração'!$B$51+61-'🌱 Configuração'!$D$51,7)=0),"🌸 Bloom + Boost + Amino",IF(AND('🌱 Configuração'!$B$51+61&gt;='🌱 Configuração'!$D$51,'🌱 Configuração'!$B$51+61&lt;'🌱 Configuração'!$E$51,INT(('🌱 Configuração'!$B$51+61-'🌱 Configuração'!$D$51)/7)+1=6,MOD('🌱 Configuração'!$B$51+61-'🌱 Configuração'!$D$51,7)=0),"🌸 Bloom + Enzimas + Amino",IF(AND('🌱 Configuração'!$B$51+61&gt;='🌱 Configuração'!$D$51,'🌱 Configuração'!$B$51+61&lt;'🌱 Configuração'!$E$51,INT(('🌱 Configuração'!$B$51+61-'🌱 Configuração'!$D$51)/7)+1=7,MOD('🌱 Configuração'!$B$51+61-'🌱 Configuração'!$D$51,7)=0),"🌸 Reduzir N — Bloom puro — EC 1.6",IF(AND('🌱 Configuração'!$B$51+61&gt;='🌱 Configuração'!$D$51,'🌱 Configuração'!$B$51+61&lt;'🌱 Configuração'!$E$51,INT(('🌱 Configuração'!$B$51+61-'🌱 Configuração'!$D$51)/7)+1=8,MOD('🌱 Configuração'!$B$51+61-'🌱 Configuração'!$D$51,7)=0),"🌸 Bloom puro — EC 1.4  (pré-flush)",IF(AND('🌱 Configuração'!$B$51+61&gt;='🌱 Configuração'!$D$51,'🌱 Configuração'!$B$51+61&lt;'🌱 Configuração'!$E$51,INT(('🌱 Configuração'!$B$51+61-'🌱 Configuração'!$D$51)/7)+1=9,MOD('🌱 Configuração'!$B$51+61-'🌱 Configuração'!$D$51,7)=0),"🌸 Último Bloom — EC 0.8",IF(AND('🌱 Configuração'!$B$51+61&gt;='🌱 Configuração'!$E$51,INT(('🌱 Configuração'!$B$51+61-'🌱 Configuração'!$E$51)/7)+1=1,MOD('🌱 Configuração'!$B$51+61-'🌱 Configuração'!$E$51,7)=0),"🚿 Água pura + Enzimas (EC &lt; 0.3)",IF(AND('🌱 Configuração'!$B$51+61&gt;='🌱 Configuração'!$E$51,INT(('🌱 Configuração'!$B$51+61-'🌱 Configuração'!$E$51)/7)+1=2,MOD('🌱 Configuração'!$B$51+61-'🌱 Configuração'!$E$51,7)=0),"🚿 Água pura (EC &lt; 0.2)",""))))))))))))))))))))))</f>
        <v/>
      </c>
      <c r="G67" s="30" t="str">
        <f>IF(62&gt;'🌱 Configuração'!$F$50,"",IF(AND('🌱 Configuração'!$B$51+61&lt;'🌱 Configuração'!$C$51,INT((62-1)/7)+1=1,MOD(62-1,7)=0),"🐛 Nim 2mL/L foliar — preventivo",IF(AND('🌱 Configuração'!$B$51+61&lt;'🌱 Configuração'!$C$51,INT((62-1)/7)+1=2,MOD(62-1,7)=0),"🐛 Beauveria bassiana foliar + solo",IF(AND('🌱 Configuração'!$B$51+61&gt;='🌱 Configuração'!$C$51,'🌱 Configuração'!$B$51+61&lt;'🌱 Configuração'!$D$51,INT(('🌱 Configuração'!$B$51+61-'🌱 Configuração'!$C$51)/7)+1=1,MOD('🌱 Configuração'!$B$51+61-'🌱 Configuração'!$C$51,7)=0),"🐛 Nim 2mL/L foliar",IF(AND('🌱 Configuração'!$B$51+61&gt;='🌱 Configuração'!$C$51,'🌱 Configuração'!$B$51+61&lt;'🌱 Configuração'!$D$51,INT(('🌱 Configuração'!$B$51+61-'🌱 Configuração'!$C$51)/7)+1=2,MOD('🌱 Configuração'!$B$51+61-'🌱 Configuração'!$C$51,7)=0),"🐛 Beauveria bassiana foliar",IF(AND('🌱 Configuração'!$B$51+61&gt;='🌱 Configuração'!$C$51,'🌱 Configuração'!$B$51+61&lt;'🌱 Configuração'!$D$51,INT(('🌱 Configuração'!$B$51+61-'🌱 Configuração'!$C$51)/7)+1=3,MOD('🌱 Configuração'!$B$51+61-'🌱 Configuração'!$C$51,7)=0),"🐛 Nim + Calda Sulfocálcica 1%",IF(AND('🌱 Configuração'!$B$51+61&gt;='🌱 Configuração'!$C$51,'🌱 Configuração'!$B$51+61&lt;'🌱 Configuração'!$D$51,INT(('🌱 Configuração'!$B$51+61-'🌱 Configuração'!$C$51)/7)+1=4,MOD('🌱 Configuração'!$B$51+61-'🌱 Configuração'!$C$51,7)=0),"🐛 Trichoderma solo + Beauveria",IF(AND('🌱 Configuração'!$B$51+61&gt;='🌱 Configuração'!$C$51,'🌱 Configuração'!$B$51+61&lt;'🌱 Configuração'!$D$51,INT(('🌱 Configuração'!$B$51+61-'🌱 Configuração'!$C$51)/7)+1=5,MOD('🌱 Configuração'!$B$51+61-'🌱 Configuração'!$C$51,7)=0),"🐛 Calda Bordalesa 0.5% foliar",IF(AND('🌱 Configuração'!$B$51+61&gt;='🌱 Configuração'!$C$51,'🌱 Configuração'!$B$51+61&lt;'🌱 Configuração'!$D$51,INT(('🌱 Configuração'!$B$51+61-'🌱 Configuração'!$C$51)/7)+1=6,MOD('🌱 Configuração'!$B$51+61-'🌱 Configuração'!$C$51,7)=0),"🐛 Nim 2mL/L — ÚLTIMA foliar",IF(AND('🌱 Configuração'!$B$51+61&gt;='🌱 Configuração'!$D$51,'🌱 Configuração'!$B$51+61&lt;'🌱 Configuração'!$E$51,INT(('🌱 Configuração'!$B$51+61-'🌱 Configuração'!$D$51)/7)+1=1,MOD('🌱 Configuração'!$B$51+61-'🌱 Configuração'!$D$51,7)=0),"🐛 Beauveria bassiana solo (sem foliar)",IF(AND('🌱 Configuração'!$B$51+61&gt;='🌱 Configuração'!$D$51,'🌱 Configuração'!$B$51+61&lt;'🌱 Configuração'!$E$51,INT(('🌱 Configuração'!$B$51+61-'🌱 Configuração'!$D$51)/7)+1=2,MOD('🌱 Configuração'!$B$51+61-'🌱 Configuração'!$D$51,7)=0),"🐛 Trichoderma solo",IF(AND('🌱 Configuração'!$B$51+61&gt;='🌱 Configuração'!$D$51,'🌱 Configuração'!$B$51+61&lt;'🌱 Configuração'!$E$51,INT(('🌱 Configuração'!$B$51+61-'🌱 Configuração'!$D$51)/7)+1=3,MOD('🌱 Configuração'!$B$51+61-'🌱 Configuração'!$D$51,7)=0),"🐛 Beauveria bassiana solo",IF(AND('🌱 Configuração'!$B$51+61&gt;='🌱 Configuração'!$D$51,'🌱 Configuração'!$B$51+61&lt;'🌱 Configuração'!$E$51,INT(('🌱 Configuração'!$B$51+61-'🌱 Configuração'!$D$51)/7)+1=4,MOD('🌱 Configuração'!$B$51+61-'🌱 Configuração'!$D$51,7)=0),"🐛 Trichoderma solo",IF(AND('🌱 Configuração'!$B$51+61&gt;='🌱 Configuração'!$E$51,INT(('🌱 Configuração'!$B$51+61-'🌱 Configuração'!$E$51)/7)+1=1,MOD('🌱 Configuração'!$B$51+61-'🌱 Configuração'!$E$51,7)=0),"🐛 Inspeção final — sem aplicação",""))))))))))))))</f>
        <v/>
      </c>
      <c r="H67" s="22" t="str">
        <f>IF(62&gt;'🌱 Configuração'!$F$50,"",IF('🌱 Configuração'!$B$51+61='🌱 Configuração'!$C$51,"🌿 INÍCIO VEGA — ajustar espaço, luz 18h/dia — EC 0.8",IF('🌱 Configuração'!$B$51+61='🌱 Configuração'!$D$51,"🌸 INÍCIO FLORAÇÃO — mudar para 12h/12h — 🔴 atenção ao fotoperíodo",IF('🌱 Configuração'!$B$51+61='🌱 Configuração'!$E$51,"🚿 INÍCIO FLUSH — PARAR nutrição, somente água pura",IF('🌱 Configuração'!$B$51+61='🌱 Configuração'!$F$51-1,"🔬 Véspera da colheita — analisar tricomas âmbar",IF('🌱 Configuração'!$B$51+61='🌱 Configuração'!$F$51,"✂️ COLHEITA! Parabéns! 🎉",""))))))</f>
        <v/>
      </c>
    </row>
    <row r="68" spans="2:8" ht="18.75" customHeight="1" x14ac:dyDescent="0.3">
      <c r="B68" s="25">
        <f>IF(63&lt;='🌱 Configuração'!$F$50,63,"")</f>
        <v>63</v>
      </c>
      <c r="C68" s="26">
        <f>IF(63&lt;='🌱 Configuração'!$F$50,'🌱 Configuração'!$B$51+62,"")</f>
        <v>46085</v>
      </c>
      <c r="D68" s="27" t="str">
        <f>IF(63&gt;'🌱 Configuração'!$F$50,"",IF('🌱 Configuração'!$B$51+62&lt;'🌱 Configuração'!$C$51,"🌱 Clone",IF('🌱 Configuração'!$B$51+62&lt;'🌱 Configuração'!$D$51,"🌿 Vegetativo",IF('🌱 Configuração'!$B$51+62&lt;'🌱 Configuração'!$E$51,"🌸 Floração","🚿 Flush"))))</f>
        <v>🌸 Floração</v>
      </c>
      <c r="E68" s="28" t="str">
        <f>IF(63&gt;'🌱 Configuração'!$F$50,"",IF('🌱 Configuração'!$B$51+62&lt;'🌱 Configuração'!$C$51,"Clone S"&amp;INT((63-1)/7)+1,IF('🌱 Configuração'!$B$51+62&lt;'🌱 Configuração'!$D$51,"Vega S"&amp;INT(('🌱 Configuração'!$B$51+62-'🌱 Configuração'!$C$51)/7)+1,IF('🌱 Configuração'!$B$51+62&lt;'🌱 Configuração'!$E$51,"Flora S"&amp;INT(('🌱 Configuração'!$B$51+62-'🌱 Configuração'!$D$51)/7)+1,"Flush S"&amp;INT(('🌱 Configuração'!$B$51+62-'🌱 Configuração'!$E$51)/7)+1))))</f>
        <v>Flora S1</v>
      </c>
      <c r="F68" s="29" t="str">
        <f>IF(63&gt;'🌱 Configuração'!$F$50,"",IF(AND('🌱 Configuração'!$B$51+62&lt;'🌱 Configuração'!$C$51,INT((63-1)/7)+1=1,MOD(63-1,7)=0),"🌱 Enraizador (0.5 mL/L)",IF(AND('🌱 Configuração'!$B$51+62&lt;'🌱 Configuração'!$C$51,INT((63-1)/7)+1=2,MOD(63-1,7)=0),"🌱 Enraizador + Vitamina B1",IF(AND('🌱 Configuração'!$B$51+62&gt;='🌱 Configuração'!$C$51,'🌱 Configuração'!$B$51+62&lt;'🌱 Configuração'!$D$51,INT(('🌱 Configuração'!$B$51+62-'🌱 Configuração'!$C$51)/7)+1=1,MOD('🌱 Configuração'!$B$51+62-'🌱 Configuração'!$C$51,7)=0),"🌿 Grow A+B início — EC 0.8",IF(AND('🌱 Configuração'!$B$51+62&gt;='🌱 Configuração'!$C$51,'🌱 Configuração'!$B$51+62&lt;'🌱 Configuração'!$D$51,INT(('🌱 Configuração'!$B$51+62-'🌱 Configuração'!$C$51)/7)+1=2,MOD('🌱 Configuração'!$B$51+62-'🌱 Configuração'!$C$51,7)=0),"🌿 Grow A+B + CalMag — EC 1.0",IF(AND('🌱 Configuração'!$B$51+62&gt;='🌱 Configuração'!$C$51,'🌱 Configuração'!$B$51+62&lt;'🌱 Configuração'!$D$51,INT(('🌱 Configuração'!$B$51+62-'🌱 Configuração'!$C$51)/7)+1=3,MOD('🌱 Configuração'!$B$51+62-'🌱 Configuração'!$C$51,7)=0),"🌿 Grow A+B + CalMag — EC 1.2",IF(AND('🌱 Configuração'!$B$51+62&gt;='🌱 Configuração'!$C$51,'🌱 Configuração'!$B$51+62&lt;'🌱 Configuração'!$D$51,INT(('🌱 Configuração'!$B$51+62-'🌱 Configuração'!$C$51)/7)+1=4,MOD('🌱 Configuração'!$B$51+62-'🌱 Configuração'!$C$51,7)=0),"🌿 Grow A+B + Enzimas — EC 1.4",IF(AND('🌱 Configuração'!$B$51+62&gt;='🌱 Configuração'!$C$51,'🌱 Configuração'!$B$51+62&lt;'🌱 Configuração'!$D$51,INT(('🌱 Configuração'!$B$51+62-'🌱 Configuração'!$C$51)/7)+1=5,MOD('🌱 Configuração'!$B$51+62-'🌱 Configuração'!$C$51,7)=0),"🌿 Grow A+B + Biorrizas — EC 1.5",IF(AND('🌱 Configuração'!$B$51+62&gt;='🌱 Configuração'!$C$51,'🌱 Configuração'!$B$51+62&lt;'🌱 Configuração'!$D$51,INT(('🌱 Configuração'!$B$51+62-'🌱 Configuração'!$C$51)/7)+1=6,MOD('🌱 Configuração'!$B$51+62-'🌱 Configuração'!$C$51,7)=0),"🌿 Transição Bloom — EC 1.4",IF(AND('🌱 Configuração'!$B$51+62&gt;='🌱 Configuração'!$C$51,'🌱 Configuração'!$B$51+62&lt;'🌱 Configuração'!$D$51,INT(('🌱 Configuração'!$B$51+62-'🌱 Configuração'!$C$51)/7)+1=7,MOD('🌱 Configuração'!$B$51+62-'🌱 Configuração'!$C$51,7)=0),"🌿 Bloom A+B transição — EC 1.4",IF(AND('🌱 Configuração'!$B$51+62&gt;='🌱 Configuração'!$C$51,'🌱 Configuração'!$B$51+62&lt;'🌱 Configuração'!$D$51,INT(('🌱 Configuração'!$B$51+62-'🌱 Configuração'!$C$51)/7)+1=8,MOD('🌱 Configuração'!$B$51+62-'🌱 Configuração'!$C$51,7)=0),"🌿 Bloom A+B — EC 1.4",IF(AND('🌱 Configuração'!$B$51+62&gt;='🌱 Configuração'!$D$51,'🌱 Configuração'!$B$51+62&lt;'🌱 Configuração'!$E$51,INT(('🌱 Configuração'!$B$51+62-'🌱 Configuração'!$D$51)/7)+1=1,MOD('🌱 Configuração'!$B$51+62-'🌱 Configuração'!$D$51,7)=0),"🌸 Bloom A+B — EC 1.6",IF(AND('🌱 Configuração'!$B$51+62&gt;='🌱 Configuração'!$D$51,'🌱 Configuração'!$B$51+62&lt;'🌱 Configuração'!$E$51,INT(('🌱 Configuração'!$B$51+62-'🌱 Configuração'!$D$51)/7)+1=2,MOD('🌱 Configuração'!$B$51+62-'🌱 Configuração'!$D$51,7)=0),"🌸 Bloom + PK 13/14 início",IF(AND('🌱 Configuração'!$B$51+62&gt;='🌱 Configuração'!$D$51,'🌱 Configuração'!$B$51+62&lt;'🌱 Configuração'!$E$51,INT(('🌱 Configuração'!$B$51+62-'🌱 Configuração'!$D$51)/7)+1=3,MOD('🌱 Configuração'!$B$51+62-'🌱 Configuração'!$D$51,7)=0),"🌸 Bloom + PK + CalMag — EC 1.8",IF(AND('🌱 Configuração'!$B$51+62&gt;='🌱 Configuração'!$D$51,'🌱 Configuração'!$B$51+62&lt;'🌱 Configuração'!$E$51,INT(('🌱 Configuração'!$B$51+62-'🌱 Configuração'!$D$51)/7)+1=4,MOD('🌱 Configuração'!$B$51+62-'🌱 Configuração'!$D$51,7)=0),"🌸 Bloom + PK + Boost Floral — EC 2.0",IF(AND('🌱 Configuração'!$B$51+62&gt;='🌱 Configuração'!$D$51,'🌱 Configuração'!$B$51+62&lt;'🌱 Configuração'!$E$51,INT(('🌱 Configuração'!$B$51+62-'🌱 Configuração'!$D$51)/7)+1=5,MOD('🌱 Configuração'!$B$51+62-'🌱 Configuração'!$D$51,7)=0),"🌸 Bloom + Boost + Amino",IF(AND('🌱 Configuração'!$B$51+62&gt;='🌱 Configuração'!$D$51,'🌱 Configuração'!$B$51+62&lt;'🌱 Configuração'!$E$51,INT(('🌱 Configuração'!$B$51+62-'🌱 Configuração'!$D$51)/7)+1=6,MOD('🌱 Configuração'!$B$51+62-'🌱 Configuração'!$D$51,7)=0),"🌸 Bloom + Enzimas + Amino",IF(AND('🌱 Configuração'!$B$51+62&gt;='🌱 Configuração'!$D$51,'🌱 Configuração'!$B$51+62&lt;'🌱 Configuração'!$E$51,INT(('🌱 Configuração'!$B$51+62-'🌱 Configuração'!$D$51)/7)+1=7,MOD('🌱 Configuração'!$B$51+62-'🌱 Configuração'!$D$51,7)=0),"🌸 Reduzir N — Bloom puro — EC 1.6",IF(AND('🌱 Configuração'!$B$51+62&gt;='🌱 Configuração'!$D$51,'🌱 Configuração'!$B$51+62&lt;'🌱 Configuração'!$E$51,INT(('🌱 Configuração'!$B$51+62-'🌱 Configuração'!$D$51)/7)+1=8,MOD('🌱 Configuração'!$B$51+62-'🌱 Configuração'!$D$51,7)=0),"🌸 Bloom puro — EC 1.4  (pré-flush)",IF(AND('🌱 Configuração'!$B$51+62&gt;='🌱 Configuração'!$D$51,'🌱 Configuração'!$B$51+62&lt;'🌱 Configuração'!$E$51,INT(('🌱 Configuração'!$B$51+62-'🌱 Configuração'!$D$51)/7)+1=9,MOD('🌱 Configuração'!$B$51+62-'🌱 Configuração'!$D$51,7)=0),"🌸 Último Bloom — EC 0.8",IF(AND('🌱 Configuração'!$B$51+62&gt;='🌱 Configuração'!$E$51,INT(('🌱 Configuração'!$B$51+62-'🌱 Configuração'!$E$51)/7)+1=1,MOD('🌱 Configuração'!$B$51+62-'🌱 Configuração'!$E$51,7)=0),"🚿 Água pura + Enzimas (EC &lt; 0.3)",IF(AND('🌱 Configuração'!$B$51+62&gt;='🌱 Configuração'!$E$51,INT(('🌱 Configuração'!$B$51+62-'🌱 Configuração'!$E$51)/7)+1=2,MOD('🌱 Configuração'!$B$51+62-'🌱 Configuração'!$E$51,7)=0),"🚿 Água pura (EC &lt; 0.2)",""))))))))))))))))))))))</f>
        <v/>
      </c>
      <c r="G68" s="30" t="str">
        <f>IF(63&gt;'🌱 Configuração'!$F$50,"",IF(AND('🌱 Configuração'!$B$51+62&lt;'🌱 Configuração'!$C$51,INT((63-1)/7)+1=1,MOD(63-1,7)=0),"🐛 Nim 2mL/L foliar — preventivo",IF(AND('🌱 Configuração'!$B$51+62&lt;'🌱 Configuração'!$C$51,INT((63-1)/7)+1=2,MOD(63-1,7)=0),"🐛 Beauveria bassiana foliar + solo",IF(AND('🌱 Configuração'!$B$51+62&gt;='🌱 Configuração'!$C$51,'🌱 Configuração'!$B$51+62&lt;'🌱 Configuração'!$D$51,INT(('🌱 Configuração'!$B$51+62-'🌱 Configuração'!$C$51)/7)+1=1,MOD('🌱 Configuração'!$B$51+62-'🌱 Configuração'!$C$51,7)=0),"🐛 Nim 2mL/L foliar",IF(AND('🌱 Configuração'!$B$51+62&gt;='🌱 Configuração'!$C$51,'🌱 Configuração'!$B$51+62&lt;'🌱 Configuração'!$D$51,INT(('🌱 Configuração'!$B$51+62-'🌱 Configuração'!$C$51)/7)+1=2,MOD('🌱 Configuração'!$B$51+62-'🌱 Configuração'!$C$51,7)=0),"🐛 Beauveria bassiana foliar",IF(AND('🌱 Configuração'!$B$51+62&gt;='🌱 Configuração'!$C$51,'🌱 Configuração'!$B$51+62&lt;'🌱 Configuração'!$D$51,INT(('🌱 Configuração'!$B$51+62-'🌱 Configuração'!$C$51)/7)+1=3,MOD('🌱 Configuração'!$B$51+62-'🌱 Configuração'!$C$51,7)=0),"🐛 Nim + Calda Sulfocálcica 1%",IF(AND('🌱 Configuração'!$B$51+62&gt;='🌱 Configuração'!$C$51,'🌱 Configuração'!$B$51+62&lt;'🌱 Configuração'!$D$51,INT(('🌱 Configuração'!$B$51+62-'🌱 Configuração'!$C$51)/7)+1=4,MOD('🌱 Configuração'!$B$51+62-'🌱 Configuração'!$C$51,7)=0),"🐛 Trichoderma solo + Beauveria",IF(AND('🌱 Configuração'!$B$51+62&gt;='🌱 Configuração'!$C$51,'🌱 Configuração'!$B$51+62&lt;'🌱 Configuração'!$D$51,INT(('🌱 Configuração'!$B$51+62-'🌱 Configuração'!$C$51)/7)+1=5,MOD('🌱 Configuração'!$B$51+62-'🌱 Configuração'!$C$51,7)=0),"🐛 Calda Bordalesa 0.5% foliar",IF(AND('🌱 Configuração'!$B$51+62&gt;='🌱 Configuração'!$C$51,'🌱 Configuração'!$B$51+62&lt;'🌱 Configuração'!$D$51,INT(('🌱 Configuração'!$B$51+62-'🌱 Configuração'!$C$51)/7)+1=6,MOD('🌱 Configuração'!$B$51+62-'🌱 Configuração'!$C$51,7)=0),"🐛 Nim 2mL/L — ÚLTIMA foliar",IF(AND('🌱 Configuração'!$B$51+62&gt;='🌱 Configuração'!$D$51,'🌱 Configuração'!$B$51+62&lt;'🌱 Configuração'!$E$51,INT(('🌱 Configuração'!$B$51+62-'🌱 Configuração'!$D$51)/7)+1=1,MOD('🌱 Configuração'!$B$51+62-'🌱 Configuração'!$D$51,7)=0),"🐛 Beauveria bassiana solo (sem foliar)",IF(AND('🌱 Configuração'!$B$51+62&gt;='🌱 Configuração'!$D$51,'🌱 Configuração'!$B$51+62&lt;'🌱 Configuração'!$E$51,INT(('🌱 Configuração'!$B$51+62-'🌱 Configuração'!$D$51)/7)+1=2,MOD('🌱 Configuração'!$B$51+62-'🌱 Configuração'!$D$51,7)=0),"🐛 Trichoderma solo",IF(AND('🌱 Configuração'!$B$51+62&gt;='🌱 Configuração'!$D$51,'🌱 Configuração'!$B$51+62&lt;'🌱 Configuração'!$E$51,INT(('🌱 Configuração'!$B$51+62-'🌱 Configuração'!$D$51)/7)+1=3,MOD('🌱 Configuração'!$B$51+62-'🌱 Configuração'!$D$51,7)=0),"🐛 Beauveria bassiana solo",IF(AND('🌱 Configuração'!$B$51+62&gt;='🌱 Configuração'!$D$51,'🌱 Configuração'!$B$51+62&lt;'🌱 Configuração'!$E$51,INT(('🌱 Configuração'!$B$51+62-'🌱 Configuração'!$D$51)/7)+1=4,MOD('🌱 Configuração'!$B$51+62-'🌱 Configuração'!$D$51,7)=0),"🐛 Trichoderma solo",IF(AND('🌱 Configuração'!$B$51+62&gt;='🌱 Configuração'!$E$51,INT(('🌱 Configuração'!$B$51+62-'🌱 Configuração'!$E$51)/7)+1=1,MOD('🌱 Configuração'!$B$51+62-'🌱 Configuração'!$E$51,7)=0),"🐛 Inspeção final — sem aplicação",""))))))))))))))</f>
        <v/>
      </c>
      <c r="H68" s="22" t="str">
        <f>IF(63&gt;'🌱 Configuração'!$F$50,"",IF('🌱 Configuração'!$B$51+62='🌱 Configuração'!$C$51,"🌿 INÍCIO VEGA — ajustar espaço, luz 18h/dia — EC 0.8",IF('🌱 Configuração'!$B$51+62='🌱 Configuração'!$D$51,"🌸 INÍCIO FLORAÇÃO — mudar para 12h/12h — 🔴 atenção ao fotoperíodo",IF('🌱 Configuração'!$B$51+62='🌱 Configuração'!$E$51,"🚿 INÍCIO FLUSH — PARAR nutrição, somente água pura",IF('🌱 Configuração'!$B$51+62='🌱 Configuração'!$F$51-1,"🔬 Véspera da colheita — analisar tricomas âmbar",IF('🌱 Configuração'!$B$51+62='🌱 Configuração'!$F$51,"✂️ COLHEITA! Parabéns! 🎉",""))))))</f>
        <v/>
      </c>
    </row>
    <row r="69" spans="2:8" ht="18.75" customHeight="1" x14ac:dyDescent="0.3">
      <c r="B69" s="25">
        <f>IF(64&lt;='🌱 Configuração'!$F$50,64,"")</f>
        <v>64</v>
      </c>
      <c r="C69" s="26">
        <f>IF(64&lt;='🌱 Configuração'!$F$50,'🌱 Configuração'!$B$51+63,"")</f>
        <v>46086</v>
      </c>
      <c r="D69" s="27" t="str">
        <f>IF(64&gt;'🌱 Configuração'!$F$50,"",IF('🌱 Configuração'!$B$51+63&lt;'🌱 Configuração'!$C$51,"🌱 Clone",IF('🌱 Configuração'!$B$51+63&lt;'🌱 Configuração'!$D$51,"🌿 Vegetativo",IF('🌱 Configuração'!$B$51+63&lt;'🌱 Configuração'!$E$51,"🌸 Floração","🚿 Flush"))))</f>
        <v>🌸 Floração</v>
      </c>
      <c r="E69" s="28" t="str">
        <f>IF(64&gt;'🌱 Configuração'!$F$50,"",IF('🌱 Configuração'!$B$51+63&lt;'🌱 Configuração'!$C$51,"Clone S"&amp;INT((64-1)/7)+1,IF('🌱 Configuração'!$B$51+63&lt;'🌱 Configuração'!$D$51,"Vega S"&amp;INT(('🌱 Configuração'!$B$51+63-'🌱 Configuração'!$C$51)/7)+1,IF('🌱 Configuração'!$B$51+63&lt;'🌱 Configuração'!$E$51,"Flora S"&amp;INT(('🌱 Configuração'!$B$51+63-'🌱 Configuração'!$D$51)/7)+1,"Flush S"&amp;INT(('🌱 Configuração'!$B$51+63-'🌱 Configuração'!$E$51)/7)+1))))</f>
        <v>Flora S2</v>
      </c>
      <c r="F69" s="29" t="str">
        <f>IF(64&gt;'🌱 Configuração'!$F$50,"",IF(AND('🌱 Configuração'!$B$51+63&lt;'🌱 Configuração'!$C$51,INT((64-1)/7)+1=1,MOD(64-1,7)=0),"🌱 Enraizador (0.5 mL/L)",IF(AND('🌱 Configuração'!$B$51+63&lt;'🌱 Configuração'!$C$51,INT((64-1)/7)+1=2,MOD(64-1,7)=0),"🌱 Enraizador + Vitamina B1",IF(AND('🌱 Configuração'!$B$51+63&gt;='🌱 Configuração'!$C$51,'🌱 Configuração'!$B$51+63&lt;'🌱 Configuração'!$D$51,INT(('🌱 Configuração'!$B$51+63-'🌱 Configuração'!$C$51)/7)+1=1,MOD('🌱 Configuração'!$B$51+63-'🌱 Configuração'!$C$51,7)=0),"🌿 Grow A+B início — EC 0.8",IF(AND('🌱 Configuração'!$B$51+63&gt;='🌱 Configuração'!$C$51,'🌱 Configuração'!$B$51+63&lt;'🌱 Configuração'!$D$51,INT(('🌱 Configuração'!$B$51+63-'🌱 Configuração'!$C$51)/7)+1=2,MOD('🌱 Configuração'!$B$51+63-'🌱 Configuração'!$C$51,7)=0),"🌿 Grow A+B + CalMag — EC 1.0",IF(AND('🌱 Configuração'!$B$51+63&gt;='🌱 Configuração'!$C$51,'🌱 Configuração'!$B$51+63&lt;'🌱 Configuração'!$D$51,INT(('🌱 Configuração'!$B$51+63-'🌱 Configuração'!$C$51)/7)+1=3,MOD('🌱 Configuração'!$B$51+63-'🌱 Configuração'!$C$51,7)=0),"🌿 Grow A+B + CalMag — EC 1.2",IF(AND('🌱 Configuração'!$B$51+63&gt;='🌱 Configuração'!$C$51,'🌱 Configuração'!$B$51+63&lt;'🌱 Configuração'!$D$51,INT(('🌱 Configuração'!$B$51+63-'🌱 Configuração'!$C$51)/7)+1=4,MOD('🌱 Configuração'!$B$51+63-'🌱 Configuração'!$C$51,7)=0),"🌿 Grow A+B + Enzimas — EC 1.4",IF(AND('🌱 Configuração'!$B$51+63&gt;='🌱 Configuração'!$C$51,'🌱 Configuração'!$B$51+63&lt;'🌱 Configuração'!$D$51,INT(('🌱 Configuração'!$B$51+63-'🌱 Configuração'!$C$51)/7)+1=5,MOD('🌱 Configuração'!$B$51+63-'🌱 Configuração'!$C$51,7)=0),"🌿 Grow A+B + Biorrizas — EC 1.5",IF(AND('🌱 Configuração'!$B$51+63&gt;='🌱 Configuração'!$C$51,'🌱 Configuração'!$B$51+63&lt;'🌱 Configuração'!$D$51,INT(('🌱 Configuração'!$B$51+63-'🌱 Configuração'!$C$51)/7)+1=6,MOD('🌱 Configuração'!$B$51+63-'🌱 Configuração'!$C$51,7)=0),"🌿 Transição Bloom — EC 1.4",IF(AND('🌱 Configuração'!$B$51+63&gt;='🌱 Configuração'!$C$51,'🌱 Configuração'!$B$51+63&lt;'🌱 Configuração'!$D$51,INT(('🌱 Configuração'!$B$51+63-'🌱 Configuração'!$C$51)/7)+1=7,MOD('🌱 Configuração'!$B$51+63-'🌱 Configuração'!$C$51,7)=0),"🌿 Bloom A+B transição — EC 1.4",IF(AND('🌱 Configuração'!$B$51+63&gt;='🌱 Configuração'!$C$51,'🌱 Configuração'!$B$51+63&lt;'🌱 Configuração'!$D$51,INT(('🌱 Configuração'!$B$51+63-'🌱 Configuração'!$C$51)/7)+1=8,MOD('🌱 Configuração'!$B$51+63-'🌱 Configuração'!$C$51,7)=0),"🌿 Bloom A+B — EC 1.4",IF(AND('🌱 Configuração'!$B$51+63&gt;='🌱 Configuração'!$D$51,'🌱 Configuração'!$B$51+63&lt;'🌱 Configuração'!$E$51,INT(('🌱 Configuração'!$B$51+63-'🌱 Configuração'!$D$51)/7)+1=1,MOD('🌱 Configuração'!$B$51+63-'🌱 Configuração'!$D$51,7)=0),"🌸 Bloom A+B — EC 1.6",IF(AND('🌱 Configuração'!$B$51+63&gt;='🌱 Configuração'!$D$51,'🌱 Configuração'!$B$51+63&lt;'🌱 Configuração'!$E$51,INT(('🌱 Configuração'!$B$51+63-'🌱 Configuração'!$D$51)/7)+1=2,MOD('🌱 Configuração'!$B$51+63-'🌱 Configuração'!$D$51,7)=0),"🌸 Bloom + PK 13/14 início",IF(AND('🌱 Configuração'!$B$51+63&gt;='🌱 Configuração'!$D$51,'🌱 Configuração'!$B$51+63&lt;'🌱 Configuração'!$E$51,INT(('🌱 Configuração'!$B$51+63-'🌱 Configuração'!$D$51)/7)+1=3,MOD('🌱 Configuração'!$B$51+63-'🌱 Configuração'!$D$51,7)=0),"🌸 Bloom + PK + CalMag — EC 1.8",IF(AND('🌱 Configuração'!$B$51+63&gt;='🌱 Configuração'!$D$51,'🌱 Configuração'!$B$51+63&lt;'🌱 Configuração'!$E$51,INT(('🌱 Configuração'!$B$51+63-'🌱 Configuração'!$D$51)/7)+1=4,MOD('🌱 Configuração'!$B$51+63-'🌱 Configuração'!$D$51,7)=0),"🌸 Bloom + PK + Boost Floral — EC 2.0",IF(AND('🌱 Configuração'!$B$51+63&gt;='🌱 Configuração'!$D$51,'🌱 Configuração'!$B$51+63&lt;'🌱 Configuração'!$E$51,INT(('🌱 Configuração'!$B$51+63-'🌱 Configuração'!$D$51)/7)+1=5,MOD('🌱 Configuração'!$B$51+63-'🌱 Configuração'!$D$51,7)=0),"🌸 Bloom + Boost + Amino",IF(AND('🌱 Configuração'!$B$51+63&gt;='🌱 Configuração'!$D$51,'🌱 Configuração'!$B$51+63&lt;'🌱 Configuração'!$E$51,INT(('🌱 Configuração'!$B$51+63-'🌱 Configuração'!$D$51)/7)+1=6,MOD('🌱 Configuração'!$B$51+63-'🌱 Configuração'!$D$51,7)=0),"🌸 Bloom + Enzimas + Amino",IF(AND('🌱 Configuração'!$B$51+63&gt;='🌱 Configuração'!$D$51,'🌱 Configuração'!$B$51+63&lt;'🌱 Configuração'!$E$51,INT(('🌱 Configuração'!$B$51+63-'🌱 Configuração'!$D$51)/7)+1=7,MOD('🌱 Configuração'!$B$51+63-'🌱 Configuração'!$D$51,7)=0),"🌸 Reduzir N — Bloom puro — EC 1.6",IF(AND('🌱 Configuração'!$B$51+63&gt;='🌱 Configuração'!$D$51,'🌱 Configuração'!$B$51+63&lt;'🌱 Configuração'!$E$51,INT(('🌱 Configuração'!$B$51+63-'🌱 Configuração'!$D$51)/7)+1=8,MOD('🌱 Configuração'!$B$51+63-'🌱 Configuração'!$D$51,7)=0),"🌸 Bloom puro — EC 1.4  (pré-flush)",IF(AND('🌱 Configuração'!$B$51+63&gt;='🌱 Configuração'!$D$51,'🌱 Configuração'!$B$51+63&lt;'🌱 Configuração'!$E$51,INT(('🌱 Configuração'!$B$51+63-'🌱 Configuração'!$D$51)/7)+1=9,MOD('🌱 Configuração'!$B$51+63-'🌱 Configuração'!$D$51,7)=0),"🌸 Último Bloom — EC 0.8",IF(AND('🌱 Configuração'!$B$51+63&gt;='🌱 Configuração'!$E$51,INT(('🌱 Configuração'!$B$51+63-'🌱 Configuração'!$E$51)/7)+1=1,MOD('🌱 Configuração'!$B$51+63-'🌱 Configuração'!$E$51,7)=0),"🚿 Água pura + Enzimas (EC &lt; 0.3)",IF(AND('🌱 Configuração'!$B$51+63&gt;='🌱 Configuração'!$E$51,INT(('🌱 Configuração'!$B$51+63-'🌱 Configuração'!$E$51)/7)+1=2,MOD('🌱 Configuração'!$B$51+63-'🌱 Configuração'!$E$51,7)=0),"🚿 Água pura (EC &lt; 0.2)",""))))))))))))))))))))))</f>
        <v>🌸 Bloom + PK 13/14 início</v>
      </c>
      <c r="G69" s="30" t="str">
        <f>IF(64&gt;'🌱 Configuração'!$F$50,"",IF(AND('🌱 Configuração'!$B$51+63&lt;'🌱 Configuração'!$C$51,INT((64-1)/7)+1=1,MOD(64-1,7)=0),"🐛 Nim 2mL/L foliar — preventivo",IF(AND('🌱 Configuração'!$B$51+63&lt;'🌱 Configuração'!$C$51,INT((64-1)/7)+1=2,MOD(64-1,7)=0),"🐛 Beauveria bassiana foliar + solo",IF(AND('🌱 Configuração'!$B$51+63&gt;='🌱 Configuração'!$C$51,'🌱 Configuração'!$B$51+63&lt;'🌱 Configuração'!$D$51,INT(('🌱 Configuração'!$B$51+63-'🌱 Configuração'!$C$51)/7)+1=1,MOD('🌱 Configuração'!$B$51+63-'🌱 Configuração'!$C$51,7)=0),"🐛 Nim 2mL/L foliar",IF(AND('🌱 Configuração'!$B$51+63&gt;='🌱 Configuração'!$C$51,'🌱 Configuração'!$B$51+63&lt;'🌱 Configuração'!$D$51,INT(('🌱 Configuração'!$B$51+63-'🌱 Configuração'!$C$51)/7)+1=2,MOD('🌱 Configuração'!$B$51+63-'🌱 Configuração'!$C$51,7)=0),"🐛 Beauveria bassiana foliar",IF(AND('🌱 Configuração'!$B$51+63&gt;='🌱 Configuração'!$C$51,'🌱 Configuração'!$B$51+63&lt;'🌱 Configuração'!$D$51,INT(('🌱 Configuração'!$B$51+63-'🌱 Configuração'!$C$51)/7)+1=3,MOD('🌱 Configuração'!$B$51+63-'🌱 Configuração'!$C$51,7)=0),"🐛 Nim + Calda Sulfocálcica 1%",IF(AND('🌱 Configuração'!$B$51+63&gt;='🌱 Configuração'!$C$51,'🌱 Configuração'!$B$51+63&lt;'🌱 Configuração'!$D$51,INT(('🌱 Configuração'!$B$51+63-'🌱 Configuração'!$C$51)/7)+1=4,MOD('🌱 Configuração'!$B$51+63-'🌱 Configuração'!$C$51,7)=0),"🐛 Trichoderma solo + Beauveria",IF(AND('🌱 Configuração'!$B$51+63&gt;='🌱 Configuração'!$C$51,'🌱 Configuração'!$B$51+63&lt;'🌱 Configuração'!$D$51,INT(('🌱 Configuração'!$B$51+63-'🌱 Configuração'!$C$51)/7)+1=5,MOD('🌱 Configuração'!$B$51+63-'🌱 Configuração'!$C$51,7)=0),"🐛 Calda Bordalesa 0.5% foliar",IF(AND('🌱 Configuração'!$B$51+63&gt;='🌱 Configuração'!$C$51,'🌱 Configuração'!$B$51+63&lt;'🌱 Configuração'!$D$51,INT(('🌱 Configuração'!$B$51+63-'🌱 Configuração'!$C$51)/7)+1=6,MOD('🌱 Configuração'!$B$51+63-'🌱 Configuração'!$C$51,7)=0),"🐛 Nim 2mL/L — ÚLTIMA foliar",IF(AND('🌱 Configuração'!$B$51+63&gt;='🌱 Configuração'!$D$51,'🌱 Configuração'!$B$51+63&lt;'🌱 Configuração'!$E$51,INT(('🌱 Configuração'!$B$51+63-'🌱 Configuração'!$D$51)/7)+1=1,MOD('🌱 Configuração'!$B$51+63-'🌱 Configuração'!$D$51,7)=0),"🐛 Beauveria bassiana solo (sem foliar)",IF(AND('🌱 Configuração'!$B$51+63&gt;='🌱 Configuração'!$D$51,'🌱 Configuração'!$B$51+63&lt;'🌱 Configuração'!$E$51,INT(('🌱 Configuração'!$B$51+63-'🌱 Configuração'!$D$51)/7)+1=2,MOD('🌱 Configuração'!$B$51+63-'🌱 Configuração'!$D$51,7)=0),"🐛 Trichoderma solo",IF(AND('🌱 Configuração'!$B$51+63&gt;='🌱 Configuração'!$D$51,'🌱 Configuração'!$B$51+63&lt;'🌱 Configuração'!$E$51,INT(('🌱 Configuração'!$B$51+63-'🌱 Configuração'!$D$51)/7)+1=3,MOD('🌱 Configuração'!$B$51+63-'🌱 Configuração'!$D$51,7)=0),"🐛 Beauveria bassiana solo",IF(AND('🌱 Configuração'!$B$51+63&gt;='🌱 Configuração'!$D$51,'🌱 Configuração'!$B$51+63&lt;'🌱 Configuração'!$E$51,INT(('🌱 Configuração'!$B$51+63-'🌱 Configuração'!$D$51)/7)+1=4,MOD('🌱 Configuração'!$B$51+63-'🌱 Configuração'!$D$51,7)=0),"🐛 Trichoderma solo",IF(AND('🌱 Configuração'!$B$51+63&gt;='🌱 Configuração'!$E$51,INT(('🌱 Configuração'!$B$51+63-'🌱 Configuração'!$E$51)/7)+1=1,MOD('🌱 Configuração'!$B$51+63-'🌱 Configuração'!$E$51,7)=0),"🐛 Inspeção final — sem aplicação",""))))))))))))))</f>
        <v>🐛 Trichoderma solo</v>
      </c>
      <c r="H69" s="22" t="str">
        <f>IF(64&gt;'🌱 Configuração'!$F$50,"",IF('🌱 Configuração'!$B$51+63='🌱 Configuração'!$C$51,"🌿 INÍCIO VEGA — ajustar espaço, luz 18h/dia — EC 0.8",IF('🌱 Configuração'!$B$51+63='🌱 Configuração'!$D$51,"🌸 INÍCIO FLORAÇÃO — mudar para 12h/12h — 🔴 atenção ao fotoperíodo",IF('🌱 Configuração'!$B$51+63='🌱 Configuração'!$E$51,"🚿 INÍCIO FLUSH — PARAR nutrição, somente água pura",IF('🌱 Configuração'!$B$51+63='🌱 Configuração'!$F$51-1,"🔬 Véspera da colheita — analisar tricomas âmbar",IF('🌱 Configuração'!$B$51+63='🌱 Configuração'!$F$51,"✂️ COLHEITA! Parabéns! 🎉",""))))))</f>
        <v/>
      </c>
    </row>
    <row r="70" spans="2:8" ht="18.75" customHeight="1" x14ac:dyDescent="0.3">
      <c r="B70" s="25">
        <f>IF(65&lt;='🌱 Configuração'!$F$50,65,"")</f>
        <v>65</v>
      </c>
      <c r="C70" s="26">
        <f>IF(65&lt;='🌱 Configuração'!$F$50,'🌱 Configuração'!$B$51+64,"")</f>
        <v>46087</v>
      </c>
      <c r="D70" s="27" t="str">
        <f>IF(65&gt;'🌱 Configuração'!$F$50,"",IF('🌱 Configuração'!$B$51+64&lt;'🌱 Configuração'!$C$51,"🌱 Clone",IF('🌱 Configuração'!$B$51+64&lt;'🌱 Configuração'!$D$51,"🌿 Vegetativo",IF('🌱 Configuração'!$B$51+64&lt;'🌱 Configuração'!$E$51,"🌸 Floração","🚿 Flush"))))</f>
        <v>🌸 Floração</v>
      </c>
      <c r="E70" s="28" t="str">
        <f>IF(65&gt;'🌱 Configuração'!$F$50,"",IF('🌱 Configuração'!$B$51+64&lt;'🌱 Configuração'!$C$51,"Clone S"&amp;INT((65-1)/7)+1,IF('🌱 Configuração'!$B$51+64&lt;'🌱 Configuração'!$D$51,"Vega S"&amp;INT(('🌱 Configuração'!$B$51+64-'🌱 Configuração'!$C$51)/7)+1,IF('🌱 Configuração'!$B$51+64&lt;'🌱 Configuração'!$E$51,"Flora S"&amp;INT(('🌱 Configuração'!$B$51+64-'🌱 Configuração'!$D$51)/7)+1,"Flush S"&amp;INT(('🌱 Configuração'!$B$51+64-'🌱 Configuração'!$E$51)/7)+1))))</f>
        <v>Flora S2</v>
      </c>
      <c r="F70" s="29" t="str">
        <f>IF(65&gt;'🌱 Configuração'!$F$50,"",IF(AND('🌱 Configuração'!$B$51+64&lt;'🌱 Configuração'!$C$51,INT((65-1)/7)+1=1,MOD(65-1,7)=0),"🌱 Enraizador (0.5 mL/L)",IF(AND('🌱 Configuração'!$B$51+64&lt;'🌱 Configuração'!$C$51,INT((65-1)/7)+1=2,MOD(65-1,7)=0),"🌱 Enraizador + Vitamina B1",IF(AND('🌱 Configuração'!$B$51+64&gt;='🌱 Configuração'!$C$51,'🌱 Configuração'!$B$51+64&lt;'🌱 Configuração'!$D$51,INT(('🌱 Configuração'!$B$51+64-'🌱 Configuração'!$C$51)/7)+1=1,MOD('🌱 Configuração'!$B$51+64-'🌱 Configuração'!$C$51,7)=0),"🌿 Grow A+B início — EC 0.8",IF(AND('🌱 Configuração'!$B$51+64&gt;='🌱 Configuração'!$C$51,'🌱 Configuração'!$B$51+64&lt;'🌱 Configuração'!$D$51,INT(('🌱 Configuração'!$B$51+64-'🌱 Configuração'!$C$51)/7)+1=2,MOD('🌱 Configuração'!$B$51+64-'🌱 Configuração'!$C$51,7)=0),"🌿 Grow A+B + CalMag — EC 1.0",IF(AND('🌱 Configuração'!$B$51+64&gt;='🌱 Configuração'!$C$51,'🌱 Configuração'!$B$51+64&lt;'🌱 Configuração'!$D$51,INT(('🌱 Configuração'!$B$51+64-'🌱 Configuração'!$C$51)/7)+1=3,MOD('🌱 Configuração'!$B$51+64-'🌱 Configuração'!$C$51,7)=0),"🌿 Grow A+B + CalMag — EC 1.2",IF(AND('🌱 Configuração'!$B$51+64&gt;='🌱 Configuração'!$C$51,'🌱 Configuração'!$B$51+64&lt;'🌱 Configuração'!$D$51,INT(('🌱 Configuração'!$B$51+64-'🌱 Configuração'!$C$51)/7)+1=4,MOD('🌱 Configuração'!$B$51+64-'🌱 Configuração'!$C$51,7)=0),"🌿 Grow A+B + Enzimas — EC 1.4",IF(AND('🌱 Configuração'!$B$51+64&gt;='🌱 Configuração'!$C$51,'🌱 Configuração'!$B$51+64&lt;'🌱 Configuração'!$D$51,INT(('🌱 Configuração'!$B$51+64-'🌱 Configuração'!$C$51)/7)+1=5,MOD('🌱 Configuração'!$B$51+64-'🌱 Configuração'!$C$51,7)=0),"🌿 Grow A+B + Biorrizas — EC 1.5",IF(AND('🌱 Configuração'!$B$51+64&gt;='🌱 Configuração'!$C$51,'🌱 Configuração'!$B$51+64&lt;'🌱 Configuração'!$D$51,INT(('🌱 Configuração'!$B$51+64-'🌱 Configuração'!$C$51)/7)+1=6,MOD('🌱 Configuração'!$B$51+64-'🌱 Configuração'!$C$51,7)=0),"🌿 Transição Bloom — EC 1.4",IF(AND('🌱 Configuração'!$B$51+64&gt;='🌱 Configuração'!$C$51,'🌱 Configuração'!$B$51+64&lt;'🌱 Configuração'!$D$51,INT(('🌱 Configuração'!$B$51+64-'🌱 Configuração'!$C$51)/7)+1=7,MOD('🌱 Configuração'!$B$51+64-'🌱 Configuração'!$C$51,7)=0),"🌿 Bloom A+B transição — EC 1.4",IF(AND('🌱 Configuração'!$B$51+64&gt;='🌱 Configuração'!$C$51,'🌱 Configuração'!$B$51+64&lt;'🌱 Configuração'!$D$51,INT(('🌱 Configuração'!$B$51+64-'🌱 Configuração'!$C$51)/7)+1=8,MOD('🌱 Configuração'!$B$51+64-'🌱 Configuração'!$C$51,7)=0),"🌿 Bloom A+B — EC 1.4",IF(AND('🌱 Configuração'!$B$51+64&gt;='🌱 Configuração'!$D$51,'🌱 Configuração'!$B$51+64&lt;'🌱 Configuração'!$E$51,INT(('🌱 Configuração'!$B$51+64-'🌱 Configuração'!$D$51)/7)+1=1,MOD('🌱 Configuração'!$B$51+64-'🌱 Configuração'!$D$51,7)=0),"🌸 Bloom A+B — EC 1.6",IF(AND('🌱 Configuração'!$B$51+64&gt;='🌱 Configuração'!$D$51,'🌱 Configuração'!$B$51+64&lt;'🌱 Configuração'!$E$51,INT(('🌱 Configuração'!$B$51+64-'🌱 Configuração'!$D$51)/7)+1=2,MOD('🌱 Configuração'!$B$51+64-'🌱 Configuração'!$D$51,7)=0),"🌸 Bloom + PK 13/14 início",IF(AND('🌱 Configuração'!$B$51+64&gt;='🌱 Configuração'!$D$51,'🌱 Configuração'!$B$51+64&lt;'🌱 Configuração'!$E$51,INT(('🌱 Configuração'!$B$51+64-'🌱 Configuração'!$D$51)/7)+1=3,MOD('🌱 Configuração'!$B$51+64-'🌱 Configuração'!$D$51,7)=0),"🌸 Bloom + PK + CalMag — EC 1.8",IF(AND('🌱 Configuração'!$B$51+64&gt;='🌱 Configuração'!$D$51,'🌱 Configuração'!$B$51+64&lt;'🌱 Configuração'!$E$51,INT(('🌱 Configuração'!$B$51+64-'🌱 Configuração'!$D$51)/7)+1=4,MOD('🌱 Configuração'!$B$51+64-'🌱 Configuração'!$D$51,7)=0),"🌸 Bloom + PK + Boost Floral — EC 2.0",IF(AND('🌱 Configuração'!$B$51+64&gt;='🌱 Configuração'!$D$51,'🌱 Configuração'!$B$51+64&lt;'🌱 Configuração'!$E$51,INT(('🌱 Configuração'!$B$51+64-'🌱 Configuração'!$D$51)/7)+1=5,MOD('🌱 Configuração'!$B$51+64-'🌱 Configuração'!$D$51,7)=0),"🌸 Bloom + Boost + Amino",IF(AND('🌱 Configuração'!$B$51+64&gt;='🌱 Configuração'!$D$51,'🌱 Configuração'!$B$51+64&lt;'🌱 Configuração'!$E$51,INT(('🌱 Configuração'!$B$51+64-'🌱 Configuração'!$D$51)/7)+1=6,MOD('🌱 Configuração'!$B$51+64-'🌱 Configuração'!$D$51,7)=0),"🌸 Bloom + Enzimas + Amino",IF(AND('🌱 Configuração'!$B$51+64&gt;='🌱 Configuração'!$D$51,'🌱 Configuração'!$B$51+64&lt;'🌱 Configuração'!$E$51,INT(('🌱 Configuração'!$B$51+64-'🌱 Configuração'!$D$51)/7)+1=7,MOD('🌱 Configuração'!$B$51+64-'🌱 Configuração'!$D$51,7)=0),"🌸 Reduzir N — Bloom puro — EC 1.6",IF(AND('🌱 Configuração'!$B$51+64&gt;='🌱 Configuração'!$D$51,'🌱 Configuração'!$B$51+64&lt;'🌱 Configuração'!$E$51,INT(('🌱 Configuração'!$B$51+64-'🌱 Configuração'!$D$51)/7)+1=8,MOD('🌱 Configuração'!$B$51+64-'🌱 Configuração'!$D$51,7)=0),"🌸 Bloom puro — EC 1.4  (pré-flush)",IF(AND('🌱 Configuração'!$B$51+64&gt;='🌱 Configuração'!$D$51,'🌱 Configuração'!$B$51+64&lt;'🌱 Configuração'!$E$51,INT(('🌱 Configuração'!$B$51+64-'🌱 Configuração'!$D$51)/7)+1=9,MOD('🌱 Configuração'!$B$51+64-'🌱 Configuração'!$D$51,7)=0),"🌸 Último Bloom — EC 0.8",IF(AND('🌱 Configuração'!$B$51+64&gt;='🌱 Configuração'!$E$51,INT(('🌱 Configuração'!$B$51+64-'🌱 Configuração'!$E$51)/7)+1=1,MOD('🌱 Configuração'!$B$51+64-'🌱 Configuração'!$E$51,7)=0),"🚿 Água pura + Enzimas (EC &lt; 0.3)",IF(AND('🌱 Configuração'!$B$51+64&gt;='🌱 Configuração'!$E$51,INT(('🌱 Configuração'!$B$51+64-'🌱 Configuração'!$E$51)/7)+1=2,MOD('🌱 Configuração'!$B$51+64-'🌱 Configuração'!$E$51,7)=0),"🚿 Água pura (EC &lt; 0.2)",""))))))))))))))))))))))</f>
        <v/>
      </c>
      <c r="G70" s="30" t="str">
        <f>IF(65&gt;'🌱 Configuração'!$F$50,"",IF(AND('🌱 Configuração'!$B$51+64&lt;'🌱 Configuração'!$C$51,INT((65-1)/7)+1=1,MOD(65-1,7)=0),"🐛 Nim 2mL/L foliar — preventivo",IF(AND('🌱 Configuração'!$B$51+64&lt;'🌱 Configuração'!$C$51,INT((65-1)/7)+1=2,MOD(65-1,7)=0),"🐛 Beauveria bassiana foliar + solo",IF(AND('🌱 Configuração'!$B$51+64&gt;='🌱 Configuração'!$C$51,'🌱 Configuração'!$B$51+64&lt;'🌱 Configuração'!$D$51,INT(('🌱 Configuração'!$B$51+64-'🌱 Configuração'!$C$51)/7)+1=1,MOD('🌱 Configuração'!$B$51+64-'🌱 Configuração'!$C$51,7)=0),"🐛 Nim 2mL/L foliar",IF(AND('🌱 Configuração'!$B$51+64&gt;='🌱 Configuração'!$C$51,'🌱 Configuração'!$B$51+64&lt;'🌱 Configuração'!$D$51,INT(('🌱 Configuração'!$B$51+64-'🌱 Configuração'!$C$51)/7)+1=2,MOD('🌱 Configuração'!$B$51+64-'🌱 Configuração'!$C$51,7)=0),"🐛 Beauveria bassiana foliar",IF(AND('🌱 Configuração'!$B$51+64&gt;='🌱 Configuração'!$C$51,'🌱 Configuração'!$B$51+64&lt;'🌱 Configuração'!$D$51,INT(('🌱 Configuração'!$B$51+64-'🌱 Configuração'!$C$51)/7)+1=3,MOD('🌱 Configuração'!$B$51+64-'🌱 Configuração'!$C$51,7)=0),"🐛 Nim + Calda Sulfocálcica 1%",IF(AND('🌱 Configuração'!$B$51+64&gt;='🌱 Configuração'!$C$51,'🌱 Configuração'!$B$51+64&lt;'🌱 Configuração'!$D$51,INT(('🌱 Configuração'!$B$51+64-'🌱 Configuração'!$C$51)/7)+1=4,MOD('🌱 Configuração'!$B$51+64-'🌱 Configuração'!$C$51,7)=0),"🐛 Trichoderma solo + Beauveria",IF(AND('🌱 Configuração'!$B$51+64&gt;='🌱 Configuração'!$C$51,'🌱 Configuração'!$B$51+64&lt;'🌱 Configuração'!$D$51,INT(('🌱 Configuração'!$B$51+64-'🌱 Configuração'!$C$51)/7)+1=5,MOD('🌱 Configuração'!$B$51+64-'🌱 Configuração'!$C$51,7)=0),"🐛 Calda Bordalesa 0.5% foliar",IF(AND('🌱 Configuração'!$B$51+64&gt;='🌱 Configuração'!$C$51,'🌱 Configuração'!$B$51+64&lt;'🌱 Configuração'!$D$51,INT(('🌱 Configuração'!$B$51+64-'🌱 Configuração'!$C$51)/7)+1=6,MOD('🌱 Configuração'!$B$51+64-'🌱 Configuração'!$C$51,7)=0),"🐛 Nim 2mL/L — ÚLTIMA foliar",IF(AND('🌱 Configuração'!$B$51+64&gt;='🌱 Configuração'!$D$51,'🌱 Configuração'!$B$51+64&lt;'🌱 Configuração'!$E$51,INT(('🌱 Configuração'!$B$51+64-'🌱 Configuração'!$D$51)/7)+1=1,MOD('🌱 Configuração'!$B$51+64-'🌱 Configuração'!$D$51,7)=0),"🐛 Beauveria bassiana solo (sem foliar)",IF(AND('🌱 Configuração'!$B$51+64&gt;='🌱 Configuração'!$D$51,'🌱 Configuração'!$B$51+64&lt;'🌱 Configuração'!$E$51,INT(('🌱 Configuração'!$B$51+64-'🌱 Configuração'!$D$51)/7)+1=2,MOD('🌱 Configuração'!$B$51+64-'🌱 Configuração'!$D$51,7)=0),"🐛 Trichoderma solo",IF(AND('🌱 Configuração'!$B$51+64&gt;='🌱 Configuração'!$D$51,'🌱 Configuração'!$B$51+64&lt;'🌱 Configuração'!$E$51,INT(('🌱 Configuração'!$B$51+64-'🌱 Configuração'!$D$51)/7)+1=3,MOD('🌱 Configuração'!$B$51+64-'🌱 Configuração'!$D$51,7)=0),"🐛 Beauveria bassiana solo",IF(AND('🌱 Configuração'!$B$51+64&gt;='🌱 Configuração'!$D$51,'🌱 Configuração'!$B$51+64&lt;'🌱 Configuração'!$E$51,INT(('🌱 Configuração'!$B$51+64-'🌱 Configuração'!$D$51)/7)+1=4,MOD('🌱 Configuração'!$B$51+64-'🌱 Configuração'!$D$51,7)=0),"🐛 Trichoderma solo",IF(AND('🌱 Configuração'!$B$51+64&gt;='🌱 Configuração'!$E$51,INT(('🌱 Configuração'!$B$51+64-'🌱 Configuração'!$E$51)/7)+1=1,MOD('🌱 Configuração'!$B$51+64-'🌱 Configuração'!$E$51,7)=0),"🐛 Inspeção final — sem aplicação",""))))))))))))))</f>
        <v/>
      </c>
      <c r="H70" s="22" t="str">
        <f>IF(65&gt;'🌱 Configuração'!$F$50,"",IF('🌱 Configuração'!$B$51+64='🌱 Configuração'!$C$51,"🌿 INÍCIO VEGA — ajustar espaço, luz 18h/dia — EC 0.8",IF('🌱 Configuração'!$B$51+64='🌱 Configuração'!$D$51,"🌸 INÍCIO FLORAÇÃO — mudar para 12h/12h — 🔴 atenção ao fotoperíodo",IF('🌱 Configuração'!$B$51+64='🌱 Configuração'!$E$51,"🚿 INÍCIO FLUSH — PARAR nutrição, somente água pura",IF('🌱 Configuração'!$B$51+64='🌱 Configuração'!$F$51-1,"🔬 Véspera da colheita — analisar tricomas âmbar",IF('🌱 Configuração'!$B$51+64='🌱 Configuração'!$F$51,"✂️ COLHEITA! Parabéns! 🎉",""))))))</f>
        <v/>
      </c>
    </row>
    <row r="71" spans="2:8" ht="18.75" customHeight="1" x14ac:dyDescent="0.3">
      <c r="B71" s="25">
        <f>IF(66&lt;='🌱 Configuração'!$F$50,66,"")</f>
        <v>66</v>
      </c>
      <c r="C71" s="26">
        <f>IF(66&lt;='🌱 Configuração'!$F$50,'🌱 Configuração'!$B$51+65,"")</f>
        <v>46088</v>
      </c>
      <c r="D71" s="27" t="str">
        <f>IF(66&gt;'🌱 Configuração'!$F$50,"",IF('🌱 Configuração'!$B$51+65&lt;'🌱 Configuração'!$C$51,"🌱 Clone",IF('🌱 Configuração'!$B$51+65&lt;'🌱 Configuração'!$D$51,"🌿 Vegetativo",IF('🌱 Configuração'!$B$51+65&lt;'🌱 Configuração'!$E$51,"🌸 Floração","🚿 Flush"))))</f>
        <v>🌸 Floração</v>
      </c>
      <c r="E71" s="28" t="str">
        <f>IF(66&gt;'🌱 Configuração'!$F$50,"",IF('🌱 Configuração'!$B$51+65&lt;'🌱 Configuração'!$C$51,"Clone S"&amp;INT((66-1)/7)+1,IF('🌱 Configuração'!$B$51+65&lt;'🌱 Configuração'!$D$51,"Vega S"&amp;INT(('🌱 Configuração'!$B$51+65-'🌱 Configuração'!$C$51)/7)+1,IF('🌱 Configuração'!$B$51+65&lt;'🌱 Configuração'!$E$51,"Flora S"&amp;INT(('🌱 Configuração'!$B$51+65-'🌱 Configuração'!$D$51)/7)+1,"Flush S"&amp;INT(('🌱 Configuração'!$B$51+65-'🌱 Configuração'!$E$51)/7)+1))))</f>
        <v>Flora S2</v>
      </c>
      <c r="F71" s="29" t="str">
        <f>IF(66&gt;'🌱 Configuração'!$F$50,"",IF(AND('🌱 Configuração'!$B$51+65&lt;'🌱 Configuração'!$C$51,INT((66-1)/7)+1=1,MOD(66-1,7)=0),"🌱 Enraizador (0.5 mL/L)",IF(AND('🌱 Configuração'!$B$51+65&lt;'🌱 Configuração'!$C$51,INT((66-1)/7)+1=2,MOD(66-1,7)=0),"🌱 Enraizador + Vitamina B1",IF(AND('🌱 Configuração'!$B$51+65&gt;='🌱 Configuração'!$C$51,'🌱 Configuração'!$B$51+65&lt;'🌱 Configuração'!$D$51,INT(('🌱 Configuração'!$B$51+65-'🌱 Configuração'!$C$51)/7)+1=1,MOD('🌱 Configuração'!$B$51+65-'🌱 Configuração'!$C$51,7)=0),"🌿 Grow A+B início — EC 0.8",IF(AND('🌱 Configuração'!$B$51+65&gt;='🌱 Configuração'!$C$51,'🌱 Configuração'!$B$51+65&lt;'🌱 Configuração'!$D$51,INT(('🌱 Configuração'!$B$51+65-'🌱 Configuração'!$C$51)/7)+1=2,MOD('🌱 Configuração'!$B$51+65-'🌱 Configuração'!$C$51,7)=0),"🌿 Grow A+B + CalMag — EC 1.0",IF(AND('🌱 Configuração'!$B$51+65&gt;='🌱 Configuração'!$C$51,'🌱 Configuração'!$B$51+65&lt;'🌱 Configuração'!$D$51,INT(('🌱 Configuração'!$B$51+65-'🌱 Configuração'!$C$51)/7)+1=3,MOD('🌱 Configuração'!$B$51+65-'🌱 Configuração'!$C$51,7)=0),"🌿 Grow A+B + CalMag — EC 1.2",IF(AND('🌱 Configuração'!$B$51+65&gt;='🌱 Configuração'!$C$51,'🌱 Configuração'!$B$51+65&lt;'🌱 Configuração'!$D$51,INT(('🌱 Configuração'!$B$51+65-'🌱 Configuração'!$C$51)/7)+1=4,MOD('🌱 Configuração'!$B$51+65-'🌱 Configuração'!$C$51,7)=0),"🌿 Grow A+B + Enzimas — EC 1.4",IF(AND('🌱 Configuração'!$B$51+65&gt;='🌱 Configuração'!$C$51,'🌱 Configuração'!$B$51+65&lt;'🌱 Configuração'!$D$51,INT(('🌱 Configuração'!$B$51+65-'🌱 Configuração'!$C$51)/7)+1=5,MOD('🌱 Configuração'!$B$51+65-'🌱 Configuração'!$C$51,7)=0),"🌿 Grow A+B + Biorrizas — EC 1.5",IF(AND('🌱 Configuração'!$B$51+65&gt;='🌱 Configuração'!$C$51,'🌱 Configuração'!$B$51+65&lt;'🌱 Configuração'!$D$51,INT(('🌱 Configuração'!$B$51+65-'🌱 Configuração'!$C$51)/7)+1=6,MOD('🌱 Configuração'!$B$51+65-'🌱 Configuração'!$C$51,7)=0),"🌿 Transição Bloom — EC 1.4",IF(AND('🌱 Configuração'!$B$51+65&gt;='🌱 Configuração'!$C$51,'🌱 Configuração'!$B$51+65&lt;'🌱 Configuração'!$D$51,INT(('🌱 Configuração'!$B$51+65-'🌱 Configuração'!$C$51)/7)+1=7,MOD('🌱 Configuração'!$B$51+65-'🌱 Configuração'!$C$51,7)=0),"🌿 Bloom A+B transição — EC 1.4",IF(AND('🌱 Configuração'!$B$51+65&gt;='🌱 Configuração'!$C$51,'🌱 Configuração'!$B$51+65&lt;'🌱 Configuração'!$D$51,INT(('🌱 Configuração'!$B$51+65-'🌱 Configuração'!$C$51)/7)+1=8,MOD('🌱 Configuração'!$B$51+65-'🌱 Configuração'!$C$51,7)=0),"🌿 Bloom A+B — EC 1.4",IF(AND('🌱 Configuração'!$B$51+65&gt;='🌱 Configuração'!$D$51,'🌱 Configuração'!$B$51+65&lt;'🌱 Configuração'!$E$51,INT(('🌱 Configuração'!$B$51+65-'🌱 Configuração'!$D$51)/7)+1=1,MOD('🌱 Configuração'!$B$51+65-'🌱 Configuração'!$D$51,7)=0),"🌸 Bloom A+B — EC 1.6",IF(AND('🌱 Configuração'!$B$51+65&gt;='🌱 Configuração'!$D$51,'🌱 Configuração'!$B$51+65&lt;'🌱 Configuração'!$E$51,INT(('🌱 Configuração'!$B$51+65-'🌱 Configuração'!$D$51)/7)+1=2,MOD('🌱 Configuração'!$B$51+65-'🌱 Configuração'!$D$51,7)=0),"🌸 Bloom + PK 13/14 início",IF(AND('🌱 Configuração'!$B$51+65&gt;='🌱 Configuração'!$D$51,'🌱 Configuração'!$B$51+65&lt;'🌱 Configuração'!$E$51,INT(('🌱 Configuração'!$B$51+65-'🌱 Configuração'!$D$51)/7)+1=3,MOD('🌱 Configuração'!$B$51+65-'🌱 Configuração'!$D$51,7)=0),"🌸 Bloom + PK + CalMag — EC 1.8",IF(AND('🌱 Configuração'!$B$51+65&gt;='🌱 Configuração'!$D$51,'🌱 Configuração'!$B$51+65&lt;'🌱 Configuração'!$E$51,INT(('🌱 Configuração'!$B$51+65-'🌱 Configuração'!$D$51)/7)+1=4,MOD('🌱 Configuração'!$B$51+65-'🌱 Configuração'!$D$51,7)=0),"🌸 Bloom + PK + Boost Floral — EC 2.0",IF(AND('🌱 Configuração'!$B$51+65&gt;='🌱 Configuração'!$D$51,'🌱 Configuração'!$B$51+65&lt;'🌱 Configuração'!$E$51,INT(('🌱 Configuração'!$B$51+65-'🌱 Configuração'!$D$51)/7)+1=5,MOD('🌱 Configuração'!$B$51+65-'🌱 Configuração'!$D$51,7)=0),"🌸 Bloom + Boost + Amino",IF(AND('🌱 Configuração'!$B$51+65&gt;='🌱 Configuração'!$D$51,'🌱 Configuração'!$B$51+65&lt;'🌱 Configuração'!$E$51,INT(('🌱 Configuração'!$B$51+65-'🌱 Configuração'!$D$51)/7)+1=6,MOD('🌱 Configuração'!$B$51+65-'🌱 Configuração'!$D$51,7)=0),"🌸 Bloom + Enzimas + Amino",IF(AND('🌱 Configuração'!$B$51+65&gt;='🌱 Configuração'!$D$51,'🌱 Configuração'!$B$51+65&lt;'🌱 Configuração'!$E$51,INT(('🌱 Configuração'!$B$51+65-'🌱 Configuração'!$D$51)/7)+1=7,MOD('🌱 Configuração'!$B$51+65-'🌱 Configuração'!$D$51,7)=0),"🌸 Reduzir N — Bloom puro — EC 1.6",IF(AND('🌱 Configuração'!$B$51+65&gt;='🌱 Configuração'!$D$51,'🌱 Configuração'!$B$51+65&lt;'🌱 Configuração'!$E$51,INT(('🌱 Configuração'!$B$51+65-'🌱 Configuração'!$D$51)/7)+1=8,MOD('🌱 Configuração'!$B$51+65-'🌱 Configuração'!$D$51,7)=0),"🌸 Bloom puro — EC 1.4  (pré-flush)",IF(AND('🌱 Configuração'!$B$51+65&gt;='🌱 Configuração'!$D$51,'🌱 Configuração'!$B$51+65&lt;'🌱 Configuração'!$E$51,INT(('🌱 Configuração'!$B$51+65-'🌱 Configuração'!$D$51)/7)+1=9,MOD('🌱 Configuração'!$B$51+65-'🌱 Configuração'!$D$51,7)=0),"🌸 Último Bloom — EC 0.8",IF(AND('🌱 Configuração'!$B$51+65&gt;='🌱 Configuração'!$E$51,INT(('🌱 Configuração'!$B$51+65-'🌱 Configuração'!$E$51)/7)+1=1,MOD('🌱 Configuração'!$B$51+65-'🌱 Configuração'!$E$51,7)=0),"🚿 Água pura + Enzimas (EC &lt; 0.3)",IF(AND('🌱 Configuração'!$B$51+65&gt;='🌱 Configuração'!$E$51,INT(('🌱 Configuração'!$B$51+65-'🌱 Configuração'!$E$51)/7)+1=2,MOD('🌱 Configuração'!$B$51+65-'🌱 Configuração'!$E$51,7)=0),"🚿 Água pura (EC &lt; 0.2)",""))))))))))))))))))))))</f>
        <v/>
      </c>
      <c r="G71" s="30" t="str">
        <f>IF(66&gt;'🌱 Configuração'!$F$50,"",IF(AND('🌱 Configuração'!$B$51+65&lt;'🌱 Configuração'!$C$51,INT((66-1)/7)+1=1,MOD(66-1,7)=0),"🐛 Nim 2mL/L foliar — preventivo",IF(AND('🌱 Configuração'!$B$51+65&lt;'🌱 Configuração'!$C$51,INT((66-1)/7)+1=2,MOD(66-1,7)=0),"🐛 Beauveria bassiana foliar + solo",IF(AND('🌱 Configuração'!$B$51+65&gt;='🌱 Configuração'!$C$51,'🌱 Configuração'!$B$51+65&lt;'🌱 Configuração'!$D$51,INT(('🌱 Configuração'!$B$51+65-'🌱 Configuração'!$C$51)/7)+1=1,MOD('🌱 Configuração'!$B$51+65-'🌱 Configuração'!$C$51,7)=0),"🐛 Nim 2mL/L foliar",IF(AND('🌱 Configuração'!$B$51+65&gt;='🌱 Configuração'!$C$51,'🌱 Configuração'!$B$51+65&lt;'🌱 Configuração'!$D$51,INT(('🌱 Configuração'!$B$51+65-'🌱 Configuração'!$C$51)/7)+1=2,MOD('🌱 Configuração'!$B$51+65-'🌱 Configuração'!$C$51,7)=0),"🐛 Beauveria bassiana foliar",IF(AND('🌱 Configuração'!$B$51+65&gt;='🌱 Configuração'!$C$51,'🌱 Configuração'!$B$51+65&lt;'🌱 Configuração'!$D$51,INT(('🌱 Configuração'!$B$51+65-'🌱 Configuração'!$C$51)/7)+1=3,MOD('🌱 Configuração'!$B$51+65-'🌱 Configuração'!$C$51,7)=0),"🐛 Nim + Calda Sulfocálcica 1%",IF(AND('🌱 Configuração'!$B$51+65&gt;='🌱 Configuração'!$C$51,'🌱 Configuração'!$B$51+65&lt;'🌱 Configuração'!$D$51,INT(('🌱 Configuração'!$B$51+65-'🌱 Configuração'!$C$51)/7)+1=4,MOD('🌱 Configuração'!$B$51+65-'🌱 Configuração'!$C$51,7)=0),"🐛 Trichoderma solo + Beauveria",IF(AND('🌱 Configuração'!$B$51+65&gt;='🌱 Configuração'!$C$51,'🌱 Configuração'!$B$51+65&lt;'🌱 Configuração'!$D$51,INT(('🌱 Configuração'!$B$51+65-'🌱 Configuração'!$C$51)/7)+1=5,MOD('🌱 Configuração'!$B$51+65-'🌱 Configuração'!$C$51,7)=0),"🐛 Calda Bordalesa 0.5% foliar",IF(AND('🌱 Configuração'!$B$51+65&gt;='🌱 Configuração'!$C$51,'🌱 Configuração'!$B$51+65&lt;'🌱 Configuração'!$D$51,INT(('🌱 Configuração'!$B$51+65-'🌱 Configuração'!$C$51)/7)+1=6,MOD('🌱 Configuração'!$B$51+65-'🌱 Configuração'!$C$51,7)=0),"🐛 Nim 2mL/L — ÚLTIMA foliar",IF(AND('🌱 Configuração'!$B$51+65&gt;='🌱 Configuração'!$D$51,'🌱 Configuração'!$B$51+65&lt;'🌱 Configuração'!$E$51,INT(('🌱 Configuração'!$B$51+65-'🌱 Configuração'!$D$51)/7)+1=1,MOD('🌱 Configuração'!$B$51+65-'🌱 Configuração'!$D$51,7)=0),"🐛 Beauveria bassiana solo (sem foliar)",IF(AND('🌱 Configuração'!$B$51+65&gt;='🌱 Configuração'!$D$51,'🌱 Configuração'!$B$51+65&lt;'🌱 Configuração'!$E$51,INT(('🌱 Configuração'!$B$51+65-'🌱 Configuração'!$D$51)/7)+1=2,MOD('🌱 Configuração'!$B$51+65-'🌱 Configuração'!$D$51,7)=0),"🐛 Trichoderma solo",IF(AND('🌱 Configuração'!$B$51+65&gt;='🌱 Configuração'!$D$51,'🌱 Configuração'!$B$51+65&lt;'🌱 Configuração'!$E$51,INT(('🌱 Configuração'!$B$51+65-'🌱 Configuração'!$D$51)/7)+1=3,MOD('🌱 Configuração'!$B$51+65-'🌱 Configuração'!$D$51,7)=0),"🐛 Beauveria bassiana solo",IF(AND('🌱 Configuração'!$B$51+65&gt;='🌱 Configuração'!$D$51,'🌱 Configuração'!$B$51+65&lt;'🌱 Configuração'!$E$51,INT(('🌱 Configuração'!$B$51+65-'🌱 Configuração'!$D$51)/7)+1=4,MOD('🌱 Configuração'!$B$51+65-'🌱 Configuração'!$D$51,7)=0),"🐛 Trichoderma solo",IF(AND('🌱 Configuração'!$B$51+65&gt;='🌱 Configuração'!$E$51,INT(('🌱 Configuração'!$B$51+65-'🌱 Configuração'!$E$51)/7)+1=1,MOD('🌱 Configuração'!$B$51+65-'🌱 Configuração'!$E$51,7)=0),"🐛 Inspeção final — sem aplicação",""))))))))))))))</f>
        <v/>
      </c>
      <c r="H71" s="22" t="str">
        <f>IF(66&gt;'🌱 Configuração'!$F$50,"",IF('🌱 Configuração'!$B$51+65='🌱 Configuração'!$C$51,"🌿 INÍCIO VEGA — ajustar espaço, luz 18h/dia — EC 0.8",IF('🌱 Configuração'!$B$51+65='🌱 Configuração'!$D$51,"🌸 INÍCIO FLORAÇÃO — mudar para 12h/12h — 🔴 atenção ao fotoperíodo",IF('🌱 Configuração'!$B$51+65='🌱 Configuração'!$E$51,"🚿 INÍCIO FLUSH — PARAR nutrição, somente água pura",IF('🌱 Configuração'!$B$51+65='🌱 Configuração'!$F$51-1,"🔬 Véspera da colheita — analisar tricomas âmbar",IF('🌱 Configuração'!$B$51+65='🌱 Configuração'!$F$51,"✂️ COLHEITA! Parabéns! 🎉",""))))))</f>
        <v/>
      </c>
    </row>
    <row r="72" spans="2:8" ht="18.75" customHeight="1" x14ac:dyDescent="0.3">
      <c r="B72" s="25">
        <f>IF(67&lt;='🌱 Configuração'!$F$50,67,"")</f>
        <v>67</v>
      </c>
      <c r="C72" s="26">
        <f>IF(67&lt;='🌱 Configuração'!$F$50,'🌱 Configuração'!$B$51+66,"")</f>
        <v>46089</v>
      </c>
      <c r="D72" s="27" t="str">
        <f>IF(67&gt;'🌱 Configuração'!$F$50,"",IF('🌱 Configuração'!$B$51+66&lt;'🌱 Configuração'!$C$51,"🌱 Clone",IF('🌱 Configuração'!$B$51+66&lt;'🌱 Configuração'!$D$51,"🌿 Vegetativo",IF('🌱 Configuração'!$B$51+66&lt;'🌱 Configuração'!$E$51,"🌸 Floração","🚿 Flush"))))</f>
        <v>🌸 Floração</v>
      </c>
      <c r="E72" s="28" t="str">
        <f>IF(67&gt;'🌱 Configuração'!$F$50,"",IF('🌱 Configuração'!$B$51+66&lt;'🌱 Configuração'!$C$51,"Clone S"&amp;INT((67-1)/7)+1,IF('🌱 Configuração'!$B$51+66&lt;'🌱 Configuração'!$D$51,"Vega S"&amp;INT(('🌱 Configuração'!$B$51+66-'🌱 Configuração'!$C$51)/7)+1,IF('🌱 Configuração'!$B$51+66&lt;'🌱 Configuração'!$E$51,"Flora S"&amp;INT(('🌱 Configuração'!$B$51+66-'🌱 Configuração'!$D$51)/7)+1,"Flush S"&amp;INT(('🌱 Configuração'!$B$51+66-'🌱 Configuração'!$E$51)/7)+1))))</f>
        <v>Flora S2</v>
      </c>
      <c r="F72" s="29" t="str">
        <f>IF(67&gt;'🌱 Configuração'!$F$50,"",IF(AND('🌱 Configuração'!$B$51+66&lt;'🌱 Configuração'!$C$51,INT((67-1)/7)+1=1,MOD(67-1,7)=0),"🌱 Enraizador (0.5 mL/L)",IF(AND('🌱 Configuração'!$B$51+66&lt;'🌱 Configuração'!$C$51,INT((67-1)/7)+1=2,MOD(67-1,7)=0),"🌱 Enraizador + Vitamina B1",IF(AND('🌱 Configuração'!$B$51+66&gt;='🌱 Configuração'!$C$51,'🌱 Configuração'!$B$51+66&lt;'🌱 Configuração'!$D$51,INT(('🌱 Configuração'!$B$51+66-'🌱 Configuração'!$C$51)/7)+1=1,MOD('🌱 Configuração'!$B$51+66-'🌱 Configuração'!$C$51,7)=0),"🌿 Grow A+B início — EC 0.8",IF(AND('🌱 Configuração'!$B$51+66&gt;='🌱 Configuração'!$C$51,'🌱 Configuração'!$B$51+66&lt;'🌱 Configuração'!$D$51,INT(('🌱 Configuração'!$B$51+66-'🌱 Configuração'!$C$51)/7)+1=2,MOD('🌱 Configuração'!$B$51+66-'🌱 Configuração'!$C$51,7)=0),"🌿 Grow A+B + CalMag — EC 1.0",IF(AND('🌱 Configuração'!$B$51+66&gt;='🌱 Configuração'!$C$51,'🌱 Configuração'!$B$51+66&lt;'🌱 Configuração'!$D$51,INT(('🌱 Configuração'!$B$51+66-'🌱 Configuração'!$C$51)/7)+1=3,MOD('🌱 Configuração'!$B$51+66-'🌱 Configuração'!$C$51,7)=0),"🌿 Grow A+B + CalMag — EC 1.2",IF(AND('🌱 Configuração'!$B$51+66&gt;='🌱 Configuração'!$C$51,'🌱 Configuração'!$B$51+66&lt;'🌱 Configuração'!$D$51,INT(('🌱 Configuração'!$B$51+66-'🌱 Configuração'!$C$51)/7)+1=4,MOD('🌱 Configuração'!$B$51+66-'🌱 Configuração'!$C$51,7)=0),"🌿 Grow A+B + Enzimas — EC 1.4",IF(AND('🌱 Configuração'!$B$51+66&gt;='🌱 Configuração'!$C$51,'🌱 Configuração'!$B$51+66&lt;'🌱 Configuração'!$D$51,INT(('🌱 Configuração'!$B$51+66-'🌱 Configuração'!$C$51)/7)+1=5,MOD('🌱 Configuração'!$B$51+66-'🌱 Configuração'!$C$51,7)=0),"🌿 Grow A+B + Biorrizas — EC 1.5",IF(AND('🌱 Configuração'!$B$51+66&gt;='🌱 Configuração'!$C$51,'🌱 Configuração'!$B$51+66&lt;'🌱 Configuração'!$D$51,INT(('🌱 Configuração'!$B$51+66-'🌱 Configuração'!$C$51)/7)+1=6,MOD('🌱 Configuração'!$B$51+66-'🌱 Configuração'!$C$51,7)=0),"🌿 Transição Bloom — EC 1.4",IF(AND('🌱 Configuração'!$B$51+66&gt;='🌱 Configuração'!$C$51,'🌱 Configuração'!$B$51+66&lt;'🌱 Configuração'!$D$51,INT(('🌱 Configuração'!$B$51+66-'🌱 Configuração'!$C$51)/7)+1=7,MOD('🌱 Configuração'!$B$51+66-'🌱 Configuração'!$C$51,7)=0),"🌿 Bloom A+B transição — EC 1.4",IF(AND('🌱 Configuração'!$B$51+66&gt;='🌱 Configuração'!$C$51,'🌱 Configuração'!$B$51+66&lt;'🌱 Configuração'!$D$51,INT(('🌱 Configuração'!$B$51+66-'🌱 Configuração'!$C$51)/7)+1=8,MOD('🌱 Configuração'!$B$51+66-'🌱 Configuração'!$C$51,7)=0),"🌿 Bloom A+B — EC 1.4",IF(AND('🌱 Configuração'!$B$51+66&gt;='🌱 Configuração'!$D$51,'🌱 Configuração'!$B$51+66&lt;'🌱 Configuração'!$E$51,INT(('🌱 Configuração'!$B$51+66-'🌱 Configuração'!$D$51)/7)+1=1,MOD('🌱 Configuração'!$B$51+66-'🌱 Configuração'!$D$51,7)=0),"🌸 Bloom A+B — EC 1.6",IF(AND('🌱 Configuração'!$B$51+66&gt;='🌱 Configuração'!$D$51,'🌱 Configuração'!$B$51+66&lt;'🌱 Configuração'!$E$51,INT(('🌱 Configuração'!$B$51+66-'🌱 Configuração'!$D$51)/7)+1=2,MOD('🌱 Configuração'!$B$51+66-'🌱 Configuração'!$D$51,7)=0),"🌸 Bloom + PK 13/14 início",IF(AND('🌱 Configuração'!$B$51+66&gt;='🌱 Configuração'!$D$51,'🌱 Configuração'!$B$51+66&lt;'🌱 Configuração'!$E$51,INT(('🌱 Configuração'!$B$51+66-'🌱 Configuração'!$D$51)/7)+1=3,MOD('🌱 Configuração'!$B$51+66-'🌱 Configuração'!$D$51,7)=0),"🌸 Bloom + PK + CalMag — EC 1.8",IF(AND('🌱 Configuração'!$B$51+66&gt;='🌱 Configuração'!$D$51,'🌱 Configuração'!$B$51+66&lt;'🌱 Configuração'!$E$51,INT(('🌱 Configuração'!$B$51+66-'🌱 Configuração'!$D$51)/7)+1=4,MOD('🌱 Configuração'!$B$51+66-'🌱 Configuração'!$D$51,7)=0),"🌸 Bloom + PK + Boost Floral — EC 2.0",IF(AND('🌱 Configuração'!$B$51+66&gt;='🌱 Configuração'!$D$51,'🌱 Configuração'!$B$51+66&lt;'🌱 Configuração'!$E$51,INT(('🌱 Configuração'!$B$51+66-'🌱 Configuração'!$D$51)/7)+1=5,MOD('🌱 Configuração'!$B$51+66-'🌱 Configuração'!$D$51,7)=0),"🌸 Bloom + Boost + Amino",IF(AND('🌱 Configuração'!$B$51+66&gt;='🌱 Configuração'!$D$51,'🌱 Configuração'!$B$51+66&lt;'🌱 Configuração'!$E$51,INT(('🌱 Configuração'!$B$51+66-'🌱 Configuração'!$D$51)/7)+1=6,MOD('🌱 Configuração'!$B$51+66-'🌱 Configuração'!$D$51,7)=0),"🌸 Bloom + Enzimas + Amino",IF(AND('🌱 Configuração'!$B$51+66&gt;='🌱 Configuração'!$D$51,'🌱 Configuração'!$B$51+66&lt;'🌱 Configuração'!$E$51,INT(('🌱 Configuração'!$B$51+66-'🌱 Configuração'!$D$51)/7)+1=7,MOD('🌱 Configuração'!$B$51+66-'🌱 Configuração'!$D$51,7)=0),"🌸 Reduzir N — Bloom puro — EC 1.6",IF(AND('🌱 Configuração'!$B$51+66&gt;='🌱 Configuração'!$D$51,'🌱 Configuração'!$B$51+66&lt;'🌱 Configuração'!$E$51,INT(('🌱 Configuração'!$B$51+66-'🌱 Configuração'!$D$51)/7)+1=8,MOD('🌱 Configuração'!$B$51+66-'🌱 Configuração'!$D$51,7)=0),"🌸 Bloom puro — EC 1.4  (pré-flush)",IF(AND('🌱 Configuração'!$B$51+66&gt;='🌱 Configuração'!$D$51,'🌱 Configuração'!$B$51+66&lt;'🌱 Configuração'!$E$51,INT(('🌱 Configuração'!$B$51+66-'🌱 Configuração'!$D$51)/7)+1=9,MOD('🌱 Configuração'!$B$51+66-'🌱 Configuração'!$D$51,7)=0),"🌸 Último Bloom — EC 0.8",IF(AND('🌱 Configuração'!$B$51+66&gt;='🌱 Configuração'!$E$51,INT(('🌱 Configuração'!$B$51+66-'🌱 Configuração'!$E$51)/7)+1=1,MOD('🌱 Configuração'!$B$51+66-'🌱 Configuração'!$E$51,7)=0),"🚿 Água pura + Enzimas (EC &lt; 0.3)",IF(AND('🌱 Configuração'!$B$51+66&gt;='🌱 Configuração'!$E$51,INT(('🌱 Configuração'!$B$51+66-'🌱 Configuração'!$E$51)/7)+1=2,MOD('🌱 Configuração'!$B$51+66-'🌱 Configuração'!$E$51,7)=0),"🚿 Água pura (EC &lt; 0.2)",""))))))))))))))))))))))</f>
        <v/>
      </c>
      <c r="G72" s="30" t="str">
        <f>IF(67&gt;'🌱 Configuração'!$F$50,"",IF(AND('🌱 Configuração'!$B$51+66&lt;'🌱 Configuração'!$C$51,INT((67-1)/7)+1=1,MOD(67-1,7)=0),"🐛 Nim 2mL/L foliar — preventivo",IF(AND('🌱 Configuração'!$B$51+66&lt;'🌱 Configuração'!$C$51,INT((67-1)/7)+1=2,MOD(67-1,7)=0),"🐛 Beauveria bassiana foliar + solo",IF(AND('🌱 Configuração'!$B$51+66&gt;='🌱 Configuração'!$C$51,'🌱 Configuração'!$B$51+66&lt;'🌱 Configuração'!$D$51,INT(('🌱 Configuração'!$B$51+66-'🌱 Configuração'!$C$51)/7)+1=1,MOD('🌱 Configuração'!$B$51+66-'🌱 Configuração'!$C$51,7)=0),"🐛 Nim 2mL/L foliar",IF(AND('🌱 Configuração'!$B$51+66&gt;='🌱 Configuração'!$C$51,'🌱 Configuração'!$B$51+66&lt;'🌱 Configuração'!$D$51,INT(('🌱 Configuração'!$B$51+66-'🌱 Configuração'!$C$51)/7)+1=2,MOD('🌱 Configuração'!$B$51+66-'🌱 Configuração'!$C$51,7)=0),"🐛 Beauveria bassiana foliar",IF(AND('🌱 Configuração'!$B$51+66&gt;='🌱 Configuração'!$C$51,'🌱 Configuração'!$B$51+66&lt;'🌱 Configuração'!$D$51,INT(('🌱 Configuração'!$B$51+66-'🌱 Configuração'!$C$51)/7)+1=3,MOD('🌱 Configuração'!$B$51+66-'🌱 Configuração'!$C$51,7)=0),"🐛 Nim + Calda Sulfocálcica 1%",IF(AND('🌱 Configuração'!$B$51+66&gt;='🌱 Configuração'!$C$51,'🌱 Configuração'!$B$51+66&lt;'🌱 Configuração'!$D$51,INT(('🌱 Configuração'!$B$51+66-'🌱 Configuração'!$C$51)/7)+1=4,MOD('🌱 Configuração'!$B$51+66-'🌱 Configuração'!$C$51,7)=0),"🐛 Trichoderma solo + Beauveria",IF(AND('🌱 Configuração'!$B$51+66&gt;='🌱 Configuração'!$C$51,'🌱 Configuração'!$B$51+66&lt;'🌱 Configuração'!$D$51,INT(('🌱 Configuração'!$B$51+66-'🌱 Configuração'!$C$51)/7)+1=5,MOD('🌱 Configuração'!$B$51+66-'🌱 Configuração'!$C$51,7)=0),"🐛 Calda Bordalesa 0.5% foliar",IF(AND('🌱 Configuração'!$B$51+66&gt;='🌱 Configuração'!$C$51,'🌱 Configuração'!$B$51+66&lt;'🌱 Configuração'!$D$51,INT(('🌱 Configuração'!$B$51+66-'🌱 Configuração'!$C$51)/7)+1=6,MOD('🌱 Configuração'!$B$51+66-'🌱 Configuração'!$C$51,7)=0),"🐛 Nim 2mL/L — ÚLTIMA foliar",IF(AND('🌱 Configuração'!$B$51+66&gt;='🌱 Configuração'!$D$51,'🌱 Configuração'!$B$51+66&lt;'🌱 Configuração'!$E$51,INT(('🌱 Configuração'!$B$51+66-'🌱 Configuração'!$D$51)/7)+1=1,MOD('🌱 Configuração'!$B$51+66-'🌱 Configuração'!$D$51,7)=0),"🐛 Beauveria bassiana solo (sem foliar)",IF(AND('🌱 Configuração'!$B$51+66&gt;='🌱 Configuração'!$D$51,'🌱 Configuração'!$B$51+66&lt;'🌱 Configuração'!$E$51,INT(('🌱 Configuração'!$B$51+66-'🌱 Configuração'!$D$51)/7)+1=2,MOD('🌱 Configuração'!$B$51+66-'🌱 Configuração'!$D$51,7)=0),"🐛 Trichoderma solo",IF(AND('🌱 Configuração'!$B$51+66&gt;='🌱 Configuração'!$D$51,'🌱 Configuração'!$B$51+66&lt;'🌱 Configuração'!$E$51,INT(('🌱 Configuração'!$B$51+66-'🌱 Configuração'!$D$51)/7)+1=3,MOD('🌱 Configuração'!$B$51+66-'🌱 Configuração'!$D$51,7)=0),"🐛 Beauveria bassiana solo",IF(AND('🌱 Configuração'!$B$51+66&gt;='🌱 Configuração'!$D$51,'🌱 Configuração'!$B$51+66&lt;'🌱 Configuração'!$E$51,INT(('🌱 Configuração'!$B$51+66-'🌱 Configuração'!$D$51)/7)+1=4,MOD('🌱 Configuração'!$B$51+66-'🌱 Configuração'!$D$51,7)=0),"🐛 Trichoderma solo",IF(AND('🌱 Configuração'!$B$51+66&gt;='🌱 Configuração'!$E$51,INT(('🌱 Configuração'!$B$51+66-'🌱 Configuração'!$E$51)/7)+1=1,MOD('🌱 Configuração'!$B$51+66-'🌱 Configuração'!$E$51,7)=0),"🐛 Inspeção final — sem aplicação",""))))))))))))))</f>
        <v/>
      </c>
      <c r="H72" s="22" t="str">
        <f>IF(67&gt;'🌱 Configuração'!$F$50,"",IF('🌱 Configuração'!$B$51+66='🌱 Configuração'!$C$51,"🌿 INÍCIO VEGA — ajustar espaço, luz 18h/dia — EC 0.8",IF('🌱 Configuração'!$B$51+66='🌱 Configuração'!$D$51,"🌸 INÍCIO FLORAÇÃO — mudar para 12h/12h — 🔴 atenção ao fotoperíodo",IF('🌱 Configuração'!$B$51+66='🌱 Configuração'!$E$51,"🚿 INÍCIO FLUSH — PARAR nutrição, somente água pura",IF('🌱 Configuração'!$B$51+66='🌱 Configuração'!$F$51-1,"🔬 Véspera da colheita — analisar tricomas âmbar",IF('🌱 Configuração'!$B$51+66='🌱 Configuração'!$F$51,"✂️ COLHEITA! Parabéns! 🎉",""))))))</f>
        <v/>
      </c>
    </row>
    <row r="73" spans="2:8" ht="18.75" customHeight="1" x14ac:dyDescent="0.3">
      <c r="B73" s="25">
        <f>IF(68&lt;='🌱 Configuração'!$F$50,68,"")</f>
        <v>68</v>
      </c>
      <c r="C73" s="26">
        <f>IF(68&lt;='🌱 Configuração'!$F$50,'🌱 Configuração'!$B$51+67,"")</f>
        <v>46090</v>
      </c>
      <c r="D73" s="27" t="str">
        <f>IF(68&gt;'🌱 Configuração'!$F$50,"",IF('🌱 Configuração'!$B$51+67&lt;'🌱 Configuração'!$C$51,"🌱 Clone",IF('🌱 Configuração'!$B$51+67&lt;'🌱 Configuração'!$D$51,"🌿 Vegetativo",IF('🌱 Configuração'!$B$51+67&lt;'🌱 Configuração'!$E$51,"🌸 Floração","🚿 Flush"))))</f>
        <v>🌸 Floração</v>
      </c>
      <c r="E73" s="28" t="str">
        <f>IF(68&gt;'🌱 Configuração'!$F$50,"",IF('🌱 Configuração'!$B$51+67&lt;'🌱 Configuração'!$C$51,"Clone S"&amp;INT((68-1)/7)+1,IF('🌱 Configuração'!$B$51+67&lt;'🌱 Configuração'!$D$51,"Vega S"&amp;INT(('🌱 Configuração'!$B$51+67-'🌱 Configuração'!$C$51)/7)+1,IF('🌱 Configuração'!$B$51+67&lt;'🌱 Configuração'!$E$51,"Flora S"&amp;INT(('🌱 Configuração'!$B$51+67-'🌱 Configuração'!$D$51)/7)+1,"Flush S"&amp;INT(('🌱 Configuração'!$B$51+67-'🌱 Configuração'!$E$51)/7)+1))))</f>
        <v>Flora S2</v>
      </c>
      <c r="F73" s="29" t="str">
        <f>IF(68&gt;'🌱 Configuração'!$F$50,"",IF(AND('🌱 Configuração'!$B$51+67&lt;'🌱 Configuração'!$C$51,INT((68-1)/7)+1=1,MOD(68-1,7)=0),"🌱 Enraizador (0.5 mL/L)",IF(AND('🌱 Configuração'!$B$51+67&lt;'🌱 Configuração'!$C$51,INT((68-1)/7)+1=2,MOD(68-1,7)=0),"🌱 Enraizador + Vitamina B1",IF(AND('🌱 Configuração'!$B$51+67&gt;='🌱 Configuração'!$C$51,'🌱 Configuração'!$B$51+67&lt;'🌱 Configuração'!$D$51,INT(('🌱 Configuração'!$B$51+67-'🌱 Configuração'!$C$51)/7)+1=1,MOD('🌱 Configuração'!$B$51+67-'🌱 Configuração'!$C$51,7)=0),"🌿 Grow A+B início — EC 0.8",IF(AND('🌱 Configuração'!$B$51+67&gt;='🌱 Configuração'!$C$51,'🌱 Configuração'!$B$51+67&lt;'🌱 Configuração'!$D$51,INT(('🌱 Configuração'!$B$51+67-'🌱 Configuração'!$C$51)/7)+1=2,MOD('🌱 Configuração'!$B$51+67-'🌱 Configuração'!$C$51,7)=0),"🌿 Grow A+B + CalMag — EC 1.0",IF(AND('🌱 Configuração'!$B$51+67&gt;='🌱 Configuração'!$C$51,'🌱 Configuração'!$B$51+67&lt;'🌱 Configuração'!$D$51,INT(('🌱 Configuração'!$B$51+67-'🌱 Configuração'!$C$51)/7)+1=3,MOD('🌱 Configuração'!$B$51+67-'🌱 Configuração'!$C$51,7)=0),"🌿 Grow A+B + CalMag — EC 1.2",IF(AND('🌱 Configuração'!$B$51+67&gt;='🌱 Configuração'!$C$51,'🌱 Configuração'!$B$51+67&lt;'🌱 Configuração'!$D$51,INT(('🌱 Configuração'!$B$51+67-'🌱 Configuração'!$C$51)/7)+1=4,MOD('🌱 Configuração'!$B$51+67-'🌱 Configuração'!$C$51,7)=0),"🌿 Grow A+B + Enzimas — EC 1.4",IF(AND('🌱 Configuração'!$B$51+67&gt;='🌱 Configuração'!$C$51,'🌱 Configuração'!$B$51+67&lt;'🌱 Configuração'!$D$51,INT(('🌱 Configuração'!$B$51+67-'🌱 Configuração'!$C$51)/7)+1=5,MOD('🌱 Configuração'!$B$51+67-'🌱 Configuração'!$C$51,7)=0),"🌿 Grow A+B + Biorrizas — EC 1.5",IF(AND('🌱 Configuração'!$B$51+67&gt;='🌱 Configuração'!$C$51,'🌱 Configuração'!$B$51+67&lt;'🌱 Configuração'!$D$51,INT(('🌱 Configuração'!$B$51+67-'🌱 Configuração'!$C$51)/7)+1=6,MOD('🌱 Configuração'!$B$51+67-'🌱 Configuração'!$C$51,7)=0),"🌿 Transição Bloom — EC 1.4",IF(AND('🌱 Configuração'!$B$51+67&gt;='🌱 Configuração'!$C$51,'🌱 Configuração'!$B$51+67&lt;'🌱 Configuração'!$D$51,INT(('🌱 Configuração'!$B$51+67-'🌱 Configuração'!$C$51)/7)+1=7,MOD('🌱 Configuração'!$B$51+67-'🌱 Configuração'!$C$51,7)=0),"🌿 Bloom A+B transição — EC 1.4",IF(AND('🌱 Configuração'!$B$51+67&gt;='🌱 Configuração'!$C$51,'🌱 Configuração'!$B$51+67&lt;'🌱 Configuração'!$D$51,INT(('🌱 Configuração'!$B$51+67-'🌱 Configuração'!$C$51)/7)+1=8,MOD('🌱 Configuração'!$B$51+67-'🌱 Configuração'!$C$51,7)=0),"🌿 Bloom A+B — EC 1.4",IF(AND('🌱 Configuração'!$B$51+67&gt;='🌱 Configuração'!$D$51,'🌱 Configuração'!$B$51+67&lt;'🌱 Configuração'!$E$51,INT(('🌱 Configuração'!$B$51+67-'🌱 Configuração'!$D$51)/7)+1=1,MOD('🌱 Configuração'!$B$51+67-'🌱 Configuração'!$D$51,7)=0),"🌸 Bloom A+B — EC 1.6",IF(AND('🌱 Configuração'!$B$51+67&gt;='🌱 Configuração'!$D$51,'🌱 Configuração'!$B$51+67&lt;'🌱 Configuração'!$E$51,INT(('🌱 Configuração'!$B$51+67-'🌱 Configuração'!$D$51)/7)+1=2,MOD('🌱 Configuração'!$B$51+67-'🌱 Configuração'!$D$51,7)=0),"🌸 Bloom + PK 13/14 início",IF(AND('🌱 Configuração'!$B$51+67&gt;='🌱 Configuração'!$D$51,'🌱 Configuração'!$B$51+67&lt;'🌱 Configuração'!$E$51,INT(('🌱 Configuração'!$B$51+67-'🌱 Configuração'!$D$51)/7)+1=3,MOD('🌱 Configuração'!$B$51+67-'🌱 Configuração'!$D$51,7)=0),"🌸 Bloom + PK + CalMag — EC 1.8",IF(AND('🌱 Configuração'!$B$51+67&gt;='🌱 Configuração'!$D$51,'🌱 Configuração'!$B$51+67&lt;'🌱 Configuração'!$E$51,INT(('🌱 Configuração'!$B$51+67-'🌱 Configuração'!$D$51)/7)+1=4,MOD('🌱 Configuração'!$B$51+67-'🌱 Configuração'!$D$51,7)=0),"🌸 Bloom + PK + Boost Floral — EC 2.0",IF(AND('🌱 Configuração'!$B$51+67&gt;='🌱 Configuração'!$D$51,'🌱 Configuração'!$B$51+67&lt;'🌱 Configuração'!$E$51,INT(('🌱 Configuração'!$B$51+67-'🌱 Configuração'!$D$51)/7)+1=5,MOD('🌱 Configuração'!$B$51+67-'🌱 Configuração'!$D$51,7)=0),"🌸 Bloom + Boost + Amino",IF(AND('🌱 Configuração'!$B$51+67&gt;='🌱 Configuração'!$D$51,'🌱 Configuração'!$B$51+67&lt;'🌱 Configuração'!$E$51,INT(('🌱 Configuração'!$B$51+67-'🌱 Configuração'!$D$51)/7)+1=6,MOD('🌱 Configuração'!$B$51+67-'🌱 Configuração'!$D$51,7)=0),"🌸 Bloom + Enzimas + Amino",IF(AND('🌱 Configuração'!$B$51+67&gt;='🌱 Configuração'!$D$51,'🌱 Configuração'!$B$51+67&lt;'🌱 Configuração'!$E$51,INT(('🌱 Configuração'!$B$51+67-'🌱 Configuração'!$D$51)/7)+1=7,MOD('🌱 Configuração'!$B$51+67-'🌱 Configuração'!$D$51,7)=0),"🌸 Reduzir N — Bloom puro — EC 1.6",IF(AND('🌱 Configuração'!$B$51+67&gt;='🌱 Configuração'!$D$51,'🌱 Configuração'!$B$51+67&lt;'🌱 Configuração'!$E$51,INT(('🌱 Configuração'!$B$51+67-'🌱 Configuração'!$D$51)/7)+1=8,MOD('🌱 Configuração'!$B$51+67-'🌱 Configuração'!$D$51,7)=0),"🌸 Bloom puro — EC 1.4  (pré-flush)",IF(AND('🌱 Configuração'!$B$51+67&gt;='🌱 Configuração'!$D$51,'🌱 Configuração'!$B$51+67&lt;'🌱 Configuração'!$E$51,INT(('🌱 Configuração'!$B$51+67-'🌱 Configuração'!$D$51)/7)+1=9,MOD('🌱 Configuração'!$B$51+67-'🌱 Configuração'!$D$51,7)=0),"🌸 Último Bloom — EC 0.8",IF(AND('🌱 Configuração'!$B$51+67&gt;='🌱 Configuração'!$E$51,INT(('🌱 Configuração'!$B$51+67-'🌱 Configuração'!$E$51)/7)+1=1,MOD('🌱 Configuração'!$B$51+67-'🌱 Configuração'!$E$51,7)=0),"🚿 Água pura + Enzimas (EC &lt; 0.3)",IF(AND('🌱 Configuração'!$B$51+67&gt;='🌱 Configuração'!$E$51,INT(('🌱 Configuração'!$B$51+67-'🌱 Configuração'!$E$51)/7)+1=2,MOD('🌱 Configuração'!$B$51+67-'🌱 Configuração'!$E$51,7)=0),"🚿 Água pura (EC &lt; 0.2)",""))))))))))))))))))))))</f>
        <v/>
      </c>
      <c r="G73" s="30" t="str">
        <f>IF(68&gt;'🌱 Configuração'!$F$50,"",IF(AND('🌱 Configuração'!$B$51+67&lt;'🌱 Configuração'!$C$51,INT((68-1)/7)+1=1,MOD(68-1,7)=0),"🐛 Nim 2mL/L foliar — preventivo",IF(AND('🌱 Configuração'!$B$51+67&lt;'🌱 Configuração'!$C$51,INT((68-1)/7)+1=2,MOD(68-1,7)=0),"🐛 Beauveria bassiana foliar + solo",IF(AND('🌱 Configuração'!$B$51+67&gt;='🌱 Configuração'!$C$51,'🌱 Configuração'!$B$51+67&lt;'🌱 Configuração'!$D$51,INT(('🌱 Configuração'!$B$51+67-'🌱 Configuração'!$C$51)/7)+1=1,MOD('🌱 Configuração'!$B$51+67-'🌱 Configuração'!$C$51,7)=0),"🐛 Nim 2mL/L foliar",IF(AND('🌱 Configuração'!$B$51+67&gt;='🌱 Configuração'!$C$51,'🌱 Configuração'!$B$51+67&lt;'🌱 Configuração'!$D$51,INT(('🌱 Configuração'!$B$51+67-'🌱 Configuração'!$C$51)/7)+1=2,MOD('🌱 Configuração'!$B$51+67-'🌱 Configuração'!$C$51,7)=0),"🐛 Beauveria bassiana foliar",IF(AND('🌱 Configuração'!$B$51+67&gt;='🌱 Configuração'!$C$51,'🌱 Configuração'!$B$51+67&lt;'🌱 Configuração'!$D$51,INT(('🌱 Configuração'!$B$51+67-'🌱 Configuração'!$C$51)/7)+1=3,MOD('🌱 Configuração'!$B$51+67-'🌱 Configuração'!$C$51,7)=0),"🐛 Nim + Calda Sulfocálcica 1%",IF(AND('🌱 Configuração'!$B$51+67&gt;='🌱 Configuração'!$C$51,'🌱 Configuração'!$B$51+67&lt;'🌱 Configuração'!$D$51,INT(('🌱 Configuração'!$B$51+67-'🌱 Configuração'!$C$51)/7)+1=4,MOD('🌱 Configuração'!$B$51+67-'🌱 Configuração'!$C$51,7)=0),"🐛 Trichoderma solo + Beauveria",IF(AND('🌱 Configuração'!$B$51+67&gt;='🌱 Configuração'!$C$51,'🌱 Configuração'!$B$51+67&lt;'🌱 Configuração'!$D$51,INT(('🌱 Configuração'!$B$51+67-'🌱 Configuração'!$C$51)/7)+1=5,MOD('🌱 Configuração'!$B$51+67-'🌱 Configuração'!$C$51,7)=0),"🐛 Calda Bordalesa 0.5% foliar",IF(AND('🌱 Configuração'!$B$51+67&gt;='🌱 Configuração'!$C$51,'🌱 Configuração'!$B$51+67&lt;'🌱 Configuração'!$D$51,INT(('🌱 Configuração'!$B$51+67-'🌱 Configuração'!$C$51)/7)+1=6,MOD('🌱 Configuração'!$B$51+67-'🌱 Configuração'!$C$51,7)=0),"🐛 Nim 2mL/L — ÚLTIMA foliar",IF(AND('🌱 Configuração'!$B$51+67&gt;='🌱 Configuração'!$D$51,'🌱 Configuração'!$B$51+67&lt;'🌱 Configuração'!$E$51,INT(('🌱 Configuração'!$B$51+67-'🌱 Configuração'!$D$51)/7)+1=1,MOD('🌱 Configuração'!$B$51+67-'🌱 Configuração'!$D$51,7)=0),"🐛 Beauveria bassiana solo (sem foliar)",IF(AND('🌱 Configuração'!$B$51+67&gt;='🌱 Configuração'!$D$51,'🌱 Configuração'!$B$51+67&lt;'🌱 Configuração'!$E$51,INT(('🌱 Configuração'!$B$51+67-'🌱 Configuração'!$D$51)/7)+1=2,MOD('🌱 Configuração'!$B$51+67-'🌱 Configuração'!$D$51,7)=0),"🐛 Trichoderma solo",IF(AND('🌱 Configuração'!$B$51+67&gt;='🌱 Configuração'!$D$51,'🌱 Configuração'!$B$51+67&lt;'🌱 Configuração'!$E$51,INT(('🌱 Configuração'!$B$51+67-'🌱 Configuração'!$D$51)/7)+1=3,MOD('🌱 Configuração'!$B$51+67-'🌱 Configuração'!$D$51,7)=0),"🐛 Beauveria bassiana solo",IF(AND('🌱 Configuração'!$B$51+67&gt;='🌱 Configuração'!$D$51,'🌱 Configuração'!$B$51+67&lt;'🌱 Configuração'!$E$51,INT(('🌱 Configuração'!$B$51+67-'🌱 Configuração'!$D$51)/7)+1=4,MOD('🌱 Configuração'!$B$51+67-'🌱 Configuração'!$D$51,7)=0),"🐛 Trichoderma solo",IF(AND('🌱 Configuração'!$B$51+67&gt;='🌱 Configuração'!$E$51,INT(('🌱 Configuração'!$B$51+67-'🌱 Configuração'!$E$51)/7)+1=1,MOD('🌱 Configuração'!$B$51+67-'🌱 Configuração'!$E$51,7)=0),"🐛 Inspeção final — sem aplicação",""))))))))))))))</f>
        <v/>
      </c>
      <c r="H73" s="22" t="str">
        <f>IF(68&gt;'🌱 Configuração'!$F$50,"",IF('🌱 Configuração'!$B$51+67='🌱 Configuração'!$C$51,"🌿 INÍCIO VEGA — ajustar espaço, luz 18h/dia — EC 0.8",IF('🌱 Configuração'!$B$51+67='🌱 Configuração'!$D$51,"🌸 INÍCIO FLORAÇÃO — mudar para 12h/12h — 🔴 atenção ao fotoperíodo",IF('🌱 Configuração'!$B$51+67='🌱 Configuração'!$E$51,"🚿 INÍCIO FLUSH — PARAR nutrição, somente água pura",IF('🌱 Configuração'!$B$51+67='🌱 Configuração'!$F$51-1,"🔬 Véspera da colheita — analisar tricomas âmbar",IF('🌱 Configuração'!$B$51+67='🌱 Configuração'!$F$51,"✂️ COLHEITA! Parabéns! 🎉",""))))))</f>
        <v/>
      </c>
    </row>
    <row r="74" spans="2:8" ht="18.75" customHeight="1" x14ac:dyDescent="0.3">
      <c r="B74" s="25">
        <f>IF(69&lt;='🌱 Configuração'!$F$50,69,"")</f>
        <v>69</v>
      </c>
      <c r="C74" s="26">
        <f>IF(69&lt;='🌱 Configuração'!$F$50,'🌱 Configuração'!$B$51+68,"")</f>
        <v>46091</v>
      </c>
      <c r="D74" s="27" t="str">
        <f>IF(69&gt;'🌱 Configuração'!$F$50,"",IF('🌱 Configuração'!$B$51+68&lt;'🌱 Configuração'!$C$51,"🌱 Clone",IF('🌱 Configuração'!$B$51+68&lt;'🌱 Configuração'!$D$51,"🌿 Vegetativo",IF('🌱 Configuração'!$B$51+68&lt;'🌱 Configuração'!$E$51,"🌸 Floração","🚿 Flush"))))</f>
        <v>🌸 Floração</v>
      </c>
      <c r="E74" s="28" t="str">
        <f>IF(69&gt;'🌱 Configuração'!$F$50,"",IF('🌱 Configuração'!$B$51+68&lt;'🌱 Configuração'!$C$51,"Clone S"&amp;INT((69-1)/7)+1,IF('🌱 Configuração'!$B$51+68&lt;'🌱 Configuração'!$D$51,"Vega S"&amp;INT(('🌱 Configuração'!$B$51+68-'🌱 Configuração'!$C$51)/7)+1,IF('🌱 Configuração'!$B$51+68&lt;'🌱 Configuração'!$E$51,"Flora S"&amp;INT(('🌱 Configuração'!$B$51+68-'🌱 Configuração'!$D$51)/7)+1,"Flush S"&amp;INT(('🌱 Configuração'!$B$51+68-'🌱 Configuração'!$E$51)/7)+1))))</f>
        <v>Flora S2</v>
      </c>
      <c r="F74" s="29" t="str">
        <f>IF(69&gt;'🌱 Configuração'!$F$50,"",IF(AND('🌱 Configuração'!$B$51+68&lt;'🌱 Configuração'!$C$51,INT((69-1)/7)+1=1,MOD(69-1,7)=0),"🌱 Enraizador (0.5 mL/L)",IF(AND('🌱 Configuração'!$B$51+68&lt;'🌱 Configuração'!$C$51,INT((69-1)/7)+1=2,MOD(69-1,7)=0),"🌱 Enraizador + Vitamina B1",IF(AND('🌱 Configuração'!$B$51+68&gt;='🌱 Configuração'!$C$51,'🌱 Configuração'!$B$51+68&lt;'🌱 Configuração'!$D$51,INT(('🌱 Configuração'!$B$51+68-'🌱 Configuração'!$C$51)/7)+1=1,MOD('🌱 Configuração'!$B$51+68-'🌱 Configuração'!$C$51,7)=0),"🌿 Grow A+B início — EC 0.8",IF(AND('🌱 Configuração'!$B$51+68&gt;='🌱 Configuração'!$C$51,'🌱 Configuração'!$B$51+68&lt;'🌱 Configuração'!$D$51,INT(('🌱 Configuração'!$B$51+68-'🌱 Configuração'!$C$51)/7)+1=2,MOD('🌱 Configuração'!$B$51+68-'🌱 Configuração'!$C$51,7)=0),"🌿 Grow A+B + CalMag — EC 1.0",IF(AND('🌱 Configuração'!$B$51+68&gt;='🌱 Configuração'!$C$51,'🌱 Configuração'!$B$51+68&lt;'🌱 Configuração'!$D$51,INT(('🌱 Configuração'!$B$51+68-'🌱 Configuração'!$C$51)/7)+1=3,MOD('🌱 Configuração'!$B$51+68-'🌱 Configuração'!$C$51,7)=0),"🌿 Grow A+B + CalMag — EC 1.2",IF(AND('🌱 Configuração'!$B$51+68&gt;='🌱 Configuração'!$C$51,'🌱 Configuração'!$B$51+68&lt;'🌱 Configuração'!$D$51,INT(('🌱 Configuração'!$B$51+68-'🌱 Configuração'!$C$51)/7)+1=4,MOD('🌱 Configuração'!$B$51+68-'🌱 Configuração'!$C$51,7)=0),"🌿 Grow A+B + Enzimas — EC 1.4",IF(AND('🌱 Configuração'!$B$51+68&gt;='🌱 Configuração'!$C$51,'🌱 Configuração'!$B$51+68&lt;'🌱 Configuração'!$D$51,INT(('🌱 Configuração'!$B$51+68-'🌱 Configuração'!$C$51)/7)+1=5,MOD('🌱 Configuração'!$B$51+68-'🌱 Configuração'!$C$51,7)=0),"🌿 Grow A+B + Biorrizas — EC 1.5",IF(AND('🌱 Configuração'!$B$51+68&gt;='🌱 Configuração'!$C$51,'🌱 Configuração'!$B$51+68&lt;'🌱 Configuração'!$D$51,INT(('🌱 Configuração'!$B$51+68-'🌱 Configuração'!$C$51)/7)+1=6,MOD('🌱 Configuração'!$B$51+68-'🌱 Configuração'!$C$51,7)=0),"🌿 Transição Bloom — EC 1.4",IF(AND('🌱 Configuração'!$B$51+68&gt;='🌱 Configuração'!$C$51,'🌱 Configuração'!$B$51+68&lt;'🌱 Configuração'!$D$51,INT(('🌱 Configuração'!$B$51+68-'🌱 Configuração'!$C$51)/7)+1=7,MOD('🌱 Configuração'!$B$51+68-'🌱 Configuração'!$C$51,7)=0),"🌿 Bloom A+B transição — EC 1.4",IF(AND('🌱 Configuração'!$B$51+68&gt;='🌱 Configuração'!$C$51,'🌱 Configuração'!$B$51+68&lt;'🌱 Configuração'!$D$51,INT(('🌱 Configuração'!$B$51+68-'🌱 Configuração'!$C$51)/7)+1=8,MOD('🌱 Configuração'!$B$51+68-'🌱 Configuração'!$C$51,7)=0),"🌿 Bloom A+B — EC 1.4",IF(AND('🌱 Configuração'!$B$51+68&gt;='🌱 Configuração'!$D$51,'🌱 Configuração'!$B$51+68&lt;'🌱 Configuração'!$E$51,INT(('🌱 Configuração'!$B$51+68-'🌱 Configuração'!$D$51)/7)+1=1,MOD('🌱 Configuração'!$B$51+68-'🌱 Configuração'!$D$51,7)=0),"🌸 Bloom A+B — EC 1.6",IF(AND('🌱 Configuração'!$B$51+68&gt;='🌱 Configuração'!$D$51,'🌱 Configuração'!$B$51+68&lt;'🌱 Configuração'!$E$51,INT(('🌱 Configuração'!$B$51+68-'🌱 Configuração'!$D$51)/7)+1=2,MOD('🌱 Configuração'!$B$51+68-'🌱 Configuração'!$D$51,7)=0),"🌸 Bloom + PK 13/14 início",IF(AND('🌱 Configuração'!$B$51+68&gt;='🌱 Configuração'!$D$51,'🌱 Configuração'!$B$51+68&lt;'🌱 Configuração'!$E$51,INT(('🌱 Configuração'!$B$51+68-'🌱 Configuração'!$D$51)/7)+1=3,MOD('🌱 Configuração'!$B$51+68-'🌱 Configuração'!$D$51,7)=0),"🌸 Bloom + PK + CalMag — EC 1.8",IF(AND('🌱 Configuração'!$B$51+68&gt;='🌱 Configuração'!$D$51,'🌱 Configuração'!$B$51+68&lt;'🌱 Configuração'!$E$51,INT(('🌱 Configuração'!$B$51+68-'🌱 Configuração'!$D$51)/7)+1=4,MOD('🌱 Configuração'!$B$51+68-'🌱 Configuração'!$D$51,7)=0),"🌸 Bloom + PK + Boost Floral — EC 2.0",IF(AND('🌱 Configuração'!$B$51+68&gt;='🌱 Configuração'!$D$51,'🌱 Configuração'!$B$51+68&lt;'🌱 Configuração'!$E$51,INT(('🌱 Configuração'!$B$51+68-'🌱 Configuração'!$D$51)/7)+1=5,MOD('🌱 Configuração'!$B$51+68-'🌱 Configuração'!$D$51,7)=0),"🌸 Bloom + Boost + Amino",IF(AND('🌱 Configuração'!$B$51+68&gt;='🌱 Configuração'!$D$51,'🌱 Configuração'!$B$51+68&lt;'🌱 Configuração'!$E$51,INT(('🌱 Configuração'!$B$51+68-'🌱 Configuração'!$D$51)/7)+1=6,MOD('🌱 Configuração'!$B$51+68-'🌱 Configuração'!$D$51,7)=0),"🌸 Bloom + Enzimas + Amino",IF(AND('🌱 Configuração'!$B$51+68&gt;='🌱 Configuração'!$D$51,'🌱 Configuração'!$B$51+68&lt;'🌱 Configuração'!$E$51,INT(('🌱 Configuração'!$B$51+68-'🌱 Configuração'!$D$51)/7)+1=7,MOD('🌱 Configuração'!$B$51+68-'🌱 Configuração'!$D$51,7)=0),"🌸 Reduzir N — Bloom puro — EC 1.6",IF(AND('🌱 Configuração'!$B$51+68&gt;='🌱 Configuração'!$D$51,'🌱 Configuração'!$B$51+68&lt;'🌱 Configuração'!$E$51,INT(('🌱 Configuração'!$B$51+68-'🌱 Configuração'!$D$51)/7)+1=8,MOD('🌱 Configuração'!$B$51+68-'🌱 Configuração'!$D$51,7)=0),"🌸 Bloom puro — EC 1.4  (pré-flush)",IF(AND('🌱 Configuração'!$B$51+68&gt;='🌱 Configuração'!$D$51,'🌱 Configuração'!$B$51+68&lt;'🌱 Configuração'!$E$51,INT(('🌱 Configuração'!$B$51+68-'🌱 Configuração'!$D$51)/7)+1=9,MOD('🌱 Configuração'!$B$51+68-'🌱 Configuração'!$D$51,7)=0),"🌸 Último Bloom — EC 0.8",IF(AND('🌱 Configuração'!$B$51+68&gt;='🌱 Configuração'!$E$51,INT(('🌱 Configuração'!$B$51+68-'🌱 Configuração'!$E$51)/7)+1=1,MOD('🌱 Configuração'!$B$51+68-'🌱 Configuração'!$E$51,7)=0),"🚿 Água pura + Enzimas (EC &lt; 0.3)",IF(AND('🌱 Configuração'!$B$51+68&gt;='🌱 Configuração'!$E$51,INT(('🌱 Configuração'!$B$51+68-'🌱 Configuração'!$E$51)/7)+1=2,MOD('🌱 Configuração'!$B$51+68-'🌱 Configuração'!$E$51,7)=0),"🚿 Água pura (EC &lt; 0.2)",""))))))))))))))))))))))</f>
        <v/>
      </c>
      <c r="G74" s="30" t="str">
        <f>IF(69&gt;'🌱 Configuração'!$F$50,"",IF(AND('🌱 Configuração'!$B$51+68&lt;'🌱 Configuração'!$C$51,INT((69-1)/7)+1=1,MOD(69-1,7)=0),"🐛 Nim 2mL/L foliar — preventivo",IF(AND('🌱 Configuração'!$B$51+68&lt;'🌱 Configuração'!$C$51,INT((69-1)/7)+1=2,MOD(69-1,7)=0),"🐛 Beauveria bassiana foliar + solo",IF(AND('🌱 Configuração'!$B$51+68&gt;='🌱 Configuração'!$C$51,'🌱 Configuração'!$B$51+68&lt;'🌱 Configuração'!$D$51,INT(('🌱 Configuração'!$B$51+68-'🌱 Configuração'!$C$51)/7)+1=1,MOD('🌱 Configuração'!$B$51+68-'🌱 Configuração'!$C$51,7)=0),"🐛 Nim 2mL/L foliar",IF(AND('🌱 Configuração'!$B$51+68&gt;='🌱 Configuração'!$C$51,'🌱 Configuração'!$B$51+68&lt;'🌱 Configuração'!$D$51,INT(('🌱 Configuração'!$B$51+68-'🌱 Configuração'!$C$51)/7)+1=2,MOD('🌱 Configuração'!$B$51+68-'🌱 Configuração'!$C$51,7)=0),"🐛 Beauveria bassiana foliar",IF(AND('🌱 Configuração'!$B$51+68&gt;='🌱 Configuração'!$C$51,'🌱 Configuração'!$B$51+68&lt;'🌱 Configuração'!$D$51,INT(('🌱 Configuração'!$B$51+68-'🌱 Configuração'!$C$51)/7)+1=3,MOD('🌱 Configuração'!$B$51+68-'🌱 Configuração'!$C$51,7)=0),"🐛 Nim + Calda Sulfocálcica 1%",IF(AND('🌱 Configuração'!$B$51+68&gt;='🌱 Configuração'!$C$51,'🌱 Configuração'!$B$51+68&lt;'🌱 Configuração'!$D$51,INT(('🌱 Configuração'!$B$51+68-'🌱 Configuração'!$C$51)/7)+1=4,MOD('🌱 Configuração'!$B$51+68-'🌱 Configuração'!$C$51,7)=0),"🐛 Trichoderma solo + Beauveria",IF(AND('🌱 Configuração'!$B$51+68&gt;='🌱 Configuração'!$C$51,'🌱 Configuração'!$B$51+68&lt;'🌱 Configuração'!$D$51,INT(('🌱 Configuração'!$B$51+68-'🌱 Configuração'!$C$51)/7)+1=5,MOD('🌱 Configuração'!$B$51+68-'🌱 Configuração'!$C$51,7)=0),"🐛 Calda Bordalesa 0.5% foliar",IF(AND('🌱 Configuração'!$B$51+68&gt;='🌱 Configuração'!$C$51,'🌱 Configuração'!$B$51+68&lt;'🌱 Configuração'!$D$51,INT(('🌱 Configuração'!$B$51+68-'🌱 Configuração'!$C$51)/7)+1=6,MOD('🌱 Configuração'!$B$51+68-'🌱 Configuração'!$C$51,7)=0),"🐛 Nim 2mL/L — ÚLTIMA foliar",IF(AND('🌱 Configuração'!$B$51+68&gt;='🌱 Configuração'!$D$51,'🌱 Configuração'!$B$51+68&lt;'🌱 Configuração'!$E$51,INT(('🌱 Configuração'!$B$51+68-'🌱 Configuração'!$D$51)/7)+1=1,MOD('🌱 Configuração'!$B$51+68-'🌱 Configuração'!$D$51,7)=0),"🐛 Beauveria bassiana solo (sem foliar)",IF(AND('🌱 Configuração'!$B$51+68&gt;='🌱 Configuração'!$D$51,'🌱 Configuração'!$B$51+68&lt;'🌱 Configuração'!$E$51,INT(('🌱 Configuração'!$B$51+68-'🌱 Configuração'!$D$51)/7)+1=2,MOD('🌱 Configuração'!$B$51+68-'🌱 Configuração'!$D$51,7)=0),"🐛 Trichoderma solo",IF(AND('🌱 Configuração'!$B$51+68&gt;='🌱 Configuração'!$D$51,'🌱 Configuração'!$B$51+68&lt;'🌱 Configuração'!$E$51,INT(('🌱 Configuração'!$B$51+68-'🌱 Configuração'!$D$51)/7)+1=3,MOD('🌱 Configuração'!$B$51+68-'🌱 Configuração'!$D$51,7)=0),"🐛 Beauveria bassiana solo",IF(AND('🌱 Configuração'!$B$51+68&gt;='🌱 Configuração'!$D$51,'🌱 Configuração'!$B$51+68&lt;'🌱 Configuração'!$E$51,INT(('🌱 Configuração'!$B$51+68-'🌱 Configuração'!$D$51)/7)+1=4,MOD('🌱 Configuração'!$B$51+68-'🌱 Configuração'!$D$51,7)=0),"🐛 Trichoderma solo",IF(AND('🌱 Configuração'!$B$51+68&gt;='🌱 Configuração'!$E$51,INT(('🌱 Configuração'!$B$51+68-'🌱 Configuração'!$E$51)/7)+1=1,MOD('🌱 Configuração'!$B$51+68-'🌱 Configuração'!$E$51,7)=0),"🐛 Inspeção final — sem aplicação",""))))))))))))))</f>
        <v/>
      </c>
      <c r="H74" s="22" t="str">
        <f>IF(69&gt;'🌱 Configuração'!$F$50,"",IF('🌱 Configuração'!$B$51+68='🌱 Configuração'!$C$51,"🌿 INÍCIO VEGA — ajustar espaço, luz 18h/dia — EC 0.8",IF('🌱 Configuração'!$B$51+68='🌱 Configuração'!$D$51,"🌸 INÍCIO FLORAÇÃO — mudar para 12h/12h — 🔴 atenção ao fotoperíodo",IF('🌱 Configuração'!$B$51+68='🌱 Configuração'!$E$51,"🚿 INÍCIO FLUSH — PARAR nutrição, somente água pura",IF('🌱 Configuração'!$B$51+68='🌱 Configuração'!$F$51-1,"🔬 Véspera da colheita — analisar tricomas âmbar",IF('🌱 Configuração'!$B$51+68='🌱 Configuração'!$F$51,"✂️ COLHEITA! Parabéns! 🎉",""))))))</f>
        <v/>
      </c>
    </row>
    <row r="75" spans="2:8" ht="18.75" customHeight="1" x14ac:dyDescent="0.3">
      <c r="B75" s="25">
        <f>IF(70&lt;='🌱 Configuração'!$F$50,70,"")</f>
        <v>70</v>
      </c>
      <c r="C75" s="26">
        <f>IF(70&lt;='🌱 Configuração'!$F$50,'🌱 Configuração'!$B$51+69,"")</f>
        <v>46092</v>
      </c>
      <c r="D75" s="27" t="str">
        <f>IF(70&gt;'🌱 Configuração'!$F$50,"",IF('🌱 Configuração'!$B$51+69&lt;'🌱 Configuração'!$C$51,"🌱 Clone",IF('🌱 Configuração'!$B$51+69&lt;'🌱 Configuração'!$D$51,"🌿 Vegetativo",IF('🌱 Configuração'!$B$51+69&lt;'🌱 Configuração'!$E$51,"🌸 Floração","🚿 Flush"))))</f>
        <v>🌸 Floração</v>
      </c>
      <c r="E75" s="28" t="str">
        <f>IF(70&gt;'🌱 Configuração'!$F$50,"",IF('🌱 Configuração'!$B$51+69&lt;'🌱 Configuração'!$C$51,"Clone S"&amp;INT((70-1)/7)+1,IF('🌱 Configuração'!$B$51+69&lt;'🌱 Configuração'!$D$51,"Vega S"&amp;INT(('🌱 Configuração'!$B$51+69-'🌱 Configuração'!$C$51)/7)+1,IF('🌱 Configuração'!$B$51+69&lt;'🌱 Configuração'!$E$51,"Flora S"&amp;INT(('🌱 Configuração'!$B$51+69-'🌱 Configuração'!$D$51)/7)+1,"Flush S"&amp;INT(('🌱 Configuração'!$B$51+69-'🌱 Configuração'!$E$51)/7)+1))))</f>
        <v>Flora S2</v>
      </c>
      <c r="F75" s="29" t="str">
        <f>IF(70&gt;'🌱 Configuração'!$F$50,"",IF(AND('🌱 Configuração'!$B$51+69&lt;'🌱 Configuração'!$C$51,INT((70-1)/7)+1=1,MOD(70-1,7)=0),"🌱 Enraizador (0.5 mL/L)",IF(AND('🌱 Configuração'!$B$51+69&lt;'🌱 Configuração'!$C$51,INT((70-1)/7)+1=2,MOD(70-1,7)=0),"🌱 Enraizador + Vitamina B1",IF(AND('🌱 Configuração'!$B$51+69&gt;='🌱 Configuração'!$C$51,'🌱 Configuração'!$B$51+69&lt;'🌱 Configuração'!$D$51,INT(('🌱 Configuração'!$B$51+69-'🌱 Configuração'!$C$51)/7)+1=1,MOD('🌱 Configuração'!$B$51+69-'🌱 Configuração'!$C$51,7)=0),"🌿 Grow A+B início — EC 0.8",IF(AND('🌱 Configuração'!$B$51+69&gt;='🌱 Configuração'!$C$51,'🌱 Configuração'!$B$51+69&lt;'🌱 Configuração'!$D$51,INT(('🌱 Configuração'!$B$51+69-'🌱 Configuração'!$C$51)/7)+1=2,MOD('🌱 Configuração'!$B$51+69-'🌱 Configuração'!$C$51,7)=0),"🌿 Grow A+B + CalMag — EC 1.0",IF(AND('🌱 Configuração'!$B$51+69&gt;='🌱 Configuração'!$C$51,'🌱 Configuração'!$B$51+69&lt;'🌱 Configuração'!$D$51,INT(('🌱 Configuração'!$B$51+69-'🌱 Configuração'!$C$51)/7)+1=3,MOD('🌱 Configuração'!$B$51+69-'🌱 Configuração'!$C$51,7)=0),"🌿 Grow A+B + CalMag — EC 1.2",IF(AND('🌱 Configuração'!$B$51+69&gt;='🌱 Configuração'!$C$51,'🌱 Configuração'!$B$51+69&lt;'🌱 Configuração'!$D$51,INT(('🌱 Configuração'!$B$51+69-'🌱 Configuração'!$C$51)/7)+1=4,MOD('🌱 Configuração'!$B$51+69-'🌱 Configuração'!$C$51,7)=0),"🌿 Grow A+B + Enzimas — EC 1.4",IF(AND('🌱 Configuração'!$B$51+69&gt;='🌱 Configuração'!$C$51,'🌱 Configuração'!$B$51+69&lt;'🌱 Configuração'!$D$51,INT(('🌱 Configuração'!$B$51+69-'🌱 Configuração'!$C$51)/7)+1=5,MOD('🌱 Configuração'!$B$51+69-'🌱 Configuração'!$C$51,7)=0),"🌿 Grow A+B + Biorrizas — EC 1.5",IF(AND('🌱 Configuração'!$B$51+69&gt;='🌱 Configuração'!$C$51,'🌱 Configuração'!$B$51+69&lt;'🌱 Configuração'!$D$51,INT(('🌱 Configuração'!$B$51+69-'🌱 Configuração'!$C$51)/7)+1=6,MOD('🌱 Configuração'!$B$51+69-'🌱 Configuração'!$C$51,7)=0),"🌿 Transição Bloom — EC 1.4",IF(AND('🌱 Configuração'!$B$51+69&gt;='🌱 Configuração'!$C$51,'🌱 Configuração'!$B$51+69&lt;'🌱 Configuração'!$D$51,INT(('🌱 Configuração'!$B$51+69-'🌱 Configuração'!$C$51)/7)+1=7,MOD('🌱 Configuração'!$B$51+69-'🌱 Configuração'!$C$51,7)=0),"🌿 Bloom A+B transição — EC 1.4",IF(AND('🌱 Configuração'!$B$51+69&gt;='🌱 Configuração'!$C$51,'🌱 Configuração'!$B$51+69&lt;'🌱 Configuração'!$D$51,INT(('🌱 Configuração'!$B$51+69-'🌱 Configuração'!$C$51)/7)+1=8,MOD('🌱 Configuração'!$B$51+69-'🌱 Configuração'!$C$51,7)=0),"🌿 Bloom A+B — EC 1.4",IF(AND('🌱 Configuração'!$B$51+69&gt;='🌱 Configuração'!$D$51,'🌱 Configuração'!$B$51+69&lt;'🌱 Configuração'!$E$51,INT(('🌱 Configuração'!$B$51+69-'🌱 Configuração'!$D$51)/7)+1=1,MOD('🌱 Configuração'!$B$51+69-'🌱 Configuração'!$D$51,7)=0),"🌸 Bloom A+B — EC 1.6",IF(AND('🌱 Configuração'!$B$51+69&gt;='🌱 Configuração'!$D$51,'🌱 Configuração'!$B$51+69&lt;'🌱 Configuração'!$E$51,INT(('🌱 Configuração'!$B$51+69-'🌱 Configuração'!$D$51)/7)+1=2,MOD('🌱 Configuração'!$B$51+69-'🌱 Configuração'!$D$51,7)=0),"🌸 Bloom + PK 13/14 início",IF(AND('🌱 Configuração'!$B$51+69&gt;='🌱 Configuração'!$D$51,'🌱 Configuração'!$B$51+69&lt;'🌱 Configuração'!$E$51,INT(('🌱 Configuração'!$B$51+69-'🌱 Configuração'!$D$51)/7)+1=3,MOD('🌱 Configuração'!$B$51+69-'🌱 Configuração'!$D$51,7)=0),"🌸 Bloom + PK + CalMag — EC 1.8",IF(AND('🌱 Configuração'!$B$51+69&gt;='🌱 Configuração'!$D$51,'🌱 Configuração'!$B$51+69&lt;'🌱 Configuração'!$E$51,INT(('🌱 Configuração'!$B$51+69-'🌱 Configuração'!$D$51)/7)+1=4,MOD('🌱 Configuração'!$B$51+69-'🌱 Configuração'!$D$51,7)=0),"🌸 Bloom + PK + Boost Floral — EC 2.0",IF(AND('🌱 Configuração'!$B$51+69&gt;='🌱 Configuração'!$D$51,'🌱 Configuração'!$B$51+69&lt;'🌱 Configuração'!$E$51,INT(('🌱 Configuração'!$B$51+69-'🌱 Configuração'!$D$51)/7)+1=5,MOD('🌱 Configuração'!$B$51+69-'🌱 Configuração'!$D$51,7)=0),"🌸 Bloom + Boost + Amino",IF(AND('🌱 Configuração'!$B$51+69&gt;='🌱 Configuração'!$D$51,'🌱 Configuração'!$B$51+69&lt;'🌱 Configuração'!$E$51,INT(('🌱 Configuração'!$B$51+69-'🌱 Configuração'!$D$51)/7)+1=6,MOD('🌱 Configuração'!$B$51+69-'🌱 Configuração'!$D$51,7)=0),"🌸 Bloom + Enzimas + Amino",IF(AND('🌱 Configuração'!$B$51+69&gt;='🌱 Configuração'!$D$51,'🌱 Configuração'!$B$51+69&lt;'🌱 Configuração'!$E$51,INT(('🌱 Configuração'!$B$51+69-'🌱 Configuração'!$D$51)/7)+1=7,MOD('🌱 Configuração'!$B$51+69-'🌱 Configuração'!$D$51,7)=0),"🌸 Reduzir N — Bloom puro — EC 1.6",IF(AND('🌱 Configuração'!$B$51+69&gt;='🌱 Configuração'!$D$51,'🌱 Configuração'!$B$51+69&lt;'🌱 Configuração'!$E$51,INT(('🌱 Configuração'!$B$51+69-'🌱 Configuração'!$D$51)/7)+1=8,MOD('🌱 Configuração'!$B$51+69-'🌱 Configuração'!$D$51,7)=0),"🌸 Bloom puro — EC 1.4  (pré-flush)",IF(AND('🌱 Configuração'!$B$51+69&gt;='🌱 Configuração'!$D$51,'🌱 Configuração'!$B$51+69&lt;'🌱 Configuração'!$E$51,INT(('🌱 Configuração'!$B$51+69-'🌱 Configuração'!$D$51)/7)+1=9,MOD('🌱 Configuração'!$B$51+69-'🌱 Configuração'!$D$51,7)=0),"🌸 Último Bloom — EC 0.8",IF(AND('🌱 Configuração'!$B$51+69&gt;='🌱 Configuração'!$E$51,INT(('🌱 Configuração'!$B$51+69-'🌱 Configuração'!$E$51)/7)+1=1,MOD('🌱 Configuração'!$B$51+69-'🌱 Configuração'!$E$51,7)=0),"🚿 Água pura + Enzimas (EC &lt; 0.3)",IF(AND('🌱 Configuração'!$B$51+69&gt;='🌱 Configuração'!$E$51,INT(('🌱 Configuração'!$B$51+69-'🌱 Configuração'!$E$51)/7)+1=2,MOD('🌱 Configuração'!$B$51+69-'🌱 Configuração'!$E$51,7)=0),"🚿 Água pura (EC &lt; 0.2)",""))))))))))))))))))))))</f>
        <v/>
      </c>
      <c r="G75" s="30" t="str">
        <f>IF(70&gt;'🌱 Configuração'!$F$50,"",IF(AND('🌱 Configuração'!$B$51+69&lt;'🌱 Configuração'!$C$51,INT((70-1)/7)+1=1,MOD(70-1,7)=0),"🐛 Nim 2mL/L foliar — preventivo",IF(AND('🌱 Configuração'!$B$51+69&lt;'🌱 Configuração'!$C$51,INT((70-1)/7)+1=2,MOD(70-1,7)=0),"🐛 Beauveria bassiana foliar + solo",IF(AND('🌱 Configuração'!$B$51+69&gt;='🌱 Configuração'!$C$51,'🌱 Configuração'!$B$51+69&lt;'🌱 Configuração'!$D$51,INT(('🌱 Configuração'!$B$51+69-'🌱 Configuração'!$C$51)/7)+1=1,MOD('🌱 Configuração'!$B$51+69-'🌱 Configuração'!$C$51,7)=0),"🐛 Nim 2mL/L foliar",IF(AND('🌱 Configuração'!$B$51+69&gt;='🌱 Configuração'!$C$51,'🌱 Configuração'!$B$51+69&lt;'🌱 Configuração'!$D$51,INT(('🌱 Configuração'!$B$51+69-'🌱 Configuração'!$C$51)/7)+1=2,MOD('🌱 Configuração'!$B$51+69-'🌱 Configuração'!$C$51,7)=0),"🐛 Beauveria bassiana foliar",IF(AND('🌱 Configuração'!$B$51+69&gt;='🌱 Configuração'!$C$51,'🌱 Configuração'!$B$51+69&lt;'🌱 Configuração'!$D$51,INT(('🌱 Configuração'!$B$51+69-'🌱 Configuração'!$C$51)/7)+1=3,MOD('🌱 Configuração'!$B$51+69-'🌱 Configuração'!$C$51,7)=0),"🐛 Nim + Calda Sulfocálcica 1%",IF(AND('🌱 Configuração'!$B$51+69&gt;='🌱 Configuração'!$C$51,'🌱 Configuração'!$B$51+69&lt;'🌱 Configuração'!$D$51,INT(('🌱 Configuração'!$B$51+69-'🌱 Configuração'!$C$51)/7)+1=4,MOD('🌱 Configuração'!$B$51+69-'🌱 Configuração'!$C$51,7)=0),"🐛 Trichoderma solo + Beauveria",IF(AND('🌱 Configuração'!$B$51+69&gt;='🌱 Configuração'!$C$51,'🌱 Configuração'!$B$51+69&lt;'🌱 Configuração'!$D$51,INT(('🌱 Configuração'!$B$51+69-'🌱 Configuração'!$C$51)/7)+1=5,MOD('🌱 Configuração'!$B$51+69-'🌱 Configuração'!$C$51,7)=0),"🐛 Calda Bordalesa 0.5% foliar",IF(AND('🌱 Configuração'!$B$51+69&gt;='🌱 Configuração'!$C$51,'🌱 Configuração'!$B$51+69&lt;'🌱 Configuração'!$D$51,INT(('🌱 Configuração'!$B$51+69-'🌱 Configuração'!$C$51)/7)+1=6,MOD('🌱 Configuração'!$B$51+69-'🌱 Configuração'!$C$51,7)=0),"🐛 Nim 2mL/L — ÚLTIMA foliar",IF(AND('🌱 Configuração'!$B$51+69&gt;='🌱 Configuração'!$D$51,'🌱 Configuração'!$B$51+69&lt;'🌱 Configuração'!$E$51,INT(('🌱 Configuração'!$B$51+69-'🌱 Configuração'!$D$51)/7)+1=1,MOD('🌱 Configuração'!$B$51+69-'🌱 Configuração'!$D$51,7)=0),"🐛 Beauveria bassiana solo (sem foliar)",IF(AND('🌱 Configuração'!$B$51+69&gt;='🌱 Configuração'!$D$51,'🌱 Configuração'!$B$51+69&lt;'🌱 Configuração'!$E$51,INT(('🌱 Configuração'!$B$51+69-'🌱 Configuração'!$D$51)/7)+1=2,MOD('🌱 Configuração'!$B$51+69-'🌱 Configuração'!$D$51,7)=0),"🐛 Trichoderma solo",IF(AND('🌱 Configuração'!$B$51+69&gt;='🌱 Configuração'!$D$51,'🌱 Configuração'!$B$51+69&lt;'🌱 Configuração'!$E$51,INT(('🌱 Configuração'!$B$51+69-'🌱 Configuração'!$D$51)/7)+1=3,MOD('🌱 Configuração'!$B$51+69-'🌱 Configuração'!$D$51,7)=0),"🐛 Beauveria bassiana solo",IF(AND('🌱 Configuração'!$B$51+69&gt;='🌱 Configuração'!$D$51,'🌱 Configuração'!$B$51+69&lt;'🌱 Configuração'!$E$51,INT(('🌱 Configuração'!$B$51+69-'🌱 Configuração'!$D$51)/7)+1=4,MOD('🌱 Configuração'!$B$51+69-'🌱 Configuração'!$D$51,7)=0),"🐛 Trichoderma solo",IF(AND('🌱 Configuração'!$B$51+69&gt;='🌱 Configuração'!$E$51,INT(('🌱 Configuração'!$B$51+69-'🌱 Configuração'!$E$51)/7)+1=1,MOD('🌱 Configuração'!$B$51+69-'🌱 Configuração'!$E$51,7)=0),"🐛 Inspeção final — sem aplicação",""))))))))))))))</f>
        <v/>
      </c>
      <c r="H75" s="22" t="str">
        <f>IF(70&gt;'🌱 Configuração'!$F$50,"",IF('🌱 Configuração'!$B$51+69='🌱 Configuração'!$C$51,"🌿 INÍCIO VEGA — ajustar espaço, luz 18h/dia — EC 0.8",IF('🌱 Configuração'!$B$51+69='🌱 Configuração'!$D$51,"🌸 INÍCIO FLORAÇÃO — mudar para 12h/12h — 🔴 atenção ao fotoperíodo",IF('🌱 Configuração'!$B$51+69='🌱 Configuração'!$E$51,"🚿 INÍCIO FLUSH — PARAR nutrição, somente água pura",IF('🌱 Configuração'!$B$51+69='🌱 Configuração'!$F$51-1,"🔬 Véspera da colheita — analisar tricomas âmbar",IF('🌱 Configuração'!$B$51+69='🌱 Configuração'!$F$51,"✂️ COLHEITA! Parabéns! 🎉",""))))))</f>
        <v/>
      </c>
    </row>
    <row r="76" spans="2:8" ht="18.75" customHeight="1" x14ac:dyDescent="0.3">
      <c r="B76" s="25">
        <f>IF(71&lt;='🌱 Configuração'!$F$50,71,"")</f>
        <v>71</v>
      </c>
      <c r="C76" s="26">
        <f>IF(71&lt;='🌱 Configuração'!$F$50,'🌱 Configuração'!$B$51+70,"")</f>
        <v>46093</v>
      </c>
      <c r="D76" s="27" t="str">
        <f>IF(71&gt;'🌱 Configuração'!$F$50,"",IF('🌱 Configuração'!$B$51+70&lt;'🌱 Configuração'!$C$51,"🌱 Clone",IF('🌱 Configuração'!$B$51+70&lt;'🌱 Configuração'!$D$51,"🌿 Vegetativo",IF('🌱 Configuração'!$B$51+70&lt;'🌱 Configuração'!$E$51,"🌸 Floração","🚿 Flush"))))</f>
        <v>🌸 Floração</v>
      </c>
      <c r="E76" s="28" t="str">
        <f>IF(71&gt;'🌱 Configuração'!$F$50,"",IF('🌱 Configuração'!$B$51+70&lt;'🌱 Configuração'!$C$51,"Clone S"&amp;INT((71-1)/7)+1,IF('🌱 Configuração'!$B$51+70&lt;'🌱 Configuração'!$D$51,"Vega S"&amp;INT(('🌱 Configuração'!$B$51+70-'🌱 Configuração'!$C$51)/7)+1,IF('🌱 Configuração'!$B$51+70&lt;'🌱 Configuração'!$E$51,"Flora S"&amp;INT(('🌱 Configuração'!$B$51+70-'🌱 Configuração'!$D$51)/7)+1,"Flush S"&amp;INT(('🌱 Configuração'!$B$51+70-'🌱 Configuração'!$E$51)/7)+1))))</f>
        <v>Flora S3</v>
      </c>
      <c r="F76" s="29" t="str">
        <f>IF(71&gt;'🌱 Configuração'!$F$50,"",IF(AND('🌱 Configuração'!$B$51+70&lt;'🌱 Configuração'!$C$51,INT((71-1)/7)+1=1,MOD(71-1,7)=0),"🌱 Enraizador (0.5 mL/L)",IF(AND('🌱 Configuração'!$B$51+70&lt;'🌱 Configuração'!$C$51,INT((71-1)/7)+1=2,MOD(71-1,7)=0),"🌱 Enraizador + Vitamina B1",IF(AND('🌱 Configuração'!$B$51+70&gt;='🌱 Configuração'!$C$51,'🌱 Configuração'!$B$51+70&lt;'🌱 Configuração'!$D$51,INT(('🌱 Configuração'!$B$51+70-'🌱 Configuração'!$C$51)/7)+1=1,MOD('🌱 Configuração'!$B$51+70-'🌱 Configuração'!$C$51,7)=0),"🌿 Grow A+B início — EC 0.8",IF(AND('🌱 Configuração'!$B$51+70&gt;='🌱 Configuração'!$C$51,'🌱 Configuração'!$B$51+70&lt;'🌱 Configuração'!$D$51,INT(('🌱 Configuração'!$B$51+70-'🌱 Configuração'!$C$51)/7)+1=2,MOD('🌱 Configuração'!$B$51+70-'🌱 Configuração'!$C$51,7)=0),"🌿 Grow A+B + CalMag — EC 1.0",IF(AND('🌱 Configuração'!$B$51+70&gt;='🌱 Configuração'!$C$51,'🌱 Configuração'!$B$51+70&lt;'🌱 Configuração'!$D$51,INT(('🌱 Configuração'!$B$51+70-'🌱 Configuração'!$C$51)/7)+1=3,MOD('🌱 Configuração'!$B$51+70-'🌱 Configuração'!$C$51,7)=0),"🌿 Grow A+B + CalMag — EC 1.2",IF(AND('🌱 Configuração'!$B$51+70&gt;='🌱 Configuração'!$C$51,'🌱 Configuração'!$B$51+70&lt;'🌱 Configuração'!$D$51,INT(('🌱 Configuração'!$B$51+70-'🌱 Configuração'!$C$51)/7)+1=4,MOD('🌱 Configuração'!$B$51+70-'🌱 Configuração'!$C$51,7)=0),"🌿 Grow A+B + Enzimas — EC 1.4",IF(AND('🌱 Configuração'!$B$51+70&gt;='🌱 Configuração'!$C$51,'🌱 Configuração'!$B$51+70&lt;'🌱 Configuração'!$D$51,INT(('🌱 Configuração'!$B$51+70-'🌱 Configuração'!$C$51)/7)+1=5,MOD('🌱 Configuração'!$B$51+70-'🌱 Configuração'!$C$51,7)=0),"🌿 Grow A+B + Biorrizas — EC 1.5",IF(AND('🌱 Configuração'!$B$51+70&gt;='🌱 Configuração'!$C$51,'🌱 Configuração'!$B$51+70&lt;'🌱 Configuração'!$D$51,INT(('🌱 Configuração'!$B$51+70-'🌱 Configuração'!$C$51)/7)+1=6,MOD('🌱 Configuração'!$B$51+70-'🌱 Configuração'!$C$51,7)=0),"🌿 Transição Bloom — EC 1.4",IF(AND('🌱 Configuração'!$B$51+70&gt;='🌱 Configuração'!$C$51,'🌱 Configuração'!$B$51+70&lt;'🌱 Configuração'!$D$51,INT(('🌱 Configuração'!$B$51+70-'🌱 Configuração'!$C$51)/7)+1=7,MOD('🌱 Configuração'!$B$51+70-'🌱 Configuração'!$C$51,7)=0),"🌿 Bloom A+B transição — EC 1.4",IF(AND('🌱 Configuração'!$B$51+70&gt;='🌱 Configuração'!$C$51,'🌱 Configuração'!$B$51+70&lt;'🌱 Configuração'!$D$51,INT(('🌱 Configuração'!$B$51+70-'🌱 Configuração'!$C$51)/7)+1=8,MOD('🌱 Configuração'!$B$51+70-'🌱 Configuração'!$C$51,7)=0),"🌿 Bloom A+B — EC 1.4",IF(AND('🌱 Configuração'!$B$51+70&gt;='🌱 Configuração'!$D$51,'🌱 Configuração'!$B$51+70&lt;'🌱 Configuração'!$E$51,INT(('🌱 Configuração'!$B$51+70-'🌱 Configuração'!$D$51)/7)+1=1,MOD('🌱 Configuração'!$B$51+70-'🌱 Configuração'!$D$51,7)=0),"🌸 Bloom A+B — EC 1.6",IF(AND('🌱 Configuração'!$B$51+70&gt;='🌱 Configuração'!$D$51,'🌱 Configuração'!$B$51+70&lt;'🌱 Configuração'!$E$51,INT(('🌱 Configuração'!$B$51+70-'🌱 Configuração'!$D$51)/7)+1=2,MOD('🌱 Configuração'!$B$51+70-'🌱 Configuração'!$D$51,7)=0),"🌸 Bloom + PK 13/14 início",IF(AND('🌱 Configuração'!$B$51+70&gt;='🌱 Configuração'!$D$51,'🌱 Configuração'!$B$51+70&lt;'🌱 Configuração'!$E$51,INT(('🌱 Configuração'!$B$51+70-'🌱 Configuração'!$D$51)/7)+1=3,MOD('🌱 Configuração'!$B$51+70-'🌱 Configuração'!$D$51,7)=0),"🌸 Bloom + PK + CalMag — EC 1.8",IF(AND('🌱 Configuração'!$B$51+70&gt;='🌱 Configuração'!$D$51,'🌱 Configuração'!$B$51+70&lt;'🌱 Configuração'!$E$51,INT(('🌱 Configuração'!$B$51+70-'🌱 Configuração'!$D$51)/7)+1=4,MOD('🌱 Configuração'!$B$51+70-'🌱 Configuração'!$D$51,7)=0),"🌸 Bloom + PK + Boost Floral — EC 2.0",IF(AND('🌱 Configuração'!$B$51+70&gt;='🌱 Configuração'!$D$51,'🌱 Configuração'!$B$51+70&lt;'🌱 Configuração'!$E$51,INT(('🌱 Configuração'!$B$51+70-'🌱 Configuração'!$D$51)/7)+1=5,MOD('🌱 Configuração'!$B$51+70-'🌱 Configuração'!$D$51,7)=0),"🌸 Bloom + Boost + Amino",IF(AND('🌱 Configuração'!$B$51+70&gt;='🌱 Configuração'!$D$51,'🌱 Configuração'!$B$51+70&lt;'🌱 Configuração'!$E$51,INT(('🌱 Configuração'!$B$51+70-'🌱 Configuração'!$D$51)/7)+1=6,MOD('🌱 Configuração'!$B$51+70-'🌱 Configuração'!$D$51,7)=0),"🌸 Bloom + Enzimas + Amino",IF(AND('🌱 Configuração'!$B$51+70&gt;='🌱 Configuração'!$D$51,'🌱 Configuração'!$B$51+70&lt;'🌱 Configuração'!$E$51,INT(('🌱 Configuração'!$B$51+70-'🌱 Configuração'!$D$51)/7)+1=7,MOD('🌱 Configuração'!$B$51+70-'🌱 Configuração'!$D$51,7)=0),"🌸 Reduzir N — Bloom puro — EC 1.6",IF(AND('🌱 Configuração'!$B$51+70&gt;='🌱 Configuração'!$D$51,'🌱 Configuração'!$B$51+70&lt;'🌱 Configuração'!$E$51,INT(('🌱 Configuração'!$B$51+70-'🌱 Configuração'!$D$51)/7)+1=8,MOD('🌱 Configuração'!$B$51+70-'🌱 Configuração'!$D$51,7)=0),"🌸 Bloom puro — EC 1.4  (pré-flush)",IF(AND('🌱 Configuração'!$B$51+70&gt;='🌱 Configuração'!$D$51,'🌱 Configuração'!$B$51+70&lt;'🌱 Configuração'!$E$51,INT(('🌱 Configuração'!$B$51+70-'🌱 Configuração'!$D$51)/7)+1=9,MOD('🌱 Configuração'!$B$51+70-'🌱 Configuração'!$D$51,7)=0),"🌸 Último Bloom — EC 0.8",IF(AND('🌱 Configuração'!$B$51+70&gt;='🌱 Configuração'!$E$51,INT(('🌱 Configuração'!$B$51+70-'🌱 Configuração'!$E$51)/7)+1=1,MOD('🌱 Configuração'!$B$51+70-'🌱 Configuração'!$E$51,7)=0),"🚿 Água pura + Enzimas (EC &lt; 0.3)",IF(AND('🌱 Configuração'!$B$51+70&gt;='🌱 Configuração'!$E$51,INT(('🌱 Configuração'!$B$51+70-'🌱 Configuração'!$E$51)/7)+1=2,MOD('🌱 Configuração'!$B$51+70-'🌱 Configuração'!$E$51,7)=0),"🚿 Água pura (EC &lt; 0.2)",""))))))))))))))))))))))</f>
        <v>🌸 Bloom + PK + CalMag — EC 1.8</v>
      </c>
      <c r="G76" s="30" t="str">
        <f>IF(71&gt;'🌱 Configuração'!$F$50,"",IF(AND('🌱 Configuração'!$B$51+70&lt;'🌱 Configuração'!$C$51,INT((71-1)/7)+1=1,MOD(71-1,7)=0),"🐛 Nim 2mL/L foliar — preventivo",IF(AND('🌱 Configuração'!$B$51+70&lt;'🌱 Configuração'!$C$51,INT((71-1)/7)+1=2,MOD(71-1,7)=0),"🐛 Beauveria bassiana foliar + solo",IF(AND('🌱 Configuração'!$B$51+70&gt;='🌱 Configuração'!$C$51,'🌱 Configuração'!$B$51+70&lt;'🌱 Configuração'!$D$51,INT(('🌱 Configuração'!$B$51+70-'🌱 Configuração'!$C$51)/7)+1=1,MOD('🌱 Configuração'!$B$51+70-'🌱 Configuração'!$C$51,7)=0),"🐛 Nim 2mL/L foliar",IF(AND('🌱 Configuração'!$B$51+70&gt;='🌱 Configuração'!$C$51,'🌱 Configuração'!$B$51+70&lt;'🌱 Configuração'!$D$51,INT(('🌱 Configuração'!$B$51+70-'🌱 Configuração'!$C$51)/7)+1=2,MOD('🌱 Configuração'!$B$51+70-'🌱 Configuração'!$C$51,7)=0),"🐛 Beauveria bassiana foliar",IF(AND('🌱 Configuração'!$B$51+70&gt;='🌱 Configuração'!$C$51,'🌱 Configuração'!$B$51+70&lt;'🌱 Configuração'!$D$51,INT(('🌱 Configuração'!$B$51+70-'🌱 Configuração'!$C$51)/7)+1=3,MOD('🌱 Configuração'!$B$51+70-'🌱 Configuração'!$C$51,7)=0),"🐛 Nim + Calda Sulfocálcica 1%",IF(AND('🌱 Configuração'!$B$51+70&gt;='🌱 Configuração'!$C$51,'🌱 Configuração'!$B$51+70&lt;'🌱 Configuração'!$D$51,INT(('🌱 Configuração'!$B$51+70-'🌱 Configuração'!$C$51)/7)+1=4,MOD('🌱 Configuração'!$B$51+70-'🌱 Configuração'!$C$51,7)=0),"🐛 Trichoderma solo + Beauveria",IF(AND('🌱 Configuração'!$B$51+70&gt;='🌱 Configuração'!$C$51,'🌱 Configuração'!$B$51+70&lt;'🌱 Configuração'!$D$51,INT(('🌱 Configuração'!$B$51+70-'🌱 Configuração'!$C$51)/7)+1=5,MOD('🌱 Configuração'!$B$51+70-'🌱 Configuração'!$C$51,7)=0),"🐛 Calda Bordalesa 0.5% foliar",IF(AND('🌱 Configuração'!$B$51+70&gt;='🌱 Configuração'!$C$51,'🌱 Configuração'!$B$51+70&lt;'🌱 Configuração'!$D$51,INT(('🌱 Configuração'!$B$51+70-'🌱 Configuração'!$C$51)/7)+1=6,MOD('🌱 Configuração'!$B$51+70-'🌱 Configuração'!$C$51,7)=0),"🐛 Nim 2mL/L — ÚLTIMA foliar",IF(AND('🌱 Configuração'!$B$51+70&gt;='🌱 Configuração'!$D$51,'🌱 Configuração'!$B$51+70&lt;'🌱 Configuração'!$E$51,INT(('🌱 Configuração'!$B$51+70-'🌱 Configuração'!$D$51)/7)+1=1,MOD('🌱 Configuração'!$B$51+70-'🌱 Configuração'!$D$51,7)=0),"🐛 Beauveria bassiana solo (sem foliar)",IF(AND('🌱 Configuração'!$B$51+70&gt;='🌱 Configuração'!$D$51,'🌱 Configuração'!$B$51+70&lt;'🌱 Configuração'!$E$51,INT(('🌱 Configuração'!$B$51+70-'🌱 Configuração'!$D$51)/7)+1=2,MOD('🌱 Configuração'!$B$51+70-'🌱 Configuração'!$D$51,7)=0),"🐛 Trichoderma solo",IF(AND('🌱 Configuração'!$B$51+70&gt;='🌱 Configuração'!$D$51,'🌱 Configuração'!$B$51+70&lt;'🌱 Configuração'!$E$51,INT(('🌱 Configuração'!$B$51+70-'🌱 Configuração'!$D$51)/7)+1=3,MOD('🌱 Configuração'!$B$51+70-'🌱 Configuração'!$D$51,7)=0),"🐛 Beauveria bassiana solo",IF(AND('🌱 Configuração'!$B$51+70&gt;='🌱 Configuração'!$D$51,'🌱 Configuração'!$B$51+70&lt;'🌱 Configuração'!$E$51,INT(('🌱 Configuração'!$B$51+70-'🌱 Configuração'!$D$51)/7)+1=4,MOD('🌱 Configuração'!$B$51+70-'🌱 Configuração'!$D$51,7)=0),"🐛 Trichoderma solo",IF(AND('🌱 Configuração'!$B$51+70&gt;='🌱 Configuração'!$E$51,INT(('🌱 Configuração'!$B$51+70-'🌱 Configuração'!$E$51)/7)+1=1,MOD('🌱 Configuração'!$B$51+70-'🌱 Configuração'!$E$51,7)=0),"🐛 Inspeção final — sem aplicação",""))))))))))))))</f>
        <v>🐛 Beauveria bassiana solo</v>
      </c>
      <c r="H76" s="22" t="str">
        <f>IF(71&gt;'🌱 Configuração'!$F$50,"",IF('🌱 Configuração'!$B$51+70='🌱 Configuração'!$C$51,"🌿 INÍCIO VEGA — ajustar espaço, luz 18h/dia — EC 0.8",IF('🌱 Configuração'!$B$51+70='🌱 Configuração'!$D$51,"🌸 INÍCIO FLORAÇÃO — mudar para 12h/12h — 🔴 atenção ao fotoperíodo",IF('🌱 Configuração'!$B$51+70='🌱 Configuração'!$E$51,"🚿 INÍCIO FLUSH — PARAR nutrição, somente água pura",IF('🌱 Configuração'!$B$51+70='🌱 Configuração'!$F$51-1,"🔬 Véspera da colheita — analisar tricomas âmbar",IF('🌱 Configuração'!$B$51+70='🌱 Configuração'!$F$51,"✂️ COLHEITA! Parabéns! 🎉",""))))))</f>
        <v/>
      </c>
    </row>
    <row r="77" spans="2:8" ht="18.75" customHeight="1" x14ac:dyDescent="0.3">
      <c r="B77" s="25">
        <f>IF(72&lt;='🌱 Configuração'!$F$50,72,"")</f>
        <v>72</v>
      </c>
      <c r="C77" s="26">
        <f>IF(72&lt;='🌱 Configuração'!$F$50,'🌱 Configuração'!$B$51+71,"")</f>
        <v>46094</v>
      </c>
      <c r="D77" s="27" t="str">
        <f>IF(72&gt;'🌱 Configuração'!$F$50,"",IF('🌱 Configuração'!$B$51+71&lt;'🌱 Configuração'!$C$51,"🌱 Clone",IF('🌱 Configuração'!$B$51+71&lt;'🌱 Configuração'!$D$51,"🌿 Vegetativo",IF('🌱 Configuração'!$B$51+71&lt;'🌱 Configuração'!$E$51,"🌸 Floração","🚿 Flush"))))</f>
        <v>🌸 Floração</v>
      </c>
      <c r="E77" s="28" t="str">
        <f>IF(72&gt;'🌱 Configuração'!$F$50,"",IF('🌱 Configuração'!$B$51+71&lt;'🌱 Configuração'!$C$51,"Clone S"&amp;INT((72-1)/7)+1,IF('🌱 Configuração'!$B$51+71&lt;'🌱 Configuração'!$D$51,"Vega S"&amp;INT(('🌱 Configuração'!$B$51+71-'🌱 Configuração'!$C$51)/7)+1,IF('🌱 Configuração'!$B$51+71&lt;'🌱 Configuração'!$E$51,"Flora S"&amp;INT(('🌱 Configuração'!$B$51+71-'🌱 Configuração'!$D$51)/7)+1,"Flush S"&amp;INT(('🌱 Configuração'!$B$51+71-'🌱 Configuração'!$E$51)/7)+1))))</f>
        <v>Flora S3</v>
      </c>
      <c r="F77" s="29" t="str">
        <f>IF(72&gt;'🌱 Configuração'!$F$50,"",IF(AND('🌱 Configuração'!$B$51+71&lt;'🌱 Configuração'!$C$51,INT((72-1)/7)+1=1,MOD(72-1,7)=0),"🌱 Enraizador (0.5 mL/L)",IF(AND('🌱 Configuração'!$B$51+71&lt;'🌱 Configuração'!$C$51,INT((72-1)/7)+1=2,MOD(72-1,7)=0),"🌱 Enraizador + Vitamina B1",IF(AND('🌱 Configuração'!$B$51+71&gt;='🌱 Configuração'!$C$51,'🌱 Configuração'!$B$51+71&lt;'🌱 Configuração'!$D$51,INT(('🌱 Configuração'!$B$51+71-'🌱 Configuração'!$C$51)/7)+1=1,MOD('🌱 Configuração'!$B$51+71-'🌱 Configuração'!$C$51,7)=0),"🌿 Grow A+B início — EC 0.8",IF(AND('🌱 Configuração'!$B$51+71&gt;='🌱 Configuração'!$C$51,'🌱 Configuração'!$B$51+71&lt;'🌱 Configuração'!$D$51,INT(('🌱 Configuração'!$B$51+71-'🌱 Configuração'!$C$51)/7)+1=2,MOD('🌱 Configuração'!$B$51+71-'🌱 Configuração'!$C$51,7)=0),"🌿 Grow A+B + CalMag — EC 1.0",IF(AND('🌱 Configuração'!$B$51+71&gt;='🌱 Configuração'!$C$51,'🌱 Configuração'!$B$51+71&lt;'🌱 Configuração'!$D$51,INT(('🌱 Configuração'!$B$51+71-'🌱 Configuração'!$C$51)/7)+1=3,MOD('🌱 Configuração'!$B$51+71-'🌱 Configuração'!$C$51,7)=0),"🌿 Grow A+B + CalMag — EC 1.2",IF(AND('🌱 Configuração'!$B$51+71&gt;='🌱 Configuração'!$C$51,'🌱 Configuração'!$B$51+71&lt;'🌱 Configuração'!$D$51,INT(('🌱 Configuração'!$B$51+71-'🌱 Configuração'!$C$51)/7)+1=4,MOD('🌱 Configuração'!$B$51+71-'🌱 Configuração'!$C$51,7)=0),"🌿 Grow A+B + Enzimas — EC 1.4",IF(AND('🌱 Configuração'!$B$51+71&gt;='🌱 Configuração'!$C$51,'🌱 Configuração'!$B$51+71&lt;'🌱 Configuração'!$D$51,INT(('🌱 Configuração'!$B$51+71-'🌱 Configuração'!$C$51)/7)+1=5,MOD('🌱 Configuração'!$B$51+71-'🌱 Configuração'!$C$51,7)=0),"🌿 Grow A+B + Biorrizas — EC 1.5",IF(AND('🌱 Configuração'!$B$51+71&gt;='🌱 Configuração'!$C$51,'🌱 Configuração'!$B$51+71&lt;'🌱 Configuração'!$D$51,INT(('🌱 Configuração'!$B$51+71-'🌱 Configuração'!$C$51)/7)+1=6,MOD('🌱 Configuração'!$B$51+71-'🌱 Configuração'!$C$51,7)=0),"🌿 Transição Bloom — EC 1.4",IF(AND('🌱 Configuração'!$B$51+71&gt;='🌱 Configuração'!$C$51,'🌱 Configuração'!$B$51+71&lt;'🌱 Configuração'!$D$51,INT(('🌱 Configuração'!$B$51+71-'🌱 Configuração'!$C$51)/7)+1=7,MOD('🌱 Configuração'!$B$51+71-'🌱 Configuração'!$C$51,7)=0),"🌿 Bloom A+B transição — EC 1.4",IF(AND('🌱 Configuração'!$B$51+71&gt;='🌱 Configuração'!$C$51,'🌱 Configuração'!$B$51+71&lt;'🌱 Configuração'!$D$51,INT(('🌱 Configuração'!$B$51+71-'🌱 Configuração'!$C$51)/7)+1=8,MOD('🌱 Configuração'!$B$51+71-'🌱 Configuração'!$C$51,7)=0),"🌿 Bloom A+B — EC 1.4",IF(AND('🌱 Configuração'!$B$51+71&gt;='🌱 Configuração'!$D$51,'🌱 Configuração'!$B$51+71&lt;'🌱 Configuração'!$E$51,INT(('🌱 Configuração'!$B$51+71-'🌱 Configuração'!$D$51)/7)+1=1,MOD('🌱 Configuração'!$B$51+71-'🌱 Configuração'!$D$51,7)=0),"🌸 Bloom A+B — EC 1.6",IF(AND('🌱 Configuração'!$B$51+71&gt;='🌱 Configuração'!$D$51,'🌱 Configuração'!$B$51+71&lt;'🌱 Configuração'!$E$51,INT(('🌱 Configuração'!$B$51+71-'🌱 Configuração'!$D$51)/7)+1=2,MOD('🌱 Configuração'!$B$51+71-'🌱 Configuração'!$D$51,7)=0),"🌸 Bloom + PK 13/14 início",IF(AND('🌱 Configuração'!$B$51+71&gt;='🌱 Configuração'!$D$51,'🌱 Configuração'!$B$51+71&lt;'🌱 Configuração'!$E$51,INT(('🌱 Configuração'!$B$51+71-'🌱 Configuração'!$D$51)/7)+1=3,MOD('🌱 Configuração'!$B$51+71-'🌱 Configuração'!$D$51,7)=0),"🌸 Bloom + PK + CalMag — EC 1.8",IF(AND('🌱 Configuração'!$B$51+71&gt;='🌱 Configuração'!$D$51,'🌱 Configuração'!$B$51+71&lt;'🌱 Configuração'!$E$51,INT(('🌱 Configuração'!$B$51+71-'🌱 Configuração'!$D$51)/7)+1=4,MOD('🌱 Configuração'!$B$51+71-'🌱 Configuração'!$D$51,7)=0),"🌸 Bloom + PK + Boost Floral — EC 2.0",IF(AND('🌱 Configuração'!$B$51+71&gt;='🌱 Configuração'!$D$51,'🌱 Configuração'!$B$51+71&lt;'🌱 Configuração'!$E$51,INT(('🌱 Configuração'!$B$51+71-'🌱 Configuração'!$D$51)/7)+1=5,MOD('🌱 Configuração'!$B$51+71-'🌱 Configuração'!$D$51,7)=0),"🌸 Bloom + Boost + Amino",IF(AND('🌱 Configuração'!$B$51+71&gt;='🌱 Configuração'!$D$51,'🌱 Configuração'!$B$51+71&lt;'🌱 Configuração'!$E$51,INT(('🌱 Configuração'!$B$51+71-'🌱 Configuração'!$D$51)/7)+1=6,MOD('🌱 Configuração'!$B$51+71-'🌱 Configuração'!$D$51,7)=0),"🌸 Bloom + Enzimas + Amino",IF(AND('🌱 Configuração'!$B$51+71&gt;='🌱 Configuração'!$D$51,'🌱 Configuração'!$B$51+71&lt;'🌱 Configuração'!$E$51,INT(('🌱 Configuração'!$B$51+71-'🌱 Configuração'!$D$51)/7)+1=7,MOD('🌱 Configuração'!$B$51+71-'🌱 Configuração'!$D$51,7)=0),"🌸 Reduzir N — Bloom puro — EC 1.6",IF(AND('🌱 Configuração'!$B$51+71&gt;='🌱 Configuração'!$D$51,'🌱 Configuração'!$B$51+71&lt;'🌱 Configuração'!$E$51,INT(('🌱 Configuração'!$B$51+71-'🌱 Configuração'!$D$51)/7)+1=8,MOD('🌱 Configuração'!$B$51+71-'🌱 Configuração'!$D$51,7)=0),"🌸 Bloom puro — EC 1.4  (pré-flush)",IF(AND('🌱 Configuração'!$B$51+71&gt;='🌱 Configuração'!$D$51,'🌱 Configuração'!$B$51+71&lt;'🌱 Configuração'!$E$51,INT(('🌱 Configuração'!$B$51+71-'🌱 Configuração'!$D$51)/7)+1=9,MOD('🌱 Configuração'!$B$51+71-'🌱 Configuração'!$D$51,7)=0),"🌸 Último Bloom — EC 0.8",IF(AND('🌱 Configuração'!$B$51+71&gt;='🌱 Configuração'!$E$51,INT(('🌱 Configuração'!$B$51+71-'🌱 Configuração'!$E$51)/7)+1=1,MOD('🌱 Configuração'!$B$51+71-'🌱 Configuração'!$E$51,7)=0),"🚿 Água pura + Enzimas (EC &lt; 0.3)",IF(AND('🌱 Configuração'!$B$51+71&gt;='🌱 Configuração'!$E$51,INT(('🌱 Configuração'!$B$51+71-'🌱 Configuração'!$E$51)/7)+1=2,MOD('🌱 Configuração'!$B$51+71-'🌱 Configuração'!$E$51,7)=0),"🚿 Água pura (EC &lt; 0.2)",""))))))))))))))))))))))</f>
        <v/>
      </c>
      <c r="G77" s="30" t="str">
        <f>IF(72&gt;'🌱 Configuração'!$F$50,"",IF(AND('🌱 Configuração'!$B$51+71&lt;'🌱 Configuração'!$C$51,INT((72-1)/7)+1=1,MOD(72-1,7)=0),"🐛 Nim 2mL/L foliar — preventivo",IF(AND('🌱 Configuração'!$B$51+71&lt;'🌱 Configuração'!$C$51,INT((72-1)/7)+1=2,MOD(72-1,7)=0),"🐛 Beauveria bassiana foliar + solo",IF(AND('🌱 Configuração'!$B$51+71&gt;='🌱 Configuração'!$C$51,'🌱 Configuração'!$B$51+71&lt;'🌱 Configuração'!$D$51,INT(('🌱 Configuração'!$B$51+71-'🌱 Configuração'!$C$51)/7)+1=1,MOD('🌱 Configuração'!$B$51+71-'🌱 Configuração'!$C$51,7)=0),"🐛 Nim 2mL/L foliar",IF(AND('🌱 Configuração'!$B$51+71&gt;='🌱 Configuração'!$C$51,'🌱 Configuração'!$B$51+71&lt;'🌱 Configuração'!$D$51,INT(('🌱 Configuração'!$B$51+71-'🌱 Configuração'!$C$51)/7)+1=2,MOD('🌱 Configuração'!$B$51+71-'🌱 Configuração'!$C$51,7)=0),"🐛 Beauveria bassiana foliar",IF(AND('🌱 Configuração'!$B$51+71&gt;='🌱 Configuração'!$C$51,'🌱 Configuração'!$B$51+71&lt;'🌱 Configuração'!$D$51,INT(('🌱 Configuração'!$B$51+71-'🌱 Configuração'!$C$51)/7)+1=3,MOD('🌱 Configuração'!$B$51+71-'🌱 Configuração'!$C$51,7)=0),"🐛 Nim + Calda Sulfocálcica 1%",IF(AND('🌱 Configuração'!$B$51+71&gt;='🌱 Configuração'!$C$51,'🌱 Configuração'!$B$51+71&lt;'🌱 Configuração'!$D$51,INT(('🌱 Configuração'!$B$51+71-'🌱 Configuração'!$C$51)/7)+1=4,MOD('🌱 Configuração'!$B$51+71-'🌱 Configuração'!$C$51,7)=0),"🐛 Trichoderma solo + Beauveria",IF(AND('🌱 Configuração'!$B$51+71&gt;='🌱 Configuração'!$C$51,'🌱 Configuração'!$B$51+71&lt;'🌱 Configuração'!$D$51,INT(('🌱 Configuração'!$B$51+71-'🌱 Configuração'!$C$51)/7)+1=5,MOD('🌱 Configuração'!$B$51+71-'🌱 Configuração'!$C$51,7)=0),"🐛 Calda Bordalesa 0.5% foliar",IF(AND('🌱 Configuração'!$B$51+71&gt;='🌱 Configuração'!$C$51,'🌱 Configuração'!$B$51+71&lt;'🌱 Configuração'!$D$51,INT(('🌱 Configuração'!$B$51+71-'🌱 Configuração'!$C$51)/7)+1=6,MOD('🌱 Configuração'!$B$51+71-'🌱 Configuração'!$C$51,7)=0),"🐛 Nim 2mL/L — ÚLTIMA foliar",IF(AND('🌱 Configuração'!$B$51+71&gt;='🌱 Configuração'!$D$51,'🌱 Configuração'!$B$51+71&lt;'🌱 Configuração'!$E$51,INT(('🌱 Configuração'!$B$51+71-'🌱 Configuração'!$D$51)/7)+1=1,MOD('🌱 Configuração'!$B$51+71-'🌱 Configuração'!$D$51,7)=0),"🐛 Beauveria bassiana solo (sem foliar)",IF(AND('🌱 Configuração'!$B$51+71&gt;='🌱 Configuração'!$D$51,'🌱 Configuração'!$B$51+71&lt;'🌱 Configuração'!$E$51,INT(('🌱 Configuração'!$B$51+71-'🌱 Configuração'!$D$51)/7)+1=2,MOD('🌱 Configuração'!$B$51+71-'🌱 Configuração'!$D$51,7)=0),"🐛 Trichoderma solo",IF(AND('🌱 Configuração'!$B$51+71&gt;='🌱 Configuração'!$D$51,'🌱 Configuração'!$B$51+71&lt;'🌱 Configuração'!$E$51,INT(('🌱 Configuração'!$B$51+71-'🌱 Configuração'!$D$51)/7)+1=3,MOD('🌱 Configuração'!$B$51+71-'🌱 Configuração'!$D$51,7)=0),"🐛 Beauveria bassiana solo",IF(AND('🌱 Configuração'!$B$51+71&gt;='🌱 Configuração'!$D$51,'🌱 Configuração'!$B$51+71&lt;'🌱 Configuração'!$E$51,INT(('🌱 Configuração'!$B$51+71-'🌱 Configuração'!$D$51)/7)+1=4,MOD('🌱 Configuração'!$B$51+71-'🌱 Configuração'!$D$51,7)=0),"🐛 Trichoderma solo",IF(AND('🌱 Configuração'!$B$51+71&gt;='🌱 Configuração'!$E$51,INT(('🌱 Configuração'!$B$51+71-'🌱 Configuração'!$E$51)/7)+1=1,MOD('🌱 Configuração'!$B$51+71-'🌱 Configuração'!$E$51,7)=0),"🐛 Inspeção final — sem aplicação",""))))))))))))))</f>
        <v/>
      </c>
      <c r="H77" s="22" t="str">
        <f>IF(72&gt;'🌱 Configuração'!$F$50,"",IF('🌱 Configuração'!$B$51+71='🌱 Configuração'!$C$51,"🌿 INÍCIO VEGA — ajustar espaço, luz 18h/dia — EC 0.8",IF('🌱 Configuração'!$B$51+71='🌱 Configuração'!$D$51,"🌸 INÍCIO FLORAÇÃO — mudar para 12h/12h — 🔴 atenção ao fotoperíodo",IF('🌱 Configuração'!$B$51+71='🌱 Configuração'!$E$51,"🚿 INÍCIO FLUSH — PARAR nutrição, somente água pura",IF('🌱 Configuração'!$B$51+71='🌱 Configuração'!$F$51-1,"🔬 Véspera da colheita — analisar tricomas âmbar",IF('🌱 Configuração'!$B$51+71='🌱 Configuração'!$F$51,"✂️ COLHEITA! Parabéns! 🎉",""))))))</f>
        <v/>
      </c>
    </row>
    <row r="78" spans="2:8" ht="18.75" customHeight="1" x14ac:dyDescent="0.3">
      <c r="B78" s="25">
        <f>IF(73&lt;='🌱 Configuração'!$F$50,73,"")</f>
        <v>73</v>
      </c>
      <c r="C78" s="26">
        <f>IF(73&lt;='🌱 Configuração'!$F$50,'🌱 Configuração'!$B$51+72,"")</f>
        <v>46095</v>
      </c>
      <c r="D78" s="27" t="str">
        <f>IF(73&gt;'🌱 Configuração'!$F$50,"",IF('🌱 Configuração'!$B$51+72&lt;'🌱 Configuração'!$C$51,"🌱 Clone",IF('🌱 Configuração'!$B$51+72&lt;'🌱 Configuração'!$D$51,"🌿 Vegetativo",IF('🌱 Configuração'!$B$51+72&lt;'🌱 Configuração'!$E$51,"🌸 Floração","🚿 Flush"))))</f>
        <v>🌸 Floração</v>
      </c>
      <c r="E78" s="28" t="str">
        <f>IF(73&gt;'🌱 Configuração'!$F$50,"",IF('🌱 Configuração'!$B$51+72&lt;'🌱 Configuração'!$C$51,"Clone S"&amp;INT((73-1)/7)+1,IF('🌱 Configuração'!$B$51+72&lt;'🌱 Configuração'!$D$51,"Vega S"&amp;INT(('🌱 Configuração'!$B$51+72-'🌱 Configuração'!$C$51)/7)+1,IF('🌱 Configuração'!$B$51+72&lt;'🌱 Configuração'!$E$51,"Flora S"&amp;INT(('🌱 Configuração'!$B$51+72-'🌱 Configuração'!$D$51)/7)+1,"Flush S"&amp;INT(('🌱 Configuração'!$B$51+72-'🌱 Configuração'!$E$51)/7)+1))))</f>
        <v>Flora S3</v>
      </c>
      <c r="F78" s="29" t="str">
        <f>IF(73&gt;'🌱 Configuração'!$F$50,"",IF(AND('🌱 Configuração'!$B$51+72&lt;'🌱 Configuração'!$C$51,INT((73-1)/7)+1=1,MOD(73-1,7)=0),"🌱 Enraizador (0.5 mL/L)",IF(AND('🌱 Configuração'!$B$51+72&lt;'🌱 Configuração'!$C$51,INT((73-1)/7)+1=2,MOD(73-1,7)=0),"🌱 Enraizador + Vitamina B1",IF(AND('🌱 Configuração'!$B$51+72&gt;='🌱 Configuração'!$C$51,'🌱 Configuração'!$B$51+72&lt;'🌱 Configuração'!$D$51,INT(('🌱 Configuração'!$B$51+72-'🌱 Configuração'!$C$51)/7)+1=1,MOD('🌱 Configuração'!$B$51+72-'🌱 Configuração'!$C$51,7)=0),"🌿 Grow A+B início — EC 0.8",IF(AND('🌱 Configuração'!$B$51+72&gt;='🌱 Configuração'!$C$51,'🌱 Configuração'!$B$51+72&lt;'🌱 Configuração'!$D$51,INT(('🌱 Configuração'!$B$51+72-'🌱 Configuração'!$C$51)/7)+1=2,MOD('🌱 Configuração'!$B$51+72-'🌱 Configuração'!$C$51,7)=0),"🌿 Grow A+B + CalMag — EC 1.0",IF(AND('🌱 Configuração'!$B$51+72&gt;='🌱 Configuração'!$C$51,'🌱 Configuração'!$B$51+72&lt;'🌱 Configuração'!$D$51,INT(('🌱 Configuração'!$B$51+72-'🌱 Configuração'!$C$51)/7)+1=3,MOD('🌱 Configuração'!$B$51+72-'🌱 Configuração'!$C$51,7)=0),"🌿 Grow A+B + CalMag — EC 1.2",IF(AND('🌱 Configuração'!$B$51+72&gt;='🌱 Configuração'!$C$51,'🌱 Configuração'!$B$51+72&lt;'🌱 Configuração'!$D$51,INT(('🌱 Configuração'!$B$51+72-'🌱 Configuração'!$C$51)/7)+1=4,MOD('🌱 Configuração'!$B$51+72-'🌱 Configuração'!$C$51,7)=0),"🌿 Grow A+B + Enzimas — EC 1.4",IF(AND('🌱 Configuração'!$B$51+72&gt;='🌱 Configuração'!$C$51,'🌱 Configuração'!$B$51+72&lt;'🌱 Configuração'!$D$51,INT(('🌱 Configuração'!$B$51+72-'🌱 Configuração'!$C$51)/7)+1=5,MOD('🌱 Configuração'!$B$51+72-'🌱 Configuração'!$C$51,7)=0),"🌿 Grow A+B + Biorrizas — EC 1.5",IF(AND('🌱 Configuração'!$B$51+72&gt;='🌱 Configuração'!$C$51,'🌱 Configuração'!$B$51+72&lt;'🌱 Configuração'!$D$51,INT(('🌱 Configuração'!$B$51+72-'🌱 Configuração'!$C$51)/7)+1=6,MOD('🌱 Configuração'!$B$51+72-'🌱 Configuração'!$C$51,7)=0),"🌿 Transição Bloom — EC 1.4",IF(AND('🌱 Configuração'!$B$51+72&gt;='🌱 Configuração'!$C$51,'🌱 Configuração'!$B$51+72&lt;'🌱 Configuração'!$D$51,INT(('🌱 Configuração'!$B$51+72-'🌱 Configuração'!$C$51)/7)+1=7,MOD('🌱 Configuração'!$B$51+72-'🌱 Configuração'!$C$51,7)=0),"🌿 Bloom A+B transição — EC 1.4",IF(AND('🌱 Configuração'!$B$51+72&gt;='🌱 Configuração'!$C$51,'🌱 Configuração'!$B$51+72&lt;'🌱 Configuração'!$D$51,INT(('🌱 Configuração'!$B$51+72-'🌱 Configuração'!$C$51)/7)+1=8,MOD('🌱 Configuração'!$B$51+72-'🌱 Configuração'!$C$51,7)=0),"🌿 Bloom A+B — EC 1.4",IF(AND('🌱 Configuração'!$B$51+72&gt;='🌱 Configuração'!$D$51,'🌱 Configuração'!$B$51+72&lt;'🌱 Configuração'!$E$51,INT(('🌱 Configuração'!$B$51+72-'🌱 Configuração'!$D$51)/7)+1=1,MOD('🌱 Configuração'!$B$51+72-'🌱 Configuração'!$D$51,7)=0),"🌸 Bloom A+B — EC 1.6",IF(AND('🌱 Configuração'!$B$51+72&gt;='🌱 Configuração'!$D$51,'🌱 Configuração'!$B$51+72&lt;'🌱 Configuração'!$E$51,INT(('🌱 Configuração'!$B$51+72-'🌱 Configuração'!$D$51)/7)+1=2,MOD('🌱 Configuração'!$B$51+72-'🌱 Configuração'!$D$51,7)=0),"🌸 Bloom + PK 13/14 início",IF(AND('🌱 Configuração'!$B$51+72&gt;='🌱 Configuração'!$D$51,'🌱 Configuração'!$B$51+72&lt;'🌱 Configuração'!$E$51,INT(('🌱 Configuração'!$B$51+72-'🌱 Configuração'!$D$51)/7)+1=3,MOD('🌱 Configuração'!$B$51+72-'🌱 Configuração'!$D$51,7)=0),"🌸 Bloom + PK + CalMag — EC 1.8",IF(AND('🌱 Configuração'!$B$51+72&gt;='🌱 Configuração'!$D$51,'🌱 Configuração'!$B$51+72&lt;'🌱 Configuração'!$E$51,INT(('🌱 Configuração'!$B$51+72-'🌱 Configuração'!$D$51)/7)+1=4,MOD('🌱 Configuração'!$B$51+72-'🌱 Configuração'!$D$51,7)=0),"🌸 Bloom + PK + Boost Floral — EC 2.0",IF(AND('🌱 Configuração'!$B$51+72&gt;='🌱 Configuração'!$D$51,'🌱 Configuração'!$B$51+72&lt;'🌱 Configuração'!$E$51,INT(('🌱 Configuração'!$B$51+72-'🌱 Configuração'!$D$51)/7)+1=5,MOD('🌱 Configuração'!$B$51+72-'🌱 Configuração'!$D$51,7)=0),"🌸 Bloom + Boost + Amino",IF(AND('🌱 Configuração'!$B$51+72&gt;='🌱 Configuração'!$D$51,'🌱 Configuração'!$B$51+72&lt;'🌱 Configuração'!$E$51,INT(('🌱 Configuração'!$B$51+72-'🌱 Configuração'!$D$51)/7)+1=6,MOD('🌱 Configuração'!$B$51+72-'🌱 Configuração'!$D$51,7)=0),"🌸 Bloom + Enzimas + Amino",IF(AND('🌱 Configuração'!$B$51+72&gt;='🌱 Configuração'!$D$51,'🌱 Configuração'!$B$51+72&lt;'🌱 Configuração'!$E$51,INT(('🌱 Configuração'!$B$51+72-'🌱 Configuração'!$D$51)/7)+1=7,MOD('🌱 Configuração'!$B$51+72-'🌱 Configuração'!$D$51,7)=0),"🌸 Reduzir N — Bloom puro — EC 1.6",IF(AND('🌱 Configuração'!$B$51+72&gt;='🌱 Configuração'!$D$51,'🌱 Configuração'!$B$51+72&lt;'🌱 Configuração'!$E$51,INT(('🌱 Configuração'!$B$51+72-'🌱 Configuração'!$D$51)/7)+1=8,MOD('🌱 Configuração'!$B$51+72-'🌱 Configuração'!$D$51,7)=0),"🌸 Bloom puro — EC 1.4  (pré-flush)",IF(AND('🌱 Configuração'!$B$51+72&gt;='🌱 Configuração'!$D$51,'🌱 Configuração'!$B$51+72&lt;'🌱 Configuração'!$E$51,INT(('🌱 Configuração'!$B$51+72-'🌱 Configuração'!$D$51)/7)+1=9,MOD('🌱 Configuração'!$B$51+72-'🌱 Configuração'!$D$51,7)=0),"🌸 Último Bloom — EC 0.8",IF(AND('🌱 Configuração'!$B$51+72&gt;='🌱 Configuração'!$E$51,INT(('🌱 Configuração'!$B$51+72-'🌱 Configuração'!$E$51)/7)+1=1,MOD('🌱 Configuração'!$B$51+72-'🌱 Configuração'!$E$51,7)=0),"🚿 Água pura + Enzimas (EC &lt; 0.3)",IF(AND('🌱 Configuração'!$B$51+72&gt;='🌱 Configuração'!$E$51,INT(('🌱 Configuração'!$B$51+72-'🌱 Configuração'!$E$51)/7)+1=2,MOD('🌱 Configuração'!$B$51+72-'🌱 Configuração'!$E$51,7)=0),"🚿 Água pura (EC &lt; 0.2)",""))))))))))))))))))))))</f>
        <v/>
      </c>
      <c r="G78" s="30" t="str">
        <f>IF(73&gt;'🌱 Configuração'!$F$50,"",IF(AND('🌱 Configuração'!$B$51+72&lt;'🌱 Configuração'!$C$51,INT((73-1)/7)+1=1,MOD(73-1,7)=0),"🐛 Nim 2mL/L foliar — preventivo",IF(AND('🌱 Configuração'!$B$51+72&lt;'🌱 Configuração'!$C$51,INT((73-1)/7)+1=2,MOD(73-1,7)=0),"🐛 Beauveria bassiana foliar + solo",IF(AND('🌱 Configuração'!$B$51+72&gt;='🌱 Configuração'!$C$51,'🌱 Configuração'!$B$51+72&lt;'🌱 Configuração'!$D$51,INT(('🌱 Configuração'!$B$51+72-'🌱 Configuração'!$C$51)/7)+1=1,MOD('🌱 Configuração'!$B$51+72-'🌱 Configuração'!$C$51,7)=0),"🐛 Nim 2mL/L foliar",IF(AND('🌱 Configuração'!$B$51+72&gt;='🌱 Configuração'!$C$51,'🌱 Configuração'!$B$51+72&lt;'🌱 Configuração'!$D$51,INT(('🌱 Configuração'!$B$51+72-'🌱 Configuração'!$C$51)/7)+1=2,MOD('🌱 Configuração'!$B$51+72-'🌱 Configuração'!$C$51,7)=0),"🐛 Beauveria bassiana foliar",IF(AND('🌱 Configuração'!$B$51+72&gt;='🌱 Configuração'!$C$51,'🌱 Configuração'!$B$51+72&lt;'🌱 Configuração'!$D$51,INT(('🌱 Configuração'!$B$51+72-'🌱 Configuração'!$C$51)/7)+1=3,MOD('🌱 Configuração'!$B$51+72-'🌱 Configuração'!$C$51,7)=0),"🐛 Nim + Calda Sulfocálcica 1%",IF(AND('🌱 Configuração'!$B$51+72&gt;='🌱 Configuração'!$C$51,'🌱 Configuração'!$B$51+72&lt;'🌱 Configuração'!$D$51,INT(('🌱 Configuração'!$B$51+72-'🌱 Configuração'!$C$51)/7)+1=4,MOD('🌱 Configuração'!$B$51+72-'🌱 Configuração'!$C$51,7)=0),"🐛 Trichoderma solo + Beauveria",IF(AND('🌱 Configuração'!$B$51+72&gt;='🌱 Configuração'!$C$51,'🌱 Configuração'!$B$51+72&lt;'🌱 Configuração'!$D$51,INT(('🌱 Configuração'!$B$51+72-'🌱 Configuração'!$C$51)/7)+1=5,MOD('🌱 Configuração'!$B$51+72-'🌱 Configuração'!$C$51,7)=0),"🐛 Calda Bordalesa 0.5% foliar",IF(AND('🌱 Configuração'!$B$51+72&gt;='🌱 Configuração'!$C$51,'🌱 Configuração'!$B$51+72&lt;'🌱 Configuração'!$D$51,INT(('🌱 Configuração'!$B$51+72-'🌱 Configuração'!$C$51)/7)+1=6,MOD('🌱 Configuração'!$B$51+72-'🌱 Configuração'!$C$51,7)=0),"🐛 Nim 2mL/L — ÚLTIMA foliar",IF(AND('🌱 Configuração'!$B$51+72&gt;='🌱 Configuração'!$D$51,'🌱 Configuração'!$B$51+72&lt;'🌱 Configuração'!$E$51,INT(('🌱 Configuração'!$B$51+72-'🌱 Configuração'!$D$51)/7)+1=1,MOD('🌱 Configuração'!$B$51+72-'🌱 Configuração'!$D$51,7)=0),"🐛 Beauveria bassiana solo (sem foliar)",IF(AND('🌱 Configuração'!$B$51+72&gt;='🌱 Configuração'!$D$51,'🌱 Configuração'!$B$51+72&lt;'🌱 Configuração'!$E$51,INT(('🌱 Configuração'!$B$51+72-'🌱 Configuração'!$D$51)/7)+1=2,MOD('🌱 Configuração'!$B$51+72-'🌱 Configuração'!$D$51,7)=0),"🐛 Trichoderma solo",IF(AND('🌱 Configuração'!$B$51+72&gt;='🌱 Configuração'!$D$51,'🌱 Configuração'!$B$51+72&lt;'🌱 Configuração'!$E$51,INT(('🌱 Configuração'!$B$51+72-'🌱 Configuração'!$D$51)/7)+1=3,MOD('🌱 Configuração'!$B$51+72-'🌱 Configuração'!$D$51,7)=0),"🐛 Beauveria bassiana solo",IF(AND('🌱 Configuração'!$B$51+72&gt;='🌱 Configuração'!$D$51,'🌱 Configuração'!$B$51+72&lt;'🌱 Configuração'!$E$51,INT(('🌱 Configuração'!$B$51+72-'🌱 Configuração'!$D$51)/7)+1=4,MOD('🌱 Configuração'!$B$51+72-'🌱 Configuração'!$D$51,7)=0),"🐛 Trichoderma solo",IF(AND('🌱 Configuração'!$B$51+72&gt;='🌱 Configuração'!$E$51,INT(('🌱 Configuração'!$B$51+72-'🌱 Configuração'!$E$51)/7)+1=1,MOD('🌱 Configuração'!$B$51+72-'🌱 Configuração'!$E$51,7)=0),"🐛 Inspeção final — sem aplicação",""))))))))))))))</f>
        <v/>
      </c>
      <c r="H78" s="22" t="str">
        <f>IF(73&gt;'🌱 Configuração'!$F$50,"",IF('🌱 Configuração'!$B$51+72='🌱 Configuração'!$C$51,"🌿 INÍCIO VEGA — ajustar espaço, luz 18h/dia — EC 0.8",IF('🌱 Configuração'!$B$51+72='🌱 Configuração'!$D$51,"🌸 INÍCIO FLORAÇÃO — mudar para 12h/12h — 🔴 atenção ao fotoperíodo",IF('🌱 Configuração'!$B$51+72='🌱 Configuração'!$E$51,"🚿 INÍCIO FLUSH — PARAR nutrição, somente água pura",IF('🌱 Configuração'!$B$51+72='🌱 Configuração'!$F$51-1,"🔬 Véspera da colheita — analisar tricomas âmbar",IF('🌱 Configuração'!$B$51+72='🌱 Configuração'!$F$51,"✂️ COLHEITA! Parabéns! 🎉",""))))))</f>
        <v/>
      </c>
    </row>
    <row r="79" spans="2:8" ht="18.75" customHeight="1" x14ac:dyDescent="0.3">
      <c r="B79" s="25">
        <f>IF(74&lt;='🌱 Configuração'!$F$50,74,"")</f>
        <v>74</v>
      </c>
      <c r="C79" s="26">
        <f>IF(74&lt;='🌱 Configuração'!$F$50,'🌱 Configuração'!$B$51+73,"")</f>
        <v>46096</v>
      </c>
      <c r="D79" s="27" t="str">
        <f>IF(74&gt;'🌱 Configuração'!$F$50,"",IF('🌱 Configuração'!$B$51+73&lt;'🌱 Configuração'!$C$51,"🌱 Clone",IF('🌱 Configuração'!$B$51+73&lt;'🌱 Configuração'!$D$51,"🌿 Vegetativo",IF('🌱 Configuração'!$B$51+73&lt;'🌱 Configuração'!$E$51,"🌸 Floração","🚿 Flush"))))</f>
        <v>🌸 Floração</v>
      </c>
      <c r="E79" s="28" t="str">
        <f>IF(74&gt;'🌱 Configuração'!$F$50,"",IF('🌱 Configuração'!$B$51+73&lt;'🌱 Configuração'!$C$51,"Clone S"&amp;INT((74-1)/7)+1,IF('🌱 Configuração'!$B$51+73&lt;'🌱 Configuração'!$D$51,"Vega S"&amp;INT(('🌱 Configuração'!$B$51+73-'🌱 Configuração'!$C$51)/7)+1,IF('🌱 Configuração'!$B$51+73&lt;'🌱 Configuração'!$E$51,"Flora S"&amp;INT(('🌱 Configuração'!$B$51+73-'🌱 Configuração'!$D$51)/7)+1,"Flush S"&amp;INT(('🌱 Configuração'!$B$51+73-'🌱 Configuração'!$E$51)/7)+1))))</f>
        <v>Flora S3</v>
      </c>
      <c r="F79" s="29" t="str">
        <f>IF(74&gt;'🌱 Configuração'!$F$50,"",IF(AND('🌱 Configuração'!$B$51+73&lt;'🌱 Configuração'!$C$51,INT((74-1)/7)+1=1,MOD(74-1,7)=0),"🌱 Enraizador (0.5 mL/L)",IF(AND('🌱 Configuração'!$B$51+73&lt;'🌱 Configuração'!$C$51,INT((74-1)/7)+1=2,MOD(74-1,7)=0),"🌱 Enraizador + Vitamina B1",IF(AND('🌱 Configuração'!$B$51+73&gt;='🌱 Configuração'!$C$51,'🌱 Configuração'!$B$51+73&lt;'🌱 Configuração'!$D$51,INT(('🌱 Configuração'!$B$51+73-'🌱 Configuração'!$C$51)/7)+1=1,MOD('🌱 Configuração'!$B$51+73-'🌱 Configuração'!$C$51,7)=0),"🌿 Grow A+B início — EC 0.8",IF(AND('🌱 Configuração'!$B$51+73&gt;='🌱 Configuração'!$C$51,'🌱 Configuração'!$B$51+73&lt;'🌱 Configuração'!$D$51,INT(('🌱 Configuração'!$B$51+73-'🌱 Configuração'!$C$51)/7)+1=2,MOD('🌱 Configuração'!$B$51+73-'🌱 Configuração'!$C$51,7)=0),"🌿 Grow A+B + CalMag — EC 1.0",IF(AND('🌱 Configuração'!$B$51+73&gt;='🌱 Configuração'!$C$51,'🌱 Configuração'!$B$51+73&lt;'🌱 Configuração'!$D$51,INT(('🌱 Configuração'!$B$51+73-'🌱 Configuração'!$C$51)/7)+1=3,MOD('🌱 Configuração'!$B$51+73-'🌱 Configuração'!$C$51,7)=0),"🌿 Grow A+B + CalMag — EC 1.2",IF(AND('🌱 Configuração'!$B$51+73&gt;='🌱 Configuração'!$C$51,'🌱 Configuração'!$B$51+73&lt;'🌱 Configuração'!$D$51,INT(('🌱 Configuração'!$B$51+73-'🌱 Configuração'!$C$51)/7)+1=4,MOD('🌱 Configuração'!$B$51+73-'🌱 Configuração'!$C$51,7)=0),"🌿 Grow A+B + Enzimas — EC 1.4",IF(AND('🌱 Configuração'!$B$51+73&gt;='🌱 Configuração'!$C$51,'🌱 Configuração'!$B$51+73&lt;'🌱 Configuração'!$D$51,INT(('🌱 Configuração'!$B$51+73-'🌱 Configuração'!$C$51)/7)+1=5,MOD('🌱 Configuração'!$B$51+73-'🌱 Configuração'!$C$51,7)=0),"🌿 Grow A+B + Biorrizas — EC 1.5",IF(AND('🌱 Configuração'!$B$51+73&gt;='🌱 Configuração'!$C$51,'🌱 Configuração'!$B$51+73&lt;'🌱 Configuração'!$D$51,INT(('🌱 Configuração'!$B$51+73-'🌱 Configuração'!$C$51)/7)+1=6,MOD('🌱 Configuração'!$B$51+73-'🌱 Configuração'!$C$51,7)=0),"🌿 Transição Bloom — EC 1.4",IF(AND('🌱 Configuração'!$B$51+73&gt;='🌱 Configuração'!$C$51,'🌱 Configuração'!$B$51+73&lt;'🌱 Configuração'!$D$51,INT(('🌱 Configuração'!$B$51+73-'🌱 Configuração'!$C$51)/7)+1=7,MOD('🌱 Configuração'!$B$51+73-'🌱 Configuração'!$C$51,7)=0),"🌿 Bloom A+B transição — EC 1.4",IF(AND('🌱 Configuração'!$B$51+73&gt;='🌱 Configuração'!$C$51,'🌱 Configuração'!$B$51+73&lt;'🌱 Configuração'!$D$51,INT(('🌱 Configuração'!$B$51+73-'🌱 Configuração'!$C$51)/7)+1=8,MOD('🌱 Configuração'!$B$51+73-'🌱 Configuração'!$C$51,7)=0),"🌿 Bloom A+B — EC 1.4",IF(AND('🌱 Configuração'!$B$51+73&gt;='🌱 Configuração'!$D$51,'🌱 Configuração'!$B$51+73&lt;'🌱 Configuração'!$E$51,INT(('🌱 Configuração'!$B$51+73-'🌱 Configuração'!$D$51)/7)+1=1,MOD('🌱 Configuração'!$B$51+73-'🌱 Configuração'!$D$51,7)=0),"🌸 Bloom A+B — EC 1.6",IF(AND('🌱 Configuração'!$B$51+73&gt;='🌱 Configuração'!$D$51,'🌱 Configuração'!$B$51+73&lt;'🌱 Configuração'!$E$51,INT(('🌱 Configuração'!$B$51+73-'🌱 Configuração'!$D$51)/7)+1=2,MOD('🌱 Configuração'!$B$51+73-'🌱 Configuração'!$D$51,7)=0),"🌸 Bloom + PK 13/14 início",IF(AND('🌱 Configuração'!$B$51+73&gt;='🌱 Configuração'!$D$51,'🌱 Configuração'!$B$51+73&lt;'🌱 Configuração'!$E$51,INT(('🌱 Configuração'!$B$51+73-'🌱 Configuração'!$D$51)/7)+1=3,MOD('🌱 Configuração'!$B$51+73-'🌱 Configuração'!$D$51,7)=0),"🌸 Bloom + PK + CalMag — EC 1.8",IF(AND('🌱 Configuração'!$B$51+73&gt;='🌱 Configuração'!$D$51,'🌱 Configuração'!$B$51+73&lt;'🌱 Configuração'!$E$51,INT(('🌱 Configuração'!$B$51+73-'🌱 Configuração'!$D$51)/7)+1=4,MOD('🌱 Configuração'!$B$51+73-'🌱 Configuração'!$D$51,7)=0),"🌸 Bloom + PK + Boost Floral — EC 2.0",IF(AND('🌱 Configuração'!$B$51+73&gt;='🌱 Configuração'!$D$51,'🌱 Configuração'!$B$51+73&lt;'🌱 Configuração'!$E$51,INT(('🌱 Configuração'!$B$51+73-'🌱 Configuração'!$D$51)/7)+1=5,MOD('🌱 Configuração'!$B$51+73-'🌱 Configuração'!$D$51,7)=0),"🌸 Bloom + Boost + Amino",IF(AND('🌱 Configuração'!$B$51+73&gt;='🌱 Configuração'!$D$51,'🌱 Configuração'!$B$51+73&lt;'🌱 Configuração'!$E$51,INT(('🌱 Configuração'!$B$51+73-'🌱 Configuração'!$D$51)/7)+1=6,MOD('🌱 Configuração'!$B$51+73-'🌱 Configuração'!$D$51,7)=0),"🌸 Bloom + Enzimas + Amino",IF(AND('🌱 Configuração'!$B$51+73&gt;='🌱 Configuração'!$D$51,'🌱 Configuração'!$B$51+73&lt;'🌱 Configuração'!$E$51,INT(('🌱 Configuração'!$B$51+73-'🌱 Configuração'!$D$51)/7)+1=7,MOD('🌱 Configuração'!$B$51+73-'🌱 Configuração'!$D$51,7)=0),"🌸 Reduzir N — Bloom puro — EC 1.6",IF(AND('🌱 Configuração'!$B$51+73&gt;='🌱 Configuração'!$D$51,'🌱 Configuração'!$B$51+73&lt;'🌱 Configuração'!$E$51,INT(('🌱 Configuração'!$B$51+73-'🌱 Configuração'!$D$51)/7)+1=8,MOD('🌱 Configuração'!$B$51+73-'🌱 Configuração'!$D$51,7)=0),"🌸 Bloom puro — EC 1.4  (pré-flush)",IF(AND('🌱 Configuração'!$B$51+73&gt;='🌱 Configuração'!$D$51,'🌱 Configuração'!$B$51+73&lt;'🌱 Configuração'!$E$51,INT(('🌱 Configuração'!$B$51+73-'🌱 Configuração'!$D$51)/7)+1=9,MOD('🌱 Configuração'!$B$51+73-'🌱 Configuração'!$D$51,7)=0),"🌸 Último Bloom — EC 0.8",IF(AND('🌱 Configuração'!$B$51+73&gt;='🌱 Configuração'!$E$51,INT(('🌱 Configuração'!$B$51+73-'🌱 Configuração'!$E$51)/7)+1=1,MOD('🌱 Configuração'!$B$51+73-'🌱 Configuração'!$E$51,7)=0),"🚿 Água pura + Enzimas (EC &lt; 0.3)",IF(AND('🌱 Configuração'!$B$51+73&gt;='🌱 Configuração'!$E$51,INT(('🌱 Configuração'!$B$51+73-'🌱 Configuração'!$E$51)/7)+1=2,MOD('🌱 Configuração'!$B$51+73-'🌱 Configuração'!$E$51,7)=0),"🚿 Água pura (EC &lt; 0.2)",""))))))))))))))))))))))</f>
        <v/>
      </c>
      <c r="G79" s="30" t="str">
        <f>IF(74&gt;'🌱 Configuração'!$F$50,"",IF(AND('🌱 Configuração'!$B$51+73&lt;'🌱 Configuração'!$C$51,INT((74-1)/7)+1=1,MOD(74-1,7)=0),"🐛 Nim 2mL/L foliar — preventivo",IF(AND('🌱 Configuração'!$B$51+73&lt;'🌱 Configuração'!$C$51,INT((74-1)/7)+1=2,MOD(74-1,7)=0),"🐛 Beauveria bassiana foliar + solo",IF(AND('🌱 Configuração'!$B$51+73&gt;='🌱 Configuração'!$C$51,'🌱 Configuração'!$B$51+73&lt;'🌱 Configuração'!$D$51,INT(('🌱 Configuração'!$B$51+73-'🌱 Configuração'!$C$51)/7)+1=1,MOD('🌱 Configuração'!$B$51+73-'🌱 Configuração'!$C$51,7)=0),"🐛 Nim 2mL/L foliar",IF(AND('🌱 Configuração'!$B$51+73&gt;='🌱 Configuração'!$C$51,'🌱 Configuração'!$B$51+73&lt;'🌱 Configuração'!$D$51,INT(('🌱 Configuração'!$B$51+73-'🌱 Configuração'!$C$51)/7)+1=2,MOD('🌱 Configuração'!$B$51+73-'🌱 Configuração'!$C$51,7)=0),"🐛 Beauveria bassiana foliar",IF(AND('🌱 Configuração'!$B$51+73&gt;='🌱 Configuração'!$C$51,'🌱 Configuração'!$B$51+73&lt;'🌱 Configuração'!$D$51,INT(('🌱 Configuração'!$B$51+73-'🌱 Configuração'!$C$51)/7)+1=3,MOD('🌱 Configuração'!$B$51+73-'🌱 Configuração'!$C$51,7)=0),"🐛 Nim + Calda Sulfocálcica 1%",IF(AND('🌱 Configuração'!$B$51+73&gt;='🌱 Configuração'!$C$51,'🌱 Configuração'!$B$51+73&lt;'🌱 Configuração'!$D$51,INT(('🌱 Configuração'!$B$51+73-'🌱 Configuração'!$C$51)/7)+1=4,MOD('🌱 Configuração'!$B$51+73-'🌱 Configuração'!$C$51,7)=0),"🐛 Trichoderma solo + Beauveria",IF(AND('🌱 Configuração'!$B$51+73&gt;='🌱 Configuração'!$C$51,'🌱 Configuração'!$B$51+73&lt;'🌱 Configuração'!$D$51,INT(('🌱 Configuração'!$B$51+73-'🌱 Configuração'!$C$51)/7)+1=5,MOD('🌱 Configuração'!$B$51+73-'🌱 Configuração'!$C$51,7)=0),"🐛 Calda Bordalesa 0.5% foliar",IF(AND('🌱 Configuração'!$B$51+73&gt;='🌱 Configuração'!$C$51,'🌱 Configuração'!$B$51+73&lt;'🌱 Configuração'!$D$51,INT(('🌱 Configuração'!$B$51+73-'🌱 Configuração'!$C$51)/7)+1=6,MOD('🌱 Configuração'!$B$51+73-'🌱 Configuração'!$C$51,7)=0),"🐛 Nim 2mL/L — ÚLTIMA foliar",IF(AND('🌱 Configuração'!$B$51+73&gt;='🌱 Configuração'!$D$51,'🌱 Configuração'!$B$51+73&lt;'🌱 Configuração'!$E$51,INT(('🌱 Configuração'!$B$51+73-'🌱 Configuração'!$D$51)/7)+1=1,MOD('🌱 Configuração'!$B$51+73-'🌱 Configuração'!$D$51,7)=0),"🐛 Beauveria bassiana solo (sem foliar)",IF(AND('🌱 Configuração'!$B$51+73&gt;='🌱 Configuração'!$D$51,'🌱 Configuração'!$B$51+73&lt;'🌱 Configuração'!$E$51,INT(('🌱 Configuração'!$B$51+73-'🌱 Configuração'!$D$51)/7)+1=2,MOD('🌱 Configuração'!$B$51+73-'🌱 Configuração'!$D$51,7)=0),"🐛 Trichoderma solo",IF(AND('🌱 Configuração'!$B$51+73&gt;='🌱 Configuração'!$D$51,'🌱 Configuração'!$B$51+73&lt;'🌱 Configuração'!$E$51,INT(('🌱 Configuração'!$B$51+73-'🌱 Configuração'!$D$51)/7)+1=3,MOD('🌱 Configuração'!$B$51+73-'🌱 Configuração'!$D$51,7)=0),"🐛 Beauveria bassiana solo",IF(AND('🌱 Configuração'!$B$51+73&gt;='🌱 Configuração'!$D$51,'🌱 Configuração'!$B$51+73&lt;'🌱 Configuração'!$E$51,INT(('🌱 Configuração'!$B$51+73-'🌱 Configuração'!$D$51)/7)+1=4,MOD('🌱 Configuração'!$B$51+73-'🌱 Configuração'!$D$51,7)=0),"🐛 Trichoderma solo",IF(AND('🌱 Configuração'!$B$51+73&gt;='🌱 Configuração'!$E$51,INT(('🌱 Configuração'!$B$51+73-'🌱 Configuração'!$E$51)/7)+1=1,MOD('🌱 Configuração'!$B$51+73-'🌱 Configuração'!$E$51,7)=0),"🐛 Inspeção final — sem aplicação",""))))))))))))))</f>
        <v/>
      </c>
      <c r="H79" s="22" t="str">
        <f>IF(74&gt;'🌱 Configuração'!$F$50,"",IF('🌱 Configuração'!$B$51+73='🌱 Configuração'!$C$51,"🌿 INÍCIO VEGA — ajustar espaço, luz 18h/dia — EC 0.8",IF('🌱 Configuração'!$B$51+73='🌱 Configuração'!$D$51,"🌸 INÍCIO FLORAÇÃO — mudar para 12h/12h — 🔴 atenção ao fotoperíodo",IF('🌱 Configuração'!$B$51+73='🌱 Configuração'!$E$51,"🚿 INÍCIO FLUSH — PARAR nutrição, somente água pura",IF('🌱 Configuração'!$B$51+73='🌱 Configuração'!$F$51-1,"🔬 Véspera da colheita — analisar tricomas âmbar",IF('🌱 Configuração'!$B$51+73='🌱 Configuração'!$F$51,"✂️ COLHEITA! Parabéns! 🎉",""))))))</f>
        <v/>
      </c>
    </row>
    <row r="80" spans="2:8" ht="18.75" customHeight="1" x14ac:dyDescent="0.3">
      <c r="B80" s="25">
        <f>IF(75&lt;='🌱 Configuração'!$F$50,75,"")</f>
        <v>75</v>
      </c>
      <c r="C80" s="26">
        <f>IF(75&lt;='🌱 Configuração'!$F$50,'🌱 Configuração'!$B$51+74,"")</f>
        <v>46097</v>
      </c>
      <c r="D80" s="27" t="str">
        <f>IF(75&gt;'🌱 Configuração'!$F$50,"",IF('🌱 Configuração'!$B$51+74&lt;'🌱 Configuração'!$C$51,"🌱 Clone",IF('🌱 Configuração'!$B$51+74&lt;'🌱 Configuração'!$D$51,"🌿 Vegetativo",IF('🌱 Configuração'!$B$51+74&lt;'🌱 Configuração'!$E$51,"🌸 Floração","🚿 Flush"))))</f>
        <v>🌸 Floração</v>
      </c>
      <c r="E80" s="28" t="str">
        <f>IF(75&gt;'🌱 Configuração'!$F$50,"",IF('🌱 Configuração'!$B$51+74&lt;'🌱 Configuração'!$C$51,"Clone S"&amp;INT((75-1)/7)+1,IF('🌱 Configuração'!$B$51+74&lt;'🌱 Configuração'!$D$51,"Vega S"&amp;INT(('🌱 Configuração'!$B$51+74-'🌱 Configuração'!$C$51)/7)+1,IF('🌱 Configuração'!$B$51+74&lt;'🌱 Configuração'!$E$51,"Flora S"&amp;INT(('🌱 Configuração'!$B$51+74-'🌱 Configuração'!$D$51)/7)+1,"Flush S"&amp;INT(('🌱 Configuração'!$B$51+74-'🌱 Configuração'!$E$51)/7)+1))))</f>
        <v>Flora S3</v>
      </c>
      <c r="F80" s="29" t="str">
        <f>IF(75&gt;'🌱 Configuração'!$F$50,"",IF(AND('🌱 Configuração'!$B$51+74&lt;'🌱 Configuração'!$C$51,INT((75-1)/7)+1=1,MOD(75-1,7)=0),"🌱 Enraizador (0.5 mL/L)",IF(AND('🌱 Configuração'!$B$51+74&lt;'🌱 Configuração'!$C$51,INT((75-1)/7)+1=2,MOD(75-1,7)=0),"🌱 Enraizador + Vitamina B1",IF(AND('🌱 Configuração'!$B$51+74&gt;='🌱 Configuração'!$C$51,'🌱 Configuração'!$B$51+74&lt;'🌱 Configuração'!$D$51,INT(('🌱 Configuração'!$B$51+74-'🌱 Configuração'!$C$51)/7)+1=1,MOD('🌱 Configuração'!$B$51+74-'🌱 Configuração'!$C$51,7)=0),"🌿 Grow A+B início — EC 0.8",IF(AND('🌱 Configuração'!$B$51+74&gt;='🌱 Configuração'!$C$51,'🌱 Configuração'!$B$51+74&lt;'🌱 Configuração'!$D$51,INT(('🌱 Configuração'!$B$51+74-'🌱 Configuração'!$C$51)/7)+1=2,MOD('🌱 Configuração'!$B$51+74-'🌱 Configuração'!$C$51,7)=0),"🌿 Grow A+B + CalMag — EC 1.0",IF(AND('🌱 Configuração'!$B$51+74&gt;='🌱 Configuração'!$C$51,'🌱 Configuração'!$B$51+74&lt;'🌱 Configuração'!$D$51,INT(('🌱 Configuração'!$B$51+74-'🌱 Configuração'!$C$51)/7)+1=3,MOD('🌱 Configuração'!$B$51+74-'🌱 Configuração'!$C$51,7)=0),"🌿 Grow A+B + CalMag — EC 1.2",IF(AND('🌱 Configuração'!$B$51+74&gt;='🌱 Configuração'!$C$51,'🌱 Configuração'!$B$51+74&lt;'🌱 Configuração'!$D$51,INT(('🌱 Configuração'!$B$51+74-'🌱 Configuração'!$C$51)/7)+1=4,MOD('🌱 Configuração'!$B$51+74-'🌱 Configuração'!$C$51,7)=0),"🌿 Grow A+B + Enzimas — EC 1.4",IF(AND('🌱 Configuração'!$B$51+74&gt;='🌱 Configuração'!$C$51,'🌱 Configuração'!$B$51+74&lt;'🌱 Configuração'!$D$51,INT(('🌱 Configuração'!$B$51+74-'🌱 Configuração'!$C$51)/7)+1=5,MOD('🌱 Configuração'!$B$51+74-'🌱 Configuração'!$C$51,7)=0),"🌿 Grow A+B + Biorrizas — EC 1.5",IF(AND('🌱 Configuração'!$B$51+74&gt;='🌱 Configuração'!$C$51,'🌱 Configuração'!$B$51+74&lt;'🌱 Configuração'!$D$51,INT(('🌱 Configuração'!$B$51+74-'🌱 Configuração'!$C$51)/7)+1=6,MOD('🌱 Configuração'!$B$51+74-'🌱 Configuração'!$C$51,7)=0),"🌿 Transição Bloom — EC 1.4",IF(AND('🌱 Configuração'!$B$51+74&gt;='🌱 Configuração'!$C$51,'🌱 Configuração'!$B$51+74&lt;'🌱 Configuração'!$D$51,INT(('🌱 Configuração'!$B$51+74-'🌱 Configuração'!$C$51)/7)+1=7,MOD('🌱 Configuração'!$B$51+74-'🌱 Configuração'!$C$51,7)=0),"🌿 Bloom A+B transição — EC 1.4",IF(AND('🌱 Configuração'!$B$51+74&gt;='🌱 Configuração'!$C$51,'🌱 Configuração'!$B$51+74&lt;'🌱 Configuração'!$D$51,INT(('🌱 Configuração'!$B$51+74-'🌱 Configuração'!$C$51)/7)+1=8,MOD('🌱 Configuração'!$B$51+74-'🌱 Configuração'!$C$51,7)=0),"🌿 Bloom A+B — EC 1.4",IF(AND('🌱 Configuração'!$B$51+74&gt;='🌱 Configuração'!$D$51,'🌱 Configuração'!$B$51+74&lt;'🌱 Configuração'!$E$51,INT(('🌱 Configuração'!$B$51+74-'🌱 Configuração'!$D$51)/7)+1=1,MOD('🌱 Configuração'!$B$51+74-'🌱 Configuração'!$D$51,7)=0),"🌸 Bloom A+B — EC 1.6",IF(AND('🌱 Configuração'!$B$51+74&gt;='🌱 Configuração'!$D$51,'🌱 Configuração'!$B$51+74&lt;'🌱 Configuração'!$E$51,INT(('🌱 Configuração'!$B$51+74-'🌱 Configuração'!$D$51)/7)+1=2,MOD('🌱 Configuração'!$B$51+74-'🌱 Configuração'!$D$51,7)=0),"🌸 Bloom + PK 13/14 início",IF(AND('🌱 Configuração'!$B$51+74&gt;='🌱 Configuração'!$D$51,'🌱 Configuração'!$B$51+74&lt;'🌱 Configuração'!$E$51,INT(('🌱 Configuração'!$B$51+74-'🌱 Configuração'!$D$51)/7)+1=3,MOD('🌱 Configuração'!$B$51+74-'🌱 Configuração'!$D$51,7)=0),"🌸 Bloom + PK + CalMag — EC 1.8",IF(AND('🌱 Configuração'!$B$51+74&gt;='🌱 Configuração'!$D$51,'🌱 Configuração'!$B$51+74&lt;'🌱 Configuração'!$E$51,INT(('🌱 Configuração'!$B$51+74-'🌱 Configuração'!$D$51)/7)+1=4,MOD('🌱 Configuração'!$B$51+74-'🌱 Configuração'!$D$51,7)=0),"🌸 Bloom + PK + Boost Floral — EC 2.0",IF(AND('🌱 Configuração'!$B$51+74&gt;='🌱 Configuração'!$D$51,'🌱 Configuração'!$B$51+74&lt;'🌱 Configuração'!$E$51,INT(('🌱 Configuração'!$B$51+74-'🌱 Configuração'!$D$51)/7)+1=5,MOD('🌱 Configuração'!$B$51+74-'🌱 Configuração'!$D$51,7)=0),"🌸 Bloom + Boost + Amino",IF(AND('🌱 Configuração'!$B$51+74&gt;='🌱 Configuração'!$D$51,'🌱 Configuração'!$B$51+74&lt;'🌱 Configuração'!$E$51,INT(('🌱 Configuração'!$B$51+74-'🌱 Configuração'!$D$51)/7)+1=6,MOD('🌱 Configuração'!$B$51+74-'🌱 Configuração'!$D$51,7)=0),"🌸 Bloom + Enzimas + Amino",IF(AND('🌱 Configuração'!$B$51+74&gt;='🌱 Configuração'!$D$51,'🌱 Configuração'!$B$51+74&lt;'🌱 Configuração'!$E$51,INT(('🌱 Configuração'!$B$51+74-'🌱 Configuração'!$D$51)/7)+1=7,MOD('🌱 Configuração'!$B$51+74-'🌱 Configuração'!$D$51,7)=0),"🌸 Reduzir N — Bloom puro — EC 1.6",IF(AND('🌱 Configuração'!$B$51+74&gt;='🌱 Configuração'!$D$51,'🌱 Configuração'!$B$51+74&lt;'🌱 Configuração'!$E$51,INT(('🌱 Configuração'!$B$51+74-'🌱 Configuração'!$D$51)/7)+1=8,MOD('🌱 Configuração'!$B$51+74-'🌱 Configuração'!$D$51,7)=0),"🌸 Bloom puro — EC 1.4  (pré-flush)",IF(AND('🌱 Configuração'!$B$51+74&gt;='🌱 Configuração'!$D$51,'🌱 Configuração'!$B$51+74&lt;'🌱 Configuração'!$E$51,INT(('🌱 Configuração'!$B$51+74-'🌱 Configuração'!$D$51)/7)+1=9,MOD('🌱 Configuração'!$B$51+74-'🌱 Configuração'!$D$51,7)=0),"🌸 Último Bloom — EC 0.8",IF(AND('🌱 Configuração'!$B$51+74&gt;='🌱 Configuração'!$E$51,INT(('🌱 Configuração'!$B$51+74-'🌱 Configuração'!$E$51)/7)+1=1,MOD('🌱 Configuração'!$B$51+74-'🌱 Configuração'!$E$51,7)=0),"🚿 Água pura + Enzimas (EC &lt; 0.3)",IF(AND('🌱 Configuração'!$B$51+74&gt;='🌱 Configuração'!$E$51,INT(('🌱 Configuração'!$B$51+74-'🌱 Configuração'!$E$51)/7)+1=2,MOD('🌱 Configuração'!$B$51+74-'🌱 Configuração'!$E$51,7)=0),"🚿 Água pura (EC &lt; 0.2)",""))))))))))))))))))))))</f>
        <v/>
      </c>
      <c r="G80" s="30" t="str">
        <f>IF(75&gt;'🌱 Configuração'!$F$50,"",IF(AND('🌱 Configuração'!$B$51+74&lt;'🌱 Configuração'!$C$51,INT((75-1)/7)+1=1,MOD(75-1,7)=0),"🐛 Nim 2mL/L foliar — preventivo",IF(AND('🌱 Configuração'!$B$51+74&lt;'🌱 Configuração'!$C$51,INT((75-1)/7)+1=2,MOD(75-1,7)=0),"🐛 Beauveria bassiana foliar + solo",IF(AND('🌱 Configuração'!$B$51+74&gt;='🌱 Configuração'!$C$51,'🌱 Configuração'!$B$51+74&lt;'🌱 Configuração'!$D$51,INT(('🌱 Configuração'!$B$51+74-'🌱 Configuração'!$C$51)/7)+1=1,MOD('🌱 Configuração'!$B$51+74-'🌱 Configuração'!$C$51,7)=0),"🐛 Nim 2mL/L foliar",IF(AND('🌱 Configuração'!$B$51+74&gt;='🌱 Configuração'!$C$51,'🌱 Configuração'!$B$51+74&lt;'🌱 Configuração'!$D$51,INT(('🌱 Configuração'!$B$51+74-'🌱 Configuração'!$C$51)/7)+1=2,MOD('🌱 Configuração'!$B$51+74-'🌱 Configuração'!$C$51,7)=0),"🐛 Beauveria bassiana foliar",IF(AND('🌱 Configuração'!$B$51+74&gt;='🌱 Configuração'!$C$51,'🌱 Configuração'!$B$51+74&lt;'🌱 Configuração'!$D$51,INT(('🌱 Configuração'!$B$51+74-'🌱 Configuração'!$C$51)/7)+1=3,MOD('🌱 Configuração'!$B$51+74-'🌱 Configuração'!$C$51,7)=0),"🐛 Nim + Calda Sulfocálcica 1%",IF(AND('🌱 Configuração'!$B$51+74&gt;='🌱 Configuração'!$C$51,'🌱 Configuração'!$B$51+74&lt;'🌱 Configuração'!$D$51,INT(('🌱 Configuração'!$B$51+74-'🌱 Configuração'!$C$51)/7)+1=4,MOD('🌱 Configuração'!$B$51+74-'🌱 Configuração'!$C$51,7)=0),"🐛 Trichoderma solo + Beauveria",IF(AND('🌱 Configuração'!$B$51+74&gt;='🌱 Configuração'!$C$51,'🌱 Configuração'!$B$51+74&lt;'🌱 Configuração'!$D$51,INT(('🌱 Configuração'!$B$51+74-'🌱 Configuração'!$C$51)/7)+1=5,MOD('🌱 Configuração'!$B$51+74-'🌱 Configuração'!$C$51,7)=0),"🐛 Calda Bordalesa 0.5% foliar",IF(AND('🌱 Configuração'!$B$51+74&gt;='🌱 Configuração'!$C$51,'🌱 Configuração'!$B$51+74&lt;'🌱 Configuração'!$D$51,INT(('🌱 Configuração'!$B$51+74-'🌱 Configuração'!$C$51)/7)+1=6,MOD('🌱 Configuração'!$B$51+74-'🌱 Configuração'!$C$51,7)=0),"🐛 Nim 2mL/L — ÚLTIMA foliar",IF(AND('🌱 Configuração'!$B$51+74&gt;='🌱 Configuração'!$D$51,'🌱 Configuração'!$B$51+74&lt;'🌱 Configuração'!$E$51,INT(('🌱 Configuração'!$B$51+74-'🌱 Configuração'!$D$51)/7)+1=1,MOD('🌱 Configuração'!$B$51+74-'🌱 Configuração'!$D$51,7)=0),"🐛 Beauveria bassiana solo (sem foliar)",IF(AND('🌱 Configuração'!$B$51+74&gt;='🌱 Configuração'!$D$51,'🌱 Configuração'!$B$51+74&lt;'🌱 Configuração'!$E$51,INT(('🌱 Configuração'!$B$51+74-'🌱 Configuração'!$D$51)/7)+1=2,MOD('🌱 Configuração'!$B$51+74-'🌱 Configuração'!$D$51,7)=0),"🐛 Trichoderma solo",IF(AND('🌱 Configuração'!$B$51+74&gt;='🌱 Configuração'!$D$51,'🌱 Configuração'!$B$51+74&lt;'🌱 Configuração'!$E$51,INT(('🌱 Configuração'!$B$51+74-'🌱 Configuração'!$D$51)/7)+1=3,MOD('🌱 Configuração'!$B$51+74-'🌱 Configuração'!$D$51,7)=0),"🐛 Beauveria bassiana solo",IF(AND('🌱 Configuração'!$B$51+74&gt;='🌱 Configuração'!$D$51,'🌱 Configuração'!$B$51+74&lt;'🌱 Configuração'!$E$51,INT(('🌱 Configuração'!$B$51+74-'🌱 Configuração'!$D$51)/7)+1=4,MOD('🌱 Configuração'!$B$51+74-'🌱 Configuração'!$D$51,7)=0),"🐛 Trichoderma solo",IF(AND('🌱 Configuração'!$B$51+74&gt;='🌱 Configuração'!$E$51,INT(('🌱 Configuração'!$B$51+74-'🌱 Configuração'!$E$51)/7)+1=1,MOD('🌱 Configuração'!$B$51+74-'🌱 Configuração'!$E$51,7)=0),"🐛 Inspeção final — sem aplicação",""))))))))))))))</f>
        <v/>
      </c>
      <c r="H80" s="22" t="str">
        <f>IF(75&gt;'🌱 Configuração'!$F$50,"",IF('🌱 Configuração'!$B$51+74='🌱 Configuração'!$C$51,"🌿 INÍCIO VEGA — ajustar espaço, luz 18h/dia — EC 0.8",IF('🌱 Configuração'!$B$51+74='🌱 Configuração'!$D$51,"🌸 INÍCIO FLORAÇÃO — mudar para 12h/12h — 🔴 atenção ao fotoperíodo",IF('🌱 Configuração'!$B$51+74='🌱 Configuração'!$E$51,"🚿 INÍCIO FLUSH — PARAR nutrição, somente água pura",IF('🌱 Configuração'!$B$51+74='🌱 Configuração'!$F$51-1,"🔬 Véspera da colheita — analisar tricomas âmbar",IF('🌱 Configuração'!$B$51+74='🌱 Configuração'!$F$51,"✂️ COLHEITA! Parabéns! 🎉",""))))))</f>
        <v/>
      </c>
    </row>
    <row r="81" spans="2:8" ht="18.75" customHeight="1" x14ac:dyDescent="0.3">
      <c r="B81" s="25">
        <f>IF(76&lt;='🌱 Configuração'!$F$50,76,"")</f>
        <v>76</v>
      </c>
      <c r="C81" s="26">
        <f>IF(76&lt;='🌱 Configuração'!$F$50,'🌱 Configuração'!$B$51+75,"")</f>
        <v>46098</v>
      </c>
      <c r="D81" s="27" t="str">
        <f>IF(76&gt;'🌱 Configuração'!$F$50,"",IF('🌱 Configuração'!$B$51+75&lt;'🌱 Configuração'!$C$51,"🌱 Clone",IF('🌱 Configuração'!$B$51+75&lt;'🌱 Configuração'!$D$51,"🌿 Vegetativo",IF('🌱 Configuração'!$B$51+75&lt;'🌱 Configuração'!$E$51,"🌸 Floração","🚿 Flush"))))</f>
        <v>🌸 Floração</v>
      </c>
      <c r="E81" s="28" t="str">
        <f>IF(76&gt;'🌱 Configuração'!$F$50,"",IF('🌱 Configuração'!$B$51+75&lt;'🌱 Configuração'!$C$51,"Clone S"&amp;INT((76-1)/7)+1,IF('🌱 Configuração'!$B$51+75&lt;'🌱 Configuração'!$D$51,"Vega S"&amp;INT(('🌱 Configuração'!$B$51+75-'🌱 Configuração'!$C$51)/7)+1,IF('🌱 Configuração'!$B$51+75&lt;'🌱 Configuração'!$E$51,"Flora S"&amp;INT(('🌱 Configuração'!$B$51+75-'🌱 Configuração'!$D$51)/7)+1,"Flush S"&amp;INT(('🌱 Configuração'!$B$51+75-'🌱 Configuração'!$E$51)/7)+1))))</f>
        <v>Flora S3</v>
      </c>
      <c r="F81" s="29" t="str">
        <f>IF(76&gt;'🌱 Configuração'!$F$50,"",IF(AND('🌱 Configuração'!$B$51+75&lt;'🌱 Configuração'!$C$51,INT((76-1)/7)+1=1,MOD(76-1,7)=0),"🌱 Enraizador (0.5 mL/L)",IF(AND('🌱 Configuração'!$B$51+75&lt;'🌱 Configuração'!$C$51,INT((76-1)/7)+1=2,MOD(76-1,7)=0),"🌱 Enraizador + Vitamina B1",IF(AND('🌱 Configuração'!$B$51+75&gt;='🌱 Configuração'!$C$51,'🌱 Configuração'!$B$51+75&lt;'🌱 Configuração'!$D$51,INT(('🌱 Configuração'!$B$51+75-'🌱 Configuração'!$C$51)/7)+1=1,MOD('🌱 Configuração'!$B$51+75-'🌱 Configuração'!$C$51,7)=0),"🌿 Grow A+B início — EC 0.8",IF(AND('🌱 Configuração'!$B$51+75&gt;='🌱 Configuração'!$C$51,'🌱 Configuração'!$B$51+75&lt;'🌱 Configuração'!$D$51,INT(('🌱 Configuração'!$B$51+75-'🌱 Configuração'!$C$51)/7)+1=2,MOD('🌱 Configuração'!$B$51+75-'🌱 Configuração'!$C$51,7)=0),"🌿 Grow A+B + CalMag — EC 1.0",IF(AND('🌱 Configuração'!$B$51+75&gt;='🌱 Configuração'!$C$51,'🌱 Configuração'!$B$51+75&lt;'🌱 Configuração'!$D$51,INT(('🌱 Configuração'!$B$51+75-'🌱 Configuração'!$C$51)/7)+1=3,MOD('🌱 Configuração'!$B$51+75-'🌱 Configuração'!$C$51,7)=0),"🌿 Grow A+B + CalMag — EC 1.2",IF(AND('🌱 Configuração'!$B$51+75&gt;='🌱 Configuração'!$C$51,'🌱 Configuração'!$B$51+75&lt;'🌱 Configuração'!$D$51,INT(('🌱 Configuração'!$B$51+75-'🌱 Configuração'!$C$51)/7)+1=4,MOD('🌱 Configuração'!$B$51+75-'🌱 Configuração'!$C$51,7)=0),"🌿 Grow A+B + Enzimas — EC 1.4",IF(AND('🌱 Configuração'!$B$51+75&gt;='🌱 Configuração'!$C$51,'🌱 Configuração'!$B$51+75&lt;'🌱 Configuração'!$D$51,INT(('🌱 Configuração'!$B$51+75-'🌱 Configuração'!$C$51)/7)+1=5,MOD('🌱 Configuração'!$B$51+75-'🌱 Configuração'!$C$51,7)=0),"🌿 Grow A+B + Biorrizas — EC 1.5",IF(AND('🌱 Configuração'!$B$51+75&gt;='🌱 Configuração'!$C$51,'🌱 Configuração'!$B$51+75&lt;'🌱 Configuração'!$D$51,INT(('🌱 Configuração'!$B$51+75-'🌱 Configuração'!$C$51)/7)+1=6,MOD('🌱 Configuração'!$B$51+75-'🌱 Configuração'!$C$51,7)=0),"🌿 Transição Bloom — EC 1.4",IF(AND('🌱 Configuração'!$B$51+75&gt;='🌱 Configuração'!$C$51,'🌱 Configuração'!$B$51+75&lt;'🌱 Configuração'!$D$51,INT(('🌱 Configuração'!$B$51+75-'🌱 Configuração'!$C$51)/7)+1=7,MOD('🌱 Configuração'!$B$51+75-'🌱 Configuração'!$C$51,7)=0),"🌿 Bloom A+B transição — EC 1.4",IF(AND('🌱 Configuração'!$B$51+75&gt;='🌱 Configuração'!$C$51,'🌱 Configuração'!$B$51+75&lt;'🌱 Configuração'!$D$51,INT(('🌱 Configuração'!$B$51+75-'🌱 Configuração'!$C$51)/7)+1=8,MOD('🌱 Configuração'!$B$51+75-'🌱 Configuração'!$C$51,7)=0),"🌿 Bloom A+B — EC 1.4",IF(AND('🌱 Configuração'!$B$51+75&gt;='🌱 Configuração'!$D$51,'🌱 Configuração'!$B$51+75&lt;'🌱 Configuração'!$E$51,INT(('🌱 Configuração'!$B$51+75-'🌱 Configuração'!$D$51)/7)+1=1,MOD('🌱 Configuração'!$B$51+75-'🌱 Configuração'!$D$51,7)=0),"🌸 Bloom A+B — EC 1.6",IF(AND('🌱 Configuração'!$B$51+75&gt;='🌱 Configuração'!$D$51,'🌱 Configuração'!$B$51+75&lt;'🌱 Configuração'!$E$51,INT(('🌱 Configuração'!$B$51+75-'🌱 Configuração'!$D$51)/7)+1=2,MOD('🌱 Configuração'!$B$51+75-'🌱 Configuração'!$D$51,7)=0),"🌸 Bloom + PK 13/14 início",IF(AND('🌱 Configuração'!$B$51+75&gt;='🌱 Configuração'!$D$51,'🌱 Configuração'!$B$51+75&lt;'🌱 Configuração'!$E$51,INT(('🌱 Configuração'!$B$51+75-'🌱 Configuração'!$D$51)/7)+1=3,MOD('🌱 Configuração'!$B$51+75-'🌱 Configuração'!$D$51,7)=0),"🌸 Bloom + PK + CalMag — EC 1.8",IF(AND('🌱 Configuração'!$B$51+75&gt;='🌱 Configuração'!$D$51,'🌱 Configuração'!$B$51+75&lt;'🌱 Configuração'!$E$51,INT(('🌱 Configuração'!$B$51+75-'🌱 Configuração'!$D$51)/7)+1=4,MOD('🌱 Configuração'!$B$51+75-'🌱 Configuração'!$D$51,7)=0),"🌸 Bloom + PK + Boost Floral — EC 2.0",IF(AND('🌱 Configuração'!$B$51+75&gt;='🌱 Configuração'!$D$51,'🌱 Configuração'!$B$51+75&lt;'🌱 Configuração'!$E$51,INT(('🌱 Configuração'!$B$51+75-'🌱 Configuração'!$D$51)/7)+1=5,MOD('🌱 Configuração'!$B$51+75-'🌱 Configuração'!$D$51,7)=0),"🌸 Bloom + Boost + Amino",IF(AND('🌱 Configuração'!$B$51+75&gt;='🌱 Configuração'!$D$51,'🌱 Configuração'!$B$51+75&lt;'🌱 Configuração'!$E$51,INT(('🌱 Configuração'!$B$51+75-'🌱 Configuração'!$D$51)/7)+1=6,MOD('🌱 Configuração'!$B$51+75-'🌱 Configuração'!$D$51,7)=0),"🌸 Bloom + Enzimas + Amino",IF(AND('🌱 Configuração'!$B$51+75&gt;='🌱 Configuração'!$D$51,'🌱 Configuração'!$B$51+75&lt;'🌱 Configuração'!$E$51,INT(('🌱 Configuração'!$B$51+75-'🌱 Configuração'!$D$51)/7)+1=7,MOD('🌱 Configuração'!$B$51+75-'🌱 Configuração'!$D$51,7)=0),"🌸 Reduzir N — Bloom puro — EC 1.6",IF(AND('🌱 Configuração'!$B$51+75&gt;='🌱 Configuração'!$D$51,'🌱 Configuração'!$B$51+75&lt;'🌱 Configuração'!$E$51,INT(('🌱 Configuração'!$B$51+75-'🌱 Configuração'!$D$51)/7)+1=8,MOD('🌱 Configuração'!$B$51+75-'🌱 Configuração'!$D$51,7)=0),"🌸 Bloom puro — EC 1.4  (pré-flush)",IF(AND('🌱 Configuração'!$B$51+75&gt;='🌱 Configuração'!$D$51,'🌱 Configuração'!$B$51+75&lt;'🌱 Configuração'!$E$51,INT(('🌱 Configuração'!$B$51+75-'🌱 Configuração'!$D$51)/7)+1=9,MOD('🌱 Configuração'!$B$51+75-'🌱 Configuração'!$D$51,7)=0),"🌸 Último Bloom — EC 0.8",IF(AND('🌱 Configuração'!$B$51+75&gt;='🌱 Configuração'!$E$51,INT(('🌱 Configuração'!$B$51+75-'🌱 Configuração'!$E$51)/7)+1=1,MOD('🌱 Configuração'!$B$51+75-'🌱 Configuração'!$E$51,7)=0),"🚿 Água pura + Enzimas (EC &lt; 0.3)",IF(AND('🌱 Configuração'!$B$51+75&gt;='🌱 Configuração'!$E$51,INT(('🌱 Configuração'!$B$51+75-'🌱 Configuração'!$E$51)/7)+1=2,MOD('🌱 Configuração'!$B$51+75-'🌱 Configuração'!$E$51,7)=0),"🚿 Água pura (EC &lt; 0.2)",""))))))))))))))))))))))</f>
        <v/>
      </c>
      <c r="G81" s="30" t="str">
        <f>IF(76&gt;'🌱 Configuração'!$F$50,"",IF(AND('🌱 Configuração'!$B$51+75&lt;'🌱 Configuração'!$C$51,INT((76-1)/7)+1=1,MOD(76-1,7)=0),"🐛 Nim 2mL/L foliar — preventivo",IF(AND('🌱 Configuração'!$B$51+75&lt;'🌱 Configuração'!$C$51,INT((76-1)/7)+1=2,MOD(76-1,7)=0),"🐛 Beauveria bassiana foliar + solo",IF(AND('🌱 Configuração'!$B$51+75&gt;='🌱 Configuração'!$C$51,'🌱 Configuração'!$B$51+75&lt;'🌱 Configuração'!$D$51,INT(('🌱 Configuração'!$B$51+75-'🌱 Configuração'!$C$51)/7)+1=1,MOD('🌱 Configuração'!$B$51+75-'🌱 Configuração'!$C$51,7)=0),"🐛 Nim 2mL/L foliar",IF(AND('🌱 Configuração'!$B$51+75&gt;='🌱 Configuração'!$C$51,'🌱 Configuração'!$B$51+75&lt;'🌱 Configuração'!$D$51,INT(('🌱 Configuração'!$B$51+75-'🌱 Configuração'!$C$51)/7)+1=2,MOD('🌱 Configuração'!$B$51+75-'🌱 Configuração'!$C$51,7)=0),"🐛 Beauveria bassiana foliar",IF(AND('🌱 Configuração'!$B$51+75&gt;='🌱 Configuração'!$C$51,'🌱 Configuração'!$B$51+75&lt;'🌱 Configuração'!$D$51,INT(('🌱 Configuração'!$B$51+75-'🌱 Configuração'!$C$51)/7)+1=3,MOD('🌱 Configuração'!$B$51+75-'🌱 Configuração'!$C$51,7)=0),"🐛 Nim + Calda Sulfocálcica 1%",IF(AND('🌱 Configuração'!$B$51+75&gt;='🌱 Configuração'!$C$51,'🌱 Configuração'!$B$51+75&lt;'🌱 Configuração'!$D$51,INT(('🌱 Configuração'!$B$51+75-'🌱 Configuração'!$C$51)/7)+1=4,MOD('🌱 Configuração'!$B$51+75-'🌱 Configuração'!$C$51,7)=0),"🐛 Trichoderma solo + Beauveria",IF(AND('🌱 Configuração'!$B$51+75&gt;='🌱 Configuração'!$C$51,'🌱 Configuração'!$B$51+75&lt;'🌱 Configuração'!$D$51,INT(('🌱 Configuração'!$B$51+75-'🌱 Configuração'!$C$51)/7)+1=5,MOD('🌱 Configuração'!$B$51+75-'🌱 Configuração'!$C$51,7)=0),"🐛 Calda Bordalesa 0.5% foliar",IF(AND('🌱 Configuração'!$B$51+75&gt;='🌱 Configuração'!$C$51,'🌱 Configuração'!$B$51+75&lt;'🌱 Configuração'!$D$51,INT(('🌱 Configuração'!$B$51+75-'🌱 Configuração'!$C$51)/7)+1=6,MOD('🌱 Configuração'!$B$51+75-'🌱 Configuração'!$C$51,7)=0),"🐛 Nim 2mL/L — ÚLTIMA foliar",IF(AND('🌱 Configuração'!$B$51+75&gt;='🌱 Configuração'!$D$51,'🌱 Configuração'!$B$51+75&lt;'🌱 Configuração'!$E$51,INT(('🌱 Configuração'!$B$51+75-'🌱 Configuração'!$D$51)/7)+1=1,MOD('🌱 Configuração'!$B$51+75-'🌱 Configuração'!$D$51,7)=0),"🐛 Beauveria bassiana solo (sem foliar)",IF(AND('🌱 Configuração'!$B$51+75&gt;='🌱 Configuração'!$D$51,'🌱 Configuração'!$B$51+75&lt;'🌱 Configuração'!$E$51,INT(('🌱 Configuração'!$B$51+75-'🌱 Configuração'!$D$51)/7)+1=2,MOD('🌱 Configuração'!$B$51+75-'🌱 Configuração'!$D$51,7)=0),"🐛 Trichoderma solo",IF(AND('🌱 Configuração'!$B$51+75&gt;='🌱 Configuração'!$D$51,'🌱 Configuração'!$B$51+75&lt;'🌱 Configuração'!$E$51,INT(('🌱 Configuração'!$B$51+75-'🌱 Configuração'!$D$51)/7)+1=3,MOD('🌱 Configuração'!$B$51+75-'🌱 Configuração'!$D$51,7)=0),"🐛 Beauveria bassiana solo",IF(AND('🌱 Configuração'!$B$51+75&gt;='🌱 Configuração'!$D$51,'🌱 Configuração'!$B$51+75&lt;'🌱 Configuração'!$E$51,INT(('🌱 Configuração'!$B$51+75-'🌱 Configuração'!$D$51)/7)+1=4,MOD('🌱 Configuração'!$B$51+75-'🌱 Configuração'!$D$51,7)=0),"🐛 Trichoderma solo",IF(AND('🌱 Configuração'!$B$51+75&gt;='🌱 Configuração'!$E$51,INT(('🌱 Configuração'!$B$51+75-'🌱 Configuração'!$E$51)/7)+1=1,MOD('🌱 Configuração'!$B$51+75-'🌱 Configuração'!$E$51,7)=0),"🐛 Inspeção final — sem aplicação",""))))))))))))))</f>
        <v/>
      </c>
      <c r="H81" s="22" t="str">
        <f>IF(76&gt;'🌱 Configuração'!$F$50,"",IF('🌱 Configuração'!$B$51+75='🌱 Configuração'!$C$51,"🌿 INÍCIO VEGA — ajustar espaço, luz 18h/dia — EC 0.8",IF('🌱 Configuração'!$B$51+75='🌱 Configuração'!$D$51,"🌸 INÍCIO FLORAÇÃO — mudar para 12h/12h — 🔴 atenção ao fotoperíodo",IF('🌱 Configuração'!$B$51+75='🌱 Configuração'!$E$51,"🚿 INÍCIO FLUSH — PARAR nutrição, somente água pura",IF('🌱 Configuração'!$B$51+75='🌱 Configuração'!$F$51-1,"🔬 Véspera da colheita — analisar tricomas âmbar",IF('🌱 Configuração'!$B$51+75='🌱 Configuração'!$F$51,"✂️ COLHEITA! Parabéns! 🎉",""))))))</f>
        <v/>
      </c>
    </row>
    <row r="82" spans="2:8" ht="18.75" customHeight="1" x14ac:dyDescent="0.3">
      <c r="B82" s="25">
        <f>IF(77&lt;='🌱 Configuração'!$F$50,77,"")</f>
        <v>77</v>
      </c>
      <c r="C82" s="26">
        <f>IF(77&lt;='🌱 Configuração'!$F$50,'🌱 Configuração'!$B$51+76,"")</f>
        <v>46099</v>
      </c>
      <c r="D82" s="27" t="str">
        <f>IF(77&gt;'🌱 Configuração'!$F$50,"",IF('🌱 Configuração'!$B$51+76&lt;'🌱 Configuração'!$C$51,"🌱 Clone",IF('🌱 Configuração'!$B$51+76&lt;'🌱 Configuração'!$D$51,"🌿 Vegetativo",IF('🌱 Configuração'!$B$51+76&lt;'🌱 Configuração'!$E$51,"🌸 Floração","🚿 Flush"))))</f>
        <v>🌸 Floração</v>
      </c>
      <c r="E82" s="28" t="str">
        <f>IF(77&gt;'🌱 Configuração'!$F$50,"",IF('🌱 Configuração'!$B$51+76&lt;'🌱 Configuração'!$C$51,"Clone S"&amp;INT((77-1)/7)+1,IF('🌱 Configuração'!$B$51+76&lt;'🌱 Configuração'!$D$51,"Vega S"&amp;INT(('🌱 Configuração'!$B$51+76-'🌱 Configuração'!$C$51)/7)+1,IF('🌱 Configuração'!$B$51+76&lt;'🌱 Configuração'!$E$51,"Flora S"&amp;INT(('🌱 Configuração'!$B$51+76-'🌱 Configuração'!$D$51)/7)+1,"Flush S"&amp;INT(('🌱 Configuração'!$B$51+76-'🌱 Configuração'!$E$51)/7)+1))))</f>
        <v>Flora S3</v>
      </c>
      <c r="F82" s="29" t="str">
        <f>IF(77&gt;'🌱 Configuração'!$F$50,"",IF(AND('🌱 Configuração'!$B$51+76&lt;'🌱 Configuração'!$C$51,INT((77-1)/7)+1=1,MOD(77-1,7)=0),"🌱 Enraizador (0.5 mL/L)",IF(AND('🌱 Configuração'!$B$51+76&lt;'🌱 Configuração'!$C$51,INT((77-1)/7)+1=2,MOD(77-1,7)=0),"🌱 Enraizador + Vitamina B1",IF(AND('🌱 Configuração'!$B$51+76&gt;='🌱 Configuração'!$C$51,'🌱 Configuração'!$B$51+76&lt;'🌱 Configuração'!$D$51,INT(('🌱 Configuração'!$B$51+76-'🌱 Configuração'!$C$51)/7)+1=1,MOD('🌱 Configuração'!$B$51+76-'🌱 Configuração'!$C$51,7)=0),"🌿 Grow A+B início — EC 0.8",IF(AND('🌱 Configuração'!$B$51+76&gt;='🌱 Configuração'!$C$51,'🌱 Configuração'!$B$51+76&lt;'🌱 Configuração'!$D$51,INT(('🌱 Configuração'!$B$51+76-'🌱 Configuração'!$C$51)/7)+1=2,MOD('🌱 Configuração'!$B$51+76-'🌱 Configuração'!$C$51,7)=0),"🌿 Grow A+B + CalMag — EC 1.0",IF(AND('🌱 Configuração'!$B$51+76&gt;='🌱 Configuração'!$C$51,'🌱 Configuração'!$B$51+76&lt;'🌱 Configuração'!$D$51,INT(('🌱 Configuração'!$B$51+76-'🌱 Configuração'!$C$51)/7)+1=3,MOD('🌱 Configuração'!$B$51+76-'🌱 Configuração'!$C$51,7)=0),"🌿 Grow A+B + CalMag — EC 1.2",IF(AND('🌱 Configuração'!$B$51+76&gt;='🌱 Configuração'!$C$51,'🌱 Configuração'!$B$51+76&lt;'🌱 Configuração'!$D$51,INT(('🌱 Configuração'!$B$51+76-'🌱 Configuração'!$C$51)/7)+1=4,MOD('🌱 Configuração'!$B$51+76-'🌱 Configuração'!$C$51,7)=0),"🌿 Grow A+B + Enzimas — EC 1.4",IF(AND('🌱 Configuração'!$B$51+76&gt;='🌱 Configuração'!$C$51,'🌱 Configuração'!$B$51+76&lt;'🌱 Configuração'!$D$51,INT(('🌱 Configuração'!$B$51+76-'🌱 Configuração'!$C$51)/7)+1=5,MOD('🌱 Configuração'!$B$51+76-'🌱 Configuração'!$C$51,7)=0),"🌿 Grow A+B + Biorrizas — EC 1.5",IF(AND('🌱 Configuração'!$B$51+76&gt;='🌱 Configuração'!$C$51,'🌱 Configuração'!$B$51+76&lt;'🌱 Configuração'!$D$51,INT(('🌱 Configuração'!$B$51+76-'🌱 Configuração'!$C$51)/7)+1=6,MOD('🌱 Configuração'!$B$51+76-'🌱 Configuração'!$C$51,7)=0),"🌿 Transição Bloom — EC 1.4",IF(AND('🌱 Configuração'!$B$51+76&gt;='🌱 Configuração'!$C$51,'🌱 Configuração'!$B$51+76&lt;'🌱 Configuração'!$D$51,INT(('🌱 Configuração'!$B$51+76-'🌱 Configuração'!$C$51)/7)+1=7,MOD('🌱 Configuração'!$B$51+76-'🌱 Configuração'!$C$51,7)=0),"🌿 Bloom A+B transição — EC 1.4",IF(AND('🌱 Configuração'!$B$51+76&gt;='🌱 Configuração'!$C$51,'🌱 Configuração'!$B$51+76&lt;'🌱 Configuração'!$D$51,INT(('🌱 Configuração'!$B$51+76-'🌱 Configuração'!$C$51)/7)+1=8,MOD('🌱 Configuração'!$B$51+76-'🌱 Configuração'!$C$51,7)=0),"🌿 Bloom A+B — EC 1.4",IF(AND('🌱 Configuração'!$B$51+76&gt;='🌱 Configuração'!$D$51,'🌱 Configuração'!$B$51+76&lt;'🌱 Configuração'!$E$51,INT(('🌱 Configuração'!$B$51+76-'🌱 Configuração'!$D$51)/7)+1=1,MOD('🌱 Configuração'!$B$51+76-'🌱 Configuração'!$D$51,7)=0),"🌸 Bloom A+B — EC 1.6",IF(AND('🌱 Configuração'!$B$51+76&gt;='🌱 Configuração'!$D$51,'🌱 Configuração'!$B$51+76&lt;'🌱 Configuração'!$E$51,INT(('🌱 Configuração'!$B$51+76-'🌱 Configuração'!$D$51)/7)+1=2,MOD('🌱 Configuração'!$B$51+76-'🌱 Configuração'!$D$51,7)=0),"🌸 Bloom + PK 13/14 início",IF(AND('🌱 Configuração'!$B$51+76&gt;='🌱 Configuração'!$D$51,'🌱 Configuração'!$B$51+76&lt;'🌱 Configuração'!$E$51,INT(('🌱 Configuração'!$B$51+76-'🌱 Configuração'!$D$51)/7)+1=3,MOD('🌱 Configuração'!$B$51+76-'🌱 Configuração'!$D$51,7)=0),"🌸 Bloom + PK + CalMag — EC 1.8",IF(AND('🌱 Configuração'!$B$51+76&gt;='🌱 Configuração'!$D$51,'🌱 Configuração'!$B$51+76&lt;'🌱 Configuração'!$E$51,INT(('🌱 Configuração'!$B$51+76-'🌱 Configuração'!$D$51)/7)+1=4,MOD('🌱 Configuração'!$B$51+76-'🌱 Configuração'!$D$51,7)=0),"🌸 Bloom + PK + Boost Floral — EC 2.0",IF(AND('🌱 Configuração'!$B$51+76&gt;='🌱 Configuração'!$D$51,'🌱 Configuração'!$B$51+76&lt;'🌱 Configuração'!$E$51,INT(('🌱 Configuração'!$B$51+76-'🌱 Configuração'!$D$51)/7)+1=5,MOD('🌱 Configuração'!$B$51+76-'🌱 Configuração'!$D$51,7)=0),"🌸 Bloom + Boost + Amino",IF(AND('🌱 Configuração'!$B$51+76&gt;='🌱 Configuração'!$D$51,'🌱 Configuração'!$B$51+76&lt;'🌱 Configuração'!$E$51,INT(('🌱 Configuração'!$B$51+76-'🌱 Configuração'!$D$51)/7)+1=6,MOD('🌱 Configuração'!$B$51+76-'🌱 Configuração'!$D$51,7)=0),"🌸 Bloom + Enzimas + Amino",IF(AND('🌱 Configuração'!$B$51+76&gt;='🌱 Configuração'!$D$51,'🌱 Configuração'!$B$51+76&lt;'🌱 Configuração'!$E$51,INT(('🌱 Configuração'!$B$51+76-'🌱 Configuração'!$D$51)/7)+1=7,MOD('🌱 Configuração'!$B$51+76-'🌱 Configuração'!$D$51,7)=0),"🌸 Reduzir N — Bloom puro — EC 1.6",IF(AND('🌱 Configuração'!$B$51+76&gt;='🌱 Configuração'!$D$51,'🌱 Configuração'!$B$51+76&lt;'🌱 Configuração'!$E$51,INT(('🌱 Configuração'!$B$51+76-'🌱 Configuração'!$D$51)/7)+1=8,MOD('🌱 Configuração'!$B$51+76-'🌱 Configuração'!$D$51,7)=0),"🌸 Bloom puro — EC 1.4  (pré-flush)",IF(AND('🌱 Configuração'!$B$51+76&gt;='🌱 Configuração'!$D$51,'🌱 Configuração'!$B$51+76&lt;'🌱 Configuração'!$E$51,INT(('🌱 Configuração'!$B$51+76-'🌱 Configuração'!$D$51)/7)+1=9,MOD('🌱 Configuração'!$B$51+76-'🌱 Configuração'!$D$51,7)=0),"🌸 Último Bloom — EC 0.8",IF(AND('🌱 Configuração'!$B$51+76&gt;='🌱 Configuração'!$E$51,INT(('🌱 Configuração'!$B$51+76-'🌱 Configuração'!$E$51)/7)+1=1,MOD('🌱 Configuração'!$B$51+76-'🌱 Configuração'!$E$51,7)=0),"🚿 Água pura + Enzimas (EC &lt; 0.3)",IF(AND('🌱 Configuração'!$B$51+76&gt;='🌱 Configuração'!$E$51,INT(('🌱 Configuração'!$B$51+76-'🌱 Configuração'!$E$51)/7)+1=2,MOD('🌱 Configuração'!$B$51+76-'🌱 Configuração'!$E$51,7)=0),"🚿 Água pura (EC &lt; 0.2)",""))))))))))))))))))))))</f>
        <v/>
      </c>
      <c r="G82" s="30" t="str">
        <f>IF(77&gt;'🌱 Configuração'!$F$50,"",IF(AND('🌱 Configuração'!$B$51+76&lt;'🌱 Configuração'!$C$51,INT((77-1)/7)+1=1,MOD(77-1,7)=0),"🐛 Nim 2mL/L foliar — preventivo",IF(AND('🌱 Configuração'!$B$51+76&lt;'🌱 Configuração'!$C$51,INT((77-1)/7)+1=2,MOD(77-1,7)=0),"🐛 Beauveria bassiana foliar + solo",IF(AND('🌱 Configuração'!$B$51+76&gt;='🌱 Configuração'!$C$51,'🌱 Configuração'!$B$51+76&lt;'🌱 Configuração'!$D$51,INT(('🌱 Configuração'!$B$51+76-'🌱 Configuração'!$C$51)/7)+1=1,MOD('🌱 Configuração'!$B$51+76-'🌱 Configuração'!$C$51,7)=0),"🐛 Nim 2mL/L foliar",IF(AND('🌱 Configuração'!$B$51+76&gt;='🌱 Configuração'!$C$51,'🌱 Configuração'!$B$51+76&lt;'🌱 Configuração'!$D$51,INT(('🌱 Configuração'!$B$51+76-'🌱 Configuração'!$C$51)/7)+1=2,MOD('🌱 Configuração'!$B$51+76-'🌱 Configuração'!$C$51,7)=0),"🐛 Beauveria bassiana foliar",IF(AND('🌱 Configuração'!$B$51+76&gt;='🌱 Configuração'!$C$51,'🌱 Configuração'!$B$51+76&lt;'🌱 Configuração'!$D$51,INT(('🌱 Configuração'!$B$51+76-'🌱 Configuração'!$C$51)/7)+1=3,MOD('🌱 Configuração'!$B$51+76-'🌱 Configuração'!$C$51,7)=0),"🐛 Nim + Calda Sulfocálcica 1%",IF(AND('🌱 Configuração'!$B$51+76&gt;='🌱 Configuração'!$C$51,'🌱 Configuração'!$B$51+76&lt;'🌱 Configuração'!$D$51,INT(('🌱 Configuração'!$B$51+76-'🌱 Configuração'!$C$51)/7)+1=4,MOD('🌱 Configuração'!$B$51+76-'🌱 Configuração'!$C$51,7)=0),"🐛 Trichoderma solo + Beauveria",IF(AND('🌱 Configuração'!$B$51+76&gt;='🌱 Configuração'!$C$51,'🌱 Configuração'!$B$51+76&lt;'🌱 Configuração'!$D$51,INT(('🌱 Configuração'!$B$51+76-'🌱 Configuração'!$C$51)/7)+1=5,MOD('🌱 Configuração'!$B$51+76-'🌱 Configuração'!$C$51,7)=0),"🐛 Calda Bordalesa 0.5% foliar",IF(AND('🌱 Configuração'!$B$51+76&gt;='🌱 Configuração'!$C$51,'🌱 Configuração'!$B$51+76&lt;'🌱 Configuração'!$D$51,INT(('🌱 Configuração'!$B$51+76-'🌱 Configuração'!$C$51)/7)+1=6,MOD('🌱 Configuração'!$B$51+76-'🌱 Configuração'!$C$51,7)=0),"🐛 Nim 2mL/L — ÚLTIMA foliar",IF(AND('🌱 Configuração'!$B$51+76&gt;='🌱 Configuração'!$D$51,'🌱 Configuração'!$B$51+76&lt;'🌱 Configuração'!$E$51,INT(('🌱 Configuração'!$B$51+76-'🌱 Configuração'!$D$51)/7)+1=1,MOD('🌱 Configuração'!$B$51+76-'🌱 Configuração'!$D$51,7)=0),"🐛 Beauveria bassiana solo (sem foliar)",IF(AND('🌱 Configuração'!$B$51+76&gt;='🌱 Configuração'!$D$51,'🌱 Configuração'!$B$51+76&lt;'🌱 Configuração'!$E$51,INT(('🌱 Configuração'!$B$51+76-'🌱 Configuração'!$D$51)/7)+1=2,MOD('🌱 Configuração'!$B$51+76-'🌱 Configuração'!$D$51,7)=0),"🐛 Trichoderma solo",IF(AND('🌱 Configuração'!$B$51+76&gt;='🌱 Configuração'!$D$51,'🌱 Configuração'!$B$51+76&lt;'🌱 Configuração'!$E$51,INT(('🌱 Configuração'!$B$51+76-'🌱 Configuração'!$D$51)/7)+1=3,MOD('🌱 Configuração'!$B$51+76-'🌱 Configuração'!$D$51,7)=0),"🐛 Beauveria bassiana solo",IF(AND('🌱 Configuração'!$B$51+76&gt;='🌱 Configuração'!$D$51,'🌱 Configuração'!$B$51+76&lt;'🌱 Configuração'!$E$51,INT(('🌱 Configuração'!$B$51+76-'🌱 Configuração'!$D$51)/7)+1=4,MOD('🌱 Configuração'!$B$51+76-'🌱 Configuração'!$D$51,7)=0),"🐛 Trichoderma solo",IF(AND('🌱 Configuração'!$B$51+76&gt;='🌱 Configuração'!$E$51,INT(('🌱 Configuração'!$B$51+76-'🌱 Configuração'!$E$51)/7)+1=1,MOD('🌱 Configuração'!$B$51+76-'🌱 Configuração'!$E$51,7)=0),"🐛 Inspeção final — sem aplicação",""))))))))))))))</f>
        <v/>
      </c>
      <c r="H82" s="22" t="str">
        <f>IF(77&gt;'🌱 Configuração'!$F$50,"",IF('🌱 Configuração'!$B$51+76='🌱 Configuração'!$C$51,"🌿 INÍCIO VEGA — ajustar espaço, luz 18h/dia — EC 0.8",IF('🌱 Configuração'!$B$51+76='🌱 Configuração'!$D$51,"🌸 INÍCIO FLORAÇÃO — mudar para 12h/12h — 🔴 atenção ao fotoperíodo",IF('🌱 Configuração'!$B$51+76='🌱 Configuração'!$E$51,"🚿 INÍCIO FLUSH — PARAR nutrição, somente água pura",IF('🌱 Configuração'!$B$51+76='🌱 Configuração'!$F$51-1,"🔬 Véspera da colheita — analisar tricomas âmbar",IF('🌱 Configuração'!$B$51+76='🌱 Configuração'!$F$51,"✂️ COLHEITA! Parabéns! 🎉",""))))))</f>
        <v/>
      </c>
    </row>
    <row r="83" spans="2:8" ht="18.75" customHeight="1" x14ac:dyDescent="0.3">
      <c r="B83" s="25">
        <f>IF(78&lt;='🌱 Configuração'!$F$50,78,"")</f>
        <v>78</v>
      </c>
      <c r="C83" s="26">
        <f>IF(78&lt;='🌱 Configuração'!$F$50,'🌱 Configuração'!$B$51+77,"")</f>
        <v>46100</v>
      </c>
      <c r="D83" s="27" t="str">
        <f>IF(78&gt;'🌱 Configuração'!$F$50,"",IF('🌱 Configuração'!$B$51+77&lt;'🌱 Configuração'!$C$51,"🌱 Clone",IF('🌱 Configuração'!$B$51+77&lt;'🌱 Configuração'!$D$51,"🌿 Vegetativo",IF('🌱 Configuração'!$B$51+77&lt;'🌱 Configuração'!$E$51,"🌸 Floração","🚿 Flush"))))</f>
        <v>🌸 Floração</v>
      </c>
      <c r="E83" s="28" t="str">
        <f>IF(78&gt;'🌱 Configuração'!$F$50,"",IF('🌱 Configuração'!$B$51+77&lt;'🌱 Configuração'!$C$51,"Clone S"&amp;INT((78-1)/7)+1,IF('🌱 Configuração'!$B$51+77&lt;'🌱 Configuração'!$D$51,"Vega S"&amp;INT(('🌱 Configuração'!$B$51+77-'🌱 Configuração'!$C$51)/7)+1,IF('🌱 Configuração'!$B$51+77&lt;'🌱 Configuração'!$E$51,"Flora S"&amp;INT(('🌱 Configuração'!$B$51+77-'🌱 Configuração'!$D$51)/7)+1,"Flush S"&amp;INT(('🌱 Configuração'!$B$51+77-'🌱 Configuração'!$E$51)/7)+1))))</f>
        <v>Flora S4</v>
      </c>
      <c r="F83" s="29" t="str">
        <f>IF(78&gt;'🌱 Configuração'!$F$50,"",IF(AND('🌱 Configuração'!$B$51+77&lt;'🌱 Configuração'!$C$51,INT((78-1)/7)+1=1,MOD(78-1,7)=0),"🌱 Enraizador (0.5 mL/L)",IF(AND('🌱 Configuração'!$B$51+77&lt;'🌱 Configuração'!$C$51,INT((78-1)/7)+1=2,MOD(78-1,7)=0),"🌱 Enraizador + Vitamina B1",IF(AND('🌱 Configuração'!$B$51+77&gt;='🌱 Configuração'!$C$51,'🌱 Configuração'!$B$51+77&lt;'🌱 Configuração'!$D$51,INT(('🌱 Configuração'!$B$51+77-'🌱 Configuração'!$C$51)/7)+1=1,MOD('🌱 Configuração'!$B$51+77-'🌱 Configuração'!$C$51,7)=0),"🌿 Grow A+B início — EC 0.8",IF(AND('🌱 Configuração'!$B$51+77&gt;='🌱 Configuração'!$C$51,'🌱 Configuração'!$B$51+77&lt;'🌱 Configuração'!$D$51,INT(('🌱 Configuração'!$B$51+77-'🌱 Configuração'!$C$51)/7)+1=2,MOD('🌱 Configuração'!$B$51+77-'🌱 Configuração'!$C$51,7)=0),"🌿 Grow A+B + CalMag — EC 1.0",IF(AND('🌱 Configuração'!$B$51+77&gt;='🌱 Configuração'!$C$51,'🌱 Configuração'!$B$51+77&lt;'🌱 Configuração'!$D$51,INT(('🌱 Configuração'!$B$51+77-'🌱 Configuração'!$C$51)/7)+1=3,MOD('🌱 Configuração'!$B$51+77-'🌱 Configuração'!$C$51,7)=0),"🌿 Grow A+B + CalMag — EC 1.2",IF(AND('🌱 Configuração'!$B$51+77&gt;='🌱 Configuração'!$C$51,'🌱 Configuração'!$B$51+77&lt;'🌱 Configuração'!$D$51,INT(('🌱 Configuração'!$B$51+77-'🌱 Configuração'!$C$51)/7)+1=4,MOD('🌱 Configuração'!$B$51+77-'🌱 Configuração'!$C$51,7)=0),"🌿 Grow A+B + Enzimas — EC 1.4",IF(AND('🌱 Configuração'!$B$51+77&gt;='🌱 Configuração'!$C$51,'🌱 Configuração'!$B$51+77&lt;'🌱 Configuração'!$D$51,INT(('🌱 Configuração'!$B$51+77-'🌱 Configuração'!$C$51)/7)+1=5,MOD('🌱 Configuração'!$B$51+77-'🌱 Configuração'!$C$51,7)=0),"🌿 Grow A+B + Biorrizas — EC 1.5",IF(AND('🌱 Configuração'!$B$51+77&gt;='🌱 Configuração'!$C$51,'🌱 Configuração'!$B$51+77&lt;'🌱 Configuração'!$D$51,INT(('🌱 Configuração'!$B$51+77-'🌱 Configuração'!$C$51)/7)+1=6,MOD('🌱 Configuração'!$B$51+77-'🌱 Configuração'!$C$51,7)=0),"🌿 Transição Bloom — EC 1.4",IF(AND('🌱 Configuração'!$B$51+77&gt;='🌱 Configuração'!$C$51,'🌱 Configuração'!$B$51+77&lt;'🌱 Configuração'!$D$51,INT(('🌱 Configuração'!$B$51+77-'🌱 Configuração'!$C$51)/7)+1=7,MOD('🌱 Configuração'!$B$51+77-'🌱 Configuração'!$C$51,7)=0),"🌿 Bloom A+B transição — EC 1.4",IF(AND('🌱 Configuração'!$B$51+77&gt;='🌱 Configuração'!$C$51,'🌱 Configuração'!$B$51+77&lt;'🌱 Configuração'!$D$51,INT(('🌱 Configuração'!$B$51+77-'🌱 Configuração'!$C$51)/7)+1=8,MOD('🌱 Configuração'!$B$51+77-'🌱 Configuração'!$C$51,7)=0),"🌿 Bloom A+B — EC 1.4",IF(AND('🌱 Configuração'!$B$51+77&gt;='🌱 Configuração'!$D$51,'🌱 Configuração'!$B$51+77&lt;'🌱 Configuração'!$E$51,INT(('🌱 Configuração'!$B$51+77-'🌱 Configuração'!$D$51)/7)+1=1,MOD('🌱 Configuração'!$B$51+77-'🌱 Configuração'!$D$51,7)=0),"🌸 Bloom A+B — EC 1.6",IF(AND('🌱 Configuração'!$B$51+77&gt;='🌱 Configuração'!$D$51,'🌱 Configuração'!$B$51+77&lt;'🌱 Configuração'!$E$51,INT(('🌱 Configuração'!$B$51+77-'🌱 Configuração'!$D$51)/7)+1=2,MOD('🌱 Configuração'!$B$51+77-'🌱 Configuração'!$D$51,7)=0),"🌸 Bloom + PK 13/14 início",IF(AND('🌱 Configuração'!$B$51+77&gt;='🌱 Configuração'!$D$51,'🌱 Configuração'!$B$51+77&lt;'🌱 Configuração'!$E$51,INT(('🌱 Configuração'!$B$51+77-'🌱 Configuração'!$D$51)/7)+1=3,MOD('🌱 Configuração'!$B$51+77-'🌱 Configuração'!$D$51,7)=0),"🌸 Bloom + PK + CalMag — EC 1.8",IF(AND('🌱 Configuração'!$B$51+77&gt;='🌱 Configuração'!$D$51,'🌱 Configuração'!$B$51+77&lt;'🌱 Configuração'!$E$51,INT(('🌱 Configuração'!$B$51+77-'🌱 Configuração'!$D$51)/7)+1=4,MOD('🌱 Configuração'!$B$51+77-'🌱 Configuração'!$D$51,7)=0),"🌸 Bloom + PK + Boost Floral — EC 2.0",IF(AND('🌱 Configuração'!$B$51+77&gt;='🌱 Configuração'!$D$51,'🌱 Configuração'!$B$51+77&lt;'🌱 Configuração'!$E$51,INT(('🌱 Configuração'!$B$51+77-'🌱 Configuração'!$D$51)/7)+1=5,MOD('🌱 Configuração'!$B$51+77-'🌱 Configuração'!$D$51,7)=0),"🌸 Bloom + Boost + Amino",IF(AND('🌱 Configuração'!$B$51+77&gt;='🌱 Configuração'!$D$51,'🌱 Configuração'!$B$51+77&lt;'🌱 Configuração'!$E$51,INT(('🌱 Configuração'!$B$51+77-'🌱 Configuração'!$D$51)/7)+1=6,MOD('🌱 Configuração'!$B$51+77-'🌱 Configuração'!$D$51,7)=0),"🌸 Bloom + Enzimas + Amino",IF(AND('🌱 Configuração'!$B$51+77&gt;='🌱 Configuração'!$D$51,'🌱 Configuração'!$B$51+77&lt;'🌱 Configuração'!$E$51,INT(('🌱 Configuração'!$B$51+77-'🌱 Configuração'!$D$51)/7)+1=7,MOD('🌱 Configuração'!$B$51+77-'🌱 Configuração'!$D$51,7)=0),"🌸 Reduzir N — Bloom puro — EC 1.6",IF(AND('🌱 Configuração'!$B$51+77&gt;='🌱 Configuração'!$D$51,'🌱 Configuração'!$B$51+77&lt;'🌱 Configuração'!$E$51,INT(('🌱 Configuração'!$B$51+77-'🌱 Configuração'!$D$51)/7)+1=8,MOD('🌱 Configuração'!$B$51+77-'🌱 Configuração'!$D$51,7)=0),"🌸 Bloom puro — EC 1.4  (pré-flush)",IF(AND('🌱 Configuração'!$B$51+77&gt;='🌱 Configuração'!$D$51,'🌱 Configuração'!$B$51+77&lt;'🌱 Configuração'!$E$51,INT(('🌱 Configuração'!$B$51+77-'🌱 Configuração'!$D$51)/7)+1=9,MOD('🌱 Configuração'!$B$51+77-'🌱 Configuração'!$D$51,7)=0),"🌸 Último Bloom — EC 0.8",IF(AND('🌱 Configuração'!$B$51+77&gt;='🌱 Configuração'!$E$51,INT(('🌱 Configuração'!$B$51+77-'🌱 Configuração'!$E$51)/7)+1=1,MOD('🌱 Configuração'!$B$51+77-'🌱 Configuração'!$E$51,7)=0),"🚿 Água pura + Enzimas (EC &lt; 0.3)",IF(AND('🌱 Configuração'!$B$51+77&gt;='🌱 Configuração'!$E$51,INT(('🌱 Configuração'!$B$51+77-'🌱 Configuração'!$E$51)/7)+1=2,MOD('🌱 Configuração'!$B$51+77-'🌱 Configuração'!$E$51,7)=0),"🚿 Água pura (EC &lt; 0.2)",""))))))))))))))))))))))</f>
        <v>🌸 Bloom + PK + Boost Floral — EC 2.0</v>
      </c>
      <c r="G83" s="30" t="str">
        <f>IF(78&gt;'🌱 Configuração'!$F$50,"",IF(AND('🌱 Configuração'!$B$51+77&lt;'🌱 Configuração'!$C$51,INT((78-1)/7)+1=1,MOD(78-1,7)=0),"🐛 Nim 2mL/L foliar — preventivo",IF(AND('🌱 Configuração'!$B$51+77&lt;'🌱 Configuração'!$C$51,INT((78-1)/7)+1=2,MOD(78-1,7)=0),"🐛 Beauveria bassiana foliar + solo",IF(AND('🌱 Configuração'!$B$51+77&gt;='🌱 Configuração'!$C$51,'🌱 Configuração'!$B$51+77&lt;'🌱 Configuração'!$D$51,INT(('🌱 Configuração'!$B$51+77-'🌱 Configuração'!$C$51)/7)+1=1,MOD('🌱 Configuração'!$B$51+77-'🌱 Configuração'!$C$51,7)=0),"🐛 Nim 2mL/L foliar",IF(AND('🌱 Configuração'!$B$51+77&gt;='🌱 Configuração'!$C$51,'🌱 Configuração'!$B$51+77&lt;'🌱 Configuração'!$D$51,INT(('🌱 Configuração'!$B$51+77-'🌱 Configuração'!$C$51)/7)+1=2,MOD('🌱 Configuração'!$B$51+77-'🌱 Configuração'!$C$51,7)=0),"🐛 Beauveria bassiana foliar",IF(AND('🌱 Configuração'!$B$51+77&gt;='🌱 Configuração'!$C$51,'🌱 Configuração'!$B$51+77&lt;'🌱 Configuração'!$D$51,INT(('🌱 Configuração'!$B$51+77-'🌱 Configuração'!$C$51)/7)+1=3,MOD('🌱 Configuração'!$B$51+77-'🌱 Configuração'!$C$51,7)=0),"🐛 Nim + Calda Sulfocálcica 1%",IF(AND('🌱 Configuração'!$B$51+77&gt;='🌱 Configuração'!$C$51,'🌱 Configuração'!$B$51+77&lt;'🌱 Configuração'!$D$51,INT(('🌱 Configuração'!$B$51+77-'🌱 Configuração'!$C$51)/7)+1=4,MOD('🌱 Configuração'!$B$51+77-'🌱 Configuração'!$C$51,7)=0),"🐛 Trichoderma solo + Beauveria",IF(AND('🌱 Configuração'!$B$51+77&gt;='🌱 Configuração'!$C$51,'🌱 Configuração'!$B$51+77&lt;'🌱 Configuração'!$D$51,INT(('🌱 Configuração'!$B$51+77-'🌱 Configuração'!$C$51)/7)+1=5,MOD('🌱 Configuração'!$B$51+77-'🌱 Configuração'!$C$51,7)=0),"🐛 Calda Bordalesa 0.5% foliar",IF(AND('🌱 Configuração'!$B$51+77&gt;='🌱 Configuração'!$C$51,'🌱 Configuração'!$B$51+77&lt;'🌱 Configuração'!$D$51,INT(('🌱 Configuração'!$B$51+77-'🌱 Configuração'!$C$51)/7)+1=6,MOD('🌱 Configuração'!$B$51+77-'🌱 Configuração'!$C$51,7)=0),"🐛 Nim 2mL/L — ÚLTIMA foliar",IF(AND('🌱 Configuração'!$B$51+77&gt;='🌱 Configuração'!$D$51,'🌱 Configuração'!$B$51+77&lt;'🌱 Configuração'!$E$51,INT(('🌱 Configuração'!$B$51+77-'🌱 Configuração'!$D$51)/7)+1=1,MOD('🌱 Configuração'!$B$51+77-'🌱 Configuração'!$D$51,7)=0),"🐛 Beauveria bassiana solo (sem foliar)",IF(AND('🌱 Configuração'!$B$51+77&gt;='🌱 Configuração'!$D$51,'🌱 Configuração'!$B$51+77&lt;'🌱 Configuração'!$E$51,INT(('🌱 Configuração'!$B$51+77-'🌱 Configuração'!$D$51)/7)+1=2,MOD('🌱 Configuração'!$B$51+77-'🌱 Configuração'!$D$51,7)=0),"🐛 Trichoderma solo",IF(AND('🌱 Configuração'!$B$51+77&gt;='🌱 Configuração'!$D$51,'🌱 Configuração'!$B$51+77&lt;'🌱 Configuração'!$E$51,INT(('🌱 Configuração'!$B$51+77-'🌱 Configuração'!$D$51)/7)+1=3,MOD('🌱 Configuração'!$B$51+77-'🌱 Configuração'!$D$51,7)=0),"🐛 Beauveria bassiana solo",IF(AND('🌱 Configuração'!$B$51+77&gt;='🌱 Configuração'!$D$51,'🌱 Configuração'!$B$51+77&lt;'🌱 Configuração'!$E$51,INT(('🌱 Configuração'!$B$51+77-'🌱 Configuração'!$D$51)/7)+1=4,MOD('🌱 Configuração'!$B$51+77-'🌱 Configuração'!$D$51,7)=0),"🐛 Trichoderma solo",IF(AND('🌱 Configuração'!$B$51+77&gt;='🌱 Configuração'!$E$51,INT(('🌱 Configuração'!$B$51+77-'🌱 Configuração'!$E$51)/7)+1=1,MOD('🌱 Configuração'!$B$51+77-'🌱 Configuração'!$E$51,7)=0),"🐛 Inspeção final — sem aplicação",""))))))))))))))</f>
        <v>🐛 Trichoderma solo</v>
      </c>
      <c r="H83" s="22" t="str">
        <f>IF(78&gt;'🌱 Configuração'!$F$50,"",IF('🌱 Configuração'!$B$51+77='🌱 Configuração'!$C$51,"🌿 INÍCIO VEGA — ajustar espaço, luz 18h/dia — EC 0.8",IF('🌱 Configuração'!$B$51+77='🌱 Configuração'!$D$51,"🌸 INÍCIO FLORAÇÃO — mudar para 12h/12h — 🔴 atenção ao fotoperíodo",IF('🌱 Configuração'!$B$51+77='🌱 Configuração'!$E$51,"🚿 INÍCIO FLUSH — PARAR nutrição, somente água pura",IF('🌱 Configuração'!$B$51+77='🌱 Configuração'!$F$51-1,"🔬 Véspera da colheita — analisar tricomas âmbar",IF('🌱 Configuração'!$B$51+77='🌱 Configuração'!$F$51,"✂️ COLHEITA! Parabéns! 🎉",""))))))</f>
        <v/>
      </c>
    </row>
    <row r="84" spans="2:8" ht="18.75" customHeight="1" x14ac:dyDescent="0.3">
      <c r="B84" s="25">
        <f>IF(79&lt;='🌱 Configuração'!$F$50,79,"")</f>
        <v>79</v>
      </c>
      <c r="C84" s="26">
        <f>IF(79&lt;='🌱 Configuração'!$F$50,'🌱 Configuração'!$B$51+78,"")</f>
        <v>46101</v>
      </c>
      <c r="D84" s="27" t="str">
        <f>IF(79&gt;'🌱 Configuração'!$F$50,"",IF('🌱 Configuração'!$B$51+78&lt;'🌱 Configuração'!$C$51,"🌱 Clone",IF('🌱 Configuração'!$B$51+78&lt;'🌱 Configuração'!$D$51,"🌿 Vegetativo",IF('🌱 Configuração'!$B$51+78&lt;'🌱 Configuração'!$E$51,"🌸 Floração","🚿 Flush"))))</f>
        <v>🌸 Floração</v>
      </c>
      <c r="E84" s="28" t="str">
        <f>IF(79&gt;'🌱 Configuração'!$F$50,"",IF('🌱 Configuração'!$B$51+78&lt;'🌱 Configuração'!$C$51,"Clone S"&amp;INT((79-1)/7)+1,IF('🌱 Configuração'!$B$51+78&lt;'🌱 Configuração'!$D$51,"Vega S"&amp;INT(('🌱 Configuração'!$B$51+78-'🌱 Configuração'!$C$51)/7)+1,IF('🌱 Configuração'!$B$51+78&lt;'🌱 Configuração'!$E$51,"Flora S"&amp;INT(('🌱 Configuração'!$B$51+78-'🌱 Configuração'!$D$51)/7)+1,"Flush S"&amp;INT(('🌱 Configuração'!$B$51+78-'🌱 Configuração'!$E$51)/7)+1))))</f>
        <v>Flora S4</v>
      </c>
      <c r="F84" s="29" t="str">
        <f>IF(79&gt;'🌱 Configuração'!$F$50,"",IF(AND('🌱 Configuração'!$B$51+78&lt;'🌱 Configuração'!$C$51,INT((79-1)/7)+1=1,MOD(79-1,7)=0),"🌱 Enraizador (0.5 mL/L)",IF(AND('🌱 Configuração'!$B$51+78&lt;'🌱 Configuração'!$C$51,INT((79-1)/7)+1=2,MOD(79-1,7)=0),"🌱 Enraizador + Vitamina B1",IF(AND('🌱 Configuração'!$B$51+78&gt;='🌱 Configuração'!$C$51,'🌱 Configuração'!$B$51+78&lt;'🌱 Configuração'!$D$51,INT(('🌱 Configuração'!$B$51+78-'🌱 Configuração'!$C$51)/7)+1=1,MOD('🌱 Configuração'!$B$51+78-'🌱 Configuração'!$C$51,7)=0),"🌿 Grow A+B início — EC 0.8",IF(AND('🌱 Configuração'!$B$51+78&gt;='🌱 Configuração'!$C$51,'🌱 Configuração'!$B$51+78&lt;'🌱 Configuração'!$D$51,INT(('🌱 Configuração'!$B$51+78-'🌱 Configuração'!$C$51)/7)+1=2,MOD('🌱 Configuração'!$B$51+78-'🌱 Configuração'!$C$51,7)=0),"🌿 Grow A+B + CalMag — EC 1.0",IF(AND('🌱 Configuração'!$B$51+78&gt;='🌱 Configuração'!$C$51,'🌱 Configuração'!$B$51+78&lt;'🌱 Configuração'!$D$51,INT(('🌱 Configuração'!$B$51+78-'🌱 Configuração'!$C$51)/7)+1=3,MOD('🌱 Configuração'!$B$51+78-'🌱 Configuração'!$C$51,7)=0),"🌿 Grow A+B + CalMag — EC 1.2",IF(AND('🌱 Configuração'!$B$51+78&gt;='🌱 Configuração'!$C$51,'🌱 Configuração'!$B$51+78&lt;'🌱 Configuração'!$D$51,INT(('🌱 Configuração'!$B$51+78-'🌱 Configuração'!$C$51)/7)+1=4,MOD('🌱 Configuração'!$B$51+78-'🌱 Configuração'!$C$51,7)=0),"🌿 Grow A+B + Enzimas — EC 1.4",IF(AND('🌱 Configuração'!$B$51+78&gt;='🌱 Configuração'!$C$51,'🌱 Configuração'!$B$51+78&lt;'🌱 Configuração'!$D$51,INT(('🌱 Configuração'!$B$51+78-'🌱 Configuração'!$C$51)/7)+1=5,MOD('🌱 Configuração'!$B$51+78-'🌱 Configuração'!$C$51,7)=0),"🌿 Grow A+B + Biorrizas — EC 1.5",IF(AND('🌱 Configuração'!$B$51+78&gt;='🌱 Configuração'!$C$51,'🌱 Configuração'!$B$51+78&lt;'🌱 Configuração'!$D$51,INT(('🌱 Configuração'!$B$51+78-'🌱 Configuração'!$C$51)/7)+1=6,MOD('🌱 Configuração'!$B$51+78-'🌱 Configuração'!$C$51,7)=0),"🌿 Transição Bloom — EC 1.4",IF(AND('🌱 Configuração'!$B$51+78&gt;='🌱 Configuração'!$C$51,'🌱 Configuração'!$B$51+78&lt;'🌱 Configuração'!$D$51,INT(('🌱 Configuração'!$B$51+78-'🌱 Configuração'!$C$51)/7)+1=7,MOD('🌱 Configuração'!$B$51+78-'🌱 Configuração'!$C$51,7)=0),"🌿 Bloom A+B transição — EC 1.4",IF(AND('🌱 Configuração'!$B$51+78&gt;='🌱 Configuração'!$C$51,'🌱 Configuração'!$B$51+78&lt;'🌱 Configuração'!$D$51,INT(('🌱 Configuração'!$B$51+78-'🌱 Configuração'!$C$51)/7)+1=8,MOD('🌱 Configuração'!$B$51+78-'🌱 Configuração'!$C$51,7)=0),"🌿 Bloom A+B — EC 1.4",IF(AND('🌱 Configuração'!$B$51+78&gt;='🌱 Configuração'!$D$51,'🌱 Configuração'!$B$51+78&lt;'🌱 Configuração'!$E$51,INT(('🌱 Configuração'!$B$51+78-'🌱 Configuração'!$D$51)/7)+1=1,MOD('🌱 Configuração'!$B$51+78-'🌱 Configuração'!$D$51,7)=0),"🌸 Bloom A+B — EC 1.6",IF(AND('🌱 Configuração'!$B$51+78&gt;='🌱 Configuração'!$D$51,'🌱 Configuração'!$B$51+78&lt;'🌱 Configuração'!$E$51,INT(('🌱 Configuração'!$B$51+78-'🌱 Configuração'!$D$51)/7)+1=2,MOD('🌱 Configuração'!$B$51+78-'🌱 Configuração'!$D$51,7)=0),"🌸 Bloom + PK 13/14 início",IF(AND('🌱 Configuração'!$B$51+78&gt;='🌱 Configuração'!$D$51,'🌱 Configuração'!$B$51+78&lt;'🌱 Configuração'!$E$51,INT(('🌱 Configuração'!$B$51+78-'🌱 Configuração'!$D$51)/7)+1=3,MOD('🌱 Configuração'!$B$51+78-'🌱 Configuração'!$D$51,7)=0),"🌸 Bloom + PK + CalMag — EC 1.8",IF(AND('🌱 Configuração'!$B$51+78&gt;='🌱 Configuração'!$D$51,'🌱 Configuração'!$B$51+78&lt;'🌱 Configuração'!$E$51,INT(('🌱 Configuração'!$B$51+78-'🌱 Configuração'!$D$51)/7)+1=4,MOD('🌱 Configuração'!$B$51+78-'🌱 Configuração'!$D$51,7)=0),"🌸 Bloom + PK + Boost Floral — EC 2.0",IF(AND('🌱 Configuração'!$B$51+78&gt;='🌱 Configuração'!$D$51,'🌱 Configuração'!$B$51+78&lt;'🌱 Configuração'!$E$51,INT(('🌱 Configuração'!$B$51+78-'🌱 Configuração'!$D$51)/7)+1=5,MOD('🌱 Configuração'!$B$51+78-'🌱 Configuração'!$D$51,7)=0),"🌸 Bloom + Boost + Amino",IF(AND('🌱 Configuração'!$B$51+78&gt;='🌱 Configuração'!$D$51,'🌱 Configuração'!$B$51+78&lt;'🌱 Configuração'!$E$51,INT(('🌱 Configuração'!$B$51+78-'🌱 Configuração'!$D$51)/7)+1=6,MOD('🌱 Configuração'!$B$51+78-'🌱 Configuração'!$D$51,7)=0),"🌸 Bloom + Enzimas + Amino",IF(AND('🌱 Configuração'!$B$51+78&gt;='🌱 Configuração'!$D$51,'🌱 Configuração'!$B$51+78&lt;'🌱 Configuração'!$E$51,INT(('🌱 Configuração'!$B$51+78-'🌱 Configuração'!$D$51)/7)+1=7,MOD('🌱 Configuração'!$B$51+78-'🌱 Configuração'!$D$51,7)=0),"🌸 Reduzir N — Bloom puro — EC 1.6",IF(AND('🌱 Configuração'!$B$51+78&gt;='🌱 Configuração'!$D$51,'🌱 Configuração'!$B$51+78&lt;'🌱 Configuração'!$E$51,INT(('🌱 Configuração'!$B$51+78-'🌱 Configuração'!$D$51)/7)+1=8,MOD('🌱 Configuração'!$B$51+78-'🌱 Configuração'!$D$51,7)=0),"🌸 Bloom puro — EC 1.4  (pré-flush)",IF(AND('🌱 Configuração'!$B$51+78&gt;='🌱 Configuração'!$D$51,'🌱 Configuração'!$B$51+78&lt;'🌱 Configuração'!$E$51,INT(('🌱 Configuração'!$B$51+78-'🌱 Configuração'!$D$51)/7)+1=9,MOD('🌱 Configuração'!$B$51+78-'🌱 Configuração'!$D$51,7)=0),"🌸 Último Bloom — EC 0.8",IF(AND('🌱 Configuração'!$B$51+78&gt;='🌱 Configuração'!$E$51,INT(('🌱 Configuração'!$B$51+78-'🌱 Configuração'!$E$51)/7)+1=1,MOD('🌱 Configuração'!$B$51+78-'🌱 Configuração'!$E$51,7)=0),"🚿 Água pura + Enzimas (EC &lt; 0.3)",IF(AND('🌱 Configuração'!$B$51+78&gt;='🌱 Configuração'!$E$51,INT(('🌱 Configuração'!$B$51+78-'🌱 Configuração'!$E$51)/7)+1=2,MOD('🌱 Configuração'!$B$51+78-'🌱 Configuração'!$E$51,7)=0),"🚿 Água pura (EC &lt; 0.2)",""))))))))))))))))))))))</f>
        <v/>
      </c>
      <c r="G84" s="30" t="str">
        <f>IF(79&gt;'🌱 Configuração'!$F$50,"",IF(AND('🌱 Configuração'!$B$51+78&lt;'🌱 Configuração'!$C$51,INT((79-1)/7)+1=1,MOD(79-1,7)=0),"🐛 Nim 2mL/L foliar — preventivo",IF(AND('🌱 Configuração'!$B$51+78&lt;'🌱 Configuração'!$C$51,INT((79-1)/7)+1=2,MOD(79-1,7)=0),"🐛 Beauveria bassiana foliar + solo",IF(AND('🌱 Configuração'!$B$51+78&gt;='🌱 Configuração'!$C$51,'🌱 Configuração'!$B$51+78&lt;'🌱 Configuração'!$D$51,INT(('🌱 Configuração'!$B$51+78-'🌱 Configuração'!$C$51)/7)+1=1,MOD('🌱 Configuração'!$B$51+78-'🌱 Configuração'!$C$51,7)=0),"🐛 Nim 2mL/L foliar",IF(AND('🌱 Configuração'!$B$51+78&gt;='🌱 Configuração'!$C$51,'🌱 Configuração'!$B$51+78&lt;'🌱 Configuração'!$D$51,INT(('🌱 Configuração'!$B$51+78-'🌱 Configuração'!$C$51)/7)+1=2,MOD('🌱 Configuração'!$B$51+78-'🌱 Configuração'!$C$51,7)=0),"🐛 Beauveria bassiana foliar",IF(AND('🌱 Configuração'!$B$51+78&gt;='🌱 Configuração'!$C$51,'🌱 Configuração'!$B$51+78&lt;'🌱 Configuração'!$D$51,INT(('🌱 Configuração'!$B$51+78-'🌱 Configuração'!$C$51)/7)+1=3,MOD('🌱 Configuração'!$B$51+78-'🌱 Configuração'!$C$51,7)=0),"🐛 Nim + Calda Sulfocálcica 1%",IF(AND('🌱 Configuração'!$B$51+78&gt;='🌱 Configuração'!$C$51,'🌱 Configuração'!$B$51+78&lt;'🌱 Configuração'!$D$51,INT(('🌱 Configuração'!$B$51+78-'🌱 Configuração'!$C$51)/7)+1=4,MOD('🌱 Configuração'!$B$51+78-'🌱 Configuração'!$C$51,7)=0),"🐛 Trichoderma solo + Beauveria",IF(AND('🌱 Configuração'!$B$51+78&gt;='🌱 Configuração'!$C$51,'🌱 Configuração'!$B$51+78&lt;'🌱 Configuração'!$D$51,INT(('🌱 Configuração'!$B$51+78-'🌱 Configuração'!$C$51)/7)+1=5,MOD('🌱 Configuração'!$B$51+78-'🌱 Configuração'!$C$51,7)=0),"🐛 Calda Bordalesa 0.5% foliar",IF(AND('🌱 Configuração'!$B$51+78&gt;='🌱 Configuração'!$C$51,'🌱 Configuração'!$B$51+78&lt;'🌱 Configuração'!$D$51,INT(('🌱 Configuração'!$B$51+78-'🌱 Configuração'!$C$51)/7)+1=6,MOD('🌱 Configuração'!$B$51+78-'🌱 Configuração'!$C$51,7)=0),"🐛 Nim 2mL/L — ÚLTIMA foliar",IF(AND('🌱 Configuração'!$B$51+78&gt;='🌱 Configuração'!$D$51,'🌱 Configuração'!$B$51+78&lt;'🌱 Configuração'!$E$51,INT(('🌱 Configuração'!$B$51+78-'🌱 Configuração'!$D$51)/7)+1=1,MOD('🌱 Configuração'!$B$51+78-'🌱 Configuração'!$D$51,7)=0),"🐛 Beauveria bassiana solo (sem foliar)",IF(AND('🌱 Configuração'!$B$51+78&gt;='🌱 Configuração'!$D$51,'🌱 Configuração'!$B$51+78&lt;'🌱 Configuração'!$E$51,INT(('🌱 Configuração'!$B$51+78-'🌱 Configuração'!$D$51)/7)+1=2,MOD('🌱 Configuração'!$B$51+78-'🌱 Configuração'!$D$51,7)=0),"🐛 Trichoderma solo",IF(AND('🌱 Configuração'!$B$51+78&gt;='🌱 Configuração'!$D$51,'🌱 Configuração'!$B$51+78&lt;'🌱 Configuração'!$E$51,INT(('🌱 Configuração'!$B$51+78-'🌱 Configuração'!$D$51)/7)+1=3,MOD('🌱 Configuração'!$B$51+78-'🌱 Configuração'!$D$51,7)=0),"🐛 Beauveria bassiana solo",IF(AND('🌱 Configuração'!$B$51+78&gt;='🌱 Configuração'!$D$51,'🌱 Configuração'!$B$51+78&lt;'🌱 Configuração'!$E$51,INT(('🌱 Configuração'!$B$51+78-'🌱 Configuração'!$D$51)/7)+1=4,MOD('🌱 Configuração'!$B$51+78-'🌱 Configuração'!$D$51,7)=0),"🐛 Trichoderma solo",IF(AND('🌱 Configuração'!$B$51+78&gt;='🌱 Configuração'!$E$51,INT(('🌱 Configuração'!$B$51+78-'🌱 Configuração'!$E$51)/7)+1=1,MOD('🌱 Configuração'!$B$51+78-'🌱 Configuração'!$E$51,7)=0),"🐛 Inspeção final — sem aplicação",""))))))))))))))</f>
        <v/>
      </c>
      <c r="H84" s="22" t="str">
        <f>IF(79&gt;'🌱 Configuração'!$F$50,"",IF('🌱 Configuração'!$B$51+78='🌱 Configuração'!$C$51,"🌿 INÍCIO VEGA — ajustar espaço, luz 18h/dia — EC 0.8",IF('🌱 Configuração'!$B$51+78='🌱 Configuração'!$D$51,"🌸 INÍCIO FLORAÇÃO — mudar para 12h/12h — 🔴 atenção ao fotoperíodo",IF('🌱 Configuração'!$B$51+78='🌱 Configuração'!$E$51,"🚿 INÍCIO FLUSH — PARAR nutrição, somente água pura",IF('🌱 Configuração'!$B$51+78='🌱 Configuração'!$F$51-1,"🔬 Véspera da colheita — analisar tricomas âmbar",IF('🌱 Configuração'!$B$51+78='🌱 Configuração'!$F$51,"✂️ COLHEITA! Parabéns! 🎉",""))))))</f>
        <v/>
      </c>
    </row>
    <row r="85" spans="2:8" ht="18.75" customHeight="1" x14ac:dyDescent="0.3">
      <c r="B85" s="25">
        <f>IF(80&lt;='🌱 Configuração'!$F$50,80,"")</f>
        <v>80</v>
      </c>
      <c r="C85" s="26">
        <f>IF(80&lt;='🌱 Configuração'!$F$50,'🌱 Configuração'!$B$51+79,"")</f>
        <v>46102</v>
      </c>
      <c r="D85" s="27" t="str">
        <f>IF(80&gt;'🌱 Configuração'!$F$50,"",IF('🌱 Configuração'!$B$51+79&lt;'🌱 Configuração'!$C$51,"🌱 Clone",IF('🌱 Configuração'!$B$51+79&lt;'🌱 Configuração'!$D$51,"🌿 Vegetativo",IF('🌱 Configuração'!$B$51+79&lt;'🌱 Configuração'!$E$51,"🌸 Floração","🚿 Flush"))))</f>
        <v>🌸 Floração</v>
      </c>
      <c r="E85" s="28" t="str">
        <f>IF(80&gt;'🌱 Configuração'!$F$50,"",IF('🌱 Configuração'!$B$51+79&lt;'🌱 Configuração'!$C$51,"Clone S"&amp;INT((80-1)/7)+1,IF('🌱 Configuração'!$B$51+79&lt;'🌱 Configuração'!$D$51,"Vega S"&amp;INT(('🌱 Configuração'!$B$51+79-'🌱 Configuração'!$C$51)/7)+1,IF('🌱 Configuração'!$B$51+79&lt;'🌱 Configuração'!$E$51,"Flora S"&amp;INT(('🌱 Configuração'!$B$51+79-'🌱 Configuração'!$D$51)/7)+1,"Flush S"&amp;INT(('🌱 Configuração'!$B$51+79-'🌱 Configuração'!$E$51)/7)+1))))</f>
        <v>Flora S4</v>
      </c>
      <c r="F85" s="29" t="str">
        <f>IF(80&gt;'🌱 Configuração'!$F$50,"",IF(AND('🌱 Configuração'!$B$51+79&lt;'🌱 Configuração'!$C$51,INT((80-1)/7)+1=1,MOD(80-1,7)=0),"🌱 Enraizador (0.5 mL/L)",IF(AND('🌱 Configuração'!$B$51+79&lt;'🌱 Configuração'!$C$51,INT((80-1)/7)+1=2,MOD(80-1,7)=0),"🌱 Enraizador + Vitamina B1",IF(AND('🌱 Configuração'!$B$51+79&gt;='🌱 Configuração'!$C$51,'🌱 Configuração'!$B$51+79&lt;'🌱 Configuração'!$D$51,INT(('🌱 Configuração'!$B$51+79-'🌱 Configuração'!$C$51)/7)+1=1,MOD('🌱 Configuração'!$B$51+79-'🌱 Configuração'!$C$51,7)=0),"🌿 Grow A+B início — EC 0.8",IF(AND('🌱 Configuração'!$B$51+79&gt;='🌱 Configuração'!$C$51,'🌱 Configuração'!$B$51+79&lt;'🌱 Configuração'!$D$51,INT(('🌱 Configuração'!$B$51+79-'🌱 Configuração'!$C$51)/7)+1=2,MOD('🌱 Configuração'!$B$51+79-'🌱 Configuração'!$C$51,7)=0),"🌿 Grow A+B + CalMag — EC 1.0",IF(AND('🌱 Configuração'!$B$51+79&gt;='🌱 Configuração'!$C$51,'🌱 Configuração'!$B$51+79&lt;'🌱 Configuração'!$D$51,INT(('🌱 Configuração'!$B$51+79-'🌱 Configuração'!$C$51)/7)+1=3,MOD('🌱 Configuração'!$B$51+79-'🌱 Configuração'!$C$51,7)=0),"🌿 Grow A+B + CalMag — EC 1.2",IF(AND('🌱 Configuração'!$B$51+79&gt;='🌱 Configuração'!$C$51,'🌱 Configuração'!$B$51+79&lt;'🌱 Configuração'!$D$51,INT(('🌱 Configuração'!$B$51+79-'🌱 Configuração'!$C$51)/7)+1=4,MOD('🌱 Configuração'!$B$51+79-'🌱 Configuração'!$C$51,7)=0),"🌿 Grow A+B + Enzimas — EC 1.4",IF(AND('🌱 Configuração'!$B$51+79&gt;='🌱 Configuração'!$C$51,'🌱 Configuração'!$B$51+79&lt;'🌱 Configuração'!$D$51,INT(('🌱 Configuração'!$B$51+79-'🌱 Configuração'!$C$51)/7)+1=5,MOD('🌱 Configuração'!$B$51+79-'🌱 Configuração'!$C$51,7)=0),"🌿 Grow A+B + Biorrizas — EC 1.5",IF(AND('🌱 Configuração'!$B$51+79&gt;='🌱 Configuração'!$C$51,'🌱 Configuração'!$B$51+79&lt;'🌱 Configuração'!$D$51,INT(('🌱 Configuração'!$B$51+79-'🌱 Configuração'!$C$51)/7)+1=6,MOD('🌱 Configuração'!$B$51+79-'🌱 Configuração'!$C$51,7)=0),"🌿 Transição Bloom — EC 1.4",IF(AND('🌱 Configuração'!$B$51+79&gt;='🌱 Configuração'!$C$51,'🌱 Configuração'!$B$51+79&lt;'🌱 Configuração'!$D$51,INT(('🌱 Configuração'!$B$51+79-'🌱 Configuração'!$C$51)/7)+1=7,MOD('🌱 Configuração'!$B$51+79-'🌱 Configuração'!$C$51,7)=0),"🌿 Bloom A+B transição — EC 1.4",IF(AND('🌱 Configuração'!$B$51+79&gt;='🌱 Configuração'!$C$51,'🌱 Configuração'!$B$51+79&lt;'🌱 Configuração'!$D$51,INT(('🌱 Configuração'!$B$51+79-'🌱 Configuração'!$C$51)/7)+1=8,MOD('🌱 Configuração'!$B$51+79-'🌱 Configuração'!$C$51,7)=0),"🌿 Bloom A+B — EC 1.4",IF(AND('🌱 Configuração'!$B$51+79&gt;='🌱 Configuração'!$D$51,'🌱 Configuração'!$B$51+79&lt;'🌱 Configuração'!$E$51,INT(('🌱 Configuração'!$B$51+79-'🌱 Configuração'!$D$51)/7)+1=1,MOD('🌱 Configuração'!$B$51+79-'🌱 Configuração'!$D$51,7)=0),"🌸 Bloom A+B — EC 1.6",IF(AND('🌱 Configuração'!$B$51+79&gt;='🌱 Configuração'!$D$51,'🌱 Configuração'!$B$51+79&lt;'🌱 Configuração'!$E$51,INT(('🌱 Configuração'!$B$51+79-'🌱 Configuração'!$D$51)/7)+1=2,MOD('🌱 Configuração'!$B$51+79-'🌱 Configuração'!$D$51,7)=0),"🌸 Bloom + PK 13/14 início",IF(AND('🌱 Configuração'!$B$51+79&gt;='🌱 Configuração'!$D$51,'🌱 Configuração'!$B$51+79&lt;'🌱 Configuração'!$E$51,INT(('🌱 Configuração'!$B$51+79-'🌱 Configuração'!$D$51)/7)+1=3,MOD('🌱 Configuração'!$B$51+79-'🌱 Configuração'!$D$51,7)=0),"🌸 Bloom + PK + CalMag — EC 1.8",IF(AND('🌱 Configuração'!$B$51+79&gt;='🌱 Configuração'!$D$51,'🌱 Configuração'!$B$51+79&lt;'🌱 Configuração'!$E$51,INT(('🌱 Configuração'!$B$51+79-'🌱 Configuração'!$D$51)/7)+1=4,MOD('🌱 Configuração'!$B$51+79-'🌱 Configuração'!$D$51,7)=0),"🌸 Bloom + PK + Boost Floral — EC 2.0",IF(AND('🌱 Configuração'!$B$51+79&gt;='🌱 Configuração'!$D$51,'🌱 Configuração'!$B$51+79&lt;'🌱 Configuração'!$E$51,INT(('🌱 Configuração'!$B$51+79-'🌱 Configuração'!$D$51)/7)+1=5,MOD('🌱 Configuração'!$B$51+79-'🌱 Configuração'!$D$51,7)=0),"🌸 Bloom + Boost + Amino",IF(AND('🌱 Configuração'!$B$51+79&gt;='🌱 Configuração'!$D$51,'🌱 Configuração'!$B$51+79&lt;'🌱 Configuração'!$E$51,INT(('🌱 Configuração'!$B$51+79-'🌱 Configuração'!$D$51)/7)+1=6,MOD('🌱 Configuração'!$B$51+79-'🌱 Configuração'!$D$51,7)=0),"🌸 Bloom + Enzimas + Amino",IF(AND('🌱 Configuração'!$B$51+79&gt;='🌱 Configuração'!$D$51,'🌱 Configuração'!$B$51+79&lt;'🌱 Configuração'!$E$51,INT(('🌱 Configuração'!$B$51+79-'🌱 Configuração'!$D$51)/7)+1=7,MOD('🌱 Configuração'!$B$51+79-'🌱 Configuração'!$D$51,7)=0),"🌸 Reduzir N — Bloom puro — EC 1.6",IF(AND('🌱 Configuração'!$B$51+79&gt;='🌱 Configuração'!$D$51,'🌱 Configuração'!$B$51+79&lt;'🌱 Configuração'!$E$51,INT(('🌱 Configuração'!$B$51+79-'🌱 Configuração'!$D$51)/7)+1=8,MOD('🌱 Configuração'!$B$51+79-'🌱 Configuração'!$D$51,7)=0),"🌸 Bloom puro — EC 1.4  (pré-flush)",IF(AND('🌱 Configuração'!$B$51+79&gt;='🌱 Configuração'!$D$51,'🌱 Configuração'!$B$51+79&lt;'🌱 Configuração'!$E$51,INT(('🌱 Configuração'!$B$51+79-'🌱 Configuração'!$D$51)/7)+1=9,MOD('🌱 Configuração'!$B$51+79-'🌱 Configuração'!$D$51,7)=0),"🌸 Último Bloom — EC 0.8",IF(AND('🌱 Configuração'!$B$51+79&gt;='🌱 Configuração'!$E$51,INT(('🌱 Configuração'!$B$51+79-'🌱 Configuração'!$E$51)/7)+1=1,MOD('🌱 Configuração'!$B$51+79-'🌱 Configuração'!$E$51,7)=0),"🚿 Água pura + Enzimas (EC &lt; 0.3)",IF(AND('🌱 Configuração'!$B$51+79&gt;='🌱 Configuração'!$E$51,INT(('🌱 Configuração'!$B$51+79-'🌱 Configuração'!$E$51)/7)+1=2,MOD('🌱 Configuração'!$B$51+79-'🌱 Configuração'!$E$51,7)=0),"🚿 Água pura (EC &lt; 0.2)",""))))))))))))))))))))))</f>
        <v/>
      </c>
      <c r="G85" s="30" t="str">
        <f>IF(80&gt;'🌱 Configuração'!$F$50,"",IF(AND('🌱 Configuração'!$B$51+79&lt;'🌱 Configuração'!$C$51,INT((80-1)/7)+1=1,MOD(80-1,7)=0),"🐛 Nim 2mL/L foliar — preventivo",IF(AND('🌱 Configuração'!$B$51+79&lt;'🌱 Configuração'!$C$51,INT((80-1)/7)+1=2,MOD(80-1,7)=0),"🐛 Beauveria bassiana foliar + solo",IF(AND('🌱 Configuração'!$B$51+79&gt;='🌱 Configuração'!$C$51,'🌱 Configuração'!$B$51+79&lt;'🌱 Configuração'!$D$51,INT(('🌱 Configuração'!$B$51+79-'🌱 Configuração'!$C$51)/7)+1=1,MOD('🌱 Configuração'!$B$51+79-'🌱 Configuração'!$C$51,7)=0),"🐛 Nim 2mL/L foliar",IF(AND('🌱 Configuração'!$B$51+79&gt;='🌱 Configuração'!$C$51,'🌱 Configuração'!$B$51+79&lt;'🌱 Configuração'!$D$51,INT(('🌱 Configuração'!$B$51+79-'🌱 Configuração'!$C$51)/7)+1=2,MOD('🌱 Configuração'!$B$51+79-'🌱 Configuração'!$C$51,7)=0),"🐛 Beauveria bassiana foliar",IF(AND('🌱 Configuração'!$B$51+79&gt;='🌱 Configuração'!$C$51,'🌱 Configuração'!$B$51+79&lt;'🌱 Configuração'!$D$51,INT(('🌱 Configuração'!$B$51+79-'🌱 Configuração'!$C$51)/7)+1=3,MOD('🌱 Configuração'!$B$51+79-'🌱 Configuração'!$C$51,7)=0),"🐛 Nim + Calda Sulfocálcica 1%",IF(AND('🌱 Configuração'!$B$51+79&gt;='🌱 Configuração'!$C$51,'🌱 Configuração'!$B$51+79&lt;'🌱 Configuração'!$D$51,INT(('🌱 Configuração'!$B$51+79-'🌱 Configuração'!$C$51)/7)+1=4,MOD('🌱 Configuração'!$B$51+79-'🌱 Configuração'!$C$51,7)=0),"🐛 Trichoderma solo + Beauveria",IF(AND('🌱 Configuração'!$B$51+79&gt;='🌱 Configuração'!$C$51,'🌱 Configuração'!$B$51+79&lt;'🌱 Configuração'!$D$51,INT(('🌱 Configuração'!$B$51+79-'🌱 Configuração'!$C$51)/7)+1=5,MOD('🌱 Configuração'!$B$51+79-'🌱 Configuração'!$C$51,7)=0),"🐛 Calda Bordalesa 0.5% foliar",IF(AND('🌱 Configuração'!$B$51+79&gt;='🌱 Configuração'!$C$51,'🌱 Configuração'!$B$51+79&lt;'🌱 Configuração'!$D$51,INT(('🌱 Configuração'!$B$51+79-'🌱 Configuração'!$C$51)/7)+1=6,MOD('🌱 Configuração'!$B$51+79-'🌱 Configuração'!$C$51,7)=0),"🐛 Nim 2mL/L — ÚLTIMA foliar",IF(AND('🌱 Configuração'!$B$51+79&gt;='🌱 Configuração'!$D$51,'🌱 Configuração'!$B$51+79&lt;'🌱 Configuração'!$E$51,INT(('🌱 Configuração'!$B$51+79-'🌱 Configuração'!$D$51)/7)+1=1,MOD('🌱 Configuração'!$B$51+79-'🌱 Configuração'!$D$51,7)=0),"🐛 Beauveria bassiana solo (sem foliar)",IF(AND('🌱 Configuração'!$B$51+79&gt;='🌱 Configuração'!$D$51,'🌱 Configuração'!$B$51+79&lt;'🌱 Configuração'!$E$51,INT(('🌱 Configuração'!$B$51+79-'🌱 Configuração'!$D$51)/7)+1=2,MOD('🌱 Configuração'!$B$51+79-'🌱 Configuração'!$D$51,7)=0),"🐛 Trichoderma solo",IF(AND('🌱 Configuração'!$B$51+79&gt;='🌱 Configuração'!$D$51,'🌱 Configuração'!$B$51+79&lt;'🌱 Configuração'!$E$51,INT(('🌱 Configuração'!$B$51+79-'🌱 Configuração'!$D$51)/7)+1=3,MOD('🌱 Configuração'!$B$51+79-'🌱 Configuração'!$D$51,7)=0),"🐛 Beauveria bassiana solo",IF(AND('🌱 Configuração'!$B$51+79&gt;='🌱 Configuração'!$D$51,'🌱 Configuração'!$B$51+79&lt;'🌱 Configuração'!$E$51,INT(('🌱 Configuração'!$B$51+79-'🌱 Configuração'!$D$51)/7)+1=4,MOD('🌱 Configuração'!$B$51+79-'🌱 Configuração'!$D$51,7)=0),"🐛 Trichoderma solo",IF(AND('🌱 Configuração'!$B$51+79&gt;='🌱 Configuração'!$E$51,INT(('🌱 Configuração'!$B$51+79-'🌱 Configuração'!$E$51)/7)+1=1,MOD('🌱 Configuração'!$B$51+79-'🌱 Configuração'!$E$51,7)=0),"🐛 Inspeção final — sem aplicação",""))))))))))))))</f>
        <v/>
      </c>
      <c r="H85" s="22" t="str">
        <f>IF(80&gt;'🌱 Configuração'!$F$50,"",IF('🌱 Configuração'!$B$51+79='🌱 Configuração'!$C$51,"🌿 INÍCIO VEGA — ajustar espaço, luz 18h/dia — EC 0.8",IF('🌱 Configuração'!$B$51+79='🌱 Configuração'!$D$51,"🌸 INÍCIO FLORAÇÃO — mudar para 12h/12h — 🔴 atenção ao fotoperíodo",IF('🌱 Configuração'!$B$51+79='🌱 Configuração'!$E$51,"🚿 INÍCIO FLUSH — PARAR nutrição, somente água pura",IF('🌱 Configuração'!$B$51+79='🌱 Configuração'!$F$51-1,"🔬 Véspera da colheita — analisar tricomas âmbar",IF('🌱 Configuração'!$B$51+79='🌱 Configuração'!$F$51,"✂️ COLHEITA! Parabéns! 🎉",""))))))</f>
        <v/>
      </c>
    </row>
    <row r="86" spans="2:8" ht="18.75" customHeight="1" x14ac:dyDescent="0.3">
      <c r="B86" s="25">
        <f>IF(81&lt;='🌱 Configuração'!$F$50,81,"")</f>
        <v>81</v>
      </c>
      <c r="C86" s="26">
        <f>IF(81&lt;='🌱 Configuração'!$F$50,'🌱 Configuração'!$B$51+80,"")</f>
        <v>46103</v>
      </c>
      <c r="D86" s="27" t="str">
        <f>IF(81&gt;'🌱 Configuração'!$F$50,"",IF('🌱 Configuração'!$B$51+80&lt;'🌱 Configuração'!$C$51,"🌱 Clone",IF('🌱 Configuração'!$B$51+80&lt;'🌱 Configuração'!$D$51,"🌿 Vegetativo",IF('🌱 Configuração'!$B$51+80&lt;'🌱 Configuração'!$E$51,"🌸 Floração","🚿 Flush"))))</f>
        <v>🌸 Floração</v>
      </c>
      <c r="E86" s="28" t="str">
        <f>IF(81&gt;'🌱 Configuração'!$F$50,"",IF('🌱 Configuração'!$B$51+80&lt;'🌱 Configuração'!$C$51,"Clone S"&amp;INT((81-1)/7)+1,IF('🌱 Configuração'!$B$51+80&lt;'🌱 Configuração'!$D$51,"Vega S"&amp;INT(('🌱 Configuração'!$B$51+80-'🌱 Configuração'!$C$51)/7)+1,IF('🌱 Configuração'!$B$51+80&lt;'🌱 Configuração'!$E$51,"Flora S"&amp;INT(('🌱 Configuração'!$B$51+80-'🌱 Configuração'!$D$51)/7)+1,"Flush S"&amp;INT(('🌱 Configuração'!$B$51+80-'🌱 Configuração'!$E$51)/7)+1))))</f>
        <v>Flora S4</v>
      </c>
      <c r="F86" s="29" t="str">
        <f>IF(81&gt;'🌱 Configuração'!$F$50,"",IF(AND('🌱 Configuração'!$B$51+80&lt;'🌱 Configuração'!$C$51,INT((81-1)/7)+1=1,MOD(81-1,7)=0),"🌱 Enraizador (0.5 mL/L)",IF(AND('🌱 Configuração'!$B$51+80&lt;'🌱 Configuração'!$C$51,INT((81-1)/7)+1=2,MOD(81-1,7)=0),"🌱 Enraizador + Vitamina B1",IF(AND('🌱 Configuração'!$B$51+80&gt;='🌱 Configuração'!$C$51,'🌱 Configuração'!$B$51+80&lt;'🌱 Configuração'!$D$51,INT(('🌱 Configuração'!$B$51+80-'🌱 Configuração'!$C$51)/7)+1=1,MOD('🌱 Configuração'!$B$51+80-'🌱 Configuração'!$C$51,7)=0),"🌿 Grow A+B início — EC 0.8",IF(AND('🌱 Configuração'!$B$51+80&gt;='🌱 Configuração'!$C$51,'🌱 Configuração'!$B$51+80&lt;'🌱 Configuração'!$D$51,INT(('🌱 Configuração'!$B$51+80-'🌱 Configuração'!$C$51)/7)+1=2,MOD('🌱 Configuração'!$B$51+80-'🌱 Configuração'!$C$51,7)=0),"🌿 Grow A+B + CalMag — EC 1.0",IF(AND('🌱 Configuração'!$B$51+80&gt;='🌱 Configuração'!$C$51,'🌱 Configuração'!$B$51+80&lt;'🌱 Configuração'!$D$51,INT(('🌱 Configuração'!$B$51+80-'🌱 Configuração'!$C$51)/7)+1=3,MOD('🌱 Configuração'!$B$51+80-'🌱 Configuração'!$C$51,7)=0),"🌿 Grow A+B + CalMag — EC 1.2",IF(AND('🌱 Configuração'!$B$51+80&gt;='🌱 Configuração'!$C$51,'🌱 Configuração'!$B$51+80&lt;'🌱 Configuração'!$D$51,INT(('🌱 Configuração'!$B$51+80-'🌱 Configuração'!$C$51)/7)+1=4,MOD('🌱 Configuração'!$B$51+80-'🌱 Configuração'!$C$51,7)=0),"🌿 Grow A+B + Enzimas — EC 1.4",IF(AND('🌱 Configuração'!$B$51+80&gt;='🌱 Configuração'!$C$51,'🌱 Configuração'!$B$51+80&lt;'🌱 Configuração'!$D$51,INT(('🌱 Configuração'!$B$51+80-'🌱 Configuração'!$C$51)/7)+1=5,MOD('🌱 Configuração'!$B$51+80-'🌱 Configuração'!$C$51,7)=0),"🌿 Grow A+B + Biorrizas — EC 1.5",IF(AND('🌱 Configuração'!$B$51+80&gt;='🌱 Configuração'!$C$51,'🌱 Configuração'!$B$51+80&lt;'🌱 Configuração'!$D$51,INT(('🌱 Configuração'!$B$51+80-'🌱 Configuração'!$C$51)/7)+1=6,MOD('🌱 Configuração'!$B$51+80-'🌱 Configuração'!$C$51,7)=0),"🌿 Transição Bloom — EC 1.4",IF(AND('🌱 Configuração'!$B$51+80&gt;='🌱 Configuração'!$C$51,'🌱 Configuração'!$B$51+80&lt;'🌱 Configuração'!$D$51,INT(('🌱 Configuração'!$B$51+80-'🌱 Configuração'!$C$51)/7)+1=7,MOD('🌱 Configuração'!$B$51+80-'🌱 Configuração'!$C$51,7)=0),"🌿 Bloom A+B transição — EC 1.4",IF(AND('🌱 Configuração'!$B$51+80&gt;='🌱 Configuração'!$C$51,'🌱 Configuração'!$B$51+80&lt;'🌱 Configuração'!$D$51,INT(('🌱 Configuração'!$B$51+80-'🌱 Configuração'!$C$51)/7)+1=8,MOD('🌱 Configuração'!$B$51+80-'🌱 Configuração'!$C$51,7)=0),"🌿 Bloom A+B — EC 1.4",IF(AND('🌱 Configuração'!$B$51+80&gt;='🌱 Configuração'!$D$51,'🌱 Configuração'!$B$51+80&lt;'🌱 Configuração'!$E$51,INT(('🌱 Configuração'!$B$51+80-'🌱 Configuração'!$D$51)/7)+1=1,MOD('🌱 Configuração'!$B$51+80-'🌱 Configuração'!$D$51,7)=0),"🌸 Bloom A+B — EC 1.6",IF(AND('🌱 Configuração'!$B$51+80&gt;='🌱 Configuração'!$D$51,'🌱 Configuração'!$B$51+80&lt;'🌱 Configuração'!$E$51,INT(('🌱 Configuração'!$B$51+80-'🌱 Configuração'!$D$51)/7)+1=2,MOD('🌱 Configuração'!$B$51+80-'🌱 Configuração'!$D$51,7)=0),"🌸 Bloom + PK 13/14 início",IF(AND('🌱 Configuração'!$B$51+80&gt;='🌱 Configuração'!$D$51,'🌱 Configuração'!$B$51+80&lt;'🌱 Configuração'!$E$51,INT(('🌱 Configuração'!$B$51+80-'🌱 Configuração'!$D$51)/7)+1=3,MOD('🌱 Configuração'!$B$51+80-'🌱 Configuração'!$D$51,7)=0),"🌸 Bloom + PK + CalMag — EC 1.8",IF(AND('🌱 Configuração'!$B$51+80&gt;='🌱 Configuração'!$D$51,'🌱 Configuração'!$B$51+80&lt;'🌱 Configuração'!$E$51,INT(('🌱 Configuração'!$B$51+80-'🌱 Configuração'!$D$51)/7)+1=4,MOD('🌱 Configuração'!$B$51+80-'🌱 Configuração'!$D$51,7)=0),"🌸 Bloom + PK + Boost Floral — EC 2.0",IF(AND('🌱 Configuração'!$B$51+80&gt;='🌱 Configuração'!$D$51,'🌱 Configuração'!$B$51+80&lt;'🌱 Configuração'!$E$51,INT(('🌱 Configuração'!$B$51+80-'🌱 Configuração'!$D$51)/7)+1=5,MOD('🌱 Configuração'!$B$51+80-'🌱 Configuração'!$D$51,7)=0),"🌸 Bloom + Boost + Amino",IF(AND('🌱 Configuração'!$B$51+80&gt;='🌱 Configuração'!$D$51,'🌱 Configuração'!$B$51+80&lt;'🌱 Configuração'!$E$51,INT(('🌱 Configuração'!$B$51+80-'🌱 Configuração'!$D$51)/7)+1=6,MOD('🌱 Configuração'!$B$51+80-'🌱 Configuração'!$D$51,7)=0),"🌸 Bloom + Enzimas + Amino",IF(AND('🌱 Configuração'!$B$51+80&gt;='🌱 Configuração'!$D$51,'🌱 Configuração'!$B$51+80&lt;'🌱 Configuração'!$E$51,INT(('🌱 Configuração'!$B$51+80-'🌱 Configuração'!$D$51)/7)+1=7,MOD('🌱 Configuração'!$B$51+80-'🌱 Configuração'!$D$51,7)=0),"🌸 Reduzir N — Bloom puro — EC 1.6",IF(AND('🌱 Configuração'!$B$51+80&gt;='🌱 Configuração'!$D$51,'🌱 Configuração'!$B$51+80&lt;'🌱 Configuração'!$E$51,INT(('🌱 Configuração'!$B$51+80-'🌱 Configuração'!$D$51)/7)+1=8,MOD('🌱 Configuração'!$B$51+80-'🌱 Configuração'!$D$51,7)=0),"🌸 Bloom puro — EC 1.4  (pré-flush)",IF(AND('🌱 Configuração'!$B$51+80&gt;='🌱 Configuração'!$D$51,'🌱 Configuração'!$B$51+80&lt;'🌱 Configuração'!$E$51,INT(('🌱 Configuração'!$B$51+80-'🌱 Configuração'!$D$51)/7)+1=9,MOD('🌱 Configuração'!$B$51+80-'🌱 Configuração'!$D$51,7)=0),"🌸 Último Bloom — EC 0.8",IF(AND('🌱 Configuração'!$B$51+80&gt;='🌱 Configuração'!$E$51,INT(('🌱 Configuração'!$B$51+80-'🌱 Configuração'!$E$51)/7)+1=1,MOD('🌱 Configuração'!$B$51+80-'🌱 Configuração'!$E$51,7)=0),"🚿 Água pura + Enzimas (EC &lt; 0.3)",IF(AND('🌱 Configuração'!$B$51+80&gt;='🌱 Configuração'!$E$51,INT(('🌱 Configuração'!$B$51+80-'🌱 Configuração'!$E$51)/7)+1=2,MOD('🌱 Configuração'!$B$51+80-'🌱 Configuração'!$E$51,7)=0),"🚿 Água pura (EC &lt; 0.2)",""))))))))))))))))))))))</f>
        <v/>
      </c>
      <c r="G86" s="30" t="str">
        <f>IF(81&gt;'🌱 Configuração'!$F$50,"",IF(AND('🌱 Configuração'!$B$51+80&lt;'🌱 Configuração'!$C$51,INT((81-1)/7)+1=1,MOD(81-1,7)=0),"🐛 Nim 2mL/L foliar — preventivo",IF(AND('🌱 Configuração'!$B$51+80&lt;'🌱 Configuração'!$C$51,INT((81-1)/7)+1=2,MOD(81-1,7)=0),"🐛 Beauveria bassiana foliar + solo",IF(AND('🌱 Configuração'!$B$51+80&gt;='🌱 Configuração'!$C$51,'🌱 Configuração'!$B$51+80&lt;'🌱 Configuração'!$D$51,INT(('🌱 Configuração'!$B$51+80-'🌱 Configuração'!$C$51)/7)+1=1,MOD('🌱 Configuração'!$B$51+80-'🌱 Configuração'!$C$51,7)=0),"🐛 Nim 2mL/L foliar",IF(AND('🌱 Configuração'!$B$51+80&gt;='🌱 Configuração'!$C$51,'🌱 Configuração'!$B$51+80&lt;'🌱 Configuração'!$D$51,INT(('🌱 Configuração'!$B$51+80-'🌱 Configuração'!$C$51)/7)+1=2,MOD('🌱 Configuração'!$B$51+80-'🌱 Configuração'!$C$51,7)=0),"🐛 Beauveria bassiana foliar",IF(AND('🌱 Configuração'!$B$51+80&gt;='🌱 Configuração'!$C$51,'🌱 Configuração'!$B$51+80&lt;'🌱 Configuração'!$D$51,INT(('🌱 Configuração'!$B$51+80-'🌱 Configuração'!$C$51)/7)+1=3,MOD('🌱 Configuração'!$B$51+80-'🌱 Configuração'!$C$51,7)=0),"🐛 Nim + Calda Sulfocálcica 1%",IF(AND('🌱 Configuração'!$B$51+80&gt;='🌱 Configuração'!$C$51,'🌱 Configuração'!$B$51+80&lt;'🌱 Configuração'!$D$51,INT(('🌱 Configuração'!$B$51+80-'🌱 Configuração'!$C$51)/7)+1=4,MOD('🌱 Configuração'!$B$51+80-'🌱 Configuração'!$C$51,7)=0),"🐛 Trichoderma solo + Beauveria",IF(AND('🌱 Configuração'!$B$51+80&gt;='🌱 Configuração'!$C$51,'🌱 Configuração'!$B$51+80&lt;'🌱 Configuração'!$D$51,INT(('🌱 Configuração'!$B$51+80-'🌱 Configuração'!$C$51)/7)+1=5,MOD('🌱 Configuração'!$B$51+80-'🌱 Configuração'!$C$51,7)=0),"🐛 Calda Bordalesa 0.5% foliar",IF(AND('🌱 Configuração'!$B$51+80&gt;='🌱 Configuração'!$C$51,'🌱 Configuração'!$B$51+80&lt;'🌱 Configuração'!$D$51,INT(('🌱 Configuração'!$B$51+80-'🌱 Configuração'!$C$51)/7)+1=6,MOD('🌱 Configuração'!$B$51+80-'🌱 Configuração'!$C$51,7)=0),"🐛 Nim 2mL/L — ÚLTIMA foliar",IF(AND('🌱 Configuração'!$B$51+80&gt;='🌱 Configuração'!$D$51,'🌱 Configuração'!$B$51+80&lt;'🌱 Configuração'!$E$51,INT(('🌱 Configuração'!$B$51+80-'🌱 Configuração'!$D$51)/7)+1=1,MOD('🌱 Configuração'!$B$51+80-'🌱 Configuração'!$D$51,7)=0),"🐛 Beauveria bassiana solo (sem foliar)",IF(AND('🌱 Configuração'!$B$51+80&gt;='🌱 Configuração'!$D$51,'🌱 Configuração'!$B$51+80&lt;'🌱 Configuração'!$E$51,INT(('🌱 Configuração'!$B$51+80-'🌱 Configuração'!$D$51)/7)+1=2,MOD('🌱 Configuração'!$B$51+80-'🌱 Configuração'!$D$51,7)=0),"🐛 Trichoderma solo",IF(AND('🌱 Configuração'!$B$51+80&gt;='🌱 Configuração'!$D$51,'🌱 Configuração'!$B$51+80&lt;'🌱 Configuração'!$E$51,INT(('🌱 Configuração'!$B$51+80-'🌱 Configuração'!$D$51)/7)+1=3,MOD('🌱 Configuração'!$B$51+80-'🌱 Configuração'!$D$51,7)=0),"🐛 Beauveria bassiana solo",IF(AND('🌱 Configuração'!$B$51+80&gt;='🌱 Configuração'!$D$51,'🌱 Configuração'!$B$51+80&lt;'🌱 Configuração'!$E$51,INT(('🌱 Configuração'!$B$51+80-'🌱 Configuração'!$D$51)/7)+1=4,MOD('🌱 Configuração'!$B$51+80-'🌱 Configuração'!$D$51,7)=0),"🐛 Trichoderma solo",IF(AND('🌱 Configuração'!$B$51+80&gt;='🌱 Configuração'!$E$51,INT(('🌱 Configuração'!$B$51+80-'🌱 Configuração'!$E$51)/7)+1=1,MOD('🌱 Configuração'!$B$51+80-'🌱 Configuração'!$E$51,7)=0),"🐛 Inspeção final — sem aplicação",""))))))))))))))</f>
        <v/>
      </c>
      <c r="H86" s="22" t="str">
        <f>IF(81&gt;'🌱 Configuração'!$F$50,"",IF('🌱 Configuração'!$B$51+80='🌱 Configuração'!$C$51,"🌿 INÍCIO VEGA — ajustar espaço, luz 18h/dia — EC 0.8",IF('🌱 Configuração'!$B$51+80='🌱 Configuração'!$D$51,"🌸 INÍCIO FLORAÇÃO — mudar para 12h/12h — 🔴 atenção ao fotoperíodo",IF('🌱 Configuração'!$B$51+80='🌱 Configuração'!$E$51,"🚿 INÍCIO FLUSH — PARAR nutrição, somente água pura",IF('🌱 Configuração'!$B$51+80='🌱 Configuração'!$F$51-1,"🔬 Véspera da colheita — analisar tricomas âmbar",IF('🌱 Configuração'!$B$51+80='🌱 Configuração'!$F$51,"✂️ COLHEITA! Parabéns! 🎉",""))))))</f>
        <v/>
      </c>
    </row>
    <row r="87" spans="2:8" ht="18.75" customHeight="1" x14ac:dyDescent="0.3">
      <c r="B87" s="25">
        <f>IF(82&lt;='🌱 Configuração'!$F$50,82,"")</f>
        <v>82</v>
      </c>
      <c r="C87" s="26">
        <f>IF(82&lt;='🌱 Configuração'!$F$50,'🌱 Configuração'!$B$51+81,"")</f>
        <v>46104</v>
      </c>
      <c r="D87" s="27" t="str">
        <f>IF(82&gt;'🌱 Configuração'!$F$50,"",IF('🌱 Configuração'!$B$51+81&lt;'🌱 Configuração'!$C$51,"🌱 Clone",IF('🌱 Configuração'!$B$51+81&lt;'🌱 Configuração'!$D$51,"🌿 Vegetativo",IF('🌱 Configuração'!$B$51+81&lt;'🌱 Configuração'!$E$51,"🌸 Floração","🚿 Flush"))))</f>
        <v>🌸 Floração</v>
      </c>
      <c r="E87" s="28" t="str">
        <f>IF(82&gt;'🌱 Configuração'!$F$50,"",IF('🌱 Configuração'!$B$51+81&lt;'🌱 Configuração'!$C$51,"Clone S"&amp;INT((82-1)/7)+1,IF('🌱 Configuração'!$B$51+81&lt;'🌱 Configuração'!$D$51,"Vega S"&amp;INT(('🌱 Configuração'!$B$51+81-'🌱 Configuração'!$C$51)/7)+1,IF('🌱 Configuração'!$B$51+81&lt;'🌱 Configuração'!$E$51,"Flora S"&amp;INT(('🌱 Configuração'!$B$51+81-'🌱 Configuração'!$D$51)/7)+1,"Flush S"&amp;INT(('🌱 Configuração'!$B$51+81-'🌱 Configuração'!$E$51)/7)+1))))</f>
        <v>Flora S4</v>
      </c>
      <c r="F87" s="29" t="str">
        <f>IF(82&gt;'🌱 Configuração'!$F$50,"",IF(AND('🌱 Configuração'!$B$51+81&lt;'🌱 Configuração'!$C$51,INT((82-1)/7)+1=1,MOD(82-1,7)=0),"🌱 Enraizador (0.5 mL/L)",IF(AND('🌱 Configuração'!$B$51+81&lt;'🌱 Configuração'!$C$51,INT((82-1)/7)+1=2,MOD(82-1,7)=0),"🌱 Enraizador + Vitamina B1",IF(AND('🌱 Configuração'!$B$51+81&gt;='🌱 Configuração'!$C$51,'🌱 Configuração'!$B$51+81&lt;'🌱 Configuração'!$D$51,INT(('🌱 Configuração'!$B$51+81-'🌱 Configuração'!$C$51)/7)+1=1,MOD('🌱 Configuração'!$B$51+81-'🌱 Configuração'!$C$51,7)=0),"🌿 Grow A+B início — EC 0.8",IF(AND('🌱 Configuração'!$B$51+81&gt;='🌱 Configuração'!$C$51,'🌱 Configuração'!$B$51+81&lt;'🌱 Configuração'!$D$51,INT(('🌱 Configuração'!$B$51+81-'🌱 Configuração'!$C$51)/7)+1=2,MOD('🌱 Configuração'!$B$51+81-'🌱 Configuração'!$C$51,7)=0),"🌿 Grow A+B + CalMag — EC 1.0",IF(AND('🌱 Configuração'!$B$51+81&gt;='🌱 Configuração'!$C$51,'🌱 Configuração'!$B$51+81&lt;'🌱 Configuração'!$D$51,INT(('🌱 Configuração'!$B$51+81-'🌱 Configuração'!$C$51)/7)+1=3,MOD('🌱 Configuração'!$B$51+81-'🌱 Configuração'!$C$51,7)=0),"🌿 Grow A+B + CalMag — EC 1.2",IF(AND('🌱 Configuração'!$B$51+81&gt;='🌱 Configuração'!$C$51,'🌱 Configuração'!$B$51+81&lt;'🌱 Configuração'!$D$51,INT(('🌱 Configuração'!$B$51+81-'🌱 Configuração'!$C$51)/7)+1=4,MOD('🌱 Configuração'!$B$51+81-'🌱 Configuração'!$C$51,7)=0),"🌿 Grow A+B + Enzimas — EC 1.4",IF(AND('🌱 Configuração'!$B$51+81&gt;='🌱 Configuração'!$C$51,'🌱 Configuração'!$B$51+81&lt;'🌱 Configuração'!$D$51,INT(('🌱 Configuração'!$B$51+81-'🌱 Configuração'!$C$51)/7)+1=5,MOD('🌱 Configuração'!$B$51+81-'🌱 Configuração'!$C$51,7)=0),"🌿 Grow A+B + Biorrizas — EC 1.5",IF(AND('🌱 Configuração'!$B$51+81&gt;='🌱 Configuração'!$C$51,'🌱 Configuração'!$B$51+81&lt;'🌱 Configuração'!$D$51,INT(('🌱 Configuração'!$B$51+81-'🌱 Configuração'!$C$51)/7)+1=6,MOD('🌱 Configuração'!$B$51+81-'🌱 Configuração'!$C$51,7)=0),"🌿 Transição Bloom — EC 1.4",IF(AND('🌱 Configuração'!$B$51+81&gt;='🌱 Configuração'!$C$51,'🌱 Configuração'!$B$51+81&lt;'🌱 Configuração'!$D$51,INT(('🌱 Configuração'!$B$51+81-'🌱 Configuração'!$C$51)/7)+1=7,MOD('🌱 Configuração'!$B$51+81-'🌱 Configuração'!$C$51,7)=0),"🌿 Bloom A+B transição — EC 1.4",IF(AND('🌱 Configuração'!$B$51+81&gt;='🌱 Configuração'!$C$51,'🌱 Configuração'!$B$51+81&lt;'🌱 Configuração'!$D$51,INT(('🌱 Configuração'!$B$51+81-'🌱 Configuração'!$C$51)/7)+1=8,MOD('🌱 Configuração'!$B$51+81-'🌱 Configuração'!$C$51,7)=0),"🌿 Bloom A+B — EC 1.4",IF(AND('🌱 Configuração'!$B$51+81&gt;='🌱 Configuração'!$D$51,'🌱 Configuração'!$B$51+81&lt;'🌱 Configuração'!$E$51,INT(('🌱 Configuração'!$B$51+81-'🌱 Configuração'!$D$51)/7)+1=1,MOD('🌱 Configuração'!$B$51+81-'🌱 Configuração'!$D$51,7)=0),"🌸 Bloom A+B — EC 1.6",IF(AND('🌱 Configuração'!$B$51+81&gt;='🌱 Configuração'!$D$51,'🌱 Configuração'!$B$51+81&lt;'🌱 Configuração'!$E$51,INT(('🌱 Configuração'!$B$51+81-'🌱 Configuração'!$D$51)/7)+1=2,MOD('🌱 Configuração'!$B$51+81-'🌱 Configuração'!$D$51,7)=0),"🌸 Bloom + PK 13/14 início",IF(AND('🌱 Configuração'!$B$51+81&gt;='🌱 Configuração'!$D$51,'🌱 Configuração'!$B$51+81&lt;'🌱 Configuração'!$E$51,INT(('🌱 Configuração'!$B$51+81-'🌱 Configuração'!$D$51)/7)+1=3,MOD('🌱 Configuração'!$B$51+81-'🌱 Configuração'!$D$51,7)=0),"🌸 Bloom + PK + CalMag — EC 1.8",IF(AND('🌱 Configuração'!$B$51+81&gt;='🌱 Configuração'!$D$51,'🌱 Configuração'!$B$51+81&lt;'🌱 Configuração'!$E$51,INT(('🌱 Configuração'!$B$51+81-'🌱 Configuração'!$D$51)/7)+1=4,MOD('🌱 Configuração'!$B$51+81-'🌱 Configuração'!$D$51,7)=0),"🌸 Bloom + PK + Boost Floral — EC 2.0",IF(AND('🌱 Configuração'!$B$51+81&gt;='🌱 Configuração'!$D$51,'🌱 Configuração'!$B$51+81&lt;'🌱 Configuração'!$E$51,INT(('🌱 Configuração'!$B$51+81-'🌱 Configuração'!$D$51)/7)+1=5,MOD('🌱 Configuração'!$B$51+81-'🌱 Configuração'!$D$51,7)=0),"🌸 Bloom + Boost + Amino",IF(AND('🌱 Configuração'!$B$51+81&gt;='🌱 Configuração'!$D$51,'🌱 Configuração'!$B$51+81&lt;'🌱 Configuração'!$E$51,INT(('🌱 Configuração'!$B$51+81-'🌱 Configuração'!$D$51)/7)+1=6,MOD('🌱 Configuração'!$B$51+81-'🌱 Configuração'!$D$51,7)=0),"🌸 Bloom + Enzimas + Amino",IF(AND('🌱 Configuração'!$B$51+81&gt;='🌱 Configuração'!$D$51,'🌱 Configuração'!$B$51+81&lt;'🌱 Configuração'!$E$51,INT(('🌱 Configuração'!$B$51+81-'🌱 Configuração'!$D$51)/7)+1=7,MOD('🌱 Configuração'!$B$51+81-'🌱 Configuração'!$D$51,7)=0),"🌸 Reduzir N — Bloom puro — EC 1.6",IF(AND('🌱 Configuração'!$B$51+81&gt;='🌱 Configuração'!$D$51,'🌱 Configuração'!$B$51+81&lt;'🌱 Configuração'!$E$51,INT(('🌱 Configuração'!$B$51+81-'🌱 Configuração'!$D$51)/7)+1=8,MOD('🌱 Configuração'!$B$51+81-'🌱 Configuração'!$D$51,7)=0),"🌸 Bloom puro — EC 1.4  (pré-flush)",IF(AND('🌱 Configuração'!$B$51+81&gt;='🌱 Configuração'!$D$51,'🌱 Configuração'!$B$51+81&lt;'🌱 Configuração'!$E$51,INT(('🌱 Configuração'!$B$51+81-'🌱 Configuração'!$D$51)/7)+1=9,MOD('🌱 Configuração'!$B$51+81-'🌱 Configuração'!$D$51,7)=0),"🌸 Último Bloom — EC 0.8",IF(AND('🌱 Configuração'!$B$51+81&gt;='🌱 Configuração'!$E$51,INT(('🌱 Configuração'!$B$51+81-'🌱 Configuração'!$E$51)/7)+1=1,MOD('🌱 Configuração'!$B$51+81-'🌱 Configuração'!$E$51,7)=0),"🚿 Água pura + Enzimas (EC &lt; 0.3)",IF(AND('🌱 Configuração'!$B$51+81&gt;='🌱 Configuração'!$E$51,INT(('🌱 Configuração'!$B$51+81-'🌱 Configuração'!$E$51)/7)+1=2,MOD('🌱 Configuração'!$B$51+81-'🌱 Configuração'!$E$51,7)=0),"🚿 Água pura (EC &lt; 0.2)",""))))))))))))))))))))))</f>
        <v/>
      </c>
      <c r="G87" s="30" t="str">
        <f>IF(82&gt;'🌱 Configuração'!$F$50,"",IF(AND('🌱 Configuração'!$B$51+81&lt;'🌱 Configuração'!$C$51,INT((82-1)/7)+1=1,MOD(82-1,7)=0),"🐛 Nim 2mL/L foliar — preventivo",IF(AND('🌱 Configuração'!$B$51+81&lt;'🌱 Configuração'!$C$51,INT((82-1)/7)+1=2,MOD(82-1,7)=0),"🐛 Beauveria bassiana foliar + solo",IF(AND('🌱 Configuração'!$B$51+81&gt;='🌱 Configuração'!$C$51,'🌱 Configuração'!$B$51+81&lt;'🌱 Configuração'!$D$51,INT(('🌱 Configuração'!$B$51+81-'🌱 Configuração'!$C$51)/7)+1=1,MOD('🌱 Configuração'!$B$51+81-'🌱 Configuração'!$C$51,7)=0),"🐛 Nim 2mL/L foliar",IF(AND('🌱 Configuração'!$B$51+81&gt;='🌱 Configuração'!$C$51,'🌱 Configuração'!$B$51+81&lt;'🌱 Configuração'!$D$51,INT(('🌱 Configuração'!$B$51+81-'🌱 Configuração'!$C$51)/7)+1=2,MOD('🌱 Configuração'!$B$51+81-'🌱 Configuração'!$C$51,7)=0),"🐛 Beauveria bassiana foliar",IF(AND('🌱 Configuração'!$B$51+81&gt;='🌱 Configuração'!$C$51,'🌱 Configuração'!$B$51+81&lt;'🌱 Configuração'!$D$51,INT(('🌱 Configuração'!$B$51+81-'🌱 Configuração'!$C$51)/7)+1=3,MOD('🌱 Configuração'!$B$51+81-'🌱 Configuração'!$C$51,7)=0),"🐛 Nim + Calda Sulfocálcica 1%",IF(AND('🌱 Configuração'!$B$51+81&gt;='🌱 Configuração'!$C$51,'🌱 Configuração'!$B$51+81&lt;'🌱 Configuração'!$D$51,INT(('🌱 Configuração'!$B$51+81-'🌱 Configuração'!$C$51)/7)+1=4,MOD('🌱 Configuração'!$B$51+81-'🌱 Configuração'!$C$51,7)=0),"🐛 Trichoderma solo + Beauveria",IF(AND('🌱 Configuração'!$B$51+81&gt;='🌱 Configuração'!$C$51,'🌱 Configuração'!$B$51+81&lt;'🌱 Configuração'!$D$51,INT(('🌱 Configuração'!$B$51+81-'🌱 Configuração'!$C$51)/7)+1=5,MOD('🌱 Configuração'!$B$51+81-'🌱 Configuração'!$C$51,7)=0),"🐛 Calda Bordalesa 0.5% foliar",IF(AND('🌱 Configuração'!$B$51+81&gt;='🌱 Configuração'!$C$51,'🌱 Configuração'!$B$51+81&lt;'🌱 Configuração'!$D$51,INT(('🌱 Configuração'!$B$51+81-'🌱 Configuração'!$C$51)/7)+1=6,MOD('🌱 Configuração'!$B$51+81-'🌱 Configuração'!$C$51,7)=0),"🐛 Nim 2mL/L — ÚLTIMA foliar",IF(AND('🌱 Configuração'!$B$51+81&gt;='🌱 Configuração'!$D$51,'🌱 Configuração'!$B$51+81&lt;'🌱 Configuração'!$E$51,INT(('🌱 Configuração'!$B$51+81-'🌱 Configuração'!$D$51)/7)+1=1,MOD('🌱 Configuração'!$B$51+81-'🌱 Configuração'!$D$51,7)=0),"🐛 Beauveria bassiana solo (sem foliar)",IF(AND('🌱 Configuração'!$B$51+81&gt;='🌱 Configuração'!$D$51,'🌱 Configuração'!$B$51+81&lt;'🌱 Configuração'!$E$51,INT(('🌱 Configuração'!$B$51+81-'🌱 Configuração'!$D$51)/7)+1=2,MOD('🌱 Configuração'!$B$51+81-'🌱 Configuração'!$D$51,7)=0),"🐛 Trichoderma solo",IF(AND('🌱 Configuração'!$B$51+81&gt;='🌱 Configuração'!$D$51,'🌱 Configuração'!$B$51+81&lt;'🌱 Configuração'!$E$51,INT(('🌱 Configuração'!$B$51+81-'🌱 Configuração'!$D$51)/7)+1=3,MOD('🌱 Configuração'!$B$51+81-'🌱 Configuração'!$D$51,7)=0),"🐛 Beauveria bassiana solo",IF(AND('🌱 Configuração'!$B$51+81&gt;='🌱 Configuração'!$D$51,'🌱 Configuração'!$B$51+81&lt;'🌱 Configuração'!$E$51,INT(('🌱 Configuração'!$B$51+81-'🌱 Configuração'!$D$51)/7)+1=4,MOD('🌱 Configuração'!$B$51+81-'🌱 Configuração'!$D$51,7)=0),"🐛 Trichoderma solo",IF(AND('🌱 Configuração'!$B$51+81&gt;='🌱 Configuração'!$E$51,INT(('🌱 Configuração'!$B$51+81-'🌱 Configuração'!$E$51)/7)+1=1,MOD('🌱 Configuração'!$B$51+81-'🌱 Configuração'!$E$51,7)=0),"🐛 Inspeção final — sem aplicação",""))))))))))))))</f>
        <v/>
      </c>
      <c r="H87" s="22" t="str">
        <f>IF(82&gt;'🌱 Configuração'!$F$50,"",IF('🌱 Configuração'!$B$51+81='🌱 Configuração'!$C$51,"🌿 INÍCIO VEGA — ajustar espaço, luz 18h/dia — EC 0.8",IF('🌱 Configuração'!$B$51+81='🌱 Configuração'!$D$51,"🌸 INÍCIO FLORAÇÃO — mudar para 12h/12h — 🔴 atenção ao fotoperíodo",IF('🌱 Configuração'!$B$51+81='🌱 Configuração'!$E$51,"🚿 INÍCIO FLUSH — PARAR nutrição, somente água pura",IF('🌱 Configuração'!$B$51+81='🌱 Configuração'!$F$51-1,"🔬 Véspera da colheita — analisar tricomas âmbar",IF('🌱 Configuração'!$B$51+81='🌱 Configuração'!$F$51,"✂️ COLHEITA! Parabéns! 🎉",""))))))</f>
        <v/>
      </c>
    </row>
    <row r="88" spans="2:8" ht="18.75" customHeight="1" x14ac:dyDescent="0.3">
      <c r="B88" s="25">
        <f>IF(83&lt;='🌱 Configuração'!$F$50,83,"")</f>
        <v>83</v>
      </c>
      <c r="C88" s="26">
        <f>IF(83&lt;='🌱 Configuração'!$F$50,'🌱 Configuração'!$B$51+82,"")</f>
        <v>46105</v>
      </c>
      <c r="D88" s="27" t="str">
        <f>IF(83&gt;'🌱 Configuração'!$F$50,"",IF('🌱 Configuração'!$B$51+82&lt;'🌱 Configuração'!$C$51,"🌱 Clone",IF('🌱 Configuração'!$B$51+82&lt;'🌱 Configuração'!$D$51,"🌿 Vegetativo",IF('🌱 Configuração'!$B$51+82&lt;'🌱 Configuração'!$E$51,"🌸 Floração","🚿 Flush"))))</f>
        <v>🌸 Floração</v>
      </c>
      <c r="E88" s="28" t="str">
        <f>IF(83&gt;'🌱 Configuração'!$F$50,"",IF('🌱 Configuração'!$B$51+82&lt;'🌱 Configuração'!$C$51,"Clone S"&amp;INT((83-1)/7)+1,IF('🌱 Configuração'!$B$51+82&lt;'🌱 Configuração'!$D$51,"Vega S"&amp;INT(('🌱 Configuração'!$B$51+82-'🌱 Configuração'!$C$51)/7)+1,IF('🌱 Configuração'!$B$51+82&lt;'🌱 Configuração'!$E$51,"Flora S"&amp;INT(('🌱 Configuração'!$B$51+82-'🌱 Configuração'!$D$51)/7)+1,"Flush S"&amp;INT(('🌱 Configuração'!$B$51+82-'🌱 Configuração'!$E$51)/7)+1))))</f>
        <v>Flora S4</v>
      </c>
      <c r="F88" s="29" t="str">
        <f>IF(83&gt;'🌱 Configuração'!$F$50,"",IF(AND('🌱 Configuração'!$B$51+82&lt;'🌱 Configuração'!$C$51,INT((83-1)/7)+1=1,MOD(83-1,7)=0),"🌱 Enraizador (0.5 mL/L)",IF(AND('🌱 Configuração'!$B$51+82&lt;'🌱 Configuração'!$C$51,INT((83-1)/7)+1=2,MOD(83-1,7)=0),"🌱 Enraizador + Vitamina B1",IF(AND('🌱 Configuração'!$B$51+82&gt;='🌱 Configuração'!$C$51,'🌱 Configuração'!$B$51+82&lt;'🌱 Configuração'!$D$51,INT(('🌱 Configuração'!$B$51+82-'🌱 Configuração'!$C$51)/7)+1=1,MOD('🌱 Configuração'!$B$51+82-'🌱 Configuração'!$C$51,7)=0),"🌿 Grow A+B início — EC 0.8",IF(AND('🌱 Configuração'!$B$51+82&gt;='🌱 Configuração'!$C$51,'🌱 Configuração'!$B$51+82&lt;'🌱 Configuração'!$D$51,INT(('🌱 Configuração'!$B$51+82-'🌱 Configuração'!$C$51)/7)+1=2,MOD('🌱 Configuração'!$B$51+82-'🌱 Configuração'!$C$51,7)=0),"🌿 Grow A+B + CalMag — EC 1.0",IF(AND('🌱 Configuração'!$B$51+82&gt;='🌱 Configuração'!$C$51,'🌱 Configuração'!$B$51+82&lt;'🌱 Configuração'!$D$51,INT(('🌱 Configuração'!$B$51+82-'🌱 Configuração'!$C$51)/7)+1=3,MOD('🌱 Configuração'!$B$51+82-'🌱 Configuração'!$C$51,7)=0),"🌿 Grow A+B + CalMag — EC 1.2",IF(AND('🌱 Configuração'!$B$51+82&gt;='🌱 Configuração'!$C$51,'🌱 Configuração'!$B$51+82&lt;'🌱 Configuração'!$D$51,INT(('🌱 Configuração'!$B$51+82-'🌱 Configuração'!$C$51)/7)+1=4,MOD('🌱 Configuração'!$B$51+82-'🌱 Configuração'!$C$51,7)=0),"🌿 Grow A+B + Enzimas — EC 1.4",IF(AND('🌱 Configuração'!$B$51+82&gt;='🌱 Configuração'!$C$51,'🌱 Configuração'!$B$51+82&lt;'🌱 Configuração'!$D$51,INT(('🌱 Configuração'!$B$51+82-'🌱 Configuração'!$C$51)/7)+1=5,MOD('🌱 Configuração'!$B$51+82-'🌱 Configuração'!$C$51,7)=0),"🌿 Grow A+B + Biorrizas — EC 1.5",IF(AND('🌱 Configuração'!$B$51+82&gt;='🌱 Configuração'!$C$51,'🌱 Configuração'!$B$51+82&lt;'🌱 Configuração'!$D$51,INT(('🌱 Configuração'!$B$51+82-'🌱 Configuração'!$C$51)/7)+1=6,MOD('🌱 Configuração'!$B$51+82-'🌱 Configuração'!$C$51,7)=0),"🌿 Transição Bloom — EC 1.4",IF(AND('🌱 Configuração'!$B$51+82&gt;='🌱 Configuração'!$C$51,'🌱 Configuração'!$B$51+82&lt;'🌱 Configuração'!$D$51,INT(('🌱 Configuração'!$B$51+82-'🌱 Configuração'!$C$51)/7)+1=7,MOD('🌱 Configuração'!$B$51+82-'🌱 Configuração'!$C$51,7)=0),"🌿 Bloom A+B transição — EC 1.4",IF(AND('🌱 Configuração'!$B$51+82&gt;='🌱 Configuração'!$C$51,'🌱 Configuração'!$B$51+82&lt;'🌱 Configuração'!$D$51,INT(('🌱 Configuração'!$B$51+82-'🌱 Configuração'!$C$51)/7)+1=8,MOD('🌱 Configuração'!$B$51+82-'🌱 Configuração'!$C$51,7)=0),"🌿 Bloom A+B — EC 1.4",IF(AND('🌱 Configuração'!$B$51+82&gt;='🌱 Configuração'!$D$51,'🌱 Configuração'!$B$51+82&lt;'🌱 Configuração'!$E$51,INT(('🌱 Configuração'!$B$51+82-'🌱 Configuração'!$D$51)/7)+1=1,MOD('🌱 Configuração'!$B$51+82-'🌱 Configuração'!$D$51,7)=0),"🌸 Bloom A+B — EC 1.6",IF(AND('🌱 Configuração'!$B$51+82&gt;='🌱 Configuração'!$D$51,'🌱 Configuração'!$B$51+82&lt;'🌱 Configuração'!$E$51,INT(('🌱 Configuração'!$B$51+82-'🌱 Configuração'!$D$51)/7)+1=2,MOD('🌱 Configuração'!$B$51+82-'🌱 Configuração'!$D$51,7)=0),"🌸 Bloom + PK 13/14 início",IF(AND('🌱 Configuração'!$B$51+82&gt;='🌱 Configuração'!$D$51,'🌱 Configuração'!$B$51+82&lt;'🌱 Configuração'!$E$51,INT(('🌱 Configuração'!$B$51+82-'🌱 Configuração'!$D$51)/7)+1=3,MOD('🌱 Configuração'!$B$51+82-'🌱 Configuração'!$D$51,7)=0),"🌸 Bloom + PK + CalMag — EC 1.8",IF(AND('🌱 Configuração'!$B$51+82&gt;='🌱 Configuração'!$D$51,'🌱 Configuração'!$B$51+82&lt;'🌱 Configuração'!$E$51,INT(('🌱 Configuração'!$B$51+82-'🌱 Configuração'!$D$51)/7)+1=4,MOD('🌱 Configuração'!$B$51+82-'🌱 Configuração'!$D$51,7)=0),"🌸 Bloom + PK + Boost Floral — EC 2.0",IF(AND('🌱 Configuração'!$B$51+82&gt;='🌱 Configuração'!$D$51,'🌱 Configuração'!$B$51+82&lt;'🌱 Configuração'!$E$51,INT(('🌱 Configuração'!$B$51+82-'🌱 Configuração'!$D$51)/7)+1=5,MOD('🌱 Configuração'!$B$51+82-'🌱 Configuração'!$D$51,7)=0),"🌸 Bloom + Boost + Amino",IF(AND('🌱 Configuração'!$B$51+82&gt;='🌱 Configuração'!$D$51,'🌱 Configuração'!$B$51+82&lt;'🌱 Configuração'!$E$51,INT(('🌱 Configuração'!$B$51+82-'🌱 Configuração'!$D$51)/7)+1=6,MOD('🌱 Configuração'!$B$51+82-'🌱 Configuração'!$D$51,7)=0),"🌸 Bloom + Enzimas + Amino",IF(AND('🌱 Configuração'!$B$51+82&gt;='🌱 Configuração'!$D$51,'🌱 Configuração'!$B$51+82&lt;'🌱 Configuração'!$E$51,INT(('🌱 Configuração'!$B$51+82-'🌱 Configuração'!$D$51)/7)+1=7,MOD('🌱 Configuração'!$B$51+82-'🌱 Configuração'!$D$51,7)=0),"🌸 Reduzir N — Bloom puro — EC 1.6",IF(AND('🌱 Configuração'!$B$51+82&gt;='🌱 Configuração'!$D$51,'🌱 Configuração'!$B$51+82&lt;'🌱 Configuração'!$E$51,INT(('🌱 Configuração'!$B$51+82-'🌱 Configuração'!$D$51)/7)+1=8,MOD('🌱 Configuração'!$B$51+82-'🌱 Configuração'!$D$51,7)=0),"🌸 Bloom puro — EC 1.4  (pré-flush)",IF(AND('🌱 Configuração'!$B$51+82&gt;='🌱 Configuração'!$D$51,'🌱 Configuração'!$B$51+82&lt;'🌱 Configuração'!$E$51,INT(('🌱 Configuração'!$B$51+82-'🌱 Configuração'!$D$51)/7)+1=9,MOD('🌱 Configuração'!$B$51+82-'🌱 Configuração'!$D$51,7)=0),"🌸 Último Bloom — EC 0.8",IF(AND('🌱 Configuração'!$B$51+82&gt;='🌱 Configuração'!$E$51,INT(('🌱 Configuração'!$B$51+82-'🌱 Configuração'!$E$51)/7)+1=1,MOD('🌱 Configuração'!$B$51+82-'🌱 Configuração'!$E$51,7)=0),"🚿 Água pura + Enzimas (EC &lt; 0.3)",IF(AND('🌱 Configuração'!$B$51+82&gt;='🌱 Configuração'!$E$51,INT(('🌱 Configuração'!$B$51+82-'🌱 Configuração'!$E$51)/7)+1=2,MOD('🌱 Configuração'!$B$51+82-'🌱 Configuração'!$E$51,7)=0),"🚿 Água pura (EC &lt; 0.2)",""))))))))))))))))))))))</f>
        <v/>
      </c>
      <c r="G88" s="30" t="str">
        <f>IF(83&gt;'🌱 Configuração'!$F$50,"",IF(AND('🌱 Configuração'!$B$51+82&lt;'🌱 Configuração'!$C$51,INT((83-1)/7)+1=1,MOD(83-1,7)=0),"🐛 Nim 2mL/L foliar — preventivo",IF(AND('🌱 Configuração'!$B$51+82&lt;'🌱 Configuração'!$C$51,INT((83-1)/7)+1=2,MOD(83-1,7)=0),"🐛 Beauveria bassiana foliar + solo",IF(AND('🌱 Configuração'!$B$51+82&gt;='🌱 Configuração'!$C$51,'🌱 Configuração'!$B$51+82&lt;'🌱 Configuração'!$D$51,INT(('🌱 Configuração'!$B$51+82-'🌱 Configuração'!$C$51)/7)+1=1,MOD('🌱 Configuração'!$B$51+82-'🌱 Configuração'!$C$51,7)=0),"🐛 Nim 2mL/L foliar",IF(AND('🌱 Configuração'!$B$51+82&gt;='🌱 Configuração'!$C$51,'🌱 Configuração'!$B$51+82&lt;'🌱 Configuração'!$D$51,INT(('🌱 Configuração'!$B$51+82-'🌱 Configuração'!$C$51)/7)+1=2,MOD('🌱 Configuração'!$B$51+82-'🌱 Configuração'!$C$51,7)=0),"🐛 Beauveria bassiana foliar",IF(AND('🌱 Configuração'!$B$51+82&gt;='🌱 Configuração'!$C$51,'🌱 Configuração'!$B$51+82&lt;'🌱 Configuração'!$D$51,INT(('🌱 Configuração'!$B$51+82-'🌱 Configuração'!$C$51)/7)+1=3,MOD('🌱 Configuração'!$B$51+82-'🌱 Configuração'!$C$51,7)=0),"🐛 Nim + Calda Sulfocálcica 1%",IF(AND('🌱 Configuração'!$B$51+82&gt;='🌱 Configuração'!$C$51,'🌱 Configuração'!$B$51+82&lt;'🌱 Configuração'!$D$51,INT(('🌱 Configuração'!$B$51+82-'🌱 Configuração'!$C$51)/7)+1=4,MOD('🌱 Configuração'!$B$51+82-'🌱 Configuração'!$C$51,7)=0),"🐛 Trichoderma solo + Beauveria",IF(AND('🌱 Configuração'!$B$51+82&gt;='🌱 Configuração'!$C$51,'🌱 Configuração'!$B$51+82&lt;'🌱 Configuração'!$D$51,INT(('🌱 Configuração'!$B$51+82-'🌱 Configuração'!$C$51)/7)+1=5,MOD('🌱 Configuração'!$B$51+82-'🌱 Configuração'!$C$51,7)=0),"🐛 Calda Bordalesa 0.5% foliar",IF(AND('🌱 Configuração'!$B$51+82&gt;='🌱 Configuração'!$C$51,'🌱 Configuração'!$B$51+82&lt;'🌱 Configuração'!$D$51,INT(('🌱 Configuração'!$B$51+82-'🌱 Configuração'!$C$51)/7)+1=6,MOD('🌱 Configuração'!$B$51+82-'🌱 Configuração'!$C$51,7)=0),"🐛 Nim 2mL/L — ÚLTIMA foliar",IF(AND('🌱 Configuração'!$B$51+82&gt;='🌱 Configuração'!$D$51,'🌱 Configuração'!$B$51+82&lt;'🌱 Configuração'!$E$51,INT(('🌱 Configuração'!$B$51+82-'🌱 Configuração'!$D$51)/7)+1=1,MOD('🌱 Configuração'!$B$51+82-'🌱 Configuração'!$D$51,7)=0),"🐛 Beauveria bassiana solo (sem foliar)",IF(AND('🌱 Configuração'!$B$51+82&gt;='🌱 Configuração'!$D$51,'🌱 Configuração'!$B$51+82&lt;'🌱 Configuração'!$E$51,INT(('🌱 Configuração'!$B$51+82-'🌱 Configuração'!$D$51)/7)+1=2,MOD('🌱 Configuração'!$B$51+82-'🌱 Configuração'!$D$51,7)=0),"🐛 Trichoderma solo",IF(AND('🌱 Configuração'!$B$51+82&gt;='🌱 Configuração'!$D$51,'🌱 Configuração'!$B$51+82&lt;'🌱 Configuração'!$E$51,INT(('🌱 Configuração'!$B$51+82-'🌱 Configuração'!$D$51)/7)+1=3,MOD('🌱 Configuração'!$B$51+82-'🌱 Configuração'!$D$51,7)=0),"🐛 Beauveria bassiana solo",IF(AND('🌱 Configuração'!$B$51+82&gt;='🌱 Configuração'!$D$51,'🌱 Configuração'!$B$51+82&lt;'🌱 Configuração'!$E$51,INT(('🌱 Configuração'!$B$51+82-'🌱 Configuração'!$D$51)/7)+1=4,MOD('🌱 Configuração'!$B$51+82-'🌱 Configuração'!$D$51,7)=0),"🐛 Trichoderma solo",IF(AND('🌱 Configuração'!$B$51+82&gt;='🌱 Configuração'!$E$51,INT(('🌱 Configuração'!$B$51+82-'🌱 Configuração'!$E$51)/7)+1=1,MOD('🌱 Configuração'!$B$51+82-'🌱 Configuração'!$E$51,7)=0),"🐛 Inspeção final — sem aplicação",""))))))))))))))</f>
        <v/>
      </c>
      <c r="H88" s="22" t="str">
        <f>IF(83&gt;'🌱 Configuração'!$F$50,"",IF('🌱 Configuração'!$B$51+82='🌱 Configuração'!$C$51,"🌿 INÍCIO VEGA — ajustar espaço, luz 18h/dia — EC 0.8",IF('🌱 Configuração'!$B$51+82='🌱 Configuração'!$D$51,"🌸 INÍCIO FLORAÇÃO — mudar para 12h/12h — 🔴 atenção ao fotoperíodo",IF('🌱 Configuração'!$B$51+82='🌱 Configuração'!$E$51,"🚿 INÍCIO FLUSH — PARAR nutrição, somente água pura",IF('🌱 Configuração'!$B$51+82='🌱 Configuração'!$F$51-1,"🔬 Véspera da colheita — analisar tricomas âmbar",IF('🌱 Configuração'!$B$51+82='🌱 Configuração'!$F$51,"✂️ COLHEITA! Parabéns! 🎉",""))))))</f>
        <v/>
      </c>
    </row>
    <row r="89" spans="2:8" ht="18.75" customHeight="1" x14ac:dyDescent="0.3">
      <c r="B89" s="25">
        <f>IF(84&lt;='🌱 Configuração'!$F$50,84,"")</f>
        <v>84</v>
      </c>
      <c r="C89" s="26">
        <f>IF(84&lt;='🌱 Configuração'!$F$50,'🌱 Configuração'!$B$51+83,"")</f>
        <v>46106</v>
      </c>
      <c r="D89" s="27" t="str">
        <f>IF(84&gt;'🌱 Configuração'!$F$50,"",IF('🌱 Configuração'!$B$51+83&lt;'🌱 Configuração'!$C$51,"🌱 Clone",IF('🌱 Configuração'!$B$51+83&lt;'🌱 Configuração'!$D$51,"🌿 Vegetativo",IF('🌱 Configuração'!$B$51+83&lt;'🌱 Configuração'!$E$51,"🌸 Floração","🚿 Flush"))))</f>
        <v>🌸 Floração</v>
      </c>
      <c r="E89" s="28" t="str">
        <f>IF(84&gt;'🌱 Configuração'!$F$50,"",IF('🌱 Configuração'!$B$51+83&lt;'🌱 Configuração'!$C$51,"Clone S"&amp;INT((84-1)/7)+1,IF('🌱 Configuração'!$B$51+83&lt;'🌱 Configuração'!$D$51,"Vega S"&amp;INT(('🌱 Configuração'!$B$51+83-'🌱 Configuração'!$C$51)/7)+1,IF('🌱 Configuração'!$B$51+83&lt;'🌱 Configuração'!$E$51,"Flora S"&amp;INT(('🌱 Configuração'!$B$51+83-'🌱 Configuração'!$D$51)/7)+1,"Flush S"&amp;INT(('🌱 Configuração'!$B$51+83-'🌱 Configuração'!$E$51)/7)+1))))</f>
        <v>Flora S4</v>
      </c>
      <c r="F89" s="29" t="str">
        <f>IF(84&gt;'🌱 Configuração'!$F$50,"",IF(AND('🌱 Configuração'!$B$51+83&lt;'🌱 Configuração'!$C$51,INT((84-1)/7)+1=1,MOD(84-1,7)=0),"🌱 Enraizador (0.5 mL/L)",IF(AND('🌱 Configuração'!$B$51+83&lt;'🌱 Configuração'!$C$51,INT((84-1)/7)+1=2,MOD(84-1,7)=0),"🌱 Enraizador + Vitamina B1",IF(AND('🌱 Configuração'!$B$51+83&gt;='🌱 Configuração'!$C$51,'🌱 Configuração'!$B$51+83&lt;'🌱 Configuração'!$D$51,INT(('🌱 Configuração'!$B$51+83-'🌱 Configuração'!$C$51)/7)+1=1,MOD('🌱 Configuração'!$B$51+83-'🌱 Configuração'!$C$51,7)=0),"🌿 Grow A+B início — EC 0.8",IF(AND('🌱 Configuração'!$B$51+83&gt;='🌱 Configuração'!$C$51,'🌱 Configuração'!$B$51+83&lt;'🌱 Configuração'!$D$51,INT(('🌱 Configuração'!$B$51+83-'🌱 Configuração'!$C$51)/7)+1=2,MOD('🌱 Configuração'!$B$51+83-'🌱 Configuração'!$C$51,7)=0),"🌿 Grow A+B + CalMag — EC 1.0",IF(AND('🌱 Configuração'!$B$51+83&gt;='🌱 Configuração'!$C$51,'🌱 Configuração'!$B$51+83&lt;'🌱 Configuração'!$D$51,INT(('🌱 Configuração'!$B$51+83-'🌱 Configuração'!$C$51)/7)+1=3,MOD('🌱 Configuração'!$B$51+83-'🌱 Configuração'!$C$51,7)=0),"🌿 Grow A+B + CalMag — EC 1.2",IF(AND('🌱 Configuração'!$B$51+83&gt;='🌱 Configuração'!$C$51,'🌱 Configuração'!$B$51+83&lt;'🌱 Configuração'!$D$51,INT(('🌱 Configuração'!$B$51+83-'🌱 Configuração'!$C$51)/7)+1=4,MOD('🌱 Configuração'!$B$51+83-'🌱 Configuração'!$C$51,7)=0),"🌿 Grow A+B + Enzimas — EC 1.4",IF(AND('🌱 Configuração'!$B$51+83&gt;='🌱 Configuração'!$C$51,'🌱 Configuração'!$B$51+83&lt;'🌱 Configuração'!$D$51,INT(('🌱 Configuração'!$B$51+83-'🌱 Configuração'!$C$51)/7)+1=5,MOD('🌱 Configuração'!$B$51+83-'🌱 Configuração'!$C$51,7)=0),"🌿 Grow A+B + Biorrizas — EC 1.5",IF(AND('🌱 Configuração'!$B$51+83&gt;='🌱 Configuração'!$C$51,'🌱 Configuração'!$B$51+83&lt;'🌱 Configuração'!$D$51,INT(('🌱 Configuração'!$B$51+83-'🌱 Configuração'!$C$51)/7)+1=6,MOD('🌱 Configuração'!$B$51+83-'🌱 Configuração'!$C$51,7)=0),"🌿 Transição Bloom — EC 1.4",IF(AND('🌱 Configuração'!$B$51+83&gt;='🌱 Configuração'!$C$51,'🌱 Configuração'!$B$51+83&lt;'🌱 Configuração'!$D$51,INT(('🌱 Configuração'!$B$51+83-'🌱 Configuração'!$C$51)/7)+1=7,MOD('🌱 Configuração'!$B$51+83-'🌱 Configuração'!$C$51,7)=0),"🌿 Bloom A+B transição — EC 1.4",IF(AND('🌱 Configuração'!$B$51+83&gt;='🌱 Configuração'!$C$51,'🌱 Configuração'!$B$51+83&lt;'🌱 Configuração'!$D$51,INT(('🌱 Configuração'!$B$51+83-'🌱 Configuração'!$C$51)/7)+1=8,MOD('🌱 Configuração'!$B$51+83-'🌱 Configuração'!$C$51,7)=0),"🌿 Bloom A+B — EC 1.4",IF(AND('🌱 Configuração'!$B$51+83&gt;='🌱 Configuração'!$D$51,'🌱 Configuração'!$B$51+83&lt;'🌱 Configuração'!$E$51,INT(('🌱 Configuração'!$B$51+83-'🌱 Configuração'!$D$51)/7)+1=1,MOD('🌱 Configuração'!$B$51+83-'🌱 Configuração'!$D$51,7)=0),"🌸 Bloom A+B — EC 1.6",IF(AND('🌱 Configuração'!$B$51+83&gt;='🌱 Configuração'!$D$51,'🌱 Configuração'!$B$51+83&lt;'🌱 Configuração'!$E$51,INT(('🌱 Configuração'!$B$51+83-'🌱 Configuração'!$D$51)/7)+1=2,MOD('🌱 Configuração'!$B$51+83-'🌱 Configuração'!$D$51,7)=0),"🌸 Bloom + PK 13/14 início",IF(AND('🌱 Configuração'!$B$51+83&gt;='🌱 Configuração'!$D$51,'🌱 Configuração'!$B$51+83&lt;'🌱 Configuração'!$E$51,INT(('🌱 Configuração'!$B$51+83-'🌱 Configuração'!$D$51)/7)+1=3,MOD('🌱 Configuração'!$B$51+83-'🌱 Configuração'!$D$51,7)=0),"🌸 Bloom + PK + CalMag — EC 1.8",IF(AND('🌱 Configuração'!$B$51+83&gt;='🌱 Configuração'!$D$51,'🌱 Configuração'!$B$51+83&lt;'🌱 Configuração'!$E$51,INT(('🌱 Configuração'!$B$51+83-'🌱 Configuração'!$D$51)/7)+1=4,MOD('🌱 Configuração'!$B$51+83-'🌱 Configuração'!$D$51,7)=0),"🌸 Bloom + PK + Boost Floral — EC 2.0",IF(AND('🌱 Configuração'!$B$51+83&gt;='🌱 Configuração'!$D$51,'🌱 Configuração'!$B$51+83&lt;'🌱 Configuração'!$E$51,INT(('🌱 Configuração'!$B$51+83-'🌱 Configuração'!$D$51)/7)+1=5,MOD('🌱 Configuração'!$B$51+83-'🌱 Configuração'!$D$51,7)=0),"🌸 Bloom + Boost + Amino",IF(AND('🌱 Configuração'!$B$51+83&gt;='🌱 Configuração'!$D$51,'🌱 Configuração'!$B$51+83&lt;'🌱 Configuração'!$E$51,INT(('🌱 Configuração'!$B$51+83-'🌱 Configuração'!$D$51)/7)+1=6,MOD('🌱 Configuração'!$B$51+83-'🌱 Configuração'!$D$51,7)=0),"🌸 Bloom + Enzimas + Amino",IF(AND('🌱 Configuração'!$B$51+83&gt;='🌱 Configuração'!$D$51,'🌱 Configuração'!$B$51+83&lt;'🌱 Configuração'!$E$51,INT(('🌱 Configuração'!$B$51+83-'🌱 Configuração'!$D$51)/7)+1=7,MOD('🌱 Configuração'!$B$51+83-'🌱 Configuração'!$D$51,7)=0),"🌸 Reduzir N — Bloom puro — EC 1.6",IF(AND('🌱 Configuração'!$B$51+83&gt;='🌱 Configuração'!$D$51,'🌱 Configuração'!$B$51+83&lt;'🌱 Configuração'!$E$51,INT(('🌱 Configuração'!$B$51+83-'🌱 Configuração'!$D$51)/7)+1=8,MOD('🌱 Configuração'!$B$51+83-'🌱 Configuração'!$D$51,7)=0),"🌸 Bloom puro — EC 1.4  (pré-flush)",IF(AND('🌱 Configuração'!$B$51+83&gt;='🌱 Configuração'!$D$51,'🌱 Configuração'!$B$51+83&lt;'🌱 Configuração'!$E$51,INT(('🌱 Configuração'!$B$51+83-'🌱 Configuração'!$D$51)/7)+1=9,MOD('🌱 Configuração'!$B$51+83-'🌱 Configuração'!$D$51,7)=0),"🌸 Último Bloom — EC 0.8",IF(AND('🌱 Configuração'!$B$51+83&gt;='🌱 Configuração'!$E$51,INT(('🌱 Configuração'!$B$51+83-'🌱 Configuração'!$E$51)/7)+1=1,MOD('🌱 Configuração'!$B$51+83-'🌱 Configuração'!$E$51,7)=0),"🚿 Água pura + Enzimas (EC &lt; 0.3)",IF(AND('🌱 Configuração'!$B$51+83&gt;='🌱 Configuração'!$E$51,INT(('🌱 Configuração'!$B$51+83-'🌱 Configuração'!$E$51)/7)+1=2,MOD('🌱 Configuração'!$B$51+83-'🌱 Configuração'!$E$51,7)=0),"🚿 Água pura (EC &lt; 0.2)",""))))))))))))))))))))))</f>
        <v/>
      </c>
      <c r="G89" s="30" t="str">
        <f>IF(84&gt;'🌱 Configuração'!$F$50,"",IF(AND('🌱 Configuração'!$B$51+83&lt;'🌱 Configuração'!$C$51,INT((84-1)/7)+1=1,MOD(84-1,7)=0),"🐛 Nim 2mL/L foliar — preventivo",IF(AND('🌱 Configuração'!$B$51+83&lt;'🌱 Configuração'!$C$51,INT((84-1)/7)+1=2,MOD(84-1,7)=0),"🐛 Beauveria bassiana foliar + solo",IF(AND('🌱 Configuração'!$B$51+83&gt;='🌱 Configuração'!$C$51,'🌱 Configuração'!$B$51+83&lt;'🌱 Configuração'!$D$51,INT(('🌱 Configuração'!$B$51+83-'🌱 Configuração'!$C$51)/7)+1=1,MOD('🌱 Configuração'!$B$51+83-'🌱 Configuração'!$C$51,7)=0),"🐛 Nim 2mL/L foliar",IF(AND('🌱 Configuração'!$B$51+83&gt;='🌱 Configuração'!$C$51,'🌱 Configuração'!$B$51+83&lt;'🌱 Configuração'!$D$51,INT(('🌱 Configuração'!$B$51+83-'🌱 Configuração'!$C$51)/7)+1=2,MOD('🌱 Configuração'!$B$51+83-'🌱 Configuração'!$C$51,7)=0),"🐛 Beauveria bassiana foliar",IF(AND('🌱 Configuração'!$B$51+83&gt;='🌱 Configuração'!$C$51,'🌱 Configuração'!$B$51+83&lt;'🌱 Configuração'!$D$51,INT(('🌱 Configuração'!$B$51+83-'🌱 Configuração'!$C$51)/7)+1=3,MOD('🌱 Configuração'!$B$51+83-'🌱 Configuração'!$C$51,7)=0),"🐛 Nim + Calda Sulfocálcica 1%",IF(AND('🌱 Configuração'!$B$51+83&gt;='🌱 Configuração'!$C$51,'🌱 Configuração'!$B$51+83&lt;'🌱 Configuração'!$D$51,INT(('🌱 Configuração'!$B$51+83-'🌱 Configuração'!$C$51)/7)+1=4,MOD('🌱 Configuração'!$B$51+83-'🌱 Configuração'!$C$51,7)=0),"🐛 Trichoderma solo + Beauveria",IF(AND('🌱 Configuração'!$B$51+83&gt;='🌱 Configuração'!$C$51,'🌱 Configuração'!$B$51+83&lt;'🌱 Configuração'!$D$51,INT(('🌱 Configuração'!$B$51+83-'🌱 Configuração'!$C$51)/7)+1=5,MOD('🌱 Configuração'!$B$51+83-'🌱 Configuração'!$C$51,7)=0),"🐛 Calda Bordalesa 0.5% foliar",IF(AND('🌱 Configuração'!$B$51+83&gt;='🌱 Configuração'!$C$51,'🌱 Configuração'!$B$51+83&lt;'🌱 Configuração'!$D$51,INT(('🌱 Configuração'!$B$51+83-'🌱 Configuração'!$C$51)/7)+1=6,MOD('🌱 Configuração'!$B$51+83-'🌱 Configuração'!$C$51,7)=0),"🐛 Nim 2mL/L — ÚLTIMA foliar",IF(AND('🌱 Configuração'!$B$51+83&gt;='🌱 Configuração'!$D$51,'🌱 Configuração'!$B$51+83&lt;'🌱 Configuração'!$E$51,INT(('🌱 Configuração'!$B$51+83-'🌱 Configuração'!$D$51)/7)+1=1,MOD('🌱 Configuração'!$B$51+83-'🌱 Configuração'!$D$51,7)=0),"🐛 Beauveria bassiana solo (sem foliar)",IF(AND('🌱 Configuração'!$B$51+83&gt;='🌱 Configuração'!$D$51,'🌱 Configuração'!$B$51+83&lt;'🌱 Configuração'!$E$51,INT(('🌱 Configuração'!$B$51+83-'🌱 Configuração'!$D$51)/7)+1=2,MOD('🌱 Configuração'!$B$51+83-'🌱 Configuração'!$D$51,7)=0),"🐛 Trichoderma solo",IF(AND('🌱 Configuração'!$B$51+83&gt;='🌱 Configuração'!$D$51,'🌱 Configuração'!$B$51+83&lt;'🌱 Configuração'!$E$51,INT(('🌱 Configuração'!$B$51+83-'🌱 Configuração'!$D$51)/7)+1=3,MOD('🌱 Configuração'!$B$51+83-'🌱 Configuração'!$D$51,7)=0),"🐛 Beauveria bassiana solo",IF(AND('🌱 Configuração'!$B$51+83&gt;='🌱 Configuração'!$D$51,'🌱 Configuração'!$B$51+83&lt;'🌱 Configuração'!$E$51,INT(('🌱 Configuração'!$B$51+83-'🌱 Configuração'!$D$51)/7)+1=4,MOD('🌱 Configuração'!$B$51+83-'🌱 Configuração'!$D$51,7)=0),"🐛 Trichoderma solo",IF(AND('🌱 Configuração'!$B$51+83&gt;='🌱 Configuração'!$E$51,INT(('🌱 Configuração'!$B$51+83-'🌱 Configuração'!$E$51)/7)+1=1,MOD('🌱 Configuração'!$B$51+83-'🌱 Configuração'!$E$51,7)=0),"🐛 Inspeção final — sem aplicação",""))))))))))))))</f>
        <v/>
      </c>
      <c r="H89" s="22" t="str">
        <f>IF(84&gt;'🌱 Configuração'!$F$50,"",IF('🌱 Configuração'!$B$51+83='🌱 Configuração'!$C$51,"🌿 INÍCIO VEGA — ajustar espaço, luz 18h/dia — EC 0.8",IF('🌱 Configuração'!$B$51+83='🌱 Configuração'!$D$51,"🌸 INÍCIO FLORAÇÃO — mudar para 12h/12h — 🔴 atenção ao fotoperíodo",IF('🌱 Configuração'!$B$51+83='🌱 Configuração'!$E$51,"🚿 INÍCIO FLUSH — PARAR nutrição, somente água pura",IF('🌱 Configuração'!$B$51+83='🌱 Configuração'!$F$51-1,"🔬 Véspera da colheita — analisar tricomas âmbar",IF('🌱 Configuração'!$B$51+83='🌱 Configuração'!$F$51,"✂️ COLHEITA! Parabéns! 🎉",""))))))</f>
        <v/>
      </c>
    </row>
    <row r="90" spans="2:8" ht="18.75" customHeight="1" x14ac:dyDescent="0.3">
      <c r="B90" s="25">
        <f>IF(85&lt;='🌱 Configuração'!$F$50,85,"")</f>
        <v>85</v>
      </c>
      <c r="C90" s="26">
        <f>IF(85&lt;='🌱 Configuração'!$F$50,'🌱 Configuração'!$B$51+84,"")</f>
        <v>46107</v>
      </c>
      <c r="D90" s="27" t="str">
        <f>IF(85&gt;'🌱 Configuração'!$F$50,"",IF('🌱 Configuração'!$B$51+84&lt;'🌱 Configuração'!$C$51,"🌱 Clone",IF('🌱 Configuração'!$B$51+84&lt;'🌱 Configuração'!$D$51,"🌿 Vegetativo",IF('🌱 Configuração'!$B$51+84&lt;'🌱 Configuração'!$E$51,"🌸 Floração","🚿 Flush"))))</f>
        <v>🌸 Floração</v>
      </c>
      <c r="E90" s="28" t="str">
        <f>IF(85&gt;'🌱 Configuração'!$F$50,"",IF('🌱 Configuração'!$B$51+84&lt;'🌱 Configuração'!$C$51,"Clone S"&amp;INT((85-1)/7)+1,IF('🌱 Configuração'!$B$51+84&lt;'🌱 Configuração'!$D$51,"Vega S"&amp;INT(('🌱 Configuração'!$B$51+84-'🌱 Configuração'!$C$51)/7)+1,IF('🌱 Configuração'!$B$51+84&lt;'🌱 Configuração'!$E$51,"Flora S"&amp;INT(('🌱 Configuração'!$B$51+84-'🌱 Configuração'!$D$51)/7)+1,"Flush S"&amp;INT(('🌱 Configuração'!$B$51+84-'🌱 Configuração'!$E$51)/7)+1))))</f>
        <v>Flora S5</v>
      </c>
      <c r="F90" s="29" t="str">
        <f>IF(85&gt;'🌱 Configuração'!$F$50,"",IF(AND('🌱 Configuração'!$B$51+84&lt;'🌱 Configuração'!$C$51,INT((85-1)/7)+1=1,MOD(85-1,7)=0),"🌱 Enraizador (0.5 mL/L)",IF(AND('🌱 Configuração'!$B$51+84&lt;'🌱 Configuração'!$C$51,INT((85-1)/7)+1=2,MOD(85-1,7)=0),"🌱 Enraizador + Vitamina B1",IF(AND('🌱 Configuração'!$B$51+84&gt;='🌱 Configuração'!$C$51,'🌱 Configuração'!$B$51+84&lt;'🌱 Configuração'!$D$51,INT(('🌱 Configuração'!$B$51+84-'🌱 Configuração'!$C$51)/7)+1=1,MOD('🌱 Configuração'!$B$51+84-'🌱 Configuração'!$C$51,7)=0),"🌿 Grow A+B início — EC 0.8",IF(AND('🌱 Configuração'!$B$51+84&gt;='🌱 Configuração'!$C$51,'🌱 Configuração'!$B$51+84&lt;'🌱 Configuração'!$D$51,INT(('🌱 Configuração'!$B$51+84-'🌱 Configuração'!$C$51)/7)+1=2,MOD('🌱 Configuração'!$B$51+84-'🌱 Configuração'!$C$51,7)=0),"🌿 Grow A+B + CalMag — EC 1.0",IF(AND('🌱 Configuração'!$B$51+84&gt;='🌱 Configuração'!$C$51,'🌱 Configuração'!$B$51+84&lt;'🌱 Configuração'!$D$51,INT(('🌱 Configuração'!$B$51+84-'🌱 Configuração'!$C$51)/7)+1=3,MOD('🌱 Configuração'!$B$51+84-'🌱 Configuração'!$C$51,7)=0),"🌿 Grow A+B + CalMag — EC 1.2",IF(AND('🌱 Configuração'!$B$51+84&gt;='🌱 Configuração'!$C$51,'🌱 Configuração'!$B$51+84&lt;'🌱 Configuração'!$D$51,INT(('🌱 Configuração'!$B$51+84-'🌱 Configuração'!$C$51)/7)+1=4,MOD('🌱 Configuração'!$B$51+84-'🌱 Configuração'!$C$51,7)=0),"🌿 Grow A+B + Enzimas — EC 1.4",IF(AND('🌱 Configuração'!$B$51+84&gt;='🌱 Configuração'!$C$51,'🌱 Configuração'!$B$51+84&lt;'🌱 Configuração'!$D$51,INT(('🌱 Configuração'!$B$51+84-'🌱 Configuração'!$C$51)/7)+1=5,MOD('🌱 Configuração'!$B$51+84-'🌱 Configuração'!$C$51,7)=0),"🌿 Grow A+B + Biorrizas — EC 1.5",IF(AND('🌱 Configuração'!$B$51+84&gt;='🌱 Configuração'!$C$51,'🌱 Configuração'!$B$51+84&lt;'🌱 Configuração'!$D$51,INT(('🌱 Configuração'!$B$51+84-'🌱 Configuração'!$C$51)/7)+1=6,MOD('🌱 Configuração'!$B$51+84-'🌱 Configuração'!$C$51,7)=0),"🌿 Transição Bloom — EC 1.4",IF(AND('🌱 Configuração'!$B$51+84&gt;='🌱 Configuração'!$C$51,'🌱 Configuração'!$B$51+84&lt;'🌱 Configuração'!$D$51,INT(('🌱 Configuração'!$B$51+84-'🌱 Configuração'!$C$51)/7)+1=7,MOD('🌱 Configuração'!$B$51+84-'🌱 Configuração'!$C$51,7)=0),"🌿 Bloom A+B transição — EC 1.4",IF(AND('🌱 Configuração'!$B$51+84&gt;='🌱 Configuração'!$C$51,'🌱 Configuração'!$B$51+84&lt;'🌱 Configuração'!$D$51,INT(('🌱 Configuração'!$B$51+84-'🌱 Configuração'!$C$51)/7)+1=8,MOD('🌱 Configuração'!$B$51+84-'🌱 Configuração'!$C$51,7)=0),"🌿 Bloom A+B — EC 1.4",IF(AND('🌱 Configuração'!$B$51+84&gt;='🌱 Configuração'!$D$51,'🌱 Configuração'!$B$51+84&lt;'🌱 Configuração'!$E$51,INT(('🌱 Configuração'!$B$51+84-'🌱 Configuração'!$D$51)/7)+1=1,MOD('🌱 Configuração'!$B$51+84-'🌱 Configuração'!$D$51,7)=0),"🌸 Bloom A+B — EC 1.6",IF(AND('🌱 Configuração'!$B$51+84&gt;='🌱 Configuração'!$D$51,'🌱 Configuração'!$B$51+84&lt;'🌱 Configuração'!$E$51,INT(('🌱 Configuração'!$B$51+84-'🌱 Configuração'!$D$51)/7)+1=2,MOD('🌱 Configuração'!$B$51+84-'🌱 Configuração'!$D$51,7)=0),"🌸 Bloom + PK 13/14 início",IF(AND('🌱 Configuração'!$B$51+84&gt;='🌱 Configuração'!$D$51,'🌱 Configuração'!$B$51+84&lt;'🌱 Configuração'!$E$51,INT(('🌱 Configuração'!$B$51+84-'🌱 Configuração'!$D$51)/7)+1=3,MOD('🌱 Configuração'!$B$51+84-'🌱 Configuração'!$D$51,7)=0),"🌸 Bloom + PK + CalMag — EC 1.8",IF(AND('🌱 Configuração'!$B$51+84&gt;='🌱 Configuração'!$D$51,'🌱 Configuração'!$B$51+84&lt;'🌱 Configuração'!$E$51,INT(('🌱 Configuração'!$B$51+84-'🌱 Configuração'!$D$51)/7)+1=4,MOD('🌱 Configuração'!$B$51+84-'🌱 Configuração'!$D$51,7)=0),"🌸 Bloom + PK + Boost Floral — EC 2.0",IF(AND('🌱 Configuração'!$B$51+84&gt;='🌱 Configuração'!$D$51,'🌱 Configuração'!$B$51+84&lt;'🌱 Configuração'!$E$51,INT(('🌱 Configuração'!$B$51+84-'🌱 Configuração'!$D$51)/7)+1=5,MOD('🌱 Configuração'!$B$51+84-'🌱 Configuração'!$D$51,7)=0),"🌸 Bloom + Boost + Amino",IF(AND('🌱 Configuração'!$B$51+84&gt;='🌱 Configuração'!$D$51,'🌱 Configuração'!$B$51+84&lt;'🌱 Configuração'!$E$51,INT(('🌱 Configuração'!$B$51+84-'🌱 Configuração'!$D$51)/7)+1=6,MOD('🌱 Configuração'!$B$51+84-'🌱 Configuração'!$D$51,7)=0),"🌸 Bloom + Enzimas + Amino",IF(AND('🌱 Configuração'!$B$51+84&gt;='🌱 Configuração'!$D$51,'🌱 Configuração'!$B$51+84&lt;'🌱 Configuração'!$E$51,INT(('🌱 Configuração'!$B$51+84-'🌱 Configuração'!$D$51)/7)+1=7,MOD('🌱 Configuração'!$B$51+84-'🌱 Configuração'!$D$51,7)=0),"🌸 Reduzir N — Bloom puro — EC 1.6",IF(AND('🌱 Configuração'!$B$51+84&gt;='🌱 Configuração'!$D$51,'🌱 Configuração'!$B$51+84&lt;'🌱 Configuração'!$E$51,INT(('🌱 Configuração'!$B$51+84-'🌱 Configuração'!$D$51)/7)+1=8,MOD('🌱 Configuração'!$B$51+84-'🌱 Configuração'!$D$51,7)=0),"🌸 Bloom puro — EC 1.4  (pré-flush)",IF(AND('🌱 Configuração'!$B$51+84&gt;='🌱 Configuração'!$D$51,'🌱 Configuração'!$B$51+84&lt;'🌱 Configuração'!$E$51,INT(('🌱 Configuração'!$B$51+84-'🌱 Configuração'!$D$51)/7)+1=9,MOD('🌱 Configuração'!$B$51+84-'🌱 Configuração'!$D$51,7)=0),"🌸 Último Bloom — EC 0.8",IF(AND('🌱 Configuração'!$B$51+84&gt;='🌱 Configuração'!$E$51,INT(('🌱 Configuração'!$B$51+84-'🌱 Configuração'!$E$51)/7)+1=1,MOD('🌱 Configuração'!$B$51+84-'🌱 Configuração'!$E$51,7)=0),"🚿 Água pura + Enzimas (EC &lt; 0.3)",IF(AND('🌱 Configuração'!$B$51+84&gt;='🌱 Configuração'!$E$51,INT(('🌱 Configuração'!$B$51+84-'🌱 Configuração'!$E$51)/7)+1=2,MOD('🌱 Configuração'!$B$51+84-'🌱 Configuração'!$E$51,7)=0),"🚿 Água pura (EC &lt; 0.2)",""))))))))))))))))))))))</f>
        <v>🌸 Bloom + Boost + Amino</v>
      </c>
      <c r="G90" s="30" t="str">
        <f>IF(85&gt;'🌱 Configuração'!$F$50,"",IF(AND('🌱 Configuração'!$B$51+84&lt;'🌱 Configuração'!$C$51,INT((85-1)/7)+1=1,MOD(85-1,7)=0),"🐛 Nim 2mL/L foliar — preventivo",IF(AND('🌱 Configuração'!$B$51+84&lt;'🌱 Configuração'!$C$51,INT((85-1)/7)+1=2,MOD(85-1,7)=0),"🐛 Beauveria bassiana foliar + solo",IF(AND('🌱 Configuração'!$B$51+84&gt;='🌱 Configuração'!$C$51,'🌱 Configuração'!$B$51+84&lt;'🌱 Configuração'!$D$51,INT(('🌱 Configuração'!$B$51+84-'🌱 Configuração'!$C$51)/7)+1=1,MOD('🌱 Configuração'!$B$51+84-'🌱 Configuração'!$C$51,7)=0),"🐛 Nim 2mL/L foliar",IF(AND('🌱 Configuração'!$B$51+84&gt;='🌱 Configuração'!$C$51,'🌱 Configuração'!$B$51+84&lt;'🌱 Configuração'!$D$51,INT(('🌱 Configuração'!$B$51+84-'🌱 Configuração'!$C$51)/7)+1=2,MOD('🌱 Configuração'!$B$51+84-'🌱 Configuração'!$C$51,7)=0),"🐛 Beauveria bassiana foliar",IF(AND('🌱 Configuração'!$B$51+84&gt;='🌱 Configuração'!$C$51,'🌱 Configuração'!$B$51+84&lt;'🌱 Configuração'!$D$51,INT(('🌱 Configuração'!$B$51+84-'🌱 Configuração'!$C$51)/7)+1=3,MOD('🌱 Configuração'!$B$51+84-'🌱 Configuração'!$C$51,7)=0),"🐛 Nim + Calda Sulfocálcica 1%",IF(AND('🌱 Configuração'!$B$51+84&gt;='🌱 Configuração'!$C$51,'🌱 Configuração'!$B$51+84&lt;'🌱 Configuração'!$D$51,INT(('🌱 Configuração'!$B$51+84-'🌱 Configuração'!$C$51)/7)+1=4,MOD('🌱 Configuração'!$B$51+84-'🌱 Configuração'!$C$51,7)=0),"🐛 Trichoderma solo + Beauveria",IF(AND('🌱 Configuração'!$B$51+84&gt;='🌱 Configuração'!$C$51,'🌱 Configuração'!$B$51+84&lt;'🌱 Configuração'!$D$51,INT(('🌱 Configuração'!$B$51+84-'🌱 Configuração'!$C$51)/7)+1=5,MOD('🌱 Configuração'!$B$51+84-'🌱 Configuração'!$C$51,7)=0),"🐛 Calda Bordalesa 0.5% foliar",IF(AND('🌱 Configuração'!$B$51+84&gt;='🌱 Configuração'!$C$51,'🌱 Configuração'!$B$51+84&lt;'🌱 Configuração'!$D$51,INT(('🌱 Configuração'!$B$51+84-'🌱 Configuração'!$C$51)/7)+1=6,MOD('🌱 Configuração'!$B$51+84-'🌱 Configuração'!$C$51,7)=0),"🐛 Nim 2mL/L — ÚLTIMA foliar",IF(AND('🌱 Configuração'!$B$51+84&gt;='🌱 Configuração'!$D$51,'🌱 Configuração'!$B$51+84&lt;'🌱 Configuração'!$E$51,INT(('🌱 Configuração'!$B$51+84-'🌱 Configuração'!$D$51)/7)+1=1,MOD('🌱 Configuração'!$B$51+84-'🌱 Configuração'!$D$51,7)=0),"🐛 Beauveria bassiana solo (sem foliar)",IF(AND('🌱 Configuração'!$B$51+84&gt;='🌱 Configuração'!$D$51,'🌱 Configuração'!$B$51+84&lt;'🌱 Configuração'!$E$51,INT(('🌱 Configuração'!$B$51+84-'🌱 Configuração'!$D$51)/7)+1=2,MOD('🌱 Configuração'!$B$51+84-'🌱 Configuração'!$D$51,7)=0),"🐛 Trichoderma solo",IF(AND('🌱 Configuração'!$B$51+84&gt;='🌱 Configuração'!$D$51,'🌱 Configuração'!$B$51+84&lt;'🌱 Configuração'!$E$51,INT(('🌱 Configuração'!$B$51+84-'🌱 Configuração'!$D$51)/7)+1=3,MOD('🌱 Configuração'!$B$51+84-'🌱 Configuração'!$D$51,7)=0),"🐛 Beauveria bassiana solo",IF(AND('🌱 Configuração'!$B$51+84&gt;='🌱 Configuração'!$D$51,'🌱 Configuração'!$B$51+84&lt;'🌱 Configuração'!$E$51,INT(('🌱 Configuração'!$B$51+84-'🌱 Configuração'!$D$51)/7)+1=4,MOD('🌱 Configuração'!$B$51+84-'🌱 Configuração'!$D$51,7)=0),"🐛 Trichoderma solo",IF(AND('🌱 Configuração'!$B$51+84&gt;='🌱 Configuração'!$E$51,INT(('🌱 Configuração'!$B$51+84-'🌱 Configuração'!$E$51)/7)+1=1,MOD('🌱 Configuração'!$B$51+84-'🌱 Configuração'!$E$51,7)=0),"🐛 Inspeção final — sem aplicação",""))))))))))))))</f>
        <v/>
      </c>
      <c r="H90" s="22" t="str">
        <f>IF(85&gt;'🌱 Configuração'!$F$50,"",IF('🌱 Configuração'!$B$51+84='🌱 Configuração'!$C$51,"🌿 INÍCIO VEGA — ajustar espaço, luz 18h/dia — EC 0.8",IF('🌱 Configuração'!$B$51+84='🌱 Configuração'!$D$51,"🌸 INÍCIO FLORAÇÃO — mudar para 12h/12h — 🔴 atenção ao fotoperíodo",IF('🌱 Configuração'!$B$51+84='🌱 Configuração'!$E$51,"🚿 INÍCIO FLUSH — PARAR nutrição, somente água pura",IF('🌱 Configuração'!$B$51+84='🌱 Configuração'!$F$51-1,"🔬 Véspera da colheita — analisar tricomas âmbar",IF('🌱 Configuração'!$B$51+84='🌱 Configuração'!$F$51,"✂️ COLHEITA! Parabéns! 🎉",""))))))</f>
        <v/>
      </c>
    </row>
    <row r="91" spans="2:8" ht="18.75" customHeight="1" x14ac:dyDescent="0.3">
      <c r="B91" s="25">
        <f>IF(86&lt;='🌱 Configuração'!$F$50,86,"")</f>
        <v>86</v>
      </c>
      <c r="C91" s="26">
        <f>IF(86&lt;='🌱 Configuração'!$F$50,'🌱 Configuração'!$B$51+85,"")</f>
        <v>46108</v>
      </c>
      <c r="D91" s="27" t="str">
        <f>IF(86&gt;'🌱 Configuração'!$F$50,"",IF('🌱 Configuração'!$B$51+85&lt;'🌱 Configuração'!$C$51,"🌱 Clone",IF('🌱 Configuração'!$B$51+85&lt;'🌱 Configuração'!$D$51,"🌿 Vegetativo",IF('🌱 Configuração'!$B$51+85&lt;'🌱 Configuração'!$E$51,"🌸 Floração","🚿 Flush"))))</f>
        <v>🌸 Floração</v>
      </c>
      <c r="E91" s="28" t="str">
        <f>IF(86&gt;'🌱 Configuração'!$F$50,"",IF('🌱 Configuração'!$B$51+85&lt;'🌱 Configuração'!$C$51,"Clone S"&amp;INT((86-1)/7)+1,IF('🌱 Configuração'!$B$51+85&lt;'🌱 Configuração'!$D$51,"Vega S"&amp;INT(('🌱 Configuração'!$B$51+85-'🌱 Configuração'!$C$51)/7)+1,IF('🌱 Configuração'!$B$51+85&lt;'🌱 Configuração'!$E$51,"Flora S"&amp;INT(('🌱 Configuração'!$B$51+85-'🌱 Configuração'!$D$51)/7)+1,"Flush S"&amp;INT(('🌱 Configuração'!$B$51+85-'🌱 Configuração'!$E$51)/7)+1))))</f>
        <v>Flora S5</v>
      </c>
      <c r="F91" s="29" t="str">
        <f>IF(86&gt;'🌱 Configuração'!$F$50,"",IF(AND('🌱 Configuração'!$B$51+85&lt;'🌱 Configuração'!$C$51,INT((86-1)/7)+1=1,MOD(86-1,7)=0),"🌱 Enraizador (0.5 mL/L)",IF(AND('🌱 Configuração'!$B$51+85&lt;'🌱 Configuração'!$C$51,INT((86-1)/7)+1=2,MOD(86-1,7)=0),"🌱 Enraizador + Vitamina B1",IF(AND('🌱 Configuração'!$B$51+85&gt;='🌱 Configuração'!$C$51,'🌱 Configuração'!$B$51+85&lt;'🌱 Configuração'!$D$51,INT(('🌱 Configuração'!$B$51+85-'🌱 Configuração'!$C$51)/7)+1=1,MOD('🌱 Configuração'!$B$51+85-'🌱 Configuração'!$C$51,7)=0),"🌿 Grow A+B início — EC 0.8",IF(AND('🌱 Configuração'!$B$51+85&gt;='🌱 Configuração'!$C$51,'🌱 Configuração'!$B$51+85&lt;'🌱 Configuração'!$D$51,INT(('🌱 Configuração'!$B$51+85-'🌱 Configuração'!$C$51)/7)+1=2,MOD('🌱 Configuração'!$B$51+85-'🌱 Configuração'!$C$51,7)=0),"🌿 Grow A+B + CalMag — EC 1.0",IF(AND('🌱 Configuração'!$B$51+85&gt;='🌱 Configuração'!$C$51,'🌱 Configuração'!$B$51+85&lt;'🌱 Configuração'!$D$51,INT(('🌱 Configuração'!$B$51+85-'🌱 Configuração'!$C$51)/7)+1=3,MOD('🌱 Configuração'!$B$51+85-'🌱 Configuração'!$C$51,7)=0),"🌿 Grow A+B + CalMag — EC 1.2",IF(AND('🌱 Configuração'!$B$51+85&gt;='🌱 Configuração'!$C$51,'🌱 Configuração'!$B$51+85&lt;'🌱 Configuração'!$D$51,INT(('🌱 Configuração'!$B$51+85-'🌱 Configuração'!$C$51)/7)+1=4,MOD('🌱 Configuração'!$B$51+85-'🌱 Configuração'!$C$51,7)=0),"🌿 Grow A+B + Enzimas — EC 1.4",IF(AND('🌱 Configuração'!$B$51+85&gt;='🌱 Configuração'!$C$51,'🌱 Configuração'!$B$51+85&lt;'🌱 Configuração'!$D$51,INT(('🌱 Configuração'!$B$51+85-'🌱 Configuração'!$C$51)/7)+1=5,MOD('🌱 Configuração'!$B$51+85-'🌱 Configuração'!$C$51,7)=0),"🌿 Grow A+B + Biorrizas — EC 1.5",IF(AND('🌱 Configuração'!$B$51+85&gt;='🌱 Configuração'!$C$51,'🌱 Configuração'!$B$51+85&lt;'🌱 Configuração'!$D$51,INT(('🌱 Configuração'!$B$51+85-'🌱 Configuração'!$C$51)/7)+1=6,MOD('🌱 Configuração'!$B$51+85-'🌱 Configuração'!$C$51,7)=0),"🌿 Transição Bloom — EC 1.4",IF(AND('🌱 Configuração'!$B$51+85&gt;='🌱 Configuração'!$C$51,'🌱 Configuração'!$B$51+85&lt;'🌱 Configuração'!$D$51,INT(('🌱 Configuração'!$B$51+85-'🌱 Configuração'!$C$51)/7)+1=7,MOD('🌱 Configuração'!$B$51+85-'🌱 Configuração'!$C$51,7)=0),"🌿 Bloom A+B transição — EC 1.4",IF(AND('🌱 Configuração'!$B$51+85&gt;='🌱 Configuração'!$C$51,'🌱 Configuração'!$B$51+85&lt;'🌱 Configuração'!$D$51,INT(('🌱 Configuração'!$B$51+85-'🌱 Configuração'!$C$51)/7)+1=8,MOD('🌱 Configuração'!$B$51+85-'🌱 Configuração'!$C$51,7)=0),"🌿 Bloom A+B — EC 1.4",IF(AND('🌱 Configuração'!$B$51+85&gt;='🌱 Configuração'!$D$51,'🌱 Configuração'!$B$51+85&lt;'🌱 Configuração'!$E$51,INT(('🌱 Configuração'!$B$51+85-'🌱 Configuração'!$D$51)/7)+1=1,MOD('🌱 Configuração'!$B$51+85-'🌱 Configuração'!$D$51,7)=0),"🌸 Bloom A+B — EC 1.6",IF(AND('🌱 Configuração'!$B$51+85&gt;='🌱 Configuração'!$D$51,'🌱 Configuração'!$B$51+85&lt;'🌱 Configuração'!$E$51,INT(('🌱 Configuração'!$B$51+85-'🌱 Configuração'!$D$51)/7)+1=2,MOD('🌱 Configuração'!$B$51+85-'🌱 Configuração'!$D$51,7)=0),"🌸 Bloom + PK 13/14 início",IF(AND('🌱 Configuração'!$B$51+85&gt;='🌱 Configuração'!$D$51,'🌱 Configuração'!$B$51+85&lt;'🌱 Configuração'!$E$51,INT(('🌱 Configuração'!$B$51+85-'🌱 Configuração'!$D$51)/7)+1=3,MOD('🌱 Configuração'!$B$51+85-'🌱 Configuração'!$D$51,7)=0),"🌸 Bloom + PK + CalMag — EC 1.8",IF(AND('🌱 Configuração'!$B$51+85&gt;='🌱 Configuração'!$D$51,'🌱 Configuração'!$B$51+85&lt;'🌱 Configuração'!$E$51,INT(('🌱 Configuração'!$B$51+85-'🌱 Configuração'!$D$51)/7)+1=4,MOD('🌱 Configuração'!$B$51+85-'🌱 Configuração'!$D$51,7)=0),"🌸 Bloom + PK + Boost Floral — EC 2.0",IF(AND('🌱 Configuração'!$B$51+85&gt;='🌱 Configuração'!$D$51,'🌱 Configuração'!$B$51+85&lt;'🌱 Configuração'!$E$51,INT(('🌱 Configuração'!$B$51+85-'🌱 Configuração'!$D$51)/7)+1=5,MOD('🌱 Configuração'!$B$51+85-'🌱 Configuração'!$D$51,7)=0),"🌸 Bloom + Boost + Amino",IF(AND('🌱 Configuração'!$B$51+85&gt;='🌱 Configuração'!$D$51,'🌱 Configuração'!$B$51+85&lt;'🌱 Configuração'!$E$51,INT(('🌱 Configuração'!$B$51+85-'🌱 Configuração'!$D$51)/7)+1=6,MOD('🌱 Configuração'!$B$51+85-'🌱 Configuração'!$D$51,7)=0),"🌸 Bloom + Enzimas + Amino",IF(AND('🌱 Configuração'!$B$51+85&gt;='🌱 Configuração'!$D$51,'🌱 Configuração'!$B$51+85&lt;'🌱 Configuração'!$E$51,INT(('🌱 Configuração'!$B$51+85-'🌱 Configuração'!$D$51)/7)+1=7,MOD('🌱 Configuração'!$B$51+85-'🌱 Configuração'!$D$51,7)=0),"🌸 Reduzir N — Bloom puro — EC 1.6",IF(AND('🌱 Configuração'!$B$51+85&gt;='🌱 Configuração'!$D$51,'🌱 Configuração'!$B$51+85&lt;'🌱 Configuração'!$E$51,INT(('🌱 Configuração'!$B$51+85-'🌱 Configuração'!$D$51)/7)+1=8,MOD('🌱 Configuração'!$B$51+85-'🌱 Configuração'!$D$51,7)=0),"🌸 Bloom puro — EC 1.4  (pré-flush)",IF(AND('🌱 Configuração'!$B$51+85&gt;='🌱 Configuração'!$D$51,'🌱 Configuração'!$B$51+85&lt;'🌱 Configuração'!$E$51,INT(('🌱 Configuração'!$B$51+85-'🌱 Configuração'!$D$51)/7)+1=9,MOD('🌱 Configuração'!$B$51+85-'🌱 Configuração'!$D$51,7)=0),"🌸 Último Bloom — EC 0.8",IF(AND('🌱 Configuração'!$B$51+85&gt;='🌱 Configuração'!$E$51,INT(('🌱 Configuração'!$B$51+85-'🌱 Configuração'!$E$51)/7)+1=1,MOD('🌱 Configuração'!$B$51+85-'🌱 Configuração'!$E$51,7)=0),"🚿 Água pura + Enzimas (EC &lt; 0.3)",IF(AND('🌱 Configuração'!$B$51+85&gt;='🌱 Configuração'!$E$51,INT(('🌱 Configuração'!$B$51+85-'🌱 Configuração'!$E$51)/7)+1=2,MOD('🌱 Configuração'!$B$51+85-'🌱 Configuração'!$E$51,7)=0),"🚿 Água pura (EC &lt; 0.2)",""))))))))))))))))))))))</f>
        <v/>
      </c>
      <c r="G91" s="30" t="str">
        <f>IF(86&gt;'🌱 Configuração'!$F$50,"",IF(AND('🌱 Configuração'!$B$51+85&lt;'🌱 Configuração'!$C$51,INT((86-1)/7)+1=1,MOD(86-1,7)=0),"🐛 Nim 2mL/L foliar — preventivo",IF(AND('🌱 Configuração'!$B$51+85&lt;'🌱 Configuração'!$C$51,INT((86-1)/7)+1=2,MOD(86-1,7)=0),"🐛 Beauveria bassiana foliar + solo",IF(AND('🌱 Configuração'!$B$51+85&gt;='🌱 Configuração'!$C$51,'🌱 Configuração'!$B$51+85&lt;'🌱 Configuração'!$D$51,INT(('🌱 Configuração'!$B$51+85-'🌱 Configuração'!$C$51)/7)+1=1,MOD('🌱 Configuração'!$B$51+85-'🌱 Configuração'!$C$51,7)=0),"🐛 Nim 2mL/L foliar",IF(AND('🌱 Configuração'!$B$51+85&gt;='🌱 Configuração'!$C$51,'🌱 Configuração'!$B$51+85&lt;'🌱 Configuração'!$D$51,INT(('🌱 Configuração'!$B$51+85-'🌱 Configuração'!$C$51)/7)+1=2,MOD('🌱 Configuração'!$B$51+85-'🌱 Configuração'!$C$51,7)=0),"🐛 Beauveria bassiana foliar",IF(AND('🌱 Configuração'!$B$51+85&gt;='🌱 Configuração'!$C$51,'🌱 Configuração'!$B$51+85&lt;'🌱 Configuração'!$D$51,INT(('🌱 Configuração'!$B$51+85-'🌱 Configuração'!$C$51)/7)+1=3,MOD('🌱 Configuração'!$B$51+85-'🌱 Configuração'!$C$51,7)=0),"🐛 Nim + Calda Sulfocálcica 1%",IF(AND('🌱 Configuração'!$B$51+85&gt;='🌱 Configuração'!$C$51,'🌱 Configuração'!$B$51+85&lt;'🌱 Configuração'!$D$51,INT(('🌱 Configuração'!$B$51+85-'🌱 Configuração'!$C$51)/7)+1=4,MOD('🌱 Configuração'!$B$51+85-'🌱 Configuração'!$C$51,7)=0),"🐛 Trichoderma solo + Beauveria",IF(AND('🌱 Configuração'!$B$51+85&gt;='🌱 Configuração'!$C$51,'🌱 Configuração'!$B$51+85&lt;'🌱 Configuração'!$D$51,INT(('🌱 Configuração'!$B$51+85-'🌱 Configuração'!$C$51)/7)+1=5,MOD('🌱 Configuração'!$B$51+85-'🌱 Configuração'!$C$51,7)=0),"🐛 Calda Bordalesa 0.5% foliar",IF(AND('🌱 Configuração'!$B$51+85&gt;='🌱 Configuração'!$C$51,'🌱 Configuração'!$B$51+85&lt;'🌱 Configuração'!$D$51,INT(('🌱 Configuração'!$B$51+85-'🌱 Configuração'!$C$51)/7)+1=6,MOD('🌱 Configuração'!$B$51+85-'🌱 Configuração'!$C$51,7)=0),"🐛 Nim 2mL/L — ÚLTIMA foliar",IF(AND('🌱 Configuração'!$B$51+85&gt;='🌱 Configuração'!$D$51,'🌱 Configuração'!$B$51+85&lt;'🌱 Configuração'!$E$51,INT(('🌱 Configuração'!$B$51+85-'🌱 Configuração'!$D$51)/7)+1=1,MOD('🌱 Configuração'!$B$51+85-'🌱 Configuração'!$D$51,7)=0),"🐛 Beauveria bassiana solo (sem foliar)",IF(AND('🌱 Configuração'!$B$51+85&gt;='🌱 Configuração'!$D$51,'🌱 Configuração'!$B$51+85&lt;'🌱 Configuração'!$E$51,INT(('🌱 Configuração'!$B$51+85-'🌱 Configuração'!$D$51)/7)+1=2,MOD('🌱 Configuração'!$B$51+85-'🌱 Configuração'!$D$51,7)=0),"🐛 Trichoderma solo",IF(AND('🌱 Configuração'!$B$51+85&gt;='🌱 Configuração'!$D$51,'🌱 Configuração'!$B$51+85&lt;'🌱 Configuração'!$E$51,INT(('🌱 Configuração'!$B$51+85-'🌱 Configuração'!$D$51)/7)+1=3,MOD('🌱 Configuração'!$B$51+85-'🌱 Configuração'!$D$51,7)=0),"🐛 Beauveria bassiana solo",IF(AND('🌱 Configuração'!$B$51+85&gt;='🌱 Configuração'!$D$51,'🌱 Configuração'!$B$51+85&lt;'🌱 Configuração'!$E$51,INT(('🌱 Configuração'!$B$51+85-'🌱 Configuração'!$D$51)/7)+1=4,MOD('🌱 Configuração'!$B$51+85-'🌱 Configuração'!$D$51,7)=0),"🐛 Trichoderma solo",IF(AND('🌱 Configuração'!$B$51+85&gt;='🌱 Configuração'!$E$51,INT(('🌱 Configuração'!$B$51+85-'🌱 Configuração'!$E$51)/7)+1=1,MOD('🌱 Configuração'!$B$51+85-'🌱 Configuração'!$E$51,7)=0),"🐛 Inspeção final — sem aplicação",""))))))))))))))</f>
        <v/>
      </c>
      <c r="H91" s="22" t="str">
        <f>IF(86&gt;'🌱 Configuração'!$F$50,"",IF('🌱 Configuração'!$B$51+85='🌱 Configuração'!$C$51,"🌿 INÍCIO VEGA — ajustar espaço, luz 18h/dia — EC 0.8",IF('🌱 Configuração'!$B$51+85='🌱 Configuração'!$D$51,"🌸 INÍCIO FLORAÇÃO — mudar para 12h/12h — 🔴 atenção ao fotoperíodo",IF('🌱 Configuração'!$B$51+85='🌱 Configuração'!$E$51,"🚿 INÍCIO FLUSH — PARAR nutrição, somente água pura",IF('🌱 Configuração'!$B$51+85='🌱 Configuração'!$F$51-1,"🔬 Véspera da colheita — analisar tricomas âmbar",IF('🌱 Configuração'!$B$51+85='🌱 Configuração'!$F$51,"✂️ COLHEITA! Parabéns! 🎉",""))))))</f>
        <v/>
      </c>
    </row>
    <row r="92" spans="2:8" ht="18.75" customHeight="1" x14ac:dyDescent="0.3">
      <c r="B92" s="25">
        <f>IF(87&lt;='🌱 Configuração'!$F$50,87,"")</f>
        <v>87</v>
      </c>
      <c r="C92" s="26">
        <f>IF(87&lt;='🌱 Configuração'!$F$50,'🌱 Configuração'!$B$51+86,"")</f>
        <v>46109</v>
      </c>
      <c r="D92" s="27" t="str">
        <f>IF(87&gt;'🌱 Configuração'!$F$50,"",IF('🌱 Configuração'!$B$51+86&lt;'🌱 Configuração'!$C$51,"🌱 Clone",IF('🌱 Configuração'!$B$51+86&lt;'🌱 Configuração'!$D$51,"🌿 Vegetativo",IF('🌱 Configuração'!$B$51+86&lt;'🌱 Configuração'!$E$51,"🌸 Floração","🚿 Flush"))))</f>
        <v>🌸 Floração</v>
      </c>
      <c r="E92" s="28" t="str">
        <f>IF(87&gt;'🌱 Configuração'!$F$50,"",IF('🌱 Configuração'!$B$51+86&lt;'🌱 Configuração'!$C$51,"Clone S"&amp;INT((87-1)/7)+1,IF('🌱 Configuração'!$B$51+86&lt;'🌱 Configuração'!$D$51,"Vega S"&amp;INT(('🌱 Configuração'!$B$51+86-'🌱 Configuração'!$C$51)/7)+1,IF('🌱 Configuração'!$B$51+86&lt;'🌱 Configuração'!$E$51,"Flora S"&amp;INT(('🌱 Configuração'!$B$51+86-'🌱 Configuração'!$D$51)/7)+1,"Flush S"&amp;INT(('🌱 Configuração'!$B$51+86-'🌱 Configuração'!$E$51)/7)+1))))</f>
        <v>Flora S5</v>
      </c>
      <c r="F92" s="29" t="str">
        <f>IF(87&gt;'🌱 Configuração'!$F$50,"",IF(AND('🌱 Configuração'!$B$51+86&lt;'🌱 Configuração'!$C$51,INT((87-1)/7)+1=1,MOD(87-1,7)=0),"🌱 Enraizador (0.5 mL/L)",IF(AND('🌱 Configuração'!$B$51+86&lt;'🌱 Configuração'!$C$51,INT((87-1)/7)+1=2,MOD(87-1,7)=0),"🌱 Enraizador + Vitamina B1",IF(AND('🌱 Configuração'!$B$51+86&gt;='🌱 Configuração'!$C$51,'🌱 Configuração'!$B$51+86&lt;'🌱 Configuração'!$D$51,INT(('🌱 Configuração'!$B$51+86-'🌱 Configuração'!$C$51)/7)+1=1,MOD('🌱 Configuração'!$B$51+86-'🌱 Configuração'!$C$51,7)=0),"🌿 Grow A+B início — EC 0.8",IF(AND('🌱 Configuração'!$B$51+86&gt;='🌱 Configuração'!$C$51,'🌱 Configuração'!$B$51+86&lt;'🌱 Configuração'!$D$51,INT(('🌱 Configuração'!$B$51+86-'🌱 Configuração'!$C$51)/7)+1=2,MOD('🌱 Configuração'!$B$51+86-'🌱 Configuração'!$C$51,7)=0),"🌿 Grow A+B + CalMag — EC 1.0",IF(AND('🌱 Configuração'!$B$51+86&gt;='🌱 Configuração'!$C$51,'🌱 Configuração'!$B$51+86&lt;'🌱 Configuração'!$D$51,INT(('🌱 Configuração'!$B$51+86-'🌱 Configuração'!$C$51)/7)+1=3,MOD('🌱 Configuração'!$B$51+86-'🌱 Configuração'!$C$51,7)=0),"🌿 Grow A+B + CalMag — EC 1.2",IF(AND('🌱 Configuração'!$B$51+86&gt;='🌱 Configuração'!$C$51,'🌱 Configuração'!$B$51+86&lt;'🌱 Configuração'!$D$51,INT(('🌱 Configuração'!$B$51+86-'🌱 Configuração'!$C$51)/7)+1=4,MOD('🌱 Configuração'!$B$51+86-'🌱 Configuração'!$C$51,7)=0),"🌿 Grow A+B + Enzimas — EC 1.4",IF(AND('🌱 Configuração'!$B$51+86&gt;='🌱 Configuração'!$C$51,'🌱 Configuração'!$B$51+86&lt;'🌱 Configuração'!$D$51,INT(('🌱 Configuração'!$B$51+86-'🌱 Configuração'!$C$51)/7)+1=5,MOD('🌱 Configuração'!$B$51+86-'🌱 Configuração'!$C$51,7)=0),"🌿 Grow A+B + Biorrizas — EC 1.5",IF(AND('🌱 Configuração'!$B$51+86&gt;='🌱 Configuração'!$C$51,'🌱 Configuração'!$B$51+86&lt;'🌱 Configuração'!$D$51,INT(('🌱 Configuração'!$B$51+86-'🌱 Configuração'!$C$51)/7)+1=6,MOD('🌱 Configuração'!$B$51+86-'🌱 Configuração'!$C$51,7)=0),"🌿 Transição Bloom — EC 1.4",IF(AND('🌱 Configuração'!$B$51+86&gt;='🌱 Configuração'!$C$51,'🌱 Configuração'!$B$51+86&lt;'🌱 Configuração'!$D$51,INT(('🌱 Configuração'!$B$51+86-'🌱 Configuração'!$C$51)/7)+1=7,MOD('🌱 Configuração'!$B$51+86-'🌱 Configuração'!$C$51,7)=0),"🌿 Bloom A+B transição — EC 1.4",IF(AND('🌱 Configuração'!$B$51+86&gt;='🌱 Configuração'!$C$51,'🌱 Configuração'!$B$51+86&lt;'🌱 Configuração'!$D$51,INT(('🌱 Configuração'!$B$51+86-'🌱 Configuração'!$C$51)/7)+1=8,MOD('🌱 Configuração'!$B$51+86-'🌱 Configuração'!$C$51,7)=0),"🌿 Bloom A+B — EC 1.4",IF(AND('🌱 Configuração'!$B$51+86&gt;='🌱 Configuração'!$D$51,'🌱 Configuração'!$B$51+86&lt;'🌱 Configuração'!$E$51,INT(('🌱 Configuração'!$B$51+86-'🌱 Configuração'!$D$51)/7)+1=1,MOD('🌱 Configuração'!$B$51+86-'🌱 Configuração'!$D$51,7)=0),"🌸 Bloom A+B — EC 1.6",IF(AND('🌱 Configuração'!$B$51+86&gt;='🌱 Configuração'!$D$51,'🌱 Configuração'!$B$51+86&lt;'🌱 Configuração'!$E$51,INT(('🌱 Configuração'!$B$51+86-'🌱 Configuração'!$D$51)/7)+1=2,MOD('🌱 Configuração'!$B$51+86-'🌱 Configuração'!$D$51,7)=0),"🌸 Bloom + PK 13/14 início",IF(AND('🌱 Configuração'!$B$51+86&gt;='🌱 Configuração'!$D$51,'🌱 Configuração'!$B$51+86&lt;'🌱 Configuração'!$E$51,INT(('🌱 Configuração'!$B$51+86-'🌱 Configuração'!$D$51)/7)+1=3,MOD('🌱 Configuração'!$B$51+86-'🌱 Configuração'!$D$51,7)=0),"🌸 Bloom + PK + CalMag — EC 1.8",IF(AND('🌱 Configuração'!$B$51+86&gt;='🌱 Configuração'!$D$51,'🌱 Configuração'!$B$51+86&lt;'🌱 Configuração'!$E$51,INT(('🌱 Configuração'!$B$51+86-'🌱 Configuração'!$D$51)/7)+1=4,MOD('🌱 Configuração'!$B$51+86-'🌱 Configuração'!$D$51,7)=0),"🌸 Bloom + PK + Boost Floral — EC 2.0",IF(AND('🌱 Configuração'!$B$51+86&gt;='🌱 Configuração'!$D$51,'🌱 Configuração'!$B$51+86&lt;'🌱 Configuração'!$E$51,INT(('🌱 Configuração'!$B$51+86-'🌱 Configuração'!$D$51)/7)+1=5,MOD('🌱 Configuração'!$B$51+86-'🌱 Configuração'!$D$51,7)=0),"🌸 Bloom + Boost + Amino",IF(AND('🌱 Configuração'!$B$51+86&gt;='🌱 Configuração'!$D$51,'🌱 Configuração'!$B$51+86&lt;'🌱 Configuração'!$E$51,INT(('🌱 Configuração'!$B$51+86-'🌱 Configuração'!$D$51)/7)+1=6,MOD('🌱 Configuração'!$B$51+86-'🌱 Configuração'!$D$51,7)=0),"🌸 Bloom + Enzimas + Amino",IF(AND('🌱 Configuração'!$B$51+86&gt;='🌱 Configuração'!$D$51,'🌱 Configuração'!$B$51+86&lt;'🌱 Configuração'!$E$51,INT(('🌱 Configuração'!$B$51+86-'🌱 Configuração'!$D$51)/7)+1=7,MOD('🌱 Configuração'!$B$51+86-'🌱 Configuração'!$D$51,7)=0),"🌸 Reduzir N — Bloom puro — EC 1.6",IF(AND('🌱 Configuração'!$B$51+86&gt;='🌱 Configuração'!$D$51,'🌱 Configuração'!$B$51+86&lt;'🌱 Configuração'!$E$51,INT(('🌱 Configuração'!$B$51+86-'🌱 Configuração'!$D$51)/7)+1=8,MOD('🌱 Configuração'!$B$51+86-'🌱 Configuração'!$D$51,7)=0),"🌸 Bloom puro — EC 1.4  (pré-flush)",IF(AND('🌱 Configuração'!$B$51+86&gt;='🌱 Configuração'!$D$51,'🌱 Configuração'!$B$51+86&lt;'🌱 Configuração'!$E$51,INT(('🌱 Configuração'!$B$51+86-'🌱 Configuração'!$D$51)/7)+1=9,MOD('🌱 Configuração'!$B$51+86-'🌱 Configuração'!$D$51,7)=0),"🌸 Último Bloom — EC 0.8",IF(AND('🌱 Configuração'!$B$51+86&gt;='🌱 Configuração'!$E$51,INT(('🌱 Configuração'!$B$51+86-'🌱 Configuração'!$E$51)/7)+1=1,MOD('🌱 Configuração'!$B$51+86-'🌱 Configuração'!$E$51,7)=0),"🚿 Água pura + Enzimas (EC &lt; 0.3)",IF(AND('🌱 Configuração'!$B$51+86&gt;='🌱 Configuração'!$E$51,INT(('🌱 Configuração'!$B$51+86-'🌱 Configuração'!$E$51)/7)+1=2,MOD('🌱 Configuração'!$B$51+86-'🌱 Configuração'!$E$51,7)=0),"🚿 Água pura (EC &lt; 0.2)",""))))))))))))))))))))))</f>
        <v/>
      </c>
      <c r="G92" s="30" t="str">
        <f>IF(87&gt;'🌱 Configuração'!$F$50,"",IF(AND('🌱 Configuração'!$B$51+86&lt;'🌱 Configuração'!$C$51,INT((87-1)/7)+1=1,MOD(87-1,7)=0),"🐛 Nim 2mL/L foliar — preventivo",IF(AND('🌱 Configuração'!$B$51+86&lt;'🌱 Configuração'!$C$51,INT((87-1)/7)+1=2,MOD(87-1,7)=0),"🐛 Beauveria bassiana foliar + solo",IF(AND('🌱 Configuração'!$B$51+86&gt;='🌱 Configuração'!$C$51,'🌱 Configuração'!$B$51+86&lt;'🌱 Configuração'!$D$51,INT(('🌱 Configuração'!$B$51+86-'🌱 Configuração'!$C$51)/7)+1=1,MOD('🌱 Configuração'!$B$51+86-'🌱 Configuração'!$C$51,7)=0),"🐛 Nim 2mL/L foliar",IF(AND('🌱 Configuração'!$B$51+86&gt;='🌱 Configuração'!$C$51,'🌱 Configuração'!$B$51+86&lt;'🌱 Configuração'!$D$51,INT(('🌱 Configuração'!$B$51+86-'🌱 Configuração'!$C$51)/7)+1=2,MOD('🌱 Configuração'!$B$51+86-'🌱 Configuração'!$C$51,7)=0),"🐛 Beauveria bassiana foliar",IF(AND('🌱 Configuração'!$B$51+86&gt;='🌱 Configuração'!$C$51,'🌱 Configuração'!$B$51+86&lt;'🌱 Configuração'!$D$51,INT(('🌱 Configuração'!$B$51+86-'🌱 Configuração'!$C$51)/7)+1=3,MOD('🌱 Configuração'!$B$51+86-'🌱 Configuração'!$C$51,7)=0),"🐛 Nim + Calda Sulfocálcica 1%",IF(AND('🌱 Configuração'!$B$51+86&gt;='🌱 Configuração'!$C$51,'🌱 Configuração'!$B$51+86&lt;'🌱 Configuração'!$D$51,INT(('🌱 Configuração'!$B$51+86-'🌱 Configuração'!$C$51)/7)+1=4,MOD('🌱 Configuração'!$B$51+86-'🌱 Configuração'!$C$51,7)=0),"🐛 Trichoderma solo + Beauveria",IF(AND('🌱 Configuração'!$B$51+86&gt;='🌱 Configuração'!$C$51,'🌱 Configuração'!$B$51+86&lt;'🌱 Configuração'!$D$51,INT(('🌱 Configuração'!$B$51+86-'🌱 Configuração'!$C$51)/7)+1=5,MOD('🌱 Configuração'!$B$51+86-'🌱 Configuração'!$C$51,7)=0),"🐛 Calda Bordalesa 0.5% foliar",IF(AND('🌱 Configuração'!$B$51+86&gt;='🌱 Configuração'!$C$51,'🌱 Configuração'!$B$51+86&lt;'🌱 Configuração'!$D$51,INT(('🌱 Configuração'!$B$51+86-'🌱 Configuração'!$C$51)/7)+1=6,MOD('🌱 Configuração'!$B$51+86-'🌱 Configuração'!$C$51,7)=0),"🐛 Nim 2mL/L — ÚLTIMA foliar",IF(AND('🌱 Configuração'!$B$51+86&gt;='🌱 Configuração'!$D$51,'🌱 Configuração'!$B$51+86&lt;'🌱 Configuração'!$E$51,INT(('🌱 Configuração'!$B$51+86-'🌱 Configuração'!$D$51)/7)+1=1,MOD('🌱 Configuração'!$B$51+86-'🌱 Configuração'!$D$51,7)=0),"🐛 Beauveria bassiana solo (sem foliar)",IF(AND('🌱 Configuração'!$B$51+86&gt;='🌱 Configuração'!$D$51,'🌱 Configuração'!$B$51+86&lt;'🌱 Configuração'!$E$51,INT(('🌱 Configuração'!$B$51+86-'🌱 Configuração'!$D$51)/7)+1=2,MOD('🌱 Configuração'!$B$51+86-'🌱 Configuração'!$D$51,7)=0),"🐛 Trichoderma solo",IF(AND('🌱 Configuração'!$B$51+86&gt;='🌱 Configuração'!$D$51,'🌱 Configuração'!$B$51+86&lt;'🌱 Configuração'!$E$51,INT(('🌱 Configuração'!$B$51+86-'🌱 Configuração'!$D$51)/7)+1=3,MOD('🌱 Configuração'!$B$51+86-'🌱 Configuração'!$D$51,7)=0),"🐛 Beauveria bassiana solo",IF(AND('🌱 Configuração'!$B$51+86&gt;='🌱 Configuração'!$D$51,'🌱 Configuração'!$B$51+86&lt;'🌱 Configuração'!$E$51,INT(('🌱 Configuração'!$B$51+86-'🌱 Configuração'!$D$51)/7)+1=4,MOD('🌱 Configuração'!$B$51+86-'🌱 Configuração'!$D$51,7)=0),"🐛 Trichoderma solo",IF(AND('🌱 Configuração'!$B$51+86&gt;='🌱 Configuração'!$E$51,INT(('🌱 Configuração'!$B$51+86-'🌱 Configuração'!$E$51)/7)+1=1,MOD('🌱 Configuração'!$B$51+86-'🌱 Configuração'!$E$51,7)=0),"🐛 Inspeção final — sem aplicação",""))))))))))))))</f>
        <v/>
      </c>
      <c r="H92" s="22" t="str">
        <f>IF(87&gt;'🌱 Configuração'!$F$50,"",IF('🌱 Configuração'!$B$51+86='🌱 Configuração'!$C$51,"🌿 INÍCIO VEGA — ajustar espaço, luz 18h/dia — EC 0.8",IF('🌱 Configuração'!$B$51+86='🌱 Configuração'!$D$51,"🌸 INÍCIO FLORAÇÃO — mudar para 12h/12h — 🔴 atenção ao fotoperíodo",IF('🌱 Configuração'!$B$51+86='🌱 Configuração'!$E$51,"🚿 INÍCIO FLUSH — PARAR nutrição, somente água pura",IF('🌱 Configuração'!$B$51+86='🌱 Configuração'!$F$51-1,"🔬 Véspera da colheita — analisar tricomas âmbar",IF('🌱 Configuração'!$B$51+86='🌱 Configuração'!$F$51,"✂️ COLHEITA! Parabéns! 🎉",""))))))</f>
        <v/>
      </c>
    </row>
    <row r="93" spans="2:8" ht="18.75" customHeight="1" x14ac:dyDescent="0.3">
      <c r="B93" s="25">
        <f>IF(88&lt;='🌱 Configuração'!$F$50,88,"")</f>
        <v>88</v>
      </c>
      <c r="C93" s="26">
        <f>IF(88&lt;='🌱 Configuração'!$F$50,'🌱 Configuração'!$B$51+87,"")</f>
        <v>46110</v>
      </c>
      <c r="D93" s="27" t="str">
        <f>IF(88&gt;'🌱 Configuração'!$F$50,"",IF('🌱 Configuração'!$B$51+87&lt;'🌱 Configuração'!$C$51,"🌱 Clone",IF('🌱 Configuração'!$B$51+87&lt;'🌱 Configuração'!$D$51,"🌿 Vegetativo",IF('🌱 Configuração'!$B$51+87&lt;'🌱 Configuração'!$E$51,"🌸 Floração","🚿 Flush"))))</f>
        <v>🌸 Floração</v>
      </c>
      <c r="E93" s="28" t="str">
        <f>IF(88&gt;'🌱 Configuração'!$F$50,"",IF('🌱 Configuração'!$B$51+87&lt;'🌱 Configuração'!$C$51,"Clone S"&amp;INT((88-1)/7)+1,IF('🌱 Configuração'!$B$51+87&lt;'🌱 Configuração'!$D$51,"Vega S"&amp;INT(('🌱 Configuração'!$B$51+87-'🌱 Configuração'!$C$51)/7)+1,IF('🌱 Configuração'!$B$51+87&lt;'🌱 Configuração'!$E$51,"Flora S"&amp;INT(('🌱 Configuração'!$B$51+87-'🌱 Configuração'!$D$51)/7)+1,"Flush S"&amp;INT(('🌱 Configuração'!$B$51+87-'🌱 Configuração'!$E$51)/7)+1))))</f>
        <v>Flora S5</v>
      </c>
      <c r="F93" s="29" t="str">
        <f>IF(88&gt;'🌱 Configuração'!$F$50,"",IF(AND('🌱 Configuração'!$B$51+87&lt;'🌱 Configuração'!$C$51,INT((88-1)/7)+1=1,MOD(88-1,7)=0),"🌱 Enraizador (0.5 mL/L)",IF(AND('🌱 Configuração'!$B$51+87&lt;'🌱 Configuração'!$C$51,INT((88-1)/7)+1=2,MOD(88-1,7)=0),"🌱 Enraizador + Vitamina B1",IF(AND('🌱 Configuração'!$B$51+87&gt;='🌱 Configuração'!$C$51,'🌱 Configuração'!$B$51+87&lt;'🌱 Configuração'!$D$51,INT(('🌱 Configuração'!$B$51+87-'🌱 Configuração'!$C$51)/7)+1=1,MOD('🌱 Configuração'!$B$51+87-'🌱 Configuração'!$C$51,7)=0),"🌿 Grow A+B início — EC 0.8",IF(AND('🌱 Configuração'!$B$51+87&gt;='🌱 Configuração'!$C$51,'🌱 Configuração'!$B$51+87&lt;'🌱 Configuração'!$D$51,INT(('🌱 Configuração'!$B$51+87-'🌱 Configuração'!$C$51)/7)+1=2,MOD('🌱 Configuração'!$B$51+87-'🌱 Configuração'!$C$51,7)=0),"🌿 Grow A+B + CalMag — EC 1.0",IF(AND('🌱 Configuração'!$B$51+87&gt;='🌱 Configuração'!$C$51,'🌱 Configuração'!$B$51+87&lt;'🌱 Configuração'!$D$51,INT(('🌱 Configuração'!$B$51+87-'🌱 Configuração'!$C$51)/7)+1=3,MOD('🌱 Configuração'!$B$51+87-'🌱 Configuração'!$C$51,7)=0),"🌿 Grow A+B + CalMag — EC 1.2",IF(AND('🌱 Configuração'!$B$51+87&gt;='🌱 Configuração'!$C$51,'🌱 Configuração'!$B$51+87&lt;'🌱 Configuração'!$D$51,INT(('🌱 Configuração'!$B$51+87-'🌱 Configuração'!$C$51)/7)+1=4,MOD('🌱 Configuração'!$B$51+87-'🌱 Configuração'!$C$51,7)=0),"🌿 Grow A+B + Enzimas — EC 1.4",IF(AND('🌱 Configuração'!$B$51+87&gt;='🌱 Configuração'!$C$51,'🌱 Configuração'!$B$51+87&lt;'🌱 Configuração'!$D$51,INT(('🌱 Configuração'!$B$51+87-'🌱 Configuração'!$C$51)/7)+1=5,MOD('🌱 Configuração'!$B$51+87-'🌱 Configuração'!$C$51,7)=0),"🌿 Grow A+B + Biorrizas — EC 1.5",IF(AND('🌱 Configuração'!$B$51+87&gt;='🌱 Configuração'!$C$51,'🌱 Configuração'!$B$51+87&lt;'🌱 Configuração'!$D$51,INT(('🌱 Configuração'!$B$51+87-'🌱 Configuração'!$C$51)/7)+1=6,MOD('🌱 Configuração'!$B$51+87-'🌱 Configuração'!$C$51,7)=0),"🌿 Transição Bloom — EC 1.4",IF(AND('🌱 Configuração'!$B$51+87&gt;='🌱 Configuração'!$C$51,'🌱 Configuração'!$B$51+87&lt;'🌱 Configuração'!$D$51,INT(('🌱 Configuração'!$B$51+87-'🌱 Configuração'!$C$51)/7)+1=7,MOD('🌱 Configuração'!$B$51+87-'🌱 Configuração'!$C$51,7)=0),"🌿 Bloom A+B transição — EC 1.4",IF(AND('🌱 Configuração'!$B$51+87&gt;='🌱 Configuração'!$C$51,'🌱 Configuração'!$B$51+87&lt;'🌱 Configuração'!$D$51,INT(('🌱 Configuração'!$B$51+87-'🌱 Configuração'!$C$51)/7)+1=8,MOD('🌱 Configuração'!$B$51+87-'🌱 Configuração'!$C$51,7)=0),"🌿 Bloom A+B — EC 1.4",IF(AND('🌱 Configuração'!$B$51+87&gt;='🌱 Configuração'!$D$51,'🌱 Configuração'!$B$51+87&lt;'🌱 Configuração'!$E$51,INT(('🌱 Configuração'!$B$51+87-'🌱 Configuração'!$D$51)/7)+1=1,MOD('🌱 Configuração'!$B$51+87-'🌱 Configuração'!$D$51,7)=0),"🌸 Bloom A+B — EC 1.6",IF(AND('🌱 Configuração'!$B$51+87&gt;='🌱 Configuração'!$D$51,'🌱 Configuração'!$B$51+87&lt;'🌱 Configuração'!$E$51,INT(('🌱 Configuração'!$B$51+87-'🌱 Configuração'!$D$51)/7)+1=2,MOD('🌱 Configuração'!$B$51+87-'🌱 Configuração'!$D$51,7)=0),"🌸 Bloom + PK 13/14 início",IF(AND('🌱 Configuração'!$B$51+87&gt;='🌱 Configuração'!$D$51,'🌱 Configuração'!$B$51+87&lt;'🌱 Configuração'!$E$51,INT(('🌱 Configuração'!$B$51+87-'🌱 Configuração'!$D$51)/7)+1=3,MOD('🌱 Configuração'!$B$51+87-'🌱 Configuração'!$D$51,7)=0),"🌸 Bloom + PK + CalMag — EC 1.8",IF(AND('🌱 Configuração'!$B$51+87&gt;='🌱 Configuração'!$D$51,'🌱 Configuração'!$B$51+87&lt;'🌱 Configuração'!$E$51,INT(('🌱 Configuração'!$B$51+87-'🌱 Configuração'!$D$51)/7)+1=4,MOD('🌱 Configuração'!$B$51+87-'🌱 Configuração'!$D$51,7)=0),"🌸 Bloom + PK + Boost Floral — EC 2.0",IF(AND('🌱 Configuração'!$B$51+87&gt;='🌱 Configuração'!$D$51,'🌱 Configuração'!$B$51+87&lt;'🌱 Configuração'!$E$51,INT(('🌱 Configuração'!$B$51+87-'🌱 Configuração'!$D$51)/7)+1=5,MOD('🌱 Configuração'!$B$51+87-'🌱 Configuração'!$D$51,7)=0),"🌸 Bloom + Boost + Amino",IF(AND('🌱 Configuração'!$B$51+87&gt;='🌱 Configuração'!$D$51,'🌱 Configuração'!$B$51+87&lt;'🌱 Configuração'!$E$51,INT(('🌱 Configuração'!$B$51+87-'🌱 Configuração'!$D$51)/7)+1=6,MOD('🌱 Configuração'!$B$51+87-'🌱 Configuração'!$D$51,7)=0),"🌸 Bloom + Enzimas + Amino",IF(AND('🌱 Configuração'!$B$51+87&gt;='🌱 Configuração'!$D$51,'🌱 Configuração'!$B$51+87&lt;'🌱 Configuração'!$E$51,INT(('🌱 Configuração'!$B$51+87-'🌱 Configuração'!$D$51)/7)+1=7,MOD('🌱 Configuração'!$B$51+87-'🌱 Configuração'!$D$51,7)=0),"🌸 Reduzir N — Bloom puro — EC 1.6",IF(AND('🌱 Configuração'!$B$51+87&gt;='🌱 Configuração'!$D$51,'🌱 Configuração'!$B$51+87&lt;'🌱 Configuração'!$E$51,INT(('🌱 Configuração'!$B$51+87-'🌱 Configuração'!$D$51)/7)+1=8,MOD('🌱 Configuração'!$B$51+87-'🌱 Configuração'!$D$51,7)=0),"🌸 Bloom puro — EC 1.4  (pré-flush)",IF(AND('🌱 Configuração'!$B$51+87&gt;='🌱 Configuração'!$D$51,'🌱 Configuração'!$B$51+87&lt;'🌱 Configuração'!$E$51,INT(('🌱 Configuração'!$B$51+87-'🌱 Configuração'!$D$51)/7)+1=9,MOD('🌱 Configuração'!$B$51+87-'🌱 Configuração'!$D$51,7)=0),"🌸 Último Bloom — EC 0.8",IF(AND('🌱 Configuração'!$B$51+87&gt;='🌱 Configuração'!$E$51,INT(('🌱 Configuração'!$B$51+87-'🌱 Configuração'!$E$51)/7)+1=1,MOD('🌱 Configuração'!$B$51+87-'🌱 Configuração'!$E$51,7)=0),"🚿 Água pura + Enzimas (EC &lt; 0.3)",IF(AND('🌱 Configuração'!$B$51+87&gt;='🌱 Configuração'!$E$51,INT(('🌱 Configuração'!$B$51+87-'🌱 Configuração'!$E$51)/7)+1=2,MOD('🌱 Configuração'!$B$51+87-'🌱 Configuração'!$E$51,7)=0),"🚿 Água pura (EC &lt; 0.2)",""))))))))))))))))))))))</f>
        <v/>
      </c>
      <c r="G93" s="30" t="str">
        <f>IF(88&gt;'🌱 Configuração'!$F$50,"",IF(AND('🌱 Configuração'!$B$51+87&lt;'🌱 Configuração'!$C$51,INT((88-1)/7)+1=1,MOD(88-1,7)=0),"🐛 Nim 2mL/L foliar — preventivo",IF(AND('🌱 Configuração'!$B$51+87&lt;'🌱 Configuração'!$C$51,INT((88-1)/7)+1=2,MOD(88-1,7)=0),"🐛 Beauveria bassiana foliar + solo",IF(AND('🌱 Configuração'!$B$51+87&gt;='🌱 Configuração'!$C$51,'🌱 Configuração'!$B$51+87&lt;'🌱 Configuração'!$D$51,INT(('🌱 Configuração'!$B$51+87-'🌱 Configuração'!$C$51)/7)+1=1,MOD('🌱 Configuração'!$B$51+87-'🌱 Configuração'!$C$51,7)=0),"🐛 Nim 2mL/L foliar",IF(AND('🌱 Configuração'!$B$51+87&gt;='🌱 Configuração'!$C$51,'🌱 Configuração'!$B$51+87&lt;'🌱 Configuração'!$D$51,INT(('🌱 Configuração'!$B$51+87-'🌱 Configuração'!$C$51)/7)+1=2,MOD('🌱 Configuração'!$B$51+87-'🌱 Configuração'!$C$51,7)=0),"🐛 Beauveria bassiana foliar",IF(AND('🌱 Configuração'!$B$51+87&gt;='🌱 Configuração'!$C$51,'🌱 Configuração'!$B$51+87&lt;'🌱 Configuração'!$D$51,INT(('🌱 Configuração'!$B$51+87-'🌱 Configuração'!$C$51)/7)+1=3,MOD('🌱 Configuração'!$B$51+87-'🌱 Configuração'!$C$51,7)=0),"🐛 Nim + Calda Sulfocálcica 1%",IF(AND('🌱 Configuração'!$B$51+87&gt;='🌱 Configuração'!$C$51,'🌱 Configuração'!$B$51+87&lt;'🌱 Configuração'!$D$51,INT(('🌱 Configuração'!$B$51+87-'🌱 Configuração'!$C$51)/7)+1=4,MOD('🌱 Configuração'!$B$51+87-'🌱 Configuração'!$C$51,7)=0),"🐛 Trichoderma solo + Beauveria",IF(AND('🌱 Configuração'!$B$51+87&gt;='🌱 Configuração'!$C$51,'🌱 Configuração'!$B$51+87&lt;'🌱 Configuração'!$D$51,INT(('🌱 Configuração'!$B$51+87-'🌱 Configuração'!$C$51)/7)+1=5,MOD('🌱 Configuração'!$B$51+87-'🌱 Configuração'!$C$51,7)=0),"🐛 Calda Bordalesa 0.5% foliar",IF(AND('🌱 Configuração'!$B$51+87&gt;='🌱 Configuração'!$C$51,'🌱 Configuração'!$B$51+87&lt;'🌱 Configuração'!$D$51,INT(('🌱 Configuração'!$B$51+87-'🌱 Configuração'!$C$51)/7)+1=6,MOD('🌱 Configuração'!$B$51+87-'🌱 Configuração'!$C$51,7)=0),"🐛 Nim 2mL/L — ÚLTIMA foliar",IF(AND('🌱 Configuração'!$B$51+87&gt;='🌱 Configuração'!$D$51,'🌱 Configuração'!$B$51+87&lt;'🌱 Configuração'!$E$51,INT(('🌱 Configuração'!$B$51+87-'🌱 Configuração'!$D$51)/7)+1=1,MOD('🌱 Configuração'!$B$51+87-'🌱 Configuração'!$D$51,7)=0),"🐛 Beauveria bassiana solo (sem foliar)",IF(AND('🌱 Configuração'!$B$51+87&gt;='🌱 Configuração'!$D$51,'🌱 Configuração'!$B$51+87&lt;'🌱 Configuração'!$E$51,INT(('🌱 Configuração'!$B$51+87-'🌱 Configuração'!$D$51)/7)+1=2,MOD('🌱 Configuração'!$B$51+87-'🌱 Configuração'!$D$51,7)=0),"🐛 Trichoderma solo",IF(AND('🌱 Configuração'!$B$51+87&gt;='🌱 Configuração'!$D$51,'🌱 Configuração'!$B$51+87&lt;'🌱 Configuração'!$E$51,INT(('🌱 Configuração'!$B$51+87-'🌱 Configuração'!$D$51)/7)+1=3,MOD('🌱 Configuração'!$B$51+87-'🌱 Configuração'!$D$51,7)=0),"🐛 Beauveria bassiana solo",IF(AND('🌱 Configuração'!$B$51+87&gt;='🌱 Configuração'!$D$51,'🌱 Configuração'!$B$51+87&lt;'🌱 Configuração'!$E$51,INT(('🌱 Configuração'!$B$51+87-'🌱 Configuração'!$D$51)/7)+1=4,MOD('🌱 Configuração'!$B$51+87-'🌱 Configuração'!$D$51,7)=0),"🐛 Trichoderma solo",IF(AND('🌱 Configuração'!$B$51+87&gt;='🌱 Configuração'!$E$51,INT(('🌱 Configuração'!$B$51+87-'🌱 Configuração'!$E$51)/7)+1=1,MOD('🌱 Configuração'!$B$51+87-'🌱 Configuração'!$E$51,7)=0),"🐛 Inspeção final — sem aplicação",""))))))))))))))</f>
        <v/>
      </c>
      <c r="H93" s="22" t="str">
        <f>IF(88&gt;'🌱 Configuração'!$F$50,"",IF('🌱 Configuração'!$B$51+87='🌱 Configuração'!$C$51,"🌿 INÍCIO VEGA — ajustar espaço, luz 18h/dia — EC 0.8",IF('🌱 Configuração'!$B$51+87='🌱 Configuração'!$D$51,"🌸 INÍCIO FLORAÇÃO — mudar para 12h/12h — 🔴 atenção ao fotoperíodo",IF('🌱 Configuração'!$B$51+87='🌱 Configuração'!$E$51,"🚿 INÍCIO FLUSH — PARAR nutrição, somente água pura",IF('🌱 Configuração'!$B$51+87='🌱 Configuração'!$F$51-1,"🔬 Véspera da colheita — analisar tricomas âmbar",IF('🌱 Configuração'!$B$51+87='🌱 Configuração'!$F$51,"✂️ COLHEITA! Parabéns! 🎉",""))))))</f>
        <v/>
      </c>
    </row>
    <row r="94" spans="2:8" ht="18.75" customHeight="1" x14ac:dyDescent="0.3">
      <c r="B94" s="25">
        <f>IF(89&lt;='🌱 Configuração'!$F$50,89,"")</f>
        <v>89</v>
      </c>
      <c r="C94" s="26">
        <f>IF(89&lt;='🌱 Configuração'!$F$50,'🌱 Configuração'!$B$51+88,"")</f>
        <v>46111</v>
      </c>
      <c r="D94" s="27" t="str">
        <f>IF(89&gt;'🌱 Configuração'!$F$50,"",IF('🌱 Configuração'!$B$51+88&lt;'🌱 Configuração'!$C$51,"🌱 Clone",IF('🌱 Configuração'!$B$51+88&lt;'🌱 Configuração'!$D$51,"🌿 Vegetativo",IF('🌱 Configuração'!$B$51+88&lt;'🌱 Configuração'!$E$51,"🌸 Floração","🚿 Flush"))))</f>
        <v>🌸 Floração</v>
      </c>
      <c r="E94" s="28" t="str">
        <f>IF(89&gt;'🌱 Configuração'!$F$50,"",IF('🌱 Configuração'!$B$51+88&lt;'🌱 Configuração'!$C$51,"Clone S"&amp;INT((89-1)/7)+1,IF('🌱 Configuração'!$B$51+88&lt;'🌱 Configuração'!$D$51,"Vega S"&amp;INT(('🌱 Configuração'!$B$51+88-'🌱 Configuração'!$C$51)/7)+1,IF('🌱 Configuração'!$B$51+88&lt;'🌱 Configuração'!$E$51,"Flora S"&amp;INT(('🌱 Configuração'!$B$51+88-'🌱 Configuração'!$D$51)/7)+1,"Flush S"&amp;INT(('🌱 Configuração'!$B$51+88-'🌱 Configuração'!$E$51)/7)+1))))</f>
        <v>Flora S5</v>
      </c>
      <c r="F94" s="29" t="str">
        <f>IF(89&gt;'🌱 Configuração'!$F$50,"",IF(AND('🌱 Configuração'!$B$51+88&lt;'🌱 Configuração'!$C$51,INT((89-1)/7)+1=1,MOD(89-1,7)=0),"🌱 Enraizador (0.5 mL/L)",IF(AND('🌱 Configuração'!$B$51+88&lt;'🌱 Configuração'!$C$51,INT((89-1)/7)+1=2,MOD(89-1,7)=0),"🌱 Enraizador + Vitamina B1",IF(AND('🌱 Configuração'!$B$51+88&gt;='🌱 Configuração'!$C$51,'🌱 Configuração'!$B$51+88&lt;'🌱 Configuração'!$D$51,INT(('🌱 Configuração'!$B$51+88-'🌱 Configuração'!$C$51)/7)+1=1,MOD('🌱 Configuração'!$B$51+88-'🌱 Configuração'!$C$51,7)=0),"🌿 Grow A+B início — EC 0.8",IF(AND('🌱 Configuração'!$B$51+88&gt;='🌱 Configuração'!$C$51,'🌱 Configuração'!$B$51+88&lt;'🌱 Configuração'!$D$51,INT(('🌱 Configuração'!$B$51+88-'🌱 Configuração'!$C$51)/7)+1=2,MOD('🌱 Configuração'!$B$51+88-'🌱 Configuração'!$C$51,7)=0),"🌿 Grow A+B + CalMag — EC 1.0",IF(AND('🌱 Configuração'!$B$51+88&gt;='🌱 Configuração'!$C$51,'🌱 Configuração'!$B$51+88&lt;'🌱 Configuração'!$D$51,INT(('🌱 Configuração'!$B$51+88-'🌱 Configuração'!$C$51)/7)+1=3,MOD('🌱 Configuração'!$B$51+88-'🌱 Configuração'!$C$51,7)=0),"🌿 Grow A+B + CalMag — EC 1.2",IF(AND('🌱 Configuração'!$B$51+88&gt;='🌱 Configuração'!$C$51,'🌱 Configuração'!$B$51+88&lt;'🌱 Configuração'!$D$51,INT(('🌱 Configuração'!$B$51+88-'🌱 Configuração'!$C$51)/7)+1=4,MOD('🌱 Configuração'!$B$51+88-'🌱 Configuração'!$C$51,7)=0),"🌿 Grow A+B + Enzimas — EC 1.4",IF(AND('🌱 Configuração'!$B$51+88&gt;='🌱 Configuração'!$C$51,'🌱 Configuração'!$B$51+88&lt;'🌱 Configuração'!$D$51,INT(('🌱 Configuração'!$B$51+88-'🌱 Configuração'!$C$51)/7)+1=5,MOD('🌱 Configuração'!$B$51+88-'🌱 Configuração'!$C$51,7)=0),"🌿 Grow A+B + Biorrizas — EC 1.5",IF(AND('🌱 Configuração'!$B$51+88&gt;='🌱 Configuração'!$C$51,'🌱 Configuração'!$B$51+88&lt;'🌱 Configuração'!$D$51,INT(('🌱 Configuração'!$B$51+88-'🌱 Configuração'!$C$51)/7)+1=6,MOD('🌱 Configuração'!$B$51+88-'🌱 Configuração'!$C$51,7)=0),"🌿 Transição Bloom — EC 1.4",IF(AND('🌱 Configuração'!$B$51+88&gt;='🌱 Configuração'!$C$51,'🌱 Configuração'!$B$51+88&lt;'🌱 Configuração'!$D$51,INT(('🌱 Configuração'!$B$51+88-'🌱 Configuração'!$C$51)/7)+1=7,MOD('🌱 Configuração'!$B$51+88-'🌱 Configuração'!$C$51,7)=0),"🌿 Bloom A+B transição — EC 1.4",IF(AND('🌱 Configuração'!$B$51+88&gt;='🌱 Configuração'!$C$51,'🌱 Configuração'!$B$51+88&lt;'🌱 Configuração'!$D$51,INT(('🌱 Configuração'!$B$51+88-'🌱 Configuração'!$C$51)/7)+1=8,MOD('🌱 Configuração'!$B$51+88-'🌱 Configuração'!$C$51,7)=0),"🌿 Bloom A+B — EC 1.4",IF(AND('🌱 Configuração'!$B$51+88&gt;='🌱 Configuração'!$D$51,'🌱 Configuração'!$B$51+88&lt;'🌱 Configuração'!$E$51,INT(('🌱 Configuração'!$B$51+88-'🌱 Configuração'!$D$51)/7)+1=1,MOD('🌱 Configuração'!$B$51+88-'🌱 Configuração'!$D$51,7)=0),"🌸 Bloom A+B — EC 1.6",IF(AND('🌱 Configuração'!$B$51+88&gt;='🌱 Configuração'!$D$51,'🌱 Configuração'!$B$51+88&lt;'🌱 Configuração'!$E$51,INT(('🌱 Configuração'!$B$51+88-'🌱 Configuração'!$D$51)/7)+1=2,MOD('🌱 Configuração'!$B$51+88-'🌱 Configuração'!$D$51,7)=0),"🌸 Bloom + PK 13/14 início",IF(AND('🌱 Configuração'!$B$51+88&gt;='🌱 Configuração'!$D$51,'🌱 Configuração'!$B$51+88&lt;'🌱 Configuração'!$E$51,INT(('🌱 Configuração'!$B$51+88-'🌱 Configuração'!$D$51)/7)+1=3,MOD('🌱 Configuração'!$B$51+88-'🌱 Configuração'!$D$51,7)=0),"🌸 Bloom + PK + CalMag — EC 1.8",IF(AND('🌱 Configuração'!$B$51+88&gt;='🌱 Configuração'!$D$51,'🌱 Configuração'!$B$51+88&lt;'🌱 Configuração'!$E$51,INT(('🌱 Configuração'!$B$51+88-'🌱 Configuração'!$D$51)/7)+1=4,MOD('🌱 Configuração'!$B$51+88-'🌱 Configuração'!$D$51,7)=0),"🌸 Bloom + PK + Boost Floral — EC 2.0",IF(AND('🌱 Configuração'!$B$51+88&gt;='🌱 Configuração'!$D$51,'🌱 Configuração'!$B$51+88&lt;'🌱 Configuração'!$E$51,INT(('🌱 Configuração'!$B$51+88-'🌱 Configuração'!$D$51)/7)+1=5,MOD('🌱 Configuração'!$B$51+88-'🌱 Configuração'!$D$51,7)=0),"🌸 Bloom + Boost + Amino",IF(AND('🌱 Configuração'!$B$51+88&gt;='🌱 Configuração'!$D$51,'🌱 Configuração'!$B$51+88&lt;'🌱 Configuração'!$E$51,INT(('🌱 Configuração'!$B$51+88-'🌱 Configuração'!$D$51)/7)+1=6,MOD('🌱 Configuração'!$B$51+88-'🌱 Configuração'!$D$51,7)=0),"🌸 Bloom + Enzimas + Amino",IF(AND('🌱 Configuração'!$B$51+88&gt;='🌱 Configuração'!$D$51,'🌱 Configuração'!$B$51+88&lt;'🌱 Configuração'!$E$51,INT(('🌱 Configuração'!$B$51+88-'🌱 Configuração'!$D$51)/7)+1=7,MOD('🌱 Configuração'!$B$51+88-'🌱 Configuração'!$D$51,7)=0),"🌸 Reduzir N — Bloom puro — EC 1.6",IF(AND('🌱 Configuração'!$B$51+88&gt;='🌱 Configuração'!$D$51,'🌱 Configuração'!$B$51+88&lt;'🌱 Configuração'!$E$51,INT(('🌱 Configuração'!$B$51+88-'🌱 Configuração'!$D$51)/7)+1=8,MOD('🌱 Configuração'!$B$51+88-'🌱 Configuração'!$D$51,7)=0),"🌸 Bloom puro — EC 1.4  (pré-flush)",IF(AND('🌱 Configuração'!$B$51+88&gt;='🌱 Configuração'!$D$51,'🌱 Configuração'!$B$51+88&lt;'🌱 Configuração'!$E$51,INT(('🌱 Configuração'!$B$51+88-'🌱 Configuração'!$D$51)/7)+1=9,MOD('🌱 Configuração'!$B$51+88-'🌱 Configuração'!$D$51,7)=0),"🌸 Último Bloom — EC 0.8",IF(AND('🌱 Configuração'!$B$51+88&gt;='🌱 Configuração'!$E$51,INT(('🌱 Configuração'!$B$51+88-'🌱 Configuração'!$E$51)/7)+1=1,MOD('🌱 Configuração'!$B$51+88-'🌱 Configuração'!$E$51,7)=0),"🚿 Água pura + Enzimas (EC &lt; 0.3)",IF(AND('🌱 Configuração'!$B$51+88&gt;='🌱 Configuração'!$E$51,INT(('🌱 Configuração'!$B$51+88-'🌱 Configuração'!$E$51)/7)+1=2,MOD('🌱 Configuração'!$B$51+88-'🌱 Configuração'!$E$51,7)=0),"🚿 Água pura (EC &lt; 0.2)",""))))))))))))))))))))))</f>
        <v/>
      </c>
      <c r="G94" s="30" t="str">
        <f>IF(89&gt;'🌱 Configuração'!$F$50,"",IF(AND('🌱 Configuração'!$B$51+88&lt;'🌱 Configuração'!$C$51,INT((89-1)/7)+1=1,MOD(89-1,7)=0),"🐛 Nim 2mL/L foliar — preventivo",IF(AND('🌱 Configuração'!$B$51+88&lt;'🌱 Configuração'!$C$51,INT((89-1)/7)+1=2,MOD(89-1,7)=0),"🐛 Beauveria bassiana foliar + solo",IF(AND('🌱 Configuração'!$B$51+88&gt;='🌱 Configuração'!$C$51,'🌱 Configuração'!$B$51+88&lt;'🌱 Configuração'!$D$51,INT(('🌱 Configuração'!$B$51+88-'🌱 Configuração'!$C$51)/7)+1=1,MOD('🌱 Configuração'!$B$51+88-'🌱 Configuração'!$C$51,7)=0),"🐛 Nim 2mL/L foliar",IF(AND('🌱 Configuração'!$B$51+88&gt;='🌱 Configuração'!$C$51,'🌱 Configuração'!$B$51+88&lt;'🌱 Configuração'!$D$51,INT(('🌱 Configuração'!$B$51+88-'🌱 Configuração'!$C$51)/7)+1=2,MOD('🌱 Configuração'!$B$51+88-'🌱 Configuração'!$C$51,7)=0),"🐛 Beauveria bassiana foliar",IF(AND('🌱 Configuração'!$B$51+88&gt;='🌱 Configuração'!$C$51,'🌱 Configuração'!$B$51+88&lt;'🌱 Configuração'!$D$51,INT(('🌱 Configuração'!$B$51+88-'🌱 Configuração'!$C$51)/7)+1=3,MOD('🌱 Configuração'!$B$51+88-'🌱 Configuração'!$C$51,7)=0),"🐛 Nim + Calda Sulfocálcica 1%",IF(AND('🌱 Configuração'!$B$51+88&gt;='🌱 Configuração'!$C$51,'🌱 Configuração'!$B$51+88&lt;'🌱 Configuração'!$D$51,INT(('🌱 Configuração'!$B$51+88-'🌱 Configuração'!$C$51)/7)+1=4,MOD('🌱 Configuração'!$B$51+88-'🌱 Configuração'!$C$51,7)=0),"🐛 Trichoderma solo + Beauveria",IF(AND('🌱 Configuração'!$B$51+88&gt;='🌱 Configuração'!$C$51,'🌱 Configuração'!$B$51+88&lt;'🌱 Configuração'!$D$51,INT(('🌱 Configuração'!$B$51+88-'🌱 Configuração'!$C$51)/7)+1=5,MOD('🌱 Configuração'!$B$51+88-'🌱 Configuração'!$C$51,7)=0),"🐛 Calda Bordalesa 0.5% foliar",IF(AND('🌱 Configuração'!$B$51+88&gt;='🌱 Configuração'!$C$51,'🌱 Configuração'!$B$51+88&lt;'🌱 Configuração'!$D$51,INT(('🌱 Configuração'!$B$51+88-'🌱 Configuração'!$C$51)/7)+1=6,MOD('🌱 Configuração'!$B$51+88-'🌱 Configuração'!$C$51,7)=0),"🐛 Nim 2mL/L — ÚLTIMA foliar",IF(AND('🌱 Configuração'!$B$51+88&gt;='🌱 Configuração'!$D$51,'🌱 Configuração'!$B$51+88&lt;'🌱 Configuração'!$E$51,INT(('🌱 Configuração'!$B$51+88-'🌱 Configuração'!$D$51)/7)+1=1,MOD('🌱 Configuração'!$B$51+88-'🌱 Configuração'!$D$51,7)=0),"🐛 Beauveria bassiana solo (sem foliar)",IF(AND('🌱 Configuração'!$B$51+88&gt;='🌱 Configuração'!$D$51,'🌱 Configuração'!$B$51+88&lt;'🌱 Configuração'!$E$51,INT(('🌱 Configuração'!$B$51+88-'🌱 Configuração'!$D$51)/7)+1=2,MOD('🌱 Configuração'!$B$51+88-'🌱 Configuração'!$D$51,7)=0),"🐛 Trichoderma solo",IF(AND('🌱 Configuração'!$B$51+88&gt;='🌱 Configuração'!$D$51,'🌱 Configuração'!$B$51+88&lt;'🌱 Configuração'!$E$51,INT(('🌱 Configuração'!$B$51+88-'🌱 Configuração'!$D$51)/7)+1=3,MOD('🌱 Configuração'!$B$51+88-'🌱 Configuração'!$D$51,7)=0),"🐛 Beauveria bassiana solo",IF(AND('🌱 Configuração'!$B$51+88&gt;='🌱 Configuração'!$D$51,'🌱 Configuração'!$B$51+88&lt;'🌱 Configuração'!$E$51,INT(('🌱 Configuração'!$B$51+88-'🌱 Configuração'!$D$51)/7)+1=4,MOD('🌱 Configuração'!$B$51+88-'🌱 Configuração'!$D$51,7)=0),"🐛 Trichoderma solo",IF(AND('🌱 Configuração'!$B$51+88&gt;='🌱 Configuração'!$E$51,INT(('🌱 Configuração'!$B$51+88-'🌱 Configuração'!$E$51)/7)+1=1,MOD('🌱 Configuração'!$B$51+88-'🌱 Configuração'!$E$51,7)=0),"🐛 Inspeção final — sem aplicação",""))))))))))))))</f>
        <v/>
      </c>
      <c r="H94" s="22" t="str">
        <f>IF(89&gt;'🌱 Configuração'!$F$50,"",IF('🌱 Configuração'!$B$51+88='🌱 Configuração'!$C$51,"🌿 INÍCIO VEGA — ajustar espaço, luz 18h/dia — EC 0.8",IF('🌱 Configuração'!$B$51+88='🌱 Configuração'!$D$51,"🌸 INÍCIO FLORAÇÃO — mudar para 12h/12h — 🔴 atenção ao fotoperíodo",IF('🌱 Configuração'!$B$51+88='🌱 Configuração'!$E$51,"🚿 INÍCIO FLUSH — PARAR nutrição, somente água pura",IF('🌱 Configuração'!$B$51+88='🌱 Configuração'!$F$51-1,"🔬 Véspera da colheita — analisar tricomas âmbar",IF('🌱 Configuração'!$B$51+88='🌱 Configuração'!$F$51,"✂️ COLHEITA! Parabéns! 🎉",""))))))</f>
        <v/>
      </c>
    </row>
    <row r="95" spans="2:8" ht="18.75" customHeight="1" x14ac:dyDescent="0.3">
      <c r="B95" s="25">
        <f>IF(90&lt;='🌱 Configuração'!$F$50,90,"")</f>
        <v>90</v>
      </c>
      <c r="C95" s="26">
        <f>IF(90&lt;='🌱 Configuração'!$F$50,'🌱 Configuração'!$B$51+89,"")</f>
        <v>46112</v>
      </c>
      <c r="D95" s="27" t="str">
        <f>IF(90&gt;'🌱 Configuração'!$F$50,"",IF('🌱 Configuração'!$B$51+89&lt;'🌱 Configuração'!$C$51,"🌱 Clone",IF('🌱 Configuração'!$B$51+89&lt;'🌱 Configuração'!$D$51,"🌿 Vegetativo",IF('🌱 Configuração'!$B$51+89&lt;'🌱 Configuração'!$E$51,"🌸 Floração","🚿 Flush"))))</f>
        <v>🌸 Floração</v>
      </c>
      <c r="E95" s="28" t="str">
        <f>IF(90&gt;'🌱 Configuração'!$F$50,"",IF('🌱 Configuração'!$B$51+89&lt;'🌱 Configuração'!$C$51,"Clone S"&amp;INT((90-1)/7)+1,IF('🌱 Configuração'!$B$51+89&lt;'🌱 Configuração'!$D$51,"Vega S"&amp;INT(('🌱 Configuração'!$B$51+89-'🌱 Configuração'!$C$51)/7)+1,IF('🌱 Configuração'!$B$51+89&lt;'🌱 Configuração'!$E$51,"Flora S"&amp;INT(('🌱 Configuração'!$B$51+89-'🌱 Configuração'!$D$51)/7)+1,"Flush S"&amp;INT(('🌱 Configuração'!$B$51+89-'🌱 Configuração'!$E$51)/7)+1))))</f>
        <v>Flora S5</v>
      </c>
      <c r="F95" s="29" t="str">
        <f>IF(90&gt;'🌱 Configuração'!$F$50,"",IF(AND('🌱 Configuração'!$B$51+89&lt;'🌱 Configuração'!$C$51,INT((90-1)/7)+1=1,MOD(90-1,7)=0),"🌱 Enraizador (0.5 mL/L)",IF(AND('🌱 Configuração'!$B$51+89&lt;'🌱 Configuração'!$C$51,INT((90-1)/7)+1=2,MOD(90-1,7)=0),"🌱 Enraizador + Vitamina B1",IF(AND('🌱 Configuração'!$B$51+89&gt;='🌱 Configuração'!$C$51,'🌱 Configuração'!$B$51+89&lt;'🌱 Configuração'!$D$51,INT(('🌱 Configuração'!$B$51+89-'🌱 Configuração'!$C$51)/7)+1=1,MOD('🌱 Configuração'!$B$51+89-'🌱 Configuração'!$C$51,7)=0),"🌿 Grow A+B início — EC 0.8",IF(AND('🌱 Configuração'!$B$51+89&gt;='🌱 Configuração'!$C$51,'🌱 Configuração'!$B$51+89&lt;'🌱 Configuração'!$D$51,INT(('🌱 Configuração'!$B$51+89-'🌱 Configuração'!$C$51)/7)+1=2,MOD('🌱 Configuração'!$B$51+89-'🌱 Configuração'!$C$51,7)=0),"🌿 Grow A+B + CalMag — EC 1.0",IF(AND('🌱 Configuração'!$B$51+89&gt;='🌱 Configuração'!$C$51,'🌱 Configuração'!$B$51+89&lt;'🌱 Configuração'!$D$51,INT(('🌱 Configuração'!$B$51+89-'🌱 Configuração'!$C$51)/7)+1=3,MOD('🌱 Configuração'!$B$51+89-'🌱 Configuração'!$C$51,7)=0),"🌿 Grow A+B + CalMag — EC 1.2",IF(AND('🌱 Configuração'!$B$51+89&gt;='🌱 Configuração'!$C$51,'🌱 Configuração'!$B$51+89&lt;'🌱 Configuração'!$D$51,INT(('🌱 Configuração'!$B$51+89-'🌱 Configuração'!$C$51)/7)+1=4,MOD('🌱 Configuração'!$B$51+89-'🌱 Configuração'!$C$51,7)=0),"🌿 Grow A+B + Enzimas — EC 1.4",IF(AND('🌱 Configuração'!$B$51+89&gt;='🌱 Configuração'!$C$51,'🌱 Configuração'!$B$51+89&lt;'🌱 Configuração'!$D$51,INT(('🌱 Configuração'!$B$51+89-'🌱 Configuração'!$C$51)/7)+1=5,MOD('🌱 Configuração'!$B$51+89-'🌱 Configuração'!$C$51,7)=0),"🌿 Grow A+B + Biorrizas — EC 1.5",IF(AND('🌱 Configuração'!$B$51+89&gt;='🌱 Configuração'!$C$51,'🌱 Configuração'!$B$51+89&lt;'🌱 Configuração'!$D$51,INT(('🌱 Configuração'!$B$51+89-'🌱 Configuração'!$C$51)/7)+1=6,MOD('🌱 Configuração'!$B$51+89-'🌱 Configuração'!$C$51,7)=0),"🌿 Transição Bloom — EC 1.4",IF(AND('🌱 Configuração'!$B$51+89&gt;='🌱 Configuração'!$C$51,'🌱 Configuração'!$B$51+89&lt;'🌱 Configuração'!$D$51,INT(('🌱 Configuração'!$B$51+89-'🌱 Configuração'!$C$51)/7)+1=7,MOD('🌱 Configuração'!$B$51+89-'🌱 Configuração'!$C$51,7)=0),"🌿 Bloom A+B transição — EC 1.4",IF(AND('🌱 Configuração'!$B$51+89&gt;='🌱 Configuração'!$C$51,'🌱 Configuração'!$B$51+89&lt;'🌱 Configuração'!$D$51,INT(('🌱 Configuração'!$B$51+89-'🌱 Configuração'!$C$51)/7)+1=8,MOD('🌱 Configuração'!$B$51+89-'🌱 Configuração'!$C$51,7)=0),"🌿 Bloom A+B — EC 1.4",IF(AND('🌱 Configuração'!$B$51+89&gt;='🌱 Configuração'!$D$51,'🌱 Configuração'!$B$51+89&lt;'🌱 Configuração'!$E$51,INT(('🌱 Configuração'!$B$51+89-'🌱 Configuração'!$D$51)/7)+1=1,MOD('🌱 Configuração'!$B$51+89-'🌱 Configuração'!$D$51,7)=0),"🌸 Bloom A+B — EC 1.6",IF(AND('🌱 Configuração'!$B$51+89&gt;='🌱 Configuração'!$D$51,'🌱 Configuração'!$B$51+89&lt;'🌱 Configuração'!$E$51,INT(('🌱 Configuração'!$B$51+89-'🌱 Configuração'!$D$51)/7)+1=2,MOD('🌱 Configuração'!$B$51+89-'🌱 Configuração'!$D$51,7)=0),"🌸 Bloom + PK 13/14 início",IF(AND('🌱 Configuração'!$B$51+89&gt;='🌱 Configuração'!$D$51,'🌱 Configuração'!$B$51+89&lt;'🌱 Configuração'!$E$51,INT(('🌱 Configuração'!$B$51+89-'🌱 Configuração'!$D$51)/7)+1=3,MOD('🌱 Configuração'!$B$51+89-'🌱 Configuração'!$D$51,7)=0),"🌸 Bloom + PK + CalMag — EC 1.8",IF(AND('🌱 Configuração'!$B$51+89&gt;='🌱 Configuração'!$D$51,'🌱 Configuração'!$B$51+89&lt;'🌱 Configuração'!$E$51,INT(('🌱 Configuração'!$B$51+89-'🌱 Configuração'!$D$51)/7)+1=4,MOD('🌱 Configuração'!$B$51+89-'🌱 Configuração'!$D$51,7)=0),"🌸 Bloom + PK + Boost Floral — EC 2.0",IF(AND('🌱 Configuração'!$B$51+89&gt;='🌱 Configuração'!$D$51,'🌱 Configuração'!$B$51+89&lt;'🌱 Configuração'!$E$51,INT(('🌱 Configuração'!$B$51+89-'🌱 Configuração'!$D$51)/7)+1=5,MOD('🌱 Configuração'!$B$51+89-'🌱 Configuração'!$D$51,7)=0),"🌸 Bloom + Boost + Amino",IF(AND('🌱 Configuração'!$B$51+89&gt;='🌱 Configuração'!$D$51,'🌱 Configuração'!$B$51+89&lt;'🌱 Configuração'!$E$51,INT(('🌱 Configuração'!$B$51+89-'🌱 Configuração'!$D$51)/7)+1=6,MOD('🌱 Configuração'!$B$51+89-'🌱 Configuração'!$D$51,7)=0),"🌸 Bloom + Enzimas + Amino",IF(AND('🌱 Configuração'!$B$51+89&gt;='🌱 Configuração'!$D$51,'🌱 Configuração'!$B$51+89&lt;'🌱 Configuração'!$E$51,INT(('🌱 Configuração'!$B$51+89-'🌱 Configuração'!$D$51)/7)+1=7,MOD('🌱 Configuração'!$B$51+89-'🌱 Configuração'!$D$51,7)=0),"🌸 Reduzir N — Bloom puro — EC 1.6",IF(AND('🌱 Configuração'!$B$51+89&gt;='🌱 Configuração'!$D$51,'🌱 Configuração'!$B$51+89&lt;'🌱 Configuração'!$E$51,INT(('🌱 Configuração'!$B$51+89-'🌱 Configuração'!$D$51)/7)+1=8,MOD('🌱 Configuração'!$B$51+89-'🌱 Configuração'!$D$51,7)=0),"🌸 Bloom puro — EC 1.4  (pré-flush)",IF(AND('🌱 Configuração'!$B$51+89&gt;='🌱 Configuração'!$D$51,'🌱 Configuração'!$B$51+89&lt;'🌱 Configuração'!$E$51,INT(('🌱 Configuração'!$B$51+89-'🌱 Configuração'!$D$51)/7)+1=9,MOD('🌱 Configuração'!$B$51+89-'🌱 Configuração'!$D$51,7)=0),"🌸 Último Bloom — EC 0.8",IF(AND('🌱 Configuração'!$B$51+89&gt;='🌱 Configuração'!$E$51,INT(('🌱 Configuração'!$B$51+89-'🌱 Configuração'!$E$51)/7)+1=1,MOD('🌱 Configuração'!$B$51+89-'🌱 Configuração'!$E$51,7)=0),"🚿 Água pura + Enzimas (EC &lt; 0.3)",IF(AND('🌱 Configuração'!$B$51+89&gt;='🌱 Configuração'!$E$51,INT(('🌱 Configuração'!$B$51+89-'🌱 Configuração'!$E$51)/7)+1=2,MOD('🌱 Configuração'!$B$51+89-'🌱 Configuração'!$E$51,7)=0),"🚿 Água pura (EC &lt; 0.2)",""))))))))))))))))))))))</f>
        <v/>
      </c>
      <c r="G95" s="30" t="str">
        <f>IF(90&gt;'🌱 Configuração'!$F$50,"",IF(AND('🌱 Configuração'!$B$51+89&lt;'🌱 Configuração'!$C$51,INT((90-1)/7)+1=1,MOD(90-1,7)=0),"🐛 Nim 2mL/L foliar — preventivo",IF(AND('🌱 Configuração'!$B$51+89&lt;'🌱 Configuração'!$C$51,INT((90-1)/7)+1=2,MOD(90-1,7)=0),"🐛 Beauveria bassiana foliar + solo",IF(AND('🌱 Configuração'!$B$51+89&gt;='🌱 Configuração'!$C$51,'🌱 Configuração'!$B$51+89&lt;'🌱 Configuração'!$D$51,INT(('🌱 Configuração'!$B$51+89-'🌱 Configuração'!$C$51)/7)+1=1,MOD('🌱 Configuração'!$B$51+89-'🌱 Configuração'!$C$51,7)=0),"🐛 Nim 2mL/L foliar",IF(AND('🌱 Configuração'!$B$51+89&gt;='🌱 Configuração'!$C$51,'🌱 Configuração'!$B$51+89&lt;'🌱 Configuração'!$D$51,INT(('🌱 Configuração'!$B$51+89-'🌱 Configuração'!$C$51)/7)+1=2,MOD('🌱 Configuração'!$B$51+89-'🌱 Configuração'!$C$51,7)=0),"🐛 Beauveria bassiana foliar",IF(AND('🌱 Configuração'!$B$51+89&gt;='🌱 Configuração'!$C$51,'🌱 Configuração'!$B$51+89&lt;'🌱 Configuração'!$D$51,INT(('🌱 Configuração'!$B$51+89-'🌱 Configuração'!$C$51)/7)+1=3,MOD('🌱 Configuração'!$B$51+89-'🌱 Configuração'!$C$51,7)=0),"🐛 Nim + Calda Sulfocálcica 1%",IF(AND('🌱 Configuração'!$B$51+89&gt;='🌱 Configuração'!$C$51,'🌱 Configuração'!$B$51+89&lt;'🌱 Configuração'!$D$51,INT(('🌱 Configuração'!$B$51+89-'🌱 Configuração'!$C$51)/7)+1=4,MOD('🌱 Configuração'!$B$51+89-'🌱 Configuração'!$C$51,7)=0),"🐛 Trichoderma solo + Beauveria",IF(AND('🌱 Configuração'!$B$51+89&gt;='🌱 Configuração'!$C$51,'🌱 Configuração'!$B$51+89&lt;'🌱 Configuração'!$D$51,INT(('🌱 Configuração'!$B$51+89-'🌱 Configuração'!$C$51)/7)+1=5,MOD('🌱 Configuração'!$B$51+89-'🌱 Configuração'!$C$51,7)=0),"🐛 Calda Bordalesa 0.5% foliar",IF(AND('🌱 Configuração'!$B$51+89&gt;='🌱 Configuração'!$C$51,'🌱 Configuração'!$B$51+89&lt;'🌱 Configuração'!$D$51,INT(('🌱 Configuração'!$B$51+89-'🌱 Configuração'!$C$51)/7)+1=6,MOD('🌱 Configuração'!$B$51+89-'🌱 Configuração'!$C$51,7)=0),"🐛 Nim 2mL/L — ÚLTIMA foliar",IF(AND('🌱 Configuração'!$B$51+89&gt;='🌱 Configuração'!$D$51,'🌱 Configuração'!$B$51+89&lt;'🌱 Configuração'!$E$51,INT(('🌱 Configuração'!$B$51+89-'🌱 Configuração'!$D$51)/7)+1=1,MOD('🌱 Configuração'!$B$51+89-'🌱 Configuração'!$D$51,7)=0),"🐛 Beauveria bassiana solo (sem foliar)",IF(AND('🌱 Configuração'!$B$51+89&gt;='🌱 Configuração'!$D$51,'🌱 Configuração'!$B$51+89&lt;'🌱 Configuração'!$E$51,INT(('🌱 Configuração'!$B$51+89-'🌱 Configuração'!$D$51)/7)+1=2,MOD('🌱 Configuração'!$B$51+89-'🌱 Configuração'!$D$51,7)=0),"🐛 Trichoderma solo",IF(AND('🌱 Configuração'!$B$51+89&gt;='🌱 Configuração'!$D$51,'🌱 Configuração'!$B$51+89&lt;'🌱 Configuração'!$E$51,INT(('🌱 Configuração'!$B$51+89-'🌱 Configuração'!$D$51)/7)+1=3,MOD('🌱 Configuração'!$B$51+89-'🌱 Configuração'!$D$51,7)=0),"🐛 Beauveria bassiana solo",IF(AND('🌱 Configuração'!$B$51+89&gt;='🌱 Configuração'!$D$51,'🌱 Configuração'!$B$51+89&lt;'🌱 Configuração'!$E$51,INT(('🌱 Configuração'!$B$51+89-'🌱 Configuração'!$D$51)/7)+1=4,MOD('🌱 Configuração'!$B$51+89-'🌱 Configuração'!$D$51,7)=0),"🐛 Trichoderma solo",IF(AND('🌱 Configuração'!$B$51+89&gt;='🌱 Configuração'!$E$51,INT(('🌱 Configuração'!$B$51+89-'🌱 Configuração'!$E$51)/7)+1=1,MOD('🌱 Configuração'!$B$51+89-'🌱 Configuração'!$E$51,7)=0),"🐛 Inspeção final — sem aplicação",""))))))))))))))</f>
        <v/>
      </c>
      <c r="H95" s="22" t="str">
        <f>IF(90&gt;'🌱 Configuração'!$F$50,"",IF('🌱 Configuração'!$B$51+89='🌱 Configuração'!$C$51,"🌿 INÍCIO VEGA — ajustar espaço, luz 18h/dia — EC 0.8",IF('🌱 Configuração'!$B$51+89='🌱 Configuração'!$D$51,"🌸 INÍCIO FLORAÇÃO — mudar para 12h/12h — 🔴 atenção ao fotoperíodo",IF('🌱 Configuração'!$B$51+89='🌱 Configuração'!$E$51,"🚿 INÍCIO FLUSH — PARAR nutrição, somente água pura",IF('🌱 Configuração'!$B$51+89='🌱 Configuração'!$F$51-1,"🔬 Véspera da colheita — analisar tricomas âmbar",IF('🌱 Configuração'!$B$51+89='🌱 Configuração'!$F$51,"✂️ COLHEITA! Parabéns! 🎉",""))))))</f>
        <v/>
      </c>
    </row>
    <row r="96" spans="2:8" ht="18.75" customHeight="1" x14ac:dyDescent="0.3">
      <c r="B96" s="25">
        <f>IF(91&lt;='🌱 Configuração'!$F$50,91,"")</f>
        <v>91</v>
      </c>
      <c r="C96" s="26">
        <f>IF(91&lt;='🌱 Configuração'!$F$50,'🌱 Configuração'!$B$51+90,"")</f>
        <v>46113</v>
      </c>
      <c r="D96" s="27" t="str">
        <f>IF(91&gt;'🌱 Configuração'!$F$50,"",IF('🌱 Configuração'!$B$51+90&lt;'🌱 Configuração'!$C$51,"🌱 Clone",IF('🌱 Configuração'!$B$51+90&lt;'🌱 Configuração'!$D$51,"🌿 Vegetativo",IF('🌱 Configuração'!$B$51+90&lt;'🌱 Configuração'!$E$51,"🌸 Floração","🚿 Flush"))))</f>
        <v>🌸 Floração</v>
      </c>
      <c r="E96" s="28" t="str">
        <f>IF(91&gt;'🌱 Configuração'!$F$50,"",IF('🌱 Configuração'!$B$51+90&lt;'🌱 Configuração'!$C$51,"Clone S"&amp;INT((91-1)/7)+1,IF('🌱 Configuração'!$B$51+90&lt;'🌱 Configuração'!$D$51,"Vega S"&amp;INT(('🌱 Configuração'!$B$51+90-'🌱 Configuração'!$C$51)/7)+1,IF('🌱 Configuração'!$B$51+90&lt;'🌱 Configuração'!$E$51,"Flora S"&amp;INT(('🌱 Configuração'!$B$51+90-'🌱 Configuração'!$D$51)/7)+1,"Flush S"&amp;INT(('🌱 Configuração'!$B$51+90-'🌱 Configuração'!$E$51)/7)+1))))</f>
        <v>Flora S5</v>
      </c>
      <c r="F96" s="29" t="str">
        <f>IF(91&gt;'🌱 Configuração'!$F$50,"",IF(AND('🌱 Configuração'!$B$51+90&lt;'🌱 Configuração'!$C$51,INT((91-1)/7)+1=1,MOD(91-1,7)=0),"🌱 Enraizador (0.5 mL/L)",IF(AND('🌱 Configuração'!$B$51+90&lt;'🌱 Configuração'!$C$51,INT((91-1)/7)+1=2,MOD(91-1,7)=0),"🌱 Enraizador + Vitamina B1",IF(AND('🌱 Configuração'!$B$51+90&gt;='🌱 Configuração'!$C$51,'🌱 Configuração'!$B$51+90&lt;'🌱 Configuração'!$D$51,INT(('🌱 Configuração'!$B$51+90-'🌱 Configuração'!$C$51)/7)+1=1,MOD('🌱 Configuração'!$B$51+90-'🌱 Configuração'!$C$51,7)=0),"🌿 Grow A+B início — EC 0.8",IF(AND('🌱 Configuração'!$B$51+90&gt;='🌱 Configuração'!$C$51,'🌱 Configuração'!$B$51+90&lt;'🌱 Configuração'!$D$51,INT(('🌱 Configuração'!$B$51+90-'🌱 Configuração'!$C$51)/7)+1=2,MOD('🌱 Configuração'!$B$51+90-'🌱 Configuração'!$C$51,7)=0),"🌿 Grow A+B + CalMag — EC 1.0",IF(AND('🌱 Configuração'!$B$51+90&gt;='🌱 Configuração'!$C$51,'🌱 Configuração'!$B$51+90&lt;'🌱 Configuração'!$D$51,INT(('🌱 Configuração'!$B$51+90-'🌱 Configuração'!$C$51)/7)+1=3,MOD('🌱 Configuração'!$B$51+90-'🌱 Configuração'!$C$51,7)=0),"🌿 Grow A+B + CalMag — EC 1.2",IF(AND('🌱 Configuração'!$B$51+90&gt;='🌱 Configuração'!$C$51,'🌱 Configuração'!$B$51+90&lt;'🌱 Configuração'!$D$51,INT(('🌱 Configuração'!$B$51+90-'🌱 Configuração'!$C$51)/7)+1=4,MOD('🌱 Configuração'!$B$51+90-'🌱 Configuração'!$C$51,7)=0),"🌿 Grow A+B + Enzimas — EC 1.4",IF(AND('🌱 Configuração'!$B$51+90&gt;='🌱 Configuração'!$C$51,'🌱 Configuração'!$B$51+90&lt;'🌱 Configuração'!$D$51,INT(('🌱 Configuração'!$B$51+90-'🌱 Configuração'!$C$51)/7)+1=5,MOD('🌱 Configuração'!$B$51+90-'🌱 Configuração'!$C$51,7)=0),"🌿 Grow A+B + Biorrizas — EC 1.5",IF(AND('🌱 Configuração'!$B$51+90&gt;='🌱 Configuração'!$C$51,'🌱 Configuração'!$B$51+90&lt;'🌱 Configuração'!$D$51,INT(('🌱 Configuração'!$B$51+90-'🌱 Configuração'!$C$51)/7)+1=6,MOD('🌱 Configuração'!$B$51+90-'🌱 Configuração'!$C$51,7)=0),"🌿 Transição Bloom — EC 1.4",IF(AND('🌱 Configuração'!$B$51+90&gt;='🌱 Configuração'!$C$51,'🌱 Configuração'!$B$51+90&lt;'🌱 Configuração'!$D$51,INT(('🌱 Configuração'!$B$51+90-'🌱 Configuração'!$C$51)/7)+1=7,MOD('🌱 Configuração'!$B$51+90-'🌱 Configuração'!$C$51,7)=0),"🌿 Bloom A+B transição — EC 1.4",IF(AND('🌱 Configuração'!$B$51+90&gt;='🌱 Configuração'!$C$51,'🌱 Configuração'!$B$51+90&lt;'🌱 Configuração'!$D$51,INT(('🌱 Configuração'!$B$51+90-'🌱 Configuração'!$C$51)/7)+1=8,MOD('🌱 Configuração'!$B$51+90-'🌱 Configuração'!$C$51,7)=0),"🌿 Bloom A+B — EC 1.4",IF(AND('🌱 Configuração'!$B$51+90&gt;='🌱 Configuração'!$D$51,'🌱 Configuração'!$B$51+90&lt;'🌱 Configuração'!$E$51,INT(('🌱 Configuração'!$B$51+90-'🌱 Configuração'!$D$51)/7)+1=1,MOD('🌱 Configuração'!$B$51+90-'🌱 Configuração'!$D$51,7)=0),"🌸 Bloom A+B — EC 1.6",IF(AND('🌱 Configuração'!$B$51+90&gt;='🌱 Configuração'!$D$51,'🌱 Configuração'!$B$51+90&lt;'🌱 Configuração'!$E$51,INT(('🌱 Configuração'!$B$51+90-'🌱 Configuração'!$D$51)/7)+1=2,MOD('🌱 Configuração'!$B$51+90-'🌱 Configuração'!$D$51,7)=0),"🌸 Bloom + PK 13/14 início",IF(AND('🌱 Configuração'!$B$51+90&gt;='🌱 Configuração'!$D$51,'🌱 Configuração'!$B$51+90&lt;'🌱 Configuração'!$E$51,INT(('🌱 Configuração'!$B$51+90-'🌱 Configuração'!$D$51)/7)+1=3,MOD('🌱 Configuração'!$B$51+90-'🌱 Configuração'!$D$51,7)=0),"🌸 Bloom + PK + CalMag — EC 1.8",IF(AND('🌱 Configuração'!$B$51+90&gt;='🌱 Configuração'!$D$51,'🌱 Configuração'!$B$51+90&lt;'🌱 Configuração'!$E$51,INT(('🌱 Configuração'!$B$51+90-'🌱 Configuração'!$D$51)/7)+1=4,MOD('🌱 Configuração'!$B$51+90-'🌱 Configuração'!$D$51,7)=0),"🌸 Bloom + PK + Boost Floral — EC 2.0",IF(AND('🌱 Configuração'!$B$51+90&gt;='🌱 Configuração'!$D$51,'🌱 Configuração'!$B$51+90&lt;'🌱 Configuração'!$E$51,INT(('🌱 Configuração'!$B$51+90-'🌱 Configuração'!$D$51)/7)+1=5,MOD('🌱 Configuração'!$B$51+90-'🌱 Configuração'!$D$51,7)=0),"🌸 Bloom + Boost + Amino",IF(AND('🌱 Configuração'!$B$51+90&gt;='🌱 Configuração'!$D$51,'🌱 Configuração'!$B$51+90&lt;'🌱 Configuração'!$E$51,INT(('🌱 Configuração'!$B$51+90-'🌱 Configuração'!$D$51)/7)+1=6,MOD('🌱 Configuração'!$B$51+90-'🌱 Configuração'!$D$51,7)=0),"🌸 Bloom + Enzimas + Amino",IF(AND('🌱 Configuração'!$B$51+90&gt;='🌱 Configuração'!$D$51,'🌱 Configuração'!$B$51+90&lt;'🌱 Configuração'!$E$51,INT(('🌱 Configuração'!$B$51+90-'🌱 Configuração'!$D$51)/7)+1=7,MOD('🌱 Configuração'!$B$51+90-'🌱 Configuração'!$D$51,7)=0),"🌸 Reduzir N — Bloom puro — EC 1.6",IF(AND('🌱 Configuração'!$B$51+90&gt;='🌱 Configuração'!$D$51,'🌱 Configuração'!$B$51+90&lt;'🌱 Configuração'!$E$51,INT(('🌱 Configuração'!$B$51+90-'🌱 Configuração'!$D$51)/7)+1=8,MOD('🌱 Configuração'!$B$51+90-'🌱 Configuração'!$D$51,7)=0),"🌸 Bloom puro — EC 1.4  (pré-flush)",IF(AND('🌱 Configuração'!$B$51+90&gt;='🌱 Configuração'!$D$51,'🌱 Configuração'!$B$51+90&lt;'🌱 Configuração'!$E$51,INT(('🌱 Configuração'!$B$51+90-'🌱 Configuração'!$D$51)/7)+1=9,MOD('🌱 Configuração'!$B$51+90-'🌱 Configuração'!$D$51,7)=0),"🌸 Último Bloom — EC 0.8",IF(AND('🌱 Configuração'!$B$51+90&gt;='🌱 Configuração'!$E$51,INT(('🌱 Configuração'!$B$51+90-'🌱 Configuração'!$E$51)/7)+1=1,MOD('🌱 Configuração'!$B$51+90-'🌱 Configuração'!$E$51,7)=0),"🚿 Água pura + Enzimas (EC &lt; 0.3)",IF(AND('🌱 Configuração'!$B$51+90&gt;='🌱 Configuração'!$E$51,INT(('🌱 Configuração'!$B$51+90-'🌱 Configuração'!$E$51)/7)+1=2,MOD('🌱 Configuração'!$B$51+90-'🌱 Configuração'!$E$51,7)=0),"🚿 Água pura (EC &lt; 0.2)",""))))))))))))))))))))))</f>
        <v/>
      </c>
      <c r="G96" s="30" t="str">
        <f>IF(91&gt;'🌱 Configuração'!$F$50,"",IF(AND('🌱 Configuração'!$B$51+90&lt;'🌱 Configuração'!$C$51,INT((91-1)/7)+1=1,MOD(91-1,7)=0),"🐛 Nim 2mL/L foliar — preventivo",IF(AND('🌱 Configuração'!$B$51+90&lt;'🌱 Configuração'!$C$51,INT((91-1)/7)+1=2,MOD(91-1,7)=0),"🐛 Beauveria bassiana foliar + solo",IF(AND('🌱 Configuração'!$B$51+90&gt;='🌱 Configuração'!$C$51,'🌱 Configuração'!$B$51+90&lt;'🌱 Configuração'!$D$51,INT(('🌱 Configuração'!$B$51+90-'🌱 Configuração'!$C$51)/7)+1=1,MOD('🌱 Configuração'!$B$51+90-'🌱 Configuração'!$C$51,7)=0),"🐛 Nim 2mL/L foliar",IF(AND('🌱 Configuração'!$B$51+90&gt;='🌱 Configuração'!$C$51,'🌱 Configuração'!$B$51+90&lt;'🌱 Configuração'!$D$51,INT(('🌱 Configuração'!$B$51+90-'🌱 Configuração'!$C$51)/7)+1=2,MOD('🌱 Configuração'!$B$51+90-'🌱 Configuração'!$C$51,7)=0),"🐛 Beauveria bassiana foliar",IF(AND('🌱 Configuração'!$B$51+90&gt;='🌱 Configuração'!$C$51,'🌱 Configuração'!$B$51+90&lt;'🌱 Configuração'!$D$51,INT(('🌱 Configuração'!$B$51+90-'🌱 Configuração'!$C$51)/7)+1=3,MOD('🌱 Configuração'!$B$51+90-'🌱 Configuração'!$C$51,7)=0),"🐛 Nim + Calda Sulfocálcica 1%",IF(AND('🌱 Configuração'!$B$51+90&gt;='🌱 Configuração'!$C$51,'🌱 Configuração'!$B$51+90&lt;'🌱 Configuração'!$D$51,INT(('🌱 Configuração'!$B$51+90-'🌱 Configuração'!$C$51)/7)+1=4,MOD('🌱 Configuração'!$B$51+90-'🌱 Configuração'!$C$51,7)=0),"🐛 Trichoderma solo + Beauveria",IF(AND('🌱 Configuração'!$B$51+90&gt;='🌱 Configuração'!$C$51,'🌱 Configuração'!$B$51+90&lt;'🌱 Configuração'!$D$51,INT(('🌱 Configuração'!$B$51+90-'🌱 Configuração'!$C$51)/7)+1=5,MOD('🌱 Configuração'!$B$51+90-'🌱 Configuração'!$C$51,7)=0),"🐛 Calda Bordalesa 0.5% foliar",IF(AND('🌱 Configuração'!$B$51+90&gt;='🌱 Configuração'!$C$51,'🌱 Configuração'!$B$51+90&lt;'🌱 Configuração'!$D$51,INT(('🌱 Configuração'!$B$51+90-'🌱 Configuração'!$C$51)/7)+1=6,MOD('🌱 Configuração'!$B$51+90-'🌱 Configuração'!$C$51,7)=0),"🐛 Nim 2mL/L — ÚLTIMA foliar",IF(AND('🌱 Configuração'!$B$51+90&gt;='🌱 Configuração'!$D$51,'🌱 Configuração'!$B$51+90&lt;'🌱 Configuração'!$E$51,INT(('🌱 Configuração'!$B$51+90-'🌱 Configuração'!$D$51)/7)+1=1,MOD('🌱 Configuração'!$B$51+90-'🌱 Configuração'!$D$51,7)=0),"🐛 Beauveria bassiana solo (sem foliar)",IF(AND('🌱 Configuração'!$B$51+90&gt;='🌱 Configuração'!$D$51,'🌱 Configuração'!$B$51+90&lt;'🌱 Configuração'!$E$51,INT(('🌱 Configuração'!$B$51+90-'🌱 Configuração'!$D$51)/7)+1=2,MOD('🌱 Configuração'!$B$51+90-'🌱 Configuração'!$D$51,7)=0),"🐛 Trichoderma solo",IF(AND('🌱 Configuração'!$B$51+90&gt;='🌱 Configuração'!$D$51,'🌱 Configuração'!$B$51+90&lt;'🌱 Configuração'!$E$51,INT(('🌱 Configuração'!$B$51+90-'🌱 Configuração'!$D$51)/7)+1=3,MOD('🌱 Configuração'!$B$51+90-'🌱 Configuração'!$D$51,7)=0),"🐛 Beauveria bassiana solo",IF(AND('🌱 Configuração'!$B$51+90&gt;='🌱 Configuração'!$D$51,'🌱 Configuração'!$B$51+90&lt;'🌱 Configuração'!$E$51,INT(('🌱 Configuração'!$B$51+90-'🌱 Configuração'!$D$51)/7)+1=4,MOD('🌱 Configuração'!$B$51+90-'🌱 Configuração'!$D$51,7)=0),"🐛 Trichoderma solo",IF(AND('🌱 Configuração'!$B$51+90&gt;='🌱 Configuração'!$E$51,INT(('🌱 Configuração'!$B$51+90-'🌱 Configuração'!$E$51)/7)+1=1,MOD('🌱 Configuração'!$B$51+90-'🌱 Configuração'!$E$51,7)=0),"🐛 Inspeção final — sem aplicação",""))))))))))))))</f>
        <v/>
      </c>
      <c r="H96" s="22" t="str">
        <f>IF(91&gt;'🌱 Configuração'!$F$50,"",IF('🌱 Configuração'!$B$51+90='🌱 Configuração'!$C$51,"🌿 INÍCIO VEGA — ajustar espaço, luz 18h/dia — EC 0.8",IF('🌱 Configuração'!$B$51+90='🌱 Configuração'!$D$51,"🌸 INÍCIO FLORAÇÃO — mudar para 12h/12h — 🔴 atenção ao fotoperíodo",IF('🌱 Configuração'!$B$51+90='🌱 Configuração'!$E$51,"🚿 INÍCIO FLUSH — PARAR nutrição, somente água pura",IF('🌱 Configuração'!$B$51+90='🌱 Configuração'!$F$51-1,"🔬 Véspera da colheita — analisar tricomas âmbar",IF('🌱 Configuração'!$B$51+90='🌱 Configuração'!$F$51,"✂️ COLHEITA! Parabéns! 🎉",""))))))</f>
        <v/>
      </c>
    </row>
    <row r="97" spans="2:8" ht="18.75" customHeight="1" x14ac:dyDescent="0.3">
      <c r="B97" s="25">
        <f>IF(92&lt;='🌱 Configuração'!$F$50,92,"")</f>
        <v>92</v>
      </c>
      <c r="C97" s="26">
        <f>IF(92&lt;='🌱 Configuração'!$F$50,'🌱 Configuração'!$B$51+91,"")</f>
        <v>46114</v>
      </c>
      <c r="D97" s="27" t="str">
        <f>IF(92&gt;'🌱 Configuração'!$F$50,"",IF('🌱 Configuração'!$B$51+91&lt;'🌱 Configuração'!$C$51,"🌱 Clone",IF('🌱 Configuração'!$B$51+91&lt;'🌱 Configuração'!$D$51,"🌿 Vegetativo",IF('🌱 Configuração'!$B$51+91&lt;'🌱 Configuração'!$E$51,"🌸 Floração","🚿 Flush"))))</f>
        <v>🌸 Floração</v>
      </c>
      <c r="E97" s="28" t="str">
        <f>IF(92&gt;'🌱 Configuração'!$F$50,"",IF('🌱 Configuração'!$B$51+91&lt;'🌱 Configuração'!$C$51,"Clone S"&amp;INT((92-1)/7)+1,IF('🌱 Configuração'!$B$51+91&lt;'🌱 Configuração'!$D$51,"Vega S"&amp;INT(('🌱 Configuração'!$B$51+91-'🌱 Configuração'!$C$51)/7)+1,IF('🌱 Configuração'!$B$51+91&lt;'🌱 Configuração'!$E$51,"Flora S"&amp;INT(('🌱 Configuração'!$B$51+91-'🌱 Configuração'!$D$51)/7)+1,"Flush S"&amp;INT(('🌱 Configuração'!$B$51+91-'🌱 Configuração'!$E$51)/7)+1))))</f>
        <v>Flora S6</v>
      </c>
      <c r="F97" s="29" t="str">
        <f>IF(92&gt;'🌱 Configuração'!$F$50,"",IF(AND('🌱 Configuração'!$B$51+91&lt;'🌱 Configuração'!$C$51,INT((92-1)/7)+1=1,MOD(92-1,7)=0),"🌱 Enraizador (0.5 mL/L)",IF(AND('🌱 Configuração'!$B$51+91&lt;'🌱 Configuração'!$C$51,INT((92-1)/7)+1=2,MOD(92-1,7)=0),"🌱 Enraizador + Vitamina B1",IF(AND('🌱 Configuração'!$B$51+91&gt;='🌱 Configuração'!$C$51,'🌱 Configuração'!$B$51+91&lt;'🌱 Configuração'!$D$51,INT(('🌱 Configuração'!$B$51+91-'🌱 Configuração'!$C$51)/7)+1=1,MOD('🌱 Configuração'!$B$51+91-'🌱 Configuração'!$C$51,7)=0),"🌿 Grow A+B início — EC 0.8",IF(AND('🌱 Configuração'!$B$51+91&gt;='🌱 Configuração'!$C$51,'🌱 Configuração'!$B$51+91&lt;'🌱 Configuração'!$D$51,INT(('🌱 Configuração'!$B$51+91-'🌱 Configuração'!$C$51)/7)+1=2,MOD('🌱 Configuração'!$B$51+91-'🌱 Configuração'!$C$51,7)=0),"🌿 Grow A+B + CalMag — EC 1.0",IF(AND('🌱 Configuração'!$B$51+91&gt;='🌱 Configuração'!$C$51,'🌱 Configuração'!$B$51+91&lt;'🌱 Configuração'!$D$51,INT(('🌱 Configuração'!$B$51+91-'🌱 Configuração'!$C$51)/7)+1=3,MOD('🌱 Configuração'!$B$51+91-'🌱 Configuração'!$C$51,7)=0),"🌿 Grow A+B + CalMag — EC 1.2",IF(AND('🌱 Configuração'!$B$51+91&gt;='🌱 Configuração'!$C$51,'🌱 Configuração'!$B$51+91&lt;'🌱 Configuração'!$D$51,INT(('🌱 Configuração'!$B$51+91-'🌱 Configuração'!$C$51)/7)+1=4,MOD('🌱 Configuração'!$B$51+91-'🌱 Configuração'!$C$51,7)=0),"🌿 Grow A+B + Enzimas — EC 1.4",IF(AND('🌱 Configuração'!$B$51+91&gt;='🌱 Configuração'!$C$51,'🌱 Configuração'!$B$51+91&lt;'🌱 Configuração'!$D$51,INT(('🌱 Configuração'!$B$51+91-'🌱 Configuração'!$C$51)/7)+1=5,MOD('🌱 Configuração'!$B$51+91-'🌱 Configuração'!$C$51,7)=0),"🌿 Grow A+B + Biorrizas — EC 1.5",IF(AND('🌱 Configuração'!$B$51+91&gt;='🌱 Configuração'!$C$51,'🌱 Configuração'!$B$51+91&lt;'🌱 Configuração'!$D$51,INT(('🌱 Configuração'!$B$51+91-'🌱 Configuração'!$C$51)/7)+1=6,MOD('🌱 Configuração'!$B$51+91-'🌱 Configuração'!$C$51,7)=0),"🌿 Transição Bloom — EC 1.4",IF(AND('🌱 Configuração'!$B$51+91&gt;='🌱 Configuração'!$C$51,'🌱 Configuração'!$B$51+91&lt;'🌱 Configuração'!$D$51,INT(('🌱 Configuração'!$B$51+91-'🌱 Configuração'!$C$51)/7)+1=7,MOD('🌱 Configuração'!$B$51+91-'🌱 Configuração'!$C$51,7)=0),"🌿 Bloom A+B transição — EC 1.4",IF(AND('🌱 Configuração'!$B$51+91&gt;='🌱 Configuração'!$C$51,'🌱 Configuração'!$B$51+91&lt;'🌱 Configuração'!$D$51,INT(('🌱 Configuração'!$B$51+91-'🌱 Configuração'!$C$51)/7)+1=8,MOD('🌱 Configuração'!$B$51+91-'🌱 Configuração'!$C$51,7)=0),"🌿 Bloom A+B — EC 1.4",IF(AND('🌱 Configuração'!$B$51+91&gt;='🌱 Configuração'!$D$51,'🌱 Configuração'!$B$51+91&lt;'🌱 Configuração'!$E$51,INT(('🌱 Configuração'!$B$51+91-'🌱 Configuração'!$D$51)/7)+1=1,MOD('🌱 Configuração'!$B$51+91-'🌱 Configuração'!$D$51,7)=0),"🌸 Bloom A+B — EC 1.6",IF(AND('🌱 Configuração'!$B$51+91&gt;='🌱 Configuração'!$D$51,'🌱 Configuração'!$B$51+91&lt;'🌱 Configuração'!$E$51,INT(('🌱 Configuração'!$B$51+91-'🌱 Configuração'!$D$51)/7)+1=2,MOD('🌱 Configuração'!$B$51+91-'🌱 Configuração'!$D$51,7)=0),"🌸 Bloom + PK 13/14 início",IF(AND('🌱 Configuração'!$B$51+91&gt;='🌱 Configuração'!$D$51,'🌱 Configuração'!$B$51+91&lt;'🌱 Configuração'!$E$51,INT(('🌱 Configuração'!$B$51+91-'🌱 Configuração'!$D$51)/7)+1=3,MOD('🌱 Configuração'!$B$51+91-'🌱 Configuração'!$D$51,7)=0),"🌸 Bloom + PK + CalMag — EC 1.8",IF(AND('🌱 Configuração'!$B$51+91&gt;='🌱 Configuração'!$D$51,'🌱 Configuração'!$B$51+91&lt;'🌱 Configuração'!$E$51,INT(('🌱 Configuração'!$B$51+91-'🌱 Configuração'!$D$51)/7)+1=4,MOD('🌱 Configuração'!$B$51+91-'🌱 Configuração'!$D$51,7)=0),"🌸 Bloom + PK + Boost Floral — EC 2.0",IF(AND('🌱 Configuração'!$B$51+91&gt;='🌱 Configuração'!$D$51,'🌱 Configuração'!$B$51+91&lt;'🌱 Configuração'!$E$51,INT(('🌱 Configuração'!$B$51+91-'🌱 Configuração'!$D$51)/7)+1=5,MOD('🌱 Configuração'!$B$51+91-'🌱 Configuração'!$D$51,7)=0),"🌸 Bloom + Boost + Amino",IF(AND('🌱 Configuração'!$B$51+91&gt;='🌱 Configuração'!$D$51,'🌱 Configuração'!$B$51+91&lt;'🌱 Configuração'!$E$51,INT(('🌱 Configuração'!$B$51+91-'🌱 Configuração'!$D$51)/7)+1=6,MOD('🌱 Configuração'!$B$51+91-'🌱 Configuração'!$D$51,7)=0),"🌸 Bloom + Enzimas + Amino",IF(AND('🌱 Configuração'!$B$51+91&gt;='🌱 Configuração'!$D$51,'🌱 Configuração'!$B$51+91&lt;'🌱 Configuração'!$E$51,INT(('🌱 Configuração'!$B$51+91-'🌱 Configuração'!$D$51)/7)+1=7,MOD('🌱 Configuração'!$B$51+91-'🌱 Configuração'!$D$51,7)=0),"🌸 Reduzir N — Bloom puro — EC 1.6",IF(AND('🌱 Configuração'!$B$51+91&gt;='🌱 Configuração'!$D$51,'🌱 Configuração'!$B$51+91&lt;'🌱 Configuração'!$E$51,INT(('🌱 Configuração'!$B$51+91-'🌱 Configuração'!$D$51)/7)+1=8,MOD('🌱 Configuração'!$B$51+91-'🌱 Configuração'!$D$51,7)=0),"🌸 Bloom puro — EC 1.4  (pré-flush)",IF(AND('🌱 Configuração'!$B$51+91&gt;='🌱 Configuração'!$D$51,'🌱 Configuração'!$B$51+91&lt;'🌱 Configuração'!$E$51,INT(('🌱 Configuração'!$B$51+91-'🌱 Configuração'!$D$51)/7)+1=9,MOD('🌱 Configuração'!$B$51+91-'🌱 Configuração'!$D$51,7)=0),"🌸 Último Bloom — EC 0.8",IF(AND('🌱 Configuração'!$B$51+91&gt;='🌱 Configuração'!$E$51,INT(('🌱 Configuração'!$B$51+91-'🌱 Configuração'!$E$51)/7)+1=1,MOD('🌱 Configuração'!$B$51+91-'🌱 Configuração'!$E$51,7)=0),"🚿 Água pura + Enzimas (EC &lt; 0.3)",IF(AND('🌱 Configuração'!$B$51+91&gt;='🌱 Configuração'!$E$51,INT(('🌱 Configuração'!$B$51+91-'🌱 Configuração'!$E$51)/7)+1=2,MOD('🌱 Configuração'!$B$51+91-'🌱 Configuração'!$E$51,7)=0),"🚿 Água pura (EC &lt; 0.2)",""))))))))))))))))))))))</f>
        <v>🌸 Bloom + Enzimas + Amino</v>
      </c>
      <c r="G97" s="30" t="str">
        <f>IF(92&gt;'🌱 Configuração'!$F$50,"",IF(AND('🌱 Configuração'!$B$51+91&lt;'🌱 Configuração'!$C$51,INT((92-1)/7)+1=1,MOD(92-1,7)=0),"🐛 Nim 2mL/L foliar — preventivo",IF(AND('🌱 Configuração'!$B$51+91&lt;'🌱 Configuração'!$C$51,INT((92-1)/7)+1=2,MOD(92-1,7)=0),"🐛 Beauveria bassiana foliar + solo",IF(AND('🌱 Configuração'!$B$51+91&gt;='🌱 Configuração'!$C$51,'🌱 Configuração'!$B$51+91&lt;'🌱 Configuração'!$D$51,INT(('🌱 Configuração'!$B$51+91-'🌱 Configuração'!$C$51)/7)+1=1,MOD('🌱 Configuração'!$B$51+91-'🌱 Configuração'!$C$51,7)=0),"🐛 Nim 2mL/L foliar",IF(AND('🌱 Configuração'!$B$51+91&gt;='🌱 Configuração'!$C$51,'🌱 Configuração'!$B$51+91&lt;'🌱 Configuração'!$D$51,INT(('🌱 Configuração'!$B$51+91-'🌱 Configuração'!$C$51)/7)+1=2,MOD('🌱 Configuração'!$B$51+91-'🌱 Configuração'!$C$51,7)=0),"🐛 Beauveria bassiana foliar",IF(AND('🌱 Configuração'!$B$51+91&gt;='🌱 Configuração'!$C$51,'🌱 Configuração'!$B$51+91&lt;'🌱 Configuração'!$D$51,INT(('🌱 Configuração'!$B$51+91-'🌱 Configuração'!$C$51)/7)+1=3,MOD('🌱 Configuração'!$B$51+91-'🌱 Configuração'!$C$51,7)=0),"🐛 Nim + Calda Sulfocálcica 1%",IF(AND('🌱 Configuração'!$B$51+91&gt;='🌱 Configuração'!$C$51,'🌱 Configuração'!$B$51+91&lt;'🌱 Configuração'!$D$51,INT(('🌱 Configuração'!$B$51+91-'🌱 Configuração'!$C$51)/7)+1=4,MOD('🌱 Configuração'!$B$51+91-'🌱 Configuração'!$C$51,7)=0),"🐛 Trichoderma solo + Beauveria",IF(AND('🌱 Configuração'!$B$51+91&gt;='🌱 Configuração'!$C$51,'🌱 Configuração'!$B$51+91&lt;'🌱 Configuração'!$D$51,INT(('🌱 Configuração'!$B$51+91-'🌱 Configuração'!$C$51)/7)+1=5,MOD('🌱 Configuração'!$B$51+91-'🌱 Configuração'!$C$51,7)=0),"🐛 Calda Bordalesa 0.5% foliar",IF(AND('🌱 Configuração'!$B$51+91&gt;='🌱 Configuração'!$C$51,'🌱 Configuração'!$B$51+91&lt;'🌱 Configuração'!$D$51,INT(('🌱 Configuração'!$B$51+91-'🌱 Configuração'!$C$51)/7)+1=6,MOD('🌱 Configuração'!$B$51+91-'🌱 Configuração'!$C$51,7)=0),"🐛 Nim 2mL/L — ÚLTIMA foliar",IF(AND('🌱 Configuração'!$B$51+91&gt;='🌱 Configuração'!$D$51,'🌱 Configuração'!$B$51+91&lt;'🌱 Configuração'!$E$51,INT(('🌱 Configuração'!$B$51+91-'🌱 Configuração'!$D$51)/7)+1=1,MOD('🌱 Configuração'!$B$51+91-'🌱 Configuração'!$D$51,7)=0),"🐛 Beauveria bassiana solo (sem foliar)",IF(AND('🌱 Configuração'!$B$51+91&gt;='🌱 Configuração'!$D$51,'🌱 Configuração'!$B$51+91&lt;'🌱 Configuração'!$E$51,INT(('🌱 Configuração'!$B$51+91-'🌱 Configuração'!$D$51)/7)+1=2,MOD('🌱 Configuração'!$B$51+91-'🌱 Configuração'!$D$51,7)=0),"🐛 Trichoderma solo",IF(AND('🌱 Configuração'!$B$51+91&gt;='🌱 Configuração'!$D$51,'🌱 Configuração'!$B$51+91&lt;'🌱 Configuração'!$E$51,INT(('🌱 Configuração'!$B$51+91-'🌱 Configuração'!$D$51)/7)+1=3,MOD('🌱 Configuração'!$B$51+91-'🌱 Configuração'!$D$51,7)=0),"🐛 Beauveria bassiana solo",IF(AND('🌱 Configuração'!$B$51+91&gt;='🌱 Configuração'!$D$51,'🌱 Configuração'!$B$51+91&lt;'🌱 Configuração'!$E$51,INT(('🌱 Configuração'!$B$51+91-'🌱 Configuração'!$D$51)/7)+1=4,MOD('🌱 Configuração'!$B$51+91-'🌱 Configuração'!$D$51,7)=0),"🐛 Trichoderma solo",IF(AND('🌱 Configuração'!$B$51+91&gt;='🌱 Configuração'!$E$51,INT(('🌱 Configuração'!$B$51+91-'🌱 Configuração'!$E$51)/7)+1=1,MOD('🌱 Configuração'!$B$51+91-'🌱 Configuração'!$E$51,7)=0),"🐛 Inspeção final — sem aplicação",""))))))))))))))</f>
        <v/>
      </c>
      <c r="H97" s="22" t="str">
        <f>IF(92&gt;'🌱 Configuração'!$F$50,"",IF('🌱 Configuração'!$B$51+91='🌱 Configuração'!$C$51,"🌿 INÍCIO VEGA — ajustar espaço, luz 18h/dia — EC 0.8",IF('🌱 Configuração'!$B$51+91='🌱 Configuração'!$D$51,"🌸 INÍCIO FLORAÇÃO — mudar para 12h/12h — 🔴 atenção ao fotoperíodo",IF('🌱 Configuração'!$B$51+91='🌱 Configuração'!$E$51,"🚿 INÍCIO FLUSH — PARAR nutrição, somente água pura",IF('🌱 Configuração'!$B$51+91='🌱 Configuração'!$F$51-1,"🔬 Véspera da colheita — analisar tricomas âmbar",IF('🌱 Configuração'!$B$51+91='🌱 Configuração'!$F$51,"✂️ COLHEITA! Parabéns! 🎉",""))))))</f>
        <v/>
      </c>
    </row>
    <row r="98" spans="2:8" ht="18.75" customHeight="1" x14ac:dyDescent="0.3">
      <c r="B98" s="25">
        <f>IF(93&lt;='🌱 Configuração'!$F$50,93,"")</f>
        <v>93</v>
      </c>
      <c r="C98" s="26">
        <f>IF(93&lt;='🌱 Configuração'!$F$50,'🌱 Configuração'!$B$51+92,"")</f>
        <v>46115</v>
      </c>
      <c r="D98" s="27" t="str">
        <f>IF(93&gt;'🌱 Configuração'!$F$50,"",IF('🌱 Configuração'!$B$51+92&lt;'🌱 Configuração'!$C$51,"🌱 Clone",IF('🌱 Configuração'!$B$51+92&lt;'🌱 Configuração'!$D$51,"🌿 Vegetativo",IF('🌱 Configuração'!$B$51+92&lt;'🌱 Configuração'!$E$51,"🌸 Floração","🚿 Flush"))))</f>
        <v>🌸 Floração</v>
      </c>
      <c r="E98" s="28" t="str">
        <f>IF(93&gt;'🌱 Configuração'!$F$50,"",IF('🌱 Configuração'!$B$51+92&lt;'🌱 Configuração'!$C$51,"Clone S"&amp;INT((93-1)/7)+1,IF('🌱 Configuração'!$B$51+92&lt;'🌱 Configuração'!$D$51,"Vega S"&amp;INT(('🌱 Configuração'!$B$51+92-'🌱 Configuração'!$C$51)/7)+1,IF('🌱 Configuração'!$B$51+92&lt;'🌱 Configuração'!$E$51,"Flora S"&amp;INT(('🌱 Configuração'!$B$51+92-'🌱 Configuração'!$D$51)/7)+1,"Flush S"&amp;INT(('🌱 Configuração'!$B$51+92-'🌱 Configuração'!$E$51)/7)+1))))</f>
        <v>Flora S6</v>
      </c>
      <c r="F98" s="29" t="str">
        <f>IF(93&gt;'🌱 Configuração'!$F$50,"",IF(AND('🌱 Configuração'!$B$51+92&lt;'🌱 Configuração'!$C$51,INT((93-1)/7)+1=1,MOD(93-1,7)=0),"🌱 Enraizador (0.5 mL/L)",IF(AND('🌱 Configuração'!$B$51+92&lt;'🌱 Configuração'!$C$51,INT((93-1)/7)+1=2,MOD(93-1,7)=0),"🌱 Enraizador + Vitamina B1",IF(AND('🌱 Configuração'!$B$51+92&gt;='🌱 Configuração'!$C$51,'🌱 Configuração'!$B$51+92&lt;'🌱 Configuração'!$D$51,INT(('🌱 Configuração'!$B$51+92-'🌱 Configuração'!$C$51)/7)+1=1,MOD('🌱 Configuração'!$B$51+92-'🌱 Configuração'!$C$51,7)=0),"🌿 Grow A+B início — EC 0.8",IF(AND('🌱 Configuração'!$B$51+92&gt;='🌱 Configuração'!$C$51,'🌱 Configuração'!$B$51+92&lt;'🌱 Configuração'!$D$51,INT(('🌱 Configuração'!$B$51+92-'🌱 Configuração'!$C$51)/7)+1=2,MOD('🌱 Configuração'!$B$51+92-'🌱 Configuração'!$C$51,7)=0),"🌿 Grow A+B + CalMag — EC 1.0",IF(AND('🌱 Configuração'!$B$51+92&gt;='🌱 Configuração'!$C$51,'🌱 Configuração'!$B$51+92&lt;'🌱 Configuração'!$D$51,INT(('🌱 Configuração'!$B$51+92-'🌱 Configuração'!$C$51)/7)+1=3,MOD('🌱 Configuração'!$B$51+92-'🌱 Configuração'!$C$51,7)=0),"🌿 Grow A+B + CalMag — EC 1.2",IF(AND('🌱 Configuração'!$B$51+92&gt;='🌱 Configuração'!$C$51,'🌱 Configuração'!$B$51+92&lt;'🌱 Configuração'!$D$51,INT(('🌱 Configuração'!$B$51+92-'🌱 Configuração'!$C$51)/7)+1=4,MOD('🌱 Configuração'!$B$51+92-'🌱 Configuração'!$C$51,7)=0),"🌿 Grow A+B + Enzimas — EC 1.4",IF(AND('🌱 Configuração'!$B$51+92&gt;='🌱 Configuração'!$C$51,'🌱 Configuração'!$B$51+92&lt;'🌱 Configuração'!$D$51,INT(('🌱 Configuração'!$B$51+92-'🌱 Configuração'!$C$51)/7)+1=5,MOD('🌱 Configuração'!$B$51+92-'🌱 Configuração'!$C$51,7)=0),"🌿 Grow A+B + Biorrizas — EC 1.5",IF(AND('🌱 Configuração'!$B$51+92&gt;='🌱 Configuração'!$C$51,'🌱 Configuração'!$B$51+92&lt;'🌱 Configuração'!$D$51,INT(('🌱 Configuração'!$B$51+92-'🌱 Configuração'!$C$51)/7)+1=6,MOD('🌱 Configuração'!$B$51+92-'🌱 Configuração'!$C$51,7)=0),"🌿 Transição Bloom — EC 1.4",IF(AND('🌱 Configuração'!$B$51+92&gt;='🌱 Configuração'!$C$51,'🌱 Configuração'!$B$51+92&lt;'🌱 Configuração'!$D$51,INT(('🌱 Configuração'!$B$51+92-'🌱 Configuração'!$C$51)/7)+1=7,MOD('🌱 Configuração'!$B$51+92-'🌱 Configuração'!$C$51,7)=0),"🌿 Bloom A+B transição — EC 1.4",IF(AND('🌱 Configuração'!$B$51+92&gt;='🌱 Configuração'!$C$51,'🌱 Configuração'!$B$51+92&lt;'🌱 Configuração'!$D$51,INT(('🌱 Configuração'!$B$51+92-'🌱 Configuração'!$C$51)/7)+1=8,MOD('🌱 Configuração'!$B$51+92-'🌱 Configuração'!$C$51,7)=0),"🌿 Bloom A+B — EC 1.4",IF(AND('🌱 Configuração'!$B$51+92&gt;='🌱 Configuração'!$D$51,'🌱 Configuração'!$B$51+92&lt;'🌱 Configuração'!$E$51,INT(('🌱 Configuração'!$B$51+92-'🌱 Configuração'!$D$51)/7)+1=1,MOD('🌱 Configuração'!$B$51+92-'🌱 Configuração'!$D$51,7)=0),"🌸 Bloom A+B — EC 1.6",IF(AND('🌱 Configuração'!$B$51+92&gt;='🌱 Configuração'!$D$51,'🌱 Configuração'!$B$51+92&lt;'🌱 Configuração'!$E$51,INT(('🌱 Configuração'!$B$51+92-'🌱 Configuração'!$D$51)/7)+1=2,MOD('🌱 Configuração'!$B$51+92-'🌱 Configuração'!$D$51,7)=0),"🌸 Bloom + PK 13/14 início",IF(AND('🌱 Configuração'!$B$51+92&gt;='🌱 Configuração'!$D$51,'🌱 Configuração'!$B$51+92&lt;'🌱 Configuração'!$E$51,INT(('🌱 Configuração'!$B$51+92-'🌱 Configuração'!$D$51)/7)+1=3,MOD('🌱 Configuração'!$B$51+92-'🌱 Configuração'!$D$51,7)=0),"🌸 Bloom + PK + CalMag — EC 1.8",IF(AND('🌱 Configuração'!$B$51+92&gt;='🌱 Configuração'!$D$51,'🌱 Configuração'!$B$51+92&lt;'🌱 Configuração'!$E$51,INT(('🌱 Configuração'!$B$51+92-'🌱 Configuração'!$D$51)/7)+1=4,MOD('🌱 Configuração'!$B$51+92-'🌱 Configuração'!$D$51,7)=0),"🌸 Bloom + PK + Boost Floral — EC 2.0",IF(AND('🌱 Configuração'!$B$51+92&gt;='🌱 Configuração'!$D$51,'🌱 Configuração'!$B$51+92&lt;'🌱 Configuração'!$E$51,INT(('🌱 Configuração'!$B$51+92-'🌱 Configuração'!$D$51)/7)+1=5,MOD('🌱 Configuração'!$B$51+92-'🌱 Configuração'!$D$51,7)=0),"🌸 Bloom + Boost + Amino",IF(AND('🌱 Configuração'!$B$51+92&gt;='🌱 Configuração'!$D$51,'🌱 Configuração'!$B$51+92&lt;'🌱 Configuração'!$E$51,INT(('🌱 Configuração'!$B$51+92-'🌱 Configuração'!$D$51)/7)+1=6,MOD('🌱 Configuração'!$B$51+92-'🌱 Configuração'!$D$51,7)=0),"🌸 Bloom + Enzimas + Amino",IF(AND('🌱 Configuração'!$B$51+92&gt;='🌱 Configuração'!$D$51,'🌱 Configuração'!$B$51+92&lt;'🌱 Configuração'!$E$51,INT(('🌱 Configuração'!$B$51+92-'🌱 Configuração'!$D$51)/7)+1=7,MOD('🌱 Configuração'!$B$51+92-'🌱 Configuração'!$D$51,7)=0),"🌸 Reduzir N — Bloom puro — EC 1.6",IF(AND('🌱 Configuração'!$B$51+92&gt;='🌱 Configuração'!$D$51,'🌱 Configuração'!$B$51+92&lt;'🌱 Configuração'!$E$51,INT(('🌱 Configuração'!$B$51+92-'🌱 Configuração'!$D$51)/7)+1=8,MOD('🌱 Configuração'!$B$51+92-'🌱 Configuração'!$D$51,7)=0),"🌸 Bloom puro — EC 1.4  (pré-flush)",IF(AND('🌱 Configuração'!$B$51+92&gt;='🌱 Configuração'!$D$51,'🌱 Configuração'!$B$51+92&lt;'🌱 Configuração'!$E$51,INT(('🌱 Configuração'!$B$51+92-'🌱 Configuração'!$D$51)/7)+1=9,MOD('🌱 Configuração'!$B$51+92-'🌱 Configuração'!$D$51,7)=0),"🌸 Último Bloom — EC 0.8",IF(AND('🌱 Configuração'!$B$51+92&gt;='🌱 Configuração'!$E$51,INT(('🌱 Configuração'!$B$51+92-'🌱 Configuração'!$E$51)/7)+1=1,MOD('🌱 Configuração'!$B$51+92-'🌱 Configuração'!$E$51,7)=0),"🚿 Água pura + Enzimas (EC &lt; 0.3)",IF(AND('🌱 Configuração'!$B$51+92&gt;='🌱 Configuração'!$E$51,INT(('🌱 Configuração'!$B$51+92-'🌱 Configuração'!$E$51)/7)+1=2,MOD('🌱 Configuração'!$B$51+92-'🌱 Configuração'!$E$51,7)=0),"🚿 Água pura (EC &lt; 0.2)",""))))))))))))))))))))))</f>
        <v/>
      </c>
      <c r="G98" s="30" t="str">
        <f>IF(93&gt;'🌱 Configuração'!$F$50,"",IF(AND('🌱 Configuração'!$B$51+92&lt;'🌱 Configuração'!$C$51,INT((93-1)/7)+1=1,MOD(93-1,7)=0),"🐛 Nim 2mL/L foliar — preventivo",IF(AND('🌱 Configuração'!$B$51+92&lt;'🌱 Configuração'!$C$51,INT((93-1)/7)+1=2,MOD(93-1,7)=0),"🐛 Beauveria bassiana foliar + solo",IF(AND('🌱 Configuração'!$B$51+92&gt;='🌱 Configuração'!$C$51,'🌱 Configuração'!$B$51+92&lt;'🌱 Configuração'!$D$51,INT(('🌱 Configuração'!$B$51+92-'🌱 Configuração'!$C$51)/7)+1=1,MOD('🌱 Configuração'!$B$51+92-'🌱 Configuração'!$C$51,7)=0),"🐛 Nim 2mL/L foliar",IF(AND('🌱 Configuração'!$B$51+92&gt;='🌱 Configuração'!$C$51,'🌱 Configuração'!$B$51+92&lt;'🌱 Configuração'!$D$51,INT(('🌱 Configuração'!$B$51+92-'🌱 Configuração'!$C$51)/7)+1=2,MOD('🌱 Configuração'!$B$51+92-'🌱 Configuração'!$C$51,7)=0),"🐛 Beauveria bassiana foliar",IF(AND('🌱 Configuração'!$B$51+92&gt;='🌱 Configuração'!$C$51,'🌱 Configuração'!$B$51+92&lt;'🌱 Configuração'!$D$51,INT(('🌱 Configuração'!$B$51+92-'🌱 Configuração'!$C$51)/7)+1=3,MOD('🌱 Configuração'!$B$51+92-'🌱 Configuração'!$C$51,7)=0),"🐛 Nim + Calda Sulfocálcica 1%",IF(AND('🌱 Configuração'!$B$51+92&gt;='🌱 Configuração'!$C$51,'🌱 Configuração'!$B$51+92&lt;'🌱 Configuração'!$D$51,INT(('🌱 Configuração'!$B$51+92-'🌱 Configuração'!$C$51)/7)+1=4,MOD('🌱 Configuração'!$B$51+92-'🌱 Configuração'!$C$51,7)=0),"🐛 Trichoderma solo + Beauveria",IF(AND('🌱 Configuração'!$B$51+92&gt;='🌱 Configuração'!$C$51,'🌱 Configuração'!$B$51+92&lt;'🌱 Configuração'!$D$51,INT(('🌱 Configuração'!$B$51+92-'🌱 Configuração'!$C$51)/7)+1=5,MOD('🌱 Configuração'!$B$51+92-'🌱 Configuração'!$C$51,7)=0),"🐛 Calda Bordalesa 0.5% foliar",IF(AND('🌱 Configuração'!$B$51+92&gt;='🌱 Configuração'!$C$51,'🌱 Configuração'!$B$51+92&lt;'🌱 Configuração'!$D$51,INT(('🌱 Configuração'!$B$51+92-'🌱 Configuração'!$C$51)/7)+1=6,MOD('🌱 Configuração'!$B$51+92-'🌱 Configuração'!$C$51,7)=0),"🐛 Nim 2mL/L — ÚLTIMA foliar",IF(AND('🌱 Configuração'!$B$51+92&gt;='🌱 Configuração'!$D$51,'🌱 Configuração'!$B$51+92&lt;'🌱 Configuração'!$E$51,INT(('🌱 Configuração'!$B$51+92-'🌱 Configuração'!$D$51)/7)+1=1,MOD('🌱 Configuração'!$B$51+92-'🌱 Configuração'!$D$51,7)=0),"🐛 Beauveria bassiana solo (sem foliar)",IF(AND('🌱 Configuração'!$B$51+92&gt;='🌱 Configuração'!$D$51,'🌱 Configuração'!$B$51+92&lt;'🌱 Configuração'!$E$51,INT(('🌱 Configuração'!$B$51+92-'🌱 Configuração'!$D$51)/7)+1=2,MOD('🌱 Configuração'!$B$51+92-'🌱 Configuração'!$D$51,7)=0),"🐛 Trichoderma solo",IF(AND('🌱 Configuração'!$B$51+92&gt;='🌱 Configuração'!$D$51,'🌱 Configuração'!$B$51+92&lt;'🌱 Configuração'!$E$51,INT(('🌱 Configuração'!$B$51+92-'🌱 Configuração'!$D$51)/7)+1=3,MOD('🌱 Configuração'!$B$51+92-'🌱 Configuração'!$D$51,7)=0),"🐛 Beauveria bassiana solo",IF(AND('🌱 Configuração'!$B$51+92&gt;='🌱 Configuração'!$D$51,'🌱 Configuração'!$B$51+92&lt;'🌱 Configuração'!$E$51,INT(('🌱 Configuração'!$B$51+92-'🌱 Configuração'!$D$51)/7)+1=4,MOD('🌱 Configuração'!$B$51+92-'🌱 Configuração'!$D$51,7)=0),"🐛 Trichoderma solo",IF(AND('🌱 Configuração'!$B$51+92&gt;='🌱 Configuração'!$E$51,INT(('🌱 Configuração'!$B$51+92-'🌱 Configuração'!$E$51)/7)+1=1,MOD('🌱 Configuração'!$B$51+92-'🌱 Configuração'!$E$51,7)=0),"🐛 Inspeção final — sem aplicação",""))))))))))))))</f>
        <v/>
      </c>
      <c r="H98" s="22" t="str">
        <f>IF(93&gt;'🌱 Configuração'!$F$50,"",IF('🌱 Configuração'!$B$51+92='🌱 Configuração'!$C$51,"🌿 INÍCIO VEGA — ajustar espaço, luz 18h/dia — EC 0.8",IF('🌱 Configuração'!$B$51+92='🌱 Configuração'!$D$51,"🌸 INÍCIO FLORAÇÃO — mudar para 12h/12h — 🔴 atenção ao fotoperíodo",IF('🌱 Configuração'!$B$51+92='🌱 Configuração'!$E$51,"🚿 INÍCIO FLUSH — PARAR nutrição, somente água pura",IF('🌱 Configuração'!$B$51+92='🌱 Configuração'!$F$51-1,"🔬 Véspera da colheita — analisar tricomas âmbar",IF('🌱 Configuração'!$B$51+92='🌱 Configuração'!$F$51,"✂️ COLHEITA! Parabéns! 🎉",""))))))</f>
        <v/>
      </c>
    </row>
    <row r="99" spans="2:8" ht="18.75" customHeight="1" x14ac:dyDescent="0.3">
      <c r="B99" s="25">
        <f>IF(94&lt;='🌱 Configuração'!$F$50,94,"")</f>
        <v>94</v>
      </c>
      <c r="C99" s="26">
        <f>IF(94&lt;='🌱 Configuração'!$F$50,'🌱 Configuração'!$B$51+93,"")</f>
        <v>46116</v>
      </c>
      <c r="D99" s="27" t="str">
        <f>IF(94&gt;'🌱 Configuração'!$F$50,"",IF('🌱 Configuração'!$B$51+93&lt;'🌱 Configuração'!$C$51,"🌱 Clone",IF('🌱 Configuração'!$B$51+93&lt;'🌱 Configuração'!$D$51,"🌿 Vegetativo",IF('🌱 Configuração'!$B$51+93&lt;'🌱 Configuração'!$E$51,"🌸 Floração","🚿 Flush"))))</f>
        <v>🌸 Floração</v>
      </c>
      <c r="E99" s="28" t="str">
        <f>IF(94&gt;'🌱 Configuração'!$F$50,"",IF('🌱 Configuração'!$B$51+93&lt;'🌱 Configuração'!$C$51,"Clone S"&amp;INT((94-1)/7)+1,IF('🌱 Configuração'!$B$51+93&lt;'🌱 Configuração'!$D$51,"Vega S"&amp;INT(('🌱 Configuração'!$B$51+93-'🌱 Configuração'!$C$51)/7)+1,IF('🌱 Configuração'!$B$51+93&lt;'🌱 Configuração'!$E$51,"Flora S"&amp;INT(('🌱 Configuração'!$B$51+93-'🌱 Configuração'!$D$51)/7)+1,"Flush S"&amp;INT(('🌱 Configuração'!$B$51+93-'🌱 Configuração'!$E$51)/7)+1))))</f>
        <v>Flora S6</v>
      </c>
      <c r="F99" s="29" t="str">
        <f>IF(94&gt;'🌱 Configuração'!$F$50,"",IF(AND('🌱 Configuração'!$B$51+93&lt;'🌱 Configuração'!$C$51,INT((94-1)/7)+1=1,MOD(94-1,7)=0),"🌱 Enraizador (0.5 mL/L)",IF(AND('🌱 Configuração'!$B$51+93&lt;'🌱 Configuração'!$C$51,INT((94-1)/7)+1=2,MOD(94-1,7)=0),"🌱 Enraizador + Vitamina B1",IF(AND('🌱 Configuração'!$B$51+93&gt;='🌱 Configuração'!$C$51,'🌱 Configuração'!$B$51+93&lt;'🌱 Configuração'!$D$51,INT(('🌱 Configuração'!$B$51+93-'🌱 Configuração'!$C$51)/7)+1=1,MOD('🌱 Configuração'!$B$51+93-'🌱 Configuração'!$C$51,7)=0),"🌿 Grow A+B início — EC 0.8",IF(AND('🌱 Configuração'!$B$51+93&gt;='🌱 Configuração'!$C$51,'🌱 Configuração'!$B$51+93&lt;'🌱 Configuração'!$D$51,INT(('🌱 Configuração'!$B$51+93-'🌱 Configuração'!$C$51)/7)+1=2,MOD('🌱 Configuração'!$B$51+93-'🌱 Configuração'!$C$51,7)=0),"🌿 Grow A+B + CalMag — EC 1.0",IF(AND('🌱 Configuração'!$B$51+93&gt;='🌱 Configuração'!$C$51,'🌱 Configuração'!$B$51+93&lt;'🌱 Configuração'!$D$51,INT(('🌱 Configuração'!$B$51+93-'🌱 Configuração'!$C$51)/7)+1=3,MOD('🌱 Configuração'!$B$51+93-'🌱 Configuração'!$C$51,7)=0),"🌿 Grow A+B + CalMag — EC 1.2",IF(AND('🌱 Configuração'!$B$51+93&gt;='🌱 Configuração'!$C$51,'🌱 Configuração'!$B$51+93&lt;'🌱 Configuração'!$D$51,INT(('🌱 Configuração'!$B$51+93-'🌱 Configuração'!$C$51)/7)+1=4,MOD('🌱 Configuração'!$B$51+93-'🌱 Configuração'!$C$51,7)=0),"🌿 Grow A+B + Enzimas — EC 1.4",IF(AND('🌱 Configuração'!$B$51+93&gt;='🌱 Configuração'!$C$51,'🌱 Configuração'!$B$51+93&lt;'🌱 Configuração'!$D$51,INT(('🌱 Configuração'!$B$51+93-'🌱 Configuração'!$C$51)/7)+1=5,MOD('🌱 Configuração'!$B$51+93-'🌱 Configuração'!$C$51,7)=0),"🌿 Grow A+B + Biorrizas — EC 1.5",IF(AND('🌱 Configuração'!$B$51+93&gt;='🌱 Configuração'!$C$51,'🌱 Configuração'!$B$51+93&lt;'🌱 Configuração'!$D$51,INT(('🌱 Configuração'!$B$51+93-'🌱 Configuração'!$C$51)/7)+1=6,MOD('🌱 Configuração'!$B$51+93-'🌱 Configuração'!$C$51,7)=0),"🌿 Transição Bloom — EC 1.4",IF(AND('🌱 Configuração'!$B$51+93&gt;='🌱 Configuração'!$C$51,'🌱 Configuração'!$B$51+93&lt;'🌱 Configuração'!$D$51,INT(('🌱 Configuração'!$B$51+93-'🌱 Configuração'!$C$51)/7)+1=7,MOD('🌱 Configuração'!$B$51+93-'🌱 Configuração'!$C$51,7)=0),"🌿 Bloom A+B transição — EC 1.4",IF(AND('🌱 Configuração'!$B$51+93&gt;='🌱 Configuração'!$C$51,'🌱 Configuração'!$B$51+93&lt;'🌱 Configuração'!$D$51,INT(('🌱 Configuração'!$B$51+93-'🌱 Configuração'!$C$51)/7)+1=8,MOD('🌱 Configuração'!$B$51+93-'🌱 Configuração'!$C$51,7)=0),"🌿 Bloom A+B — EC 1.4",IF(AND('🌱 Configuração'!$B$51+93&gt;='🌱 Configuração'!$D$51,'🌱 Configuração'!$B$51+93&lt;'🌱 Configuração'!$E$51,INT(('🌱 Configuração'!$B$51+93-'🌱 Configuração'!$D$51)/7)+1=1,MOD('🌱 Configuração'!$B$51+93-'🌱 Configuração'!$D$51,7)=0),"🌸 Bloom A+B — EC 1.6",IF(AND('🌱 Configuração'!$B$51+93&gt;='🌱 Configuração'!$D$51,'🌱 Configuração'!$B$51+93&lt;'🌱 Configuração'!$E$51,INT(('🌱 Configuração'!$B$51+93-'🌱 Configuração'!$D$51)/7)+1=2,MOD('🌱 Configuração'!$B$51+93-'🌱 Configuração'!$D$51,7)=0),"🌸 Bloom + PK 13/14 início",IF(AND('🌱 Configuração'!$B$51+93&gt;='🌱 Configuração'!$D$51,'🌱 Configuração'!$B$51+93&lt;'🌱 Configuração'!$E$51,INT(('🌱 Configuração'!$B$51+93-'🌱 Configuração'!$D$51)/7)+1=3,MOD('🌱 Configuração'!$B$51+93-'🌱 Configuração'!$D$51,7)=0),"🌸 Bloom + PK + CalMag — EC 1.8",IF(AND('🌱 Configuração'!$B$51+93&gt;='🌱 Configuração'!$D$51,'🌱 Configuração'!$B$51+93&lt;'🌱 Configuração'!$E$51,INT(('🌱 Configuração'!$B$51+93-'🌱 Configuração'!$D$51)/7)+1=4,MOD('🌱 Configuração'!$B$51+93-'🌱 Configuração'!$D$51,7)=0),"🌸 Bloom + PK + Boost Floral — EC 2.0",IF(AND('🌱 Configuração'!$B$51+93&gt;='🌱 Configuração'!$D$51,'🌱 Configuração'!$B$51+93&lt;'🌱 Configuração'!$E$51,INT(('🌱 Configuração'!$B$51+93-'🌱 Configuração'!$D$51)/7)+1=5,MOD('🌱 Configuração'!$B$51+93-'🌱 Configuração'!$D$51,7)=0),"🌸 Bloom + Boost + Amino",IF(AND('🌱 Configuração'!$B$51+93&gt;='🌱 Configuração'!$D$51,'🌱 Configuração'!$B$51+93&lt;'🌱 Configuração'!$E$51,INT(('🌱 Configuração'!$B$51+93-'🌱 Configuração'!$D$51)/7)+1=6,MOD('🌱 Configuração'!$B$51+93-'🌱 Configuração'!$D$51,7)=0),"🌸 Bloom + Enzimas + Amino",IF(AND('🌱 Configuração'!$B$51+93&gt;='🌱 Configuração'!$D$51,'🌱 Configuração'!$B$51+93&lt;'🌱 Configuração'!$E$51,INT(('🌱 Configuração'!$B$51+93-'🌱 Configuração'!$D$51)/7)+1=7,MOD('🌱 Configuração'!$B$51+93-'🌱 Configuração'!$D$51,7)=0),"🌸 Reduzir N — Bloom puro — EC 1.6",IF(AND('🌱 Configuração'!$B$51+93&gt;='🌱 Configuração'!$D$51,'🌱 Configuração'!$B$51+93&lt;'🌱 Configuração'!$E$51,INT(('🌱 Configuração'!$B$51+93-'🌱 Configuração'!$D$51)/7)+1=8,MOD('🌱 Configuração'!$B$51+93-'🌱 Configuração'!$D$51,7)=0),"🌸 Bloom puro — EC 1.4  (pré-flush)",IF(AND('🌱 Configuração'!$B$51+93&gt;='🌱 Configuração'!$D$51,'🌱 Configuração'!$B$51+93&lt;'🌱 Configuração'!$E$51,INT(('🌱 Configuração'!$B$51+93-'🌱 Configuração'!$D$51)/7)+1=9,MOD('🌱 Configuração'!$B$51+93-'🌱 Configuração'!$D$51,7)=0),"🌸 Último Bloom — EC 0.8",IF(AND('🌱 Configuração'!$B$51+93&gt;='🌱 Configuração'!$E$51,INT(('🌱 Configuração'!$B$51+93-'🌱 Configuração'!$E$51)/7)+1=1,MOD('🌱 Configuração'!$B$51+93-'🌱 Configuração'!$E$51,7)=0),"🚿 Água pura + Enzimas (EC &lt; 0.3)",IF(AND('🌱 Configuração'!$B$51+93&gt;='🌱 Configuração'!$E$51,INT(('🌱 Configuração'!$B$51+93-'🌱 Configuração'!$E$51)/7)+1=2,MOD('🌱 Configuração'!$B$51+93-'🌱 Configuração'!$E$51,7)=0),"🚿 Água pura (EC &lt; 0.2)",""))))))))))))))))))))))</f>
        <v/>
      </c>
      <c r="G99" s="30" t="str">
        <f>IF(94&gt;'🌱 Configuração'!$F$50,"",IF(AND('🌱 Configuração'!$B$51+93&lt;'🌱 Configuração'!$C$51,INT((94-1)/7)+1=1,MOD(94-1,7)=0),"🐛 Nim 2mL/L foliar — preventivo",IF(AND('🌱 Configuração'!$B$51+93&lt;'🌱 Configuração'!$C$51,INT((94-1)/7)+1=2,MOD(94-1,7)=0),"🐛 Beauveria bassiana foliar + solo",IF(AND('🌱 Configuração'!$B$51+93&gt;='🌱 Configuração'!$C$51,'🌱 Configuração'!$B$51+93&lt;'🌱 Configuração'!$D$51,INT(('🌱 Configuração'!$B$51+93-'🌱 Configuração'!$C$51)/7)+1=1,MOD('🌱 Configuração'!$B$51+93-'🌱 Configuração'!$C$51,7)=0),"🐛 Nim 2mL/L foliar",IF(AND('🌱 Configuração'!$B$51+93&gt;='🌱 Configuração'!$C$51,'🌱 Configuração'!$B$51+93&lt;'🌱 Configuração'!$D$51,INT(('🌱 Configuração'!$B$51+93-'🌱 Configuração'!$C$51)/7)+1=2,MOD('🌱 Configuração'!$B$51+93-'🌱 Configuração'!$C$51,7)=0),"🐛 Beauveria bassiana foliar",IF(AND('🌱 Configuração'!$B$51+93&gt;='🌱 Configuração'!$C$51,'🌱 Configuração'!$B$51+93&lt;'🌱 Configuração'!$D$51,INT(('🌱 Configuração'!$B$51+93-'🌱 Configuração'!$C$51)/7)+1=3,MOD('🌱 Configuração'!$B$51+93-'🌱 Configuração'!$C$51,7)=0),"🐛 Nim + Calda Sulfocálcica 1%",IF(AND('🌱 Configuração'!$B$51+93&gt;='🌱 Configuração'!$C$51,'🌱 Configuração'!$B$51+93&lt;'🌱 Configuração'!$D$51,INT(('🌱 Configuração'!$B$51+93-'🌱 Configuração'!$C$51)/7)+1=4,MOD('🌱 Configuração'!$B$51+93-'🌱 Configuração'!$C$51,7)=0),"🐛 Trichoderma solo + Beauveria",IF(AND('🌱 Configuração'!$B$51+93&gt;='🌱 Configuração'!$C$51,'🌱 Configuração'!$B$51+93&lt;'🌱 Configuração'!$D$51,INT(('🌱 Configuração'!$B$51+93-'🌱 Configuração'!$C$51)/7)+1=5,MOD('🌱 Configuração'!$B$51+93-'🌱 Configuração'!$C$51,7)=0),"🐛 Calda Bordalesa 0.5% foliar",IF(AND('🌱 Configuração'!$B$51+93&gt;='🌱 Configuração'!$C$51,'🌱 Configuração'!$B$51+93&lt;'🌱 Configuração'!$D$51,INT(('🌱 Configuração'!$B$51+93-'🌱 Configuração'!$C$51)/7)+1=6,MOD('🌱 Configuração'!$B$51+93-'🌱 Configuração'!$C$51,7)=0),"🐛 Nim 2mL/L — ÚLTIMA foliar",IF(AND('🌱 Configuração'!$B$51+93&gt;='🌱 Configuração'!$D$51,'🌱 Configuração'!$B$51+93&lt;'🌱 Configuração'!$E$51,INT(('🌱 Configuração'!$B$51+93-'🌱 Configuração'!$D$51)/7)+1=1,MOD('🌱 Configuração'!$B$51+93-'🌱 Configuração'!$D$51,7)=0),"🐛 Beauveria bassiana solo (sem foliar)",IF(AND('🌱 Configuração'!$B$51+93&gt;='🌱 Configuração'!$D$51,'🌱 Configuração'!$B$51+93&lt;'🌱 Configuração'!$E$51,INT(('🌱 Configuração'!$B$51+93-'🌱 Configuração'!$D$51)/7)+1=2,MOD('🌱 Configuração'!$B$51+93-'🌱 Configuração'!$D$51,7)=0),"🐛 Trichoderma solo",IF(AND('🌱 Configuração'!$B$51+93&gt;='🌱 Configuração'!$D$51,'🌱 Configuração'!$B$51+93&lt;'🌱 Configuração'!$E$51,INT(('🌱 Configuração'!$B$51+93-'🌱 Configuração'!$D$51)/7)+1=3,MOD('🌱 Configuração'!$B$51+93-'🌱 Configuração'!$D$51,7)=0),"🐛 Beauveria bassiana solo",IF(AND('🌱 Configuração'!$B$51+93&gt;='🌱 Configuração'!$D$51,'🌱 Configuração'!$B$51+93&lt;'🌱 Configuração'!$E$51,INT(('🌱 Configuração'!$B$51+93-'🌱 Configuração'!$D$51)/7)+1=4,MOD('🌱 Configuração'!$B$51+93-'🌱 Configuração'!$D$51,7)=0),"🐛 Trichoderma solo",IF(AND('🌱 Configuração'!$B$51+93&gt;='🌱 Configuração'!$E$51,INT(('🌱 Configuração'!$B$51+93-'🌱 Configuração'!$E$51)/7)+1=1,MOD('🌱 Configuração'!$B$51+93-'🌱 Configuração'!$E$51,7)=0),"🐛 Inspeção final — sem aplicação",""))))))))))))))</f>
        <v/>
      </c>
      <c r="H99" s="22" t="str">
        <f>IF(94&gt;'🌱 Configuração'!$F$50,"",IF('🌱 Configuração'!$B$51+93='🌱 Configuração'!$C$51,"🌿 INÍCIO VEGA — ajustar espaço, luz 18h/dia — EC 0.8",IF('🌱 Configuração'!$B$51+93='🌱 Configuração'!$D$51,"🌸 INÍCIO FLORAÇÃO — mudar para 12h/12h — 🔴 atenção ao fotoperíodo",IF('🌱 Configuração'!$B$51+93='🌱 Configuração'!$E$51,"🚿 INÍCIO FLUSH — PARAR nutrição, somente água pura",IF('🌱 Configuração'!$B$51+93='🌱 Configuração'!$F$51-1,"🔬 Véspera da colheita — analisar tricomas âmbar",IF('🌱 Configuração'!$B$51+93='🌱 Configuração'!$F$51,"✂️ COLHEITA! Parabéns! 🎉",""))))))</f>
        <v/>
      </c>
    </row>
    <row r="100" spans="2:8" ht="18.75" customHeight="1" x14ac:dyDescent="0.3">
      <c r="B100" s="25">
        <f>IF(95&lt;='🌱 Configuração'!$F$50,95,"")</f>
        <v>95</v>
      </c>
      <c r="C100" s="26">
        <f>IF(95&lt;='🌱 Configuração'!$F$50,'🌱 Configuração'!$B$51+94,"")</f>
        <v>46117</v>
      </c>
      <c r="D100" s="27" t="str">
        <f>IF(95&gt;'🌱 Configuração'!$F$50,"",IF('🌱 Configuração'!$B$51+94&lt;'🌱 Configuração'!$C$51,"🌱 Clone",IF('🌱 Configuração'!$B$51+94&lt;'🌱 Configuração'!$D$51,"🌿 Vegetativo",IF('🌱 Configuração'!$B$51+94&lt;'🌱 Configuração'!$E$51,"🌸 Floração","🚿 Flush"))))</f>
        <v>🌸 Floração</v>
      </c>
      <c r="E100" s="28" t="str">
        <f>IF(95&gt;'🌱 Configuração'!$F$50,"",IF('🌱 Configuração'!$B$51+94&lt;'🌱 Configuração'!$C$51,"Clone S"&amp;INT((95-1)/7)+1,IF('🌱 Configuração'!$B$51+94&lt;'🌱 Configuração'!$D$51,"Vega S"&amp;INT(('🌱 Configuração'!$B$51+94-'🌱 Configuração'!$C$51)/7)+1,IF('🌱 Configuração'!$B$51+94&lt;'🌱 Configuração'!$E$51,"Flora S"&amp;INT(('🌱 Configuração'!$B$51+94-'🌱 Configuração'!$D$51)/7)+1,"Flush S"&amp;INT(('🌱 Configuração'!$B$51+94-'🌱 Configuração'!$E$51)/7)+1))))</f>
        <v>Flora S6</v>
      </c>
      <c r="F100" s="29" t="str">
        <f>IF(95&gt;'🌱 Configuração'!$F$50,"",IF(AND('🌱 Configuração'!$B$51+94&lt;'🌱 Configuração'!$C$51,INT((95-1)/7)+1=1,MOD(95-1,7)=0),"🌱 Enraizador (0.5 mL/L)",IF(AND('🌱 Configuração'!$B$51+94&lt;'🌱 Configuração'!$C$51,INT((95-1)/7)+1=2,MOD(95-1,7)=0),"🌱 Enraizador + Vitamina B1",IF(AND('🌱 Configuração'!$B$51+94&gt;='🌱 Configuração'!$C$51,'🌱 Configuração'!$B$51+94&lt;'🌱 Configuração'!$D$51,INT(('🌱 Configuração'!$B$51+94-'🌱 Configuração'!$C$51)/7)+1=1,MOD('🌱 Configuração'!$B$51+94-'🌱 Configuração'!$C$51,7)=0),"🌿 Grow A+B início — EC 0.8",IF(AND('🌱 Configuração'!$B$51+94&gt;='🌱 Configuração'!$C$51,'🌱 Configuração'!$B$51+94&lt;'🌱 Configuração'!$D$51,INT(('🌱 Configuração'!$B$51+94-'🌱 Configuração'!$C$51)/7)+1=2,MOD('🌱 Configuração'!$B$51+94-'🌱 Configuração'!$C$51,7)=0),"🌿 Grow A+B + CalMag — EC 1.0",IF(AND('🌱 Configuração'!$B$51+94&gt;='🌱 Configuração'!$C$51,'🌱 Configuração'!$B$51+94&lt;'🌱 Configuração'!$D$51,INT(('🌱 Configuração'!$B$51+94-'🌱 Configuração'!$C$51)/7)+1=3,MOD('🌱 Configuração'!$B$51+94-'🌱 Configuração'!$C$51,7)=0),"🌿 Grow A+B + CalMag — EC 1.2",IF(AND('🌱 Configuração'!$B$51+94&gt;='🌱 Configuração'!$C$51,'🌱 Configuração'!$B$51+94&lt;'🌱 Configuração'!$D$51,INT(('🌱 Configuração'!$B$51+94-'🌱 Configuração'!$C$51)/7)+1=4,MOD('🌱 Configuração'!$B$51+94-'🌱 Configuração'!$C$51,7)=0),"🌿 Grow A+B + Enzimas — EC 1.4",IF(AND('🌱 Configuração'!$B$51+94&gt;='🌱 Configuração'!$C$51,'🌱 Configuração'!$B$51+94&lt;'🌱 Configuração'!$D$51,INT(('🌱 Configuração'!$B$51+94-'🌱 Configuração'!$C$51)/7)+1=5,MOD('🌱 Configuração'!$B$51+94-'🌱 Configuração'!$C$51,7)=0),"🌿 Grow A+B + Biorrizas — EC 1.5",IF(AND('🌱 Configuração'!$B$51+94&gt;='🌱 Configuração'!$C$51,'🌱 Configuração'!$B$51+94&lt;'🌱 Configuração'!$D$51,INT(('🌱 Configuração'!$B$51+94-'🌱 Configuração'!$C$51)/7)+1=6,MOD('🌱 Configuração'!$B$51+94-'🌱 Configuração'!$C$51,7)=0),"🌿 Transição Bloom — EC 1.4",IF(AND('🌱 Configuração'!$B$51+94&gt;='🌱 Configuração'!$C$51,'🌱 Configuração'!$B$51+94&lt;'🌱 Configuração'!$D$51,INT(('🌱 Configuração'!$B$51+94-'🌱 Configuração'!$C$51)/7)+1=7,MOD('🌱 Configuração'!$B$51+94-'🌱 Configuração'!$C$51,7)=0),"🌿 Bloom A+B transição — EC 1.4",IF(AND('🌱 Configuração'!$B$51+94&gt;='🌱 Configuração'!$C$51,'🌱 Configuração'!$B$51+94&lt;'🌱 Configuração'!$D$51,INT(('🌱 Configuração'!$B$51+94-'🌱 Configuração'!$C$51)/7)+1=8,MOD('🌱 Configuração'!$B$51+94-'🌱 Configuração'!$C$51,7)=0),"🌿 Bloom A+B — EC 1.4",IF(AND('🌱 Configuração'!$B$51+94&gt;='🌱 Configuração'!$D$51,'🌱 Configuração'!$B$51+94&lt;'🌱 Configuração'!$E$51,INT(('🌱 Configuração'!$B$51+94-'🌱 Configuração'!$D$51)/7)+1=1,MOD('🌱 Configuração'!$B$51+94-'🌱 Configuração'!$D$51,7)=0),"🌸 Bloom A+B — EC 1.6",IF(AND('🌱 Configuração'!$B$51+94&gt;='🌱 Configuração'!$D$51,'🌱 Configuração'!$B$51+94&lt;'🌱 Configuração'!$E$51,INT(('🌱 Configuração'!$B$51+94-'🌱 Configuração'!$D$51)/7)+1=2,MOD('🌱 Configuração'!$B$51+94-'🌱 Configuração'!$D$51,7)=0),"🌸 Bloom + PK 13/14 início",IF(AND('🌱 Configuração'!$B$51+94&gt;='🌱 Configuração'!$D$51,'🌱 Configuração'!$B$51+94&lt;'🌱 Configuração'!$E$51,INT(('🌱 Configuração'!$B$51+94-'🌱 Configuração'!$D$51)/7)+1=3,MOD('🌱 Configuração'!$B$51+94-'🌱 Configuração'!$D$51,7)=0),"🌸 Bloom + PK + CalMag — EC 1.8",IF(AND('🌱 Configuração'!$B$51+94&gt;='🌱 Configuração'!$D$51,'🌱 Configuração'!$B$51+94&lt;'🌱 Configuração'!$E$51,INT(('🌱 Configuração'!$B$51+94-'🌱 Configuração'!$D$51)/7)+1=4,MOD('🌱 Configuração'!$B$51+94-'🌱 Configuração'!$D$51,7)=0),"🌸 Bloom + PK + Boost Floral — EC 2.0",IF(AND('🌱 Configuração'!$B$51+94&gt;='🌱 Configuração'!$D$51,'🌱 Configuração'!$B$51+94&lt;'🌱 Configuração'!$E$51,INT(('🌱 Configuração'!$B$51+94-'🌱 Configuração'!$D$51)/7)+1=5,MOD('🌱 Configuração'!$B$51+94-'🌱 Configuração'!$D$51,7)=0),"🌸 Bloom + Boost + Amino",IF(AND('🌱 Configuração'!$B$51+94&gt;='🌱 Configuração'!$D$51,'🌱 Configuração'!$B$51+94&lt;'🌱 Configuração'!$E$51,INT(('🌱 Configuração'!$B$51+94-'🌱 Configuração'!$D$51)/7)+1=6,MOD('🌱 Configuração'!$B$51+94-'🌱 Configuração'!$D$51,7)=0),"🌸 Bloom + Enzimas + Amino",IF(AND('🌱 Configuração'!$B$51+94&gt;='🌱 Configuração'!$D$51,'🌱 Configuração'!$B$51+94&lt;'🌱 Configuração'!$E$51,INT(('🌱 Configuração'!$B$51+94-'🌱 Configuração'!$D$51)/7)+1=7,MOD('🌱 Configuração'!$B$51+94-'🌱 Configuração'!$D$51,7)=0),"🌸 Reduzir N — Bloom puro — EC 1.6",IF(AND('🌱 Configuração'!$B$51+94&gt;='🌱 Configuração'!$D$51,'🌱 Configuração'!$B$51+94&lt;'🌱 Configuração'!$E$51,INT(('🌱 Configuração'!$B$51+94-'🌱 Configuração'!$D$51)/7)+1=8,MOD('🌱 Configuração'!$B$51+94-'🌱 Configuração'!$D$51,7)=0),"🌸 Bloom puro — EC 1.4  (pré-flush)",IF(AND('🌱 Configuração'!$B$51+94&gt;='🌱 Configuração'!$D$51,'🌱 Configuração'!$B$51+94&lt;'🌱 Configuração'!$E$51,INT(('🌱 Configuração'!$B$51+94-'🌱 Configuração'!$D$51)/7)+1=9,MOD('🌱 Configuração'!$B$51+94-'🌱 Configuração'!$D$51,7)=0),"🌸 Último Bloom — EC 0.8",IF(AND('🌱 Configuração'!$B$51+94&gt;='🌱 Configuração'!$E$51,INT(('🌱 Configuração'!$B$51+94-'🌱 Configuração'!$E$51)/7)+1=1,MOD('🌱 Configuração'!$B$51+94-'🌱 Configuração'!$E$51,7)=0),"🚿 Água pura + Enzimas (EC &lt; 0.3)",IF(AND('🌱 Configuração'!$B$51+94&gt;='🌱 Configuração'!$E$51,INT(('🌱 Configuração'!$B$51+94-'🌱 Configuração'!$E$51)/7)+1=2,MOD('🌱 Configuração'!$B$51+94-'🌱 Configuração'!$E$51,7)=0),"🚿 Água pura (EC &lt; 0.2)",""))))))))))))))))))))))</f>
        <v/>
      </c>
      <c r="G100" s="30" t="str">
        <f>IF(95&gt;'🌱 Configuração'!$F$50,"",IF(AND('🌱 Configuração'!$B$51+94&lt;'🌱 Configuração'!$C$51,INT((95-1)/7)+1=1,MOD(95-1,7)=0),"🐛 Nim 2mL/L foliar — preventivo",IF(AND('🌱 Configuração'!$B$51+94&lt;'🌱 Configuração'!$C$51,INT((95-1)/7)+1=2,MOD(95-1,7)=0),"🐛 Beauveria bassiana foliar + solo",IF(AND('🌱 Configuração'!$B$51+94&gt;='🌱 Configuração'!$C$51,'🌱 Configuração'!$B$51+94&lt;'🌱 Configuração'!$D$51,INT(('🌱 Configuração'!$B$51+94-'🌱 Configuração'!$C$51)/7)+1=1,MOD('🌱 Configuração'!$B$51+94-'🌱 Configuração'!$C$51,7)=0),"🐛 Nim 2mL/L foliar",IF(AND('🌱 Configuração'!$B$51+94&gt;='🌱 Configuração'!$C$51,'🌱 Configuração'!$B$51+94&lt;'🌱 Configuração'!$D$51,INT(('🌱 Configuração'!$B$51+94-'🌱 Configuração'!$C$51)/7)+1=2,MOD('🌱 Configuração'!$B$51+94-'🌱 Configuração'!$C$51,7)=0),"🐛 Beauveria bassiana foliar",IF(AND('🌱 Configuração'!$B$51+94&gt;='🌱 Configuração'!$C$51,'🌱 Configuração'!$B$51+94&lt;'🌱 Configuração'!$D$51,INT(('🌱 Configuração'!$B$51+94-'🌱 Configuração'!$C$51)/7)+1=3,MOD('🌱 Configuração'!$B$51+94-'🌱 Configuração'!$C$51,7)=0),"🐛 Nim + Calda Sulfocálcica 1%",IF(AND('🌱 Configuração'!$B$51+94&gt;='🌱 Configuração'!$C$51,'🌱 Configuração'!$B$51+94&lt;'🌱 Configuração'!$D$51,INT(('🌱 Configuração'!$B$51+94-'🌱 Configuração'!$C$51)/7)+1=4,MOD('🌱 Configuração'!$B$51+94-'🌱 Configuração'!$C$51,7)=0),"🐛 Trichoderma solo + Beauveria",IF(AND('🌱 Configuração'!$B$51+94&gt;='🌱 Configuração'!$C$51,'🌱 Configuração'!$B$51+94&lt;'🌱 Configuração'!$D$51,INT(('🌱 Configuração'!$B$51+94-'🌱 Configuração'!$C$51)/7)+1=5,MOD('🌱 Configuração'!$B$51+94-'🌱 Configuração'!$C$51,7)=0),"🐛 Calda Bordalesa 0.5% foliar",IF(AND('🌱 Configuração'!$B$51+94&gt;='🌱 Configuração'!$C$51,'🌱 Configuração'!$B$51+94&lt;'🌱 Configuração'!$D$51,INT(('🌱 Configuração'!$B$51+94-'🌱 Configuração'!$C$51)/7)+1=6,MOD('🌱 Configuração'!$B$51+94-'🌱 Configuração'!$C$51,7)=0),"🐛 Nim 2mL/L — ÚLTIMA foliar",IF(AND('🌱 Configuração'!$B$51+94&gt;='🌱 Configuração'!$D$51,'🌱 Configuração'!$B$51+94&lt;'🌱 Configuração'!$E$51,INT(('🌱 Configuração'!$B$51+94-'🌱 Configuração'!$D$51)/7)+1=1,MOD('🌱 Configuração'!$B$51+94-'🌱 Configuração'!$D$51,7)=0),"🐛 Beauveria bassiana solo (sem foliar)",IF(AND('🌱 Configuração'!$B$51+94&gt;='🌱 Configuração'!$D$51,'🌱 Configuração'!$B$51+94&lt;'🌱 Configuração'!$E$51,INT(('🌱 Configuração'!$B$51+94-'🌱 Configuração'!$D$51)/7)+1=2,MOD('🌱 Configuração'!$B$51+94-'🌱 Configuração'!$D$51,7)=0),"🐛 Trichoderma solo",IF(AND('🌱 Configuração'!$B$51+94&gt;='🌱 Configuração'!$D$51,'🌱 Configuração'!$B$51+94&lt;'🌱 Configuração'!$E$51,INT(('🌱 Configuração'!$B$51+94-'🌱 Configuração'!$D$51)/7)+1=3,MOD('🌱 Configuração'!$B$51+94-'🌱 Configuração'!$D$51,7)=0),"🐛 Beauveria bassiana solo",IF(AND('🌱 Configuração'!$B$51+94&gt;='🌱 Configuração'!$D$51,'🌱 Configuração'!$B$51+94&lt;'🌱 Configuração'!$E$51,INT(('🌱 Configuração'!$B$51+94-'🌱 Configuração'!$D$51)/7)+1=4,MOD('🌱 Configuração'!$B$51+94-'🌱 Configuração'!$D$51,7)=0),"🐛 Trichoderma solo",IF(AND('🌱 Configuração'!$B$51+94&gt;='🌱 Configuração'!$E$51,INT(('🌱 Configuração'!$B$51+94-'🌱 Configuração'!$E$51)/7)+1=1,MOD('🌱 Configuração'!$B$51+94-'🌱 Configuração'!$E$51,7)=0),"🐛 Inspeção final — sem aplicação",""))))))))))))))</f>
        <v/>
      </c>
      <c r="H100" s="22" t="str">
        <f>IF(95&gt;'🌱 Configuração'!$F$50,"",IF('🌱 Configuração'!$B$51+94='🌱 Configuração'!$C$51,"🌿 INÍCIO VEGA — ajustar espaço, luz 18h/dia — EC 0.8",IF('🌱 Configuração'!$B$51+94='🌱 Configuração'!$D$51,"🌸 INÍCIO FLORAÇÃO — mudar para 12h/12h — 🔴 atenção ao fotoperíodo",IF('🌱 Configuração'!$B$51+94='🌱 Configuração'!$E$51,"🚿 INÍCIO FLUSH — PARAR nutrição, somente água pura",IF('🌱 Configuração'!$B$51+94='🌱 Configuração'!$F$51-1,"🔬 Véspera da colheita — analisar tricomas âmbar",IF('🌱 Configuração'!$B$51+94='🌱 Configuração'!$F$51,"✂️ COLHEITA! Parabéns! 🎉",""))))))</f>
        <v/>
      </c>
    </row>
    <row r="101" spans="2:8" ht="18.75" customHeight="1" x14ac:dyDescent="0.3">
      <c r="B101" s="25">
        <f>IF(96&lt;='🌱 Configuração'!$F$50,96,"")</f>
        <v>96</v>
      </c>
      <c r="C101" s="26">
        <f>IF(96&lt;='🌱 Configuração'!$F$50,'🌱 Configuração'!$B$51+95,"")</f>
        <v>46118</v>
      </c>
      <c r="D101" s="27" t="str">
        <f>IF(96&gt;'🌱 Configuração'!$F$50,"",IF('🌱 Configuração'!$B$51+95&lt;'🌱 Configuração'!$C$51,"🌱 Clone",IF('🌱 Configuração'!$B$51+95&lt;'🌱 Configuração'!$D$51,"🌿 Vegetativo",IF('🌱 Configuração'!$B$51+95&lt;'🌱 Configuração'!$E$51,"🌸 Floração","🚿 Flush"))))</f>
        <v>🌸 Floração</v>
      </c>
      <c r="E101" s="28" t="str">
        <f>IF(96&gt;'🌱 Configuração'!$F$50,"",IF('🌱 Configuração'!$B$51+95&lt;'🌱 Configuração'!$C$51,"Clone S"&amp;INT((96-1)/7)+1,IF('🌱 Configuração'!$B$51+95&lt;'🌱 Configuração'!$D$51,"Vega S"&amp;INT(('🌱 Configuração'!$B$51+95-'🌱 Configuração'!$C$51)/7)+1,IF('🌱 Configuração'!$B$51+95&lt;'🌱 Configuração'!$E$51,"Flora S"&amp;INT(('🌱 Configuração'!$B$51+95-'🌱 Configuração'!$D$51)/7)+1,"Flush S"&amp;INT(('🌱 Configuração'!$B$51+95-'🌱 Configuração'!$E$51)/7)+1))))</f>
        <v>Flora S6</v>
      </c>
      <c r="F101" s="29" t="str">
        <f>IF(96&gt;'🌱 Configuração'!$F$50,"",IF(AND('🌱 Configuração'!$B$51+95&lt;'🌱 Configuração'!$C$51,INT((96-1)/7)+1=1,MOD(96-1,7)=0),"🌱 Enraizador (0.5 mL/L)",IF(AND('🌱 Configuração'!$B$51+95&lt;'🌱 Configuração'!$C$51,INT((96-1)/7)+1=2,MOD(96-1,7)=0),"🌱 Enraizador + Vitamina B1",IF(AND('🌱 Configuração'!$B$51+95&gt;='🌱 Configuração'!$C$51,'🌱 Configuração'!$B$51+95&lt;'🌱 Configuração'!$D$51,INT(('🌱 Configuração'!$B$51+95-'🌱 Configuração'!$C$51)/7)+1=1,MOD('🌱 Configuração'!$B$51+95-'🌱 Configuração'!$C$51,7)=0),"🌿 Grow A+B início — EC 0.8",IF(AND('🌱 Configuração'!$B$51+95&gt;='🌱 Configuração'!$C$51,'🌱 Configuração'!$B$51+95&lt;'🌱 Configuração'!$D$51,INT(('🌱 Configuração'!$B$51+95-'🌱 Configuração'!$C$51)/7)+1=2,MOD('🌱 Configuração'!$B$51+95-'🌱 Configuração'!$C$51,7)=0),"🌿 Grow A+B + CalMag — EC 1.0",IF(AND('🌱 Configuração'!$B$51+95&gt;='🌱 Configuração'!$C$51,'🌱 Configuração'!$B$51+95&lt;'🌱 Configuração'!$D$51,INT(('🌱 Configuração'!$B$51+95-'🌱 Configuração'!$C$51)/7)+1=3,MOD('🌱 Configuração'!$B$51+95-'🌱 Configuração'!$C$51,7)=0),"🌿 Grow A+B + CalMag — EC 1.2",IF(AND('🌱 Configuração'!$B$51+95&gt;='🌱 Configuração'!$C$51,'🌱 Configuração'!$B$51+95&lt;'🌱 Configuração'!$D$51,INT(('🌱 Configuração'!$B$51+95-'🌱 Configuração'!$C$51)/7)+1=4,MOD('🌱 Configuração'!$B$51+95-'🌱 Configuração'!$C$51,7)=0),"🌿 Grow A+B + Enzimas — EC 1.4",IF(AND('🌱 Configuração'!$B$51+95&gt;='🌱 Configuração'!$C$51,'🌱 Configuração'!$B$51+95&lt;'🌱 Configuração'!$D$51,INT(('🌱 Configuração'!$B$51+95-'🌱 Configuração'!$C$51)/7)+1=5,MOD('🌱 Configuração'!$B$51+95-'🌱 Configuração'!$C$51,7)=0),"🌿 Grow A+B + Biorrizas — EC 1.5",IF(AND('🌱 Configuração'!$B$51+95&gt;='🌱 Configuração'!$C$51,'🌱 Configuração'!$B$51+95&lt;'🌱 Configuração'!$D$51,INT(('🌱 Configuração'!$B$51+95-'🌱 Configuração'!$C$51)/7)+1=6,MOD('🌱 Configuração'!$B$51+95-'🌱 Configuração'!$C$51,7)=0),"🌿 Transição Bloom — EC 1.4",IF(AND('🌱 Configuração'!$B$51+95&gt;='🌱 Configuração'!$C$51,'🌱 Configuração'!$B$51+95&lt;'🌱 Configuração'!$D$51,INT(('🌱 Configuração'!$B$51+95-'🌱 Configuração'!$C$51)/7)+1=7,MOD('🌱 Configuração'!$B$51+95-'🌱 Configuração'!$C$51,7)=0),"🌿 Bloom A+B transição — EC 1.4",IF(AND('🌱 Configuração'!$B$51+95&gt;='🌱 Configuração'!$C$51,'🌱 Configuração'!$B$51+95&lt;'🌱 Configuração'!$D$51,INT(('🌱 Configuração'!$B$51+95-'🌱 Configuração'!$C$51)/7)+1=8,MOD('🌱 Configuração'!$B$51+95-'🌱 Configuração'!$C$51,7)=0),"🌿 Bloom A+B — EC 1.4",IF(AND('🌱 Configuração'!$B$51+95&gt;='🌱 Configuração'!$D$51,'🌱 Configuração'!$B$51+95&lt;'🌱 Configuração'!$E$51,INT(('🌱 Configuração'!$B$51+95-'🌱 Configuração'!$D$51)/7)+1=1,MOD('🌱 Configuração'!$B$51+95-'🌱 Configuração'!$D$51,7)=0),"🌸 Bloom A+B — EC 1.6",IF(AND('🌱 Configuração'!$B$51+95&gt;='🌱 Configuração'!$D$51,'🌱 Configuração'!$B$51+95&lt;'🌱 Configuração'!$E$51,INT(('🌱 Configuração'!$B$51+95-'🌱 Configuração'!$D$51)/7)+1=2,MOD('🌱 Configuração'!$B$51+95-'🌱 Configuração'!$D$51,7)=0),"🌸 Bloom + PK 13/14 início",IF(AND('🌱 Configuração'!$B$51+95&gt;='🌱 Configuração'!$D$51,'🌱 Configuração'!$B$51+95&lt;'🌱 Configuração'!$E$51,INT(('🌱 Configuração'!$B$51+95-'🌱 Configuração'!$D$51)/7)+1=3,MOD('🌱 Configuração'!$B$51+95-'🌱 Configuração'!$D$51,7)=0),"🌸 Bloom + PK + CalMag — EC 1.8",IF(AND('🌱 Configuração'!$B$51+95&gt;='🌱 Configuração'!$D$51,'🌱 Configuração'!$B$51+95&lt;'🌱 Configuração'!$E$51,INT(('🌱 Configuração'!$B$51+95-'🌱 Configuração'!$D$51)/7)+1=4,MOD('🌱 Configuração'!$B$51+95-'🌱 Configuração'!$D$51,7)=0),"🌸 Bloom + PK + Boost Floral — EC 2.0",IF(AND('🌱 Configuração'!$B$51+95&gt;='🌱 Configuração'!$D$51,'🌱 Configuração'!$B$51+95&lt;'🌱 Configuração'!$E$51,INT(('🌱 Configuração'!$B$51+95-'🌱 Configuração'!$D$51)/7)+1=5,MOD('🌱 Configuração'!$B$51+95-'🌱 Configuração'!$D$51,7)=0),"🌸 Bloom + Boost + Amino",IF(AND('🌱 Configuração'!$B$51+95&gt;='🌱 Configuração'!$D$51,'🌱 Configuração'!$B$51+95&lt;'🌱 Configuração'!$E$51,INT(('🌱 Configuração'!$B$51+95-'🌱 Configuração'!$D$51)/7)+1=6,MOD('🌱 Configuração'!$B$51+95-'🌱 Configuração'!$D$51,7)=0),"🌸 Bloom + Enzimas + Amino",IF(AND('🌱 Configuração'!$B$51+95&gt;='🌱 Configuração'!$D$51,'🌱 Configuração'!$B$51+95&lt;'🌱 Configuração'!$E$51,INT(('🌱 Configuração'!$B$51+95-'🌱 Configuração'!$D$51)/7)+1=7,MOD('🌱 Configuração'!$B$51+95-'🌱 Configuração'!$D$51,7)=0),"🌸 Reduzir N — Bloom puro — EC 1.6",IF(AND('🌱 Configuração'!$B$51+95&gt;='🌱 Configuração'!$D$51,'🌱 Configuração'!$B$51+95&lt;'🌱 Configuração'!$E$51,INT(('🌱 Configuração'!$B$51+95-'🌱 Configuração'!$D$51)/7)+1=8,MOD('🌱 Configuração'!$B$51+95-'🌱 Configuração'!$D$51,7)=0),"🌸 Bloom puro — EC 1.4  (pré-flush)",IF(AND('🌱 Configuração'!$B$51+95&gt;='🌱 Configuração'!$D$51,'🌱 Configuração'!$B$51+95&lt;'🌱 Configuração'!$E$51,INT(('🌱 Configuração'!$B$51+95-'🌱 Configuração'!$D$51)/7)+1=9,MOD('🌱 Configuração'!$B$51+95-'🌱 Configuração'!$D$51,7)=0),"🌸 Último Bloom — EC 0.8",IF(AND('🌱 Configuração'!$B$51+95&gt;='🌱 Configuração'!$E$51,INT(('🌱 Configuração'!$B$51+95-'🌱 Configuração'!$E$51)/7)+1=1,MOD('🌱 Configuração'!$B$51+95-'🌱 Configuração'!$E$51,7)=0),"🚿 Água pura + Enzimas (EC &lt; 0.3)",IF(AND('🌱 Configuração'!$B$51+95&gt;='🌱 Configuração'!$E$51,INT(('🌱 Configuração'!$B$51+95-'🌱 Configuração'!$E$51)/7)+1=2,MOD('🌱 Configuração'!$B$51+95-'🌱 Configuração'!$E$51,7)=0),"🚿 Água pura (EC &lt; 0.2)",""))))))))))))))))))))))</f>
        <v/>
      </c>
      <c r="G101" s="30" t="str">
        <f>IF(96&gt;'🌱 Configuração'!$F$50,"",IF(AND('🌱 Configuração'!$B$51+95&lt;'🌱 Configuração'!$C$51,INT((96-1)/7)+1=1,MOD(96-1,7)=0),"🐛 Nim 2mL/L foliar — preventivo",IF(AND('🌱 Configuração'!$B$51+95&lt;'🌱 Configuração'!$C$51,INT((96-1)/7)+1=2,MOD(96-1,7)=0),"🐛 Beauveria bassiana foliar + solo",IF(AND('🌱 Configuração'!$B$51+95&gt;='🌱 Configuração'!$C$51,'🌱 Configuração'!$B$51+95&lt;'🌱 Configuração'!$D$51,INT(('🌱 Configuração'!$B$51+95-'🌱 Configuração'!$C$51)/7)+1=1,MOD('🌱 Configuração'!$B$51+95-'🌱 Configuração'!$C$51,7)=0),"🐛 Nim 2mL/L foliar",IF(AND('🌱 Configuração'!$B$51+95&gt;='🌱 Configuração'!$C$51,'🌱 Configuração'!$B$51+95&lt;'🌱 Configuração'!$D$51,INT(('🌱 Configuração'!$B$51+95-'🌱 Configuração'!$C$51)/7)+1=2,MOD('🌱 Configuração'!$B$51+95-'🌱 Configuração'!$C$51,7)=0),"🐛 Beauveria bassiana foliar",IF(AND('🌱 Configuração'!$B$51+95&gt;='🌱 Configuração'!$C$51,'🌱 Configuração'!$B$51+95&lt;'🌱 Configuração'!$D$51,INT(('🌱 Configuração'!$B$51+95-'🌱 Configuração'!$C$51)/7)+1=3,MOD('🌱 Configuração'!$B$51+95-'🌱 Configuração'!$C$51,7)=0),"🐛 Nim + Calda Sulfocálcica 1%",IF(AND('🌱 Configuração'!$B$51+95&gt;='🌱 Configuração'!$C$51,'🌱 Configuração'!$B$51+95&lt;'🌱 Configuração'!$D$51,INT(('🌱 Configuração'!$B$51+95-'🌱 Configuração'!$C$51)/7)+1=4,MOD('🌱 Configuração'!$B$51+95-'🌱 Configuração'!$C$51,7)=0),"🐛 Trichoderma solo + Beauveria",IF(AND('🌱 Configuração'!$B$51+95&gt;='🌱 Configuração'!$C$51,'🌱 Configuração'!$B$51+95&lt;'🌱 Configuração'!$D$51,INT(('🌱 Configuração'!$B$51+95-'🌱 Configuração'!$C$51)/7)+1=5,MOD('🌱 Configuração'!$B$51+95-'🌱 Configuração'!$C$51,7)=0),"🐛 Calda Bordalesa 0.5% foliar",IF(AND('🌱 Configuração'!$B$51+95&gt;='🌱 Configuração'!$C$51,'🌱 Configuração'!$B$51+95&lt;'🌱 Configuração'!$D$51,INT(('🌱 Configuração'!$B$51+95-'🌱 Configuração'!$C$51)/7)+1=6,MOD('🌱 Configuração'!$B$51+95-'🌱 Configuração'!$C$51,7)=0),"🐛 Nim 2mL/L — ÚLTIMA foliar",IF(AND('🌱 Configuração'!$B$51+95&gt;='🌱 Configuração'!$D$51,'🌱 Configuração'!$B$51+95&lt;'🌱 Configuração'!$E$51,INT(('🌱 Configuração'!$B$51+95-'🌱 Configuração'!$D$51)/7)+1=1,MOD('🌱 Configuração'!$B$51+95-'🌱 Configuração'!$D$51,7)=0),"🐛 Beauveria bassiana solo (sem foliar)",IF(AND('🌱 Configuração'!$B$51+95&gt;='🌱 Configuração'!$D$51,'🌱 Configuração'!$B$51+95&lt;'🌱 Configuração'!$E$51,INT(('🌱 Configuração'!$B$51+95-'🌱 Configuração'!$D$51)/7)+1=2,MOD('🌱 Configuração'!$B$51+95-'🌱 Configuração'!$D$51,7)=0),"🐛 Trichoderma solo",IF(AND('🌱 Configuração'!$B$51+95&gt;='🌱 Configuração'!$D$51,'🌱 Configuração'!$B$51+95&lt;'🌱 Configuração'!$E$51,INT(('🌱 Configuração'!$B$51+95-'🌱 Configuração'!$D$51)/7)+1=3,MOD('🌱 Configuração'!$B$51+95-'🌱 Configuração'!$D$51,7)=0),"🐛 Beauveria bassiana solo",IF(AND('🌱 Configuração'!$B$51+95&gt;='🌱 Configuração'!$D$51,'🌱 Configuração'!$B$51+95&lt;'🌱 Configuração'!$E$51,INT(('🌱 Configuração'!$B$51+95-'🌱 Configuração'!$D$51)/7)+1=4,MOD('🌱 Configuração'!$B$51+95-'🌱 Configuração'!$D$51,7)=0),"🐛 Trichoderma solo",IF(AND('🌱 Configuração'!$B$51+95&gt;='🌱 Configuração'!$E$51,INT(('🌱 Configuração'!$B$51+95-'🌱 Configuração'!$E$51)/7)+1=1,MOD('🌱 Configuração'!$B$51+95-'🌱 Configuração'!$E$51,7)=0),"🐛 Inspeção final — sem aplicação",""))))))))))))))</f>
        <v/>
      </c>
      <c r="H101" s="22" t="str">
        <f>IF(96&gt;'🌱 Configuração'!$F$50,"",IF('🌱 Configuração'!$B$51+95='🌱 Configuração'!$C$51,"🌿 INÍCIO VEGA — ajustar espaço, luz 18h/dia — EC 0.8",IF('🌱 Configuração'!$B$51+95='🌱 Configuração'!$D$51,"🌸 INÍCIO FLORAÇÃO — mudar para 12h/12h — 🔴 atenção ao fotoperíodo",IF('🌱 Configuração'!$B$51+95='🌱 Configuração'!$E$51,"🚿 INÍCIO FLUSH — PARAR nutrição, somente água pura",IF('🌱 Configuração'!$B$51+95='🌱 Configuração'!$F$51-1,"🔬 Véspera da colheita — analisar tricomas âmbar",IF('🌱 Configuração'!$B$51+95='🌱 Configuração'!$F$51,"✂️ COLHEITA! Parabéns! 🎉",""))))))</f>
        <v/>
      </c>
    </row>
    <row r="102" spans="2:8" ht="18.75" customHeight="1" x14ac:dyDescent="0.3">
      <c r="B102" s="25">
        <f>IF(97&lt;='🌱 Configuração'!$F$50,97,"")</f>
        <v>97</v>
      </c>
      <c r="C102" s="26">
        <f>IF(97&lt;='🌱 Configuração'!$F$50,'🌱 Configuração'!$B$51+96,"")</f>
        <v>46119</v>
      </c>
      <c r="D102" s="27" t="str">
        <f>IF(97&gt;'🌱 Configuração'!$F$50,"",IF('🌱 Configuração'!$B$51+96&lt;'🌱 Configuração'!$C$51,"🌱 Clone",IF('🌱 Configuração'!$B$51+96&lt;'🌱 Configuração'!$D$51,"🌿 Vegetativo",IF('🌱 Configuração'!$B$51+96&lt;'🌱 Configuração'!$E$51,"🌸 Floração","🚿 Flush"))))</f>
        <v>🌸 Floração</v>
      </c>
      <c r="E102" s="28" t="str">
        <f>IF(97&gt;'🌱 Configuração'!$F$50,"",IF('🌱 Configuração'!$B$51+96&lt;'🌱 Configuração'!$C$51,"Clone S"&amp;INT((97-1)/7)+1,IF('🌱 Configuração'!$B$51+96&lt;'🌱 Configuração'!$D$51,"Vega S"&amp;INT(('🌱 Configuração'!$B$51+96-'🌱 Configuração'!$C$51)/7)+1,IF('🌱 Configuração'!$B$51+96&lt;'🌱 Configuração'!$E$51,"Flora S"&amp;INT(('🌱 Configuração'!$B$51+96-'🌱 Configuração'!$D$51)/7)+1,"Flush S"&amp;INT(('🌱 Configuração'!$B$51+96-'🌱 Configuração'!$E$51)/7)+1))))</f>
        <v>Flora S6</v>
      </c>
      <c r="F102" s="29" t="str">
        <f>IF(97&gt;'🌱 Configuração'!$F$50,"",IF(AND('🌱 Configuração'!$B$51+96&lt;'🌱 Configuração'!$C$51,INT((97-1)/7)+1=1,MOD(97-1,7)=0),"🌱 Enraizador (0.5 mL/L)",IF(AND('🌱 Configuração'!$B$51+96&lt;'🌱 Configuração'!$C$51,INT((97-1)/7)+1=2,MOD(97-1,7)=0),"🌱 Enraizador + Vitamina B1",IF(AND('🌱 Configuração'!$B$51+96&gt;='🌱 Configuração'!$C$51,'🌱 Configuração'!$B$51+96&lt;'🌱 Configuração'!$D$51,INT(('🌱 Configuração'!$B$51+96-'🌱 Configuração'!$C$51)/7)+1=1,MOD('🌱 Configuração'!$B$51+96-'🌱 Configuração'!$C$51,7)=0),"🌿 Grow A+B início — EC 0.8",IF(AND('🌱 Configuração'!$B$51+96&gt;='🌱 Configuração'!$C$51,'🌱 Configuração'!$B$51+96&lt;'🌱 Configuração'!$D$51,INT(('🌱 Configuração'!$B$51+96-'🌱 Configuração'!$C$51)/7)+1=2,MOD('🌱 Configuração'!$B$51+96-'🌱 Configuração'!$C$51,7)=0),"🌿 Grow A+B + CalMag — EC 1.0",IF(AND('🌱 Configuração'!$B$51+96&gt;='🌱 Configuração'!$C$51,'🌱 Configuração'!$B$51+96&lt;'🌱 Configuração'!$D$51,INT(('🌱 Configuração'!$B$51+96-'🌱 Configuração'!$C$51)/7)+1=3,MOD('🌱 Configuração'!$B$51+96-'🌱 Configuração'!$C$51,7)=0),"🌿 Grow A+B + CalMag — EC 1.2",IF(AND('🌱 Configuração'!$B$51+96&gt;='🌱 Configuração'!$C$51,'🌱 Configuração'!$B$51+96&lt;'🌱 Configuração'!$D$51,INT(('🌱 Configuração'!$B$51+96-'🌱 Configuração'!$C$51)/7)+1=4,MOD('🌱 Configuração'!$B$51+96-'🌱 Configuração'!$C$51,7)=0),"🌿 Grow A+B + Enzimas — EC 1.4",IF(AND('🌱 Configuração'!$B$51+96&gt;='🌱 Configuração'!$C$51,'🌱 Configuração'!$B$51+96&lt;'🌱 Configuração'!$D$51,INT(('🌱 Configuração'!$B$51+96-'🌱 Configuração'!$C$51)/7)+1=5,MOD('🌱 Configuração'!$B$51+96-'🌱 Configuração'!$C$51,7)=0),"🌿 Grow A+B + Biorrizas — EC 1.5",IF(AND('🌱 Configuração'!$B$51+96&gt;='🌱 Configuração'!$C$51,'🌱 Configuração'!$B$51+96&lt;'🌱 Configuração'!$D$51,INT(('🌱 Configuração'!$B$51+96-'🌱 Configuração'!$C$51)/7)+1=6,MOD('🌱 Configuração'!$B$51+96-'🌱 Configuração'!$C$51,7)=0),"🌿 Transição Bloom — EC 1.4",IF(AND('🌱 Configuração'!$B$51+96&gt;='🌱 Configuração'!$C$51,'🌱 Configuração'!$B$51+96&lt;'🌱 Configuração'!$D$51,INT(('🌱 Configuração'!$B$51+96-'🌱 Configuração'!$C$51)/7)+1=7,MOD('🌱 Configuração'!$B$51+96-'🌱 Configuração'!$C$51,7)=0),"🌿 Bloom A+B transição — EC 1.4",IF(AND('🌱 Configuração'!$B$51+96&gt;='🌱 Configuração'!$C$51,'🌱 Configuração'!$B$51+96&lt;'🌱 Configuração'!$D$51,INT(('🌱 Configuração'!$B$51+96-'🌱 Configuração'!$C$51)/7)+1=8,MOD('🌱 Configuração'!$B$51+96-'🌱 Configuração'!$C$51,7)=0),"🌿 Bloom A+B — EC 1.4",IF(AND('🌱 Configuração'!$B$51+96&gt;='🌱 Configuração'!$D$51,'🌱 Configuração'!$B$51+96&lt;'🌱 Configuração'!$E$51,INT(('🌱 Configuração'!$B$51+96-'🌱 Configuração'!$D$51)/7)+1=1,MOD('🌱 Configuração'!$B$51+96-'🌱 Configuração'!$D$51,7)=0),"🌸 Bloom A+B — EC 1.6",IF(AND('🌱 Configuração'!$B$51+96&gt;='🌱 Configuração'!$D$51,'🌱 Configuração'!$B$51+96&lt;'🌱 Configuração'!$E$51,INT(('🌱 Configuração'!$B$51+96-'🌱 Configuração'!$D$51)/7)+1=2,MOD('🌱 Configuração'!$B$51+96-'🌱 Configuração'!$D$51,7)=0),"🌸 Bloom + PK 13/14 início",IF(AND('🌱 Configuração'!$B$51+96&gt;='🌱 Configuração'!$D$51,'🌱 Configuração'!$B$51+96&lt;'🌱 Configuração'!$E$51,INT(('🌱 Configuração'!$B$51+96-'🌱 Configuração'!$D$51)/7)+1=3,MOD('🌱 Configuração'!$B$51+96-'🌱 Configuração'!$D$51,7)=0),"🌸 Bloom + PK + CalMag — EC 1.8",IF(AND('🌱 Configuração'!$B$51+96&gt;='🌱 Configuração'!$D$51,'🌱 Configuração'!$B$51+96&lt;'🌱 Configuração'!$E$51,INT(('🌱 Configuração'!$B$51+96-'🌱 Configuração'!$D$51)/7)+1=4,MOD('🌱 Configuração'!$B$51+96-'🌱 Configuração'!$D$51,7)=0),"🌸 Bloom + PK + Boost Floral — EC 2.0",IF(AND('🌱 Configuração'!$B$51+96&gt;='🌱 Configuração'!$D$51,'🌱 Configuração'!$B$51+96&lt;'🌱 Configuração'!$E$51,INT(('🌱 Configuração'!$B$51+96-'🌱 Configuração'!$D$51)/7)+1=5,MOD('🌱 Configuração'!$B$51+96-'🌱 Configuração'!$D$51,7)=0),"🌸 Bloom + Boost + Amino",IF(AND('🌱 Configuração'!$B$51+96&gt;='🌱 Configuração'!$D$51,'🌱 Configuração'!$B$51+96&lt;'🌱 Configuração'!$E$51,INT(('🌱 Configuração'!$B$51+96-'🌱 Configuração'!$D$51)/7)+1=6,MOD('🌱 Configuração'!$B$51+96-'🌱 Configuração'!$D$51,7)=0),"🌸 Bloom + Enzimas + Amino",IF(AND('🌱 Configuração'!$B$51+96&gt;='🌱 Configuração'!$D$51,'🌱 Configuração'!$B$51+96&lt;'🌱 Configuração'!$E$51,INT(('🌱 Configuração'!$B$51+96-'🌱 Configuração'!$D$51)/7)+1=7,MOD('🌱 Configuração'!$B$51+96-'🌱 Configuração'!$D$51,7)=0),"🌸 Reduzir N — Bloom puro — EC 1.6",IF(AND('🌱 Configuração'!$B$51+96&gt;='🌱 Configuração'!$D$51,'🌱 Configuração'!$B$51+96&lt;'🌱 Configuração'!$E$51,INT(('🌱 Configuração'!$B$51+96-'🌱 Configuração'!$D$51)/7)+1=8,MOD('🌱 Configuração'!$B$51+96-'🌱 Configuração'!$D$51,7)=0),"🌸 Bloom puro — EC 1.4  (pré-flush)",IF(AND('🌱 Configuração'!$B$51+96&gt;='🌱 Configuração'!$D$51,'🌱 Configuração'!$B$51+96&lt;'🌱 Configuração'!$E$51,INT(('🌱 Configuração'!$B$51+96-'🌱 Configuração'!$D$51)/7)+1=9,MOD('🌱 Configuração'!$B$51+96-'🌱 Configuração'!$D$51,7)=0),"🌸 Último Bloom — EC 0.8",IF(AND('🌱 Configuração'!$B$51+96&gt;='🌱 Configuração'!$E$51,INT(('🌱 Configuração'!$B$51+96-'🌱 Configuração'!$E$51)/7)+1=1,MOD('🌱 Configuração'!$B$51+96-'🌱 Configuração'!$E$51,7)=0),"🚿 Água pura + Enzimas (EC &lt; 0.3)",IF(AND('🌱 Configuração'!$B$51+96&gt;='🌱 Configuração'!$E$51,INT(('🌱 Configuração'!$B$51+96-'🌱 Configuração'!$E$51)/7)+1=2,MOD('🌱 Configuração'!$B$51+96-'🌱 Configuração'!$E$51,7)=0),"🚿 Água pura (EC &lt; 0.2)",""))))))))))))))))))))))</f>
        <v/>
      </c>
      <c r="G102" s="30" t="str">
        <f>IF(97&gt;'🌱 Configuração'!$F$50,"",IF(AND('🌱 Configuração'!$B$51+96&lt;'🌱 Configuração'!$C$51,INT((97-1)/7)+1=1,MOD(97-1,7)=0),"🐛 Nim 2mL/L foliar — preventivo",IF(AND('🌱 Configuração'!$B$51+96&lt;'🌱 Configuração'!$C$51,INT((97-1)/7)+1=2,MOD(97-1,7)=0),"🐛 Beauveria bassiana foliar + solo",IF(AND('🌱 Configuração'!$B$51+96&gt;='🌱 Configuração'!$C$51,'🌱 Configuração'!$B$51+96&lt;'🌱 Configuração'!$D$51,INT(('🌱 Configuração'!$B$51+96-'🌱 Configuração'!$C$51)/7)+1=1,MOD('🌱 Configuração'!$B$51+96-'🌱 Configuração'!$C$51,7)=0),"🐛 Nim 2mL/L foliar",IF(AND('🌱 Configuração'!$B$51+96&gt;='🌱 Configuração'!$C$51,'🌱 Configuração'!$B$51+96&lt;'🌱 Configuração'!$D$51,INT(('🌱 Configuração'!$B$51+96-'🌱 Configuração'!$C$51)/7)+1=2,MOD('🌱 Configuração'!$B$51+96-'🌱 Configuração'!$C$51,7)=0),"🐛 Beauveria bassiana foliar",IF(AND('🌱 Configuração'!$B$51+96&gt;='🌱 Configuração'!$C$51,'🌱 Configuração'!$B$51+96&lt;'🌱 Configuração'!$D$51,INT(('🌱 Configuração'!$B$51+96-'🌱 Configuração'!$C$51)/7)+1=3,MOD('🌱 Configuração'!$B$51+96-'🌱 Configuração'!$C$51,7)=0),"🐛 Nim + Calda Sulfocálcica 1%",IF(AND('🌱 Configuração'!$B$51+96&gt;='🌱 Configuração'!$C$51,'🌱 Configuração'!$B$51+96&lt;'🌱 Configuração'!$D$51,INT(('🌱 Configuração'!$B$51+96-'🌱 Configuração'!$C$51)/7)+1=4,MOD('🌱 Configuração'!$B$51+96-'🌱 Configuração'!$C$51,7)=0),"🐛 Trichoderma solo + Beauveria",IF(AND('🌱 Configuração'!$B$51+96&gt;='🌱 Configuração'!$C$51,'🌱 Configuração'!$B$51+96&lt;'🌱 Configuração'!$D$51,INT(('🌱 Configuração'!$B$51+96-'🌱 Configuração'!$C$51)/7)+1=5,MOD('🌱 Configuração'!$B$51+96-'🌱 Configuração'!$C$51,7)=0),"🐛 Calda Bordalesa 0.5% foliar",IF(AND('🌱 Configuração'!$B$51+96&gt;='🌱 Configuração'!$C$51,'🌱 Configuração'!$B$51+96&lt;'🌱 Configuração'!$D$51,INT(('🌱 Configuração'!$B$51+96-'🌱 Configuração'!$C$51)/7)+1=6,MOD('🌱 Configuração'!$B$51+96-'🌱 Configuração'!$C$51,7)=0),"🐛 Nim 2mL/L — ÚLTIMA foliar",IF(AND('🌱 Configuração'!$B$51+96&gt;='🌱 Configuração'!$D$51,'🌱 Configuração'!$B$51+96&lt;'🌱 Configuração'!$E$51,INT(('🌱 Configuração'!$B$51+96-'🌱 Configuração'!$D$51)/7)+1=1,MOD('🌱 Configuração'!$B$51+96-'🌱 Configuração'!$D$51,7)=0),"🐛 Beauveria bassiana solo (sem foliar)",IF(AND('🌱 Configuração'!$B$51+96&gt;='🌱 Configuração'!$D$51,'🌱 Configuração'!$B$51+96&lt;'🌱 Configuração'!$E$51,INT(('🌱 Configuração'!$B$51+96-'🌱 Configuração'!$D$51)/7)+1=2,MOD('🌱 Configuração'!$B$51+96-'🌱 Configuração'!$D$51,7)=0),"🐛 Trichoderma solo",IF(AND('🌱 Configuração'!$B$51+96&gt;='🌱 Configuração'!$D$51,'🌱 Configuração'!$B$51+96&lt;'🌱 Configuração'!$E$51,INT(('🌱 Configuração'!$B$51+96-'🌱 Configuração'!$D$51)/7)+1=3,MOD('🌱 Configuração'!$B$51+96-'🌱 Configuração'!$D$51,7)=0),"🐛 Beauveria bassiana solo",IF(AND('🌱 Configuração'!$B$51+96&gt;='🌱 Configuração'!$D$51,'🌱 Configuração'!$B$51+96&lt;'🌱 Configuração'!$E$51,INT(('🌱 Configuração'!$B$51+96-'🌱 Configuração'!$D$51)/7)+1=4,MOD('🌱 Configuração'!$B$51+96-'🌱 Configuração'!$D$51,7)=0),"🐛 Trichoderma solo",IF(AND('🌱 Configuração'!$B$51+96&gt;='🌱 Configuração'!$E$51,INT(('🌱 Configuração'!$B$51+96-'🌱 Configuração'!$E$51)/7)+1=1,MOD('🌱 Configuração'!$B$51+96-'🌱 Configuração'!$E$51,7)=0),"🐛 Inspeção final — sem aplicação",""))))))))))))))</f>
        <v/>
      </c>
      <c r="H102" s="22" t="str">
        <f>IF(97&gt;'🌱 Configuração'!$F$50,"",IF('🌱 Configuração'!$B$51+96='🌱 Configuração'!$C$51,"🌿 INÍCIO VEGA — ajustar espaço, luz 18h/dia — EC 0.8",IF('🌱 Configuração'!$B$51+96='🌱 Configuração'!$D$51,"🌸 INÍCIO FLORAÇÃO — mudar para 12h/12h — 🔴 atenção ao fotoperíodo",IF('🌱 Configuração'!$B$51+96='🌱 Configuração'!$E$51,"🚿 INÍCIO FLUSH — PARAR nutrição, somente água pura",IF('🌱 Configuração'!$B$51+96='🌱 Configuração'!$F$51-1,"🔬 Véspera da colheita — analisar tricomas âmbar",IF('🌱 Configuração'!$B$51+96='🌱 Configuração'!$F$51,"✂️ COLHEITA! Parabéns! 🎉",""))))))</f>
        <v/>
      </c>
    </row>
    <row r="103" spans="2:8" ht="18.75" customHeight="1" x14ac:dyDescent="0.3">
      <c r="B103" s="25">
        <f>IF(98&lt;='🌱 Configuração'!$F$50,98,"")</f>
        <v>98</v>
      </c>
      <c r="C103" s="26">
        <f>IF(98&lt;='🌱 Configuração'!$F$50,'🌱 Configuração'!$B$51+97,"")</f>
        <v>46120</v>
      </c>
      <c r="D103" s="27" t="str">
        <f>IF(98&gt;'🌱 Configuração'!$F$50,"",IF('🌱 Configuração'!$B$51+97&lt;'🌱 Configuração'!$C$51,"🌱 Clone",IF('🌱 Configuração'!$B$51+97&lt;'🌱 Configuração'!$D$51,"🌿 Vegetativo",IF('🌱 Configuração'!$B$51+97&lt;'🌱 Configuração'!$E$51,"🌸 Floração","🚿 Flush"))))</f>
        <v>🌸 Floração</v>
      </c>
      <c r="E103" s="28" t="str">
        <f>IF(98&gt;'🌱 Configuração'!$F$50,"",IF('🌱 Configuração'!$B$51+97&lt;'🌱 Configuração'!$C$51,"Clone S"&amp;INT((98-1)/7)+1,IF('🌱 Configuração'!$B$51+97&lt;'🌱 Configuração'!$D$51,"Vega S"&amp;INT(('🌱 Configuração'!$B$51+97-'🌱 Configuração'!$C$51)/7)+1,IF('🌱 Configuração'!$B$51+97&lt;'🌱 Configuração'!$E$51,"Flora S"&amp;INT(('🌱 Configuração'!$B$51+97-'🌱 Configuração'!$D$51)/7)+1,"Flush S"&amp;INT(('🌱 Configuração'!$B$51+97-'🌱 Configuração'!$E$51)/7)+1))))</f>
        <v>Flora S6</v>
      </c>
      <c r="F103" s="29" t="str">
        <f>IF(98&gt;'🌱 Configuração'!$F$50,"",IF(AND('🌱 Configuração'!$B$51+97&lt;'🌱 Configuração'!$C$51,INT((98-1)/7)+1=1,MOD(98-1,7)=0),"🌱 Enraizador (0.5 mL/L)",IF(AND('🌱 Configuração'!$B$51+97&lt;'🌱 Configuração'!$C$51,INT((98-1)/7)+1=2,MOD(98-1,7)=0),"🌱 Enraizador + Vitamina B1",IF(AND('🌱 Configuração'!$B$51+97&gt;='🌱 Configuração'!$C$51,'🌱 Configuração'!$B$51+97&lt;'🌱 Configuração'!$D$51,INT(('🌱 Configuração'!$B$51+97-'🌱 Configuração'!$C$51)/7)+1=1,MOD('🌱 Configuração'!$B$51+97-'🌱 Configuração'!$C$51,7)=0),"🌿 Grow A+B início — EC 0.8",IF(AND('🌱 Configuração'!$B$51+97&gt;='🌱 Configuração'!$C$51,'🌱 Configuração'!$B$51+97&lt;'🌱 Configuração'!$D$51,INT(('🌱 Configuração'!$B$51+97-'🌱 Configuração'!$C$51)/7)+1=2,MOD('🌱 Configuração'!$B$51+97-'🌱 Configuração'!$C$51,7)=0),"🌿 Grow A+B + CalMag — EC 1.0",IF(AND('🌱 Configuração'!$B$51+97&gt;='🌱 Configuração'!$C$51,'🌱 Configuração'!$B$51+97&lt;'🌱 Configuração'!$D$51,INT(('🌱 Configuração'!$B$51+97-'🌱 Configuração'!$C$51)/7)+1=3,MOD('🌱 Configuração'!$B$51+97-'🌱 Configuração'!$C$51,7)=0),"🌿 Grow A+B + CalMag — EC 1.2",IF(AND('🌱 Configuração'!$B$51+97&gt;='🌱 Configuração'!$C$51,'🌱 Configuração'!$B$51+97&lt;'🌱 Configuração'!$D$51,INT(('🌱 Configuração'!$B$51+97-'🌱 Configuração'!$C$51)/7)+1=4,MOD('🌱 Configuração'!$B$51+97-'🌱 Configuração'!$C$51,7)=0),"🌿 Grow A+B + Enzimas — EC 1.4",IF(AND('🌱 Configuração'!$B$51+97&gt;='🌱 Configuração'!$C$51,'🌱 Configuração'!$B$51+97&lt;'🌱 Configuração'!$D$51,INT(('🌱 Configuração'!$B$51+97-'🌱 Configuração'!$C$51)/7)+1=5,MOD('🌱 Configuração'!$B$51+97-'🌱 Configuração'!$C$51,7)=0),"🌿 Grow A+B + Biorrizas — EC 1.5",IF(AND('🌱 Configuração'!$B$51+97&gt;='🌱 Configuração'!$C$51,'🌱 Configuração'!$B$51+97&lt;'🌱 Configuração'!$D$51,INT(('🌱 Configuração'!$B$51+97-'🌱 Configuração'!$C$51)/7)+1=6,MOD('🌱 Configuração'!$B$51+97-'🌱 Configuração'!$C$51,7)=0),"🌿 Transição Bloom — EC 1.4",IF(AND('🌱 Configuração'!$B$51+97&gt;='🌱 Configuração'!$C$51,'🌱 Configuração'!$B$51+97&lt;'🌱 Configuração'!$D$51,INT(('🌱 Configuração'!$B$51+97-'🌱 Configuração'!$C$51)/7)+1=7,MOD('🌱 Configuração'!$B$51+97-'🌱 Configuração'!$C$51,7)=0),"🌿 Bloom A+B transição — EC 1.4",IF(AND('🌱 Configuração'!$B$51+97&gt;='🌱 Configuração'!$C$51,'🌱 Configuração'!$B$51+97&lt;'🌱 Configuração'!$D$51,INT(('🌱 Configuração'!$B$51+97-'🌱 Configuração'!$C$51)/7)+1=8,MOD('🌱 Configuração'!$B$51+97-'🌱 Configuração'!$C$51,7)=0),"🌿 Bloom A+B — EC 1.4",IF(AND('🌱 Configuração'!$B$51+97&gt;='🌱 Configuração'!$D$51,'🌱 Configuração'!$B$51+97&lt;'🌱 Configuração'!$E$51,INT(('🌱 Configuração'!$B$51+97-'🌱 Configuração'!$D$51)/7)+1=1,MOD('🌱 Configuração'!$B$51+97-'🌱 Configuração'!$D$51,7)=0),"🌸 Bloom A+B — EC 1.6",IF(AND('🌱 Configuração'!$B$51+97&gt;='🌱 Configuração'!$D$51,'🌱 Configuração'!$B$51+97&lt;'🌱 Configuração'!$E$51,INT(('🌱 Configuração'!$B$51+97-'🌱 Configuração'!$D$51)/7)+1=2,MOD('🌱 Configuração'!$B$51+97-'🌱 Configuração'!$D$51,7)=0),"🌸 Bloom + PK 13/14 início",IF(AND('🌱 Configuração'!$B$51+97&gt;='🌱 Configuração'!$D$51,'🌱 Configuração'!$B$51+97&lt;'🌱 Configuração'!$E$51,INT(('🌱 Configuração'!$B$51+97-'🌱 Configuração'!$D$51)/7)+1=3,MOD('🌱 Configuração'!$B$51+97-'🌱 Configuração'!$D$51,7)=0),"🌸 Bloom + PK + CalMag — EC 1.8",IF(AND('🌱 Configuração'!$B$51+97&gt;='🌱 Configuração'!$D$51,'🌱 Configuração'!$B$51+97&lt;'🌱 Configuração'!$E$51,INT(('🌱 Configuração'!$B$51+97-'🌱 Configuração'!$D$51)/7)+1=4,MOD('🌱 Configuração'!$B$51+97-'🌱 Configuração'!$D$51,7)=0),"🌸 Bloom + PK + Boost Floral — EC 2.0",IF(AND('🌱 Configuração'!$B$51+97&gt;='🌱 Configuração'!$D$51,'🌱 Configuração'!$B$51+97&lt;'🌱 Configuração'!$E$51,INT(('🌱 Configuração'!$B$51+97-'🌱 Configuração'!$D$51)/7)+1=5,MOD('🌱 Configuração'!$B$51+97-'🌱 Configuração'!$D$51,7)=0),"🌸 Bloom + Boost + Amino",IF(AND('🌱 Configuração'!$B$51+97&gt;='🌱 Configuração'!$D$51,'🌱 Configuração'!$B$51+97&lt;'🌱 Configuração'!$E$51,INT(('🌱 Configuração'!$B$51+97-'🌱 Configuração'!$D$51)/7)+1=6,MOD('🌱 Configuração'!$B$51+97-'🌱 Configuração'!$D$51,7)=0),"🌸 Bloom + Enzimas + Amino",IF(AND('🌱 Configuração'!$B$51+97&gt;='🌱 Configuração'!$D$51,'🌱 Configuração'!$B$51+97&lt;'🌱 Configuração'!$E$51,INT(('🌱 Configuração'!$B$51+97-'🌱 Configuração'!$D$51)/7)+1=7,MOD('🌱 Configuração'!$B$51+97-'🌱 Configuração'!$D$51,7)=0),"🌸 Reduzir N — Bloom puro — EC 1.6",IF(AND('🌱 Configuração'!$B$51+97&gt;='🌱 Configuração'!$D$51,'🌱 Configuração'!$B$51+97&lt;'🌱 Configuração'!$E$51,INT(('🌱 Configuração'!$B$51+97-'🌱 Configuração'!$D$51)/7)+1=8,MOD('🌱 Configuração'!$B$51+97-'🌱 Configuração'!$D$51,7)=0),"🌸 Bloom puro — EC 1.4  (pré-flush)",IF(AND('🌱 Configuração'!$B$51+97&gt;='🌱 Configuração'!$D$51,'🌱 Configuração'!$B$51+97&lt;'🌱 Configuração'!$E$51,INT(('🌱 Configuração'!$B$51+97-'🌱 Configuração'!$D$51)/7)+1=9,MOD('🌱 Configuração'!$B$51+97-'🌱 Configuração'!$D$51,7)=0),"🌸 Último Bloom — EC 0.8",IF(AND('🌱 Configuração'!$B$51+97&gt;='🌱 Configuração'!$E$51,INT(('🌱 Configuração'!$B$51+97-'🌱 Configuração'!$E$51)/7)+1=1,MOD('🌱 Configuração'!$B$51+97-'🌱 Configuração'!$E$51,7)=0),"🚿 Água pura + Enzimas (EC &lt; 0.3)",IF(AND('🌱 Configuração'!$B$51+97&gt;='🌱 Configuração'!$E$51,INT(('🌱 Configuração'!$B$51+97-'🌱 Configuração'!$E$51)/7)+1=2,MOD('🌱 Configuração'!$B$51+97-'🌱 Configuração'!$E$51,7)=0),"🚿 Água pura (EC &lt; 0.2)",""))))))))))))))))))))))</f>
        <v/>
      </c>
      <c r="G103" s="30" t="str">
        <f>IF(98&gt;'🌱 Configuração'!$F$50,"",IF(AND('🌱 Configuração'!$B$51+97&lt;'🌱 Configuração'!$C$51,INT((98-1)/7)+1=1,MOD(98-1,7)=0),"🐛 Nim 2mL/L foliar — preventivo",IF(AND('🌱 Configuração'!$B$51+97&lt;'🌱 Configuração'!$C$51,INT((98-1)/7)+1=2,MOD(98-1,7)=0),"🐛 Beauveria bassiana foliar + solo",IF(AND('🌱 Configuração'!$B$51+97&gt;='🌱 Configuração'!$C$51,'🌱 Configuração'!$B$51+97&lt;'🌱 Configuração'!$D$51,INT(('🌱 Configuração'!$B$51+97-'🌱 Configuração'!$C$51)/7)+1=1,MOD('🌱 Configuração'!$B$51+97-'🌱 Configuração'!$C$51,7)=0),"🐛 Nim 2mL/L foliar",IF(AND('🌱 Configuração'!$B$51+97&gt;='🌱 Configuração'!$C$51,'🌱 Configuração'!$B$51+97&lt;'🌱 Configuração'!$D$51,INT(('🌱 Configuração'!$B$51+97-'🌱 Configuração'!$C$51)/7)+1=2,MOD('🌱 Configuração'!$B$51+97-'🌱 Configuração'!$C$51,7)=0),"🐛 Beauveria bassiana foliar",IF(AND('🌱 Configuração'!$B$51+97&gt;='🌱 Configuração'!$C$51,'🌱 Configuração'!$B$51+97&lt;'🌱 Configuração'!$D$51,INT(('🌱 Configuração'!$B$51+97-'🌱 Configuração'!$C$51)/7)+1=3,MOD('🌱 Configuração'!$B$51+97-'🌱 Configuração'!$C$51,7)=0),"🐛 Nim + Calda Sulfocálcica 1%",IF(AND('🌱 Configuração'!$B$51+97&gt;='🌱 Configuração'!$C$51,'🌱 Configuração'!$B$51+97&lt;'🌱 Configuração'!$D$51,INT(('🌱 Configuração'!$B$51+97-'🌱 Configuração'!$C$51)/7)+1=4,MOD('🌱 Configuração'!$B$51+97-'🌱 Configuração'!$C$51,7)=0),"🐛 Trichoderma solo + Beauveria",IF(AND('🌱 Configuração'!$B$51+97&gt;='🌱 Configuração'!$C$51,'🌱 Configuração'!$B$51+97&lt;'🌱 Configuração'!$D$51,INT(('🌱 Configuração'!$B$51+97-'🌱 Configuração'!$C$51)/7)+1=5,MOD('🌱 Configuração'!$B$51+97-'🌱 Configuração'!$C$51,7)=0),"🐛 Calda Bordalesa 0.5% foliar",IF(AND('🌱 Configuração'!$B$51+97&gt;='🌱 Configuração'!$C$51,'🌱 Configuração'!$B$51+97&lt;'🌱 Configuração'!$D$51,INT(('🌱 Configuração'!$B$51+97-'🌱 Configuração'!$C$51)/7)+1=6,MOD('🌱 Configuração'!$B$51+97-'🌱 Configuração'!$C$51,7)=0),"🐛 Nim 2mL/L — ÚLTIMA foliar",IF(AND('🌱 Configuração'!$B$51+97&gt;='🌱 Configuração'!$D$51,'🌱 Configuração'!$B$51+97&lt;'🌱 Configuração'!$E$51,INT(('🌱 Configuração'!$B$51+97-'🌱 Configuração'!$D$51)/7)+1=1,MOD('🌱 Configuração'!$B$51+97-'🌱 Configuração'!$D$51,7)=0),"🐛 Beauveria bassiana solo (sem foliar)",IF(AND('🌱 Configuração'!$B$51+97&gt;='🌱 Configuração'!$D$51,'🌱 Configuração'!$B$51+97&lt;'🌱 Configuração'!$E$51,INT(('🌱 Configuração'!$B$51+97-'🌱 Configuração'!$D$51)/7)+1=2,MOD('🌱 Configuração'!$B$51+97-'🌱 Configuração'!$D$51,7)=0),"🐛 Trichoderma solo",IF(AND('🌱 Configuração'!$B$51+97&gt;='🌱 Configuração'!$D$51,'🌱 Configuração'!$B$51+97&lt;'🌱 Configuração'!$E$51,INT(('🌱 Configuração'!$B$51+97-'🌱 Configuração'!$D$51)/7)+1=3,MOD('🌱 Configuração'!$B$51+97-'🌱 Configuração'!$D$51,7)=0),"🐛 Beauveria bassiana solo",IF(AND('🌱 Configuração'!$B$51+97&gt;='🌱 Configuração'!$D$51,'🌱 Configuração'!$B$51+97&lt;'🌱 Configuração'!$E$51,INT(('🌱 Configuração'!$B$51+97-'🌱 Configuração'!$D$51)/7)+1=4,MOD('🌱 Configuração'!$B$51+97-'🌱 Configuração'!$D$51,7)=0),"🐛 Trichoderma solo",IF(AND('🌱 Configuração'!$B$51+97&gt;='🌱 Configuração'!$E$51,INT(('🌱 Configuração'!$B$51+97-'🌱 Configuração'!$E$51)/7)+1=1,MOD('🌱 Configuração'!$B$51+97-'🌱 Configuração'!$E$51,7)=0),"🐛 Inspeção final — sem aplicação",""))))))))))))))</f>
        <v/>
      </c>
      <c r="H103" s="22" t="str">
        <f>IF(98&gt;'🌱 Configuração'!$F$50,"",IF('🌱 Configuração'!$B$51+97='🌱 Configuração'!$C$51,"🌿 INÍCIO VEGA — ajustar espaço, luz 18h/dia — EC 0.8",IF('🌱 Configuração'!$B$51+97='🌱 Configuração'!$D$51,"🌸 INÍCIO FLORAÇÃO — mudar para 12h/12h — 🔴 atenção ao fotoperíodo",IF('🌱 Configuração'!$B$51+97='🌱 Configuração'!$E$51,"🚿 INÍCIO FLUSH — PARAR nutrição, somente água pura",IF('🌱 Configuração'!$B$51+97='🌱 Configuração'!$F$51-1,"🔬 Véspera da colheita — analisar tricomas âmbar",IF('🌱 Configuração'!$B$51+97='🌱 Configuração'!$F$51,"✂️ COLHEITA! Parabéns! 🎉",""))))))</f>
        <v/>
      </c>
    </row>
    <row r="104" spans="2:8" ht="18.75" customHeight="1" x14ac:dyDescent="0.3">
      <c r="B104" s="25">
        <f>IF(99&lt;='🌱 Configuração'!$F$50,99,"")</f>
        <v>99</v>
      </c>
      <c r="C104" s="26">
        <f>IF(99&lt;='🌱 Configuração'!$F$50,'🌱 Configuração'!$B$51+98,"")</f>
        <v>46121</v>
      </c>
      <c r="D104" s="27" t="str">
        <f>IF(99&gt;'🌱 Configuração'!$F$50,"",IF('🌱 Configuração'!$B$51+98&lt;'🌱 Configuração'!$C$51,"🌱 Clone",IF('🌱 Configuração'!$B$51+98&lt;'🌱 Configuração'!$D$51,"🌿 Vegetativo",IF('🌱 Configuração'!$B$51+98&lt;'🌱 Configuração'!$E$51,"🌸 Floração","🚿 Flush"))))</f>
        <v>🌸 Floração</v>
      </c>
      <c r="E104" s="28" t="str">
        <f>IF(99&gt;'🌱 Configuração'!$F$50,"",IF('🌱 Configuração'!$B$51+98&lt;'🌱 Configuração'!$C$51,"Clone S"&amp;INT((99-1)/7)+1,IF('🌱 Configuração'!$B$51+98&lt;'🌱 Configuração'!$D$51,"Vega S"&amp;INT(('🌱 Configuração'!$B$51+98-'🌱 Configuração'!$C$51)/7)+1,IF('🌱 Configuração'!$B$51+98&lt;'🌱 Configuração'!$E$51,"Flora S"&amp;INT(('🌱 Configuração'!$B$51+98-'🌱 Configuração'!$D$51)/7)+1,"Flush S"&amp;INT(('🌱 Configuração'!$B$51+98-'🌱 Configuração'!$E$51)/7)+1))))</f>
        <v>Flora S7</v>
      </c>
      <c r="F104" s="29" t="str">
        <f>IF(99&gt;'🌱 Configuração'!$F$50,"",IF(AND('🌱 Configuração'!$B$51+98&lt;'🌱 Configuração'!$C$51,INT((99-1)/7)+1=1,MOD(99-1,7)=0),"🌱 Enraizador (0.5 mL/L)",IF(AND('🌱 Configuração'!$B$51+98&lt;'🌱 Configuração'!$C$51,INT((99-1)/7)+1=2,MOD(99-1,7)=0),"🌱 Enraizador + Vitamina B1",IF(AND('🌱 Configuração'!$B$51+98&gt;='🌱 Configuração'!$C$51,'🌱 Configuração'!$B$51+98&lt;'🌱 Configuração'!$D$51,INT(('🌱 Configuração'!$B$51+98-'🌱 Configuração'!$C$51)/7)+1=1,MOD('🌱 Configuração'!$B$51+98-'🌱 Configuração'!$C$51,7)=0),"🌿 Grow A+B início — EC 0.8",IF(AND('🌱 Configuração'!$B$51+98&gt;='🌱 Configuração'!$C$51,'🌱 Configuração'!$B$51+98&lt;'🌱 Configuração'!$D$51,INT(('🌱 Configuração'!$B$51+98-'🌱 Configuração'!$C$51)/7)+1=2,MOD('🌱 Configuração'!$B$51+98-'🌱 Configuração'!$C$51,7)=0),"🌿 Grow A+B + CalMag — EC 1.0",IF(AND('🌱 Configuração'!$B$51+98&gt;='🌱 Configuração'!$C$51,'🌱 Configuração'!$B$51+98&lt;'🌱 Configuração'!$D$51,INT(('🌱 Configuração'!$B$51+98-'🌱 Configuração'!$C$51)/7)+1=3,MOD('🌱 Configuração'!$B$51+98-'🌱 Configuração'!$C$51,7)=0),"🌿 Grow A+B + CalMag — EC 1.2",IF(AND('🌱 Configuração'!$B$51+98&gt;='🌱 Configuração'!$C$51,'🌱 Configuração'!$B$51+98&lt;'🌱 Configuração'!$D$51,INT(('🌱 Configuração'!$B$51+98-'🌱 Configuração'!$C$51)/7)+1=4,MOD('🌱 Configuração'!$B$51+98-'🌱 Configuração'!$C$51,7)=0),"🌿 Grow A+B + Enzimas — EC 1.4",IF(AND('🌱 Configuração'!$B$51+98&gt;='🌱 Configuração'!$C$51,'🌱 Configuração'!$B$51+98&lt;'🌱 Configuração'!$D$51,INT(('🌱 Configuração'!$B$51+98-'🌱 Configuração'!$C$51)/7)+1=5,MOD('🌱 Configuração'!$B$51+98-'🌱 Configuração'!$C$51,7)=0),"🌿 Grow A+B + Biorrizas — EC 1.5",IF(AND('🌱 Configuração'!$B$51+98&gt;='🌱 Configuração'!$C$51,'🌱 Configuração'!$B$51+98&lt;'🌱 Configuração'!$D$51,INT(('🌱 Configuração'!$B$51+98-'🌱 Configuração'!$C$51)/7)+1=6,MOD('🌱 Configuração'!$B$51+98-'🌱 Configuração'!$C$51,7)=0),"🌿 Transição Bloom — EC 1.4",IF(AND('🌱 Configuração'!$B$51+98&gt;='🌱 Configuração'!$C$51,'🌱 Configuração'!$B$51+98&lt;'🌱 Configuração'!$D$51,INT(('🌱 Configuração'!$B$51+98-'🌱 Configuração'!$C$51)/7)+1=7,MOD('🌱 Configuração'!$B$51+98-'🌱 Configuração'!$C$51,7)=0),"🌿 Bloom A+B transição — EC 1.4",IF(AND('🌱 Configuração'!$B$51+98&gt;='🌱 Configuração'!$C$51,'🌱 Configuração'!$B$51+98&lt;'🌱 Configuração'!$D$51,INT(('🌱 Configuração'!$B$51+98-'🌱 Configuração'!$C$51)/7)+1=8,MOD('🌱 Configuração'!$B$51+98-'🌱 Configuração'!$C$51,7)=0),"🌿 Bloom A+B — EC 1.4",IF(AND('🌱 Configuração'!$B$51+98&gt;='🌱 Configuração'!$D$51,'🌱 Configuração'!$B$51+98&lt;'🌱 Configuração'!$E$51,INT(('🌱 Configuração'!$B$51+98-'🌱 Configuração'!$D$51)/7)+1=1,MOD('🌱 Configuração'!$B$51+98-'🌱 Configuração'!$D$51,7)=0),"🌸 Bloom A+B — EC 1.6",IF(AND('🌱 Configuração'!$B$51+98&gt;='🌱 Configuração'!$D$51,'🌱 Configuração'!$B$51+98&lt;'🌱 Configuração'!$E$51,INT(('🌱 Configuração'!$B$51+98-'🌱 Configuração'!$D$51)/7)+1=2,MOD('🌱 Configuração'!$B$51+98-'🌱 Configuração'!$D$51,7)=0),"🌸 Bloom + PK 13/14 início",IF(AND('🌱 Configuração'!$B$51+98&gt;='🌱 Configuração'!$D$51,'🌱 Configuração'!$B$51+98&lt;'🌱 Configuração'!$E$51,INT(('🌱 Configuração'!$B$51+98-'🌱 Configuração'!$D$51)/7)+1=3,MOD('🌱 Configuração'!$B$51+98-'🌱 Configuração'!$D$51,7)=0),"🌸 Bloom + PK + CalMag — EC 1.8",IF(AND('🌱 Configuração'!$B$51+98&gt;='🌱 Configuração'!$D$51,'🌱 Configuração'!$B$51+98&lt;'🌱 Configuração'!$E$51,INT(('🌱 Configuração'!$B$51+98-'🌱 Configuração'!$D$51)/7)+1=4,MOD('🌱 Configuração'!$B$51+98-'🌱 Configuração'!$D$51,7)=0),"🌸 Bloom + PK + Boost Floral — EC 2.0",IF(AND('🌱 Configuração'!$B$51+98&gt;='🌱 Configuração'!$D$51,'🌱 Configuração'!$B$51+98&lt;'🌱 Configuração'!$E$51,INT(('🌱 Configuração'!$B$51+98-'🌱 Configuração'!$D$51)/7)+1=5,MOD('🌱 Configuração'!$B$51+98-'🌱 Configuração'!$D$51,7)=0),"🌸 Bloom + Boost + Amino",IF(AND('🌱 Configuração'!$B$51+98&gt;='🌱 Configuração'!$D$51,'🌱 Configuração'!$B$51+98&lt;'🌱 Configuração'!$E$51,INT(('🌱 Configuração'!$B$51+98-'🌱 Configuração'!$D$51)/7)+1=6,MOD('🌱 Configuração'!$B$51+98-'🌱 Configuração'!$D$51,7)=0),"🌸 Bloom + Enzimas + Amino",IF(AND('🌱 Configuração'!$B$51+98&gt;='🌱 Configuração'!$D$51,'🌱 Configuração'!$B$51+98&lt;'🌱 Configuração'!$E$51,INT(('🌱 Configuração'!$B$51+98-'🌱 Configuração'!$D$51)/7)+1=7,MOD('🌱 Configuração'!$B$51+98-'🌱 Configuração'!$D$51,7)=0),"🌸 Reduzir N — Bloom puro — EC 1.6",IF(AND('🌱 Configuração'!$B$51+98&gt;='🌱 Configuração'!$D$51,'🌱 Configuração'!$B$51+98&lt;'🌱 Configuração'!$E$51,INT(('🌱 Configuração'!$B$51+98-'🌱 Configuração'!$D$51)/7)+1=8,MOD('🌱 Configuração'!$B$51+98-'🌱 Configuração'!$D$51,7)=0),"🌸 Bloom puro — EC 1.4  (pré-flush)",IF(AND('🌱 Configuração'!$B$51+98&gt;='🌱 Configuração'!$D$51,'🌱 Configuração'!$B$51+98&lt;'🌱 Configuração'!$E$51,INT(('🌱 Configuração'!$B$51+98-'🌱 Configuração'!$D$51)/7)+1=9,MOD('🌱 Configuração'!$B$51+98-'🌱 Configuração'!$D$51,7)=0),"🌸 Último Bloom — EC 0.8",IF(AND('🌱 Configuração'!$B$51+98&gt;='🌱 Configuração'!$E$51,INT(('🌱 Configuração'!$B$51+98-'🌱 Configuração'!$E$51)/7)+1=1,MOD('🌱 Configuração'!$B$51+98-'🌱 Configuração'!$E$51,7)=0),"🚿 Água pura + Enzimas (EC &lt; 0.3)",IF(AND('🌱 Configuração'!$B$51+98&gt;='🌱 Configuração'!$E$51,INT(('🌱 Configuração'!$B$51+98-'🌱 Configuração'!$E$51)/7)+1=2,MOD('🌱 Configuração'!$B$51+98-'🌱 Configuração'!$E$51,7)=0),"🚿 Água pura (EC &lt; 0.2)",""))))))))))))))))))))))</f>
        <v>🌸 Reduzir N — Bloom puro — EC 1.6</v>
      </c>
      <c r="G104" s="30" t="str">
        <f>IF(99&gt;'🌱 Configuração'!$F$50,"",IF(AND('🌱 Configuração'!$B$51+98&lt;'🌱 Configuração'!$C$51,INT((99-1)/7)+1=1,MOD(99-1,7)=0),"🐛 Nim 2mL/L foliar — preventivo",IF(AND('🌱 Configuração'!$B$51+98&lt;'🌱 Configuração'!$C$51,INT((99-1)/7)+1=2,MOD(99-1,7)=0),"🐛 Beauveria bassiana foliar + solo",IF(AND('🌱 Configuração'!$B$51+98&gt;='🌱 Configuração'!$C$51,'🌱 Configuração'!$B$51+98&lt;'🌱 Configuração'!$D$51,INT(('🌱 Configuração'!$B$51+98-'🌱 Configuração'!$C$51)/7)+1=1,MOD('🌱 Configuração'!$B$51+98-'🌱 Configuração'!$C$51,7)=0),"🐛 Nim 2mL/L foliar",IF(AND('🌱 Configuração'!$B$51+98&gt;='🌱 Configuração'!$C$51,'🌱 Configuração'!$B$51+98&lt;'🌱 Configuração'!$D$51,INT(('🌱 Configuração'!$B$51+98-'🌱 Configuração'!$C$51)/7)+1=2,MOD('🌱 Configuração'!$B$51+98-'🌱 Configuração'!$C$51,7)=0),"🐛 Beauveria bassiana foliar",IF(AND('🌱 Configuração'!$B$51+98&gt;='🌱 Configuração'!$C$51,'🌱 Configuração'!$B$51+98&lt;'🌱 Configuração'!$D$51,INT(('🌱 Configuração'!$B$51+98-'🌱 Configuração'!$C$51)/7)+1=3,MOD('🌱 Configuração'!$B$51+98-'🌱 Configuração'!$C$51,7)=0),"🐛 Nim + Calda Sulfocálcica 1%",IF(AND('🌱 Configuração'!$B$51+98&gt;='🌱 Configuração'!$C$51,'🌱 Configuração'!$B$51+98&lt;'🌱 Configuração'!$D$51,INT(('🌱 Configuração'!$B$51+98-'🌱 Configuração'!$C$51)/7)+1=4,MOD('🌱 Configuração'!$B$51+98-'🌱 Configuração'!$C$51,7)=0),"🐛 Trichoderma solo + Beauveria",IF(AND('🌱 Configuração'!$B$51+98&gt;='🌱 Configuração'!$C$51,'🌱 Configuração'!$B$51+98&lt;'🌱 Configuração'!$D$51,INT(('🌱 Configuração'!$B$51+98-'🌱 Configuração'!$C$51)/7)+1=5,MOD('🌱 Configuração'!$B$51+98-'🌱 Configuração'!$C$51,7)=0),"🐛 Calda Bordalesa 0.5% foliar",IF(AND('🌱 Configuração'!$B$51+98&gt;='🌱 Configuração'!$C$51,'🌱 Configuração'!$B$51+98&lt;'🌱 Configuração'!$D$51,INT(('🌱 Configuração'!$B$51+98-'🌱 Configuração'!$C$51)/7)+1=6,MOD('🌱 Configuração'!$B$51+98-'🌱 Configuração'!$C$51,7)=0),"🐛 Nim 2mL/L — ÚLTIMA foliar",IF(AND('🌱 Configuração'!$B$51+98&gt;='🌱 Configuração'!$D$51,'🌱 Configuração'!$B$51+98&lt;'🌱 Configuração'!$E$51,INT(('🌱 Configuração'!$B$51+98-'🌱 Configuração'!$D$51)/7)+1=1,MOD('🌱 Configuração'!$B$51+98-'🌱 Configuração'!$D$51,7)=0),"🐛 Beauveria bassiana solo (sem foliar)",IF(AND('🌱 Configuração'!$B$51+98&gt;='🌱 Configuração'!$D$51,'🌱 Configuração'!$B$51+98&lt;'🌱 Configuração'!$E$51,INT(('🌱 Configuração'!$B$51+98-'🌱 Configuração'!$D$51)/7)+1=2,MOD('🌱 Configuração'!$B$51+98-'🌱 Configuração'!$D$51,7)=0),"🐛 Trichoderma solo",IF(AND('🌱 Configuração'!$B$51+98&gt;='🌱 Configuração'!$D$51,'🌱 Configuração'!$B$51+98&lt;'🌱 Configuração'!$E$51,INT(('🌱 Configuração'!$B$51+98-'🌱 Configuração'!$D$51)/7)+1=3,MOD('🌱 Configuração'!$B$51+98-'🌱 Configuração'!$D$51,7)=0),"🐛 Beauveria bassiana solo",IF(AND('🌱 Configuração'!$B$51+98&gt;='🌱 Configuração'!$D$51,'🌱 Configuração'!$B$51+98&lt;'🌱 Configuração'!$E$51,INT(('🌱 Configuração'!$B$51+98-'🌱 Configuração'!$D$51)/7)+1=4,MOD('🌱 Configuração'!$B$51+98-'🌱 Configuração'!$D$51,7)=0),"🐛 Trichoderma solo",IF(AND('🌱 Configuração'!$B$51+98&gt;='🌱 Configuração'!$E$51,INT(('🌱 Configuração'!$B$51+98-'🌱 Configuração'!$E$51)/7)+1=1,MOD('🌱 Configuração'!$B$51+98-'🌱 Configuração'!$E$51,7)=0),"🐛 Inspeção final — sem aplicação",""))))))))))))))</f>
        <v/>
      </c>
      <c r="H104" s="22" t="str">
        <f>IF(99&gt;'🌱 Configuração'!$F$50,"",IF('🌱 Configuração'!$B$51+98='🌱 Configuração'!$C$51,"🌿 INÍCIO VEGA — ajustar espaço, luz 18h/dia — EC 0.8",IF('🌱 Configuração'!$B$51+98='🌱 Configuração'!$D$51,"🌸 INÍCIO FLORAÇÃO — mudar para 12h/12h — 🔴 atenção ao fotoperíodo",IF('🌱 Configuração'!$B$51+98='🌱 Configuração'!$E$51,"🚿 INÍCIO FLUSH — PARAR nutrição, somente água pura",IF('🌱 Configuração'!$B$51+98='🌱 Configuração'!$F$51-1,"🔬 Véspera da colheita — analisar tricomas âmbar",IF('🌱 Configuração'!$B$51+98='🌱 Configuração'!$F$51,"✂️ COLHEITA! Parabéns! 🎉",""))))))</f>
        <v/>
      </c>
    </row>
    <row r="105" spans="2:8" ht="18.75" customHeight="1" x14ac:dyDescent="0.3">
      <c r="B105" s="25">
        <f>IF(100&lt;='🌱 Configuração'!$F$50,100,"")</f>
        <v>100</v>
      </c>
      <c r="C105" s="26">
        <f>IF(100&lt;='🌱 Configuração'!$F$50,'🌱 Configuração'!$B$51+99,"")</f>
        <v>46122</v>
      </c>
      <c r="D105" s="27" t="str">
        <f>IF(100&gt;'🌱 Configuração'!$F$50,"",IF('🌱 Configuração'!$B$51+99&lt;'🌱 Configuração'!$C$51,"🌱 Clone",IF('🌱 Configuração'!$B$51+99&lt;'🌱 Configuração'!$D$51,"🌿 Vegetativo",IF('🌱 Configuração'!$B$51+99&lt;'🌱 Configuração'!$E$51,"🌸 Floração","🚿 Flush"))))</f>
        <v>🌸 Floração</v>
      </c>
      <c r="E105" s="28" t="str">
        <f>IF(100&gt;'🌱 Configuração'!$F$50,"",IF('🌱 Configuração'!$B$51+99&lt;'🌱 Configuração'!$C$51,"Clone S"&amp;INT((100-1)/7)+1,IF('🌱 Configuração'!$B$51+99&lt;'🌱 Configuração'!$D$51,"Vega S"&amp;INT(('🌱 Configuração'!$B$51+99-'🌱 Configuração'!$C$51)/7)+1,IF('🌱 Configuração'!$B$51+99&lt;'🌱 Configuração'!$E$51,"Flora S"&amp;INT(('🌱 Configuração'!$B$51+99-'🌱 Configuração'!$D$51)/7)+1,"Flush S"&amp;INT(('🌱 Configuração'!$B$51+99-'🌱 Configuração'!$E$51)/7)+1))))</f>
        <v>Flora S7</v>
      </c>
      <c r="F105" s="29" t="str">
        <f>IF(100&gt;'🌱 Configuração'!$F$50,"",IF(AND('🌱 Configuração'!$B$51+99&lt;'🌱 Configuração'!$C$51,INT((100-1)/7)+1=1,MOD(100-1,7)=0),"🌱 Enraizador (0.5 mL/L)",IF(AND('🌱 Configuração'!$B$51+99&lt;'🌱 Configuração'!$C$51,INT((100-1)/7)+1=2,MOD(100-1,7)=0),"🌱 Enraizador + Vitamina B1",IF(AND('🌱 Configuração'!$B$51+99&gt;='🌱 Configuração'!$C$51,'🌱 Configuração'!$B$51+99&lt;'🌱 Configuração'!$D$51,INT(('🌱 Configuração'!$B$51+99-'🌱 Configuração'!$C$51)/7)+1=1,MOD('🌱 Configuração'!$B$51+99-'🌱 Configuração'!$C$51,7)=0),"🌿 Grow A+B início — EC 0.8",IF(AND('🌱 Configuração'!$B$51+99&gt;='🌱 Configuração'!$C$51,'🌱 Configuração'!$B$51+99&lt;'🌱 Configuração'!$D$51,INT(('🌱 Configuração'!$B$51+99-'🌱 Configuração'!$C$51)/7)+1=2,MOD('🌱 Configuração'!$B$51+99-'🌱 Configuração'!$C$51,7)=0),"🌿 Grow A+B + CalMag — EC 1.0",IF(AND('🌱 Configuração'!$B$51+99&gt;='🌱 Configuração'!$C$51,'🌱 Configuração'!$B$51+99&lt;'🌱 Configuração'!$D$51,INT(('🌱 Configuração'!$B$51+99-'🌱 Configuração'!$C$51)/7)+1=3,MOD('🌱 Configuração'!$B$51+99-'🌱 Configuração'!$C$51,7)=0),"🌿 Grow A+B + CalMag — EC 1.2",IF(AND('🌱 Configuração'!$B$51+99&gt;='🌱 Configuração'!$C$51,'🌱 Configuração'!$B$51+99&lt;'🌱 Configuração'!$D$51,INT(('🌱 Configuração'!$B$51+99-'🌱 Configuração'!$C$51)/7)+1=4,MOD('🌱 Configuração'!$B$51+99-'🌱 Configuração'!$C$51,7)=0),"🌿 Grow A+B + Enzimas — EC 1.4",IF(AND('🌱 Configuração'!$B$51+99&gt;='🌱 Configuração'!$C$51,'🌱 Configuração'!$B$51+99&lt;'🌱 Configuração'!$D$51,INT(('🌱 Configuração'!$B$51+99-'🌱 Configuração'!$C$51)/7)+1=5,MOD('🌱 Configuração'!$B$51+99-'🌱 Configuração'!$C$51,7)=0),"🌿 Grow A+B + Biorrizas — EC 1.5",IF(AND('🌱 Configuração'!$B$51+99&gt;='🌱 Configuração'!$C$51,'🌱 Configuração'!$B$51+99&lt;'🌱 Configuração'!$D$51,INT(('🌱 Configuração'!$B$51+99-'🌱 Configuração'!$C$51)/7)+1=6,MOD('🌱 Configuração'!$B$51+99-'🌱 Configuração'!$C$51,7)=0),"🌿 Transição Bloom — EC 1.4",IF(AND('🌱 Configuração'!$B$51+99&gt;='🌱 Configuração'!$C$51,'🌱 Configuração'!$B$51+99&lt;'🌱 Configuração'!$D$51,INT(('🌱 Configuração'!$B$51+99-'🌱 Configuração'!$C$51)/7)+1=7,MOD('🌱 Configuração'!$B$51+99-'🌱 Configuração'!$C$51,7)=0),"🌿 Bloom A+B transição — EC 1.4",IF(AND('🌱 Configuração'!$B$51+99&gt;='🌱 Configuração'!$C$51,'🌱 Configuração'!$B$51+99&lt;'🌱 Configuração'!$D$51,INT(('🌱 Configuração'!$B$51+99-'🌱 Configuração'!$C$51)/7)+1=8,MOD('🌱 Configuração'!$B$51+99-'🌱 Configuração'!$C$51,7)=0),"🌿 Bloom A+B — EC 1.4",IF(AND('🌱 Configuração'!$B$51+99&gt;='🌱 Configuração'!$D$51,'🌱 Configuração'!$B$51+99&lt;'🌱 Configuração'!$E$51,INT(('🌱 Configuração'!$B$51+99-'🌱 Configuração'!$D$51)/7)+1=1,MOD('🌱 Configuração'!$B$51+99-'🌱 Configuração'!$D$51,7)=0),"🌸 Bloom A+B — EC 1.6",IF(AND('🌱 Configuração'!$B$51+99&gt;='🌱 Configuração'!$D$51,'🌱 Configuração'!$B$51+99&lt;'🌱 Configuração'!$E$51,INT(('🌱 Configuração'!$B$51+99-'🌱 Configuração'!$D$51)/7)+1=2,MOD('🌱 Configuração'!$B$51+99-'🌱 Configuração'!$D$51,7)=0),"🌸 Bloom + PK 13/14 início",IF(AND('🌱 Configuração'!$B$51+99&gt;='🌱 Configuração'!$D$51,'🌱 Configuração'!$B$51+99&lt;'🌱 Configuração'!$E$51,INT(('🌱 Configuração'!$B$51+99-'🌱 Configuração'!$D$51)/7)+1=3,MOD('🌱 Configuração'!$B$51+99-'🌱 Configuração'!$D$51,7)=0),"🌸 Bloom + PK + CalMag — EC 1.8",IF(AND('🌱 Configuração'!$B$51+99&gt;='🌱 Configuração'!$D$51,'🌱 Configuração'!$B$51+99&lt;'🌱 Configuração'!$E$51,INT(('🌱 Configuração'!$B$51+99-'🌱 Configuração'!$D$51)/7)+1=4,MOD('🌱 Configuração'!$B$51+99-'🌱 Configuração'!$D$51,7)=0),"🌸 Bloom + PK + Boost Floral — EC 2.0",IF(AND('🌱 Configuração'!$B$51+99&gt;='🌱 Configuração'!$D$51,'🌱 Configuração'!$B$51+99&lt;'🌱 Configuração'!$E$51,INT(('🌱 Configuração'!$B$51+99-'🌱 Configuração'!$D$51)/7)+1=5,MOD('🌱 Configuração'!$B$51+99-'🌱 Configuração'!$D$51,7)=0),"🌸 Bloom + Boost + Amino",IF(AND('🌱 Configuração'!$B$51+99&gt;='🌱 Configuração'!$D$51,'🌱 Configuração'!$B$51+99&lt;'🌱 Configuração'!$E$51,INT(('🌱 Configuração'!$B$51+99-'🌱 Configuração'!$D$51)/7)+1=6,MOD('🌱 Configuração'!$B$51+99-'🌱 Configuração'!$D$51,7)=0),"🌸 Bloom + Enzimas + Amino",IF(AND('🌱 Configuração'!$B$51+99&gt;='🌱 Configuração'!$D$51,'🌱 Configuração'!$B$51+99&lt;'🌱 Configuração'!$E$51,INT(('🌱 Configuração'!$B$51+99-'🌱 Configuração'!$D$51)/7)+1=7,MOD('🌱 Configuração'!$B$51+99-'🌱 Configuração'!$D$51,7)=0),"🌸 Reduzir N — Bloom puro — EC 1.6",IF(AND('🌱 Configuração'!$B$51+99&gt;='🌱 Configuração'!$D$51,'🌱 Configuração'!$B$51+99&lt;'🌱 Configuração'!$E$51,INT(('🌱 Configuração'!$B$51+99-'🌱 Configuração'!$D$51)/7)+1=8,MOD('🌱 Configuração'!$B$51+99-'🌱 Configuração'!$D$51,7)=0),"🌸 Bloom puro — EC 1.4  (pré-flush)",IF(AND('🌱 Configuração'!$B$51+99&gt;='🌱 Configuração'!$D$51,'🌱 Configuração'!$B$51+99&lt;'🌱 Configuração'!$E$51,INT(('🌱 Configuração'!$B$51+99-'🌱 Configuração'!$D$51)/7)+1=9,MOD('🌱 Configuração'!$B$51+99-'🌱 Configuração'!$D$51,7)=0),"🌸 Último Bloom — EC 0.8",IF(AND('🌱 Configuração'!$B$51+99&gt;='🌱 Configuração'!$E$51,INT(('🌱 Configuração'!$B$51+99-'🌱 Configuração'!$E$51)/7)+1=1,MOD('🌱 Configuração'!$B$51+99-'🌱 Configuração'!$E$51,7)=0),"🚿 Água pura + Enzimas (EC &lt; 0.3)",IF(AND('🌱 Configuração'!$B$51+99&gt;='🌱 Configuração'!$E$51,INT(('🌱 Configuração'!$B$51+99-'🌱 Configuração'!$E$51)/7)+1=2,MOD('🌱 Configuração'!$B$51+99-'🌱 Configuração'!$E$51,7)=0),"🚿 Água pura (EC &lt; 0.2)",""))))))))))))))))))))))</f>
        <v/>
      </c>
      <c r="G105" s="30" t="str">
        <f>IF(100&gt;'🌱 Configuração'!$F$50,"",IF(AND('🌱 Configuração'!$B$51+99&lt;'🌱 Configuração'!$C$51,INT((100-1)/7)+1=1,MOD(100-1,7)=0),"🐛 Nim 2mL/L foliar — preventivo",IF(AND('🌱 Configuração'!$B$51+99&lt;'🌱 Configuração'!$C$51,INT((100-1)/7)+1=2,MOD(100-1,7)=0),"🐛 Beauveria bassiana foliar + solo",IF(AND('🌱 Configuração'!$B$51+99&gt;='🌱 Configuração'!$C$51,'🌱 Configuração'!$B$51+99&lt;'🌱 Configuração'!$D$51,INT(('🌱 Configuração'!$B$51+99-'🌱 Configuração'!$C$51)/7)+1=1,MOD('🌱 Configuração'!$B$51+99-'🌱 Configuração'!$C$51,7)=0),"🐛 Nim 2mL/L foliar",IF(AND('🌱 Configuração'!$B$51+99&gt;='🌱 Configuração'!$C$51,'🌱 Configuração'!$B$51+99&lt;'🌱 Configuração'!$D$51,INT(('🌱 Configuração'!$B$51+99-'🌱 Configuração'!$C$51)/7)+1=2,MOD('🌱 Configuração'!$B$51+99-'🌱 Configuração'!$C$51,7)=0),"🐛 Beauveria bassiana foliar",IF(AND('🌱 Configuração'!$B$51+99&gt;='🌱 Configuração'!$C$51,'🌱 Configuração'!$B$51+99&lt;'🌱 Configuração'!$D$51,INT(('🌱 Configuração'!$B$51+99-'🌱 Configuração'!$C$51)/7)+1=3,MOD('🌱 Configuração'!$B$51+99-'🌱 Configuração'!$C$51,7)=0),"🐛 Nim + Calda Sulfocálcica 1%",IF(AND('🌱 Configuração'!$B$51+99&gt;='🌱 Configuração'!$C$51,'🌱 Configuração'!$B$51+99&lt;'🌱 Configuração'!$D$51,INT(('🌱 Configuração'!$B$51+99-'🌱 Configuração'!$C$51)/7)+1=4,MOD('🌱 Configuração'!$B$51+99-'🌱 Configuração'!$C$51,7)=0),"🐛 Trichoderma solo + Beauveria",IF(AND('🌱 Configuração'!$B$51+99&gt;='🌱 Configuração'!$C$51,'🌱 Configuração'!$B$51+99&lt;'🌱 Configuração'!$D$51,INT(('🌱 Configuração'!$B$51+99-'🌱 Configuração'!$C$51)/7)+1=5,MOD('🌱 Configuração'!$B$51+99-'🌱 Configuração'!$C$51,7)=0),"🐛 Calda Bordalesa 0.5% foliar",IF(AND('🌱 Configuração'!$B$51+99&gt;='🌱 Configuração'!$C$51,'🌱 Configuração'!$B$51+99&lt;'🌱 Configuração'!$D$51,INT(('🌱 Configuração'!$B$51+99-'🌱 Configuração'!$C$51)/7)+1=6,MOD('🌱 Configuração'!$B$51+99-'🌱 Configuração'!$C$51,7)=0),"🐛 Nim 2mL/L — ÚLTIMA foliar",IF(AND('🌱 Configuração'!$B$51+99&gt;='🌱 Configuração'!$D$51,'🌱 Configuração'!$B$51+99&lt;'🌱 Configuração'!$E$51,INT(('🌱 Configuração'!$B$51+99-'🌱 Configuração'!$D$51)/7)+1=1,MOD('🌱 Configuração'!$B$51+99-'🌱 Configuração'!$D$51,7)=0),"🐛 Beauveria bassiana solo (sem foliar)",IF(AND('🌱 Configuração'!$B$51+99&gt;='🌱 Configuração'!$D$51,'🌱 Configuração'!$B$51+99&lt;'🌱 Configuração'!$E$51,INT(('🌱 Configuração'!$B$51+99-'🌱 Configuração'!$D$51)/7)+1=2,MOD('🌱 Configuração'!$B$51+99-'🌱 Configuração'!$D$51,7)=0),"🐛 Trichoderma solo",IF(AND('🌱 Configuração'!$B$51+99&gt;='🌱 Configuração'!$D$51,'🌱 Configuração'!$B$51+99&lt;'🌱 Configuração'!$E$51,INT(('🌱 Configuração'!$B$51+99-'🌱 Configuração'!$D$51)/7)+1=3,MOD('🌱 Configuração'!$B$51+99-'🌱 Configuração'!$D$51,7)=0),"🐛 Beauveria bassiana solo",IF(AND('🌱 Configuração'!$B$51+99&gt;='🌱 Configuração'!$D$51,'🌱 Configuração'!$B$51+99&lt;'🌱 Configuração'!$E$51,INT(('🌱 Configuração'!$B$51+99-'🌱 Configuração'!$D$51)/7)+1=4,MOD('🌱 Configuração'!$B$51+99-'🌱 Configuração'!$D$51,7)=0),"🐛 Trichoderma solo",IF(AND('🌱 Configuração'!$B$51+99&gt;='🌱 Configuração'!$E$51,INT(('🌱 Configuração'!$B$51+99-'🌱 Configuração'!$E$51)/7)+1=1,MOD('🌱 Configuração'!$B$51+99-'🌱 Configuração'!$E$51,7)=0),"🐛 Inspeção final — sem aplicação",""))))))))))))))</f>
        <v/>
      </c>
      <c r="H105" s="22" t="str">
        <f>IF(100&gt;'🌱 Configuração'!$F$50,"",IF('🌱 Configuração'!$B$51+99='🌱 Configuração'!$C$51,"🌿 INÍCIO VEGA — ajustar espaço, luz 18h/dia — EC 0.8",IF('🌱 Configuração'!$B$51+99='🌱 Configuração'!$D$51,"🌸 INÍCIO FLORAÇÃO — mudar para 12h/12h — 🔴 atenção ao fotoperíodo",IF('🌱 Configuração'!$B$51+99='🌱 Configuração'!$E$51,"🚿 INÍCIO FLUSH — PARAR nutrição, somente água pura",IF('🌱 Configuração'!$B$51+99='🌱 Configuração'!$F$51-1,"🔬 Véspera da colheita — analisar tricomas âmbar",IF('🌱 Configuração'!$B$51+99='🌱 Configuração'!$F$51,"✂️ COLHEITA! Parabéns! 🎉",""))))))</f>
        <v/>
      </c>
    </row>
    <row r="106" spans="2:8" ht="18.75" customHeight="1" x14ac:dyDescent="0.3">
      <c r="B106" s="25">
        <f>IF(101&lt;='🌱 Configuração'!$F$50,101,"")</f>
        <v>101</v>
      </c>
      <c r="C106" s="26">
        <f>IF(101&lt;='🌱 Configuração'!$F$50,'🌱 Configuração'!$B$51+100,"")</f>
        <v>46123</v>
      </c>
      <c r="D106" s="27" t="str">
        <f>IF(101&gt;'🌱 Configuração'!$F$50,"",IF('🌱 Configuração'!$B$51+100&lt;'🌱 Configuração'!$C$51,"🌱 Clone",IF('🌱 Configuração'!$B$51+100&lt;'🌱 Configuração'!$D$51,"🌿 Vegetativo",IF('🌱 Configuração'!$B$51+100&lt;'🌱 Configuração'!$E$51,"🌸 Floração","🚿 Flush"))))</f>
        <v>🌸 Floração</v>
      </c>
      <c r="E106" s="28" t="str">
        <f>IF(101&gt;'🌱 Configuração'!$F$50,"",IF('🌱 Configuração'!$B$51+100&lt;'🌱 Configuração'!$C$51,"Clone S"&amp;INT((101-1)/7)+1,IF('🌱 Configuração'!$B$51+100&lt;'🌱 Configuração'!$D$51,"Vega S"&amp;INT(('🌱 Configuração'!$B$51+100-'🌱 Configuração'!$C$51)/7)+1,IF('🌱 Configuração'!$B$51+100&lt;'🌱 Configuração'!$E$51,"Flora S"&amp;INT(('🌱 Configuração'!$B$51+100-'🌱 Configuração'!$D$51)/7)+1,"Flush S"&amp;INT(('🌱 Configuração'!$B$51+100-'🌱 Configuração'!$E$51)/7)+1))))</f>
        <v>Flora S7</v>
      </c>
      <c r="F106" s="29" t="str">
        <f>IF(101&gt;'🌱 Configuração'!$F$50,"",IF(AND('🌱 Configuração'!$B$51+100&lt;'🌱 Configuração'!$C$51,INT((101-1)/7)+1=1,MOD(101-1,7)=0),"🌱 Enraizador (0.5 mL/L)",IF(AND('🌱 Configuração'!$B$51+100&lt;'🌱 Configuração'!$C$51,INT((101-1)/7)+1=2,MOD(101-1,7)=0),"🌱 Enraizador + Vitamina B1",IF(AND('🌱 Configuração'!$B$51+100&gt;='🌱 Configuração'!$C$51,'🌱 Configuração'!$B$51+100&lt;'🌱 Configuração'!$D$51,INT(('🌱 Configuração'!$B$51+100-'🌱 Configuração'!$C$51)/7)+1=1,MOD('🌱 Configuração'!$B$51+100-'🌱 Configuração'!$C$51,7)=0),"🌿 Grow A+B início — EC 0.8",IF(AND('🌱 Configuração'!$B$51+100&gt;='🌱 Configuração'!$C$51,'🌱 Configuração'!$B$51+100&lt;'🌱 Configuração'!$D$51,INT(('🌱 Configuração'!$B$51+100-'🌱 Configuração'!$C$51)/7)+1=2,MOD('🌱 Configuração'!$B$51+100-'🌱 Configuração'!$C$51,7)=0),"🌿 Grow A+B + CalMag — EC 1.0",IF(AND('🌱 Configuração'!$B$51+100&gt;='🌱 Configuração'!$C$51,'🌱 Configuração'!$B$51+100&lt;'🌱 Configuração'!$D$51,INT(('🌱 Configuração'!$B$51+100-'🌱 Configuração'!$C$51)/7)+1=3,MOD('🌱 Configuração'!$B$51+100-'🌱 Configuração'!$C$51,7)=0),"🌿 Grow A+B + CalMag — EC 1.2",IF(AND('🌱 Configuração'!$B$51+100&gt;='🌱 Configuração'!$C$51,'🌱 Configuração'!$B$51+100&lt;'🌱 Configuração'!$D$51,INT(('🌱 Configuração'!$B$51+100-'🌱 Configuração'!$C$51)/7)+1=4,MOD('🌱 Configuração'!$B$51+100-'🌱 Configuração'!$C$51,7)=0),"🌿 Grow A+B + Enzimas — EC 1.4",IF(AND('🌱 Configuração'!$B$51+100&gt;='🌱 Configuração'!$C$51,'🌱 Configuração'!$B$51+100&lt;'🌱 Configuração'!$D$51,INT(('🌱 Configuração'!$B$51+100-'🌱 Configuração'!$C$51)/7)+1=5,MOD('🌱 Configuração'!$B$51+100-'🌱 Configuração'!$C$51,7)=0),"🌿 Grow A+B + Biorrizas — EC 1.5",IF(AND('🌱 Configuração'!$B$51+100&gt;='🌱 Configuração'!$C$51,'🌱 Configuração'!$B$51+100&lt;'🌱 Configuração'!$D$51,INT(('🌱 Configuração'!$B$51+100-'🌱 Configuração'!$C$51)/7)+1=6,MOD('🌱 Configuração'!$B$51+100-'🌱 Configuração'!$C$51,7)=0),"🌿 Transição Bloom — EC 1.4",IF(AND('🌱 Configuração'!$B$51+100&gt;='🌱 Configuração'!$C$51,'🌱 Configuração'!$B$51+100&lt;'🌱 Configuração'!$D$51,INT(('🌱 Configuração'!$B$51+100-'🌱 Configuração'!$C$51)/7)+1=7,MOD('🌱 Configuração'!$B$51+100-'🌱 Configuração'!$C$51,7)=0),"🌿 Bloom A+B transição — EC 1.4",IF(AND('🌱 Configuração'!$B$51+100&gt;='🌱 Configuração'!$C$51,'🌱 Configuração'!$B$51+100&lt;'🌱 Configuração'!$D$51,INT(('🌱 Configuração'!$B$51+100-'🌱 Configuração'!$C$51)/7)+1=8,MOD('🌱 Configuração'!$B$51+100-'🌱 Configuração'!$C$51,7)=0),"🌿 Bloom A+B — EC 1.4",IF(AND('🌱 Configuração'!$B$51+100&gt;='🌱 Configuração'!$D$51,'🌱 Configuração'!$B$51+100&lt;'🌱 Configuração'!$E$51,INT(('🌱 Configuração'!$B$51+100-'🌱 Configuração'!$D$51)/7)+1=1,MOD('🌱 Configuração'!$B$51+100-'🌱 Configuração'!$D$51,7)=0),"🌸 Bloom A+B — EC 1.6",IF(AND('🌱 Configuração'!$B$51+100&gt;='🌱 Configuração'!$D$51,'🌱 Configuração'!$B$51+100&lt;'🌱 Configuração'!$E$51,INT(('🌱 Configuração'!$B$51+100-'🌱 Configuração'!$D$51)/7)+1=2,MOD('🌱 Configuração'!$B$51+100-'🌱 Configuração'!$D$51,7)=0),"🌸 Bloom + PK 13/14 início",IF(AND('🌱 Configuração'!$B$51+100&gt;='🌱 Configuração'!$D$51,'🌱 Configuração'!$B$51+100&lt;'🌱 Configuração'!$E$51,INT(('🌱 Configuração'!$B$51+100-'🌱 Configuração'!$D$51)/7)+1=3,MOD('🌱 Configuração'!$B$51+100-'🌱 Configuração'!$D$51,7)=0),"🌸 Bloom + PK + CalMag — EC 1.8",IF(AND('🌱 Configuração'!$B$51+100&gt;='🌱 Configuração'!$D$51,'🌱 Configuração'!$B$51+100&lt;'🌱 Configuração'!$E$51,INT(('🌱 Configuração'!$B$51+100-'🌱 Configuração'!$D$51)/7)+1=4,MOD('🌱 Configuração'!$B$51+100-'🌱 Configuração'!$D$51,7)=0),"🌸 Bloom + PK + Boost Floral — EC 2.0",IF(AND('🌱 Configuração'!$B$51+100&gt;='🌱 Configuração'!$D$51,'🌱 Configuração'!$B$51+100&lt;'🌱 Configuração'!$E$51,INT(('🌱 Configuração'!$B$51+100-'🌱 Configuração'!$D$51)/7)+1=5,MOD('🌱 Configuração'!$B$51+100-'🌱 Configuração'!$D$51,7)=0),"🌸 Bloom + Boost + Amino",IF(AND('🌱 Configuração'!$B$51+100&gt;='🌱 Configuração'!$D$51,'🌱 Configuração'!$B$51+100&lt;'🌱 Configuração'!$E$51,INT(('🌱 Configuração'!$B$51+100-'🌱 Configuração'!$D$51)/7)+1=6,MOD('🌱 Configuração'!$B$51+100-'🌱 Configuração'!$D$51,7)=0),"🌸 Bloom + Enzimas + Amino",IF(AND('🌱 Configuração'!$B$51+100&gt;='🌱 Configuração'!$D$51,'🌱 Configuração'!$B$51+100&lt;'🌱 Configuração'!$E$51,INT(('🌱 Configuração'!$B$51+100-'🌱 Configuração'!$D$51)/7)+1=7,MOD('🌱 Configuração'!$B$51+100-'🌱 Configuração'!$D$51,7)=0),"🌸 Reduzir N — Bloom puro — EC 1.6",IF(AND('🌱 Configuração'!$B$51+100&gt;='🌱 Configuração'!$D$51,'🌱 Configuração'!$B$51+100&lt;'🌱 Configuração'!$E$51,INT(('🌱 Configuração'!$B$51+100-'🌱 Configuração'!$D$51)/7)+1=8,MOD('🌱 Configuração'!$B$51+100-'🌱 Configuração'!$D$51,7)=0),"🌸 Bloom puro — EC 1.4  (pré-flush)",IF(AND('🌱 Configuração'!$B$51+100&gt;='🌱 Configuração'!$D$51,'🌱 Configuração'!$B$51+100&lt;'🌱 Configuração'!$E$51,INT(('🌱 Configuração'!$B$51+100-'🌱 Configuração'!$D$51)/7)+1=9,MOD('🌱 Configuração'!$B$51+100-'🌱 Configuração'!$D$51,7)=0),"🌸 Último Bloom — EC 0.8",IF(AND('🌱 Configuração'!$B$51+100&gt;='🌱 Configuração'!$E$51,INT(('🌱 Configuração'!$B$51+100-'🌱 Configuração'!$E$51)/7)+1=1,MOD('🌱 Configuração'!$B$51+100-'🌱 Configuração'!$E$51,7)=0),"🚿 Água pura + Enzimas (EC &lt; 0.3)",IF(AND('🌱 Configuração'!$B$51+100&gt;='🌱 Configuração'!$E$51,INT(('🌱 Configuração'!$B$51+100-'🌱 Configuração'!$E$51)/7)+1=2,MOD('🌱 Configuração'!$B$51+100-'🌱 Configuração'!$E$51,7)=0),"🚿 Água pura (EC &lt; 0.2)",""))))))))))))))))))))))</f>
        <v/>
      </c>
      <c r="G106" s="30" t="str">
        <f>IF(101&gt;'🌱 Configuração'!$F$50,"",IF(AND('🌱 Configuração'!$B$51+100&lt;'🌱 Configuração'!$C$51,INT((101-1)/7)+1=1,MOD(101-1,7)=0),"🐛 Nim 2mL/L foliar — preventivo",IF(AND('🌱 Configuração'!$B$51+100&lt;'🌱 Configuração'!$C$51,INT((101-1)/7)+1=2,MOD(101-1,7)=0),"🐛 Beauveria bassiana foliar + solo",IF(AND('🌱 Configuração'!$B$51+100&gt;='🌱 Configuração'!$C$51,'🌱 Configuração'!$B$51+100&lt;'🌱 Configuração'!$D$51,INT(('🌱 Configuração'!$B$51+100-'🌱 Configuração'!$C$51)/7)+1=1,MOD('🌱 Configuração'!$B$51+100-'🌱 Configuração'!$C$51,7)=0),"🐛 Nim 2mL/L foliar",IF(AND('🌱 Configuração'!$B$51+100&gt;='🌱 Configuração'!$C$51,'🌱 Configuração'!$B$51+100&lt;'🌱 Configuração'!$D$51,INT(('🌱 Configuração'!$B$51+100-'🌱 Configuração'!$C$51)/7)+1=2,MOD('🌱 Configuração'!$B$51+100-'🌱 Configuração'!$C$51,7)=0),"🐛 Beauveria bassiana foliar",IF(AND('🌱 Configuração'!$B$51+100&gt;='🌱 Configuração'!$C$51,'🌱 Configuração'!$B$51+100&lt;'🌱 Configuração'!$D$51,INT(('🌱 Configuração'!$B$51+100-'🌱 Configuração'!$C$51)/7)+1=3,MOD('🌱 Configuração'!$B$51+100-'🌱 Configuração'!$C$51,7)=0),"🐛 Nim + Calda Sulfocálcica 1%",IF(AND('🌱 Configuração'!$B$51+100&gt;='🌱 Configuração'!$C$51,'🌱 Configuração'!$B$51+100&lt;'🌱 Configuração'!$D$51,INT(('🌱 Configuração'!$B$51+100-'🌱 Configuração'!$C$51)/7)+1=4,MOD('🌱 Configuração'!$B$51+100-'🌱 Configuração'!$C$51,7)=0),"🐛 Trichoderma solo + Beauveria",IF(AND('🌱 Configuração'!$B$51+100&gt;='🌱 Configuração'!$C$51,'🌱 Configuração'!$B$51+100&lt;'🌱 Configuração'!$D$51,INT(('🌱 Configuração'!$B$51+100-'🌱 Configuração'!$C$51)/7)+1=5,MOD('🌱 Configuração'!$B$51+100-'🌱 Configuração'!$C$51,7)=0),"🐛 Calda Bordalesa 0.5% foliar",IF(AND('🌱 Configuração'!$B$51+100&gt;='🌱 Configuração'!$C$51,'🌱 Configuração'!$B$51+100&lt;'🌱 Configuração'!$D$51,INT(('🌱 Configuração'!$B$51+100-'🌱 Configuração'!$C$51)/7)+1=6,MOD('🌱 Configuração'!$B$51+100-'🌱 Configuração'!$C$51,7)=0),"🐛 Nim 2mL/L — ÚLTIMA foliar",IF(AND('🌱 Configuração'!$B$51+100&gt;='🌱 Configuração'!$D$51,'🌱 Configuração'!$B$51+100&lt;'🌱 Configuração'!$E$51,INT(('🌱 Configuração'!$B$51+100-'🌱 Configuração'!$D$51)/7)+1=1,MOD('🌱 Configuração'!$B$51+100-'🌱 Configuração'!$D$51,7)=0),"🐛 Beauveria bassiana solo (sem foliar)",IF(AND('🌱 Configuração'!$B$51+100&gt;='🌱 Configuração'!$D$51,'🌱 Configuração'!$B$51+100&lt;'🌱 Configuração'!$E$51,INT(('🌱 Configuração'!$B$51+100-'🌱 Configuração'!$D$51)/7)+1=2,MOD('🌱 Configuração'!$B$51+100-'🌱 Configuração'!$D$51,7)=0),"🐛 Trichoderma solo",IF(AND('🌱 Configuração'!$B$51+100&gt;='🌱 Configuração'!$D$51,'🌱 Configuração'!$B$51+100&lt;'🌱 Configuração'!$E$51,INT(('🌱 Configuração'!$B$51+100-'🌱 Configuração'!$D$51)/7)+1=3,MOD('🌱 Configuração'!$B$51+100-'🌱 Configuração'!$D$51,7)=0),"🐛 Beauveria bassiana solo",IF(AND('🌱 Configuração'!$B$51+100&gt;='🌱 Configuração'!$D$51,'🌱 Configuração'!$B$51+100&lt;'🌱 Configuração'!$E$51,INT(('🌱 Configuração'!$B$51+100-'🌱 Configuração'!$D$51)/7)+1=4,MOD('🌱 Configuração'!$B$51+100-'🌱 Configuração'!$D$51,7)=0),"🐛 Trichoderma solo",IF(AND('🌱 Configuração'!$B$51+100&gt;='🌱 Configuração'!$E$51,INT(('🌱 Configuração'!$B$51+100-'🌱 Configuração'!$E$51)/7)+1=1,MOD('🌱 Configuração'!$B$51+100-'🌱 Configuração'!$E$51,7)=0),"🐛 Inspeção final — sem aplicação",""))))))))))))))</f>
        <v/>
      </c>
      <c r="H106" s="22" t="str">
        <f>IF(101&gt;'🌱 Configuração'!$F$50,"",IF('🌱 Configuração'!$B$51+100='🌱 Configuração'!$C$51,"🌿 INÍCIO VEGA — ajustar espaço, luz 18h/dia — EC 0.8",IF('🌱 Configuração'!$B$51+100='🌱 Configuração'!$D$51,"🌸 INÍCIO FLORAÇÃO — mudar para 12h/12h — 🔴 atenção ao fotoperíodo",IF('🌱 Configuração'!$B$51+100='🌱 Configuração'!$E$51,"🚿 INÍCIO FLUSH — PARAR nutrição, somente água pura",IF('🌱 Configuração'!$B$51+100='🌱 Configuração'!$F$51-1,"🔬 Véspera da colheita — analisar tricomas âmbar",IF('🌱 Configuração'!$B$51+100='🌱 Configuração'!$F$51,"✂️ COLHEITA! Parabéns! 🎉",""))))))</f>
        <v/>
      </c>
    </row>
    <row r="107" spans="2:8" ht="18.75" customHeight="1" x14ac:dyDescent="0.3">
      <c r="B107" s="25">
        <f>IF(102&lt;='🌱 Configuração'!$F$50,102,"")</f>
        <v>102</v>
      </c>
      <c r="C107" s="26">
        <f>IF(102&lt;='🌱 Configuração'!$F$50,'🌱 Configuração'!$B$51+101,"")</f>
        <v>46124</v>
      </c>
      <c r="D107" s="27" t="str">
        <f>IF(102&gt;'🌱 Configuração'!$F$50,"",IF('🌱 Configuração'!$B$51+101&lt;'🌱 Configuração'!$C$51,"🌱 Clone",IF('🌱 Configuração'!$B$51+101&lt;'🌱 Configuração'!$D$51,"🌿 Vegetativo",IF('🌱 Configuração'!$B$51+101&lt;'🌱 Configuração'!$E$51,"🌸 Floração","🚿 Flush"))))</f>
        <v>🌸 Floração</v>
      </c>
      <c r="E107" s="28" t="str">
        <f>IF(102&gt;'🌱 Configuração'!$F$50,"",IF('🌱 Configuração'!$B$51+101&lt;'🌱 Configuração'!$C$51,"Clone S"&amp;INT((102-1)/7)+1,IF('🌱 Configuração'!$B$51+101&lt;'🌱 Configuração'!$D$51,"Vega S"&amp;INT(('🌱 Configuração'!$B$51+101-'🌱 Configuração'!$C$51)/7)+1,IF('🌱 Configuração'!$B$51+101&lt;'🌱 Configuração'!$E$51,"Flora S"&amp;INT(('🌱 Configuração'!$B$51+101-'🌱 Configuração'!$D$51)/7)+1,"Flush S"&amp;INT(('🌱 Configuração'!$B$51+101-'🌱 Configuração'!$E$51)/7)+1))))</f>
        <v>Flora S7</v>
      </c>
      <c r="F107" s="29" t="str">
        <f>IF(102&gt;'🌱 Configuração'!$F$50,"",IF(AND('🌱 Configuração'!$B$51+101&lt;'🌱 Configuração'!$C$51,INT((102-1)/7)+1=1,MOD(102-1,7)=0),"🌱 Enraizador (0.5 mL/L)",IF(AND('🌱 Configuração'!$B$51+101&lt;'🌱 Configuração'!$C$51,INT((102-1)/7)+1=2,MOD(102-1,7)=0),"🌱 Enraizador + Vitamina B1",IF(AND('🌱 Configuração'!$B$51+101&gt;='🌱 Configuração'!$C$51,'🌱 Configuração'!$B$51+101&lt;'🌱 Configuração'!$D$51,INT(('🌱 Configuração'!$B$51+101-'🌱 Configuração'!$C$51)/7)+1=1,MOD('🌱 Configuração'!$B$51+101-'🌱 Configuração'!$C$51,7)=0),"🌿 Grow A+B início — EC 0.8",IF(AND('🌱 Configuração'!$B$51+101&gt;='🌱 Configuração'!$C$51,'🌱 Configuração'!$B$51+101&lt;'🌱 Configuração'!$D$51,INT(('🌱 Configuração'!$B$51+101-'🌱 Configuração'!$C$51)/7)+1=2,MOD('🌱 Configuração'!$B$51+101-'🌱 Configuração'!$C$51,7)=0),"🌿 Grow A+B + CalMag — EC 1.0",IF(AND('🌱 Configuração'!$B$51+101&gt;='🌱 Configuração'!$C$51,'🌱 Configuração'!$B$51+101&lt;'🌱 Configuração'!$D$51,INT(('🌱 Configuração'!$B$51+101-'🌱 Configuração'!$C$51)/7)+1=3,MOD('🌱 Configuração'!$B$51+101-'🌱 Configuração'!$C$51,7)=0),"🌿 Grow A+B + CalMag — EC 1.2",IF(AND('🌱 Configuração'!$B$51+101&gt;='🌱 Configuração'!$C$51,'🌱 Configuração'!$B$51+101&lt;'🌱 Configuração'!$D$51,INT(('🌱 Configuração'!$B$51+101-'🌱 Configuração'!$C$51)/7)+1=4,MOD('🌱 Configuração'!$B$51+101-'🌱 Configuração'!$C$51,7)=0),"🌿 Grow A+B + Enzimas — EC 1.4",IF(AND('🌱 Configuração'!$B$51+101&gt;='🌱 Configuração'!$C$51,'🌱 Configuração'!$B$51+101&lt;'🌱 Configuração'!$D$51,INT(('🌱 Configuração'!$B$51+101-'🌱 Configuração'!$C$51)/7)+1=5,MOD('🌱 Configuração'!$B$51+101-'🌱 Configuração'!$C$51,7)=0),"🌿 Grow A+B + Biorrizas — EC 1.5",IF(AND('🌱 Configuração'!$B$51+101&gt;='🌱 Configuração'!$C$51,'🌱 Configuração'!$B$51+101&lt;'🌱 Configuração'!$D$51,INT(('🌱 Configuração'!$B$51+101-'🌱 Configuração'!$C$51)/7)+1=6,MOD('🌱 Configuração'!$B$51+101-'🌱 Configuração'!$C$51,7)=0),"🌿 Transição Bloom — EC 1.4",IF(AND('🌱 Configuração'!$B$51+101&gt;='🌱 Configuração'!$C$51,'🌱 Configuração'!$B$51+101&lt;'🌱 Configuração'!$D$51,INT(('🌱 Configuração'!$B$51+101-'🌱 Configuração'!$C$51)/7)+1=7,MOD('🌱 Configuração'!$B$51+101-'🌱 Configuração'!$C$51,7)=0),"🌿 Bloom A+B transição — EC 1.4",IF(AND('🌱 Configuração'!$B$51+101&gt;='🌱 Configuração'!$C$51,'🌱 Configuração'!$B$51+101&lt;'🌱 Configuração'!$D$51,INT(('🌱 Configuração'!$B$51+101-'🌱 Configuração'!$C$51)/7)+1=8,MOD('🌱 Configuração'!$B$51+101-'🌱 Configuração'!$C$51,7)=0),"🌿 Bloom A+B — EC 1.4",IF(AND('🌱 Configuração'!$B$51+101&gt;='🌱 Configuração'!$D$51,'🌱 Configuração'!$B$51+101&lt;'🌱 Configuração'!$E$51,INT(('🌱 Configuração'!$B$51+101-'🌱 Configuração'!$D$51)/7)+1=1,MOD('🌱 Configuração'!$B$51+101-'🌱 Configuração'!$D$51,7)=0),"🌸 Bloom A+B — EC 1.6",IF(AND('🌱 Configuração'!$B$51+101&gt;='🌱 Configuração'!$D$51,'🌱 Configuração'!$B$51+101&lt;'🌱 Configuração'!$E$51,INT(('🌱 Configuração'!$B$51+101-'🌱 Configuração'!$D$51)/7)+1=2,MOD('🌱 Configuração'!$B$51+101-'🌱 Configuração'!$D$51,7)=0),"🌸 Bloom + PK 13/14 início",IF(AND('🌱 Configuração'!$B$51+101&gt;='🌱 Configuração'!$D$51,'🌱 Configuração'!$B$51+101&lt;'🌱 Configuração'!$E$51,INT(('🌱 Configuração'!$B$51+101-'🌱 Configuração'!$D$51)/7)+1=3,MOD('🌱 Configuração'!$B$51+101-'🌱 Configuração'!$D$51,7)=0),"🌸 Bloom + PK + CalMag — EC 1.8",IF(AND('🌱 Configuração'!$B$51+101&gt;='🌱 Configuração'!$D$51,'🌱 Configuração'!$B$51+101&lt;'🌱 Configuração'!$E$51,INT(('🌱 Configuração'!$B$51+101-'🌱 Configuração'!$D$51)/7)+1=4,MOD('🌱 Configuração'!$B$51+101-'🌱 Configuração'!$D$51,7)=0),"🌸 Bloom + PK + Boost Floral — EC 2.0",IF(AND('🌱 Configuração'!$B$51+101&gt;='🌱 Configuração'!$D$51,'🌱 Configuração'!$B$51+101&lt;'🌱 Configuração'!$E$51,INT(('🌱 Configuração'!$B$51+101-'🌱 Configuração'!$D$51)/7)+1=5,MOD('🌱 Configuração'!$B$51+101-'🌱 Configuração'!$D$51,7)=0),"🌸 Bloom + Boost + Amino",IF(AND('🌱 Configuração'!$B$51+101&gt;='🌱 Configuração'!$D$51,'🌱 Configuração'!$B$51+101&lt;'🌱 Configuração'!$E$51,INT(('🌱 Configuração'!$B$51+101-'🌱 Configuração'!$D$51)/7)+1=6,MOD('🌱 Configuração'!$B$51+101-'🌱 Configuração'!$D$51,7)=0),"🌸 Bloom + Enzimas + Amino",IF(AND('🌱 Configuração'!$B$51+101&gt;='🌱 Configuração'!$D$51,'🌱 Configuração'!$B$51+101&lt;'🌱 Configuração'!$E$51,INT(('🌱 Configuração'!$B$51+101-'🌱 Configuração'!$D$51)/7)+1=7,MOD('🌱 Configuração'!$B$51+101-'🌱 Configuração'!$D$51,7)=0),"🌸 Reduzir N — Bloom puro — EC 1.6",IF(AND('🌱 Configuração'!$B$51+101&gt;='🌱 Configuração'!$D$51,'🌱 Configuração'!$B$51+101&lt;'🌱 Configuração'!$E$51,INT(('🌱 Configuração'!$B$51+101-'🌱 Configuração'!$D$51)/7)+1=8,MOD('🌱 Configuração'!$B$51+101-'🌱 Configuração'!$D$51,7)=0),"🌸 Bloom puro — EC 1.4  (pré-flush)",IF(AND('🌱 Configuração'!$B$51+101&gt;='🌱 Configuração'!$D$51,'🌱 Configuração'!$B$51+101&lt;'🌱 Configuração'!$E$51,INT(('🌱 Configuração'!$B$51+101-'🌱 Configuração'!$D$51)/7)+1=9,MOD('🌱 Configuração'!$B$51+101-'🌱 Configuração'!$D$51,7)=0),"🌸 Último Bloom — EC 0.8",IF(AND('🌱 Configuração'!$B$51+101&gt;='🌱 Configuração'!$E$51,INT(('🌱 Configuração'!$B$51+101-'🌱 Configuração'!$E$51)/7)+1=1,MOD('🌱 Configuração'!$B$51+101-'🌱 Configuração'!$E$51,7)=0),"🚿 Água pura + Enzimas (EC &lt; 0.3)",IF(AND('🌱 Configuração'!$B$51+101&gt;='🌱 Configuração'!$E$51,INT(('🌱 Configuração'!$B$51+101-'🌱 Configuração'!$E$51)/7)+1=2,MOD('🌱 Configuração'!$B$51+101-'🌱 Configuração'!$E$51,7)=0),"🚿 Água pura (EC &lt; 0.2)",""))))))))))))))))))))))</f>
        <v/>
      </c>
      <c r="G107" s="30" t="str">
        <f>IF(102&gt;'🌱 Configuração'!$F$50,"",IF(AND('🌱 Configuração'!$B$51+101&lt;'🌱 Configuração'!$C$51,INT((102-1)/7)+1=1,MOD(102-1,7)=0),"🐛 Nim 2mL/L foliar — preventivo",IF(AND('🌱 Configuração'!$B$51+101&lt;'🌱 Configuração'!$C$51,INT((102-1)/7)+1=2,MOD(102-1,7)=0),"🐛 Beauveria bassiana foliar + solo",IF(AND('🌱 Configuração'!$B$51+101&gt;='🌱 Configuração'!$C$51,'🌱 Configuração'!$B$51+101&lt;'🌱 Configuração'!$D$51,INT(('🌱 Configuração'!$B$51+101-'🌱 Configuração'!$C$51)/7)+1=1,MOD('🌱 Configuração'!$B$51+101-'🌱 Configuração'!$C$51,7)=0),"🐛 Nim 2mL/L foliar",IF(AND('🌱 Configuração'!$B$51+101&gt;='🌱 Configuração'!$C$51,'🌱 Configuração'!$B$51+101&lt;'🌱 Configuração'!$D$51,INT(('🌱 Configuração'!$B$51+101-'🌱 Configuração'!$C$51)/7)+1=2,MOD('🌱 Configuração'!$B$51+101-'🌱 Configuração'!$C$51,7)=0),"🐛 Beauveria bassiana foliar",IF(AND('🌱 Configuração'!$B$51+101&gt;='🌱 Configuração'!$C$51,'🌱 Configuração'!$B$51+101&lt;'🌱 Configuração'!$D$51,INT(('🌱 Configuração'!$B$51+101-'🌱 Configuração'!$C$51)/7)+1=3,MOD('🌱 Configuração'!$B$51+101-'🌱 Configuração'!$C$51,7)=0),"🐛 Nim + Calda Sulfocálcica 1%",IF(AND('🌱 Configuração'!$B$51+101&gt;='🌱 Configuração'!$C$51,'🌱 Configuração'!$B$51+101&lt;'🌱 Configuração'!$D$51,INT(('🌱 Configuração'!$B$51+101-'🌱 Configuração'!$C$51)/7)+1=4,MOD('🌱 Configuração'!$B$51+101-'🌱 Configuração'!$C$51,7)=0),"🐛 Trichoderma solo + Beauveria",IF(AND('🌱 Configuração'!$B$51+101&gt;='🌱 Configuração'!$C$51,'🌱 Configuração'!$B$51+101&lt;'🌱 Configuração'!$D$51,INT(('🌱 Configuração'!$B$51+101-'🌱 Configuração'!$C$51)/7)+1=5,MOD('🌱 Configuração'!$B$51+101-'🌱 Configuração'!$C$51,7)=0),"🐛 Calda Bordalesa 0.5% foliar",IF(AND('🌱 Configuração'!$B$51+101&gt;='🌱 Configuração'!$C$51,'🌱 Configuração'!$B$51+101&lt;'🌱 Configuração'!$D$51,INT(('🌱 Configuração'!$B$51+101-'🌱 Configuração'!$C$51)/7)+1=6,MOD('🌱 Configuração'!$B$51+101-'🌱 Configuração'!$C$51,7)=0),"🐛 Nim 2mL/L — ÚLTIMA foliar",IF(AND('🌱 Configuração'!$B$51+101&gt;='🌱 Configuração'!$D$51,'🌱 Configuração'!$B$51+101&lt;'🌱 Configuração'!$E$51,INT(('🌱 Configuração'!$B$51+101-'🌱 Configuração'!$D$51)/7)+1=1,MOD('🌱 Configuração'!$B$51+101-'🌱 Configuração'!$D$51,7)=0),"🐛 Beauveria bassiana solo (sem foliar)",IF(AND('🌱 Configuração'!$B$51+101&gt;='🌱 Configuração'!$D$51,'🌱 Configuração'!$B$51+101&lt;'🌱 Configuração'!$E$51,INT(('🌱 Configuração'!$B$51+101-'🌱 Configuração'!$D$51)/7)+1=2,MOD('🌱 Configuração'!$B$51+101-'🌱 Configuração'!$D$51,7)=0),"🐛 Trichoderma solo",IF(AND('🌱 Configuração'!$B$51+101&gt;='🌱 Configuração'!$D$51,'🌱 Configuração'!$B$51+101&lt;'🌱 Configuração'!$E$51,INT(('🌱 Configuração'!$B$51+101-'🌱 Configuração'!$D$51)/7)+1=3,MOD('🌱 Configuração'!$B$51+101-'🌱 Configuração'!$D$51,7)=0),"🐛 Beauveria bassiana solo",IF(AND('🌱 Configuração'!$B$51+101&gt;='🌱 Configuração'!$D$51,'🌱 Configuração'!$B$51+101&lt;'🌱 Configuração'!$E$51,INT(('🌱 Configuração'!$B$51+101-'🌱 Configuração'!$D$51)/7)+1=4,MOD('🌱 Configuração'!$B$51+101-'🌱 Configuração'!$D$51,7)=0),"🐛 Trichoderma solo",IF(AND('🌱 Configuração'!$B$51+101&gt;='🌱 Configuração'!$E$51,INT(('🌱 Configuração'!$B$51+101-'🌱 Configuração'!$E$51)/7)+1=1,MOD('🌱 Configuração'!$B$51+101-'🌱 Configuração'!$E$51,7)=0),"🐛 Inspeção final — sem aplicação",""))))))))))))))</f>
        <v/>
      </c>
      <c r="H107" s="22" t="str">
        <f>IF(102&gt;'🌱 Configuração'!$F$50,"",IF('🌱 Configuração'!$B$51+101='🌱 Configuração'!$C$51,"🌿 INÍCIO VEGA — ajustar espaço, luz 18h/dia — EC 0.8",IF('🌱 Configuração'!$B$51+101='🌱 Configuração'!$D$51,"🌸 INÍCIO FLORAÇÃO — mudar para 12h/12h — 🔴 atenção ao fotoperíodo",IF('🌱 Configuração'!$B$51+101='🌱 Configuração'!$E$51,"🚿 INÍCIO FLUSH — PARAR nutrição, somente água pura",IF('🌱 Configuração'!$B$51+101='🌱 Configuração'!$F$51-1,"🔬 Véspera da colheita — analisar tricomas âmbar",IF('🌱 Configuração'!$B$51+101='🌱 Configuração'!$F$51,"✂️ COLHEITA! Parabéns! 🎉",""))))))</f>
        <v/>
      </c>
    </row>
    <row r="108" spans="2:8" ht="18.75" customHeight="1" x14ac:dyDescent="0.3">
      <c r="B108" s="25">
        <f>IF(103&lt;='🌱 Configuração'!$F$50,103,"")</f>
        <v>103</v>
      </c>
      <c r="C108" s="26">
        <f>IF(103&lt;='🌱 Configuração'!$F$50,'🌱 Configuração'!$B$51+102,"")</f>
        <v>46125</v>
      </c>
      <c r="D108" s="27" t="str">
        <f>IF(103&gt;'🌱 Configuração'!$F$50,"",IF('🌱 Configuração'!$B$51+102&lt;'🌱 Configuração'!$C$51,"🌱 Clone",IF('🌱 Configuração'!$B$51+102&lt;'🌱 Configuração'!$D$51,"🌿 Vegetativo",IF('🌱 Configuração'!$B$51+102&lt;'🌱 Configuração'!$E$51,"🌸 Floração","🚿 Flush"))))</f>
        <v>🌸 Floração</v>
      </c>
      <c r="E108" s="28" t="str">
        <f>IF(103&gt;'🌱 Configuração'!$F$50,"",IF('🌱 Configuração'!$B$51+102&lt;'🌱 Configuração'!$C$51,"Clone S"&amp;INT((103-1)/7)+1,IF('🌱 Configuração'!$B$51+102&lt;'🌱 Configuração'!$D$51,"Vega S"&amp;INT(('🌱 Configuração'!$B$51+102-'🌱 Configuração'!$C$51)/7)+1,IF('🌱 Configuração'!$B$51+102&lt;'🌱 Configuração'!$E$51,"Flora S"&amp;INT(('🌱 Configuração'!$B$51+102-'🌱 Configuração'!$D$51)/7)+1,"Flush S"&amp;INT(('🌱 Configuração'!$B$51+102-'🌱 Configuração'!$E$51)/7)+1))))</f>
        <v>Flora S7</v>
      </c>
      <c r="F108" s="29" t="str">
        <f>IF(103&gt;'🌱 Configuração'!$F$50,"",IF(AND('🌱 Configuração'!$B$51+102&lt;'🌱 Configuração'!$C$51,INT((103-1)/7)+1=1,MOD(103-1,7)=0),"🌱 Enraizador (0.5 mL/L)",IF(AND('🌱 Configuração'!$B$51+102&lt;'🌱 Configuração'!$C$51,INT((103-1)/7)+1=2,MOD(103-1,7)=0),"🌱 Enraizador + Vitamina B1",IF(AND('🌱 Configuração'!$B$51+102&gt;='🌱 Configuração'!$C$51,'🌱 Configuração'!$B$51+102&lt;'🌱 Configuração'!$D$51,INT(('🌱 Configuração'!$B$51+102-'🌱 Configuração'!$C$51)/7)+1=1,MOD('🌱 Configuração'!$B$51+102-'🌱 Configuração'!$C$51,7)=0),"🌿 Grow A+B início — EC 0.8",IF(AND('🌱 Configuração'!$B$51+102&gt;='🌱 Configuração'!$C$51,'🌱 Configuração'!$B$51+102&lt;'🌱 Configuração'!$D$51,INT(('🌱 Configuração'!$B$51+102-'🌱 Configuração'!$C$51)/7)+1=2,MOD('🌱 Configuração'!$B$51+102-'🌱 Configuração'!$C$51,7)=0),"🌿 Grow A+B + CalMag — EC 1.0",IF(AND('🌱 Configuração'!$B$51+102&gt;='🌱 Configuração'!$C$51,'🌱 Configuração'!$B$51+102&lt;'🌱 Configuração'!$D$51,INT(('🌱 Configuração'!$B$51+102-'🌱 Configuração'!$C$51)/7)+1=3,MOD('🌱 Configuração'!$B$51+102-'🌱 Configuração'!$C$51,7)=0),"🌿 Grow A+B + CalMag — EC 1.2",IF(AND('🌱 Configuração'!$B$51+102&gt;='🌱 Configuração'!$C$51,'🌱 Configuração'!$B$51+102&lt;'🌱 Configuração'!$D$51,INT(('🌱 Configuração'!$B$51+102-'🌱 Configuração'!$C$51)/7)+1=4,MOD('🌱 Configuração'!$B$51+102-'🌱 Configuração'!$C$51,7)=0),"🌿 Grow A+B + Enzimas — EC 1.4",IF(AND('🌱 Configuração'!$B$51+102&gt;='🌱 Configuração'!$C$51,'🌱 Configuração'!$B$51+102&lt;'🌱 Configuração'!$D$51,INT(('🌱 Configuração'!$B$51+102-'🌱 Configuração'!$C$51)/7)+1=5,MOD('🌱 Configuração'!$B$51+102-'🌱 Configuração'!$C$51,7)=0),"🌿 Grow A+B + Biorrizas — EC 1.5",IF(AND('🌱 Configuração'!$B$51+102&gt;='🌱 Configuração'!$C$51,'🌱 Configuração'!$B$51+102&lt;'🌱 Configuração'!$D$51,INT(('🌱 Configuração'!$B$51+102-'🌱 Configuração'!$C$51)/7)+1=6,MOD('🌱 Configuração'!$B$51+102-'🌱 Configuração'!$C$51,7)=0),"🌿 Transição Bloom — EC 1.4",IF(AND('🌱 Configuração'!$B$51+102&gt;='🌱 Configuração'!$C$51,'🌱 Configuração'!$B$51+102&lt;'🌱 Configuração'!$D$51,INT(('🌱 Configuração'!$B$51+102-'🌱 Configuração'!$C$51)/7)+1=7,MOD('🌱 Configuração'!$B$51+102-'🌱 Configuração'!$C$51,7)=0),"🌿 Bloom A+B transição — EC 1.4",IF(AND('🌱 Configuração'!$B$51+102&gt;='🌱 Configuração'!$C$51,'🌱 Configuração'!$B$51+102&lt;'🌱 Configuração'!$D$51,INT(('🌱 Configuração'!$B$51+102-'🌱 Configuração'!$C$51)/7)+1=8,MOD('🌱 Configuração'!$B$51+102-'🌱 Configuração'!$C$51,7)=0),"🌿 Bloom A+B — EC 1.4",IF(AND('🌱 Configuração'!$B$51+102&gt;='🌱 Configuração'!$D$51,'🌱 Configuração'!$B$51+102&lt;'🌱 Configuração'!$E$51,INT(('🌱 Configuração'!$B$51+102-'🌱 Configuração'!$D$51)/7)+1=1,MOD('🌱 Configuração'!$B$51+102-'🌱 Configuração'!$D$51,7)=0),"🌸 Bloom A+B — EC 1.6",IF(AND('🌱 Configuração'!$B$51+102&gt;='🌱 Configuração'!$D$51,'🌱 Configuração'!$B$51+102&lt;'🌱 Configuração'!$E$51,INT(('🌱 Configuração'!$B$51+102-'🌱 Configuração'!$D$51)/7)+1=2,MOD('🌱 Configuração'!$B$51+102-'🌱 Configuração'!$D$51,7)=0),"🌸 Bloom + PK 13/14 início",IF(AND('🌱 Configuração'!$B$51+102&gt;='🌱 Configuração'!$D$51,'🌱 Configuração'!$B$51+102&lt;'🌱 Configuração'!$E$51,INT(('🌱 Configuração'!$B$51+102-'🌱 Configuração'!$D$51)/7)+1=3,MOD('🌱 Configuração'!$B$51+102-'🌱 Configuração'!$D$51,7)=0),"🌸 Bloom + PK + CalMag — EC 1.8",IF(AND('🌱 Configuração'!$B$51+102&gt;='🌱 Configuração'!$D$51,'🌱 Configuração'!$B$51+102&lt;'🌱 Configuração'!$E$51,INT(('🌱 Configuração'!$B$51+102-'🌱 Configuração'!$D$51)/7)+1=4,MOD('🌱 Configuração'!$B$51+102-'🌱 Configuração'!$D$51,7)=0),"🌸 Bloom + PK + Boost Floral — EC 2.0",IF(AND('🌱 Configuração'!$B$51+102&gt;='🌱 Configuração'!$D$51,'🌱 Configuração'!$B$51+102&lt;'🌱 Configuração'!$E$51,INT(('🌱 Configuração'!$B$51+102-'🌱 Configuração'!$D$51)/7)+1=5,MOD('🌱 Configuração'!$B$51+102-'🌱 Configuração'!$D$51,7)=0),"🌸 Bloom + Boost + Amino",IF(AND('🌱 Configuração'!$B$51+102&gt;='🌱 Configuração'!$D$51,'🌱 Configuração'!$B$51+102&lt;'🌱 Configuração'!$E$51,INT(('🌱 Configuração'!$B$51+102-'🌱 Configuração'!$D$51)/7)+1=6,MOD('🌱 Configuração'!$B$51+102-'🌱 Configuração'!$D$51,7)=0),"🌸 Bloom + Enzimas + Amino",IF(AND('🌱 Configuração'!$B$51+102&gt;='🌱 Configuração'!$D$51,'🌱 Configuração'!$B$51+102&lt;'🌱 Configuração'!$E$51,INT(('🌱 Configuração'!$B$51+102-'🌱 Configuração'!$D$51)/7)+1=7,MOD('🌱 Configuração'!$B$51+102-'🌱 Configuração'!$D$51,7)=0),"🌸 Reduzir N — Bloom puro — EC 1.6",IF(AND('🌱 Configuração'!$B$51+102&gt;='🌱 Configuração'!$D$51,'🌱 Configuração'!$B$51+102&lt;'🌱 Configuração'!$E$51,INT(('🌱 Configuração'!$B$51+102-'🌱 Configuração'!$D$51)/7)+1=8,MOD('🌱 Configuração'!$B$51+102-'🌱 Configuração'!$D$51,7)=0),"🌸 Bloom puro — EC 1.4  (pré-flush)",IF(AND('🌱 Configuração'!$B$51+102&gt;='🌱 Configuração'!$D$51,'🌱 Configuração'!$B$51+102&lt;'🌱 Configuração'!$E$51,INT(('🌱 Configuração'!$B$51+102-'🌱 Configuração'!$D$51)/7)+1=9,MOD('🌱 Configuração'!$B$51+102-'🌱 Configuração'!$D$51,7)=0),"🌸 Último Bloom — EC 0.8",IF(AND('🌱 Configuração'!$B$51+102&gt;='🌱 Configuração'!$E$51,INT(('🌱 Configuração'!$B$51+102-'🌱 Configuração'!$E$51)/7)+1=1,MOD('🌱 Configuração'!$B$51+102-'🌱 Configuração'!$E$51,7)=0),"🚿 Água pura + Enzimas (EC &lt; 0.3)",IF(AND('🌱 Configuração'!$B$51+102&gt;='🌱 Configuração'!$E$51,INT(('🌱 Configuração'!$B$51+102-'🌱 Configuração'!$E$51)/7)+1=2,MOD('🌱 Configuração'!$B$51+102-'🌱 Configuração'!$E$51,7)=0),"🚿 Água pura (EC &lt; 0.2)",""))))))))))))))))))))))</f>
        <v/>
      </c>
      <c r="G108" s="30" t="str">
        <f>IF(103&gt;'🌱 Configuração'!$F$50,"",IF(AND('🌱 Configuração'!$B$51+102&lt;'🌱 Configuração'!$C$51,INT((103-1)/7)+1=1,MOD(103-1,7)=0),"🐛 Nim 2mL/L foliar — preventivo",IF(AND('🌱 Configuração'!$B$51+102&lt;'🌱 Configuração'!$C$51,INT((103-1)/7)+1=2,MOD(103-1,7)=0),"🐛 Beauveria bassiana foliar + solo",IF(AND('🌱 Configuração'!$B$51+102&gt;='🌱 Configuração'!$C$51,'🌱 Configuração'!$B$51+102&lt;'🌱 Configuração'!$D$51,INT(('🌱 Configuração'!$B$51+102-'🌱 Configuração'!$C$51)/7)+1=1,MOD('🌱 Configuração'!$B$51+102-'🌱 Configuração'!$C$51,7)=0),"🐛 Nim 2mL/L foliar",IF(AND('🌱 Configuração'!$B$51+102&gt;='🌱 Configuração'!$C$51,'🌱 Configuração'!$B$51+102&lt;'🌱 Configuração'!$D$51,INT(('🌱 Configuração'!$B$51+102-'🌱 Configuração'!$C$51)/7)+1=2,MOD('🌱 Configuração'!$B$51+102-'🌱 Configuração'!$C$51,7)=0),"🐛 Beauveria bassiana foliar",IF(AND('🌱 Configuração'!$B$51+102&gt;='🌱 Configuração'!$C$51,'🌱 Configuração'!$B$51+102&lt;'🌱 Configuração'!$D$51,INT(('🌱 Configuração'!$B$51+102-'🌱 Configuração'!$C$51)/7)+1=3,MOD('🌱 Configuração'!$B$51+102-'🌱 Configuração'!$C$51,7)=0),"🐛 Nim + Calda Sulfocálcica 1%",IF(AND('🌱 Configuração'!$B$51+102&gt;='🌱 Configuração'!$C$51,'🌱 Configuração'!$B$51+102&lt;'🌱 Configuração'!$D$51,INT(('🌱 Configuração'!$B$51+102-'🌱 Configuração'!$C$51)/7)+1=4,MOD('🌱 Configuração'!$B$51+102-'🌱 Configuração'!$C$51,7)=0),"🐛 Trichoderma solo + Beauveria",IF(AND('🌱 Configuração'!$B$51+102&gt;='🌱 Configuração'!$C$51,'🌱 Configuração'!$B$51+102&lt;'🌱 Configuração'!$D$51,INT(('🌱 Configuração'!$B$51+102-'🌱 Configuração'!$C$51)/7)+1=5,MOD('🌱 Configuração'!$B$51+102-'🌱 Configuração'!$C$51,7)=0),"🐛 Calda Bordalesa 0.5% foliar",IF(AND('🌱 Configuração'!$B$51+102&gt;='🌱 Configuração'!$C$51,'🌱 Configuração'!$B$51+102&lt;'🌱 Configuração'!$D$51,INT(('🌱 Configuração'!$B$51+102-'🌱 Configuração'!$C$51)/7)+1=6,MOD('🌱 Configuração'!$B$51+102-'🌱 Configuração'!$C$51,7)=0),"🐛 Nim 2mL/L — ÚLTIMA foliar",IF(AND('🌱 Configuração'!$B$51+102&gt;='🌱 Configuração'!$D$51,'🌱 Configuração'!$B$51+102&lt;'🌱 Configuração'!$E$51,INT(('🌱 Configuração'!$B$51+102-'🌱 Configuração'!$D$51)/7)+1=1,MOD('🌱 Configuração'!$B$51+102-'🌱 Configuração'!$D$51,7)=0),"🐛 Beauveria bassiana solo (sem foliar)",IF(AND('🌱 Configuração'!$B$51+102&gt;='🌱 Configuração'!$D$51,'🌱 Configuração'!$B$51+102&lt;'🌱 Configuração'!$E$51,INT(('🌱 Configuração'!$B$51+102-'🌱 Configuração'!$D$51)/7)+1=2,MOD('🌱 Configuração'!$B$51+102-'🌱 Configuração'!$D$51,7)=0),"🐛 Trichoderma solo",IF(AND('🌱 Configuração'!$B$51+102&gt;='🌱 Configuração'!$D$51,'🌱 Configuração'!$B$51+102&lt;'🌱 Configuração'!$E$51,INT(('🌱 Configuração'!$B$51+102-'🌱 Configuração'!$D$51)/7)+1=3,MOD('🌱 Configuração'!$B$51+102-'🌱 Configuração'!$D$51,7)=0),"🐛 Beauveria bassiana solo",IF(AND('🌱 Configuração'!$B$51+102&gt;='🌱 Configuração'!$D$51,'🌱 Configuração'!$B$51+102&lt;'🌱 Configuração'!$E$51,INT(('🌱 Configuração'!$B$51+102-'🌱 Configuração'!$D$51)/7)+1=4,MOD('🌱 Configuração'!$B$51+102-'🌱 Configuração'!$D$51,7)=0),"🐛 Trichoderma solo",IF(AND('🌱 Configuração'!$B$51+102&gt;='🌱 Configuração'!$E$51,INT(('🌱 Configuração'!$B$51+102-'🌱 Configuração'!$E$51)/7)+1=1,MOD('🌱 Configuração'!$B$51+102-'🌱 Configuração'!$E$51,7)=0),"🐛 Inspeção final — sem aplicação",""))))))))))))))</f>
        <v/>
      </c>
      <c r="H108" s="22" t="str">
        <f>IF(103&gt;'🌱 Configuração'!$F$50,"",IF('🌱 Configuração'!$B$51+102='🌱 Configuração'!$C$51,"🌿 INÍCIO VEGA — ajustar espaço, luz 18h/dia — EC 0.8",IF('🌱 Configuração'!$B$51+102='🌱 Configuração'!$D$51,"🌸 INÍCIO FLORAÇÃO — mudar para 12h/12h — 🔴 atenção ao fotoperíodo",IF('🌱 Configuração'!$B$51+102='🌱 Configuração'!$E$51,"🚿 INÍCIO FLUSH — PARAR nutrição, somente água pura",IF('🌱 Configuração'!$B$51+102='🌱 Configuração'!$F$51-1,"🔬 Véspera da colheita — analisar tricomas âmbar",IF('🌱 Configuração'!$B$51+102='🌱 Configuração'!$F$51,"✂️ COLHEITA! Parabéns! 🎉",""))))))</f>
        <v/>
      </c>
    </row>
    <row r="109" spans="2:8" ht="18.75" customHeight="1" x14ac:dyDescent="0.3">
      <c r="B109" s="25">
        <f>IF(104&lt;='🌱 Configuração'!$F$50,104,"")</f>
        <v>104</v>
      </c>
      <c r="C109" s="26">
        <f>IF(104&lt;='🌱 Configuração'!$F$50,'🌱 Configuração'!$B$51+103,"")</f>
        <v>46126</v>
      </c>
      <c r="D109" s="27" t="str">
        <f>IF(104&gt;'🌱 Configuração'!$F$50,"",IF('🌱 Configuração'!$B$51+103&lt;'🌱 Configuração'!$C$51,"🌱 Clone",IF('🌱 Configuração'!$B$51+103&lt;'🌱 Configuração'!$D$51,"🌿 Vegetativo",IF('🌱 Configuração'!$B$51+103&lt;'🌱 Configuração'!$E$51,"🌸 Floração","🚿 Flush"))))</f>
        <v>🌸 Floração</v>
      </c>
      <c r="E109" s="28" t="str">
        <f>IF(104&gt;'🌱 Configuração'!$F$50,"",IF('🌱 Configuração'!$B$51+103&lt;'🌱 Configuração'!$C$51,"Clone S"&amp;INT((104-1)/7)+1,IF('🌱 Configuração'!$B$51+103&lt;'🌱 Configuração'!$D$51,"Vega S"&amp;INT(('🌱 Configuração'!$B$51+103-'🌱 Configuração'!$C$51)/7)+1,IF('🌱 Configuração'!$B$51+103&lt;'🌱 Configuração'!$E$51,"Flora S"&amp;INT(('🌱 Configuração'!$B$51+103-'🌱 Configuração'!$D$51)/7)+1,"Flush S"&amp;INT(('🌱 Configuração'!$B$51+103-'🌱 Configuração'!$E$51)/7)+1))))</f>
        <v>Flora S7</v>
      </c>
      <c r="F109" s="29" t="str">
        <f>IF(104&gt;'🌱 Configuração'!$F$50,"",IF(AND('🌱 Configuração'!$B$51+103&lt;'🌱 Configuração'!$C$51,INT((104-1)/7)+1=1,MOD(104-1,7)=0),"🌱 Enraizador (0.5 mL/L)",IF(AND('🌱 Configuração'!$B$51+103&lt;'🌱 Configuração'!$C$51,INT((104-1)/7)+1=2,MOD(104-1,7)=0),"🌱 Enraizador + Vitamina B1",IF(AND('🌱 Configuração'!$B$51+103&gt;='🌱 Configuração'!$C$51,'🌱 Configuração'!$B$51+103&lt;'🌱 Configuração'!$D$51,INT(('🌱 Configuração'!$B$51+103-'🌱 Configuração'!$C$51)/7)+1=1,MOD('🌱 Configuração'!$B$51+103-'🌱 Configuração'!$C$51,7)=0),"🌿 Grow A+B início — EC 0.8",IF(AND('🌱 Configuração'!$B$51+103&gt;='🌱 Configuração'!$C$51,'🌱 Configuração'!$B$51+103&lt;'🌱 Configuração'!$D$51,INT(('🌱 Configuração'!$B$51+103-'🌱 Configuração'!$C$51)/7)+1=2,MOD('🌱 Configuração'!$B$51+103-'🌱 Configuração'!$C$51,7)=0),"🌿 Grow A+B + CalMag — EC 1.0",IF(AND('🌱 Configuração'!$B$51+103&gt;='🌱 Configuração'!$C$51,'🌱 Configuração'!$B$51+103&lt;'🌱 Configuração'!$D$51,INT(('🌱 Configuração'!$B$51+103-'🌱 Configuração'!$C$51)/7)+1=3,MOD('🌱 Configuração'!$B$51+103-'🌱 Configuração'!$C$51,7)=0),"🌿 Grow A+B + CalMag — EC 1.2",IF(AND('🌱 Configuração'!$B$51+103&gt;='🌱 Configuração'!$C$51,'🌱 Configuração'!$B$51+103&lt;'🌱 Configuração'!$D$51,INT(('🌱 Configuração'!$B$51+103-'🌱 Configuração'!$C$51)/7)+1=4,MOD('🌱 Configuração'!$B$51+103-'🌱 Configuração'!$C$51,7)=0),"🌿 Grow A+B + Enzimas — EC 1.4",IF(AND('🌱 Configuração'!$B$51+103&gt;='🌱 Configuração'!$C$51,'🌱 Configuração'!$B$51+103&lt;'🌱 Configuração'!$D$51,INT(('🌱 Configuração'!$B$51+103-'🌱 Configuração'!$C$51)/7)+1=5,MOD('🌱 Configuração'!$B$51+103-'🌱 Configuração'!$C$51,7)=0),"🌿 Grow A+B + Biorrizas — EC 1.5",IF(AND('🌱 Configuração'!$B$51+103&gt;='🌱 Configuração'!$C$51,'🌱 Configuração'!$B$51+103&lt;'🌱 Configuração'!$D$51,INT(('🌱 Configuração'!$B$51+103-'🌱 Configuração'!$C$51)/7)+1=6,MOD('🌱 Configuração'!$B$51+103-'🌱 Configuração'!$C$51,7)=0),"🌿 Transição Bloom — EC 1.4",IF(AND('🌱 Configuração'!$B$51+103&gt;='🌱 Configuração'!$C$51,'🌱 Configuração'!$B$51+103&lt;'🌱 Configuração'!$D$51,INT(('🌱 Configuração'!$B$51+103-'🌱 Configuração'!$C$51)/7)+1=7,MOD('🌱 Configuração'!$B$51+103-'🌱 Configuração'!$C$51,7)=0),"🌿 Bloom A+B transição — EC 1.4",IF(AND('🌱 Configuração'!$B$51+103&gt;='🌱 Configuração'!$C$51,'🌱 Configuração'!$B$51+103&lt;'🌱 Configuração'!$D$51,INT(('🌱 Configuração'!$B$51+103-'🌱 Configuração'!$C$51)/7)+1=8,MOD('🌱 Configuração'!$B$51+103-'🌱 Configuração'!$C$51,7)=0),"🌿 Bloom A+B — EC 1.4",IF(AND('🌱 Configuração'!$B$51+103&gt;='🌱 Configuração'!$D$51,'🌱 Configuração'!$B$51+103&lt;'🌱 Configuração'!$E$51,INT(('🌱 Configuração'!$B$51+103-'🌱 Configuração'!$D$51)/7)+1=1,MOD('🌱 Configuração'!$B$51+103-'🌱 Configuração'!$D$51,7)=0),"🌸 Bloom A+B — EC 1.6",IF(AND('🌱 Configuração'!$B$51+103&gt;='🌱 Configuração'!$D$51,'🌱 Configuração'!$B$51+103&lt;'🌱 Configuração'!$E$51,INT(('🌱 Configuração'!$B$51+103-'🌱 Configuração'!$D$51)/7)+1=2,MOD('🌱 Configuração'!$B$51+103-'🌱 Configuração'!$D$51,7)=0),"🌸 Bloom + PK 13/14 início",IF(AND('🌱 Configuração'!$B$51+103&gt;='🌱 Configuração'!$D$51,'🌱 Configuração'!$B$51+103&lt;'🌱 Configuração'!$E$51,INT(('🌱 Configuração'!$B$51+103-'🌱 Configuração'!$D$51)/7)+1=3,MOD('🌱 Configuração'!$B$51+103-'🌱 Configuração'!$D$51,7)=0),"🌸 Bloom + PK + CalMag — EC 1.8",IF(AND('🌱 Configuração'!$B$51+103&gt;='🌱 Configuração'!$D$51,'🌱 Configuração'!$B$51+103&lt;'🌱 Configuração'!$E$51,INT(('🌱 Configuração'!$B$51+103-'🌱 Configuração'!$D$51)/7)+1=4,MOD('🌱 Configuração'!$B$51+103-'🌱 Configuração'!$D$51,7)=0),"🌸 Bloom + PK + Boost Floral — EC 2.0",IF(AND('🌱 Configuração'!$B$51+103&gt;='🌱 Configuração'!$D$51,'🌱 Configuração'!$B$51+103&lt;'🌱 Configuração'!$E$51,INT(('🌱 Configuração'!$B$51+103-'🌱 Configuração'!$D$51)/7)+1=5,MOD('🌱 Configuração'!$B$51+103-'🌱 Configuração'!$D$51,7)=0),"🌸 Bloom + Boost + Amino",IF(AND('🌱 Configuração'!$B$51+103&gt;='🌱 Configuração'!$D$51,'🌱 Configuração'!$B$51+103&lt;'🌱 Configuração'!$E$51,INT(('🌱 Configuração'!$B$51+103-'🌱 Configuração'!$D$51)/7)+1=6,MOD('🌱 Configuração'!$B$51+103-'🌱 Configuração'!$D$51,7)=0),"🌸 Bloom + Enzimas + Amino",IF(AND('🌱 Configuração'!$B$51+103&gt;='🌱 Configuração'!$D$51,'🌱 Configuração'!$B$51+103&lt;'🌱 Configuração'!$E$51,INT(('🌱 Configuração'!$B$51+103-'🌱 Configuração'!$D$51)/7)+1=7,MOD('🌱 Configuração'!$B$51+103-'🌱 Configuração'!$D$51,7)=0),"🌸 Reduzir N — Bloom puro — EC 1.6",IF(AND('🌱 Configuração'!$B$51+103&gt;='🌱 Configuração'!$D$51,'🌱 Configuração'!$B$51+103&lt;'🌱 Configuração'!$E$51,INT(('🌱 Configuração'!$B$51+103-'🌱 Configuração'!$D$51)/7)+1=8,MOD('🌱 Configuração'!$B$51+103-'🌱 Configuração'!$D$51,7)=0),"🌸 Bloom puro — EC 1.4  (pré-flush)",IF(AND('🌱 Configuração'!$B$51+103&gt;='🌱 Configuração'!$D$51,'🌱 Configuração'!$B$51+103&lt;'🌱 Configuração'!$E$51,INT(('🌱 Configuração'!$B$51+103-'🌱 Configuração'!$D$51)/7)+1=9,MOD('🌱 Configuração'!$B$51+103-'🌱 Configuração'!$D$51,7)=0),"🌸 Último Bloom — EC 0.8",IF(AND('🌱 Configuração'!$B$51+103&gt;='🌱 Configuração'!$E$51,INT(('🌱 Configuração'!$B$51+103-'🌱 Configuração'!$E$51)/7)+1=1,MOD('🌱 Configuração'!$B$51+103-'🌱 Configuração'!$E$51,7)=0),"🚿 Água pura + Enzimas (EC &lt; 0.3)",IF(AND('🌱 Configuração'!$B$51+103&gt;='🌱 Configuração'!$E$51,INT(('🌱 Configuração'!$B$51+103-'🌱 Configuração'!$E$51)/7)+1=2,MOD('🌱 Configuração'!$B$51+103-'🌱 Configuração'!$E$51,7)=0),"🚿 Água pura (EC &lt; 0.2)",""))))))))))))))))))))))</f>
        <v/>
      </c>
      <c r="G109" s="30" t="str">
        <f>IF(104&gt;'🌱 Configuração'!$F$50,"",IF(AND('🌱 Configuração'!$B$51+103&lt;'🌱 Configuração'!$C$51,INT((104-1)/7)+1=1,MOD(104-1,7)=0),"🐛 Nim 2mL/L foliar — preventivo",IF(AND('🌱 Configuração'!$B$51+103&lt;'🌱 Configuração'!$C$51,INT((104-1)/7)+1=2,MOD(104-1,7)=0),"🐛 Beauveria bassiana foliar + solo",IF(AND('🌱 Configuração'!$B$51+103&gt;='🌱 Configuração'!$C$51,'🌱 Configuração'!$B$51+103&lt;'🌱 Configuração'!$D$51,INT(('🌱 Configuração'!$B$51+103-'🌱 Configuração'!$C$51)/7)+1=1,MOD('🌱 Configuração'!$B$51+103-'🌱 Configuração'!$C$51,7)=0),"🐛 Nim 2mL/L foliar",IF(AND('🌱 Configuração'!$B$51+103&gt;='🌱 Configuração'!$C$51,'🌱 Configuração'!$B$51+103&lt;'🌱 Configuração'!$D$51,INT(('🌱 Configuração'!$B$51+103-'🌱 Configuração'!$C$51)/7)+1=2,MOD('🌱 Configuração'!$B$51+103-'🌱 Configuração'!$C$51,7)=0),"🐛 Beauveria bassiana foliar",IF(AND('🌱 Configuração'!$B$51+103&gt;='🌱 Configuração'!$C$51,'🌱 Configuração'!$B$51+103&lt;'🌱 Configuração'!$D$51,INT(('🌱 Configuração'!$B$51+103-'🌱 Configuração'!$C$51)/7)+1=3,MOD('🌱 Configuração'!$B$51+103-'🌱 Configuração'!$C$51,7)=0),"🐛 Nim + Calda Sulfocálcica 1%",IF(AND('🌱 Configuração'!$B$51+103&gt;='🌱 Configuração'!$C$51,'🌱 Configuração'!$B$51+103&lt;'🌱 Configuração'!$D$51,INT(('🌱 Configuração'!$B$51+103-'🌱 Configuração'!$C$51)/7)+1=4,MOD('🌱 Configuração'!$B$51+103-'🌱 Configuração'!$C$51,7)=0),"🐛 Trichoderma solo + Beauveria",IF(AND('🌱 Configuração'!$B$51+103&gt;='🌱 Configuração'!$C$51,'🌱 Configuração'!$B$51+103&lt;'🌱 Configuração'!$D$51,INT(('🌱 Configuração'!$B$51+103-'🌱 Configuração'!$C$51)/7)+1=5,MOD('🌱 Configuração'!$B$51+103-'🌱 Configuração'!$C$51,7)=0),"🐛 Calda Bordalesa 0.5% foliar",IF(AND('🌱 Configuração'!$B$51+103&gt;='🌱 Configuração'!$C$51,'🌱 Configuração'!$B$51+103&lt;'🌱 Configuração'!$D$51,INT(('🌱 Configuração'!$B$51+103-'🌱 Configuração'!$C$51)/7)+1=6,MOD('🌱 Configuração'!$B$51+103-'🌱 Configuração'!$C$51,7)=0),"🐛 Nim 2mL/L — ÚLTIMA foliar",IF(AND('🌱 Configuração'!$B$51+103&gt;='🌱 Configuração'!$D$51,'🌱 Configuração'!$B$51+103&lt;'🌱 Configuração'!$E$51,INT(('🌱 Configuração'!$B$51+103-'🌱 Configuração'!$D$51)/7)+1=1,MOD('🌱 Configuração'!$B$51+103-'🌱 Configuração'!$D$51,7)=0),"🐛 Beauveria bassiana solo (sem foliar)",IF(AND('🌱 Configuração'!$B$51+103&gt;='🌱 Configuração'!$D$51,'🌱 Configuração'!$B$51+103&lt;'🌱 Configuração'!$E$51,INT(('🌱 Configuração'!$B$51+103-'🌱 Configuração'!$D$51)/7)+1=2,MOD('🌱 Configuração'!$B$51+103-'🌱 Configuração'!$D$51,7)=0),"🐛 Trichoderma solo",IF(AND('🌱 Configuração'!$B$51+103&gt;='🌱 Configuração'!$D$51,'🌱 Configuração'!$B$51+103&lt;'🌱 Configuração'!$E$51,INT(('🌱 Configuração'!$B$51+103-'🌱 Configuração'!$D$51)/7)+1=3,MOD('🌱 Configuração'!$B$51+103-'🌱 Configuração'!$D$51,7)=0),"🐛 Beauveria bassiana solo",IF(AND('🌱 Configuração'!$B$51+103&gt;='🌱 Configuração'!$D$51,'🌱 Configuração'!$B$51+103&lt;'🌱 Configuração'!$E$51,INT(('🌱 Configuração'!$B$51+103-'🌱 Configuração'!$D$51)/7)+1=4,MOD('🌱 Configuração'!$B$51+103-'🌱 Configuração'!$D$51,7)=0),"🐛 Trichoderma solo",IF(AND('🌱 Configuração'!$B$51+103&gt;='🌱 Configuração'!$E$51,INT(('🌱 Configuração'!$B$51+103-'🌱 Configuração'!$E$51)/7)+1=1,MOD('🌱 Configuração'!$B$51+103-'🌱 Configuração'!$E$51,7)=0),"🐛 Inspeção final — sem aplicação",""))))))))))))))</f>
        <v/>
      </c>
      <c r="H109" s="22" t="str">
        <f>IF(104&gt;'🌱 Configuração'!$F$50,"",IF('🌱 Configuração'!$B$51+103='🌱 Configuração'!$C$51,"🌿 INÍCIO VEGA — ajustar espaço, luz 18h/dia — EC 0.8",IF('🌱 Configuração'!$B$51+103='🌱 Configuração'!$D$51,"🌸 INÍCIO FLORAÇÃO — mudar para 12h/12h — 🔴 atenção ao fotoperíodo",IF('🌱 Configuração'!$B$51+103='🌱 Configuração'!$E$51,"🚿 INÍCIO FLUSH — PARAR nutrição, somente água pura",IF('🌱 Configuração'!$B$51+103='🌱 Configuração'!$F$51-1,"🔬 Véspera da colheita — analisar tricomas âmbar",IF('🌱 Configuração'!$B$51+103='🌱 Configuração'!$F$51,"✂️ COLHEITA! Parabéns! 🎉",""))))))</f>
        <v/>
      </c>
    </row>
    <row r="110" spans="2:8" ht="18.75" customHeight="1" x14ac:dyDescent="0.3">
      <c r="B110" s="25">
        <f>IF(105&lt;='🌱 Configuração'!$F$50,105,"")</f>
        <v>105</v>
      </c>
      <c r="C110" s="26">
        <f>IF(105&lt;='🌱 Configuração'!$F$50,'🌱 Configuração'!$B$51+104,"")</f>
        <v>46127</v>
      </c>
      <c r="D110" s="27" t="str">
        <f>IF(105&gt;'🌱 Configuração'!$F$50,"",IF('🌱 Configuração'!$B$51+104&lt;'🌱 Configuração'!$C$51,"🌱 Clone",IF('🌱 Configuração'!$B$51+104&lt;'🌱 Configuração'!$D$51,"🌿 Vegetativo",IF('🌱 Configuração'!$B$51+104&lt;'🌱 Configuração'!$E$51,"🌸 Floração","🚿 Flush"))))</f>
        <v>🌸 Floração</v>
      </c>
      <c r="E110" s="28" t="str">
        <f>IF(105&gt;'🌱 Configuração'!$F$50,"",IF('🌱 Configuração'!$B$51+104&lt;'🌱 Configuração'!$C$51,"Clone S"&amp;INT((105-1)/7)+1,IF('🌱 Configuração'!$B$51+104&lt;'🌱 Configuração'!$D$51,"Vega S"&amp;INT(('🌱 Configuração'!$B$51+104-'🌱 Configuração'!$C$51)/7)+1,IF('🌱 Configuração'!$B$51+104&lt;'🌱 Configuração'!$E$51,"Flora S"&amp;INT(('🌱 Configuração'!$B$51+104-'🌱 Configuração'!$D$51)/7)+1,"Flush S"&amp;INT(('🌱 Configuração'!$B$51+104-'🌱 Configuração'!$E$51)/7)+1))))</f>
        <v>Flora S7</v>
      </c>
      <c r="F110" s="29" t="str">
        <f>IF(105&gt;'🌱 Configuração'!$F$50,"",IF(AND('🌱 Configuração'!$B$51+104&lt;'🌱 Configuração'!$C$51,INT((105-1)/7)+1=1,MOD(105-1,7)=0),"🌱 Enraizador (0.5 mL/L)",IF(AND('🌱 Configuração'!$B$51+104&lt;'🌱 Configuração'!$C$51,INT((105-1)/7)+1=2,MOD(105-1,7)=0),"🌱 Enraizador + Vitamina B1",IF(AND('🌱 Configuração'!$B$51+104&gt;='🌱 Configuração'!$C$51,'🌱 Configuração'!$B$51+104&lt;'🌱 Configuração'!$D$51,INT(('🌱 Configuração'!$B$51+104-'🌱 Configuração'!$C$51)/7)+1=1,MOD('🌱 Configuração'!$B$51+104-'🌱 Configuração'!$C$51,7)=0),"🌿 Grow A+B início — EC 0.8",IF(AND('🌱 Configuração'!$B$51+104&gt;='🌱 Configuração'!$C$51,'🌱 Configuração'!$B$51+104&lt;'🌱 Configuração'!$D$51,INT(('🌱 Configuração'!$B$51+104-'🌱 Configuração'!$C$51)/7)+1=2,MOD('🌱 Configuração'!$B$51+104-'🌱 Configuração'!$C$51,7)=0),"🌿 Grow A+B + CalMag — EC 1.0",IF(AND('🌱 Configuração'!$B$51+104&gt;='🌱 Configuração'!$C$51,'🌱 Configuração'!$B$51+104&lt;'🌱 Configuração'!$D$51,INT(('🌱 Configuração'!$B$51+104-'🌱 Configuração'!$C$51)/7)+1=3,MOD('🌱 Configuração'!$B$51+104-'🌱 Configuração'!$C$51,7)=0),"🌿 Grow A+B + CalMag — EC 1.2",IF(AND('🌱 Configuração'!$B$51+104&gt;='🌱 Configuração'!$C$51,'🌱 Configuração'!$B$51+104&lt;'🌱 Configuração'!$D$51,INT(('🌱 Configuração'!$B$51+104-'🌱 Configuração'!$C$51)/7)+1=4,MOD('🌱 Configuração'!$B$51+104-'🌱 Configuração'!$C$51,7)=0),"🌿 Grow A+B + Enzimas — EC 1.4",IF(AND('🌱 Configuração'!$B$51+104&gt;='🌱 Configuração'!$C$51,'🌱 Configuração'!$B$51+104&lt;'🌱 Configuração'!$D$51,INT(('🌱 Configuração'!$B$51+104-'🌱 Configuração'!$C$51)/7)+1=5,MOD('🌱 Configuração'!$B$51+104-'🌱 Configuração'!$C$51,7)=0),"🌿 Grow A+B + Biorrizas — EC 1.5",IF(AND('🌱 Configuração'!$B$51+104&gt;='🌱 Configuração'!$C$51,'🌱 Configuração'!$B$51+104&lt;'🌱 Configuração'!$D$51,INT(('🌱 Configuração'!$B$51+104-'🌱 Configuração'!$C$51)/7)+1=6,MOD('🌱 Configuração'!$B$51+104-'🌱 Configuração'!$C$51,7)=0),"🌿 Transição Bloom — EC 1.4",IF(AND('🌱 Configuração'!$B$51+104&gt;='🌱 Configuração'!$C$51,'🌱 Configuração'!$B$51+104&lt;'🌱 Configuração'!$D$51,INT(('🌱 Configuração'!$B$51+104-'🌱 Configuração'!$C$51)/7)+1=7,MOD('🌱 Configuração'!$B$51+104-'🌱 Configuração'!$C$51,7)=0),"🌿 Bloom A+B transição — EC 1.4",IF(AND('🌱 Configuração'!$B$51+104&gt;='🌱 Configuração'!$C$51,'🌱 Configuração'!$B$51+104&lt;'🌱 Configuração'!$D$51,INT(('🌱 Configuração'!$B$51+104-'🌱 Configuração'!$C$51)/7)+1=8,MOD('🌱 Configuração'!$B$51+104-'🌱 Configuração'!$C$51,7)=0),"🌿 Bloom A+B — EC 1.4",IF(AND('🌱 Configuração'!$B$51+104&gt;='🌱 Configuração'!$D$51,'🌱 Configuração'!$B$51+104&lt;'🌱 Configuração'!$E$51,INT(('🌱 Configuração'!$B$51+104-'🌱 Configuração'!$D$51)/7)+1=1,MOD('🌱 Configuração'!$B$51+104-'🌱 Configuração'!$D$51,7)=0),"🌸 Bloom A+B — EC 1.6",IF(AND('🌱 Configuração'!$B$51+104&gt;='🌱 Configuração'!$D$51,'🌱 Configuração'!$B$51+104&lt;'🌱 Configuração'!$E$51,INT(('🌱 Configuração'!$B$51+104-'🌱 Configuração'!$D$51)/7)+1=2,MOD('🌱 Configuração'!$B$51+104-'🌱 Configuração'!$D$51,7)=0),"🌸 Bloom + PK 13/14 início",IF(AND('🌱 Configuração'!$B$51+104&gt;='🌱 Configuração'!$D$51,'🌱 Configuração'!$B$51+104&lt;'🌱 Configuração'!$E$51,INT(('🌱 Configuração'!$B$51+104-'🌱 Configuração'!$D$51)/7)+1=3,MOD('🌱 Configuração'!$B$51+104-'🌱 Configuração'!$D$51,7)=0),"🌸 Bloom + PK + CalMag — EC 1.8",IF(AND('🌱 Configuração'!$B$51+104&gt;='🌱 Configuração'!$D$51,'🌱 Configuração'!$B$51+104&lt;'🌱 Configuração'!$E$51,INT(('🌱 Configuração'!$B$51+104-'🌱 Configuração'!$D$51)/7)+1=4,MOD('🌱 Configuração'!$B$51+104-'🌱 Configuração'!$D$51,7)=0),"🌸 Bloom + PK + Boost Floral — EC 2.0",IF(AND('🌱 Configuração'!$B$51+104&gt;='🌱 Configuração'!$D$51,'🌱 Configuração'!$B$51+104&lt;'🌱 Configuração'!$E$51,INT(('🌱 Configuração'!$B$51+104-'🌱 Configuração'!$D$51)/7)+1=5,MOD('🌱 Configuração'!$B$51+104-'🌱 Configuração'!$D$51,7)=0),"🌸 Bloom + Boost + Amino",IF(AND('🌱 Configuração'!$B$51+104&gt;='🌱 Configuração'!$D$51,'🌱 Configuração'!$B$51+104&lt;'🌱 Configuração'!$E$51,INT(('🌱 Configuração'!$B$51+104-'🌱 Configuração'!$D$51)/7)+1=6,MOD('🌱 Configuração'!$B$51+104-'🌱 Configuração'!$D$51,7)=0),"🌸 Bloom + Enzimas + Amino",IF(AND('🌱 Configuração'!$B$51+104&gt;='🌱 Configuração'!$D$51,'🌱 Configuração'!$B$51+104&lt;'🌱 Configuração'!$E$51,INT(('🌱 Configuração'!$B$51+104-'🌱 Configuração'!$D$51)/7)+1=7,MOD('🌱 Configuração'!$B$51+104-'🌱 Configuração'!$D$51,7)=0),"🌸 Reduzir N — Bloom puro — EC 1.6",IF(AND('🌱 Configuração'!$B$51+104&gt;='🌱 Configuração'!$D$51,'🌱 Configuração'!$B$51+104&lt;'🌱 Configuração'!$E$51,INT(('🌱 Configuração'!$B$51+104-'🌱 Configuração'!$D$51)/7)+1=8,MOD('🌱 Configuração'!$B$51+104-'🌱 Configuração'!$D$51,7)=0),"🌸 Bloom puro — EC 1.4  (pré-flush)",IF(AND('🌱 Configuração'!$B$51+104&gt;='🌱 Configuração'!$D$51,'🌱 Configuração'!$B$51+104&lt;'🌱 Configuração'!$E$51,INT(('🌱 Configuração'!$B$51+104-'🌱 Configuração'!$D$51)/7)+1=9,MOD('🌱 Configuração'!$B$51+104-'🌱 Configuração'!$D$51,7)=0),"🌸 Último Bloom — EC 0.8",IF(AND('🌱 Configuração'!$B$51+104&gt;='🌱 Configuração'!$E$51,INT(('🌱 Configuração'!$B$51+104-'🌱 Configuração'!$E$51)/7)+1=1,MOD('🌱 Configuração'!$B$51+104-'🌱 Configuração'!$E$51,7)=0),"🚿 Água pura + Enzimas (EC &lt; 0.3)",IF(AND('🌱 Configuração'!$B$51+104&gt;='🌱 Configuração'!$E$51,INT(('🌱 Configuração'!$B$51+104-'🌱 Configuração'!$E$51)/7)+1=2,MOD('🌱 Configuração'!$B$51+104-'🌱 Configuração'!$E$51,7)=0),"🚿 Água pura (EC &lt; 0.2)",""))))))))))))))))))))))</f>
        <v/>
      </c>
      <c r="G110" s="30" t="str">
        <f>IF(105&gt;'🌱 Configuração'!$F$50,"",IF(AND('🌱 Configuração'!$B$51+104&lt;'🌱 Configuração'!$C$51,INT((105-1)/7)+1=1,MOD(105-1,7)=0),"🐛 Nim 2mL/L foliar — preventivo",IF(AND('🌱 Configuração'!$B$51+104&lt;'🌱 Configuração'!$C$51,INT((105-1)/7)+1=2,MOD(105-1,7)=0),"🐛 Beauveria bassiana foliar + solo",IF(AND('🌱 Configuração'!$B$51+104&gt;='🌱 Configuração'!$C$51,'🌱 Configuração'!$B$51+104&lt;'🌱 Configuração'!$D$51,INT(('🌱 Configuração'!$B$51+104-'🌱 Configuração'!$C$51)/7)+1=1,MOD('🌱 Configuração'!$B$51+104-'🌱 Configuração'!$C$51,7)=0),"🐛 Nim 2mL/L foliar",IF(AND('🌱 Configuração'!$B$51+104&gt;='🌱 Configuração'!$C$51,'🌱 Configuração'!$B$51+104&lt;'🌱 Configuração'!$D$51,INT(('🌱 Configuração'!$B$51+104-'🌱 Configuração'!$C$51)/7)+1=2,MOD('🌱 Configuração'!$B$51+104-'🌱 Configuração'!$C$51,7)=0),"🐛 Beauveria bassiana foliar",IF(AND('🌱 Configuração'!$B$51+104&gt;='🌱 Configuração'!$C$51,'🌱 Configuração'!$B$51+104&lt;'🌱 Configuração'!$D$51,INT(('🌱 Configuração'!$B$51+104-'🌱 Configuração'!$C$51)/7)+1=3,MOD('🌱 Configuração'!$B$51+104-'🌱 Configuração'!$C$51,7)=0),"🐛 Nim + Calda Sulfocálcica 1%",IF(AND('🌱 Configuração'!$B$51+104&gt;='🌱 Configuração'!$C$51,'🌱 Configuração'!$B$51+104&lt;'🌱 Configuração'!$D$51,INT(('🌱 Configuração'!$B$51+104-'🌱 Configuração'!$C$51)/7)+1=4,MOD('🌱 Configuração'!$B$51+104-'🌱 Configuração'!$C$51,7)=0),"🐛 Trichoderma solo + Beauveria",IF(AND('🌱 Configuração'!$B$51+104&gt;='🌱 Configuração'!$C$51,'🌱 Configuração'!$B$51+104&lt;'🌱 Configuração'!$D$51,INT(('🌱 Configuração'!$B$51+104-'🌱 Configuração'!$C$51)/7)+1=5,MOD('🌱 Configuração'!$B$51+104-'🌱 Configuração'!$C$51,7)=0),"🐛 Calda Bordalesa 0.5% foliar",IF(AND('🌱 Configuração'!$B$51+104&gt;='🌱 Configuração'!$C$51,'🌱 Configuração'!$B$51+104&lt;'🌱 Configuração'!$D$51,INT(('🌱 Configuração'!$B$51+104-'🌱 Configuração'!$C$51)/7)+1=6,MOD('🌱 Configuração'!$B$51+104-'🌱 Configuração'!$C$51,7)=0),"🐛 Nim 2mL/L — ÚLTIMA foliar",IF(AND('🌱 Configuração'!$B$51+104&gt;='🌱 Configuração'!$D$51,'🌱 Configuração'!$B$51+104&lt;'🌱 Configuração'!$E$51,INT(('🌱 Configuração'!$B$51+104-'🌱 Configuração'!$D$51)/7)+1=1,MOD('🌱 Configuração'!$B$51+104-'🌱 Configuração'!$D$51,7)=0),"🐛 Beauveria bassiana solo (sem foliar)",IF(AND('🌱 Configuração'!$B$51+104&gt;='🌱 Configuração'!$D$51,'🌱 Configuração'!$B$51+104&lt;'🌱 Configuração'!$E$51,INT(('🌱 Configuração'!$B$51+104-'🌱 Configuração'!$D$51)/7)+1=2,MOD('🌱 Configuração'!$B$51+104-'🌱 Configuração'!$D$51,7)=0),"🐛 Trichoderma solo",IF(AND('🌱 Configuração'!$B$51+104&gt;='🌱 Configuração'!$D$51,'🌱 Configuração'!$B$51+104&lt;'🌱 Configuração'!$E$51,INT(('🌱 Configuração'!$B$51+104-'🌱 Configuração'!$D$51)/7)+1=3,MOD('🌱 Configuração'!$B$51+104-'🌱 Configuração'!$D$51,7)=0),"🐛 Beauveria bassiana solo",IF(AND('🌱 Configuração'!$B$51+104&gt;='🌱 Configuração'!$D$51,'🌱 Configuração'!$B$51+104&lt;'🌱 Configuração'!$E$51,INT(('🌱 Configuração'!$B$51+104-'🌱 Configuração'!$D$51)/7)+1=4,MOD('🌱 Configuração'!$B$51+104-'🌱 Configuração'!$D$51,7)=0),"🐛 Trichoderma solo",IF(AND('🌱 Configuração'!$B$51+104&gt;='🌱 Configuração'!$E$51,INT(('🌱 Configuração'!$B$51+104-'🌱 Configuração'!$E$51)/7)+1=1,MOD('🌱 Configuração'!$B$51+104-'🌱 Configuração'!$E$51,7)=0),"🐛 Inspeção final — sem aplicação",""))))))))))))))</f>
        <v/>
      </c>
      <c r="H110" s="22" t="str">
        <f>IF(105&gt;'🌱 Configuração'!$F$50,"",IF('🌱 Configuração'!$B$51+104='🌱 Configuração'!$C$51,"🌿 INÍCIO VEGA — ajustar espaço, luz 18h/dia — EC 0.8",IF('🌱 Configuração'!$B$51+104='🌱 Configuração'!$D$51,"🌸 INÍCIO FLORAÇÃO — mudar para 12h/12h — 🔴 atenção ao fotoperíodo",IF('🌱 Configuração'!$B$51+104='🌱 Configuração'!$E$51,"🚿 INÍCIO FLUSH — PARAR nutrição, somente água pura",IF('🌱 Configuração'!$B$51+104='🌱 Configuração'!$F$51-1,"🔬 Véspera da colheita — analisar tricomas âmbar",IF('🌱 Configuração'!$B$51+104='🌱 Configuração'!$F$51,"✂️ COLHEITA! Parabéns! 🎉",""))))))</f>
        <v/>
      </c>
    </row>
    <row r="111" spans="2:8" ht="18.75" customHeight="1" x14ac:dyDescent="0.3">
      <c r="B111" s="25">
        <f>IF(106&lt;='🌱 Configuração'!$F$50,106,"")</f>
        <v>106</v>
      </c>
      <c r="C111" s="26">
        <f>IF(106&lt;='🌱 Configuração'!$F$50,'🌱 Configuração'!$B$51+105,"")</f>
        <v>46128</v>
      </c>
      <c r="D111" s="27" t="str">
        <f>IF(106&gt;'🌱 Configuração'!$F$50,"",IF('🌱 Configuração'!$B$51+105&lt;'🌱 Configuração'!$C$51,"🌱 Clone",IF('🌱 Configuração'!$B$51+105&lt;'🌱 Configuração'!$D$51,"🌿 Vegetativo",IF('🌱 Configuração'!$B$51+105&lt;'🌱 Configuração'!$E$51,"🌸 Floração","🚿 Flush"))))</f>
        <v>🌸 Floração</v>
      </c>
      <c r="E111" s="28" t="str">
        <f>IF(106&gt;'🌱 Configuração'!$F$50,"",IF('🌱 Configuração'!$B$51+105&lt;'🌱 Configuração'!$C$51,"Clone S"&amp;INT((106-1)/7)+1,IF('🌱 Configuração'!$B$51+105&lt;'🌱 Configuração'!$D$51,"Vega S"&amp;INT(('🌱 Configuração'!$B$51+105-'🌱 Configuração'!$C$51)/7)+1,IF('🌱 Configuração'!$B$51+105&lt;'🌱 Configuração'!$E$51,"Flora S"&amp;INT(('🌱 Configuração'!$B$51+105-'🌱 Configuração'!$D$51)/7)+1,"Flush S"&amp;INT(('🌱 Configuração'!$B$51+105-'🌱 Configuração'!$E$51)/7)+1))))</f>
        <v>Flora S8</v>
      </c>
      <c r="F111" s="29" t="str">
        <f>IF(106&gt;'🌱 Configuração'!$F$50,"",IF(AND('🌱 Configuração'!$B$51+105&lt;'🌱 Configuração'!$C$51,INT((106-1)/7)+1=1,MOD(106-1,7)=0),"🌱 Enraizador (0.5 mL/L)",IF(AND('🌱 Configuração'!$B$51+105&lt;'🌱 Configuração'!$C$51,INT((106-1)/7)+1=2,MOD(106-1,7)=0),"🌱 Enraizador + Vitamina B1",IF(AND('🌱 Configuração'!$B$51+105&gt;='🌱 Configuração'!$C$51,'🌱 Configuração'!$B$51+105&lt;'🌱 Configuração'!$D$51,INT(('🌱 Configuração'!$B$51+105-'🌱 Configuração'!$C$51)/7)+1=1,MOD('🌱 Configuração'!$B$51+105-'🌱 Configuração'!$C$51,7)=0),"🌿 Grow A+B início — EC 0.8",IF(AND('🌱 Configuração'!$B$51+105&gt;='🌱 Configuração'!$C$51,'🌱 Configuração'!$B$51+105&lt;'🌱 Configuração'!$D$51,INT(('🌱 Configuração'!$B$51+105-'🌱 Configuração'!$C$51)/7)+1=2,MOD('🌱 Configuração'!$B$51+105-'🌱 Configuração'!$C$51,7)=0),"🌿 Grow A+B + CalMag — EC 1.0",IF(AND('🌱 Configuração'!$B$51+105&gt;='🌱 Configuração'!$C$51,'🌱 Configuração'!$B$51+105&lt;'🌱 Configuração'!$D$51,INT(('🌱 Configuração'!$B$51+105-'🌱 Configuração'!$C$51)/7)+1=3,MOD('🌱 Configuração'!$B$51+105-'🌱 Configuração'!$C$51,7)=0),"🌿 Grow A+B + CalMag — EC 1.2",IF(AND('🌱 Configuração'!$B$51+105&gt;='🌱 Configuração'!$C$51,'🌱 Configuração'!$B$51+105&lt;'🌱 Configuração'!$D$51,INT(('🌱 Configuração'!$B$51+105-'🌱 Configuração'!$C$51)/7)+1=4,MOD('🌱 Configuração'!$B$51+105-'🌱 Configuração'!$C$51,7)=0),"🌿 Grow A+B + Enzimas — EC 1.4",IF(AND('🌱 Configuração'!$B$51+105&gt;='🌱 Configuração'!$C$51,'🌱 Configuração'!$B$51+105&lt;'🌱 Configuração'!$D$51,INT(('🌱 Configuração'!$B$51+105-'🌱 Configuração'!$C$51)/7)+1=5,MOD('🌱 Configuração'!$B$51+105-'🌱 Configuração'!$C$51,7)=0),"🌿 Grow A+B + Biorrizas — EC 1.5",IF(AND('🌱 Configuração'!$B$51+105&gt;='🌱 Configuração'!$C$51,'🌱 Configuração'!$B$51+105&lt;'🌱 Configuração'!$D$51,INT(('🌱 Configuração'!$B$51+105-'🌱 Configuração'!$C$51)/7)+1=6,MOD('🌱 Configuração'!$B$51+105-'🌱 Configuração'!$C$51,7)=0),"🌿 Transição Bloom — EC 1.4",IF(AND('🌱 Configuração'!$B$51+105&gt;='🌱 Configuração'!$C$51,'🌱 Configuração'!$B$51+105&lt;'🌱 Configuração'!$D$51,INT(('🌱 Configuração'!$B$51+105-'🌱 Configuração'!$C$51)/7)+1=7,MOD('🌱 Configuração'!$B$51+105-'🌱 Configuração'!$C$51,7)=0),"🌿 Bloom A+B transição — EC 1.4",IF(AND('🌱 Configuração'!$B$51+105&gt;='🌱 Configuração'!$C$51,'🌱 Configuração'!$B$51+105&lt;'🌱 Configuração'!$D$51,INT(('🌱 Configuração'!$B$51+105-'🌱 Configuração'!$C$51)/7)+1=8,MOD('🌱 Configuração'!$B$51+105-'🌱 Configuração'!$C$51,7)=0),"🌿 Bloom A+B — EC 1.4",IF(AND('🌱 Configuração'!$B$51+105&gt;='🌱 Configuração'!$D$51,'🌱 Configuração'!$B$51+105&lt;'🌱 Configuração'!$E$51,INT(('🌱 Configuração'!$B$51+105-'🌱 Configuração'!$D$51)/7)+1=1,MOD('🌱 Configuração'!$B$51+105-'🌱 Configuração'!$D$51,7)=0),"🌸 Bloom A+B — EC 1.6",IF(AND('🌱 Configuração'!$B$51+105&gt;='🌱 Configuração'!$D$51,'🌱 Configuração'!$B$51+105&lt;'🌱 Configuração'!$E$51,INT(('🌱 Configuração'!$B$51+105-'🌱 Configuração'!$D$51)/7)+1=2,MOD('🌱 Configuração'!$B$51+105-'🌱 Configuração'!$D$51,7)=0),"🌸 Bloom + PK 13/14 início",IF(AND('🌱 Configuração'!$B$51+105&gt;='🌱 Configuração'!$D$51,'🌱 Configuração'!$B$51+105&lt;'🌱 Configuração'!$E$51,INT(('🌱 Configuração'!$B$51+105-'🌱 Configuração'!$D$51)/7)+1=3,MOD('🌱 Configuração'!$B$51+105-'🌱 Configuração'!$D$51,7)=0),"🌸 Bloom + PK + CalMag — EC 1.8",IF(AND('🌱 Configuração'!$B$51+105&gt;='🌱 Configuração'!$D$51,'🌱 Configuração'!$B$51+105&lt;'🌱 Configuração'!$E$51,INT(('🌱 Configuração'!$B$51+105-'🌱 Configuração'!$D$51)/7)+1=4,MOD('🌱 Configuração'!$B$51+105-'🌱 Configuração'!$D$51,7)=0),"🌸 Bloom + PK + Boost Floral — EC 2.0",IF(AND('🌱 Configuração'!$B$51+105&gt;='🌱 Configuração'!$D$51,'🌱 Configuração'!$B$51+105&lt;'🌱 Configuração'!$E$51,INT(('🌱 Configuração'!$B$51+105-'🌱 Configuração'!$D$51)/7)+1=5,MOD('🌱 Configuração'!$B$51+105-'🌱 Configuração'!$D$51,7)=0),"🌸 Bloom + Boost + Amino",IF(AND('🌱 Configuração'!$B$51+105&gt;='🌱 Configuração'!$D$51,'🌱 Configuração'!$B$51+105&lt;'🌱 Configuração'!$E$51,INT(('🌱 Configuração'!$B$51+105-'🌱 Configuração'!$D$51)/7)+1=6,MOD('🌱 Configuração'!$B$51+105-'🌱 Configuração'!$D$51,7)=0),"🌸 Bloom + Enzimas + Amino",IF(AND('🌱 Configuração'!$B$51+105&gt;='🌱 Configuração'!$D$51,'🌱 Configuração'!$B$51+105&lt;'🌱 Configuração'!$E$51,INT(('🌱 Configuração'!$B$51+105-'🌱 Configuração'!$D$51)/7)+1=7,MOD('🌱 Configuração'!$B$51+105-'🌱 Configuração'!$D$51,7)=0),"🌸 Reduzir N — Bloom puro — EC 1.6",IF(AND('🌱 Configuração'!$B$51+105&gt;='🌱 Configuração'!$D$51,'🌱 Configuração'!$B$51+105&lt;'🌱 Configuração'!$E$51,INT(('🌱 Configuração'!$B$51+105-'🌱 Configuração'!$D$51)/7)+1=8,MOD('🌱 Configuração'!$B$51+105-'🌱 Configuração'!$D$51,7)=0),"🌸 Bloom puro — EC 1.4  (pré-flush)",IF(AND('🌱 Configuração'!$B$51+105&gt;='🌱 Configuração'!$D$51,'🌱 Configuração'!$B$51+105&lt;'🌱 Configuração'!$E$51,INT(('🌱 Configuração'!$B$51+105-'🌱 Configuração'!$D$51)/7)+1=9,MOD('🌱 Configuração'!$B$51+105-'🌱 Configuração'!$D$51,7)=0),"🌸 Último Bloom — EC 0.8",IF(AND('🌱 Configuração'!$B$51+105&gt;='🌱 Configuração'!$E$51,INT(('🌱 Configuração'!$B$51+105-'🌱 Configuração'!$E$51)/7)+1=1,MOD('🌱 Configuração'!$B$51+105-'🌱 Configuração'!$E$51,7)=0),"🚿 Água pura + Enzimas (EC &lt; 0.3)",IF(AND('🌱 Configuração'!$B$51+105&gt;='🌱 Configuração'!$E$51,INT(('🌱 Configuração'!$B$51+105-'🌱 Configuração'!$E$51)/7)+1=2,MOD('🌱 Configuração'!$B$51+105-'🌱 Configuração'!$E$51,7)=0),"🚿 Água pura (EC &lt; 0.2)",""))))))))))))))))))))))</f>
        <v>🌸 Bloom puro — EC 1.4  (pré-flush)</v>
      </c>
      <c r="G111" s="30" t="str">
        <f>IF(106&gt;'🌱 Configuração'!$F$50,"",IF(AND('🌱 Configuração'!$B$51+105&lt;'🌱 Configuração'!$C$51,INT((106-1)/7)+1=1,MOD(106-1,7)=0),"🐛 Nim 2mL/L foliar — preventivo",IF(AND('🌱 Configuração'!$B$51+105&lt;'🌱 Configuração'!$C$51,INT((106-1)/7)+1=2,MOD(106-1,7)=0),"🐛 Beauveria bassiana foliar + solo",IF(AND('🌱 Configuração'!$B$51+105&gt;='🌱 Configuração'!$C$51,'🌱 Configuração'!$B$51+105&lt;'🌱 Configuração'!$D$51,INT(('🌱 Configuração'!$B$51+105-'🌱 Configuração'!$C$51)/7)+1=1,MOD('🌱 Configuração'!$B$51+105-'🌱 Configuração'!$C$51,7)=0),"🐛 Nim 2mL/L foliar",IF(AND('🌱 Configuração'!$B$51+105&gt;='🌱 Configuração'!$C$51,'🌱 Configuração'!$B$51+105&lt;'🌱 Configuração'!$D$51,INT(('🌱 Configuração'!$B$51+105-'🌱 Configuração'!$C$51)/7)+1=2,MOD('🌱 Configuração'!$B$51+105-'🌱 Configuração'!$C$51,7)=0),"🐛 Beauveria bassiana foliar",IF(AND('🌱 Configuração'!$B$51+105&gt;='🌱 Configuração'!$C$51,'🌱 Configuração'!$B$51+105&lt;'🌱 Configuração'!$D$51,INT(('🌱 Configuração'!$B$51+105-'🌱 Configuração'!$C$51)/7)+1=3,MOD('🌱 Configuração'!$B$51+105-'🌱 Configuração'!$C$51,7)=0),"🐛 Nim + Calda Sulfocálcica 1%",IF(AND('🌱 Configuração'!$B$51+105&gt;='🌱 Configuração'!$C$51,'🌱 Configuração'!$B$51+105&lt;'🌱 Configuração'!$D$51,INT(('🌱 Configuração'!$B$51+105-'🌱 Configuração'!$C$51)/7)+1=4,MOD('🌱 Configuração'!$B$51+105-'🌱 Configuração'!$C$51,7)=0),"🐛 Trichoderma solo + Beauveria",IF(AND('🌱 Configuração'!$B$51+105&gt;='🌱 Configuração'!$C$51,'🌱 Configuração'!$B$51+105&lt;'🌱 Configuração'!$D$51,INT(('🌱 Configuração'!$B$51+105-'🌱 Configuração'!$C$51)/7)+1=5,MOD('🌱 Configuração'!$B$51+105-'🌱 Configuração'!$C$51,7)=0),"🐛 Calda Bordalesa 0.5% foliar",IF(AND('🌱 Configuração'!$B$51+105&gt;='🌱 Configuração'!$C$51,'🌱 Configuração'!$B$51+105&lt;'🌱 Configuração'!$D$51,INT(('🌱 Configuração'!$B$51+105-'🌱 Configuração'!$C$51)/7)+1=6,MOD('🌱 Configuração'!$B$51+105-'🌱 Configuração'!$C$51,7)=0),"🐛 Nim 2mL/L — ÚLTIMA foliar",IF(AND('🌱 Configuração'!$B$51+105&gt;='🌱 Configuração'!$D$51,'🌱 Configuração'!$B$51+105&lt;'🌱 Configuração'!$E$51,INT(('🌱 Configuração'!$B$51+105-'🌱 Configuração'!$D$51)/7)+1=1,MOD('🌱 Configuração'!$B$51+105-'🌱 Configuração'!$D$51,7)=0),"🐛 Beauveria bassiana solo (sem foliar)",IF(AND('🌱 Configuração'!$B$51+105&gt;='🌱 Configuração'!$D$51,'🌱 Configuração'!$B$51+105&lt;'🌱 Configuração'!$E$51,INT(('🌱 Configuração'!$B$51+105-'🌱 Configuração'!$D$51)/7)+1=2,MOD('🌱 Configuração'!$B$51+105-'🌱 Configuração'!$D$51,7)=0),"🐛 Trichoderma solo",IF(AND('🌱 Configuração'!$B$51+105&gt;='🌱 Configuração'!$D$51,'🌱 Configuração'!$B$51+105&lt;'🌱 Configuração'!$E$51,INT(('🌱 Configuração'!$B$51+105-'🌱 Configuração'!$D$51)/7)+1=3,MOD('🌱 Configuração'!$B$51+105-'🌱 Configuração'!$D$51,7)=0),"🐛 Beauveria bassiana solo",IF(AND('🌱 Configuração'!$B$51+105&gt;='🌱 Configuração'!$D$51,'🌱 Configuração'!$B$51+105&lt;'🌱 Configuração'!$E$51,INT(('🌱 Configuração'!$B$51+105-'🌱 Configuração'!$D$51)/7)+1=4,MOD('🌱 Configuração'!$B$51+105-'🌱 Configuração'!$D$51,7)=0),"🐛 Trichoderma solo",IF(AND('🌱 Configuração'!$B$51+105&gt;='🌱 Configuração'!$E$51,INT(('🌱 Configuração'!$B$51+105-'🌱 Configuração'!$E$51)/7)+1=1,MOD('🌱 Configuração'!$B$51+105-'🌱 Configuração'!$E$51,7)=0),"🐛 Inspeção final — sem aplicação",""))))))))))))))</f>
        <v/>
      </c>
      <c r="H111" s="22" t="str">
        <f>IF(106&gt;'🌱 Configuração'!$F$50,"",IF('🌱 Configuração'!$B$51+105='🌱 Configuração'!$C$51,"🌿 INÍCIO VEGA — ajustar espaço, luz 18h/dia — EC 0.8",IF('🌱 Configuração'!$B$51+105='🌱 Configuração'!$D$51,"🌸 INÍCIO FLORAÇÃO — mudar para 12h/12h — 🔴 atenção ao fotoperíodo",IF('🌱 Configuração'!$B$51+105='🌱 Configuração'!$E$51,"🚿 INÍCIO FLUSH — PARAR nutrição, somente água pura",IF('🌱 Configuração'!$B$51+105='🌱 Configuração'!$F$51-1,"🔬 Véspera da colheita — analisar tricomas âmbar",IF('🌱 Configuração'!$B$51+105='🌱 Configuração'!$F$51,"✂️ COLHEITA! Parabéns! 🎉",""))))))</f>
        <v/>
      </c>
    </row>
    <row r="112" spans="2:8" ht="18.75" customHeight="1" x14ac:dyDescent="0.3">
      <c r="B112" s="25">
        <f>IF(107&lt;='🌱 Configuração'!$F$50,107,"")</f>
        <v>107</v>
      </c>
      <c r="C112" s="26">
        <f>IF(107&lt;='🌱 Configuração'!$F$50,'🌱 Configuração'!$B$51+106,"")</f>
        <v>46129</v>
      </c>
      <c r="D112" s="27" t="str">
        <f>IF(107&gt;'🌱 Configuração'!$F$50,"",IF('🌱 Configuração'!$B$51+106&lt;'🌱 Configuração'!$C$51,"🌱 Clone",IF('🌱 Configuração'!$B$51+106&lt;'🌱 Configuração'!$D$51,"🌿 Vegetativo",IF('🌱 Configuração'!$B$51+106&lt;'🌱 Configuração'!$E$51,"🌸 Floração","🚿 Flush"))))</f>
        <v>🌸 Floração</v>
      </c>
      <c r="E112" s="28" t="str">
        <f>IF(107&gt;'🌱 Configuração'!$F$50,"",IF('🌱 Configuração'!$B$51+106&lt;'🌱 Configuração'!$C$51,"Clone S"&amp;INT((107-1)/7)+1,IF('🌱 Configuração'!$B$51+106&lt;'🌱 Configuração'!$D$51,"Vega S"&amp;INT(('🌱 Configuração'!$B$51+106-'🌱 Configuração'!$C$51)/7)+1,IF('🌱 Configuração'!$B$51+106&lt;'🌱 Configuração'!$E$51,"Flora S"&amp;INT(('🌱 Configuração'!$B$51+106-'🌱 Configuração'!$D$51)/7)+1,"Flush S"&amp;INT(('🌱 Configuração'!$B$51+106-'🌱 Configuração'!$E$51)/7)+1))))</f>
        <v>Flora S8</v>
      </c>
      <c r="F112" s="29" t="str">
        <f>IF(107&gt;'🌱 Configuração'!$F$50,"",IF(AND('🌱 Configuração'!$B$51+106&lt;'🌱 Configuração'!$C$51,INT((107-1)/7)+1=1,MOD(107-1,7)=0),"🌱 Enraizador (0.5 mL/L)",IF(AND('🌱 Configuração'!$B$51+106&lt;'🌱 Configuração'!$C$51,INT((107-1)/7)+1=2,MOD(107-1,7)=0),"🌱 Enraizador + Vitamina B1",IF(AND('🌱 Configuração'!$B$51+106&gt;='🌱 Configuração'!$C$51,'🌱 Configuração'!$B$51+106&lt;'🌱 Configuração'!$D$51,INT(('🌱 Configuração'!$B$51+106-'🌱 Configuração'!$C$51)/7)+1=1,MOD('🌱 Configuração'!$B$51+106-'🌱 Configuração'!$C$51,7)=0),"🌿 Grow A+B início — EC 0.8",IF(AND('🌱 Configuração'!$B$51+106&gt;='🌱 Configuração'!$C$51,'🌱 Configuração'!$B$51+106&lt;'🌱 Configuração'!$D$51,INT(('🌱 Configuração'!$B$51+106-'🌱 Configuração'!$C$51)/7)+1=2,MOD('🌱 Configuração'!$B$51+106-'🌱 Configuração'!$C$51,7)=0),"🌿 Grow A+B + CalMag — EC 1.0",IF(AND('🌱 Configuração'!$B$51+106&gt;='🌱 Configuração'!$C$51,'🌱 Configuração'!$B$51+106&lt;'🌱 Configuração'!$D$51,INT(('🌱 Configuração'!$B$51+106-'🌱 Configuração'!$C$51)/7)+1=3,MOD('🌱 Configuração'!$B$51+106-'🌱 Configuração'!$C$51,7)=0),"🌿 Grow A+B + CalMag — EC 1.2",IF(AND('🌱 Configuração'!$B$51+106&gt;='🌱 Configuração'!$C$51,'🌱 Configuração'!$B$51+106&lt;'🌱 Configuração'!$D$51,INT(('🌱 Configuração'!$B$51+106-'🌱 Configuração'!$C$51)/7)+1=4,MOD('🌱 Configuração'!$B$51+106-'🌱 Configuração'!$C$51,7)=0),"🌿 Grow A+B + Enzimas — EC 1.4",IF(AND('🌱 Configuração'!$B$51+106&gt;='🌱 Configuração'!$C$51,'🌱 Configuração'!$B$51+106&lt;'🌱 Configuração'!$D$51,INT(('🌱 Configuração'!$B$51+106-'🌱 Configuração'!$C$51)/7)+1=5,MOD('🌱 Configuração'!$B$51+106-'🌱 Configuração'!$C$51,7)=0),"🌿 Grow A+B + Biorrizas — EC 1.5",IF(AND('🌱 Configuração'!$B$51+106&gt;='🌱 Configuração'!$C$51,'🌱 Configuração'!$B$51+106&lt;'🌱 Configuração'!$D$51,INT(('🌱 Configuração'!$B$51+106-'🌱 Configuração'!$C$51)/7)+1=6,MOD('🌱 Configuração'!$B$51+106-'🌱 Configuração'!$C$51,7)=0),"🌿 Transição Bloom — EC 1.4",IF(AND('🌱 Configuração'!$B$51+106&gt;='🌱 Configuração'!$C$51,'🌱 Configuração'!$B$51+106&lt;'🌱 Configuração'!$D$51,INT(('🌱 Configuração'!$B$51+106-'🌱 Configuração'!$C$51)/7)+1=7,MOD('🌱 Configuração'!$B$51+106-'🌱 Configuração'!$C$51,7)=0),"🌿 Bloom A+B transição — EC 1.4",IF(AND('🌱 Configuração'!$B$51+106&gt;='🌱 Configuração'!$C$51,'🌱 Configuração'!$B$51+106&lt;'🌱 Configuração'!$D$51,INT(('🌱 Configuração'!$B$51+106-'🌱 Configuração'!$C$51)/7)+1=8,MOD('🌱 Configuração'!$B$51+106-'🌱 Configuração'!$C$51,7)=0),"🌿 Bloom A+B — EC 1.4",IF(AND('🌱 Configuração'!$B$51+106&gt;='🌱 Configuração'!$D$51,'🌱 Configuração'!$B$51+106&lt;'🌱 Configuração'!$E$51,INT(('🌱 Configuração'!$B$51+106-'🌱 Configuração'!$D$51)/7)+1=1,MOD('🌱 Configuração'!$B$51+106-'🌱 Configuração'!$D$51,7)=0),"🌸 Bloom A+B — EC 1.6",IF(AND('🌱 Configuração'!$B$51+106&gt;='🌱 Configuração'!$D$51,'🌱 Configuração'!$B$51+106&lt;'🌱 Configuração'!$E$51,INT(('🌱 Configuração'!$B$51+106-'🌱 Configuração'!$D$51)/7)+1=2,MOD('🌱 Configuração'!$B$51+106-'🌱 Configuração'!$D$51,7)=0),"🌸 Bloom + PK 13/14 início",IF(AND('🌱 Configuração'!$B$51+106&gt;='🌱 Configuração'!$D$51,'🌱 Configuração'!$B$51+106&lt;'🌱 Configuração'!$E$51,INT(('🌱 Configuração'!$B$51+106-'🌱 Configuração'!$D$51)/7)+1=3,MOD('🌱 Configuração'!$B$51+106-'🌱 Configuração'!$D$51,7)=0),"🌸 Bloom + PK + CalMag — EC 1.8",IF(AND('🌱 Configuração'!$B$51+106&gt;='🌱 Configuração'!$D$51,'🌱 Configuração'!$B$51+106&lt;'🌱 Configuração'!$E$51,INT(('🌱 Configuração'!$B$51+106-'🌱 Configuração'!$D$51)/7)+1=4,MOD('🌱 Configuração'!$B$51+106-'🌱 Configuração'!$D$51,7)=0),"🌸 Bloom + PK + Boost Floral — EC 2.0",IF(AND('🌱 Configuração'!$B$51+106&gt;='🌱 Configuração'!$D$51,'🌱 Configuração'!$B$51+106&lt;'🌱 Configuração'!$E$51,INT(('🌱 Configuração'!$B$51+106-'🌱 Configuração'!$D$51)/7)+1=5,MOD('🌱 Configuração'!$B$51+106-'🌱 Configuração'!$D$51,7)=0),"🌸 Bloom + Boost + Amino",IF(AND('🌱 Configuração'!$B$51+106&gt;='🌱 Configuração'!$D$51,'🌱 Configuração'!$B$51+106&lt;'🌱 Configuração'!$E$51,INT(('🌱 Configuração'!$B$51+106-'🌱 Configuração'!$D$51)/7)+1=6,MOD('🌱 Configuração'!$B$51+106-'🌱 Configuração'!$D$51,7)=0),"🌸 Bloom + Enzimas + Amino",IF(AND('🌱 Configuração'!$B$51+106&gt;='🌱 Configuração'!$D$51,'🌱 Configuração'!$B$51+106&lt;'🌱 Configuração'!$E$51,INT(('🌱 Configuração'!$B$51+106-'🌱 Configuração'!$D$51)/7)+1=7,MOD('🌱 Configuração'!$B$51+106-'🌱 Configuração'!$D$51,7)=0),"🌸 Reduzir N — Bloom puro — EC 1.6",IF(AND('🌱 Configuração'!$B$51+106&gt;='🌱 Configuração'!$D$51,'🌱 Configuração'!$B$51+106&lt;'🌱 Configuração'!$E$51,INT(('🌱 Configuração'!$B$51+106-'🌱 Configuração'!$D$51)/7)+1=8,MOD('🌱 Configuração'!$B$51+106-'🌱 Configuração'!$D$51,7)=0),"🌸 Bloom puro — EC 1.4  (pré-flush)",IF(AND('🌱 Configuração'!$B$51+106&gt;='🌱 Configuração'!$D$51,'🌱 Configuração'!$B$51+106&lt;'🌱 Configuração'!$E$51,INT(('🌱 Configuração'!$B$51+106-'🌱 Configuração'!$D$51)/7)+1=9,MOD('🌱 Configuração'!$B$51+106-'🌱 Configuração'!$D$51,7)=0),"🌸 Último Bloom — EC 0.8",IF(AND('🌱 Configuração'!$B$51+106&gt;='🌱 Configuração'!$E$51,INT(('🌱 Configuração'!$B$51+106-'🌱 Configuração'!$E$51)/7)+1=1,MOD('🌱 Configuração'!$B$51+106-'🌱 Configuração'!$E$51,7)=0),"🚿 Água pura + Enzimas (EC &lt; 0.3)",IF(AND('🌱 Configuração'!$B$51+106&gt;='🌱 Configuração'!$E$51,INT(('🌱 Configuração'!$B$51+106-'🌱 Configuração'!$E$51)/7)+1=2,MOD('🌱 Configuração'!$B$51+106-'🌱 Configuração'!$E$51,7)=0),"🚿 Água pura (EC &lt; 0.2)",""))))))))))))))))))))))</f>
        <v/>
      </c>
      <c r="G112" s="30" t="str">
        <f>IF(107&gt;'🌱 Configuração'!$F$50,"",IF(AND('🌱 Configuração'!$B$51+106&lt;'🌱 Configuração'!$C$51,INT((107-1)/7)+1=1,MOD(107-1,7)=0),"🐛 Nim 2mL/L foliar — preventivo",IF(AND('🌱 Configuração'!$B$51+106&lt;'🌱 Configuração'!$C$51,INT((107-1)/7)+1=2,MOD(107-1,7)=0),"🐛 Beauveria bassiana foliar + solo",IF(AND('🌱 Configuração'!$B$51+106&gt;='🌱 Configuração'!$C$51,'🌱 Configuração'!$B$51+106&lt;'🌱 Configuração'!$D$51,INT(('🌱 Configuração'!$B$51+106-'🌱 Configuração'!$C$51)/7)+1=1,MOD('🌱 Configuração'!$B$51+106-'🌱 Configuração'!$C$51,7)=0),"🐛 Nim 2mL/L foliar",IF(AND('🌱 Configuração'!$B$51+106&gt;='🌱 Configuração'!$C$51,'🌱 Configuração'!$B$51+106&lt;'🌱 Configuração'!$D$51,INT(('🌱 Configuração'!$B$51+106-'🌱 Configuração'!$C$51)/7)+1=2,MOD('🌱 Configuração'!$B$51+106-'🌱 Configuração'!$C$51,7)=0),"🐛 Beauveria bassiana foliar",IF(AND('🌱 Configuração'!$B$51+106&gt;='🌱 Configuração'!$C$51,'🌱 Configuração'!$B$51+106&lt;'🌱 Configuração'!$D$51,INT(('🌱 Configuração'!$B$51+106-'🌱 Configuração'!$C$51)/7)+1=3,MOD('🌱 Configuração'!$B$51+106-'🌱 Configuração'!$C$51,7)=0),"🐛 Nim + Calda Sulfocálcica 1%",IF(AND('🌱 Configuração'!$B$51+106&gt;='🌱 Configuração'!$C$51,'🌱 Configuração'!$B$51+106&lt;'🌱 Configuração'!$D$51,INT(('🌱 Configuração'!$B$51+106-'🌱 Configuração'!$C$51)/7)+1=4,MOD('🌱 Configuração'!$B$51+106-'🌱 Configuração'!$C$51,7)=0),"🐛 Trichoderma solo + Beauveria",IF(AND('🌱 Configuração'!$B$51+106&gt;='🌱 Configuração'!$C$51,'🌱 Configuração'!$B$51+106&lt;'🌱 Configuração'!$D$51,INT(('🌱 Configuração'!$B$51+106-'🌱 Configuração'!$C$51)/7)+1=5,MOD('🌱 Configuração'!$B$51+106-'🌱 Configuração'!$C$51,7)=0),"🐛 Calda Bordalesa 0.5% foliar",IF(AND('🌱 Configuração'!$B$51+106&gt;='🌱 Configuração'!$C$51,'🌱 Configuração'!$B$51+106&lt;'🌱 Configuração'!$D$51,INT(('🌱 Configuração'!$B$51+106-'🌱 Configuração'!$C$51)/7)+1=6,MOD('🌱 Configuração'!$B$51+106-'🌱 Configuração'!$C$51,7)=0),"🐛 Nim 2mL/L — ÚLTIMA foliar",IF(AND('🌱 Configuração'!$B$51+106&gt;='🌱 Configuração'!$D$51,'🌱 Configuração'!$B$51+106&lt;'🌱 Configuração'!$E$51,INT(('🌱 Configuração'!$B$51+106-'🌱 Configuração'!$D$51)/7)+1=1,MOD('🌱 Configuração'!$B$51+106-'🌱 Configuração'!$D$51,7)=0),"🐛 Beauveria bassiana solo (sem foliar)",IF(AND('🌱 Configuração'!$B$51+106&gt;='🌱 Configuração'!$D$51,'🌱 Configuração'!$B$51+106&lt;'🌱 Configuração'!$E$51,INT(('🌱 Configuração'!$B$51+106-'🌱 Configuração'!$D$51)/7)+1=2,MOD('🌱 Configuração'!$B$51+106-'🌱 Configuração'!$D$51,7)=0),"🐛 Trichoderma solo",IF(AND('🌱 Configuração'!$B$51+106&gt;='🌱 Configuração'!$D$51,'🌱 Configuração'!$B$51+106&lt;'🌱 Configuração'!$E$51,INT(('🌱 Configuração'!$B$51+106-'🌱 Configuração'!$D$51)/7)+1=3,MOD('🌱 Configuração'!$B$51+106-'🌱 Configuração'!$D$51,7)=0),"🐛 Beauveria bassiana solo",IF(AND('🌱 Configuração'!$B$51+106&gt;='🌱 Configuração'!$D$51,'🌱 Configuração'!$B$51+106&lt;'🌱 Configuração'!$E$51,INT(('🌱 Configuração'!$B$51+106-'🌱 Configuração'!$D$51)/7)+1=4,MOD('🌱 Configuração'!$B$51+106-'🌱 Configuração'!$D$51,7)=0),"🐛 Trichoderma solo",IF(AND('🌱 Configuração'!$B$51+106&gt;='🌱 Configuração'!$E$51,INT(('🌱 Configuração'!$B$51+106-'🌱 Configuração'!$E$51)/7)+1=1,MOD('🌱 Configuração'!$B$51+106-'🌱 Configuração'!$E$51,7)=0),"🐛 Inspeção final — sem aplicação",""))))))))))))))</f>
        <v/>
      </c>
      <c r="H112" s="22" t="str">
        <f>IF(107&gt;'🌱 Configuração'!$F$50,"",IF('🌱 Configuração'!$B$51+106='🌱 Configuração'!$C$51,"🌿 INÍCIO VEGA — ajustar espaço, luz 18h/dia — EC 0.8",IF('🌱 Configuração'!$B$51+106='🌱 Configuração'!$D$51,"🌸 INÍCIO FLORAÇÃO — mudar para 12h/12h — 🔴 atenção ao fotoperíodo",IF('🌱 Configuração'!$B$51+106='🌱 Configuração'!$E$51,"🚿 INÍCIO FLUSH — PARAR nutrição, somente água pura",IF('🌱 Configuração'!$B$51+106='🌱 Configuração'!$F$51-1,"🔬 Véspera da colheita — analisar tricomas âmbar",IF('🌱 Configuração'!$B$51+106='🌱 Configuração'!$F$51,"✂️ COLHEITA! Parabéns! 🎉",""))))))</f>
        <v/>
      </c>
    </row>
    <row r="113" spans="2:8" ht="18.75" customHeight="1" x14ac:dyDescent="0.3">
      <c r="B113" s="25">
        <f>IF(108&lt;='🌱 Configuração'!$F$50,108,"")</f>
        <v>108</v>
      </c>
      <c r="C113" s="26">
        <f>IF(108&lt;='🌱 Configuração'!$F$50,'🌱 Configuração'!$B$51+107,"")</f>
        <v>46130</v>
      </c>
      <c r="D113" s="27" t="str">
        <f>IF(108&gt;'🌱 Configuração'!$F$50,"",IF('🌱 Configuração'!$B$51+107&lt;'🌱 Configuração'!$C$51,"🌱 Clone",IF('🌱 Configuração'!$B$51+107&lt;'🌱 Configuração'!$D$51,"🌿 Vegetativo",IF('🌱 Configuração'!$B$51+107&lt;'🌱 Configuração'!$E$51,"🌸 Floração","🚿 Flush"))))</f>
        <v>🌸 Floração</v>
      </c>
      <c r="E113" s="28" t="str">
        <f>IF(108&gt;'🌱 Configuração'!$F$50,"",IF('🌱 Configuração'!$B$51+107&lt;'🌱 Configuração'!$C$51,"Clone S"&amp;INT((108-1)/7)+1,IF('🌱 Configuração'!$B$51+107&lt;'🌱 Configuração'!$D$51,"Vega S"&amp;INT(('🌱 Configuração'!$B$51+107-'🌱 Configuração'!$C$51)/7)+1,IF('🌱 Configuração'!$B$51+107&lt;'🌱 Configuração'!$E$51,"Flora S"&amp;INT(('🌱 Configuração'!$B$51+107-'🌱 Configuração'!$D$51)/7)+1,"Flush S"&amp;INT(('🌱 Configuração'!$B$51+107-'🌱 Configuração'!$E$51)/7)+1))))</f>
        <v>Flora S8</v>
      </c>
      <c r="F113" s="29" t="str">
        <f>IF(108&gt;'🌱 Configuração'!$F$50,"",IF(AND('🌱 Configuração'!$B$51+107&lt;'🌱 Configuração'!$C$51,INT((108-1)/7)+1=1,MOD(108-1,7)=0),"🌱 Enraizador (0.5 mL/L)",IF(AND('🌱 Configuração'!$B$51+107&lt;'🌱 Configuração'!$C$51,INT((108-1)/7)+1=2,MOD(108-1,7)=0),"🌱 Enraizador + Vitamina B1",IF(AND('🌱 Configuração'!$B$51+107&gt;='🌱 Configuração'!$C$51,'🌱 Configuração'!$B$51+107&lt;'🌱 Configuração'!$D$51,INT(('🌱 Configuração'!$B$51+107-'🌱 Configuração'!$C$51)/7)+1=1,MOD('🌱 Configuração'!$B$51+107-'🌱 Configuração'!$C$51,7)=0),"🌿 Grow A+B início — EC 0.8",IF(AND('🌱 Configuração'!$B$51+107&gt;='🌱 Configuração'!$C$51,'🌱 Configuração'!$B$51+107&lt;'🌱 Configuração'!$D$51,INT(('🌱 Configuração'!$B$51+107-'🌱 Configuração'!$C$51)/7)+1=2,MOD('🌱 Configuração'!$B$51+107-'🌱 Configuração'!$C$51,7)=0),"🌿 Grow A+B + CalMag — EC 1.0",IF(AND('🌱 Configuração'!$B$51+107&gt;='🌱 Configuração'!$C$51,'🌱 Configuração'!$B$51+107&lt;'🌱 Configuração'!$D$51,INT(('🌱 Configuração'!$B$51+107-'🌱 Configuração'!$C$51)/7)+1=3,MOD('🌱 Configuração'!$B$51+107-'🌱 Configuração'!$C$51,7)=0),"🌿 Grow A+B + CalMag — EC 1.2",IF(AND('🌱 Configuração'!$B$51+107&gt;='🌱 Configuração'!$C$51,'🌱 Configuração'!$B$51+107&lt;'🌱 Configuração'!$D$51,INT(('🌱 Configuração'!$B$51+107-'🌱 Configuração'!$C$51)/7)+1=4,MOD('🌱 Configuração'!$B$51+107-'🌱 Configuração'!$C$51,7)=0),"🌿 Grow A+B + Enzimas — EC 1.4",IF(AND('🌱 Configuração'!$B$51+107&gt;='🌱 Configuração'!$C$51,'🌱 Configuração'!$B$51+107&lt;'🌱 Configuração'!$D$51,INT(('🌱 Configuração'!$B$51+107-'🌱 Configuração'!$C$51)/7)+1=5,MOD('🌱 Configuração'!$B$51+107-'🌱 Configuração'!$C$51,7)=0),"🌿 Grow A+B + Biorrizas — EC 1.5",IF(AND('🌱 Configuração'!$B$51+107&gt;='🌱 Configuração'!$C$51,'🌱 Configuração'!$B$51+107&lt;'🌱 Configuração'!$D$51,INT(('🌱 Configuração'!$B$51+107-'🌱 Configuração'!$C$51)/7)+1=6,MOD('🌱 Configuração'!$B$51+107-'🌱 Configuração'!$C$51,7)=0),"🌿 Transição Bloom — EC 1.4",IF(AND('🌱 Configuração'!$B$51+107&gt;='🌱 Configuração'!$C$51,'🌱 Configuração'!$B$51+107&lt;'🌱 Configuração'!$D$51,INT(('🌱 Configuração'!$B$51+107-'🌱 Configuração'!$C$51)/7)+1=7,MOD('🌱 Configuração'!$B$51+107-'🌱 Configuração'!$C$51,7)=0),"🌿 Bloom A+B transição — EC 1.4",IF(AND('🌱 Configuração'!$B$51+107&gt;='🌱 Configuração'!$C$51,'🌱 Configuração'!$B$51+107&lt;'🌱 Configuração'!$D$51,INT(('🌱 Configuração'!$B$51+107-'🌱 Configuração'!$C$51)/7)+1=8,MOD('🌱 Configuração'!$B$51+107-'🌱 Configuração'!$C$51,7)=0),"🌿 Bloom A+B — EC 1.4",IF(AND('🌱 Configuração'!$B$51+107&gt;='🌱 Configuração'!$D$51,'🌱 Configuração'!$B$51+107&lt;'🌱 Configuração'!$E$51,INT(('🌱 Configuração'!$B$51+107-'🌱 Configuração'!$D$51)/7)+1=1,MOD('🌱 Configuração'!$B$51+107-'🌱 Configuração'!$D$51,7)=0),"🌸 Bloom A+B — EC 1.6",IF(AND('🌱 Configuração'!$B$51+107&gt;='🌱 Configuração'!$D$51,'🌱 Configuração'!$B$51+107&lt;'🌱 Configuração'!$E$51,INT(('🌱 Configuração'!$B$51+107-'🌱 Configuração'!$D$51)/7)+1=2,MOD('🌱 Configuração'!$B$51+107-'🌱 Configuração'!$D$51,7)=0),"🌸 Bloom + PK 13/14 início",IF(AND('🌱 Configuração'!$B$51+107&gt;='🌱 Configuração'!$D$51,'🌱 Configuração'!$B$51+107&lt;'🌱 Configuração'!$E$51,INT(('🌱 Configuração'!$B$51+107-'🌱 Configuração'!$D$51)/7)+1=3,MOD('🌱 Configuração'!$B$51+107-'🌱 Configuração'!$D$51,7)=0),"🌸 Bloom + PK + CalMag — EC 1.8",IF(AND('🌱 Configuração'!$B$51+107&gt;='🌱 Configuração'!$D$51,'🌱 Configuração'!$B$51+107&lt;'🌱 Configuração'!$E$51,INT(('🌱 Configuração'!$B$51+107-'🌱 Configuração'!$D$51)/7)+1=4,MOD('🌱 Configuração'!$B$51+107-'🌱 Configuração'!$D$51,7)=0),"🌸 Bloom + PK + Boost Floral — EC 2.0",IF(AND('🌱 Configuração'!$B$51+107&gt;='🌱 Configuração'!$D$51,'🌱 Configuração'!$B$51+107&lt;'🌱 Configuração'!$E$51,INT(('🌱 Configuração'!$B$51+107-'🌱 Configuração'!$D$51)/7)+1=5,MOD('🌱 Configuração'!$B$51+107-'🌱 Configuração'!$D$51,7)=0),"🌸 Bloom + Boost + Amino",IF(AND('🌱 Configuração'!$B$51+107&gt;='🌱 Configuração'!$D$51,'🌱 Configuração'!$B$51+107&lt;'🌱 Configuração'!$E$51,INT(('🌱 Configuração'!$B$51+107-'🌱 Configuração'!$D$51)/7)+1=6,MOD('🌱 Configuração'!$B$51+107-'🌱 Configuração'!$D$51,7)=0),"🌸 Bloom + Enzimas + Amino",IF(AND('🌱 Configuração'!$B$51+107&gt;='🌱 Configuração'!$D$51,'🌱 Configuração'!$B$51+107&lt;'🌱 Configuração'!$E$51,INT(('🌱 Configuração'!$B$51+107-'🌱 Configuração'!$D$51)/7)+1=7,MOD('🌱 Configuração'!$B$51+107-'🌱 Configuração'!$D$51,7)=0),"🌸 Reduzir N — Bloom puro — EC 1.6",IF(AND('🌱 Configuração'!$B$51+107&gt;='🌱 Configuração'!$D$51,'🌱 Configuração'!$B$51+107&lt;'🌱 Configuração'!$E$51,INT(('🌱 Configuração'!$B$51+107-'🌱 Configuração'!$D$51)/7)+1=8,MOD('🌱 Configuração'!$B$51+107-'🌱 Configuração'!$D$51,7)=0),"🌸 Bloom puro — EC 1.4  (pré-flush)",IF(AND('🌱 Configuração'!$B$51+107&gt;='🌱 Configuração'!$D$51,'🌱 Configuração'!$B$51+107&lt;'🌱 Configuração'!$E$51,INT(('🌱 Configuração'!$B$51+107-'🌱 Configuração'!$D$51)/7)+1=9,MOD('🌱 Configuração'!$B$51+107-'🌱 Configuração'!$D$51,7)=0),"🌸 Último Bloom — EC 0.8",IF(AND('🌱 Configuração'!$B$51+107&gt;='🌱 Configuração'!$E$51,INT(('🌱 Configuração'!$B$51+107-'🌱 Configuração'!$E$51)/7)+1=1,MOD('🌱 Configuração'!$B$51+107-'🌱 Configuração'!$E$51,7)=0),"🚿 Água pura + Enzimas (EC &lt; 0.3)",IF(AND('🌱 Configuração'!$B$51+107&gt;='🌱 Configuração'!$E$51,INT(('🌱 Configuração'!$B$51+107-'🌱 Configuração'!$E$51)/7)+1=2,MOD('🌱 Configuração'!$B$51+107-'🌱 Configuração'!$E$51,7)=0),"🚿 Água pura (EC &lt; 0.2)",""))))))))))))))))))))))</f>
        <v/>
      </c>
      <c r="G113" s="30" t="str">
        <f>IF(108&gt;'🌱 Configuração'!$F$50,"",IF(AND('🌱 Configuração'!$B$51+107&lt;'🌱 Configuração'!$C$51,INT((108-1)/7)+1=1,MOD(108-1,7)=0),"🐛 Nim 2mL/L foliar — preventivo",IF(AND('🌱 Configuração'!$B$51+107&lt;'🌱 Configuração'!$C$51,INT((108-1)/7)+1=2,MOD(108-1,7)=0),"🐛 Beauveria bassiana foliar + solo",IF(AND('🌱 Configuração'!$B$51+107&gt;='🌱 Configuração'!$C$51,'🌱 Configuração'!$B$51+107&lt;'🌱 Configuração'!$D$51,INT(('🌱 Configuração'!$B$51+107-'🌱 Configuração'!$C$51)/7)+1=1,MOD('🌱 Configuração'!$B$51+107-'🌱 Configuração'!$C$51,7)=0),"🐛 Nim 2mL/L foliar",IF(AND('🌱 Configuração'!$B$51+107&gt;='🌱 Configuração'!$C$51,'🌱 Configuração'!$B$51+107&lt;'🌱 Configuração'!$D$51,INT(('🌱 Configuração'!$B$51+107-'🌱 Configuração'!$C$51)/7)+1=2,MOD('🌱 Configuração'!$B$51+107-'🌱 Configuração'!$C$51,7)=0),"🐛 Beauveria bassiana foliar",IF(AND('🌱 Configuração'!$B$51+107&gt;='🌱 Configuração'!$C$51,'🌱 Configuração'!$B$51+107&lt;'🌱 Configuração'!$D$51,INT(('🌱 Configuração'!$B$51+107-'🌱 Configuração'!$C$51)/7)+1=3,MOD('🌱 Configuração'!$B$51+107-'🌱 Configuração'!$C$51,7)=0),"🐛 Nim + Calda Sulfocálcica 1%",IF(AND('🌱 Configuração'!$B$51+107&gt;='🌱 Configuração'!$C$51,'🌱 Configuração'!$B$51+107&lt;'🌱 Configuração'!$D$51,INT(('🌱 Configuração'!$B$51+107-'🌱 Configuração'!$C$51)/7)+1=4,MOD('🌱 Configuração'!$B$51+107-'🌱 Configuração'!$C$51,7)=0),"🐛 Trichoderma solo + Beauveria",IF(AND('🌱 Configuração'!$B$51+107&gt;='🌱 Configuração'!$C$51,'🌱 Configuração'!$B$51+107&lt;'🌱 Configuração'!$D$51,INT(('🌱 Configuração'!$B$51+107-'🌱 Configuração'!$C$51)/7)+1=5,MOD('🌱 Configuração'!$B$51+107-'🌱 Configuração'!$C$51,7)=0),"🐛 Calda Bordalesa 0.5% foliar",IF(AND('🌱 Configuração'!$B$51+107&gt;='🌱 Configuração'!$C$51,'🌱 Configuração'!$B$51+107&lt;'🌱 Configuração'!$D$51,INT(('🌱 Configuração'!$B$51+107-'🌱 Configuração'!$C$51)/7)+1=6,MOD('🌱 Configuração'!$B$51+107-'🌱 Configuração'!$C$51,7)=0),"🐛 Nim 2mL/L — ÚLTIMA foliar",IF(AND('🌱 Configuração'!$B$51+107&gt;='🌱 Configuração'!$D$51,'🌱 Configuração'!$B$51+107&lt;'🌱 Configuração'!$E$51,INT(('🌱 Configuração'!$B$51+107-'🌱 Configuração'!$D$51)/7)+1=1,MOD('🌱 Configuração'!$B$51+107-'🌱 Configuração'!$D$51,7)=0),"🐛 Beauveria bassiana solo (sem foliar)",IF(AND('🌱 Configuração'!$B$51+107&gt;='🌱 Configuração'!$D$51,'🌱 Configuração'!$B$51+107&lt;'🌱 Configuração'!$E$51,INT(('🌱 Configuração'!$B$51+107-'🌱 Configuração'!$D$51)/7)+1=2,MOD('🌱 Configuração'!$B$51+107-'🌱 Configuração'!$D$51,7)=0),"🐛 Trichoderma solo",IF(AND('🌱 Configuração'!$B$51+107&gt;='🌱 Configuração'!$D$51,'🌱 Configuração'!$B$51+107&lt;'🌱 Configuração'!$E$51,INT(('🌱 Configuração'!$B$51+107-'🌱 Configuração'!$D$51)/7)+1=3,MOD('🌱 Configuração'!$B$51+107-'🌱 Configuração'!$D$51,7)=0),"🐛 Beauveria bassiana solo",IF(AND('🌱 Configuração'!$B$51+107&gt;='🌱 Configuração'!$D$51,'🌱 Configuração'!$B$51+107&lt;'🌱 Configuração'!$E$51,INT(('🌱 Configuração'!$B$51+107-'🌱 Configuração'!$D$51)/7)+1=4,MOD('🌱 Configuração'!$B$51+107-'🌱 Configuração'!$D$51,7)=0),"🐛 Trichoderma solo",IF(AND('🌱 Configuração'!$B$51+107&gt;='🌱 Configuração'!$E$51,INT(('🌱 Configuração'!$B$51+107-'🌱 Configuração'!$E$51)/7)+1=1,MOD('🌱 Configuração'!$B$51+107-'🌱 Configuração'!$E$51,7)=0),"🐛 Inspeção final — sem aplicação",""))))))))))))))</f>
        <v/>
      </c>
      <c r="H113" s="22" t="str">
        <f>IF(108&gt;'🌱 Configuração'!$F$50,"",IF('🌱 Configuração'!$B$51+107='🌱 Configuração'!$C$51,"🌿 INÍCIO VEGA — ajustar espaço, luz 18h/dia — EC 0.8",IF('🌱 Configuração'!$B$51+107='🌱 Configuração'!$D$51,"🌸 INÍCIO FLORAÇÃO — mudar para 12h/12h — 🔴 atenção ao fotoperíodo",IF('🌱 Configuração'!$B$51+107='🌱 Configuração'!$E$51,"🚿 INÍCIO FLUSH — PARAR nutrição, somente água pura",IF('🌱 Configuração'!$B$51+107='🌱 Configuração'!$F$51-1,"🔬 Véspera da colheita — analisar tricomas âmbar",IF('🌱 Configuração'!$B$51+107='🌱 Configuração'!$F$51,"✂️ COLHEITA! Parabéns! 🎉",""))))))</f>
        <v/>
      </c>
    </row>
    <row r="114" spans="2:8" ht="18.75" customHeight="1" x14ac:dyDescent="0.3">
      <c r="B114" s="25">
        <f>IF(109&lt;='🌱 Configuração'!$F$50,109,"")</f>
        <v>109</v>
      </c>
      <c r="C114" s="26">
        <f>IF(109&lt;='🌱 Configuração'!$F$50,'🌱 Configuração'!$B$51+108,"")</f>
        <v>46131</v>
      </c>
      <c r="D114" s="27" t="str">
        <f>IF(109&gt;'🌱 Configuração'!$F$50,"",IF('🌱 Configuração'!$B$51+108&lt;'🌱 Configuração'!$C$51,"🌱 Clone",IF('🌱 Configuração'!$B$51+108&lt;'🌱 Configuração'!$D$51,"🌿 Vegetativo",IF('🌱 Configuração'!$B$51+108&lt;'🌱 Configuração'!$E$51,"🌸 Floração","🚿 Flush"))))</f>
        <v>🌸 Floração</v>
      </c>
      <c r="E114" s="28" t="str">
        <f>IF(109&gt;'🌱 Configuração'!$F$50,"",IF('🌱 Configuração'!$B$51+108&lt;'🌱 Configuração'!$C$51,"Clone S"&amp;INT((109-1)/7)+1,IF('🌱 Configuração'!$B$51+108&lt;'🌱 Configuração'!$D$51,"Vega S"&amp;INT(('🌱 Configuração'!$B$51+108-'🌱 Configuração'!$C$51)/7)+1,IF('🌱 Configuração'!$B$51+108&lt;'🌱 Configuração'!$E$51,"Flora S"&amp;INT(('🌱 Configuração'!$B$51+108-'🌱 Configuração'!$D$51)/7)+1,"Flush S"&amp;INT(('🌱 Configuração'!$B$51+108-'🌱 Configuração'!$E$51)/7)+1))))</f>
        <v>Flora S8</v>
      </c>
      <c r="F114" s="29" t="str">
        <f>IF(109&gt;'🌱 Configuração'!$F$50,"",IF(AND('🌱 Configuração'!$B$51+108&lt;'🌱 Configuração'!$C$51,INT((109-1)/7)+1=1,MOD(109-1,7)=0),"🌱 Enraizador (0.5 mL/L)",IF(AND('🌱 Configuração'!$B$51+108&lt;'🌱 Configuração'!$C$51,INT((109-1)/7)+1=2,MOD(109-1,7)=0),"🌱 Enraizador + Vitamina B1",IF(AND('🌱 Configuração'!$B$51+108&gt;='🌱 Configuração'!$C$51,'🌱 Configuração'!$B$51+108&lt;'🌱 Configuração'!$D$51,INT(('🌱 Configuração'!$B$51+108-'🌱 Configuração'!$C$51)/7)+1=1,MOD('🌱 Configuração'!$B$51+108-'🌱 Configuração'!$C$51,7)=0),"🌿 Grow A+B início — EC 0.8",IF(AND('🌱 Configuração'!$B$51+108&gt;='🌱 Configuração'!$C$51,'🌱 Configuração'!$B$51+108&lt;'🌱 Configuração'!$D$51,INT(('🌱 Configuração'!$B$51+108-'🌱 Configuração'!$C$51)/7)+1=2,MOD('🌱 Configuração'!$B$51+108-'🌱 Configuração'!$C$51,7)=0),"🌿 Grow A+B + CalMag — EC 1.0",IF(AND('🌱 Configuração'!$B$51+108&gt;='🌱 Configuração'!$C$51,'🌱 Configuração'!$B$51+108&lt;'🌱 Configuração'!$D$51,INT(('🌱 Configuração'!$B$51+108-'🌱 Configuração'!$C$51)/7)+1=3,MOD('🌱 Configuração'!$B$51+108-'🌱 Configuração'!$C$51,7)=0),"🌿 Grow A+B + CalMag — EC 1.2",IF(AND('🌱 Configuração'!$B$51+108&gt;='🌱 Configuração'!$C$51,'🌱 Configuração'!$B$51+108&lt;'🌱 Configuração'!$D$51,INT(('🌱 Configuração'!$B$51+108-'🌱 Configuração'!$C$51)/7)+1=4,MOD('🌱 Configuração'!$B$51+108-'🌱 Configuração'!$C$51,7)=0),"🌿 Grow A+B + Enzimas — EC 1.4",IF(AND('🌱 Configuração'!$B$51+108&gt;='🌱 Configuração'!$C$51,'🌱 Configuração'!$B$51+108&lt;'🌱 Configuração'!$D$51,INT(('🌱 Configuração'!$B$51+108-'🌱 Configuração'!$C$51)/7)+1=5,MOD('🌱 Configuração'!$B$51+108-'🌱 Configuração'!$C$51,7)=0),"🌿 Grow A+B + Biorrizas — EC 1.5",IF(AND('🌱 Configuração'!$B$51+108&gt;='🌱 Configuração'!$C$51,'🌱 Configuração'!$B$51+108&lt;'🌱 Configuração'!$D$51,INT(('🌱 Configuração'!$B$51+108-'🌱 Configuração'!$C$51)/7)+1=6,MOD('🌱 Configuração'!$B$51+108-'🌱 Configuração'!$C$51,7)=0),"🌿 Transição Bloom — EC 1.4",IF(AND('🌱 Configuração'!$B$51+108&gt;='🌱 Configuração'!$C$51,'🌱 Configuração'!$B$51+108&lt;'🌱 Configuração'!$D$51,INT(('🌱 Configuração'!$B$51+108-'🌱 Configuração'!$C$51)/7)+1=7,MOD('🌱 Configuração'!$B$51+108-'🌱 Configuração'!$C$51,7)=0),"🌿 Bloom A+B transição — EC 1.4",IF(AND('🌱 Configuração'!$B$51+108&gt;='🌱 Configuração'!$C$51,'🌱 Configuração'!$B$51+108&lt;'🌱 Configuração'!$D$51,INT(('🌱 Configuração'!$B$51+108-'🌱 Configuração'!$C$51)/7)+1=8,MOD('🌱 Configuração'!$B$51+108-'🌱 Configuração'!$C$51,7)=0),"🌿 Bloom A+B — EC 1.4",IF(AND('🌱 Configuração'!$B$51+108&gt;='🌱 Configuração'!$D$51,'🌱 Configuração'!$B$51+108&lt;'🌱 Configuração'!$E$51,INT(('🌱 Configuração'!$B$51+108-'🌱 Configuração'!$D$51)/7)+1=1,MOD('🌱 Configuração'!$B$51+108-'🌱 Configuração'!$D$51,7)=0),"🌸 Bloom A+B — EC 1.6",IF(AND('🌱 Configuração'!$B$51+108&gt;='🌱 Configuração'!$D$51,'🌱 Configuração'!$B$51+108&lt;'🌱 Configuração'!$E$51,INT(('🌱 Configuração'!$B$51+108-'🌱 Configuração'!$D$51)/7)+1=2,MOD('🌱 Configuração'!$B$51+108-'🌱 Configuração'!$D$51,7)=0),"🌸 Bloom + PK 13/14 início",IF(AND('🌱 Configuração'!$B$51+108&gt;='🌱 Configuração'!$D$51,'🌱 Configuração'!$B$51+108&lt;'🌱 Configuração'!$E$51,INT(('🌱 Configuração'!$B$51+108-'🌱 Configuração'!$D$51)/7)+1=3,MOD('🌱 Configuração'!$B$51+108-'🌱 Configuração'!$D$51,7)=0),"🌸 Bloom + PK + CalMag — EC 1.8",IF(AND('🌱 Configuração'!$B$51+108&gt;='🌱 Configuração'!$D$51,'🌱 Configuração'!$B$51+108&lt;'🌱 Configuração'!$E$51,INT(('🌱 Configuração'!$B$51+108-'🌱 Configuração'!$D$51)/7)+1=4,MOD('🌱 Configuração'!$B$51+108-'🌱 Configuração'!$D$51,7)=0),"🌸 Bloom + PK + Boost Floral — EC 2.0",IF(AND('🌱 Configuração'!$B$51+108&gt;='🌱 Configuração'!$D$51,'🌱 Configuração'!$B$51+108&lt;'🌱 Configuração'!$E$51,INT(('🌱 Configuração'!$B$51+108-'🌱 Configuração'!$D$51)/7)+1=5,MOD('🌱 Configuração'!$B$51+108-'🌱 Configuração'!$D$51,7)=0),"🌸 Bloom + Boost + Amino",IF(AND('🌱 Configuração'!$B$51+108&gt;='🌱 Configuração'!$D$51,'🌱 Configuração'!$B$51+108&lt;'🌱 Configuração'!$E$51,INT(('🌱 Configuração'!$B$51+108-'🌱 Configuração'!$D$51)/7)+1=6,MOD('🌱 Configuração'!$B$51+108-'🌱 Configuração'!$D$51,7)=0),"🌸 Bloom + Enzimas + Amino",IF(AND('🌱 Configuração'!$B$51+108&gt;='🌱 Configuração'!$D$51,'🌱 Configuração'!$B$51+108&lt;'🌱 Configuração'!$E$51,INT(('🌱 Configuração'!$B$51+108-'🌱 Configuração'!$D$51)/7)+1=7,MOD('🌱 Configuração'!$B$51+108-'🌱 Configuração'!$D$51,7)=0),"🌸 Reduzir N — Bloom puro — EC 1.6",IF(AND('🌱 Configuração'!$B$51+108&gt;='🌱 Configuração'!$D$51,'🌱 Configuração'!$B$51+108&lt;'🌱 Configuração'!$E$51,INT(('🌱 Configuração'!$B$51+108-'🌱 Configuração'!$D$51)/7)+1=8,MOD('🌱 Configuração'!$B$51+108-'🌱 Configuração'!$D$51,7)=0),"🌸 Bloom puro — EC 1.4  (pré-flush)",IF(AND('🌱 Configuração'!$B$51+108&gt;='🌱 Configuração'!$D$51,'🌱 Configuração'!$B$51+108&lt;'🌱 Configuração'!$E$51,INT(('🌱 Configuração'!$B$51+108-'🌱 Configuração'!$D$51)/7)+1=9,MOD('🌱 Configuração'!$B$51+108-'🌱 Configuração'!$D$51,7)=0),"🌸 Último Bloom — EC 0.8",IF(AND('🌱 Configuração'!$B$51+108&gt;='🌱 Configuração'!$E$51,INT(('🌱 Configuração'!$B$51+108-'🌱 Configuração'!$E$51)/7)+1=1,MOD('🌱 Configuração'!$B$51+108-'🌱 Configuração'!$E$51,7)=0),"🚿 Água pura + Enzimas (EC &lt; 0.3)",IF(AND('🌱 Configuração'!$B$51+108&gt;='🌱 Configuração'!$E$51,INT(('🌱 Configuração'!$B$51+108-'🌱 Configuração'!$E$51)/7)+1=2,MOD('🌱 Configuração'!$B$51+108-'🌱 Configuração'!$E$51,7)=0),"🚿 Água pura (EC &lt; 0.2)",""))))))))))))))))))))))</f>
        <v/>
      </c>
      <c r="G114" s="30" t="str">
        <f>IF(109&gt;'🌱 Configuração'!$F$50,"",IF(AND('🌱 Configuração'!$B$51+108&lt;'🌱 Configuração'!$C$51,INT((109-1)/7)+1=1,MOD(109-1,7)=0),"🐛 Nim 2mL/L foliar — preventivo",IF(AND('🌱 Configuração'!$B$51+108&lt;'🌱 Configuração'!$C$51,INT((109-1)/7)+1=2,MOD(109-1,7)=0),"🐛 Beauveria bassiana foliar + solo",IF(AND('🌱 Configuração'!$B$51+108&gt;='🌱 Configuração'!$C$51,'🌱 Configuração'!$B$51+108&lt;'🌱 Configuração'!$D$51,INT(('🌱 Configuração'!$B$51+108-'🌱 Configuração'!$C$51)/7)+1=1,MOD('🌱 Configuração'!$B$51+108-'🌱 Configuração'!$C$51,7)=0),"🐛 Nim 2mL/L foliar",IF(AND('🌱 Configuração'!$B$51+108&gt;='🌱 Configuração'!$C$51,'🌱 Configuração'!$B$51+108&lt;'🌱 Configuração'!$D$51,INT(('🌱 Configuração'!$B$51+108-'🌱 Configuração'!$C$51)/7)+1=2,MOD('🌱 Configuração'!$B$51+108-'🌱 Configuração'!$C$51,7)=0),"🐛 Beauveria bassiana foliar",IF(AND('🌱 Configuração'!$B$51+108&gt;='🌱 Configuração'!$C$51,'🌱 Configuração'!$B$51+108&lt;'🌱 Configuração'!$D$51,INT(('🌱 Configuração'!$B$51+108-'🌱 Configuração'!$C$51)/7)+1=3,MOD('🌱 Configuração'!$B$51+108-'🌱 Configuração'!$C$51,7)=0),"🐛 Nim + Calda Sulfocálcica 1%",IF(AND('🌱 Configuração'!$B$51+108&gt;='🌱 Configuração'!$C$51,'🌱 Configuração'!$B$51+108&lt;'🌱 Configuração'!$D$51,INT(('🌱 Configuração'!$B$51+108-'🌱 Configuração'!$C$51)/7)+1=4,MOD('🌱 Configuração'!$B$51+108-'🌱 Configuração'!$C$51,7)=0),"🐛 Trichoderma solo + Beauveria",IF(AND('🌱 Configuração'!$B$51+108&gt;='🌱 Configuração'!$C$51,'🌱 Configuração'!$B$51+108&lt;'🌱 Configuração'!$D$51,INT(('🌱 Configuração'!$B$51+108-'🌱 Configuração'!$C$51)/7)+1=5,MOD('🌱 Configuração'!$B$51+108-'🌱 Configuração'!$C$51,7)=0),"🐛 Calda Bordalesa 0.5% foliar",IF(AND('🌱 Configuração'!$B$51+108&gt;='🌱 Configuração'!$C$51,'🌱 Configuração'!$B$51+108&lt;'🌱 Configuração'!$D$51,INT(('🌱 Configuração'!$B$51+108-'🌱 Configuração'!$C$51)/7)+1=6,MOD('🌱 Configuração'!$B$51+108-'🌱 Configuração'!$C$51,7)=0),"🐛 Nim 2mL/L — ÚLTIMA foliar",IF(AND('🌱 Configuração'!$B$51+108&gt;='🌱 Configuração'!$D$51,'🌱 Configuração'!$B$51+108&lt;'🌱 Configuração'!$E$51,INT(('🌱 Configuração'!$B$51+108-'🌱 Configuração'!$D$51)/7)+1=1,MOD('🌱 Configuração'!$B$51+108-'🌱 Configuração'!$D$51,7)=0),"🐛 Beauveria bassiana solo (sem foliar)",IF(AND('🌱 Configuração'!$B$51+108&gt;='🌱 Configuração'!$D$51,'🌱 Configuração'!$B$51+108&lt;'🌱 Configuração'!$E$51,INT(('🌱 Configuração'!$B$51+108-'🌱 Configuração'!$D$51)/7)+1=2,MOD('🌱 Configuração'!$B$51+108-'🌱 Configuração'!$D$51,7)=0),"🐛 Trichoderma solo",IF(AND('🌱 Configuração'!$B$51+108&gt;='🌱 Configuração'!$D$51,'🌱 Configuração'!$B$51+108&lt;'🌱 Configuração'!$E$51,INT(('🌱 Configuração'!$B$51+108-'🌱 Configuração'!$D$51)/7)+1=3,MOD('🌱 Configuração'!$B$51+108-'🌱 Configuração'!$D$51,7)=0),"🐛 Beauveria bassiana solo",IF(AND('🌱 Configuração'!$B$51+108&gt;='🌱 Configuração'!$D$51,'🌱 Configuração'!$B$51+108&lt;'🌱 Configuração'!$E$51,INT(('🌱 Configuração'!$B$51+108-'🌱 Configuração'!$D$51)/7)+1=4,MOD('🌱 Configuração'!$B$51+108-'🌱 Configuração'!$D$51,7)=0),"🐛 Trichoderma solo",IF(AND('🌱 Configuração'!$B$51+108&gt;='🌱 Configuração'!$E$51,INT(('🌱 Configuração'!$B$51+108-'🌱 Configuração'!$E$51)/7)+1=1,MOD('🌱 Configuração'!$B$51+108-'🌱 Configuração'!$E$51,7)=0),"🐛 Inspeção final — sem aplicação",""))))))))))))))</f>
        <v/>
      </c>
      <c r="H114" s="22" t="str">
        <f>IF(109&gt;'🌱 Configuração'!$F$50,"",IF('🌱 Configuração'!$B$51+108='🌱 Configuração'!$C$51,"🌿 INÍCIO VEGA — ajustar espaço, luz 18h/dia — EC 0.8",IF('🌱 Configuração'!$B$51+108='🌱 Configuração'!$D$51,"🌸 INÍCIO FLORAÇÃO — mudar para 12h/12h — 🔴 atenção ao fotoperíodo",IF('🌱 Configuração'!$B$51+108='🌱 Configuração'!$E$51,"🚿 INÍCIO FLUSH — PARAR nutrição, somente água pura",IF('🌱 Configuração'!$B$51+108='🌱 Configuração'!$F$51-1,"🔬 Véspera da colheita — analisar tricomas âmbar",IF('🌱 Configuração'!$B$51+108='🌱 Configuração'!$F$51,"✂️ COLHEITA! Parabéns! 🎉",""))))))</f>
        <v/>
      </c>
    </row>
    <row r="115" spans="2:8" ht="18.75" customHeight="1" x14ac:dyDescent="0.3">
      <c r="B115" s="25">
        <f>IF(110&lt;='🌱 Configuração'!$F$50,110,"")</f>
        <v>110</v>
      </c>
      <c r="C115" s="26">
        <f>IF(110&lt;='🌱 Configuração'!$F$50,'🌱 Configuração'!$B$51+109,"")</f>
        <v>46132</v>
      </c>
      <c r="D115" s="27" t="str">
        <f>IF(110&gt;'🌱 Configuração'!$F$50,"",IF('🌱 Configuração'!$B$51+109&lt;'🌱 Configuração'!$C$51,"🌱 Clone",IF('🌱 Configuração'!$B$51+109&lt;'🌱 Configuração'!$D$51,"🌿 Vegetativo",IF('🌱 Configuração'!$B$51+109&lt;'🌱 Configuração'!$E$51,"🌸 Floração","🚿 Flush"))))</f>
        <v>🌸 Floração</v>
      </c>
      <c r="E115" s="28" t="str">
        <f>IF(110&gt;'🌱 Configuração'!$F$50,"",IF('🌱 Configuração'!$B$51+109&lt;'🌱 Configuração'!$C$51,"Clone S"&amp;INT((110-1)/7)+1,IF('🌱 Configuração'!$B$51+109&lt;'🌱 Configuração'!$D$51,"Vega S"&amp;INT(('🌱 Configuração'!$B$51+109-'🌱 Configuração'!$C$51)/7)+1,IF('🌱 Configuração'!$B$51+109&lt;'🌱 Configuração'!$E$51,"Flora S"&amp;INT(('🌱 Configuração'!$B$51+109-'🌱 Configuração'!$D$51)/7)+1,"Flush S"&amp;INT(('🌱 Configuração'!$B$51+109-'🌱 Configuração'!$E$51)/7)+1))))</f>
        <v>Flora S8</v>
      </c>
      <c r="F115" s="29" t="str">
        <f>IF(110&gt;'🌱 Configuração'!$F$50,"",IF(AND('🌱 Configuração'!$B$51+109&lt;'🌱 Configuração'!$C$51,INT((110-1)/7)+1=1,MOD(110-1,7)=0),"🌱 Enraizador (0.5 mL/L)",IF(AND('🌱 Configuração'!$B$51+109&lt;'🌱 Configuração'!$C$51,INT((110-1)/7)+1=2,MOD(110-1,7)=0),"🌱 Enraizador + Vitamina B1",IF(AND('🌱 Configuração'!$B$51+109&gt;='🌱 Configuração'!$C$51,'🌱 Configuração'!$B$51+109&lt;'🌱 Configuração'!$D$51,INT(('🌱 Configuração'!$B$51+109-'🌱 Configuração'!$C$51)/7)+1=1,MOD('🌱 Configuração'!$B$51+109-'🌱 Configuração'!$C$51,7)=0),"🌿 Grow A+B início — EC 0.8",IF(AND('🌱 Configuração'!$B$51+109&gt;='🌱 Configuração'!$C$51,'🌱 Configuração'!$B$51+109&lt;'🌱 Configuração'!$D$51,INT(('🌱 Configuração'!$B$51+109-'🌱 Configuração'!$C$51)/7)+1=2,MOD('🌱 Configuração'!$B$51+109-'🌱 Configuração'!$C$51,7)=0),"🌿 Grow A+B + CalMag — EC 1.0",IF(AND('🌱 Configuração'!$B$51+109&gt;='🌱 Configuração'!$C$51,'🌱 Configuração'!$B$51+109&lt;'🌱 Configuração'!$D$51,INT(('🌱 Configuração'!$B$51+109-'🌱 Configuração'!$C$51)/7)+1=3,MOD('🌱 Configuração'!$B$51+109-'🌱 Configuração'!$C$51,7)=0),"🌿 Grow A+B + CalMag — EC 1.2",IF(AND('🌱 Configuração'!$B$51+109&gt;='🌱 Configuração'!$C$51,'🌱 Configuração'!$B$51+109&lt;'🌱 Configuração'!$D$51,INT(('🌱 Configuração'!$B$51+109-'🌱 Configuração'!$C$51)/7)+1=4,MOD('🌱 Configuração'!$B$51+109-'🌱 Configuração'!$C$51,7)=0),"🌿 Grow A+B + Enzimas — EC 1.4",IF(AND('🌱 Configuração'!$B$51+109&gt;='🌱 Configuração'!$C$51,'🌱 Configuração'!$B$51+109&lt;'🌱 Configuração'!$D$51,INT(('🌱 Configuração'!$B$51+109-'🌱 Configuração'!$C$51)/7)+1=5,MOD('🌱 Configuração'!$B$51+109-'🌱 Configuração'!$C$51,7)=0),"🌿 Grow A+B + Biorrizas — EC 1.5",IF(AND('🌱 Configuração'!$B$51+109&gt;='🌱 Configuração'!$C$51,'🌱 Configuração'!$B$51+109&lt;'🌱 Configuração'!$D$51,INT(('🌱 Configuração'!$B$51+109-'🌱 Configuração'!$C$51)/7)+1=6,MOD('🌱 Configuração'!$B$51+109-'🌱 Configuração'!$C$51,7)=0),"🌿 Transição Bloom — EC 1.4",IF(AND('🌱 Configuração'!$B$51+109&gt;='🌱 Configuração'!$C$51,'🌱 Configuração'!$B$51+109&lt;'🌱 Configuração'!$D$51,INT(('🌱 Configuração'!$B$51+109-'🌱 Configuração'!$C$51)/7)+1=7,MOD('🌱 Configuração'!$B$51+109-'🌱 Configuração'!$C$51,7)=0),"🌿 Bloom A+B transição — EC 1.4",IF(AND('🌱 Configuração'!$B$51+109&gt;='🌱 Configuração'!$C$51,'🌱 Configuração'!$B$51+109&lt;'🌱 Configuração'!$D$51,INT(('🌱 Configuração'!$B$51+109-'🌱 Configuração'!$C$51)/7)+1=8,MOD('🌱 Configuração'!$B$51+109-'🌱 Configuração'!$C$51,7)=0),"🌿 Bloom A+B — EC 1.4",IF(AND('🌱 Configuração'!$B$51+109&gt;='🌱 Configuração'!$D$51,'🌱 Configuração'!$B$51+109&lt;'🌱 Configuração'!$E$51,INT(('🌱 Configuração'!$B$51+109-'🌱 Configuração'!$D$51)/7)+1=1,MOD('🌱 Configuração'!$B$51+109-'🌱 Configuração'!$D$51,7)=0),"🌸 Bloom A+B — EC 1.6",IF(AND('🌱 Configuração'!$B$51+109&gt;='🌱 Configuração'!$D$51,'🌱 Configuração'!$B$51+109&lt;'🌱 Configuração'!$E$51,INT(('🌱 Configuração'!$B$51+109-'🌱 Configuração'!$D$51)/7)+1=2,MOD('🌱 Configuração'!$B$51+109-'🌱 Configuração'!$D$51,7)=0),"🌸 Bloom + PK 13/14 início",IF(AND('🌱 Configuração'!$B$51+109&gt;='🌱 Configuração'!$D$51,'🌱 Configuração'!$B$51+109&lt;'🌱 Configuração'!$E$51,INT(('🌱 Configuração'!$B$51+109-'🌱 Configuração'!$D$51)/7)+1=3,MOD('🌱 Configuração'!$B$51+109-'🌱 Configuração'!$D$51,7)=0),"🌸 Bloom + PK + CalMag — EC 1.8",IF(AND('🌱 Configuração'!$B$51+109&gt;='🌱 Configuração'!$D$51,'🌱 Configuração'!$B$51+109&lt;'🌱 Configuração'!$E$51,INT(('🌱 Configuração'!$B$51+109-'🌱 Configuração'!$D$51)/7)+1=4,MOD('🌱 Configuração'!$B$51+109-'🌱 Configuração'!$D$51,7)=0),"🌸 Bloom + PK + Boost Floral — EC 2.0",IF(AND('🌱 Configuração'!$B$51+109&gt;='🌱 Configuração'!$D$51,'🌱 Configuração'!$B$51+109&lt;'🌱 Configuração'!$E$51,INT(('🌱 Configuração'!$B$51+109-'🌱 Configuração'!$D$51)/7)+1=5,MOD('🌱 Configuração'!$B$51+109-'🌱 Configuração'!$D$51,7)=0),"🌸 Bloom + Boost + Amino",IF(AND('🌱 Configuração'!$B$51+109&gt;='🌱 Configuração'!$D$51,'🌱 Configuração'!$B$51+109&lt;'🌱 Configuração'!$E$51,INT(('🌱 Configuração'!$B$51+109-'🌱 Configuração'!$D$51)/7)+1=6,MOD('🌱 Configuração'!$B$51+109-'🌱 Configuração'!$D$51,7)=0),"🌸 Bloom + Enzimas + Amino",IF(AND('🌱 Configuração'!$B$51+109&gt;='🌱 Configuração'!$D$51,'🌱 Configuração'!$B$51+109&lt;'🌱 Configuração'!$E$51,INT(('🌱 Configuração'!$B$51+109-'🌱 Configuração'!$D$51)/7)+1=7,MOD('🌱 Configuração'!$B$51+109-'🌱 Configuração'!$D$51,7)=0),"🌸 Reduzir N — Bloom puro — EC 1.6",IF(AND('🌱 Configuração'!$B$51+109&gt;='🌱 Configuração'!$D$51,'🌱 Configuração'!$B$51+109&lt;'🌱 Configuração'!$E$51,INT(('🌱 Configuração'!$B$51+109-'🌱 Configuração'!$D$51)/7)+1=8,MOD('🌱 Configuração'!$B$51+109-'🌱 Configuração'!$D$51,7)=0),"🌸 Bloom puro — EC 1.4  (pré-flush)",IF(AND('🌱 Configuração'!$B$51+109&gt;='🌱 Configuração'!$D$51,'🌱 Configuração'!$B$51+109&lt;'🌱 Configuração'!$E$51,INT(('🌱 Configuração'!$B$51+109-'🌱 Configuração'!$D$51)/7)+1=9,MOD('🌱 Configuração'!$B$51+109-'🌱 Configuração'!$D$51,7)=0),"🌸 Último Bloom — EC 0.8",IF(AND('🌱 Configuração'!$B$51+109&gt;='🌱 Configuração'!$E$51,INT(('🌱 Configuração'!$B$51+109-'🌱 Configuração'!$E$51)/7)+1=1,MOD('🌱 Configuração'!$B$51+109-'🌱 Configuração'!$E$51,7)=0),"🚿 Água pura + Enzimas (EC &lt; 0.3)",IF(AND('🌱 Configuração'!$B$51+109&gt;='🌱 Configuração'!$E$51,INT(('🌱 Configuração'!$B$51+109-'🌱 Configuração'!$E$51)/7)+1=2,MOD('🌱 Configuração'!$B$51+109-'🌱 Configuração'!$E$51,7)=0),"🚿 Água pura (EC &lt; 0.2)",""))))))))))))))))))))))</f>
        <v/>
      </c>
      <c r="G115" s="30" t="str">
        <f>IF(110&gt;'🌱 Configuração'!$F$50,"",IF(AND('🌱 Configuração'!$B$51+109&lt;'🌱 Configuração'!$C$51,INT((110-1)/7)+1=1,MOD(110-1,7)=0),"🐛 Nim 2mL/L foliar — preventivo",IF(AND('🌱 Configuração'!$B$51+109&lt;'🌱 Configuração'!$C$51,INT((110-1)/7)+1=2,MOD(110-1,7)=0),"🐛 Beauveria bassiana foliar + solo",IF(AND('🌱 Configuração'!$B$51+109&gt;='🌱 Configuração'!$C$51,'🌱 Configuração'!$B$51+109&lt;'🌱 Configuração'!$D$51,INT(('🌱 Configuração'!$B$51+109-'🌱 Configuração'!$C$51)/7)+1=1,MOD('🌱 Configuração'!$B$51+109-'🌱 Configuração'!$C$51,7)=0),"🐛 Nim 2mL/L foliar",IF(AND('🌱 Configuração'!$B$51+109&gt;='🌱 Configuração'!$C$51,'🌱 Configuração'!$B$51+109&lt;'🌱 Configuração'!$D$51,INT(('🌱 Configuração'!$B$51+109-'🌱 Configuração'!$C$51)/7)+1=2,MOD('🌱 Configuração'!$B$51+109-'🌱 Configuração'!$C$51,7)=0),"🐛 Beauveria bassiana foliar",IF(AND('🌱 Configuração'!$B$51+109&gt;='🌱 Configuração'!$C$51,'🌱 Configuração'!$B$51+109&lt;'🌱 Configuração'!$D$51,INT(('🌱 Configuração'!$B$51+109-'🌱 Configuração'!$C$51)/7)+1=3,MOD('🌱 Configuração'!$B$51+109-'🌱 Configuração'!$C$51,7)=0),"🐛 Nim + Calda Sulfocálcica 1%",IF(AND('🌱 Configuração'!$B$51+109&gt;='🌱 Configuração'!$C$51,'🌱 Configuração'!$B$51+109&lt;'🌱 Configuração'!$D$51,INT(('🌱 Configuração'!$B$51+109-'🌱 Configuração'!$C$51)/7)+1=4,MOD('🌱 Configuração'!$B$51+109-'🌱 Configuração'!$C$51,7)=0),"🐛 Trichoderma solo + Beauveria",IF(AND('🌱 Configuração'!$B$51+109&gt;='🌱 Configuração'!$C$51,'🌱 Configuração'!$B$51+109&lt;'🌱 Configuração'!$D$51,INT(('🌱 Configuração'!$B$51+109-'🌱 Configuração'!$C$51)/7)+1=5,MOD('🌱 Configuração'!$B$51+109-'🌱 Configuração'!$C$51,7)=0),"🐛 Calda Bordalesa 0.5% foliar",IF(AND('🌱 Configuração'!$B$51+109&gt;='🌱 Configuração'!$C$51,'🌱 Configuração'!$B$51+109&lt;'🌱 Configuração'!$D$51,INT(('🌱 Configuração'!$B$51+109-'🌱 Configuração'!$C$51)/7)+1=6,MOD('🌱 Configuração'!$B$51+109-'🌱 Configuração'!$C$51,7)=0),"🐛 Nim 2mL/L — ÚLTIMA foliar",IF(AND('🌱 Configuração'!$B$51+109&gt;='🌱 Configuração'!$D$51,'🌱 Configuração'!$B$51+109&lt;'🌱 Configuração'!$E$51,INT(('🌱 Configuração'!$B$51+109-'🌱 Configuração'!$D$51)/7)+1=1,MOD('🌱 Configuração'!$B$51+109-'🌱 Configuração'!$D$51,7)=0),"🐛 Beauveria bassiana solo (sem foliar)",IF(AND('🌱 Configuração'!$B$51+109&gt;='🌱 Configuração'!$D$51,'🌱 Configuração'!$B$51+109&lt;'🌱 Configuração'!$E$51,INT(('🌱 Configuração'!$B$51+109-'🌱 Configuração'!$D$51)/7)+1=2,MOD('🌱 Configuração'!$B$51+109-'🌱 Configuração'!$D$51,7)=0),"🐛 Trichoderma solo",IF(AND('🌱 Configuração'!$B$51+109&gt;='🌱 Configuração'!$D$51,'🌱 Configuração'!$B$51+109&lt;'🌱 Configuração'!$E$51,INT(('🌱 Configuração'!$B$51+109-'🌱 Configuração'!$D$51)/7)+1=3,MOD('🌱 Configuração'!$B$51+109-'🌱 Configuração'!$D$51,7)=0),"🐛 Beauveria bassiana solo",IF(AND('🌱 Configuração'!$B$51+109&gt;='🌱 Configuração'!$D$51,'🌱 Configuração'!$B$51+109&lt;'🌱 Configuração'!$E$51,INT(('🌱 Configuração'!$B$51+109-'🌱 Configuração'!$D$51)/7)+1=4,MOD('🌱 Configuração'!$B$51+109-'🌱 Configuração'!$D$51,7)=0),"🐛 Trichoderma solo",IF(AND('🌱 Configuração'!$B$51+109&gt;='🌱 Configuração'!$E$51,INT(('🌱 Configuração'!$B$51+109-'🌱 Configuração'!$E$51)/7)+1=1,MOD('🌱 Configuração'!$B$51+109-'🌱 Configuração'!$E$51,7)=0),"🐛 Inspeção final — sem aplicação",""))))))))))))))</f>
        <v/>
      </c>
      <c r="H115" s="22" t="str">
        <f>IF(110&gt;'🌱 Configuração'!$F$50,"",IF('🌱 Configuração'!$B$51+109='🌱 Configuração'!$C$51,"🌿 INÍCIO VEGA — ajustar espaço, luz 18h/dia — EC 0.8",IF('🌱 Configuração'!$B$51+109='🌱 Configuração'!$D$51,"🌸 INÍCIO FLORAÇÃO — mudar para 12h/12h — 🔴 atenção ao fotoperíodo",IF('🌱 Configuração'!$B$51+109='🌱 Configuração'!$E$51,"🚿 INÍCIO FLUSH — PARAR nutrição, somente água pura",IF('🌱 Configuração'!$B$51+109='🌱 Configuração'!$F$51-1,"🔬 Véspera da colheita — analisar tricomas âmbar",IF('🌱 Configuração'!$B$51+109='🌱 Configuração'!$F$51,"✂️ COLHEITA! Parabéns! 🎉",""))))))</f>
        <v/>
      </c>
    </row>
    <row r="116" spans="2:8" ht="18.75" customHeight="1" x14ac:dyDescent="0.3">
      <c r="B116" s="25">
        <f>IF(111&lt;='🌱 Configuração'!$F$50,111,"")</f>
        <v>111</v>
      </c>
      <c r="C116" s="26">
        <f>IF(111&lt;='🌱 Configuração'!$F$50,'🌱 Configuração'!$B$51+110,"")</f>
        <v>46133</v>
      </c>
      <c r="D116" s="27" t="str">
        <f>IF(111&gt;'🌱 Configuração'!$F$50,"",IF('🌱 Configuração'!$B$51+110&lt;'🌱 Configuração'!$C$51,"🌱 Clone",IF('🌱 Configuração'!$B$51+110&lt;'🌱 Configuração'!$D$51,"🌿 Vegetativo",IF('🌱 Configuração'!$B$51+110&lt;'🌱 Configuração'!$E$51,"🌸 Floração","🚿 Flush"))))</f>
        <v>🌸 Floração</v>
      </c>
      <c r="E116" s="28" t="str">
        <f>IF(111&gt;'🌱 Configuração'!$F$50,"",IF('🌱 Configuração'!$B$51+110&lt;'🌱 Configuração'!$C$51,"Clone S"&amp;INT((111-1)/7)+1,IF('🌱 Configuração'!$B$51+110&lt;'🌱 Configuração'!$D$51,"Vega S"&amp;INT(('🌱 Configuração'!$B$51+110-'🌱 Configuração'!$C$51)/7)+1,IF('🌱 Configuração'!$B$51+110&lt;'🌱 Configuração'!$E$51,"Flora S"&amp;INT(('🌱 Configuração'!$B$51+110-'🌱 Configuração'!$D$51)/7)+1,"Flush S"&amp;INT(('🌱 Configuração'!$B$51+110-'🌱 Configuração'!$E$51)/7)+1))))</f>
        <v>Flora S8</v>
      </c>
      <c r="F116" s="29" t="str">
        <f>IF(111&gt;'🌱 Configuração'!$F$50,"",IF(AND('🌱 Configuração'!$B$51+110&lt;'🌱 Configuração'!$C$51,INT((111-1)/7)+1=1,MOD(111-1,7)=0),"🌱 Enraizador (0.5 mL/L)",IF(AND('🌱 Configuração'!$B$51+110&lt;'🌱 Configuração'!$C$51,INT((111-1)/7)+1=2,MOD(111-1,7)=0),"🌱 Enraizador + Vitamina B1",IF(AND('🌱 Configuração'!$B$51+110&gt;='🌱 Configuração'!$C$51,'🌱 Configuração'!$B$51+110&lt;'🌱 Configuração'!$D$51,INT(('🌱 Configuração'!$B$51+110-'🌱 Configuração'!$C$51)/7)+1=1,MOD('🌱 Configuração'!$B$51+110-'🌱 Configuração'!$C$51,7)=0),"🌿 Grow A+B início — EC 0.8",IF(AND('🌱 Configuração'!$B$51+110&gt;='🌱 Configuração'!$C$51,'🌱 Configuração'!$B$51+110&lt;'🌱 Configuração'!$D$51,INT(('🌱 Configuração'!$B$51+110-'🌱 Configuração'!$C$51)/7)+1=2,MOD('🌱 Configuração'!$B$51+110-'🌱 Configuração'!$C$51,7)=0),"🌿 Grow A+B + CalMag — EC 1.0",IF(AND('🌱 Configuração'!$B$51+110&gt;='🌱 Configuração'!$C$51,'🌱 Configuração'!$B$51+110&lt;'🌱 Configuração'!$D$51,INT(('🌱 Configuração'!$B$51+110-'🌱 Configuração'!$C$51)/7)+1=3,MOD('🌱 Configuração'!$B$51+110-'🌱 Configuração'!$C$51,7)=0),"🌿 Grow A+B + CalMag — EC 1.2",IF(AND('🌱 Configuração'!$B$51+110&gt;='🌱 Configuração'!$C$51,'🌱 Configuração'!$B$51+110&lt;'🌱 Configuração'!$D$51,INT(('🌱 Configuração'!$B$51+110-'🌱 Configuração'!$C$51)/7)+1=4,MOD('🌱 Configuração'!$B$51+110-'🌱 Configuração'!$C$51,7)=0),"🌿 Grow A+B + Enzimas — EC 1.4",IF(AND('🌱 Configuração'!$B$51+110&gt;='🌱 Configuração'!$C$51,'🌱 Configuração'!$B$51+110&lt;'🌱 Configuração'!$D$51,INT(('🌱 Configuração'!$B$51+110-'🌱 Configuração'!$C$51)/7)+1=5,MOD('🌱 Configuração'!$B$51+110-'🌱 Configuração'!$C$51,7)=0),"🌿 Grow A+B + Biorrizas — EC 1.5",IF(AND('🌱 Configuração'!$B$51+110&gt;='🌱 Configuração'!$C$51,'🌱 Configuração'!$B$51+110&lt;'🌱 Configuração'!$D$51,INT(('🌱 Configuração'!$B$51+110-'🌱 Configuração'!$C$51)/7)+1=6,MOD('🌱 Configuração'!$B$51+110-'🌱 Configuração'!$C$51,7)=0),"🌿 Transição Bloom — EC 1.4",IF(AND('🌱 Configuração'!$B$51+110&gt;='🌱 Configuração'!$C$51,'🌱 Configuração'!$B$51+110&lt;'🌱 Configuração'!$D$51,INT(('🌱 Configuração'!$B$51+110-'🌱 Configuração'!$C$51)/7)+1=7,MOD('🌱 Configuração'!$B$51+110-'🌱 Configuração'!$C$51,7)=0),"🌿 Bloom A+B transição — EC 1.4",IF(AND('🌱 Configuração'!$B$51+110&gt;='🌱 Configuração'!$C$51,'🌱 Configuração'!$B$51+110&lt;'🌱 Configuração'!$D$51,INT(('🌱 Configuração'!$B$51+110-'🌱 Configuração'!$C$51)/7)+1=8,MOD('🌱 Configuração'!$B$51+110-'🌱 Configuração'!$C$51,7)=0),"🌿 Bloom A+B — EC 1.4",IF(AND('🌱 Configuração'!$B$51+110&gt;='🌱 Configuração'!$D$51,'🌱 Configuração'!$B$51+110&lt;'🌱 Configuração'!$E$51,INT(('🌱 Configuração'!$B$51+110-'🌱 Configuração'!$D$51)/7)+1=1,MOD('🌱 Configuração'!$B$51+110-'🌱 Configuração'!$D$51,7)=0),"🌸 Bloom A+B — EC 1.6",IF(AND('🌱 Configuração'!$B$51+110&gt;='🌱 Configuração'!$D$51,'🌱 Configuração'!$B$51+110&lt;'🌱 Configuração'!$E$51,INT(('🌱 Configuração'!$B$51+110-'🌱 Configuração'!$D$51)/7)+1=2,MOD('🌱 Configuração'!$B$51+110-'🌱 Configuração'!$D$51,7)=0),"🌸 Bloom + PK 13/14 início",IF(AND('🌱 Configuração'!$B$51+110&gt;='🌱 Configuração'!$D$51,'🌱 Configuração'!$B$51+110&lt;'🌱 Configuração'!$E$51,INT(('🌱 Configuração'!$B$51+110-'🌱 Configuração'!$D$51)/7)+1=3,MOD('🌱 Configuração'!$B$51+110-'🌱 Configuração'!$D$51,7)=0),"🌸 Bloom + PK + CalMag — EC 1.8",IF(AND('🌱 Configuração'!$B$51+110&gt;='🌱 Configuração'!$D$51,'🌱 Configuração'!$B$51+110&lt;'🌱 Configuração'!$E$51,INT(('🌱 Configuração'!$B$51+110-'🌱 Configuração'!$D$51)/7)+1=4,MOD('🌱 Configuração'!$B$51+110-'🌱 Configuração'!$D$51,7)=0),"🌸 Bloom + PK + Boost Floral — EC 2.0",IF(AND('🌱 Configuração'!$B$51+110&gt;='🌱 Configuração'!$D$51,'🌱 Configuração'!$B$51+110&lt;'🌱 Configuração'!$E$51,INT(('🌱 Configuração'!$B$51+110-'🌱 Configuração'!$D$51)/7)+1=5,MOD('🌱 Configuração'!$B$51+110-'🌱 Configuração'!$D$51,7)=0),"🌸 Bloom + Boost + Amino",IF(AND('🌱 Configuração'!$B$51+110&gt;='🌱 Configuração'!$D$51,'🌱 Configuração'!$B$51+110&lt;'🌱 Configuração'!$E$51,INT(('🌱 Configuração'!$B$51+110-'🌱 Configuração'!$D$51)/7)+1=6,MOD('🌱 Configuração'!$B$51+110-'🌱 Configuração'!$D$51,7)=0),"🌸 Bloom + Enzimas + Amino",IF(AND('🌱 Configuração'!$B$51+110&gt;='🌱 Configuração'!$D$51,'🌱 Configuração'!$B$51+110&lt;'🌱 Configuração'!$E$51,INT(('🌱 Configuração'!$B$51+110-'🌱 Configuração'!$D$51)/7)+1=7,MOD('🌱 Configuração'!$B$51+110-'🌱 Configuração'!$D$51,7)=0),"🌸 Reduzir N — Bloom puro — EC 1.6",IF(AND('🌱 Configuração'!$B$51+110&gt;='🌱 Configuração'!$D$51,'🌱 Configuração'!$B$51+110&lt;'🌱 Configuração'!$E$51,INT(('🌱 Configuração'!$B$51+110-'🌱 Configuração'!$D$51)/7)+1=8,MOD('🌱 Configuração'!$B$51+110-'🌱 Configuração'!$D$51,7)=0),"🌸 Bloom puro — EC 1.4  (pré-flush)",IF(AND('🌱 Configuração'!$B$51+110&gt;='🌱 Configuração'!$D$51,'🌱 Configuração'!$B$51+110&lt;'🌱 Configuração'!$E$51,INT(('🌱 Configuração'!$B$51+110-'🌱 Configuração'!$D$51)/7)+1=9,MOD('🌱 Configuração'!$B$51+110-'🌱 Configuração'!$D$51,7)=0),"🌸 Último Bloom — EC 0.8",IF(AND('🌱 Configuração'!$B$51+110&gt;='🌱 Configuração'!$E$51,INT(('🌱 Configuração'!$B$51+110-'🌱 Configuração'!$E$51)/7)+1=1,MOD('🌱 Configuração'!$B$51+110-'🌱 Configuração'!$E$51,7)=0),"🚿 Água pura + Enzimas (EC &lt; 0.3)",IF(AND('🌱 Configuração'!$B$51+110&gt;='🌱 Configuração'!$E$51,INT(('🌱 Configuração'!$B$51+110-'🌱 Configuração'!$E$51)/7)+1=2,MOD('🌱 Configuração'!$B$51+110-'🌱 Configuração'!$E$51,7)=0),"🚿 Água pura (EC &lt; 0.2)",""))))))))))))))))))))))</f>
        <v/>
      </c>
      <c r="G116" s="30" t="str">
        <f>IF(111&gt;'🌱 Configuração'!$F$50,"",IF(AND('🌱 Configuração'!$B$51+110&lt;'🌱 Configuração'!$C$51,INT((111-1)/7)+1=1,MOD(111-1,7)=0),"🐛 Nim 2mL/L foliar — preventivo",IF(AND('🌱 Configuração'!$B$51+110&lt;'🌱 Configuração'!$C$51,INT((111-1)/7)+1=2,MOD(111-1,7)=0),"🐛 Beauveria bassiana foliar + solo",IF(AND('🌱 Configuração'!$B$51+110&gt;='🌱 Configuração'!$C$51,'🌱 Configuração'!$B$51+110&lt;'🌱 Configuração'!$D$51,INT(('🌱 Configuração'!$B$51+110-'🌱 Configuração'!$C$51)/7)+1=1,MOD('🌱 Configuração'!$B$51+110-'🌱 Configuração'!$C$51,7)=0),"🐛 Nim 2mL/L foliar",IF(AND('🌱 Configuração'!$B$51+110&gt;='🌱 Configuração'!$C$51,'🌱 Configuração'!$B$51+110&lt;'🌱 Configuração'!$D$51,INT(('🌱 Configuração'!$B$51+110-'🌱 Configuração'!$C$51)/7)+1=2,MOD('🌱 Configuração'!$B$51+110-'🌱 Configuração'!$C$51,7)=0),"🐛 Beauveria bassiana foliar",IF(AND('🌱 Configuração'!$B$51+110&gt;='🌱 Configuração'!$C$51,'🌱 Configuração'!$B$51+110&lt;'🌱 Configuração'!$D$51,INT(('🌱 Configuração'!$B$51+110-'🌱 Configuração'!$C$51)/7)+1=3,MOD('🌱 Configuração'!$B$51+110-'🌱 Configuração'!$C$51,7)=0),"🐛 Nim + Calda Sulfocálcica 1%",IF(AND('🌱 Configuração'!$B$51+110&gt;='🌱 Configuração'!$C$51,'🌱 Configuração'!$B$51+110&lt;'🌱 Configuração'!$D$51,INT(('🌱 Configuração'!$B$51+110-'🌱 Configuração'!$C$51)/7)+1=4,MOD('🌱 Configuração'!$B$51+110-'🌱 Configuração'!$C$51,7)=0),"🐛 Trichoderma solo + Beauveria",IF(AND('🌱 Configuração'!$B$51+110&gt;='🌱 Configuração'!$C$51,'🌱 Configuração'!$B$51+110&lt;'🌱 Configuração'!$D$51,INT(('🌱 Configuração'!$B$51+110-'🌱 Configuração'!$C$51)/7)+1=5,MOD('🌱 Configuração'!$B$51+110-'🌱 Configuração'!$C$51,7)=0),"🐛 Calda Bordalesa 0.5% foliar",IF(AND('🌱 Configuração'!$B$51+110&gt;='🌱 Configuração'!$C$51,'🌱 Configuração'!$B$51+110&lt;'🌱 Configuração'!$D$51,INT(('🌱 Configuração'!$B$51+110-'🌱 Configuração'!$C$51)/7)+1=6,MOD('🌱 Configuração'!$B$51+110-'🌱 Configuração'!$C$51,7)=0),"🐛 Nim 2mL/L — ÚLTIMA foliar",IF(AND('🌱 Configuração'!$B$51+110&gt;='🌱 Configuração'!$D$51,'🌱 Configuração'!$B$51+110&lt;'🌱 Configuração'!$E$51,INT(('🌱 Configuração'!$B$51+110-'🌱 Configuração'!$D$51)/7)+1=1,MOD('🌱 Configuração'!$B$51+110-'🌱 Configuração'!$D$51,7)=0),"🐛 Beauveria bassiana solo (sem foliar)",IF(AND('🌱 Configuração'!$B$51+110&gt;='🌱 Configuração'!$D$51,'🌱 Configuração'!$B$51+110&lt;'🌱 Configuração'!$E$51,INT(('🌱 Configuração'!$B$51+110-'🌱 Configuração'!$D$51)/7)+1=2,MOD('🌱 Configuração'!$B$51+110-'🌱 Configuração'!$D$51,7)=0),"🐛 Trichoderma solo",IF(AND('🌱 Configuração'!$B$51+110&gt;='🌱 Configuração'!$D$51,'🌱 Configuração'!$B$51+110&lt;'🌱 Configuração'!$E$51,INT(('🌱 Configuração'!$B$51+110-'🌱 Configuração'!$D$51)/7)+1=3,MOD('🌱 Configuração'!$B$51+110-'🌱 Configuração'!$D$51,7)=0),"🐛 Beauveria bassiana solo",IF(AND('🌱 Configuração'!$B$51+110&gt;='🌱 Configuração'!$D$51,'🌱 Configuração'!$B$51+110&lt;'🌱 Configuração'!$E$51,INT(('🌱 Configuração'!$B$51+110-'🌱 Configuração'!$D$51)/7)+1=4,MOD('🌱 Configuração'!$B$51+110-'🌱 Configuração'!$D$51,7)=0),"🐛 Trichoderma solo",IF(AND('🌱 Configuração'!$B$51+110&gt;='🌱 Configuração'!$E$51,INT(('🌱 Configuração'!$B$51+110-'🌱 Configuração'!$E$51)/7)+1=1,MOD('🌱 Configuração'!$B$51+110-'🌱 Configuração'!$E$51,7)=0),"🐛 Inspeção final — sem aplicação",""))))))))))))))</f>
        <v/>
      </c>
      <c r="H116" s="22" t="str">
        <f>IF(111&gt;'🌱 Configuração'!$F$50,"",IF('🌱 Configuração'!$B$51+110='🌱 Configuração'!$C$51,"🌿 INÍCIO VEGA — ajustar espaço, luz 18h/dia — EC 0.8",IF('🌱 Configuração'!$B$51+110='🌱 Configuração'!$D$51,"🌸 INÍCIO FLORAÇÃO — mudar para 12h/12h — 🔴 atenção ao fotoperíodo",IF('🌱 Configuração'!$B$51+110='🌱 Configuração'!$E$51,"🚿 INÍCIO FLUSH — PARAR nutrição, somente água pura",IF('🌱 Configuração'!$B$51+110='🌱 Configuração'!$F$51-1,"🔬 Véspera da colheita — analisar tricomas âmbar",IF('🌱 Configuração'!$B$51+110='🌱 Configuração'!$F$51,"✂️ COLHEITA! Parabéns! 🎉",""))))))</f>
        <v/>
      </c>
    </row>
    <row r="117" spans="2:8" ht="18.75" customHeight="1" x14ac:dyDescent="0.3">
      <c r="B117" s="25">
        <f>IF(112&lt;='🌱 Configuração'!$F$50,112,"")</f>
        <v>112</v>
      </c>
      <c r="C117" s="26">
        <f>IF(112&lt;='🌱 Configuração'!$F$50,'🌱 Configuração'!$B$51+111,"")</f>
        <v>46134</v>
      </c>
      <c r="D117" s="27" t="str">
        <f>IF(112&gt;'🌱 Configuração'!$F$50,"",IF('🌱 Configuração'!$B$51+111&lt;'🌱 Configuração'!$C$51,"🌱 Clone",IF('🌱 Configuração'!$B$51+111&lt;'🌱 Configuração'!$D$51,"🌿 Vegetativo",IF('🌱 Configuração'!$B$51+111&lt;'🌱 Configuração'!$E$51,"🌸 Floração","🚿 Flush"))))</f>
        <v>🌸 Floração</v>
      </c>
      <c r="E117" s="28" t="str">
        <f>IF(112&gt;'🌱 Configuração'!$F$50,"",IF('🌱 Configuração'!$B$51+111&lt;'🌱 Configuração'!$C$51,"Clone S"&amp;INT((112-1)/7)+1,IF('🌱 Configuração'!$B$51+111&lt;'🌱 Configuração'!$D$51,"Vega S"&amp;INT(('🌱 Configuração'!$B$51+111-'🌱 Configuração'!$C$51)/7)+1,IF('🌱 Configuração'!$B$51+111&lt;'🌱 Configuração'!$E$51,"Flora S"&amp;INT(('🌱 Configuração'!$B$51+111-'🌱 Configuração'!$D$51)/7)+1,"Flush S"&amp;INT(('🌱 Configuração'!$B$51+111-'🌱 Configuração'!$E$51)/7)+1))))</f>
        <v>Flora S8</v>
      </c>
      <c r="F117" s="29" t="str">
        <f>IF(112&gt;'🌱 Configuração'!$F$50,"",IF(AND('🌱 Configuração'!$B$51+111&lt;'🌱 Configuração'!$C$51,INT((112-1)/7)+1=1,MOD(112-1,7)=0),"🌱 Enraizador (0.5 mL/L)",IF(AND('🌱 Configuração'!$B$51+111&lt;'🌱 Configuração'!$C$51,INT((112-1)/7)+1=2,MOD(112-1,7)=0),"🌱 Enraizador + Vitamina B1",IF(AND('🌱 Configuração'!$B$51+111&gt;='🌱 Configuração'!$C$51,'🌱 Configuração'!$B$51+111&lt;'🌱 Configuração'!$D$51,INT(('🌱 Configuração'!$B$51+111-'🌱 Configuração'!$C$51)/7)+1=1,MOD('🌱 Configuração'!$B$51+111-'🌱 Configuração'!$C$51,7)=0),"🌿 Grow A+B início — EC 0.8",IF(AND('🌱 Configuração'!$B$51+111&gt;='🌱 Configuração'!$C$51,'🌱 Configuração'!$B$51+111&lt;'🌱 Configuração'!$D$51,INT(('🌱 Configuração'!$B$51+111-'🌱 Configuração'!$C$51)/7)+1=2,MOD('🌱 Configuração'!$B$51+111-'🌱 Configuração'!$C$51,7)=0),"🌿 Grow A+B + CalMag — EC 1.0",IF(AND('🌱 Configuração'!$B$51+111&gt;='🌱 Configuração'!$C$51,'🌱 Configuração'!$B$51+111&lt;'🌱 Configuração'!$D$51,INT(('🌱 Configuração'!$B$51+111-'🌱 Configuração'!$C$51)/7)+1=3,MOD('🌱 Configuração'!$B$51+111-'🌱 Configuração'!$C$51,7)=0),"🌿 Grow A+B + CalMag — EC 1.2",IF(AND('🌱 Configuração'!$B$51+111&gt;='🌱 Configuração'!$C$51,'🌱 Configuração'!$B$51+111&lt;'🌱 Configuração'!$D$51,INT(('🌱 Configuração'!$B$51+111-'🌱 Configuração'!$C$51)/7)+1=4,MOD('🌱 Configuração'!$B$51+111-'🌱 Configuração'!$C$51,7)=0),"🌿 Grow A+B + Enzimas — EC 1.4",IF(AND('🌱 Configuração'!$B$51+111&gt;='🌱 Configuração'!$C$51,'🌱 Configuração'!$B$51+111&lt;'🌱 Configuração'!$D$51,INT(('🌱 Configuração'!$B$51+111-'🌱 Configuração'!$C$51)/7)+1=5,MOD('🌱 Configuração'!$B$51+111-'🌱 Configuração'!$C$51,7)=0),"🌿 Grow A+B + Biorrizas — EC 1.5",IF(AND('🌱 Configuração'!$B$51+111&gt;='🌱 Configuração'!$C$51,'🌱 Configuração'!$B$51+111&lt;'🌱 Configuração'!$D$51,INT(('🌱 Configuração'!$B$51+111-'🌱 Configuração'!$C$51)/7)+1=6,MOD('🌱 Configuração'!$B$51+111-'🌱 Configuração'!$C$51,7)=0),"🌿 Transição Bloom — EC 1.4",IF(AND('🌱 Configuração'!$B$51+111&gt;='🌱 Configuração'!$C$51,'🌱 Configuração'!$B$51+111&lt;'🌱 Configuração'!$D$51,INT(('🌱 Configuração'!$B$51+111-'🌱 Configuração'!$C$51)/7)+1=7,MOD('🌱 Configuração'!$B$51+111-'🌱 Configuração'!$C$51,7)=0),"🌿 Bloom A+B transição — EC 1.4",IF(AND('🌱 Configuração'!$B$51+111&gt;='🌱 Configuração'!$C$51,'🌱 Configuração'!$B$51+111&lt;'🌱 Configuração'!$D$51,INT(('🌱 Configuração'!$B$51+111-'🌱 Configuração'!$C$51)/7)+1=8,MOD('🌱 Configuração'!$B$51+111-'🌱 Configuração'!$C$51,7)=0),"🌿 Bloom A+B — EC 1.4",IF(AND('🌱 Configuração'!$B$51+111&gt;='🌱 Configuração'!$D$51,'🌱 Configuração'!$B$51+111&lt;'🌱 Configuração'!$E$51,INT(('🌱 Configuração'!$B$51+111-'🌱 Configuração'!$D$51)/7)+1=1,MOD('🌱 Configuração'!$B$51+111-'🌱 Configuração'!$D$51,7)=0),"🌸 Bloom A+B — EC 1.6",IF(AND('🌱 Configuração'!$B$51+111&gt;='🌱 Configuração'!$D$51,'🌱 Configuração'!$B$51+111&lt;'🌱 Configuração'!$E$51,INT(('🌱 Configuração'!$B$51+111-'🌱 Configuração'!$D$51)/7)+1=2,MOD('🌱 Configuração'!$B$51+111-'🌱 Configuração'!$D$51,7)=0),"🌸 Bloom + PK 13/14 início",IF(AND('🌱 Configuração'!$B$51+111&gt;='🌱 Configuração'!$D$51,'🌱 Configuração'!$B$51+111&lt;'🌱 Configuração'!$E$51,INT(('🌱 Configuração'!$B$51+111-'🌱 Configuração'!$D$51)/7)+1=3,MOD('🌱 Configuração'!$B$51+111-'🌱 Configuração'!$D$51,7)=0),"🌸 Bloom + PK + CalMag — EC 1.8",IF(AND('🌱 Configuração'!$B$51+111&gt;='🌱 Configuração'!$D$51,'🌱 Configuração'!$B$51+111&lt;'🌱 Configuração'!$E$51,INT(('🌱 Configuração'!$B$51+111-'🌱 Configuração'!$D$51)/7)+1=4,MOD('🌱 Configuração'!$B$51+111-'🌱 Configuração'!$D$51,7)=0),"🌸 Bloom + PK + Boost Floral — EC 2.0",IF(AND('🌱 Configuração'!$B$51+111&gt;='🌱 Configuração'!$D$51,'🌱 Configuração'!$B$51+111&lt;'🌱 Configuração'!$E$51,INT(('🌱 Configuração'!$B$51+111-'🌱 Configuração'!$D$51)/7)+1=5,MOD('🌱 Configuração'!$B$51+111-'🌱 Configuração'!$D$51,7)=0),"🌸 Bloom + Boost + Amino",IF(AND('🌱 Configuração'!$B$51+111&gt;='🌱 Configuração'!$D$51,'🌱 Configuração'!$B$51+111&lt;'🌱 Configuração'!$E$51,INT(('🌱 Configuração'!$B$51+111-'🌱 Configuração'!$D$51)/7)+1=6,MOD('🌱 Configuração'!$B$51+111-'🌱 Configuração'!$D$51,7)=0),"🌸 Bloom + Enzimas + Amino",IF(AND('🌱 Configuração'!$B$51+111&gt;='🌱 Configuração'!$D$51,'🌱 Configuração'!$B$51+111&lt;'🌱 Configuração'!$E$51,INT(('🌱 Configuração'!$B$51+111-'🌱 Configuração'!$D$51)/7)+1=7,MOD('🌱 Configuração'!$B$51+111-'🌱 Configuração'!$D$51,7)=0),"🌸 Reduzir N — Bloom puro — EC 1.6",IF(AND('🌱 Configuração'!$B$51+111&gt;='🌱 Configuração'!$D$51,'🌱 Configuração'!$B$51+111&lt;'🌱 Configuração'!$E$51,INT(('🌱 Configuração'!$B$51+111-'🌱 Configuração'!$D$51)/7)+1=8,MOD('🌱 Configuração'!$B$51+111-'🌱 Configuração'!$D$51,7)=0),"🌸 Bloom puro — EC 1.4  (pré-flush)",IF(AND('🌱 Configuração'!$B$51+111&gt;='🌱 Configuração'!$D$51,'🌱 Configuração'!$B$51+111&lt;'🌱 Configuração'!$E$51,INT(('🌱 Configuração'!$B$51+111-'🌱 Configuração'!$D$51)/7)+1=9,MOD('🌱 Configuração'!$B$51+111-'🌱 Configuração'!$D$51,7)=0),"🌸 Último Bloom — EC 0.8",IF(AND('🌱 Configuração'!$B$51+111&gt;='🌱 Configuração'!$E$51,INT(('🌱 Configuração'!$B$51+111-'🌱 Configuração'!$E$51)/7)+1=1,MOD('🌱 Configuração'!$B$51+111-'🌱 Configuração'!$E$51,7)=0),"🚿 Água pura + Enzimas (EC &lt; 0.3)",IF(AND('🌱 Configuração'!$B$51+111&gt;='🌱 Configuração'!$E$51,INT(('🌱 Configuração'!$B$51+111-'🌱 Configuração'!$E$51)/7)+1=2,MOD('🌱 Configuração'!$B$51+111-'🌱 Configuração'!$E$51,7)=0),"🚿 Água pura (EC &lt; 0.2)",""))))))))))))))))))))))</f>
        <v/>
      </c>
      <c r="G117" s="30" t="str">
        <f>IF(112&gt;'🌱 Configuração'!$F$50,"",IF(AND('🌱 Configuração'!$B$51+111&lt;'🌱 Configuração'!$C$51,INT((112-1)/7)+1=1,MOD(112-1,7)=0),"🐛 Nim 2mL/L foliar — preventivo",IF(AND('🌱 Configuração'!$B$51+111&lt;'🌱 Configuração'!$C$51,INT((112-1)/7)+1=2,MOD(112-1,7)=0),"🐛 Beauveria bassiana foliar + solo",IF(AND('🌱 Configuração'!$B$51+111&gt;='🌱 Configuração'!$C$51,'🌱 Configuração'!$B$51+111&lt;'🌱 Configuração'!$D$51,INT(('🌱 Configuração'!$B$51+111-'🌱 Configuração'!$C$51)/7)+1=1,MOD('🌱 Configuração'!$B$51+111-'🌱 Configuração'!$C$51,7)=0),"🐛 Nim 2mL/L foliar",IF(AND('🌱 Configuração'!$B$51+111&gt;='🌱 Configuração'!$C$51,'🌱 Configuração'!$B$51+111&lt;'🌱 Configuração'!$D$51,INT(('🌱 Configuração'!$B$51+111-'🌱 Configuração'!$C$51)/7)+1=2,MOD('🌱 Configuração'!$B$51+111-'🌱 Configuração'!$C$51,7)=0),"🐛 Beauveria bassiana foliar",IF(AND('🌱 Configuração'!$B$51+111&gt;='🌱 Configuração'!$C$51,'🌱 Configuração'!$B$51+111&lt;'🌱 Configuração'!$D$51,INT(('🌱 Configuração'!$B$51+111-'🌱 Configuração'!$C$51)/7)+1=3,MOD('🌱 Configuração'!$B$51+111-'🌱 Configuração'!$C$51,7)=0),"🐛 Nim + Calda Sulfocálcica 1%",IF(AND('🌱 Configuração'!$B$51+111&gt;='🌱 Configuração'!$C$51,'🌱 Configuração'!$B$51+111&lt;'🌱 Configuração'!$D$51,INT(('🌱 Configuração'!$B$51+111-'🌱 Configuração'!$C$51)/7)+1=4,MOD('🌱 Configuração'!$B$51+111-'🌱 Configuração'!$C$51,7)=0),"🐛 Trichoderma solo + Beauveria",IF(AND('🌱 Configuração'!$B$51+111&gt;='🌱 Configuração'!$C$51,'🌱 Configuração'!$B$51+111&lt;'🌱 Configuração'!$D$51,INT(('🌱 Configuração'!$B$51+111-'🌱 Configuração'!$C$51)/7)+1=5,MOD('🌱 Configuração'!$B$51+111-'🌱 Configuração'!$C$51,7)=0),"🐛 Calda Bordalesa 0.5% foliar",IF(AND('🌱 Configuração'!$B$51+111&gt;='🌱 Configuração'!$C$51,'🌱 Configuração'!$B$51+111&lt;'🌱 Configuração'!$D$51,INT(('🌱 Configuração'!$B$51+111-'🌱 Configuração'!$C$51)/7)+1=6,MOD('🌱 Configuração'!$B$51+111-'🌱 Configuração'!$C$51,7)=0),"🐛 Nim 2mL/L — ÚLTIMA foliar",IF(AND('🌱 Configuração'!$B$51+111&gt;='🌱 Configuração'!$D$51,'🌱 Configuração'!$B$51+111&lt;'🌱 Configuração'!$E$51,INT(('🌱 Configuração'!$B$51+111-'🌱 Configuração'!$D$51)/7)+1=1,MOD('🌱 Configuração'!$B$51+111-'🌱 Configuração'!$D$51,7)=0),"🐛 Beauveria bassiana solo (sem foliar)",IF(AND('🌱 Configuração'!$B$51+111&gt;='🌱 Configuração'!$D$51,'🌱 Configuração'!$B$51+111&lt;'🌱 Configuração'!$E$51,INT(('🌱 Configuração'!$B$51+111-'🌱 Configuração'!$D$51)/7)+1=2,MOD('🌱 Configuração'!$B$51+111-'🌱 Configuração'!$D$51,7)=0),"🐛 Trichoderma solo",IF(AND('🌱 Configuração'!$B$51+111&gt;='🌱 Configuração'!$D$51,'🌱 Configuração'!$B$51+111&lt;'🌱 Configuração'!$E$51,INT(('🌱 Configuração'!$B$51+111-'🌱 Configuração'!$D$51)/7)+1=3,MOD('🌱 Configuração'!$B$51+111-'🌱 Configuração'!$D$51,7)=0),"🐛 Beauveria bassiana solo",IF(AND('🌱 Configuração'!$B$51+111&gt;='🌱 Configuração'!$D$51,'🌱 Configuração'!$B$51+111&lt;'🌱 Configuração'!$E$51,INT(('🌱 Configuração'!$B$51+111-'🌱 Configuração'!$D$51)/7)+1=4,MOD('🌱 Configuração'!$B$51+111-'🌱 Configuração'!$D$51,7)=0),"🐛 Trichoderma solo",IF(AND('🌱 Configuração'!$B$51+111&gt;='🌱 Configuração'!$E$51,INT(('🌱 Configuração'!$B$51+111-'🌱 Configuração'!$E$51)/7)+1=1,MOD('🌱 Configuração'!$B$51+111-'🌱 Configuração'!$E$51,7)=0),"🐛 Inspeção final — sem aplicação",""))))))))))))))</f>
        <v/>
      </c>
      <c r="H117" s="22" t="str">
        <f>IF(112&gt;'🌱 Configuração'!$F$50,"",IF('🌱 Configuração'!$B$51+111='🌱 Configuração'!$C$51,"🌿 INÍCIO VEGA — ajustar espaço, luz 18h/dia — EC 0.8",IF('🌱 Configuração'!$B$51+111='🌱 Configuração'!$D$51,"🌸 INÍCIO FLORAÇÃO — mudar para 12h/12h — 🔴 atenção ao fotoperíodo",IF('🌱 Configuração'!$B$51+111='🌱 Configuração'!$E$51,"🚿 INÍCIO FLUSH — PARAR nutrição, somente água pura",IF('🌱 Configuração'!$B$51+111='🌱 Configuração'!$F$51-1,"🔬 Véspera da colheita — analisar tricomas âmbar",IF('🌱 Configuração'!$B$51+111='🌱 Configuração'!$F$51,"✂️ COLHEITA! Parabéns! 🎉",""))))))</f>
        <v/>
      </c>
    </row>
    <row r="118" spans="2:8" ht="18.75" customHeight="1" x14ac:dyDescent="0.3">
      <c r="B118" s="25">
        <f>IF(113&lt;='🌱 Configuração'!$F$50,113,"")</f>
        <v>113</v>
      </c>
      <c r="C118" s="26">
        <f>IF(113&lt;='🌱 Configuração'!$F$50,'🌱 Configuração'!$B$51+112,"")</f>
        <v>46135</v>
      </c>
      <c r="D118" s="27" t="str">
        <f>IF(113&gt;'🌱 Configuração'!$F$50,"",IF('🌱 Configuração'!$B$51+112&lt;'🌱 Configuração'!$C$51,"🌱 Clone",IF('🌱 Configuração'!$B$51+112&lt;'🌱 Configuração'!$D$51,"🌿 Vegetativo",IF('🌱 Configuração'!$B$51+112&lt;'🌱 Configuração'!$E$51,"🌸 Floração","🚿 Flush"))))</f>
        <v>🌸 Floração</v>
      </c>
      <c r="E118" s="28" t="str">
        <f>IF(113&gt;'🌱 Configuração'!$F$50,"",IF('🌱 Configuração'!$B$51+112&lt;'🌱 Configuração'!$C$51,"Clone S"&amp;INT((113-1)/7)+1,IF('🌱 Configuração'!$B$51+112&lt;'🌱 Configuração'!$D$51,"Vega S"&amp;INT(('🌱 Configuração'!$B$51+112-'🌱 Configuração'!$C$51)/7)+1,IF('🌱 Configuração'!$B$51+112&lt;'🌱 Configuração'!$E$51,"Flora S"&amp;INT(('🌱 Configuração'!$B$51+112-'🌱 Configuração'!$D$51)/7)+1,"Flush S"&amp;INT(('🌱 Configuração'!$B$51+112-'🌱 Configuração'!$E$51)/7)+1))))</f>
        <v>Flora S9</v>
      </c>
      <c r="F118" s="29" t="str">
        <f>IF(113&gt;'🌱 Configuração'!$F$50,"",IF(AND('🌱 Configuração'!$B$51+112&lt;'🌱 Configuração'!$C$51,INT((113-1)/7)+1=1,MOD(113-1,7)=0),"🌱 Enraizador (0.5 mL/L)",IF(AND('🌱 Configuração'!$B$51+112&lt;'🌱 Configuração'!$C$51,INT((113-1)/7)+1=2,MOD(113-1,7)=0),"🌱 Enraizador + Vitamina B1",IF(AND('🌱 Configuração'!$B$51+112&gt;='🌱 Configuração'!$C$51,'🌱 Configuração'!$B$51+112&lt;'🌱 Configuração'!$D$51,INT(('🌱 Configuração'!$B$51+112-'🌱 Configuração'!$C$51)/7)+1=1,MOD('🌱 Configuração'!$B$51+112-'🌱 Configuração'!$C$51,7)=0),"🌿 Grow A+B início — EC 0.8",IF(AND('🌱 Configuração'!$B$51+112&gt;='🌱 Configuração'!$C$51,'🌱 Configuração'!$B$51+112&lt;'🌱 Configuração'!$D$51,INT(('🌱 Configuração'!$B$51+112-'🌱 Configuração'!$C$51)/7)+1=2,MOD('🌱 Configuração'!$B$51+112-'🌱 Configuração'!$C$51,7)=0),"🌿 Grow A+B + CalMag — EC 1.0",IF(AND('🌱 Configuração'!$B$51+112&gt;='🌱 Configuração'!$C$51,'🌱 Configuração'!$B$51+112&lt;'🌱 Configuração'!$D$51,INT(('🌱 Configuração'!$B$51+112-'🌱 Configuração'!$C$51)/7)+1=3,MOD('🌱 Configuração'!$B$51+112-'🌱 Configuração'!$C$51,7)=0),"🌿 Grow A+B + CalMag — EC 1.2",IF(AND('🌱 Configuração'!$B$51+112&gt;='🌱 Configuração'!$C$51,'🌱 Configuração'!$B$51+112&lt;'🌱 Configuração'!$D$51,INT(('🌱 Configuração'!$B$51+112-'🌱 Configuração'!$C$51)/7)+1=4,MOD('🌱 Configuração'!$B$51+112-'🌱 Configuração'!$C$51,7)=0),"🌿 Grow A+B + Enzimas — EC 1.4",IF(AND('🌱 Configuração'!$B$51+112&gt;='🌱 Configuração'!$C$51,'🌱 Configuração'!$B$51+112&lt;'🌱 Configuração'!$D$51,INT(('🌱 Configuração'!$B$51+112-'🌱 Configuração'!$C$51)/7)+1=5,MOD('🌱 Configuração'!$B$51+112-'🌱 Configuração'!$C$51,7)=0),"🌿 Grow A+B + Biorrizas — EC 1.5",IF(AND('🌱 Configuração'!$B$51+112&gt;='🌱 Configuração'!$C$51,'🌱 Configuração'!$B$51+112&lt;'🌱 Configuração'!$D$51,INT(('🌱 Configuração'!$B$51+112-'🌱 Configuração'!$C$51)/7)+1=6,MOD('🌱 Configuração'!$B$51+112-'🌱 Configuração'!$C$51,7)=0),"🌿 Transição Bloom — EC 1.4",IF(AND('🌱 Configuração'!$B$51+112&gt;='🌱 Configuração'!$C$51,'🌱 Configuração'!$B$51+112&lt;'🌱 Configuração'!$D$51,INT(('🌱 Configuração'!$B$51+112-'🌱 Configuração'!$C$51)/7)+1=7,MOD('🌱 Configuração'!$B$51+112-'🌱 Configuração'!$C$51,7)=0),"🌿 Bloom A+B transição — EC 1.4",IF(AND('🌱 Configuração'!$B$51+112&gt;='🌱 Configuração'!$C$51,'🌱 Configuração'!$B$51+112&lt;'🌱 Configuração'!$D$51,INT(('🌱 Configuração'!$B$51+112-'🌱 Configuração'!$C$51)/7)+1=8,MOD('🌱 Configuração'!$B$51+112-'🌱 Configuração'!$C$51,7)=0),"🌿 Bloom A+B — EC 1.4",IF(AND('🌱 Configuração'!$B$51+112&gt;='🌱 Configuração'!$D$51,'🌱 Configuração'!$B$51+112&lt;'🌱 Configuração'!$E$51,INT(('🌱 Configuração'!$B$51+112-'🌱 Configuração'!$D$51)/7)+1=1,MOD('🌱 Configuração'!$B$51+112-'🌱 Configuração'!$D$51,7)=0),"🌸 Bloom A+B — EC 1.6",IF(AND('🌱 Configuração'!$B$51+112&gt;='🌱 Configuração'!$D$51,'🌱 Configuração'!$B$51+112&lt;'🌱 Configuração'!$E$51,INT(('🌱 Configuração'!$B$51+112-'🌱 Configuração'!$D$51)/7)+1=2,MOD('🌱 Configuração'!$B$51+112-'🌱 Configuração'!$D$51,7)=0),"🌸 Bloom + PK 13/14 início",IF(AND('🌱 Configuração'!$B$51+112&gt;='🌱 Configuração'!$D$51,'🌱 Configuração'!$B$51+112&lt;'🌱 Configuração'!$E$51,INT(('🌱 Configuração'!$B$51+112-'🌱 Configuração'!$D$51)/7)+1=3,MOD('🌱 Configuração'!$B$51+112-'🌱 Configuração'!$D$51,7)=0),"🌸 Bloom + PK + CalMag — EC 1.8",IF(AND('🌱 Configuração'!$B$51+112&gt;='🌱 Configuração'!$D$51,'🌱 Configuração'!$B$51+112&lt;'🌱 Configuração'!$E$51,INT(('🌱 Configuração'!$B$51+112-'🌱 Configuração'!$D$51)/7)+1=4,MOD('🌱 Configuração'!$B$51+112-'🌱 Configuração'!$D$51,7)=0),"🌸 Bloom + PK + Boost Floral — EC 2.0",IF(AND('🌱 Configuração'!$B$51+112&gt;='🌱 Configuração'!$D$51,'🌱 Configuração'!$B$51+112&lt;'🌱 Configuração'!$E$51,INT(('🌱 Configuração'!$B$51+112-'🌱 Configuração'!$D$51)/7)+1=5,MOD('🌱 Configuração'!$B$51+112-'🌱 Configuração'!$D$51,7)=0),"🌸 Bloom + Boost + Amino",IF(AND('🌱 Configuração'!$B$51+112&gt;='🌱 Configuração'!$D$51,'🌱 Configuração'!$B$51+112&lt;'🌱 Configuração'!$E$51,INT(('🌱 Configuração'!$B$51+112-'🌱 Configuração'!$D$51)/7)+1=6,MOD('🌱 Configuração'!$B$51+112-'🌱 Configuração'!$D$51,7)=0),"🌸 Bloom + Enzimas + Amino",IF(AND('🌱 Configuração'!$B$51+112&gt;='🌱 Configuração'!$D$51,'🌱 Configuração'!$B$51+112&lt;'🌱 Configuração'!$E$51,INT(('🌱 Configuração'!$B$51+112-'🌱 Configuração'!$D$51)/7)+1=7,MOD('🌱 Configuração'!$B$51+112-'🌱 Configuração'!$D$51,7)=0),"🌸 Reduzir N — Bloom puro — EC 1.6",IF(AND('🌱 Configuração'!$B$51+112&gt;='🌱 Configuração'!$D$51,'🌱 Configuração'!$B$51+112&lt;'🌱 Configuração'!$E$51,INT(('🌱 Configuração'!$B$51+112-'🌱 Configuração'!$D$51)/7)+1=8,MOD('🌱 Configuração'!$B$51+112-'🌱 Configuração'!$D$51,7)=0),"🌸 Bloom puro — EC 1.4  (pré-flush)",IF(AND('🌱 Configuração'!$B$51+112&gt;='🌱 Configuração'!$D$51,'🌱 Configuração'!$B$51+112&lt;'🌱 Configuração'!$E$51,INT(('🌱 Configuração'!$B$51+112-'🌱 Configuração'!$D$51)/7)+1=9,MOD('🌱 Configuração'!$B$51+112-'🌱 Configuração'!$D$51,7)=0),"🌸 Último Bloom — EC 0.8",IF(AND('🌱 Configuração'!$B$51+112&gt;='🌱 Configuração'!$E$51,INT(('🌱 Configuração'!$B$51+112-'🌱 Configuração'!$E$51)/7)+1=1,MOD('🌱 Configuração'!$B$51+112-'🌱 Configuração'!$E$51,7)=0),"🚿 Água pura + Enzimas (EC &lt; 0.3)",IF(AND('🌱 Configuração'!$B$51+112&gt;='🌱 Configuração'!$E$51,INT(('🌱 Configuração'!$B$51+112-'🌱 Configuração'!$E$51)/7)+1=2,MOD('🌱 Configuração'!$B$51+112-'🌱 Configuração'!$E$51,7)=0),"🚿 Água pura (EC &lt; 0.2)",""))))))))))))))))))))))</f>
        <v>🌸 Último Bloom — EC 0.8</v>
      </c>
      <c r="G118" s="30" t="str">
        <f>IF(113&gt;'🌱 Configuração'!$F$50,"",IF(AND('🌱 Configuração'!$B$51+112&lt;'🌱 Configuração'!$C$51,INT((113-1)/7)+1=1,MOD(113-1,7)=0),"🐛 Nim 2mL/L foliar — preventivo",IF(AND('🌱 Configuração'!$B$51+112&lt;'🌱 Configuração'!$C$51,INT((113-1)/7)+1=2,MOD(113-1,7)=0),"🐛 Beauveria bassiana foliar + solo",IF(AND('🌱 Configuração'!$B$51+112&gt;='🌱 Configuração'!$C$51,'🌱 Configuração'!$B$51+112&lt;'🌱 Configuração'!$D$51,INT(('🌱 Configuração'!$B$51+112-'🌱 Configuração'!$C$51)/7)+1=1,MOD('🌱 Configuração'!$B$51+112-'🌱 Configuração'!$C$51,7)=0),"🐛 Nim 2mL/L foliar",IF(AND('🌱 Configuração'!$B$51+112&gt;='🌱 Configuração'!$C$51,'🌱 Configuração'!$B$51+112&lt;'🌱 Configuração'!$D$51,INT(('🌱 Configuração'!$B$51+112-'🌱 Configuração'!$C$51)/7)+1=2,MOD('🌱 Configuração'!$B$51+112-'🌱 Configuração'!$C$51,7)=0),"🐛 Beauveria bassiana foliar",IF(AND('🌱 Configuração'!$B$51+112&gt;='🌱 Configuração'!$C$51,'🌱 Configuração'!$B$51+112&lt;'🌱 Configuração'!$D$51,INT(('🌱 Configuração'!$B$51+112-'🌱 Configuração'!$C$51)/7)+1=3,MOD('🌱 Configuração'!$B$51+112-'🌱 Configuração'!$C$51,7)=0),"🐛 Nim + Calda Sulfocálcica 1%",IF(AND('🌱 Configuração'!$B$51+112&gt;='🌱 Configuração'!$C$51,'🌱 Configuração'!$B$51+112&lt;'🌱 Configuração'!$D$51,INT(('🌱 Configuração'!$B$51+112-'🌱 Configuração'!$C$51)/7)+1=4,MOD('🌱 Configuração'!$B$51+112-'🌱 Configuração'!$C$51,7)=0),"🐛 Trichoderma solo + Beauveria",IF(AND('🌱 Configuração'!$B$51+112&gt;='🌱 Configuração'!$C$51,'🌱 Configuração'!$B$51+112&lt;'🌱 Configuração'!$D$51,INT(('🌱 Configuração'!$B$51+112-'🌱 Configuração'!$C$51)/7)+1=5,MOD('🌱 Configuração'!$B$51+112-'🌱 Configuração'!$C$51,7)=0),"🐛 Calda Bordalesa 0.5% foliar",IF(AND('🌱 Configuração'!$B$51+112&gt;='🌱 Configuração'!$C$51,'🌱 Configuração'!$B$51+112&lt;'🌱 Configuração'!$D$51,INT(('🌱 Configuração'!$B$51+112-'🌱 Configuração'!$C$51)/7)+1=6,MOD('🌱 Configuração'!$B$51+112-'🌱 Configuração'!$C$51,7)=0),"🐛 Nim 2mL/L — ÚLTIMA foliar",IF(AND('🌱 Configuração'!$B$51+112&gt;='🌱 Configuração'!$D$51,'🌱 Configuração'!$B$51+112&lt;'🌱 Configuração'!$E$51,INT(('🌱 Configuração'!$B$51+112-'🌱 Configuração'!$D$51)/7)+1=1,MOD('🌱 Configuração'!$B$51+112-'🌱 Configuração'!$D$51,7)=0),"🐛 Beauveria bassiana solo (sem foliar)",IF(AND('🌱 Configuração'!$B$51+112&gt;='🌱 Configuração'!$D$51,'🌱 Configuração'!$B$51+112&lt;'🌱 Configuração'!$E$51,INT(('🌱 Configuração'!$B$51+112-'🌱 Configuração'!$D$51)/7)+1=2,MOD('🌱 Configuração'!$B$51+112-'🌱 Configuração'!$D$51,7)=0),"🐛 Trichoderma solo",IF(AND('🌱 Configuração'!$B$51+112&gt;='🌱 Configuração'!$D$51,'🌱 Configuração'!$B$51+112&lt;'🌱 Configuração'!$E$51,INT(('🌱 Configuração'!$B$51+112-'🌱 Configuração'!$D$51)/7)+1=3,MOD('🌱 Configuração'!$B$51+112-'🌱 Configuração'!$D$51,7)=0),"🐛 Beauveria bassiana solo",IF(AND('🌱 Configuração'!$B$51+112&gt;='🌱 Configuração'!$D$51,'🌱 Configuração'!$B$51+112&lt;'🌱 Configuração'!$E$51,INT(('🌱 Configuração'!$B$51+112-'🌱 Configuração'!$D$51)/7)+1=4,MOD('🌱 Configuração'!$B$51+112-'🌱 Configuração'!$D$51,7)=0),"🐛 Trichoderma solo",IF(AND('🌱 Configuração'!$B$51+112&gt;='🌱 Configuração'!$E$51,INT(('🌱 Configuração'!$B$51+112-'🌱 Configuração'!$E$51)/7)+1=1,MOD('🌱 Configuração'!$B$51+112-'🌱 Configuração'!$E$51,7)=0),"🐛 Inspeção final — sem aplicação",""))))))))))))))</f>
        <v/>
      </c>
      <c r="H118" s="22" t="str">
        <f>IF(113&gt;'🌱 Configuração'!$F$50,"",IF('🌱 Configuração'!$B$51+112='🌱 Configuração'!$C$51,"🌿 INÍCIO VEGA — ajustar espaço, luz 18h/dia — EC 0.8",IF('🌱 Configuração'!$B$51+112='🌱 Configuração'!$D$51,"🌸 INÍCIO FLORAÇÃO — mudar para 12h/12h — 🔴 atenção ao fotoperíodo",IF('🌱 Configuração'!$B$51+112='🌱 Configuração'!$E$51,"🚿 INÍCIO FLUSH — PARAR nutrição, somente água pura",IF('🌱 Configuração'!$B$51+112='🌱 Configuração'!$F$51-1,"🔬 Véspera da colheita — analisar tricomas âmbar",IF('🌱 Configuração'!$B$51+112='🌱 Configuração'!$F$51,"✂️ COLHEITA! Parabéns! 🎉",""))))))</f>
        <v/>
      </c>
    </row>
    <row r="119" spans="2:8" ht="18.75" customHeight="1" x14ac:dyDescent="0.3">
      <c r="B119" s="25">
        <f>IF(114&lt;='🌱 Configuração'!$F$50,114,"")</f>
        <v>114</v>
      </c>
      <c r="C119" s="26">
        <f>IF(114&lt;='🌱 Configuração'!$F$50,'🌱 Configuração'!$B$51+113,"")</f>
        <v>46136</v>
      </c>
      <c r="D119" s="27" t="str">
        <f>IF(114&gt;'🌱 Configuração'!$F$50,"",IF('🌱 Configuração'!$B$51+113&lt;'🌱 Configuração'!$C$51,"🌱 Clone",IF('🌱 Configuração'!$B$51+113&lt;'🌱 Configuração'!$D$51,"🌿 Vegetativo",IF('🌱 Configuração'!$B$51+113&lt;'🌱 Configuração'!$E$51,"🌸 Floração","🚿 Flush"))))</f>
        <v>🌸 Floração</v>
      </c>
      <c r="E119" s="28" t="str">
        <f>IF(114&gt;'🌱 Configuração'!$F$50,"",IF('🌱 Configuração'!$B$51+113&lt;'🌱 Configuração'!$C$51,"Clone S"&amp;INT((114-1)/7)+1,IF('🌱 Configuração'!$B$51+113&lt;'🌱 Configuração'!$D$51,"Vega S"&amp;INT(('🌱 Configuração'!$B$51+113-'🌱 Configuração'!$C$51)/7)+1,IF('🌱 Configuração'!$B$51+113&lt;'🌱 Configuração'!$E$51,"Flora S"&amp;INT(('🌱 Configuração'!$B$51+113-'🌱 Configuração'!$D$51)/7)+1,"Flush S"&amp;INT(('🌱 Configuração'!$B$51+113-'🌱 Configuração'!$E$51)/7)+1))))</f>
        <v>Flora S9</v>
      </c>
      <c r="F119" s="29" t="str">
        <f>IF(114&gt;'🌱 Configuração'!$F$50,"",IF(AND('🌱 Configuração'!$B$51+113&lt;'🌱 Configuração'!$C$51,INT((114-1)/7)+1=1,MOD(114-1,7)=0),"🌱 Enraizador (0.5 mL/L)",IF(AND('🌱 Configuração'!$B$51+113&lt;'🌱 Configuração'!$C$51,INT((114-1)/7)+1=2,MOD(114-1,7)=0),"🌱 Enraizador + Vitamina B1",IF(AND('🌱 Configuração'!$B$51+113&gt;='🌱 Configuração'!$C$51,'🌱 Configuração'!$B$51+113&lt;'🌱 Configuração'!$D$51,INT(('🌱 Configuração'!$B$51+113-'🌱 Configuração'!$C$51)/7)+1=1,MOD('🌱 Configuração'!$B$51+113-'🌱 Configuração'!$C$51,7)=0),"🌿 Grow A+B início — EC 0.8",IF(AND('🌱 Configuração'!$B$51+113&gt;='🌱 Configuração'!$C$51,'🌱 Configuração'!$B$51+113&lt;'🌱 Configuração'!$D$51,INT(('🌱 Configuração'!$B$51+113-'🌱 Configuração'!$C$51)/7)+1=2,MOD('🌱 Configuração'!$B$51+113-'🌱 Configuração'!$C$51,7)=0),"🌿 Grow A+B + CalMag — EC 1.0",IF(AND('🌱 Configuração'!$B$51+113&gt;='🌱 Configuração'!$C$51,'🌱 Configuração'!$B$51+113&lt;'🌱 Configuração'!$D$51,INT(('🌱 Configuração'!$B$51+113-'🌱 Configuração'!$C$51)/7)+1=3,MOD('🌱 Configuração'!$B$51+113-'🌱 Configuração'!$C$51,7)=0),"🌿 Grow A+B + CalMag — EC 1.2",IF(AND('🌱 Configuração'!$B$51+113&gt;='🌱 Configuração'!$C$51,'🌱 Configuração'!$B$51+113&lt;'🌱 Configuração'!$D$51,INT(('🌱 Configuração'!$B$51+113-'🌱 Configuração'!$C$51)/7)+1=4,MOD('🌱 Configuração'!$B$51+113-'🌱 Configuração'!$C$51,7)=0),"🌿 Grow A+B + Enzimas — EC 1.4",IF(AND('🌱 Configuração'!$B$51+113&gt;='🌱 Configuração'!$C$51,'🌱 Configuração'!$B$51+113&lt;'🌱 Configuração'!$D$51,INT(('🌱 Configuração'!$B$51+113-'🌱 Configuração'!$C$51)/7)+1=5,MOD('🌱 Configuração'!$B$51+113-'🌱 Configuração'!$C$51,7)=0),"🌿 Grow A+B + Biorrizas — EC 1.5",IF(AND('🌱 Configuração'!$B$51+113&gt;='🌱 Configuração'!$C$51,'🌱 Configuração'!$B$51+113&lt;'🌱 Configuração'!$D$51,INT(('🌱 Configuração'!$B$51+113-'🌱 Configuração'!$C$51)/7)+1=6,MOD('🌱 Configuração'!$B$51+113-'🌱 Configuração'!$C$51,7)=0),"🌿 Transição Bloom — EC 1.4",IF(AND('🌱 Configuração'!$B$51+113&gt;='🌱 Configuração'!$C$51,'🌱 Configuração'!$B$51+113&lt;'🌱 Configuração'!$D$51,INT(('🌱 Configuração'!$B$51+113-'🌱 Configuração'!$C$51)/7)+1=7,MOD('🌱 Configuração'!$B$51+113-'🌱 Configuração'!$C$51,7)=0),"🌿 Bloom A+B transição — EC 1.4",IF(AND('🌱 Configuração'!$B$51+113&gt;='🌱 Configuração'!$C$51,'🌱 Configuração'!$B$51+113&lt;'🌱 Configuração'!$D$51,INT(('🌱 Configuração'!$B$51+113-'🌱 Configuração'!$C$51)/7)+1=8,MOD('🌱 Configuração'!$B$51+113-'🌱 Configuração'!$C$51,7)=0),"🌿 Bloom A+B — EC 1.4",IF(AND('🌱 Configuração'!$B$51+113&gt;='🌱 Configuração'!$D$51,'🌱 Configuração'!$B$51+113&lt;'🌱 Configuração'!$E$51,INT(('🌱 Configuração'!$B$51+113-'🌱 Configuração'!$D$51)/7)+1=1,MOD('🌱 Configuração'!$B$51+113-'🌱 Configuração'!$D$51,7)=0),"🌸 Bloom A+B — EC 1.6",IF(AND('🌱 Configuração'!$B$51+113&gt;='🌱 Configuração'!$D$51,'🌱 Configuração'!$B$51+113&lt;'🌱 Configuração'!$E$51,INT(('🌱 Configuração'!$B$51+113-'🌱 Configuração'!$D$51)/7)+1=2,MOD('🌱 Configuração'!$B$51+113-'🌱 Configuração'!$D$51,7)=0),"🌸 Bloom + PK 13/14 início",IF(AND('🌱 Configuração'!$B$51+113&gt;='🌱 Configuração'!$D$51,'🌱 Configuração'!$B$51+113&lt;'🌱 Configuração'!$E$51,INT(('🌱 Configuração'!$B$51+113-'🌱 Configuração'!$D$51)/7)+1=3,MOD('🌱 Configuração'!$B$51+113-'🌱 Configuração'!$D$51,7)=0),"🌸 Bloom + PK + CalMag — EC 1.8",IF(AND('🌱 Configuração'!$B$51+113&gt;='🌱 Configuração'!$D$51,'🌱 Configuração'!$B$51+113&lt;'🌱 Configuração'!$E$51,INT(('🌱 Configuração'!$B$51+113-'🌱 Configuração'!$D$51)/7)+1=4,MOD('🌱 Configuração'!$B$51+113-'🌱 Configuração'!$D$51,7)=0),"🌸 Bloom + PK + Boost Floral — EC 2.0",IF(AND('🌱 Configuração'!$B$51+113&gt;='🌱 Configuração'!$D$51,'🌱 Configuração'!$B$51+113&lt;'🌱 Configuração'!$E$51,INT(('🌱 Configuração'!$B$51+113-'🌱 Configuração'!$D$51)/7)+1=5,MOD('🌱 Configuração'!$B$51+113-'🌱 Configuração'!$D$51,7)=0),"🌸 Bloom + Boost + Amino",IF(AND('🌱 Configuração'!$B$51+113&gt;='🌱 Configuração'!$D$51,'🌱 Configuração'!$B$51+113&lt;'🌱 Configuração'!$E$51,INT(('🌱 Configuração'!$B$51+113-'🌱 Configuração'!$D$51)/7)+1=6,MOD('🌱 Configuração'!$B$51+113-'🌱 Configuração'!$D$51,7)=0),"🌸 Bloom + Enzimas + Amino",IF(AND('🌱 Configuração'!$B$51+113&gt;='🌱 Configuração'!$D$51,'🌱 Configuração'!$B$51+113&lt;'🌱 Configuração'!$E$51,INT(('🌱 Configuração'!$B$51+113-'🌱 Configuração'!$D$51)/7)+1=7,MOD('🌱 Configuração'!$B$51+113-'🌱 Configuração'!$D$51,7)=0),"🌸 Reduzir N — Bloom puro — EC 1.6",IF(AND('🌱 Configuração'!$B$51+113&gt;='🌱 Configuração'!$D$51,'🌱 Configuração'!$B$51+113&lt;'🌱 Configuração'!$E$51,INT(('🌱 Configuração'!$B$51+113-'🌱 Configuração'!$D$51)/7)+1=8,MOD('🌱 Configuração'!$B$51+113-'🌱 Configuração'!$D$51,7)=0),"🌸 Bloom puro — EC 1.4  (pré-flush)",IF(AND('🌱 Configuração'!$B$51+113&gt;='🌱 Configuração'!$D$51,'🌱 Configuração'!$B$51+113&lt;'🌱 Configuração'!$E$51,INT(('🌱 Configuração'!$B$51+113-'🌱 Configuração'!$D$51)/7)+1=9,MOD('🌱 Configuração'!$B$51+113-'🌱 Configuração'!$D$51,7)=0),"🌸 Último Bloom — EC 0.8",IF(AND('🌱 Configuração'!$B$51+113&gt;='🌱 Configuração'!$E$51,INT(('🌱 Configuração'!$B$51+113-'🌱 Configuração'!$E$51)/7)+1=1,MOD('🌱 Configuração'!$B$51+113-'🌱 Configuração'!$E$51,7)=0),"🚿 Água pura + Enzimas (EC &lt; 0.3)",IF(AND('🌱 Configuração'!$B$51+113&gt;='🌱 Configuração'!$E$51,INT(('🌱 Configuração'!$B$51+113-'🌱 Configuração'!$E$51)/7)+1=2,MOD('🌱 Configuração'!$B$51+113-'🌱 Configuração'!$E$51,7)=0),"🚿 Água pura (EC &lt; 0.2)",""))))))))))))))))))))))</f>
        <v/>
      </c>
      <c r="G119" s="30" t="str">
        <f>IF(114&gt;'🌱 Configuração'!$F$50,"",IF(AND('🌱 Configuração'!$B$51+113&lt;'🌱 Configuração'!$C$51,INT((114-1)/7)+1=1,MOD(114-1,7)=0),"🐛 Nim 2mL/L foliar — preventivo",IF(AND('🌱 Configuração'!$B$51+113&lt;'🌱 Configuração'!$C$51,INT((114-1)/7)+1=2,MOD(114-1,7)=0),"🐛 Beauveria bassiana foliar + solo",IF(AND('🌱 Configuração'!$B$51+113&gt;='🌱 Configuração'!$C$51,'🌱 Configuração'!$B$51+113&lt;'🌱 Configuração'!$D$51,INT(('🌱 Configuração'!$B$51+113-'🌱 Configuração'!$C$51)/7)+1=1,MOD('🌱 Configuração'!$B$51+113-'🌱 Configuração'!$C$51,7)=0),"🐛 Nim 2mL/L foliar",IF(AND('🌱 Configuração'!$B$51+113&gt;='🌱 Configuração'!$C$51,'🌱 Configuração'!$B$51+113&lt;'🌱 Configuração'!$D$51,INT(('🌱 Configuração'!$B$51+113-'🌱 Configuração'!$C$51)/7)+1=2,MOD('🌱 Configuração'!$B$51+113-'🌱 Configuração'!$C$51,7)=0),"🐛 Beauveria bassiana foliar",IF(AND('🌱 Configuração'!$B$51+113&gt;='🌱 Configuração'!$C$51,'🌱 Configuração'!$B$51+113&lt;'🌱 Configuração'!$D$51,INT(('🌱 Configuração'!$B$51+113-'🌱 Configuração'!$C$51)/7)+1=3,MOD('🌱 Configuração'!$B$51+113-'🌱 Configuração'!$C$51,7)=0),"🐛 Nim + Calda Sulfocálcica 1%",IF(AND('🌱 Configuração'!$B$51+113&gt;='🌱 Configuração'!$C$51,'🌱 Configuração'!$B$51+113&lt;'🌱 Configuração'!$D$51,INT(('🌱 Configuração'!$B$51+113-'🌱 Configuração'!$C$51)/7)+1=4,MOD('🌱 Configuração'!$B$51+113-'🌱 Configuração'!$C$51,7)=0),"🐛 Trichoderma solo + Beauveria",IF(AND('🌱 Configuração'!$B$51+113&gt;='🌱 Configuração'!$C$51,'🌱 Configuração'!$B$51+113&lt;'🌱 Configuração'!$D$51,INT(('🌱 Configuração'!$B$51+113-'🌱 Configuração'!$C$51)/7)+1=5,MOD('🌱 Configuração'!$B$51+113-'🌱 Configuração'!$C$51,7)=0),"🐛 Calda Bordalesa 0.5% foliar",IF(AND('🌱 Configuração'!$B$51+113&gt;='🌱 Configuração'!$C$51,'🌱 Configuração'!$B$51+113&lt;'🌱 Configuração'!$D$51,INT(('🌱 Configuração'!$B$51+113-'🌱 Configuração'!$C$51)/7)+1=6,MOD('🌱 Configuração'!$B$51+113-'🌱 Configuração'!$C$51,7)=0),"🐛 Nim 2mL/L — ÚLTIMA foliar",IF(AND('🌱 Configuração'!$B$51+113&gt;='🌱 Configuração'!$D$51,'🌱 Configuração'!$B$51+113&lt;'🌱 Configuração'!$E$51,INT(('🌱 Configuração'!$B$51+113-'🌱 Configuração'!$D$51)/7)+1=1,MOD('🌱 Configuração'!$B$51+113-'🌱 Configuração'!$D$51,7)=0),"🐛 Beauveria bassiana solo (sem foliar)",IF(AND('🌱 Configuração'!$B$51+113&gt;='🌱 Configuração'!$D$51,'🌱 Configuração'!$B$51+113&lt;'🌱 Configuração'!$E$51,INT(('🌱 Configuração'!$B$51+113-'🌱 Configuração'!$D$51)/7)+1=2,MOD('🌱 Configuração'!$B$51+113-'🌱 Configuração'!$D$51,7)=0),"🐛 Trichoderma solo",IF(AND('🌱 Configuração'!$B$51+113&gt;='🌱 Configuração'!$D$51,'🌱 Configuração'!$B$51+113&lt;'🌱 Configuração'!$E$51,INT(('🌱 Configuração'!$B$51+113-'🌱 Configuração'!$D$51)/7)+1=3,MOD('🌱 Configuração'!$B$51+113-'🌱 Configuração'!$D$51,7)=0),"🐛 Beauveria bassiana solo",IF(AND('🌱 Configuração'!$B$51+113&gt;='🌱 Configuração'!$D$51,'🌱 Configuração'!$B$51+113&lt;'🌱 Configuração'!$E$51,INT(('🌱 Configuração'!$B$51+113-'🌱 Configuração'!$D$51)/7)+1=4,MOD('🌱 Configuração'!$B$51+113-'🌱 Configuração'!$D$51,7)=0),"🐛 Trichoderma solo",IF(AND('🌱 Configuração'!$B$51+113&gt;='🌱 Configuração'!$E$51,INT(('🌱 Configuração'!$B$51+113-'🌱 Configuração'!$E$51)/7)+1=1,MOD('🌱 Configuração'!$B$51+113-'🌱 Configuração'!$E$51,7)=0),"🐛 Inspeção final — sem aplicação",""))))))))))))))</f>
        <v/>
      </c>
      <c r="H119" s="22" t="str">
        <f>IF(114&gt;'🌱 Configuração'!$F$50,"",IF('🌱 Configuração'!$B$51+113='🌱 Configuração'!$C$51,"🌿 INÍCIO VEGA — ajustar espaço, luz 18h/dia — EC 0.8",IF('🌱 Configuração'!$B$51+113='🌱 Configuração'!$D$51,"🌸 INÍCIO FLORAÇÃO — mudar para 12h/12h — 🔴 atenção ao fotoperíodo",IF('🌱 Configuração'!$B$51+113='🌱 Configuração'!$E$51,"🚿 INÍCIO FLUSH — PARAR nutrição, somente água pura",IF('🌱 Configuração'!$B$51+113='🌱 Configuração'!$F$51-1,"🔬 Véspera da colheita — analisar tricomas âmbar",IF('🌱 Configuração'!$B$51+113='🌱 Configuração'!$F$51,"✂️ COLHEITA! Parabéns! 🎉",""))))))</f>
        <v/>
      </c>
    </row>
    <row r="120" spans="2:8" ht="18.75" customHeight="1" x14ac:dyDescent="0.3">
      <c r="B120" s="25">
        <f>IF(115&lt;='🌱 Configuração'!$F$50,115,"")</f>
        <v>115</v>
      </c>
      <c r="C120" s="26">
        <f>IF(115&lt;='🌱 Configuração'!$F$50,'🌱 Configuração'!$B$51+114,"")</f>
        <v>46137</v>
      </c>
      <c r="D120" s="27" t="str">
        <f>IF(115&gt;'🌱 Configuração'!$F$50,"",IF('🌱 Configuração'!$B$51+114&lt;'🌱 Configuração'!$C$51,"🌱 Clone",IF('🌱 Configuração'!$B$51+114&lt;'🌱 Configuração'!$D$51,"🌿 Vegetativo",IF('🌱 Configuração'!$B$51+114&lt;'🌱 Configuração'!$E$51,"🌸 Floração","🚿 Flush"))))</f>
        <v>🌸 Floração</v>
      </c>
      <c r="E120" s="28" t="str">
        <f>IF(115&gt;'🌱 Configuração'!$F$50,"",IF('🌱 Configuração'!$B$51+114&lt;'🌱 Configuração'!$C$51,"Clone S"&amp;INT((115-1)/7)+1,IF('🌱 Configuração'!$B$51+114&lt;'🌱 Configuração'!$D$51,"Vega S"&amp;INT(('🌱 Configuração'!$B$51+114-'🌱 Configuração'!$C$51)/7)+1,IF('🌱 Configuração'!$B$51+114&lt;'🌱 Configuração'!$E$51,"Flora S"&amp;INT(('🌱 Configuração'!$B$51+114-'🌱 Configuração'!$D$51)/7)+1,"Flush S"&amp;INT(('🌱 Configuração'!$B$51+114-'🌱 Configuração'!$E$51)/7)+1))))</f>
        <v>Flora S9</v>
      </c>
      <c r="F120" s="29" t="str">
        <f>IF(115&gt;'🌱 Configuração'!$F$50,"",IF(AND('🌱 Configuração'!$B$51+114&lt;'🌱 Configuração'!$C$51,INT((115-1)/7)+1=1,MOD(115-1,7)=0),"🌱 Enraizador (0.5 mL/L)",IF(AND('🌱 Configuração'!$B$51+114&lt;'🌱 Configuração'!$C$51,INT((115-1)/7)+1=2,MOD(115-1,7)=0),"🌱 Enraizador + Vitamina B1",IF(AND('🌱 Configuração'!$B$51+114&gt;='🌱 Configuração'!$C$51,'🌱 Configuração'!$B$51+114&lt;'🌱 Configuração'!$D$51,INT(('🌱 Configuração'!$B$51+114-'🌱 Configuração'!$C$51)/7)+1=1,MOD('🌱 Configuração'!$B$51+114-'🌱 Configuração'!$C$51,7)=0),"🌿 Grow A+B início — EC 0.8",IF(AND('🌱 Configuração'!$B$51+114&gt;='🌱 Configuração'!$C$51,'🌱 Configuração'!$B$51+114&lt;'🌱 Configuração'!$D$51,INT(('🌱 Configuração'!$B$51+114-'🌱 Configuração'!$C$51)/7)+1=2,MOD('🌱 Configuração'!$B$51+114-'🌱 Configuração'!$C$51,7)=0),"🌿 Grow A+B + CalMag — EC 1.0",IF(AND('🌱 Configuração'!$B$51+114&gt;='🌱 Configuração'!$C$51,'🌱 Configuração'!$B$51+114&lt;'🌱 Configuração'!$D$51,INT(('🌱 Configuração'!$B$51+114-'🌱 Configuração'!$C$51)/7)+1=3,MOD('🌱 Configuração'!$B$51+114-'🌱 Configuração'!$C$51,7)=0),"🌿 Grow A+B + CalMag — EC 1.2",IF(AND('🌱 Configuração'!$B$51+114&gt;='🌱 Configuração'!$C$51,'🌱 Configuração'!$B$51+114&lt;'🌱 Configuração'!$D$51,INT(('🌱 Configuração'!$B$51+114-'🌱 Configuração'!$C$51)/7)+1=4,MOD('🌱 Configuração'!$B$51+114-'🌱 Configuração'!$C$51,7)=0),"🌿 Grow A+B + Enzimas — EC 1.4",IF(AND('🌱 Configuração'!$B$51+114&gt;='🌱 Configuração'!$C$51,'🌱 Configuração'!$B$51+114&lt;'🌱 Configuração'!$D$51,INT(('🌱 Configuração'!$B$51+114-'🌱 Configuração'!$C$51)/7)+1=5,MOD('🌱 Configuração'!$B$51+114-'🌱 Configuração'!$C$51,7)=0),"🌿 Grow A+B + Biorrizas — EC 1.5",IF(AND('🌱 Configuração'!$B$51+114&gt;='🌱 Configuração'!$C$51,'🌱 Configuração'!$B$51+114&lt;'🌱 Configuração'!$D$51,INT(('🌱 Configuração'!$B$51+114-'🌱 Configuração'!$C$51)/7)+1=6,MOD('🌱 Configuração'!$B$51+114-'🌱 Configuração'!$C$51,7)=0),"🌿 Transição Bloom — EC 1.4",IF(AND('🌱 Configuração'!$B$51+114&gt;='🌱 Configuração'!$C$51,'🌱 Configuração'!$B$51+114&lt;'🌱 Configuração'!$D$51,INT(('🌱 Configuração'!$B$51+114-'🌱 Configuração'!$C$51)/7)+1=7,MOD('🌱 Configuração'!$B$51+114-'🌱 Configuração'!$C$51,7)=0),"🌿 Bloom A+B transição — EC 1.4",IF(AND('🌱 Configuração'!$B$51+114&gt;='🌱 Configuração'!$C$51,'🌱 Configuração'!$B$51+114&lt;'🌱 Configuração'!$D$51,INT(('🌱 Configuração'!$B$51+114-'🌱 Configuração'!$C$51)/7)+1=8,MOD('🌱 Configuração'!$B$51+114-'🌱 Configuração'!$C$51,7)=0),"🌿 Bloom A+B — EC 1.4",IF(AND('🌱 Configuração'!$B$51+114&gt;='🌱 Configuração'!$D$51,'🌱 Configuração'!$B$51+114&lt;'🌱 Configuração'!$E$51,INT(('🌱 Configuração'!$B$51+114-'🌱 Configuração'!$D$51)/7)+1=1,MOD('🌱 Configuração'!$B$51+114-'🌱 Configuração'!$D$51,7)=0),"🌸 Bloom A+B — EC 1.6",IF(AND('🌱 Configuração'!$B$51+114&gt;='🌱 Configuração'!$D$51,'🌱 Configuração'!$B$51+114&lt;'🌱 Configuração'!$E$51,INT(('🌱 Configuração'!$B$51+114-'🌱 Configuração'!$D$51)/7)+1=2,MOD('🌱 Configuração'!$B$51+114-'🌱 Configuração'!$D$51,7)=0),"🌸 Bloom + PK 13/14 início",IF(AND('🌱 Configuração'!$B$51+114&gt;='🌱 Configuração'!$D$51,'🌱 Configuração'!$B$51+114&lt;'🌱 Configuração'!$E$51,INT(('🌱 Configuração'!$B$51+114-'🌱 Configuração'!$D$51)/7)+1=3,MOD('🌱 Configuração'!$B$51+114-'🌱 Configuração'!$D$51,7)=0),"🌸 Bloom + PK + CalMag — EC 1.8",IF(AND('🌱 Configuração'!$B$51+114&gt;='🌱 Configuração'!$D$51,'🌱 Configuração'!$B$51+114&lt;'🌱 Configuração'!$E$51,INT(('🌱 Configuração'!$B$51+114-'🌱 Configuração'!$D$51)/7)+1=4,MOD('🌱 Configuração'!$B$51+114-'🌱 Configuração'!$D$51,7)=0),"🌸 Bloom + PK + Boost Floral — EC 2.0",IF(AND('🌱 Configuração'!$B$51+114&gt;='🌱 Configuração'!$D$51,'🌱 Configuração'!$B$51+114&lt;'🌱 Configuração'!$E$51,INT(('🌱 Configuração'!$B$51+114-'🌱 Configuração'!$D$51)/7)+1=5,MOD('🌱 Configuração'!$B$51+114-'🌱 Configuração'!$D$51,7)=0),"🌸 Bloom + Boost + Amino",IF(AND('🌱 Configuração'!$B$51+114&gt;='🌱 Configuração'!$D$51,'🌱 Configuração'!$B$51+114&lt;'🌱 Configuração'!$E$51,INT(('🌱 Configuração'!$B$51+114-'🌱 Configuração'!$D$51)/7)+1=6,MOD('🌱 Configuração'!$B$51+114-'🌱 Configuração'!$D$51,7)=0),"🌸 Bloom + Enzimas + Amino",IF(AND('🌱 Configuração'!$B$51+114&gt;='🌱 Configuração'!$D$51,'🌱 Configuração'!$B$51+114&lt;'🌱 Configuração'!$E$51,INT(('🌱 Configuração'!$B$51+114-'🌱 Configuração'!$D$51)/7)+1=7,MOD('🌱 Configuração'!$B$51+114-'🌱 Configuração'!$D$51,7)=0),"🌸 Reduzir N — Bloom puro — EC 1.6",IF(AND('🌱 Configuração'!$B$51+114&gt;='🌱 Configuração'!$D$51,'🌱 Configuração'!$B$51+114&lt;'🌱 Configuração'!$E$51,INT(('🌱 Configuração'!$B$51+114-'🌱 Configuração'!$D$51)/7)+1=8,MOD('🌱 Configuração'!$B$51+114-'🌱 Configuração'!$D$51,7)=0),"🌸 Bloom puro — EC 1.4  (pré-flush)",IF(AND('🌱 Configuração'!$B$51+114&gt;='🌱 Configuração'!$D$51,'🌱 Configuração'!$B$51+114&lt;'🌱 Configuração'!$E$51,INT(('🌱 Configuração'!$B$51+114-'🌱 Configuração'!$D$51)/7)+1=9,MOD('🌱 Configuração'!$B$51+114-'🌱 Configuração'!$D$51,7)=0),"🌸 Último Bloom — EC 0.8",IF(AND('🌱 Configuração'!$B$51+114&gt;='🌱 Configuração'!$E$51,INT(('🌱 Configuração'!$B$51+114-'🌱 Configuração'!$E$51)/7)+1=1,MOD('🌱 Configuração'!$B$51+114-'🌱 Configuração'!$E$51,7)=0),"🚿 Água pura + Enzimas (EC &lt; 0.3)",IF(AND('🌱 Configuração'!$B$51+114&gt;='🌱 Configuração'!$E$51,INT(('🌱 Configuração'!$B$51+114-'🌱 Configuração'!$E$51)/7)+1=2,MOD('🌱 Configuração'!$B$51+114-'🌱 Configuração'!$E$51,7)=0),"🚿 Água pura (EC &lt; 0.2)",""))))))))))))))))))))))</f>
        <v/>
      </c>
      <c r="G120" s="30" t="str">
        <f>IF(115&gt;'🌱 Configuração'!$F$50,"",IF(AND('🌱 Configuração'!$B$51+114&lt;'🌱 Configuração'!$C$51,INT((115-1)/7)+1=1,MOD(115-1,7)=0),"🐛 Nim 2mL/L foliar — preventivo",IF(AND('🌱 Configuração'!$B$51+114&lt;'🌱 Configuração'!$C$51,INT((115-1)/7)+1=2,MOD(115-1,7)=0),"🐛 Beauveria bassiana foliar + solo",IF(AND('🌱 Configuração'!$B$51+114&gt;='🌱 Configuração'!$C$51,'🌱 Configuração'!$B$51+114&lt;'🌱 Configuração'!$D$51,INT(('🌱 Configuração'!$B$51+114-'🌱 Configuração'!$C$51)/7)+1=1,MOD('🌱 Configuração'!$B$51+114-'🌱 Configuração'!$C$51,7)=0),"🐛 Nim 2mL/L foliar",IF(AND('🌱 Configuração'!$B$51+114&gt;='🌱 Configuração'!$C$51,'🌱 Configuração'!$B$51+114&lt;'🌱 Configuração'!$D$51,INT(('🌱 Configuração'!$B$51+114-'🌱 Configuração'!$C$51)/7)+1=2,MOD('🌱 Configuração'!$B$51+114-'🌱 Configuração'!$C$51,7)=0),"🐛 Beauveria bassiana foliar",IF(AND('🌱 Configuração'!$B$51+114&gt;='🌱 Configuração'!$C$51,'🌱 Configuração'!$B$51+114&lt;'🌱 Configuração'!$D$51,INT(('🌱 Configuração'!$B$51+114-'🌱 Configuração'!$C$51)/7)+1=3,MOD('🌱 Configuração'!$B$51+114-'🌱 Configuração'!$C$51,7)=0),"🐛 Nim + Calda Sulfocálcica 1%",IF(AND('🌱 Configuração'!$B$51+114&gt;='🌱 Configuração'!$C$51,'🌱 Configuração'!$B$51+114&lt;'🌱 Configuração'!$D$51,INT(('🌱 Configuração'!$B$51+114-'🌱 Configuração'!$C$51)/7)+1=4,MOD('🌱 Configuração'!$B$51+114-'🌱 Configuração'!$C$51,7)=0),"🐛 Trichoderma solo + Beauveria",IF(AND('🌱 Configuração'!$B$51+114&gt;='🌱 Configuração'!$C$51,'🌱 Configuração'!$B$51+114&lt;'🌱 Configuração'!$D$51,INT(('🌱 Configuração'!$B$51+114-'🌱 Configuração'!$C$51)/7)+1=5,MOD('🌱 Configuração'!$B$51+114-'🌱 Configuração'!$C$51,7)=0),"🐛 Calda Bordalesa 0.5% foliar",IF(AND('🌱 Configuração'!$B$51+114&gt;='🌱 Configuração'!$C$51,'🌱 Configuração'!$B$51+114&lt;'🌱 Configuração'!$D$51,INT(('🌱 Configuração'!$B$51+114-'🌱 Configuração'!$C$51)/7)+1=6,MOD('🌱 Configuração'!$B$51+114-'🌱 Configuração'!$C$51,7)=0),"🐛 Nim 2mL/L — ÚLTIMA foliar",IF(AND('🌱 Configuração'!$B$51+114&gt;='🌱 Configuração'!$D$51,'🌱 Configuração'!$B$51+114&lt;'🌱 Configuração'!$E$51,INT(('🌱 Configuração'!$B$51+114-'🌱 Configuração'!$D$51)/7)+1=1,MOD('🌱 Configuração'!$B$51+114-'🌱 Configuração'!$D$51,7)=0),"🐛 Beauveria bassiana solo (sem foliar)",IF(AND('🌱 Configuração'!$B$51+114&gt;='🌱 Configuração'!$D$51,'🌱 Configuração'!$B$51+114&lt;'🌱 Configuração'!$E$51,INT(('🌱 Configuração'!$B$51+114-'🌱 Configuração'!$D$51)/7)+1=2,MOD('🌱 Configuração'!$B$51+114-'🌱 Configuração'!$D$51,7)=0),"🐛 Trichoderma solo",IF(AND('🌱 Configuração'!$B$51+114&gt;='🌱 Configuração'!$D$51,'🌱 Configuração'!$B$51+114&lt;'🌱 Configuração'!$E$51,INT(('🌱 Configuração'!$B$51+114-'🌱 Configuração'!$D$51)/7)+1=3,MOD('🌱 Configuração'!$B$51+114-'🌱 Configuração'!$D$51,7)=0),"🐛 Beauveria bassiana solo",IF(AND('🌱 Configuração'!$B$51+114&gt;='🌱 Configuração'!$D$51,'🌱 Configuração'!$B$51+114&lt;'🌱 Configuração'!$E$51,INT(('🌱 Configuração'!$B$51+114-'🌱 Configuração'!$D$51)/7)+1=4,MOD('🌱 Configuração'!$B$51+114-'🌱 Configuração'!$D$51,7)=0),"🐛 Trichoderma solo",IF(AND('🌱 Configuração'!$B$51+114&gt;='🌱 Configuração'!$E$51,INT(('🌱 Configuração'!$B$51+114-'🌱 Configuração'!$E$51)/7)+1=1,MOD('🌱 Configuração'!$B$51+114-'🌱 Configuração'!$E$51,7)=0),"🐛 Inspeção final — sem aplicação",""))))))))))))))</f>
        <v/>
      </c>
      <c r="H120" s="22" t="str">
        <f>IF(115&gt;'🌱 Configuração'!$F$50,"",IF('🌱 Configuração'!$B$51+114='🌱 Configuração'!$C$51,"🌿 INÍCIO VEGA — ajustar espaço, luz 18h/dia — EC 0.8",IF('🌱 Configuração'!$B$51+114='🌱 Configuração'!$D$51,"🌸 INÍCIO FLORAÇÃO — mudar para 12h/12h — 🔴 atenção ao fotoperíodo",IF('🌱 Configuração'!$B$51+114='🌱 Configuração'!$E$51,"🚿 INÍCIO FLUSH — PARAR nutrição, somente água pura",IF('🌱 Configuração'!$B$51+114='🌱 Configuração'!$F$51-1,"🔬 Véspera da colheita — analisar tricomas âmbar",IF('🌱 Configuração'!$B$51+114='🌱 Configuração'!$F$51,"✂️ COLHEITA! Parabéns! 🎉",""))))))</f>
        <v/>
      </c>
    </row>
    <row r="121" spans="2:8" ht="18.75" customHeight="1" x14ac:dyDescent="0.3">
      <c r="B121" s="25">
        <f>IF(116&lt;='🌱 Configuração'!$F$50,116,"")</f>
        <v>116</v>
      </c>
      <c r="C121" s="26">
        <f>IF(116&lt;='🌱 Configuração'!$F$50,'🌱 Configuração'!$B$51+115,"")</f>
        <v>46138</v>
      </c>
      <c r="D121" s="27" t="str">
        <f>IF(116&gt;'🌱 Configuração'!$F$50,"",IF('🌱 Configuração'!$B$51+115&lt;'🌱 Configuração'!$C$51,"🌱 Clone",IF('🌱 Configuração'!$B$51+115&lt;'🌱 Configuração'!$D$51,"🌿 Vegetativo",IF('🌱 Configuração'!$B$51+115&lt;'🌱 Configuração'!$E$51,"🌸 Floração","🚿 Flush"))))</f>
        <v>🌸 Floração</v>
      </c>
      <c r="E121" s="28" t="str">
        <f>IF(116&gt;'🌱 Configuração'!$F$50,"",IF('🌱 Configuração'!$B$51+115&lt;'🌱 Configuração'!$C$51,"Clone S"&amp;INT((116-1)/7)+1,IF('🌱 Configuração'!$B$51+115&lt;'🌱 Configuração'!$D$51,"Vega S"&amp;INT(('🌱 Configuração'!$B$51+115-'🌱 Configuração'!$C$51)/7)+1,IF('🌱 Configuração'!$B$51+115&lt;'🌱 Configuração'!$E$51,"Flora S"&amp;INT(('🌱 Configuração'!$B$51+115-'🌱 Configuração'!$D$51)/7)+1,"Flush S"&amp;INT(('🌱 Configuração'!$B$51+115-'🌱 Configuração'!$E$51)/7)+1))))</f>
        <v>Flora S9</v>
      </c>
      <c r="F121" s="29" t="str">
        <f>IF(116&gt;'🌱 Configuração'!$F$50,"",IF(AND('🌱 Configuração'!$B$51+115&lt;'🌱 Configuração'!$C$51,INT((116-1)/7)+1=1,MOD(116-1,7)=0),"🌱 Enraizador (0.5 mL/L)",IF(AND('🌱 Configuração'!$B$51+115&lt;'🌱 Configuração'!$C$51,INT((116-1)/7)+1=2,MOD(116-1,7)=0),"🌱 Enraizador + Vitamina B1",IF(AND('🌱 Configuração'!$B$51+115&gt;='🌱 Configuração'!$C$51,'🌱 Configuração'!$B$51+115&lt;'🌱 Configuração'!$D$51,INT(('🌱 Configuração'!$B$51+115-'🌱 Configuração'!$C$51)/7)+1=1,MOD('🌱 Configuração'!$B$51+115-'🌱 Configuração'!$C$51,7)=0),"🌿 Grow A+B início — EC 0.8",IF(AND('🌱 Configuração'!$B$51+115&gt;='🌱 Configuração'!$C$51,'🌱 Configuração'!$B$51+115&lt;'🌱 Configuração'!$D$51,INT(('🌱 Configuração'!$B$51+115-'🌱 Configuração'!$C$51)/7)+1=2,MOD('🌱 Configuração'!$B$51+115-'🌱 Configuração'!$C$51,7)=0),"🌿 Grow A+B + CalMag — EC 1.0",IF(AND('🌱 Configuração'!$B$51+115&gt;='🌱 Configuração'!$C$51,'🌱 Configuração'!$B$51+115&lt;'🌱 Configuração'!$D$51,INT(('🌱 Configuração'!$B$51+115-'🌱 Configuração'!$C$51)/7)+1=3,MOD('🌱 Configuração'!$B$51+115-'🌱 Configuração'!$C$51,7)=0),"🌿 Grow A+B + CalMag — EC 1.2",IF(AND('🌱 Configuração'!$B$51+115&gt;='🌱 Configuração'!$C$51,'🌱 Configuração'!$B$51+115&lt;'🌱 Configuração'!$D$51,INT(('🌱 Configuração'!$B$51+115-'🌱 Configuração'!$C$51)/7)+1=4,MOD('🌱 Configuração'!$B$51+115-'🌱 Configuração'!$C$51,7)=0),"🌿 Grow A+B + Enzimas — EC 1.4",IF(AND('🌱 Configuração'!$B$51+115&gt;='🌱 Configuração'!$C$51,'🌱 Configuração'!$B$51+115&lt;'🌱 Configuração'!$D$51,INT(('🌱 Configuração'!$B$51+115-'🌱 Configuração'!$C$51)/7)+1=5,MOD('🌱 Configuração'!$B$51+115-'🌱 Configuração'!$C$51,7)=0),"🌿 Grow A+B + Biorrizas — EC 1.5",IF(AND('🌱 Configuração'!$B$51+115&gt;='🌱 Configuração'!$C$51,'🌱 Configuração'!$B$51+115&lt;'🌱 Configuração'!$D$51,INT(('🌱 Configuração'!$B$51+115-'🌱 Configuração'!$C$51)/7)+1=6,MOD('🌱 Configuração'!$B$51+115-'🌱 Configuração'!$C$51,7)=0),"🌿 Transição Bloom — EC 1.4",IF(AND('🌱 Configuração'!$B$51+115&gt;='🌱 Configuração'!$C$51,'🌱 Configuração'!$B$51+115&lt;'🌱 Configuração'!$D$51,INT(('🌱 Configuração'!$B$51+115-'🌱 Configuração'!$C$51)/7)+1=7,MOD('🌱 Configuração'!$B$51+115-'🌱 Configuração'!$C$51,7)=0),"🌿 Bloom A+B transição — EC 1.4",IF(AND('🌱 Configuração'!$B$51+115&gt;='🌱 Configuração'!$C$51,'🌱 Configuração'!$B$51+115&lt;'🌱 Configuração'!$D$51,INT(('🌱 Configuração'!$B$51+115-'🌱 Configuração'!$C$51)/7)+1=8,MOD('🌱 Configuração'!$B$51+115-'🌱 Configuração'!$C$51,7)=0),"🌿 Bloom A+B — EC 1.4",IF(AND('🌱 Configuração'!$B$51+115&gt;='🌱 Configuração'!$D$51,'🌱 Configuração'!$B$51+115&lt;'🌱 Configuração'!$E$51,INT(('🌱 Configuração'!$B$51+115-'🌱 Configuração'!$D$51)/7)+1=1,MOD('🌱 Configuração'!$B$51+115-'🌱 Configuração'!$D$51,7)=0),"🌸 Bloom A+B — EC 1.6",IF(AND('🌱 Configuração'!$B$51+115&gt;='🌱 Configuração'!$D$51,'🌱 Configuração'!$B$51+115&lt;'🌱 Configuração'!$E$51,INT(('🌱 Configuração'!$B$51+115-'🌱 Configuração'!$D$51)/7)+1=2,MOD('🌱 Configuração'!$B$51+115-'🌱 Configuração'!$D$51,7)=0),"🌸 Bloom + PK 13/14 início",IF(AND('🌱 Configuração'!$B$51+115&gt;='🌱 Configuração'!$D$51,'🌱 Configuração'!$B$51+115&lt;'🌱 Configuração'!$E$51,INT(('🌱 Configuração'!$B$51+115-'🌱 Configuração'!$D$51)/7)+1=3,MOD('🌱 Configuração'!$B$51+115-'🌱 Configuração'!$D$51,7)=0),"🌸 Bloom + PK + CalMag — EC 1.8",IF(AND('🌱 Configuração'!$B$51+115&gt;='🌱 Configuração'!$D$51,'🌱 Configuração'!$B$51+115&lt;'🌱 Configuração'!$E$51,INT(('🌱 Configuração'!$B$51+115-'🌱 Configuração'!$D$51)/7)+1=4,MOD('🌱 Configuração'!$B$51+115-'🌱 Configuração'!$D$51,7)=0),"🌸 Bloom + PK + Boost Floral — EC 2.0",IF(AND('🌱 Configuração'!$B$51+115&gt;='🌱 Configuração'!$D$51,'🌱 Configuração'!$B$51+115&lt;'🌱 Configuração'!$E$51,INT(('🌱 Configuração'!$B$51+115-'🌱 Configuração'!$D$51)/7)+1=5,MOD('🌱 Configuração'!$B$51+115-'🌱 Configuração'!$D$51,7)=0),"🌸 Bloom + Boost + Amino",IF(AND('🌱 Configuração'!$B$51+115&gt;='🌱 Configuração'!$D$51,'🌱 Configuração'!$B$51+115&lt;'🌱 Configuração'!$E$51,INT(('🌱 Configuração'!$B$51+115-'🌱 Configuração'!$D$51)/7)+1=6,MOD('🌱 Configuração'!$B$51+115-'🌱 Configuração'!$D$51,7)=0),"🌸 Bloom + Enzimas + Amino",IF(AND('🌱 Configuração'!$B$51+115&gt;='🌱 Configuração'!$D$51,'🌱 Configuração'!$B$51+115&lt;'🌱 Configuração'!$E$51,INT(('🌱 Configuração'!$B$51+115-'🌱 Configuração'!$D$51)/7)+1=7,MOD('🌱 Configuração'!$B$51+115-'🌱 Configuração'!$D$51,7)=0),"🌸 Reduzir N — Bloom puro — EC 1.6",IF(AND('🌱 Configuração'!$B$51+115&gt;='🌱 Configuração'!$D$51,'🌱 Configuração'!$B$51+115&lt;'🌱 Configuração'!$E$51,INT(('🌱 Configuração'!$B$51+115-'🌱 Configuração'!$D$51)/7)+1=8,MOD('🌱 Configuração'!$B$51+115-'🌱 Configuração'!$D$51,7)=0),"🌸 Bloom puro — EC 1.4  (pré-flush)",IF(AND('🌱 Configuração'!$B$51+115&gt;='🌱 Configuração'!$D$51,'🌱 Configuração'!$B$51+115&lt;'🌱 Configuração'!$E$51,INT(('🌱 Configuração'!$B$51+115-'🌱 Configuração'!$D$51)/7)+1=9,MOD('🌱 Configuração'!$B$51+115-'🌱 Configuração'!$D$51,7)=0),"🌸 Último Bloom — EC 0.8",IF(AND('🌱 Configuração'!$B$51+115&gt;='🌱 Configuração'!$E$51,INT(('🌱 Configuração'!$B$51+115-'🌱 Configuração'!$E$51)/7)+1=1,MOD('🌱 Configuração'!$B$51+115-'🌱 Configuração'!$E$51,7)=0),"🚿 Água pura + Enzimas (EC &lt; 0.3)",IF(AND('🌱 Configuração'!$B$51+115&gt;='🌱 Configuração'!$E$51,INT(('🌱 Configuração'!$B$51+115-'🌱 Configuração'!$E$51)/7)+1=2,MOD('🌱 Configuração'!$B$51+115-'🌱 Configuração'!$E$51,7)=0),"🚿 Água pura (EC &lt; 0.2)",""))))))))))))))))))))))</f>
        <v/>
      </c>
      <c r="G121" s="30" t="str">
        <f>IF(116&gt;'🌱 Configuração'!$F$50,"",IF(AND('🌱 Configuração'!$B$51+115&lt;'🌱 Configuração'!$C$51,INT((116-1)/7)+1=1,MOD(116-1,7)=0),"🐛 Nim 2mL/L foliar — preventivo",IF(AND('🌱 Configuração'!$B$51+115&lt;'🌱 Configuração'!$C$51,INT((116-1)/7)+1=2,MOD(116-1,7)=0),"🐛 Beauveria bassiana foliar + solo",IF(AND('🌱 Configuração'!$B$51+115&gt;='🌱 Configuração'!$C$51,'🌱 Configuração'!$B$51+115&lt;'🌱 Configuração'!$D$51,INT(('🌱 Configuração'!$B$51+115-'🌱 Configuração'!$C$51)/7)+1=1,MOD('🌱 Configuração'!$B$51+115-'🌱 Configuração'!$C$51,7)=0),"🐛 Nim 2mL/L foliar",IF(AND('🌱 Configuração'!$B$51+115&gt;='🌱 Configuração'!$C$51,'🌱 Configuração'!$B$51+115&lt;'🌱 Configuração'!$D$51,INT(('🌱 Configuração'!$B$51+115-'🌱 Configuração'!$C$51)/7)+1=2,MOD('🌱 Configuração'!$B$51+115-'🌱 Configuração'!$C$51,7)=0),"🐛 Beauveria bassiana foliar",IF(AND('🌱 Configuração'!$B$51+115&gt;='🌱 Configuração'!$C$51,'🌱 Configuração'!$B$51+115&lt;'🌱 Configuração'!$D$51,INT(('🌱 Configuração'!$B$51+115-'🌱 Configuração'!$C$51)/7)+1=3,MOD('🌱 Configuração'!$B$51+115-'🌱 Configuração'!$C$51,7)=0),"🐛 Nim + Calda Sulfocálcica 1%",IF(AND('🌱 Configuração'!$B$51+115&gt;='🌱 Configuração'!$C$51,'🌱 Configuração'!$B$51+115&lt;'🌱 Configuração'!$D$51,INT(('🌱 Configuração'!$B$51+115-'🌱 Configuração'!$C$51)/7)+1=4,MOD('🌱 Configuração'!$B$51+115-'🌱 Configuração'!$C$51,7)=0),"🐛 Trichoderma solo + Beauveria",IF(AND('🌱 Configuração'!$B$51+115&gt;='🌱 Configuração'!$C$51,'🌱 Configuração'!$B$51+115&lt;'🌱 Configuração'!$D$51,INT(('🌱 Configuração'!$B$51+115-'🌱 Configuração'!$C$51)/7)+1=5,MOD('🌱 Configuração'!$B$51+115-'🌱 Configuração'!$C$51,7)=0),"🐛 Calda Bordalesa 0.5% foliar",IF(AND('🌱 Configuração'!$B$51+115&gt;='🌱 Configuração'!$C$51,'🌱 Configuração'!$B$51+115&lt;'🌱 Configuração'!$D$51,INT(('🌱 Configuração'!$B$51+115-'🌱 Configuração'!$C$51)/7)+1=6,MOD('🌱 Configuração'!$B$51+115-'🌱 Configuração'!$C$51,7)=0),"🐛 Nim 2mL/L — ÚLTIMA foliar",IF(AND('🌱 Configuração'!$B$51+115&gt;='🌱 Configuração'!$D$51,'🌱 Configuração'!$B$51+115&lt;'🌱 Configuração'!$E$51,INT(('🌱 Configuração'!$B$51+115-'🌱 Configuração'!$D$51)/7)+1=1,MOD('🌱 Configuração'!$B$51+115-'🌱 Configuração'!$D$51,7)=0),"🐛 Beauveria bassiana solo (sem foliar)",IF(AND('🌱 Configuração'!$B$51+115&gt;='🌱 Configuração'!$D$51,'🌱 Configuração'!$B$51+115&lt;'🌱 Configuração'!$E$51,INT(('🌱 Configuração'!$B$51+115-'🌱 Configuração'!$D$51)/7)+1=2,MOD('🌱 Configuração'!$B$51+115-'🌱 Configuração'!$D$51,7)=0),"🐛 Trichoderma solo",IF(AND('🌱 Configuração'!$B$51+115&gt;='🌱 Configuração'!$D$51,'🌱 Configuração'!$B$51+115&lt;'🌱 Configuração'!$E$51,INT(('🌱 Configuração'!$B$51+115-'🌱 Configuração'!$D$51)/7)+1=3,MOD('🌱 Configuração'!$B$51+115-'🌱 Configuração'!$D$51,7)=0),"🐛 Beauveria bassiana solo",IF(AND('🌱 Configuração'!$B$51+115&gt;='🌱 Configuração'!$D$51,'🌱 Configuração'!$B$51+115&lt;'🌱 Configuração'!$E$51,INT(('🌱 Configuração'!$B$51+115-'🌱 Configuração'!$D$51)/7)+1=4,MOD('🌱 Configuração'!$B$51+115-'🌱 Configuração'!$D$51,7)=0),"🐛 Trichoderma solo",IF(AND('🌱 Configuração'!$B$51+115&gt;='🌱 Configuração'!$E$51,INT(('🌱 Configuração'!$B$51+115-'🌱 Configuração'!$E$51)/7)+1=1,MOD('🌱 Configuração'!$B$51+115-'🌱 Configuração'!$E$51,7)=0),"🐛 Inspeção final — sem aplicação",""))))))))))))))</f>
        <v/>
      </c>
      <c r="H121" s="22" t="str">
        <f>IF(116&gt;'🌱 Configuração'!$F$50,"",IF('🌱 Configuração'!$B$51+115='🌱 Configuração'!$C$51,"🌿 INÍCIO VEGA — ajustar espaço, luz 18h/dia — EC 0.8",IF('🌱 Configuração'!$B$51+115='🌱 Configuração'!$D$51,"🌸 INÍCIO FLORAÇÃO — mudar para 12h/12h — 🔴 atenção ao fotoperíodo",IF('🌱 Configuração'!$B$51+115='🌱 Configuração'!$E$51,"🚿 INÍCIO FLUSH — PARAR nutrição, somente água pura",IF('🌱 Configuração'!$B$51+115='🌱 Configuração'!$F$51-1,"🔬 Véspera da colheita — analisar tricomas âmbar",IF('🌱 Configuração'!$B$51+115='🌱 Configuração'!$F$51,"✂️ COLHEITA! Parabéns! 🎉",""))))))</f>
        <v/>
      </c>
    </row>
    <row r="122" spans="2:8" ht="18.75" customHeight="1" x14ac:dyDescent="0.3">
      <c r="B122" s="25">
        <f>IF(117&lt;='🌱 Configuração'!$F$50,117,"")</f>
        <v>117</v>
      </c>
      <c r="C122" s="26">
        <f>IF(117&lt;='🌱 Configuração'!$F$50,'🌱 Configuração'!$B$51+116,"")</f>
        <v>46139</v>
      </c>
      <c r="D122" s="27" t="str">
        <f>IF(117&gt;'🌱 Configuração'!$F$50,"",IF('🌱 Configuração'!$B$51+116&lt;'🌱 Configuração'!$C$51,"🌱 Clone",IF('🌱 Configuração'!$B$51+116&lt;'🌱 Configuração'!$D$51,"🌿 Vegetativo",IF('🌱 Configuração'!$B$51+116&lt;'🌱 Configuração'!$E$51,"🌸 Floração","🚿 Flush"))))</f>
        <v>🌸 Floração</v>
      </c>
      <c r="E122" s="28" t="str">
        <f>IF(117&gt;'🌱 Configuração'!$F$50,"",IF('🌱 Configuração'!$B$51+116&lt;'🌱 Configuração'!$C$51,"Clone S"&amp;INT((117-1)/7)+1,IF('🌱 Configuração'!$B$51+116&lt;'🌱 Configuração'!$D$51,"Vega S"&amp;INT(('🌱 Configuração'!$B$51+116-'🌱 Configuração'!$C$51)/7)+1,IF('🌱 Configuração'!$B$51+116&lt;'🌱 Configuração'!$E$51,"Flora S"&amp;INT(('🌱 Configuração'!$B$51+116-'🌱 Configuração'!$D$51)/7)+1,"Flush S"&amp;INT(('🌱 Configuração'!$B$51+116-'🌱 Configuração'!$E$51)/7)+1))))</f>
        <v>Flora S9</v>
      </c>
      <c r="F122" s="29" t="str">
        <f>IF(117&gt;'🌱 Configuração'!$F$50,"",IF(AND('🌱 Configuração'!$B$51+116&lt;'🌱 Configuração'!$C$51,INT((117-1)/7)+1=1,MOD(117-1,7)=0),"🌱 Enraizador (0.5 mL/L)",IF(AND('🌱 Configuração'!$B$51+116&lt;'🌱 Configuração'!$C$51,INT((117-1)/7)+1=2,MOD(117-1,7)=0),"🌱 Enraizador + Vitamina B1",IF(AND('🌱 Configuração'!$B$51+116&gt;='🌱 Configuração'!$C$51,'🌱 Configuração'!$B$51+116&lt;'🌱 Configuração'!$D$51,INT(('🌱 Configuração'!$B$51+116-'🌱 Configuração'!$C$51)/7)+1=1,MOD('🌱 Configuração'!$B$51+116-'🌱 Configuração'!$C$51,7)=0),"🌿 Grow A+B início — EC 0.8",IF(AND('🌱 Configuração'!$B$51+116&gt;='🌱 Configuração'!$C$51,'🌱 Configuração'!$B$51+116&lt;'🌱 Configuração'!$D$51,INT(('🌱 Configuração'!$B$51+116-'🌱 Configuração'!$C$51)/7)+1=2,MOD('🌱 Configuração'!$B$51+116-'🌱 Configuração'!$C$51,7)=0),"🌿 Grow A+B + CalMag — EC 1.0",IF(AND('🌱 Configuração'!$B$51+116&gt;='🌱 Configuração'!$C$51,'🌱 Configuração'!$B$51+116&lt;'🌱 Configuração'!$D$51,INT(('🌱 Configuração'!$B$51+116-'🌱 Configuração'!$C$51)/7)+1=3,MOD('🌱 Configuração'!$B$51+116-'🌱 Configuração'!$C$51,7)=0),"🌿 Grow A+B + CalMag — EC 1.2",IF(AND('🌱 Configuração'!$B$51+116&gt;='🌱 Configuração'!$C$51,'🌱 Configuração'!$B$51+116&lt;'🌱 Configuração'!$D$51,INT(('🌱 Configuração'!$B$51+116-'🌱 Configuração'!$C$51)/7)+1=4,MOD('🌱 Configuração'!$B$51+116-'🌱 Configuração'!$C$51,7)=0),"🌿 Grow A+B + Enzimas — EC 1.4",IF(AND('🌱 Configuração'!$B$51+116&gt;='🌱 Configuração'!$C$51,'🌱 Configuração'!$B$51+116&lt;'🌱 Configuração'!$D$51,INT(('🌱 Configuração'!$B$51+116-'🌱 Configuração'!$C$51)/7)+1=5,MOD('🌱 Configuração'!$B$51+116-'🌱 Configuração'!$C$51,7)=0),"🌿 Grow A+B + Biorrizas — EC 1.5",IF(AND('🌱 Configuração'!$B$51+116&gt;='🌱 Configuração'!$C$51,'🌱 Configuração'!$B$51+116&lt;'🌱 Configuração'!$D$51,INT(('🌱 Configuração'!$B$51+116-'🌱 Configuração'!$C$51)/7)+1=6,MOD('🌱 Configuração'!$B$51+116-'🌱 Configuração'!$C$51,7)=0),"🌿 Transição Bloom — EC 1.4",IF(AND('🌱 Configuração'!$B$51+116&gt;='🌱 Configuração'!$C$51,'🌱 Configuração'!$B$51+116&lt;'🌱 Configuração'!$D$51,INT(('🌱 Configuração'!$B$51+116-'🌱 Configuração'!$C$51)/7)+1=7,MOD('🌱 Configuração'!$B$51+116-'🌱 Configuração'!$C$51,7)=0),"🌿 Bloom A+B transição — EC 1.4",IF(AND('🌱 Configuração'!$B$51+116&gt;='🌱 Configuração'!$C$51,'🌱 Configuração'!$B$51+116&lt;'🌱 Configuração'!$D$51,INT(('🌱 Configuração'!$B$51+116-'🌱 Configuração'!$C$51)/7)+1=8,MOD('🌱 Configuração'!$B$51+116-'🌱 Configuração'!$C$51,7)=0),"🌿 Bloom A+B — EC 1.4",IF(AND('🌱 Configuração'!$B$51+116&gt;='🌱 Configuração'!$D$51,'🌱 Configuração'!$B$51+116&lt;'🌱 Configuração'!$E$51,INT(('🌱 Configuração'!$B$51+116-'🌱 Configuração'!$D$51)/7)+1=1,MOD('🌱 Configuração'!$B$51+116-'🌱 Configuração'!$D$51,7)=0),"🌸 Bloom A+B — EC 1.6",IF(AND('🌱 Configuração'!$B$51+116&gt;='🌱 Configuração'!$D$51,'🌱 Configuração'!$B$51+116&lt;'🌱 Configuração'!$E$51,INT(('🌱 Configuração'!$B$51+116-'🌱 Configuração'!$D$51)/7)+1=2,MOD('🌱 Configuração'!$B$51+116-'🌱 Configuração'!$D$51,7)=0),"🌸 Bloom + PK 13/14 início",IF(AND('🌱 Configuração'!$B$51+116&gt;='🌱 Configuração'!$D$51,'🌱 Configuração'!$B$51+116&lt;'🌱 Configuração'!$E$51,INT(('🌱 Configuração'!$B$51+116-'🌱 Configuração'!$D$51)/7)+1=3,MOD('🌱 Configuração'!$B$51+116-'🌱 Configuração'!$D$51,7)=0),"🌸 Bloom + PK + CalMag — EC 1.8",IF(AND('🌱 Configuração'!$B$51+116&gt;='🌱 Configuração'!$D$51,'🌱 Configuração'!$B$51+116&lt;'🌱 Configuração'!$E$51,INT(('🌱 Configuração'!$B$51+116-'🌱 Configuração'!$D$51)/7)+1=4,MOD('🌱 Configuração'!$B$51+116-'🌱 Configuração'!$D$51,7)=0),"🌸 Bloom + PK + Boost Floral — EC 2.0",IF(AND('🌱 Configuração'!$B$51+116&gt;='🌱 Configuração'!$D$51,'🌱 Configuração'!$B$51+116&lt;'🌱 Configuração'!$E$51,INT(('🌱 Configuração'!$B$51+116-'🌱 Configuração'!$D$51)/7)+1=5,MOD('🌱 Configuração'!$B$51+116-'🌱 Configuração'!$D$51,7)=0),"🌸 Bloom + Boost + Amino",IF(AND('🌱 Configuração'!$B$51+116&gt;='🌱 Configuração'!$D$51,'🌱 Configuração'!$B$51+116&lt;'🌱 Configuração'!$E$51,INT(('🌱 Configuração'!$B$51+116-'🌱 Configuração'!$D$51)/7)+1=6,MOD('🌱 Configuração'!$B$51+116-'🌱 Configuração'!$D$51,7)=0),"🌸 Bloom + Enzimas + Amino",IF(AND('🌱 Configuração'!$B$51+116&gt;='🌱 Configuração'!$D$51,'🌱 Configuração'!$B$51+116&lt;'🌱 Configuração'!$E$51,INT(('🌱 Configuração'!$B$51+116-'🌱 Configuração'!$D$51)/7)+1=7,MOD('🌱 Configuração'!$B$51+116-'🌱 Configuração'!$D$51,7)=0),"🌸 Reduzir N — Bloom puro — EC 1.6",IF(AND('🌱 Configuração'!$B$51+116&gt;='🌱 Configuração'!$D$51,'🌱 Configuração'!$B$51+116&lt;'🌱 Configuração'!$E$51,INT(('🌱 Configuração'!$B$51+116-'🌱 Configuração'!$D$51)/7)+1=8,MOD('🌱 Configuração'!$B$51+116-'🌱 Configuração'!$D$51,7)=0),"🌸 Bloom puro — EC 1.4  (pré-flush)",IF(AND('🌱 Configuração'!$B$51+116&gt;='🌱 Configuração'!$D$51,'🌱 Configuração'!$B$51+116&lt;'🌱 Configuração'!$E$51,INT(('🌱 Configuração'!$B$51+116-'🌱 Configuração'!$D$51)/7)+1=9,MOD('🌱 Configuração'!$B$51+116-'🌱 Configuração'!$D$51,7)=0),"🌸 Último Bloom — EC 0.8",IF(AND('🌱 Configuração'!$B$51+116&gt;='🌱 Configuração'!$E$51,INT(('🌱 Configuração'!$B$51+116-'🌱 Configuração'!$E$51)/7)+1=1,MOD('🌱 Configuração'!$B$51+116-'🌱 Configuração'!$E$51,7)=0),"🚿 Água pura + Enzimas (EC &lt; 0.3)",IF(AND('🌱 Configuração'!$B$51+116&gt;='🌱 Configuração'!$E$51,INT(('🌱 Configuração'!$B$51+116-'🌱 Configuração'!$E$51)/7)+1=2,MOD('🌱 Configuração'!$B$51+116-'🌱 Configuração'!$E$51,7)=0),"🚿 Água pura (EC &lt; 0.2)",""))))))))))))))))))))))</f>
        <v/>
      </c>
      <c r="G122" s="30" t="str">
        <f>IF(117&gt;'🌱 Configuração'!$F$50,"",IF(AND('🌱 Configuração'!$B$51+116&lt;'🌱 Configuração'!$C$51,INT((117-1)/7)+1=1,MOD(117-1,7)=0),"🐛 Nim 2mL/L foliar — preventivo",IF(AND('🌱 Configuração'!$B$51+116&lt;'🌱 Configuração'!$C$51,INT((117-1)/7)+1=2,MOD(117-1,7)=0),"🐛 Beauveria bassiana foliar + solo",IF(AND('🌱 Configuração'!$B$51+116&gt;='🌱 Configuração'!$C$51,'🌱 Configuração'!$B$51+116&lt;'🌱 Configuração'!$D$51,INT(('🌱 Configuração'!$B$51+116-'🌱 Configuração'!$C$51)/7)+1=1,MOD('🌱 Configuração'!$B$51+116-'🌱 Configuração'!$C$51,7)=0),"🐛 Nim 2mL/L foliar",IF(AND('🌱 Configuração'!$B$51+116&gt;='🌱 Configuração'!$C$51,'🌱 Configuração'!$B$51+116&lt;'🌱 Configuração'!$D$51,INT(('🌱 Configuração'!$B$51+116-'🌱 Configuração'!$C$51)/7)+1=2,MOD('🌱 Configuração'!$B$51+116-'🌱 Configuração'!$C$51,7)=0),"🐛 Beauveria bassiana foliar",IF(AND('🌱 Configuração'!$B$51+116&gt;='🌱 Configuração'!$C$51,'🌱 Configuração'!$B$51+116&lt;'🌱 Configuração'!$D$51,INT(('🌱 Configuração'!$B$51+116-'🌱 Configuração'!$C$51)/7)+1=3,MOD('🌱 Configuração'!$B$51+116-'🌱 Configuração'!$C$51,7)=0),"🐛 Nim + Calda Sulfocálcica 1%",IF(AND('🌱 Configuração'!$B$51+116&gt;='🌱 Configuração'!$C$51,'🌱 Configuração'!$B$51+116&lt;'🌱 Configuração'!$D$51,INT(('🌱 Configuração'!$B$51+116-'🌱 Configuração'!$C$51)/7)+1=4,MOD('🌱 Configuração'!$B$51+116-'🌱 Configuração'!$C$51,7)=0),"🐛 Trichoderma solo + Beauveria",IF(AND('🌱 Configuração'!$B$51+116&gt;='🌱 Configuração'!$C$51,'🌱 Configuração'!$B$51+116&lt;'🌱 Configuração'!$D$51,INT(('🌱 Configuração'!$B$51+116-'🌱 Configuração'!$C$51)/7)+1=5,MOD('🌱 Configuração'!$B$51+116-'🌱 Configuração'!$C$51,7)=0),"🐛 Calda Bordalesa 0.5% foliar",IF(AND('🌱 Configuração'!$B$51+116&gt;='🌱 Configuração'!$C$51,'🌱 Configuração'!$B$51+116&lt;'🌱 Configuração'!$D$51,INT(('🌱 Configuração'!$B$51+116-'🌱 Configuração'!$C$51)/7)+1=6,MOD('🌱 Configuração'!$B$51+116-'🌱 Configuração'!$C$51,7)=0),"🐛 Nim 2mL/L — ÚLTIMA foliar",IF(AND('🌱 Configuração'!$B$51+116&gt;='🌱 Configuração'!$D$51,'🌱 Configuração'!$B$51+116&lt;'🌱 Configuração'!$E$51,INT(('🌱 Configuração'!$B$51+116-'🌱 Configuração'!$D$51)/7)+1=1,MOD('🌱 Configuração'!$B$51+116-'🌱 Configuração'!$D$51,7)=0),"🐛 Beauveria bassiana solo (sem foliar)",IF(AND('🌱 Configuração'!$B$51+116&gt;='🌱 Configuração'!$D$51,'🌱 Configuração'!$B$51+116&lt;'🌱 Configuração'!$E$51,INT(('🌱 Configuração'!$B$51+116-'🌱 Configuração'!$D$51)/7)+1=2,MOD('🌱 Configuração'!$B$51+116-'🌱 Configuração'!$D$51,7)=0),"🐛 Trichoderma solo",IF(AND('🌱 Configuração'!$B$51+116&gt;='🌱 Configuração'!$D$51,'🌱 Configuração'!$B$51+116&lt;'🌱 Configuração'!$E$51,INT(('🌱 Configuração'!$B$51+116-'🌱 Configuração'!$D$51)/7)+1=3,MOD('🌱 Configuração'!$B$51+116-'🌱 Configuração'!$D$51,7)=0),"🐛 Beauveria bassiana solo",IF(AND('🌱 Configuração'!$B$51+116&gt;='🌱 Configuração'!$D$51,'🌱 Configuração'!$B$51+116&lt;'🌱 Configuração'!$E$51,INT(('🌱 Configuração'!$B$51+116-'🌱 Configuração'!$D$51)/7)+1=4,MOD('🌱 Configuração'!$B$51+116-'🌱 Configuração'!$D$51,7)=0),"🐛 Trichoderma solo",IF(AND('🌱 Configuração'!$B$51+116&gt;='🌱 Configuração'!$E$51,INT(('🌱 Configuração'!$B$51+116-'🌱 Configuração'!$E$51)/7)+1=1,MOD('🌱 Configuração'!$B$51+116-'🌱 Configuração'!$E$51,7)=0),"🐛 Inspeção final — sem aplicação",""))))))))))))))</f>
        <v/>
      </c>
      <c r="H122" s="22" t="str">
        <f>IF(117&gt;'🌱 Configuração'!$F$50,"",IF('🌱 Configuração'!$B$51+116='🌱 Configuração'!$C$51,"🌿 INÍCIO VEGA — ajustar espaço, luz 18h/dia — EC 0.8",IF('🌱 Configuração'!$B$51+116='🌱 Configuração'!$D$51,"🌸 INÍCIO FLORAÇÃO — mudar para 12h/12h — 🔴 atenção ao fotoperíodo",IF('🌱 Configuração'!$B$51+116='🌱 Configuração'!$E$51,"🚿 INÍCIO FLUSH — PARAR nutrição, somente água pura",IF('🌱 Configuração'!$B$51+116='🌱 Configuração'!$F$51-1,"🔬 Véspera da colheita — analisar tricomas âmbar",IF('🌱 Configuração'!$B$51+116='🌱 Configuração'!$F$51,"✂️ COLHEITA! Parabéns! 🎉",""))))))</f>
        <v/>
      </c>
    </row>
    <row r="123" spans="2:8" ht="18.75" customHeight="1" x14ac:dyDescent="0.3">
      <c r="B123" s="25">
        <f>IF(118&lt;='🌱 Configuração'!$F$50,118,"")</f>
        <v>118</v>
      </c>
      <c r="C123" s="26">
        <f>IF(118&lt;='🌱 Configuração'!$F$50,'🌱 Configuração'!$B$51+117,"")</f>
        <v>46140</v>
      </c>
      <c r="D123" s="27" t="str">
        <f>IF(118&gt;'🌱 Configuração'!$F$50,"",IF('🌱 Configuração'!$B$51+117&lt;'🌱 Configuração'!$C$51,"🌱 Clone",IF('🌱 Configuração'!$B$51+117&lt;'🌱 Configuração'!$D$51,"🌿 Vegetativo",IF('🌱 Configuração'!$B$51+117&lt;'🌱 Configuração'!$E$51,"🌸 Floração","🚿 Flush"))))</f>
        <v>🌸 Floração</v>
      </c>
      <c r="E123" s="28" t="str">
        <f>IF(118&gt;'🌱 Configuração'!$F$50,"",IF('🌱 Configuração'!$B$51+117&lt;'🌱 Configuração'!$C$51,"Clone S"&amp;INT((118-1)/7)+1,IF('🌱 Configuração'!$B$51+117&lt;'🌱 Configuração'!$D$51,"Vega S"&amp;INT(('🌱 Configuração'!$B$51+117-'🌱 Configuração'!$C$51)/7)+1,IF('🌱 Configuração'!$B$51+117&lt;'🌱 Configuração'!$E$51,"Flora S"&amp;INT(('🌱 Configuração'!$B$51+117-'🌱 Configuração'!$D$51)/7)+1,"Flush S"&amp;INT(('🌱 Configuração'!$B$51+117-'🌱 Configuração'!$E$51)/7)+1))))</f>
        <v>Flora S9</v>
      </c>
      <c r="F123" s="29" t="str">
        <f>IF(118&gt;'🌱 Configuração'!$F$50,"",IF(AND('🌱 Configuração'!$B$51+117&lt;'🌱 Configuração'!$C$51,INT((118-1)/7)+1=1,MOD(118-1,7)=0),"🌱 Enraizador (0.5 mL/L)",IF(AND('🌱 Configuração'!$B$51+117&lt;'🌱 Configuração'!$C$51,INT((118-1)/7)+1=2,MOD(118-1,7)=0),"🌱 Enraizador + Vitamina B1",IF(AND('🌱 Configuração'!$B$51+117&gt;='🌱 Configuração'!$C$51,'🌱 Configuração'!$B$51+117&lt;'🌱 Configuração'!$D$51,INT(('🌱 Configuração'!$B$51+117-'🌱 Configuração'!$C$51)/7)+1=1,MOD('🌱 Configuração'!$B$51+117-'🌱 Configuração'!$C$51,7)=0),"🌿 Grow A+B início — EC 0.8",IF(AND('🌱 Configuração'!$B$51+117&gt;='🌱 Configuração'!$C$51,'🌱 Configuração'!$B$51+117&lt;'🌱 Configuração'!$D$51,INT(('🌱 Configuração'!$B$51+117-'🌱 Configuração'!$C$51)/7)+1=2,MOD('🌱 Configuração'!$B$51+117-'🌱 Configuração'!$C$51,7)=0),"🌿 Grow A+B + CalMag — EC 1.0",IF(AND('🌱 Configuração'!$B$51+117&gt;='🌱 Configuração'!$C$51,'🌱 Configuração'!$B$51+117&lt;'🌱 Configuração'!$D$51,INT(('🌱 Configuração'!$B$51+117-'🌱 Configuração'!$C$51)/7)+1=3,MOD('🌱 Configuração'!$B$51+117-'🌱 Configuração'!$C$51,7)=0),"🌿 Grow A+B + CalMag — EC 1.2",IF(AND('🌱 Configuração'!$B$51+117&gt;='🌱 Configuração'!$C$51,'🌱 Configuração'!$B$51+117&lt;'🌱 Configuração'!$D$51,INT(('🌱 Configuração'!$B$51+117-'🌱 Configuração'!$C$51)/7)+1=4,MOD('🌱 Configuração'!$B$51+117-'🌱 Configuração'!$C$51,7)=0),"🌿 Grow A+B + Enzimas — EC 1.4",IF(AND('🌱 Configuração'!$B$51+117&gt;='🌱 Configuração'!$C$51,'🌱 Configuração'!$B$51+117&lt;'🌱 Configuração'!$D$51,INT(('🌱 Configuração'!$B$51+117-'🌱 Configuração'!$C$51)/7)+1=5,MOD('🌱 Configuração'!$B$51+117-'🌱 Configuração'!$C$51,7)=0),"🌿 Grow A+B + Biorrizas — EC 1.5",IF(AND('🌱 Configuração'!$B$51+117&gt;='🌱 Configuração'!$C$51,'🌱 Configuração'!$B$51+117&lt;'🌱 Configuração'!$D$51,INT(('🌱 Configuração'!$B$51+117-'🌱 Configuração'!$C$51)/7)+1=6,MOD('🌱 Configuração'!$B$51+117-'🌱 Configuração'!$C$51,7)=0),"🌿 Transição Bloom — EC 1.4",IF(AND('🌱 Configuração'!$B$51+117&gt;='🌱 Configuração'!$C$51,'🌱 Configuração'!$B$51+117&lt;'🌱 Configuração'!$D$51,INT(('🌱 Configuração'!$B$51+117-'🌱 Configuração'!$C$51)/7)+1=7,MOD('🌱 Configuração'!$B$51+117-'🌱 Configuração'!$C$51,7)=0),"🌿 Bloom A+B transição — EC 1.4",IF(AND('🌱 Configuração'!$B$51+117&gt;='🌱 Configuração'!$C$51,'🌱 Configuração'!$B$51+117&lt;'🌱 Configuração'!$D$51,INT(('🌱 Configuração'!$B$51+117-'🌱 Configuração'!$C$51)/7)+1=8,MOD('🌱 Configuração'!$B$51+117-'🌱 Configuração'!$C$51,7)=0),"🌿 Bloom A+B — EC 1.4",IF(AND('🌱 Configuração'!$B$51+117&gt;='🌱 Configuração'!$D$51,'🌱 Configuração'!$B$51+117&lt;'🌱 Configuração'!$E$51,INT(('🌱 Configuração'!$B$51+117-'🌱 Configuração'!$D$51)/7)+1=1,MOD('🌱 Configuração'!$B$51+117-'🌱 Configuração'!$D$51,7)=0),"🌸 Bloom A+B — EC 1.6",IF(AND('🌱 Configuração'!$B$51+117&gt;='🌱 Configuração'!$D$51,'🌱 Configuração'!$B$51+117&lt;'🌱 Configuração'!$E$51,INT(('🌱 Configuração'!$B$51+117-'🌱 Configuração'!$D$51)/7)+1=2,MOD('🌱 Configuração'!$B$51+117-'🌱 Configuração'!$D$51,7)=0),"🌸 Bloom + PK 13/14 início",IF(AND('🌱 Configuração'!$B$51+117&gt;='🌱 Configuração'!$D$51,'🌱 Configuração'!$B$51+117&lt;'🌱 Configuração'!$E$51,INT(('🌱 Configuração'!$B$51+117-'🌱 Configuração'!$D$51)/7)+1=3,MOD('🌱 Configuração'!$B$51+117-'🌱 Configuração'!$D$51,7)=0),"🌸 Bloom + PK + CalMag — EC 1.8",IF(AND('🌱 Configuração'!$B$51+117&gt;='🌱 Configuração'!$D$51,'🌱 Configuração'!$B$51+117&lt;'🌱 Configuração'!$E$51,INT(('🌱 Configuração'!$B$51+117-'🌱 Configuração'!$D$51)/7)+1=4,MOD('🌱 Configuração'!$B$51+117-'🌱 Configuração'!$D$51,7)=0),"🌸 Bloom + PK + Boost Floral — EC 2.0",IF(AND('🌱 Configuração'!$B$51+117&gt;='🌱 Configuração'!$D$51,'🌱 Configuração'!$B$51+117&lt;'🌱 Configuração'!$E$51,INT(('🌱 Configuração'!$B$51+117-'🌱 Configuração'!$D$51)/7)+1=5,MOD('🌱 Configuração'!$B$51+117-'🌱 Configuração'!$D$51,7)=0),"🌸 Bloom + Boost + Amino",IF(AND('🌱 Configuração'!$B$51+117&gt;='🌱 Configuração'!$D$51,'🌱 Configuração'!$B$51+117&lt;'🌱 Configuração'!$E$51,INT(('🌱 Configuração'!$B$51+117-'🌱 Configuração'!$D$51)/7)+1=6,MOD('🌱 Configuração'!$B$51+117-'🌱 Configuração'!$D$51,7)=0),"🌸 Bloom + Enzimas + Amino",IF(AND('🌱 Configuração'!$B$51+117&gt;='🌱 Configuração'!$D$51,'🌱 Configuração'!$B$51+117&lt;'🌱 Configuração'!$E$51,INT(('🌱 Configuração'!$B$51+117-'🌱 Configuração'!$D$51)/7)+1=7,MOD('🌱 Configuração'!$B$51+117-'🌱 Configuração'!$D$51,7)=0),"🌸 Reduzir N — Bloom puro — EC 1.6",IF(AND('🌱 Configuração'!$B$51+117&gt;='🌱 Configuração'!$D$51,'🌱 Configuração'!$B$51+117&lt;'🌱 Configuração'!$E$51,INT(('🌱 Configuração'!$B$51+117-'🌱 Configuração'!$D$51)/7)+1=8,MOD('🌱 Configuração'!$B$51+117-'🌱 Configuração'!$D$51,7)=0),"🌸 Bloom puro — EC 1.4  (pré-flush)",IF(AND('🌱 Configuração'!$B$51+117&gt;='🌱 Configuração'!$D$51,'🌱 Configuração'!$B$51+117&lt;'🌱 Configuração'!$E$51,INT(('🌱 Configuração'!$B$51+117-'🌱 Configuração'!$D$51)/7)+1=9,MOD('🌱 Configuração'!$B$51+117-'🌱 Configuração'!$D$51,7)=0),"🌸 Último Bloom — EC 0.8",IF(AND('🌱 Configuração'!$B$51+117&gt;='🌱 Configuração'!$E$51,INT(('🌱 Configuração'!$B$51+117-'🌱 Configuração'!$E$51)/7)+1=1,MOD('🌱 Configuração'!$B$51+117-'🌱 Configuração'!$E$51,7)=0),"🚿 Água pura + Enzimas (EC &lt; 0.3)",IF(AND('🌱 Configuração'!$B$51+117&gt;='🌱 Configuração'!$E$51,INT(('🌱 Configuração'!$B$51+117-'🌱 Configuração'!$E$51)/7)+1=2,MOD('🌱 Configuração'!$B$51+117-'🌱 Configuração'!$E$51,7)=0),"🚿 Água pura (EC &lt; 0.2)",""))))))))))))))))))))))</f>
        <v/>
      </c>
      <c r="G123" s="30" t="str">
        <f>IF(118&gt;'🌱 Configuração'!$F$50,"",IF(AND('🌱 Configuração'!$B$51+117&lt;'🌱 Configuração'!$C$51,INT((118-1)/7)+1=1,MOD(118-1,7)=0),"🐛 Nim 2mL/L foliar — preventivo",IF(AND('🌱 Configuração'!$B$51+117&lt;'🌱 Configuração'!$C$51,INT((118-1)/7)+1=2,MOD(118-1,7)=0),"🐛 Beauveria bassiana foliar + solo",IF(AND('🌱 Configuração'!$B$51+117&gt;='🌱 Configuração'!$C$51,'🌱 Configuração'!$B$51+117&lt;'🌱 Configuração'!$D$51,INT(('🌱 Configuração'!$B$51+117-'🌱 Configuração'!$C$51)/7)+1=1,MOD('🌱 Configuração'!$B$51+117-'🌱 Configuração'!$C$51,7)=0),"🐛 Nim 2mL/L foliar",IF(AND('🌱 Configuração'!$B$51+117&gt;='🌱 Configuração'!$C$51,'🌱 Configuração'!$B$51+117&lt;'🌱 Configuração'!$D$51,INT(('🌱 Configuração'!$B$51+117-'🌱 Configuração'!$C$51)/7)+1=2,MOD('🌱 Configuração'!$B$51+117-'🌱 Configuração'!$C$51,7)=0),"🐛 Beauveria bassiana foliar",IF(AND('🌱 Configuração'!$B$51+117&gt;='🌱 Configuração'!$C$51,'🌱 Configuração'!$B$51+117&lt;'🌱 Configuração'!$D$51,INT(('🌱 Configuração'!$B$51+117-'🌱 Configuração'!$C$51)/7)+1=3,MOD('🌱 Configuração'!$B$51+117-'🌱 Configuração'!$C$51,7)=0),"🐛 Nim + Calda Sulfocálcica 1%",IF(AND('🌱 Configuração'!$B$51+117&gt;='🌱 Configuração'!$C$51,'🌱 Configuração'!$B$51+117&lt;'🌱 Configuração'!$D$51,INT(('🌱 Configuração'!$B$51+117-'🌱 Configuração'!$C$51)/7)+1=4,MOD('🌱 Configuração'!$B$51+117-'🌱 Configuração'!$C$51,7)=0),"🐛 Trichoderma solo + Beauveria",IF(AND('🌱 Configuração'!$B$51+117&gt;='🌱 Configuração'!$C$51,'🌱 Configuração'!$B$51+117&lt;'🌱 Configuração'!$D$51,INT(('🌱 Configuração'!$B$51+117-'🌱 Configuração'!$C$51)/7)+1=5,MOD('🌱 Configuração'!$B$51+117-'🌱 Configuração'!$C$51,7)=0),"🐛 Calda Bordalesa 0.5% foliar",IF(AND('🌱 Configuração'!$B$51+117&gt;='🌱 Configuração'!$C$51,'🌱 Configuração'!$B$51+117&lt;'🌱 Configuração'!$D$51,INT(('🌱 Configuração'!$B$51+117-'🌱 Configuração'!$C$51)/7)+1=6,MOD('🌱 Configuração'!$B$51+117-'🌱 Configuração'!$C$51,7)=0),"🐛 Nim 2mL/L — ÚLTIMA foliar",IF(AND('🌱 Configuração'!$B$51+117&gt;='🌱 Configuração'!$D$51,'🌱 Configuração'!$B$51+117&lt;'🌱 Configuração'!$E$51,INT(('🌱 Configuração'!$B$51+117-'🌱 Configuração'!$D$51)/7)+1=1,MOD('🌱 Configuração'!$B$51+117-'🌱 Configuração'!$D$51,7)=0),"🐛 Beauveria bassiana solo (sem foliar)",IF(AND('🌱 Configuração'!$B$51+117&gt;='🌱 Configuração'!$D$51,'🌱 Configuração'!$B$51+117&lt;'🌱 Configuração'!$E$51,INT(('🌱 Configuração'!$B$51+117-'🌱 Configuração'!$D$51)/7)+1=2,MOD('🌱 Configuração'!$B$51+117-'🌱 Configuração'!$D$51,7)=0),"🐛 Trichoderma solo",IF(AND('🌱 Configuração'!$B$51+117&gt;='🌱 Configuração'!$D$51,'🌱 Configuração'!$B$51+117&lt;'🌱 Configuração'!$E$51,INT(('🌱 Configuração'!$B$51+117-'🌱 Configuração'!$D$51)/7)+1=3,MOD('🌱 Configuração'!$B$51+117-'🌱 Configuração'!$D$51,7)=0),"🐛 Beauveria bassiana solo",IF(AND('🌱 Configuração'!$B$51+117&gt;='🌱 Configuração'!$D$51,'🌱 Configuração'!$B$51+117&lt;'🌱 Configuração'!$E$51,INT(('🌱 Configuração'!$B$51+117-'🌱 Configuração'!$D$51)/7)+1=4,MOD('🌱 Configuração'!$B$51+117-'🌱 Configuração'!$D$51,7)=0),"🐛 Trichoderma solo",IF(AND('🌱 Configuração'!$B$51+117&gt;='🌱 Configuração'!$E$51,INT(('🌱 Configuração'!$B$51+117-'🌱 Configuração'!$E$51)/7)+1=1,MOD('🌱 Configuração'!$B$51+117-'🌱 Configuração'!$E$51,7)=0),"🐛 Inspeção final — sem aplicação",""))))))))))))))</f>
        <v/>
      </c>
      <c r="H123" s="22" t="str">
        <f>IF(118&gt;'🌱 Configuração'!$F$50,"",IF('🌱 Configuração'!$B$51+117='🌱 Configuração'!$C$51,"🌿 INÍCIO VEGA — ajustar espaço, luz 18h/dia — EC 0.8",IF('🌱 Configuração'!$B$51+117='🌱 Configuração'!$D$51,"🌸 INÍCIO FLORAÇÃO — mudar para 12h/12h — 🔴 atenção ao fotoperíodo",IF('🌱 Configuração'!$B$51+117='🌱 Configuração'!$E$51,"🚿 INÍCIO FLUSH — PARAR nutrição, somente água pura",IF('🌱 Configuração'!$B$51+117='🌱 Configuração'!$F$51-1,"🔬 Véspera da colheita — analisar tricomas âmbar",IF('🌱 Configuração'!$B$51+117='🌱 Configuração'!$F$51,"✂️ COLHEITA! Parabéns! 🎉",""))))))</f>
        <v/>
      </c>
    </row>
    <row r="124" spans="2:8" ht="18.75" customHeight="1" x14ac:dyDescent="0.3">
      <c r="B124" s="25">
        <f>IF(119&lt;='🌱 Configuração'!$F$50,119,"")</f>
        <v>119</v>
      </c>
      <c r="C124" s="26">
        <f>IF(119&lt;='🌱 Configuração'!$F$50,'🌱 Configuração'!$B$51+118,"")</f>
        <v>46141</v>
      </c>
      <c r="D124" s="27" t="str">
        <f>IF(119&gt;'🌱 Configuração'!$F$50,"",IF('🌱 Configuração'!$B$51+118&lt;'🌱 Configuração'!$C$51,"🌱 Clone",IF('🌱 Configuração'!$B$51+118&lt;'🌱 Configuração'!$D$51,"🌿 Vegetativo",IF('🌱 Configuração'!$B$51+118&lt;'🌱 Configuração'!$E$51,"🌸 Floração","🚿 Flush"))))</f>
        <v>🌸 Floração</v>
      </c>
      <c r="E124" s="28" t="str">
        <f>IF(119&gt;'🌱 Configuração'!$F$50,"",IF('🌱 Configuração'!$B$51+118&lt;'🌱 Configuração'!$C$51,"Clone S"&amp;INT((119-1)/7)+1,IF('🌱 Configuração'!$B$51+118&lt;'🌱 Configuração'!$D$51,"Vega S"&amp;INT(('🌱 Configuração'!$B$51+118-'🌱 Configuração'!$C$51)/7)+1,IF('🌱 Configuração'!$B$51+118&lt;'🌱 Configuração'!$E$51,"Flora S"&amp;INT(('🌱 Configuração'!$B$51+118-'🌱 Configuração'!$D$51)/7)+1,"Flush S"&amp;INT(('🌱 Configuração'!$B$51+118-'🌱 Configuração'!$E$51)/7)+1))))</f>
        <v>Flora S9</v>
      </c>
      <c r="F124" s="29" t="str">
        <f>IF(119&gt;'🌱 Configuração'!$F$50,"",IF(AND('🌱 Configuração'!$B$51+118&lt;'🌱 Configuração'!$C$51,INT((119-1)/7)+1=1,MOD(119-1,7)=0),"🌱 Enraizador (0.5 mL/L)",IF(AND('🌱 Configuração'!$B$51+118&lt;'🌱 Configuração'!$C$51,INT((119-1)/7)+1=2,MOD(119-1,7)=0),"🌱 Enraizador + Vitamina B1",IF(AND('🌱 Configuração'!$B$51+118&gt;='🌱 Configuração'!$C$51,'🌱 Configuração'!$B$51+118&lt;'🌱 Configuração'!$D$51,INT(('🌱 Configuração'!$B$51+118-'🌱 Configuração'!$C$51)/7)+1=1,MOD('🌱 Configuração'!$B$51+118-'🌱 Configuração'!$C$51,7)=0),"🌿 Grow A+B início — EC 0.8",IF(AND('🌱 Configuração'!$B$51+118&gt;='🌱 Configuração'!$C$51,'🌱 Configuração'!$B$51+118&lt;'🌱 Configuração'!$D$51,INT(('🌱 Configuração'!$B$51+118-'🌱 Configuração'!$C$51)/7)+1=2,MOD('🌱 Configuração'!$B$51+118-'🌱 Configuração'!$C$51,7)=0),"🌿 Grow A+B + CalMag — EC 1.0",IF(AND('🌱 Configuração'!$B$51+118&gt;='🌱 Configuração'!$C$51,'🌱 Configuração'!$B$51+118&lt;'🌱 Configuração'!$D$51,INT(('🌱 Configuração'!$B$51+118-'🌱 Configuração'!$C$51)/7)+1=3,MOD('🌱 Configuração'!$B$51+118-'🌱 Configuração'!$C$51,7)=0),"🌿 Grow A+B + CalMag — EC 1.2",IF(AND('🌱 Configuração'!$B$51+118&gt;='🌱 Configuração'!$C$51,'🌱 Configuração'!$B$51+118&lt;'🌱 Configuração'!$D$51,INT(('🌱 Configuração'!$B$51+118-'🌱 Configuração'!$C$51)/7)+1=4,MOD('🌱 Configuração'!$B$51+118-'🌱 Configuração'!$C$51,7)=0),"🌿 Grow A+B + Enzimas — EC 1.4",IF(AND('🌱 Configuração'!$B$51+118&gt;='🌱 Configuração'!$C$51,'🌱 Configuração'!$B$51+118&lt;'🌱 Configuração'!$D$51,INT(('🌱 Configuração'!$B$51+118-'🌱 Configuração'!$C$51)/7)+1=5,MOD('🌱 Configuração'!$B$51+118-'🌱 Configuração'!$C$51,7)=0),"🌿 Grow A+B + Biorrizas — EC 1.5",IF(AND('🌱 Configuração'!$B$51+118&gt;='🌱 Configuração'!$C$51,'🌱 Configuração'!$B$51+118&lt;'🌱 Configuração'!$D$51,INT(('🌱 Configuração'!$B$51+118-'🌱 Configuração'!$C$51)/7)+1=6,MOD('🌱 Configuração'!$B$51+118-'🌱 Configuração'!$C$51,7)=0),"🌿 Transição Bloom — EC 1.4",IF(AND('🌱 Configuração'!$B$51+118&gt;='🌱 Configuração'!$C$51,'🌱 Configuração'!$B$51+118&lt;'🌱 Configuração'!$D$51,INT(('🌱 Configuração'!$B$51+118-'🌱 Configuração'!$C$51)/7)+1=7,MOD('🌱 Configuração'!$B$51+118-'🌱 Configuração'!$C$51,7)=0),"🌿 Bloom A+B transição — EC 1.4",IF(AND('🌱 Configuração'!$B$51+118&gt;='🌱 Configuração'!$C$51,'🌱 Configuração'!$B$51+118&lt;'🌱 Configuração'!$D$51,INT(('🌱 Configuração'!$B$51+118-'🌱 Configuração'!$C$51)/7)+1=8,MOD('🌱 Configuração'!$B$51+118-'🌱 Configuração'!$C$51,7)=0),"🌿 Bloom A+B — EC 1.4",IF(AND('🌱 Configuração'!$B$51+118&gt;='🌱 Configuração'!$D$51,'🌱 Configuração'!$B$51+118&lt;'🌱 Configuração'!$E$51,INT(('🌱 Configuração'!$B$51+118-'🌱 Configuração'!$D$51)/7)+1=1,MOD('🌱 Configuração'!$B$51+118-'🌱 Configuração'!$D$51,7)=0),"🌸 Bloom A+B — EC 1.6",IF(AND('🌱 Configuração'!$B$51+118&gt;='🌱 Configuração'!$D$51,'🌱 Configuração'!$B$51+118&lt;'🌱 Configuração'!$E$51,INT(('🌱 Configuração'!$B$51+118-'🌱 Configuração'!$D$51)/7)+1=2,MOD('🌱 Configuração'!$B$51+118-'🌱 Configuração'!$D$51,7)=0),"🌸 Bloom + PK 13/14 início",IF(AND('🌱 Configuração'!$B$51+118&gt;='🌱 Configuração'!$D$51,'🌱 Configuração'!$B$51+118&lt;'🌱 Configuração'!$E$51,INT(('🌱 Configuração'!$B$51+118-'🌱 Configuração'!$D$51)/7)+1=3,MOD('🌱 Configuração'!$B$51+118-'🌱 Configuração'!$D$51,7)=0),"🌸 Bloom + PK + CalMag — EC 1.8",IF(AND('🌱 Configuração'!$B$51+118&gt;='🌱 Configuração'!$D$51,'🌱 Configuração'!$B$51+118&lt;'🌱 Configuração'!$E$51,INT(('🌱 Configuração'!$B$51+118-'🌱 Configuração'!$D$51)/7)+1=4,MOD('🌱 Configuração'!$B$51+118-'🌱 Configuração'!$D$51,7)=0),"🌸 Bloom + PK + Boost Floral — EC 2.0",IF(AND('🌱 Configuração'!$B$51+118&gt;='🌱 Configuração'!$D$51,'🌱 Configuração'!$B$51+118&lt;'🌱 Configuração'!$E$51,INT(('🌱 Configuração'!$B$51+118-'🌱 Configuração'!$D$51)/7)+1=5,MOD('🌱 Configuração'!$B$51+118-'🌱 Configuração'!$D$51,7)=0),"🌸 Bloom + Boost + Amino",IF(AND('🌱 Configuração'!$B$51+118&gt;='🌱 Configuração'!$D$51,'🌱 Configuração'!$B$51+118&lt;'🌱 Configuração'!$E$51,INT(('🌱 Configuração'!$B$51+118-'🌱 Configuração'!$D$51)/7)+1=6,MOD('🌱 Configuração'!$B$51+118-'🌱 Configuração'!$D$51,7)=0),"🌸 Bloom + Enzimas + Amino",IF(AND('🌱 Configuração'!$B$51+118&gt;='🌱 Configuração'!$D$51,'🌱 Configuração'!$B$51+118&lt;'🌱 Configuração'!$E$51,INT(('🌱 Configuração'!$B$51+118-'🌱 Configuração'!$D$51)/7)+1=7,MOD('🌱 Configuração'!$B$51+118-'🌱 Configuração'!$D$51,7)=0),"🌸 Reduzir N — Bloom puro — EC 1.6",IF(AND('🌱 Configuração'!$B$51+118&gt;='🌱 Configuração'!$D$51,'🌱 Configuração'!$B$51+118&lt;'🌱 Configuração'!$E$51,INT(('🌱 Configuração'!$B$51+118-'🌱 Configuração'!$D$51)/7)+1=8,MOD('🌱 Configuração'!$B$51+118-'🌱 Configuração'!$D$51,7)=0),"🌸 Bloom puro — EC 1.4  (pré-flush)",IF(AND('🌱 Configuração'!$B$51+118&gt;='🌱 Configuração'!$D$51,'🌱 Configuração'!$B$51+118&lt;'🌱 Configuração'!$E$51,INT(('🌱 Configuração'!$B$51+118-'🌱 Configuração'!$D$51)/7)+1=9,MOD('🌱 Configuração'!$B$51+118-'🌱 Configuração'!$D$51,7)=0),"🌸 Último Bloom — EC 0.8",IF(AND('🌱 Configuração'!$B$51+118&gt;='🌱 Configuração'!$E$51,INT(('🌱 Configuração'!$B$51+118-'🌱 Configuração'!$E$51)/7)+1=1,MOD('🌱 Configuração'!$B$51+118-'🌱 Configuração'!$E$51,7)=0),"🚿 Água pura + Enzimas (EC &lt; 0.3)",IF(AND('🌱 Configuração'!$B$51+118&gt;='🌱 Configuração'!$E$51,INT(('🌱 Configuração'!$B$51+118-'🌱 Configuração'!$E$51)/7)+1=2,MOD('🌱 Configuração'!$B$51+118-'🌱 Configuração'!$E$51,7)=0),"🚿 Água pura (EC &lt; 0.2)",""))))))))))))))))))))))</f>
        <v/>
      </c>
      <c r="G124" s="30" t="str">
        <f>IF(119&gt;'🌱 Configuração'!$F$50,"",IF(AND('🌱 Configuração'!$B$51+118&lt;'🌱 Configuração'!$C$51,INT((119-1)/7)+1=1,MOD(119-1,7)=0),"🐛 Nim 2mL/L foliar — preventivo",IF(AND('🌱 Configuração'!$B$51+118&lt;'🌱 Configuração'!$C$51,INT((119-1)/7)+1=2,MOD(119-1,7)=0),"🐛 Beauveria bassiana foliar + solo",IF(AND('🌱 Configuração'!$B$51+118&gt;='🌱 Configuração'!$C$51,'🌱 Configuração'!$B$51+118&lt;'🌱 Configuração'!$D$51,INT(('🌱 Configuração'!$B$51+118-'🌱 Configuração'!$C$51)/7)+1=1,MOD('🌱 Configuração'!$B$51+118-'🌱 Configuração'!$C$51,7)=0),"🐛 Nim 2mL/L foliar",IF(AND('🌱 Configuração'!$B$51+118&gt;='🌱 Configuração'!$C$51,'🌱 Configuração'!$B$51+118&lt;'🌱 Configuração'!$D$51,INT(('🌱 Configuração'!$B$51+118-'🌱 Configuração'!$C$51)/7)+1=2,MOD('🌱 Configuração'!$B$51+118-'🌱 Configuração'!$C$51,7)=0),"🐛 Beauveria bassiana foliar",IF(AND('🌱 Configuração'!$B$51+118&gt;='🌱 Configuração'!$C$51,'🌱 Configuração'!$B$51+118&lt;'🌱 Configuração'!$D$51,INT(('🌱 Configuração'!$B$51+118-'🌱 Configuração'!$C$51)/7)+1=3,MOD('🌱 Configuração'!$B$51+118-'🌱 Configuração'!$C$51,7)=0),"🐛 Nim + Calda Sulfocálcica 1%",IF(AND('🌱 Configuração'!$B$51+118&gt;='🌱 Configuração'!$C$51,'🌱 Configuração'!$B$51+118&lt;'🌱 Configuração'!$D$51,INT(('🌱 Configuração'!$B$51+118-'🌱 Configuração'!$C$51)/7)+1=4,MOD('🌱 Configuração'!$B$51+118-'🌱 Configuração'!$C$51,7)=0),"🐛 Trichoderma solo + Beauveria",IF(AND('🌱 Configuração'!$B$51+118&gt;='🌱 Configuração'!$C$51,'🌱 Configuração'!$B$51+118&lt;'🌱 Configuração'!$D$51,INT(('🌱 Configuração'!$B$51+118-'🌱 Configuração'!$C$51)/7)+1=5,MOD('🌱 Configuração'!$B$51+118-'🌱 Configuração'!$C$51,7)=0),"🐛 Calda Bordalesa 0.5% foliar",IF(AND('🌱 Configuração'!$B$51+118&gt;='🌱 Configuração'!$C$51,'🌱 Configuração'!$B$51+118&lt;'🌱 Configuração'!$D$51,INT(('🌱 Configuração'!$B$51+118-'🌱 Configuração'!$C$51)/7)+1=6,MOD('🌱 Configuração'!$B$51+118-'🌱 Configuração'!$C$51,7)=0),"🐛 Nim 2mL/L — ÚLTIMA foliar",IF(AND('🌱 Configuração'!$B$51+118&gt;='🌱 Configuração'!$D$51,'🌱 Configuração'!$B$51+118&lt;'🌱 Configuração'!$E$51,INT(('🌱 Configuração'!$B$51+118-'🌱 Configuração'!$D$51)/7)+1=1,MOD('🌱 Configuração'!$B$51+118-'🌱 Configuração'!$D$51,7)=0),"🐛 Beauveria bassiana solo (sem foliar)",IF(AND('🌱 Configuração'!$B$51+118&gt;='🌱 Configuração'!$D$51,'🌱 Configuração'!$B$51+118&lt;'🌱 Configuração'!$E$51,INT(('🌱 Configuração'!$B$51+118-'🌱 Configuração'!$D$51)/7)+1=2,MOD('🌱 Configuração'!$B$51+118-'🌱 Configuração'!$D$51,7)=0),"🐛 Trichoderma solo",IF(AND('🌱 Configuração'!$B$51+118&gt;='🌱 Configuração'!$D$51,'🌱 Configuração'!$B$51+118&lt;'🌱 Configuração'!$E$51,INT(('🌱 Configuração'!$B$51+118-'🌱 Configuração'!$D$51)/7)+1=3,MOD('🌱 Configuração'!$B$51+118-'🌱 Configuração'!$D$51,7)=0),"🐛 Beauveria bassiana solo",IF(AND('🌱 Configuração'!$B$51+118&gt;='🌱 Configuração'!$D$51,'🌱 Configuração'!$B$51+118&lt;'🌱 Configuração'!$E$51,INT(('🌱 Configuração'!$B$51+118-'🌱 Configuração'!$D$51)/7)+1=4,MOD('🌱 Configuração'!$B$51+118-'🌱 Configuração'!$D$51,7)=0),"🐛 Trichoderma solo",IF(AND('🌱 Configuração'!$B$51+118&gt;='🌱 Configuração'!$E$51,INT(('🌱 Configuração'!$B$51+118-'🌱 Configuração'!$E$51)/7)+1=1,MOD('🌱 Configuração'!$B$51+118-'🌱 Configuração'!$E$51,7)=0),"🐛 Inspeção final — sem aplicação",""))))))))))))))</f>
        <v/>
      </c>
      <c r="H124" s="22" t="str">
        <f>IF(119&gt;'🌱 Configuração'!$F$50,"",IF('🌱 Configuração'!$B$51+118='🌱 Configuração'!$C$51,"🌿 INÍCIO VEGA — ajustar espaço, luz 18h/dia — EC 0.8",IF('🌱 Configuração'!$B$51+118='🌱 Configuração'!$D$51,"🌸 INÍCIO FLORAÇÃO — mudar para 12h/12h — 🔴 atenção ao fotoperíodo",IF('🌱 Configuração'!$B$51+118='🌱 Configuração'!$E$51,"🚿 INÍCIO FLUSH — PARAR nutrição, somente água pura",IF('🌱 Configuração'!$B$51+118='🌱 Configuração'!$F$51-1,"🔬 Véspera da colheita — analisar tricomas âmbar",IF('🌱 Configuração'!$B$51+118='🌱 Configuração'!$F$51,"✂️ COLHEITA! Parabéns! 🎉",""))))))</f>
        <v/>
      </c>
    </row>
    <row r="125" spans="2:8" ht="18.75" customHeight="1" x14ac:dyDescent="0.3">
      <c r="B125" s="25">
        <f>IF(120&lt;='🌱 Configuração'!$F$50,120,"")</f>
        <v>120</v>
      </c>
      <c r="C125" s="26">
        <f>IF(120&lt;='🌱 Configuração'!$F$50,'🌱 Configuração'!$B$51+119,"")</f>
        <v>46142</v>
      </c>
      <c r="D125" s="27" t="str">
        <f>IF(120&gt;'🌱 Configuração'!$F$50,"",IF('🌱 Configuração'!$B$51+119&lt;'🌱 Configuração'!$C$51,"🌱 Clone",IF('🌱 Configuração'!$B$51+119&lt;'🌱 Configuração'!$D$51,"🌿 Vegetativo",IF('🌱 Configuração'!$B$51+119&lt;'🌱 Configuração'!$E$51,"🌸 Floração","🚿 Flush"))))</f>
        <v>🚿 Flush</v>
      </c>
      <c r="E125" s="28" t="str">
        <f>IF(120&gt;'🌱 Configuração'!$F$50,"",IF('🌱 Configuração'!$B$51+119&lt;'🌱 Configuração'!$C$51,"Clone S"&amp;INT((120-1)/7)+1,IF('🌱 Configuração'!$B$51+119&lt;'🌱 Configuração'!$D$51,"Vega S"&amp;INT(('🌱 Configuração'!$B$51+119-'🌱 Configuração'!$C$51)/7)+1,IF('🌱 Configuração'!$B$51+119&lt;'🌱 Configuração'!$E$51,"Flora S"&amp;INT(('🌱 Configuração'!$B$51+119-'🌱 Configuração'!$D$51)/7)+1,"Flush S"&amp;INT(('🌱 Configuração'!$B$51+119-'🌱 Configuração'!$E$51)/7)+1))))</f>
        <v>Flush S1</v>
      </c>
      <c r="F125" s="29" t="str">
        <f>IF(120&gt;'🌱 Configuração'!$F$50,"",IF(AND('🌱 Configuração'!$B$51+119&lt;'🌱 Configuração'!$C$51,INT((120-1)/7)+1=1,MOD(120-1,7)=0),"🌱 Enraizador (0.5 mL/L)",IF(AND('🌱 Configuração'!$B$51+119&lt;'🌱 Configuração'!$C$51,INT((120-1)/7)+1=2,MOD(120-1,7)=0),"🌱 Enraizador + Vitamina B1",IF(AND('🌱 Configuração'!$B$51+119&gt;='🌱 Configuração'!$C$51,'🌱 Configuração'!$B$51+119&lt;'🌱 Configuração'!$D$51,INT(('🌱 Configuração'!$B$51+119-'🌱 Configuração'!$C$51)/7)+1=1,MOD('🌱 Configuração'!$B$51+119-'🌱 Configuração'!$C$51,7)=0),"🌿 Grow A+B início — EC 0.8",IF(AND('🌱 Configuração'!$B$51+119&gt;='🌱 Configuração'!$C$51,'🌱 Configuração'!$B$51+119&lt;'🌱 Configuração'!$D$51,INT(('🌱 Configuração'!$B$51+119-'🌱 Configuração'!$C$51)/7)+1=2,MOD('🌱 Configuração'!$B$51+119-'🌱 Configuração'!$C$51,7)=0),"🌿 Grow A+B + CalMag — EC 1.0",IF(AND('🌱 Configuração'!$B$51+119&gt;='🌱 Configuração'!$C$51,'🌱 Configuração'!$B$51+119&lt;'🌱 Configuração'!$D$51,INT(('🌱 Configuração'!$B$51+119-'🌱 Configuração'!$C$51)/7)+1=3,MOD('🌱 Configuração'!$B$51+119-'🌱 Configuração'!$C$51,7)=0),"🌿 Grow A+B + CalMag — EC 1.2",IF(AND('🌱 Configuração'!$B$51+119&gt;='🌱 Configuração'!$C$51,'🌱 Configuração'!$B$51+119&lt;'🌱 Configuração'!$D$51,INT(('🌱 Configuração'!$B$51+119-'🌱 Configuração'!$C$51)/7)+1=4,MOD('🌱 Configuração'!$B$51+119-'🌱 Configuração'!$C$51,7)=0),"🌿 Grow A+B + Enzimas — EC 1.4",IF(AND('🌱 Configuração'!$B$51+119&gt;='🌱 Configuração'!$C$51,'🌱 Configuração'!$B$51+119&lt;'🌱 Configuração'!$D$51,INT(('🌱 Configuração'!$B$51+119-'🌱 Configuração'!$C$51)/7)+1=5,MOD('🌱 Configuração'!$B$51+119-'🌱 Configuração'!$C$51,7)=0),"🌿 Grow A+B + Biorrizas — EC 1.5",IF(AND('🌱 Configuração'!$B$51+119&gt;='🌱 Configuração'!$C$51,'🌱 Configuração'!$B$51+119&lt;'🌱 Configuração'!$D$51,INT(('🌱 Configuração'!$B$51+119-'🌱 Configuração'!$C$51)/7)+1=6,MOD('🌱 Configuração'!$B$51+119-'🌱 Configuração'!$C$51,7)=0),"🌿 Transição Bloom — EC 1.4",IF(AND('🌱 Configuração'!$B$51+119&gt;='🌱 Configuração'!$C$51,'🌱 Configuração'!$B$51+119&lt;'🌱 Configuração'!$D$51,INT(('🌱 Configuração'!$B$51+119-'🌱 Configuração'!$C$51)/7)+1=7,MOD('🌱 Configuração'!$B$51+119-'🌱 Configuração'!$C$51,7)=0),"🌿 Bloom A+B transição — EC 1.4",IF(AND('🌱 Configuração'!$B$51+119&gt;='🌱 Configuração'!$C$51,'🌱 Configuração'!$B$51+119&lt;'🌱 Configuração'!$D$51,INT(('🌱 Configuração'!$B$51+119-'🌱 Configuração'!$C$51)/7)+1=8,MOD('🌱 Configuração'!$B$51+119-'🌱 Configuração'!$C$51,7)=0),"🌿 Bloom A+B — EC 1.4",IF(AND('🌱 Configuração'!$B$51+119&gt;='🌱 Configuração'!$D$51,'🌱 Configuração'!$B$51+119&lt;'🌱 Configuração'!$E$51,INT(('🌱 Configuração'!$B$51+119-'🌱 Configuração'!$D$51)/7)+1=1,MOD('🌱 Configuração'!$B$51+119-'🌱 Configuração'!$D$51,7)=0),"🌸 Bloom A+B — EC 1.6",IF(AND('🌱 Configuração'!$B$51+119&gt;='🌱 Configuração'!$D$51,'🌱 Configuração'!$B$51+119&lt;'🌱 Configuração'!$E$51,INT(('🌱 Configuração'!$B$51+119-'🌱 Configuração'!$D$51)/7)+1=2,MOD('🌱 Configuração'!$B$51+119-'🌱 Configuração'!$D$51,7)=0),"🌸 Bloom + PK 13/14 início",IF(AND('🌱 Configuração'!$B$51+119&gt;='🌱 Configuração'!$D$51,'🌱 Configuração'!$B$51+119&lt;'🌱 Configuração'!$E$51,INT(('🌱 Configuração'!$B$51+119-'🌱 Configuração'!$D$51)/7)+1=3,MOD('🌱 Configuração'!$B$51+119-'🌱 Configuração'!$D$51,7)=0),"🌸 Bloom + PK + CalMag — EC 1.8",IF(AND('🌱 Configuração'!$B$51+119&gt;='🌱 Configuração'!$D$51,'🌱 Configuração'!$B$51+119&lt;'🌱 Configuração'!$E$51,INT(('🌱 Configuração'!$B$51+119-'🌱 Configuração'!$D$51)/7)+1=4,MOD('🌱 Configuração'!$B$51+119-'🌱 Configuração'!$D$51,7)=0),"🌸 Bloom + PK + Boost Floral — EC 2.0",IF(AND('🌱 Configuração'!$B$51+119&gt;='🌱 Configuração'!$D$51,'🌱 Configuração'!$B$51+119&lt;'🌱 Configuração'!$E$51,INT(('🌱 Configuração'!$B$51+119-'🌱 Configuração'!$D$51)/7)+1=5,MOD('🌱 Configuração'!$B$51+119-'🌱 Configuração'!$D$51,7)=0),"🌸 Bloom + Boost + Amino",IF(AND('🌱 Configuração'!$B$51+119&gt;='🌱 Configuração'!$D$51,'🌱 Configuração'!$B$51+119&lt;'🌱 Configuração'!$E$51,INT(('🌱 Configuração'!$B$51+119-'🌱 Configuração'!$D$51)/7)+1=6,MOD('🌱 Configuração'!$B$51+119-'🌱 Configuração'!$D$51,7)=0),"🌸 Bloom + Enzimas + Amino",IF(AND('🌱 Configuração'!$B$51+119&gt;='🌱 Configuração'!$D$51,'🌱 Configuração'!$B$51+119&lt;'🌱 Configuração'!$E$51,INT(('🌱 Configuração'!$B$51+119-'🌱 Configuração'!$D$51)/7)+1=7,MOD('🌱 Configuração'!$B$51+119-'🌱 Configuração'!$D$51,7)=0),"🌸 Reduzir N — Bloom puro — EC 1.6",IF(AND('🌱 Configuração'!$B$51+119&gt;='🌱 Configuração'!$D$51,'🌱 Configuração'!$B$51+119&lt;'🌱 Configuração'!$E$51,INT(('🌱 Configuração'!$B$51+119-'🌱 Configuração'!$D$51)/7)+1=8,MOD('🌱 Configuração'!$B$51+119-'🌱 Configuração'!$D$51,7)=0),"🌸 Bloom puro — EC 1.4  (pré-flush)",IF(AND('🌱 Configuração'!$B$51+119&gt;='🌱 Configuração'!$D$51,'🌱 Configuração'!$B$51+119&lt;'🌱 Configuração'!$E$51,INT(('🌱 Configuração'!$B$51+119-'🌱 Configuração'!$D$51)/7)+1=9,MOD('🌱 Configuração'!$B$51+119-'🌱 Configuração'!$D$51,7)=0),"🌸 Último Bloom — EC 0.8",IF(AND('🌱 Configuração'!$B$51+119&gt;='🌱 Configuração'!$E$51,INT(('🌱 Configuração'!$B$51+119-'🌱 Configuração'!$E$51)/7)+1=1,MOD('🌱 Configuração'!$B$51+119-'🌱 Configuração'!$E$51,7)=0),"🚿 Água pura + Enzimas (EC &lt; 0.3)",IF(AND('🌱 Configuração'!$B$51+119&gt;='🌱 Configuração'!$E$51,INT(('🌱 Configuração'!$B$51+119-'🌱 Configuração'!$E$51)/7)+1=2,MOD('🌱 Configuração'!$B$51+119-'🌱 Configuração'!$E$51,7)=0),"🚿 Água pura (EC &lt; 0.2)",""))))))))))))))))))))))</f>
        <v>🚿 Água pura + Enzimas (EC &lt; 0.3)</v>
      </c>
      <c r="G125" s="30" t="str">
        <f>IF(120&gt;'🌱 Configuração'!$F$50,"",IF(AND('🌱 Configuração'!$B$51+119&lt;'🌱 Configuração'!$C$51,INT((120-1)/7)+1=1,MOD(120-1,7)=0),"🐛 Nim 2mL/L foliar — preventivo",IF(AND('🌱 Configuração'!$B$51+119&lt;'🌱 Configuração'!$C$51,INT((120-1)/7)+1=2,MOD(120-1,7)=0),"🐛 Beauveria bassiana foliar + solo",IF(AND('🌱 Configuração'!$B$51+119&gt;='🌱 Configuração'!$C$51,'🌱 Configuração'!$B$51+119&lt;'🌱 Configuração'!$D$51,INT(('🌱 Configuração'!$B$51+119-'🌱 Configuração'!$C$51)/7)+1=1,MOD('🌱 Configuração'!$B$51+119-'🌱 Configuração'!$C$51,7)=0),"🐛 Nim 2mL/L foliar",IF(AND('🌱 Configuração'!$B$51+119&gt;='🌱 Configuração'!$C$51,'🌱 Configuração'!$B$51+119&lt;'🌱 Configuração'!$D$51,INT(('🌱 Configuração'!$B$51+119-'🌱 Configuração'!$C$51)/7)+1=2,MOD('🌱 Configuração'!$B$51+119-'🌱 Configuração'!$C$51,7)=0),"🐛 Beauveria bassiana foliar",IF(AND('🌱 Configuração'!$B$51+119&gt;='🌱 Configuração'!$C$51,'🌱 Configuração'!$B$51+119&lt;'🌱 Configuração'!$D$51,INT(('🌱 Configuração'!$B$51+119-'🌱 Configuração'!$C$51)/7)+1=3,MOD('🌱 Configuração'!$B$51+119-'🌱 Configuração'!$C$51,7)=0),"🐛 Nim + Calda Sulfocálcica 1%",IF(AND('🌱 Configuração'!$B$51+119&gt;='🌱 Configuração'!$C$51,'🌱 Configuração'!$B$51+119&lt;'🌱 Configuração'!$D$51,INT(('🌱 Configuração'!$B$51+119-'🌱 Configuração'!$C$51)/7)+1=4,MOD('🌱 Configuração'!$B$51+119-'🌱 Configuração'!$C$51,7)=0),"🐛 Trichoderma solo + Beauveria",IF(AND('🌱 Configuração'!$B$51+119&gt;='🌱 Configuração'!$C$51,'🌱 Configuração'!$B$51+119&lt;'🌱 Configuração'!$D$51,INT(('🌱 Configuração'!$B$51+119-'🌱 Configuração'!$C$51)/7)+1=5,MOD('🌱 Configuração'!$B$51+119-'🌱 Configuração'!$C$51,7)=0),"🐛 Calda Bordalesa 0.5% foliar",IF(AND('🌱 Configuração'!$B$51+119&gt;='🌱 Configuração'!$C$51,'🌱 Configuração'!$B$51+119&lt;'🌱 Configuração'!$D$51,INT(('🌱 Configuração'!$B$51+119-'🌱 Configuração'!$C$51)/7)+1=6,MOD('🌱 Configuração'!$B$51+119-'🌱 Configuração'!$C$51,7)=0),"🐛 Nim 2mL/L — ÚLTIMA foliar",IF(AND('🌱 Configuração'!$B$51+119&gt;='🌱 Configuração'!$D$51,'🌱 Configuração'!$B$51+119&lt;'🌱 Configuração'!$E$51,INT(('🌱 Configuração'!$B$51+119-'🌱 Configuração'!$D$51)/7)+1=1,MOD('🌱 Configuração'!$B$51+119-'🌱 Configuração'!$D$51,7)=0),"🐛 Beauveria bassiana solo (sem foliar)",IF(AND('🌱 Configuração'!$B$51+119&gt;='🌱 Configuração'!$D$51,'🌱 Configuração'!$B$51+119&lt;'🌱 Configuração'!$E$51,INT(('🌱 Configuração'!$B$51+119-'🌱 Configuração'!$D$51)/7)+1=2,MOD('🌱 Configuração'!$B$51+119-'🌱 Configuração'!$D$51,7)=0),"🐛 Trichoderma solo",IF(AND('🌱 Configuração'!$B$51+119&gt;='🌱 Configuração'!$D$51,'🌱 Configuração'!$B$51+119&lt;'🌱 Configuração'!$E$51,INT(('🌱 Configuração'!$B$51+119-'🌱 Configuração'!$D$51)/7)+1=3,MOD('🌱 Configuração'!$B$51+119-'🌱 Configuração'!$D$51,7)=0),"🐛 Beauveria bassiana solo",IF(AND('🌱 Configuração'!$B$51+119&gt;='🌱 Configuração'!$D$51,'🌱 Configuração'!$B$51+119&lt;'🌱 Configuração'!$E$51,INT(('🌱 Configuração'!$B$51+119-'🌱 Configuração'!$D$51)/7)+1=4,MOD('🌱 Configuração'!$B$51+119-'🌱 Configuração'!$D$51,7)=0),"🐛 Trichoderma solo",IF(AND('🌱 Configuração'!$B$51+119&gt;='🌱 Configuração'!$E$51,INT(('🌱 Configuração'!$B$51+119-'🌱 Configuração'!$E$51)/7)+1=1,MOD('🌱 Configuração'!$B$51+119-'🌱 Configuração'!$E$51,7)=0),"🐛 Inspeção final — sem aplicação",""))))))))))))))</f>
        <v>🐛 Inspeção final — sem aplicação</v>
      </c>
      <c r="H125" s="22" t="str">
        <f>IF(120&gt;'🌱 Configuração'!$F$50,"",IF('🌱 Configuração'!$B$51+119='🌱 Configuração'!$C$51,"🌿 INÍCIO VEGA — ajustar espaço, luz 18h/dia — EC 0.8",IF('🌱 Configuração'!$B$51+119='🌱 Configuração'!$D$51,"🌸 INÍCIO FLORAÇÃO — mudar para 12h/12h — 🔴 atenção ao fotoperíodo",IF('🌱 Configuração'!$B$51+119='🌱 Configuração'!$E$51,"🚿 INÍCIO FLUSH — PARAR nutrição, somente água pura",IF('🌱 Configuração'!$B$51+119='🌱 Configuração'!$F$51-1,"🔬 Véspera da colheita — analisar tricomas âmbar",IF('🌱 Configuração'!$B$51+119='🌱 Configuração'!$F$51,"✂️ COLHEITA! Parabéns! 🎉",""))))))</f>
        <v>🚿 INÍCIO FLUSH — PARAR nutrição, somente água pura</v>
      </c>
    </row>
    <row r="126" spans="2:8" ht="18.75" customHeight="1" x14ac:dyDescent="0.3">
      <c r="B126" s="25">
        <f>IF(121&lt;='🌱 Configuração'!$F$50,121,"")</f>
        <v>121</v>
      </c>
      <c r="C126" s="26">
        <f>IF(121&lt;='🌱 Configuração'!$F$50,'🌱 Configuração'!$B$51+120,"")</f>
        <v>46143</v>
      </c>
      <c r="D126" s="27" t="str">
        <f>IF(121&gt;'🌱 Configuração'!$F$50,"",IF('🌱 Configuração'!$B$51+120&lt;'🌱 Configuração'!$C$51,"🌱 Clone",IF('🌱 Configuração'!$B$51+120&lt;'🌱 Configuração'!$D$51,"🌿 Vegetativo",IF('🌱 Configuração'!$B$51+120&lt;'🌱 Configuração'!$E$51,"🌸 Floração","🚿 Flush"))))</f>
        <v>🚿 Flush</v>
      </c>
      <c r="E126" s="28" t="str">
        <f>IF(121&gt;'🌱 Configuração'!$F$50,"",IF('🌱 Configuração'!$B$51+120&lt;'🌱 Configuração'!$C$51,"Clone S"&amp;INT((121-1)/7)+1,IF('🌱 Configuração'!$B$51+120&lt;'🌱 Configuração'!$D$51,"Vega S"&amp;INT(('🌱 Configuração'!$B$51+120-'🌱 Configuração'!$C$51)/7)+1,IF('🌱 Configuração'!$B$51+120&lt;'🌱 Configuração'!$E$51,"Flora S"&amp;INT(('🌱 Configuração'!$B$51+120-'🌱 Configuração'!$D$51)/7)+1,"Flush S"&amp;INT(('🌱 Configuração'!$B$51+120-'🌱 Configuração'!$E$51)/7)+1))))</f>
        <v>Flush S1</v>
      </c>
      <c r="F126" s="29" t="str">
        <f>IF(121&gt;'🌱 Configuração'!$F$50,"",IF(AND('🌱 Configuração'!$B$51+120&lt;'🌱 Configuração'!$C$51,INT((121-1)/7)+1=1,MOD(121-1,7)=0),"🌱 Enraizador (0.5 mL/L)",IF(AND('🌱 Configuração'!$B$51+120&lt;'🌱 Configuração'!$C$51,INT((121-1)/7)+1=2,MOD(121-1,7)=0),"🌱 Enraizador + Vitamina B1",IF(AND('🌱 Configuração'!$B$51+120&gt;='🌱 Configuração'!$C$51,'🌱 Configuração'!$B$51+120&lt;'🌱 Configuração'!$D$51,INT(('🌱 Configuração'!$B$51+120-'🌱 Configuração'!$C$51)/7)+1=1,MOD('🌱 Configuração'!$B$51+120-'🌱 Configuração'!$C$51,7)=0),"🌿 Grow A+B início — EC 0.8",IF(AND('🌱 Configuração'!$B$51+120&gt;='🌱 Configuração'!$C$51,'🌱 Configuração'!$B$51+120&lt;'🌱 Configuração'!$D$51,INT(('🌱 Configuração'!$B$51+120-'🌱 Configuração'!$C$51)/7)+1=2,MOD('🌱 Configuração'!$B$51+120-'🌱 Configuração'!$C$51,7)=0),"🌿 Grow A+B + CalMag — EC 1.0",IF(AND('🌱 Configuração'!$B$51+120&gt;='🌱 Configuração'!$C$51,'🌱 Configuração'!$B$51+120&lt;'🌱 Configuração'!$D$51,INT(('🌱 Configuração'!$B$51+120-'🌱 Configuração'!$C$51)/7)+1=3,MOD('🌱 Configuração'!$B$51+120-'🌱 Configuração'!$C$51,7)=0),"🌿 Grow A+B + CalMag — EC 1.2",IF(AND('🌱 Configuração'!$B$51+120&gt;='🌱 Configuração'!$C$51,'🌱 Configuração'!$B$51+120&lt;'🌱 Configuração'!$D$51,INT(('🌱 Configuração'!$B$51+120-'🌱 Configuração'!$C$51)/7)+1=4,MOD('🌱 Configuração'!$B$51+120-'🌱 Configuração'!$C$51,7)=0),"🌿 Grow A+B + Enzimas — EC 1.4",IF(AND('🌱 Configuração'!$B$51+120&gt;='🌱 Configuração'!$C$51,'🌱 Configuração'!$B$51+120&lt;'🌱 Configuração'!$D$51,INT(('🌱 Configuração'!$B$51+120-'🌱 Configuração'!$C$51)/7)+1=5,MOD('🌱 Configuração'!$B$51+120-'🌱 Configuração'!$C$51,7)=0),"🌿 Grow A+B + Biorrizas — EC 1.5",IF(AND('🌱 Configuração'!$B$51+120&gt;='🌱 Configuração'!$C$51,'🌱 Configuração'!$B$51+120&lt;'🌱 Configuração'!$D$51,INT(('🌱 Configuração'!$B$51+120-'🌱 Configuração'!$C$51)/7)+1=6,MOD('🌱 Configuração'!$B$51+120-'🌱 Configuração'!$C$51,7)=0),"🌿 Transição Bloom — EC 1.4",IF(AND('🌱 Configuração'!$B$51+120&gt;='🌱 Configuração'!$C$51,'🌱 Configuração'!$B$51+120&lt;'🌱 Configuração'!$D$51,INT(('🌱 Configuração'!$B$51+120-'🌱 Configuração'!$C$51)/7)+1=7,MOD('🌱 Configuração'!$B$51+120-'🌱 Configuração'!$C$51,7)=0),"🌿 Bloom A+B transição — EC 1.4",IF(AND('🌱 Configuração'!$B$51+120&gt;='🌱 Configuração'!$C$51,'🌱 Configuração'!$B$51+120&lt;'🌱 Configuração'!$D$51,INT(('🌱 Configuração'!$B$51+120-'🌱 Configuração'!$C$51)/7)+1=8,MOD('🌱 Configuração'!$B$51+120-'🌱 Configuração'!$C$51,7)=0),"🌿 Bloom A+B — EC 1.4",IF(AND('🌱 Configuração'!$B$51+120&gt;='🌱 Configuração'!$D$51,'🌱 Configuração'!$B$51+120&lt;'🌱 Configuração'!$E$51,INT(('🌱 Configuração'!$B$51+120-'🌱 Configuração'!$D$51)/7)+1=1,MOD('🌱 Configuração'!$B$51+120-'🌱 Configuração'!$D$51,7)=0),"🌸 Bloom A+B — EC 1.6",IF(AND('🌱 Configuração'!$B$51+120&gt;='🌱 Configuração'!$D$51,'🌱 Configuração'!$B$51+120&lt;'🌱 Configuração'!$E$51,INT(('🌱 Configuração'!$B$51+120-'🌱 Configuração'!$D$51)/7)+1=2,MOD('🌱 Configuração'!$B$51+120-'🌱 Configuração'!$D$51,7)=0),"🌸 Bloom + PK 13/14 início",IF(AND('🌱 Configuração'!$B$51+120&gt;='🌱 Configuração'!$D$51,'🌱 Configuração'!$B$51+120&lt;'🌱 Configuração'!$E$51,INT(('🌱 Configuração'!$B$51+120-'🌱 Configuração'!$D$51)/7)+1=3,MOD('🌱 Configuração'!$B$51+120-'🌱 Configuração'!$D$51,7)=0),"🌸 Bloom + PK + CalMag — EC 1.8",IF(AND('🌱 Configuração'!$B$51+120&gt;='🌱 Configuração'!$D$51,'🌱 Configuração'!$B$51+120&lt;'🌱 Configuração'!$E$51,INT(('🌱 Configuração'!$B$51+120-'🌱 Configuração'!$D$51)/7)+1=4,MOD('🌱 Configuração'!$B$51+120-'🌱 Configuração'!$D$51,7)=0),"🌸 Bloom + PK + Boost Floral — EC 2.0",IF(AND('🌱 Configuração'!$B$51+120&gt;='🌱 Configuração'!$D$51,'🌱 Configuração'!$B$51+120&lt;'🌱 Configuração'!$E$51,INT(('🌱 Configuração'!$B$51+120-'🌱 Configuração'!$D$51)/7)+1=5,MOD('🌱 Configuração'!$B$51+120-'🌱 Configuração'!$D$51,7)=0),"🌸 Bloom + Boost + Amino",IF(AND('🌱 Configuração'!$B$51+120&gt;='🌱 Configuração'!$D$51,'🌱 Configuração'!$B$51+120&lt;'🌱 Configuração'!$E$51,INT(('🌱 Configuração'!$B$51+120-'🌱 Configuração'!$D$51)/7)+1=6,MOD('🌱 Configuração'!$B$51+120-'🌱 Configuração'!$D$51,7)=0),"🌸 Bloom + Enzimas + Amino",IF(AND('🌱 Configuração'!$B$51+120&gt;='🌱 Configuração'!$D$51,'🌱 Configuração'!$B$51+120&lt;'🌱 Configuração'!$E$51,INT(('🌱 Configuração'!$B$51+120-'🌱 Configuração'!$D$51)/7)+1=7,MOD('🌱 Configuração'!$B$51+120-'🌱 Configuração'!$D$51,7)=0),"🌸 Reduzir N — Bloom puro — EC 1.6",IF(AND('🌱 Configuração'!$B$51+120&gt;='🌱 Configuração'!$D$51,'🌱 Configuração'!$B$51+120&lt;'🌱 Configuração'!$E$51,INT(('🌱 Configuração'!$B$51+120-'🌱 Configuração'!$D$51)/7)+1=8,MOD('🌱 Configuração'!$B$51+120-'🌱 Configuração'!$D$51,7)=0),"🌸 Bloom puro — EC 1.4  (pré-flush)",IF(AND('🌱 Configuração'!$B$51+120&gt;='🌱 Configuração'!$D$51,'🌱 Configuração'!$B$51+120&lt;'🌱 Configuração'!$E$51,INT(('🌱 Configuração'!$B$51+120-'🌱 Configuração'!$D$51)/7)+1=9,MOD('🌱 Configuração'!$B$51+120-'🌱 Configuração'!$D$51,7)=0),"🌸 Último Bloom — EC 0.8",IF(AND('🌱 Configuração'!$B$51+120&gt;='🌱 Configuração'!$E$51,INT(('🌱 Configuração'!$B$51+120-'🌱 Configuração'!$E$51)/7)+1=1,MOD('🌱 Configuração'!$B$51+120-'🌱 Configuração'!$E$51,7)=0),"🚿 Água pura + Enzimas (EC &lt; 0.3)",IF(AND('🌱 Configuração'!$B$51+120&gt;='🌱 Configuração'!$E$51,INT(('🌱 Configuração'!$B$51+120-'🌱 Configuração'!$E$51)/7)+1=2,MOD('🌱 Configuração'!$B$51+120-'🌱 Configuração'!$E$51,7)=0),"🚿 Água pura (EC &lt; 0.2)",""))))))))))))))))))))))</f>
        <v/>
      </c>
      <c r="G126" s="30" t="str">
        <f>IF(121&gt;'🌱 Configuração'!$F$50,"",IF(AND('🌱 Configuração'!$B$51+120&lt;'🌱 Configuração'!$C$51,INT((121-1)/7)+1=1,MOD(121-1,7)=0),"🐛 Nim 2mL/L foliar — preventivo",IF(AND('🌱 Configuração'!$B$51+120&lt;'🌱 Configuração'!$C$51,INT((121-1)/7)+1=2,MOD(121-1,7)=0),"🐛 Beauveria bassiana foliar + solo",IF(AND('🌱 Configuração'!$B$51+120&gt;='🌱 Configuração'!$C$51,'🌱 Configuração'!$B$51+120&lt;'🌱 Configuração'!$D$51,INT(('🌱 Configuração'!$B$51+120-'🌱 Configuração'!$C$51)/7)+1=1,MOD('🌱 Configuração'!$B$51+120-'🌱 Configuração'!$C$51,7)=0),"🐛 Nim 2mL/L foliar",IF(AND('🌱 Configuração'!$B$51+120&gt;='🌱 Configuração'!$C$51,'🌱 Configuração'!$B$51+120&lt;'🌱 Configuração'!$D$51,INT(('🌱 Configuração'!$B$51+120-'🌱 Configuração'!$C$51)/7)+1=2,MOD('🌱 Configuração'!$B$51+120-'🌱 Configuração'!$C$51,7)=0),"🐛 Beauveria bassiana foliar",IF(AND('🌱 Configuração'!$B$51+120&gt;='🌱 Configuração'!$C$51,'🌱 Configuração'!$B$51+120&lt;'🌱 Configuração'!$D$51,INT(('🌱 Configuração'!$B$51+120-'🌱 Configuração'!$C$51)/7)+1=3,MOD('🌱 Configuração'!$B$51+120-'🌱 Configuração'!$C$51,7)=0),"🐛 Nim + Calda Sulfocálcica 1%",IF(AND('🌱 Configuração'!$B$51+120&gt;='🌱 Configuração'!$C$51,'🌱 Configuração'!$B$51+120&lt;'🌱 Configuração'!$D$51,INT(('🌱 Configuração'!$B$51+120-'🌱 Configuração'!$C$51)/7)+1=4,MOD('🌱 Configuração'!$B$51+120-'🌱 Configuração'!$C$51,7)=0),"🐛 Trichoderma solo + Beauveria",IF(AND('🌱 Configuração'!$B$51+120&gt;='🌱 Configuração'!$C$51,'🌱 Configuração'!$B$51+120&lt;'🌱 Configuração'!$D$51,INT(('🌱 Configuração'!$B$51+120-'🌱 Configuração'!$C$51)/7)+1=5,MOD('🌱 Configuração'!$B$51+120-'🌱 Configuração'!$C$51,7)=0),"🐛 Calda Bordalesa 0.5% foliar",IF(AND('🌱 Configuração'!$B$51+120&gt;='🌱 Configuração'!$C$51,'🌱 Configuração'!$B$51+120&lt;'🌱 Configuração'!$D$51,INT(('🌱 Configuração'!$B$51+120-'🌱 Configuração'!$C$51)/7)+1=6,MOD('🌱 Configuração'!$B$51+120-'🌱 Configuração'!$C$51,7)=0),"🐛 Nim 2mL/L — ÚLTIMA foliar",IF(AND('🌱 Configuração'!$B$51+120&gt;='🌱 Configuração'!$D$51,'🌱 Configuração'!$B$51+120&lt;'🌱 Configuração'!$E$51,INT(('🌱 Configuração'!$B$51+120-'🌱 Configuração'!$D$51)/7)+1=1,MOD('🌱 Configuração'!$B$51+120-'🌱 Configuração'!$D$51,7)=0),"🐛 Beauveria bassiana solo (sem foliar)",IF(AND('🌱 Configuração'!$B$51+120&gt;='🌱 Configuração'!$D$51,'🌱 Configuração'!$B$51+120&lt;'🌱 Configuração'!$E$51,INT(('🌱 Configuração'!$B$51+120-'🌱 Configuração'!$D$51)/7)+1=2,MOD('🌱 Configuração'!$B$51+120-'🌱 Configuração'!$D$51,7)=0),"🐛 Trichoderma solo",IF(AND('🌱 Configuração'!$B$51+120&gt;='🌱 Configuração'!$D$51,'🌱 Configuração'!$B$51+120&lt;'🌱 Configuração'!$E$51,INT(('🌱 Configuração'!$B$51+120-'🌱 Configuração'!$D$51)/7)+1=3,MOD('🌱 Configuração'!$B$51+120-'🌱 Configuração'!$D$51,7)=0),"🐛 Beauveria bassiana solo",IF(AND('🌱 Configuração'!$B$51+120&gt;='🌱 Configuração'!$D$51,'🌱 Configuração'!$B$51+120&lt;'🌱 Configuração'!$E$51,INT(('🌱 Configuração'!$B$51+120-'🌱 Configuração'!$D$51)/7)+1=4,MOD('🌱 Configuração'!$B$51+120-'🌱 Configuração'!$D$51,7)=0),"🐛 Trichoderma solo",IF(AND('🌱 Configuração'!$B$51+120&gt;='🌱 Configuração'!$E$51,INT(('🌱 Configuração'!$B$51+120-'🌱 Configuração'!$E$51)/7)+1=1,MOD('🌱 Configuração'!$B$51+120-'🌱 Configuração'!$E$51,7)=0),"🐛 Inspeção final — sem aplicação",""))))))))))))))</f>
        <v/>
      </c>
      <c r="H126" s="22" t="str">
        <f>IF(121&gt;'🌱 Configuração'!$F$50,"",IF('🌱 Configuração'!$B$51+120='🌱 Configuração'!$C$51,"🌿 INÍCIO VEGA — ajustar espaço, luz 18h/dia — EC 0.8",IF('🌱 Configuração'!$B$51+120='🌱 Configuração'!$D$51,"🌸 INÍCIO FLORAÇÃO — mudar para 12h/12h — 🔴 atenção ao fotoperíodo",IF('🌱 Configuração'!$B$51+120='🌱 Configuração'!$E$51,"🚿 INÍCIO FLUSH — PARAR nutrição, somente água pura",IF('🌱 Configuração'!$B$51+120='🌱 Configuração'!$F$51-1,"🔬 Véspera da colheita — analisar tricomas âmbar",IF('🌱 Configuração'!$B$51+120='🌱 Configuração'!$F$51,"✂️ COLHEITA! Parabéns! 🎉",""))))))</f>
        <v/>
      </c>
    </row>
    <row r="127" spans="2:8" ht="18.75" customHeight="1" x14ac:dyDescent="0.3">
      <c r="B127" s="25">
        <f>IF(122&lt;='🌱 Configuração'!$F$50,122,"")</f>
        <v>122</v>
      </c>
      <c r="C127" s="26">
        <f>IF(122&lt;='🌱 Configuração'!$F$50,'🌱 Configuração'!$B$51+121,"")</f>
        <v>46144</v>
      </c>
      <c r="D127" s="27" t="str">
        <f>IF(122&gt;'🌱 Configuração'!$F$50,"",IF('🌱 Configuração'!$B$51+121&lt;'🌱 Configuração'!$C$51,"🌱 Clone",IF('🌱 Configuração'!$B$51+121&lt;'🌱 Configuração'!$D$51,"🌿 Vegetativo",IF('🌱 Configuração'!$B$51+121&lt;'🌱 Configuração'!$E$51,"🌸 Floração","🚿 Flush"))))</f>
        <v>🚿 Flush</v>
      </c>
      <c r="E127" s="28" t="str">
        <f>IF(122&gt;'🌱 Configuração'!$F$50,"",IF('🌱 Configuração'!$B$51+121&lt;'🌱 Configuração'!$C$51,"Clone S"&amp;INT((122-1)/7)+1,IF('🌱 Configuração'!$B$51+121&lt;'🌱 Configuração'!$D$51,"Vega S"&amp;INT(('🌱 Configuração'!$B$51+121-'🌱 Configuração'!$C$51)/7)+1,IF('🌱 Configuração'!$B$51+121&lt;'🌱 Configuração'!$E$51,"Flora S"&amp;INT(('🌱 Configuração'!$B$51+121-'🌱 Configuração'!$D$51)/7)+1,"Flush S"&amp;INT(('🌱 Configuração'!$B$51+121-'🌱 Configuração'!$E$51)/7)+1))))</f>
        <v>Flush S1</v>
      </c>
      <c r="F127" s="29" t="str">
        <f>IF(122&gt;'🌱 Configuração'!$F$50,"",IF(AND('🌱 Configuração'!$B$51+121&lt;'🌱 Configuração'!$C$51,INT((122-1)/7)+1=1,MOD(122-1,7)=0),"🌱 Enraizador (0.5 mL/L)",IF(AND('🌱 Configuração'!$B$51+121&lt;'🌱 Configuração'!$C$51,INT((122-1)/7)+1=2,MOD(122-1,7)=0),"🌱 Enraizador + Vitamina B1",IF(AND('🌱 Configuração'!$B$51+121&gt;='🌱 Configuração'!$C$51,'🌱 Configuração'!$B$51+121&lt;'🌱 Configuração'!$D$51,INT(('🌱 Configuração'!$B$51+121-'🌱 Configuração'!$C$51)/7)+1=1,MOD('🌱 Configuração'!$B$51+121-'🌱 Configuração'!$C$51,7)=0),"🌿 Grow A+B início — EC 0.8",IF(AND('🌱 Configuração'!$B$51+121&gt;='🌱 Configuração'!$C$51,'🌱 Configuração'!$B$51+121&lt;'🌱 Configuração'!$D$51,INT(('🌱 Configuração'!$B$51+121-'🌱 Configuração'!$C$51)/7)+1=2,MOD('🌱 Configuração'!$B$51+121-'🌱 Configuração'!$C$51,7)=0),"🌿 Grow A+B + CalMag — EC 1.0",IF(AND('🌱 Configuração'!$B$51+121&gt;='🌱 Configuração'!$C$51,'🌱 Configuração'!$B$51+121&lt;'🌱 Configuração'!$D$51,INT(('🌱 Configuração'!$B$51+121-'🌱 Configuração'!$C$51)/7)+1=3,MOD('🌱 Configuração'!$B$51+121-'🌱 Configuração'!$C$51,7)=0),"🌿 Grow A+B + CalMag — EC 1.2",IF(AND('🌱 Configuração'!$B$51+121&gt;='🌱 Configuração'!$C$51,'🌱 Configuração'!$B$51+121&lt;'🌱 Configuração'!$D$51,INT(('🌱 Configuração'!$B$51+121-'🌱 Configuração'!$C$51)/7)+1=4,MOD('🌱 Configuração'!$B$51+121-'🌱 Configuração'!$C$51,7)=0),"🌿 Grow A+B + Enzimas — EC 1.4",IF(AND('🌱 Configuração'!$B$51+121&gt;='🌱 Configuração'!$C$51,'🌱 Configuração'!$B$51+121&lt;'🌱 Configuração'!$D$51,INT(('🌱 Configuração'!$B$51+121-'🌱 Configuração'!$C$51)/7)+1=5,MOD('🌱 Configuração'!$B$51+121-'🌱 Configuração'!$C$51,7)=0),"🌿 Grow A+B + Biorrizas — EC 1.5",IF(AND('🌱 Configuração'!$B$51+121&gt;='🌱 Configuração'!$C$51,'🌱 Configuração'!$B$51+121&lt;'🌱 Configuração'!$D$51,INT(('🌱 Configuração'!$B$51+121-'🌱 Configuração'!$C$51)/7)+1=6,MOD('🌱 Configuração'!$B$51+121-'🌱 Configuração'!$C$51,7)=0),"🌿 Transição Bloom — EC 1.4",IF(AND('🌱 Configuração'!$B$51+121&gt;='🌱 Configuração'!$C$51,'🌱 Configuração'!$B$51+121&lt;'🌱 Configuração'!$D$51,INT(('🌱 Configuração'!$B$51+121-'🌱 Configuração'!$C$51)/7)+1=7,MOD('🌱 Configuração'!$B$51+121-'🌱 Configuração'!$C$51,7)=0),"🌿 Bloom A+B transição — EC 1.4",IF(AND('🌱 Configuração'!$B$51+121&gt;='🌱 Configuração'!$C$51,'🌱 Configuração'!$B$51+121&lt;'🌱 Configuração'!$D$51,INT(('🌱 Configuração'!$B$51+121-'🌱 Configuração'!$C$51)/7)+1=8,MOD('🌱 Configuração'!$B$51+121-'🌱 Configuração'!$C$51,7)=0),"🌿 Bloom A+B — EC 1.4",IF(AND('🌱 Configuração'!$B$51+121&gt;='🌱 Configuração'!$D$51,'🌱 Configuração'!$B$51+121&lt;'🌱 Configuração'!$E$51,INT(('🌱 Configuração'!$B$51+121-'🌱 Configuração'!$D$51)/7)+1=1,MOD('🌱 Configuração'!$B$51+121-'🌱 Configuração'!$D$51,7)=0),"🌸 Bloom A+B — EC 1.6",IF(AND('🌱 Configuração'!$B$51+121&gt;='🌱 Configuração'!$D$51,'🌱 Configuração'!$B$51+121&lt;'🌱 Configuração'!$E$51,INT(('🌱 Configuração'!$B$51+121-'🌱 Configuração'!$D$51)/7)+1=2,MOD('🌱 Configuração'!$B$51+121-'🌱 Configuração'!$D$51,7)=0),"🌸 Bloom + PK 13/14 início",IF(AND('🌱 Configuração'!$B$51+121&gt;='🌱 Configuração'!$D$51,'🌱 Configuração'!$B$51+121&lt;'🌱 Configuração'!$E$51,INT(('🌱 Configuração'!$B$51+121-'🌱 Configuração'!$D$51)/7)+1=3,MOD('🌱 Configuração'!$B$51+121-'🌱 Configuração'!$D$51,7)=0),"🌸 Bloom + PK + CalMag — EC 1.8",IF(AND('🌱 Configuração'!$B$51+121&gt;='🌱 Configuração'!$D$51,'🌱 Configuração'!$B$51+121&lt;'🌱 Configuração'!$E$51,INT(('🌱 Configuração'!$B$51+121-'🌱 Configuração'!$D$51)/7)+1=4,MOD('🌱 Configuração'!$B$51+121-'🌱 Configuração'!$D$51,7)=0),"🌸 Bloom + PK + Boost Floral — EC 2.0",IF(AND('🌱 Configuração'!$B$51+121&gt;='🌱 Configuração'!$D$51,'🌱 Configuração'!$B$51+121&lt;'🌱 Configuração'!$E$51,INT(('🌱 Configuração'!$B$51+121-'🌱 Configuração'!$D$51)/7)+1=5,MOD('🌱 Configuração'!$B$51+121-'🌱 Configuração'!$D$51,7)=0),"🌸 Bloom + Boost + Amino",IF(AND('🌱 Configuração'!$B$51+121&gt;='🌱 Configuração'!$D$51,'🌱 Configuração'!$B$51+121&lt;'🌱 Configuração'!$E$51,INT(('🌱 Configuração'!$B$51+121-'🌱 Configuração'!$D$51)/7)+1=6,MOD('🌱 Configuração'!$B$51+121-'🌱 Configuração'!$D$51,7)=0),"🌸 Bloom + Enzimas + Amino",IF(AND('🌱 Configuração'!$B$51+121&gt;='🌱 Configuração'!$D$51,'🌱 Configuração'!$B$51+121&lt;'🌱 Configuração'!$E$51,INT(('🌱 Configuração'!$B$51+121-'🌱 Configuração'!$D$51)/7)+1=7,MOD('🌱 Configuração'!$B$51+121-'🌱 Configuração'!$D$51,7)=0),"🌸 Reduzir N — Bloom puro — EC 1.6",IF(AND('🌱 Configuração'!$B$51+121&gt;='🌱 Configuração'!$D$51,'🌱 Configuração'!$B$51+121&lt;'🌱 Configuração'!$E$51,INT(('🌱 Configuração'!$B$51+121-'🌱 Configuração'!$D$51)/7)+1=8,MOD('🌱 Configuração'!$B$51+121-'🌱 Configuração'!$D$51,7)=0),"🌸 Bloom puro — EC 1.4  (pré-flush)",IF(AND('🌱 Configuração'!$B$51+121&gt;='🌱 Configuração'!$D$51,'🌱 Configuração'!$B$51+121&lt;'🌱 Configuração'!$E$51,INT(('🌱 Configuração'!$B$51+121-'🌱 Configuração'!$D$51)/7)+1=9,MOD('🌱 Configuração'!$B$51+121-'🌱 Configuração'!$D$51,7)=0),"🌸 Último Bloom — EC 0.8",IF(AND('🌱 Configuração'!$B$51+121&gt;='🌱 Configuração'!$E$51,INT(('🌱 Configuração'!$B$51+121-'🌱 Configuração'!$E$51)/7)+1=1,MOD('🌱 Configuração'!$B$51+121-'🌱 Configuração'!$E$51,7)=0),"🚿 Água pura + Enzimas (EC &lt; 0.3)",IF(AND('🌱 Configuração'!$B$51+121&gt;='🌱 Configuração'!$E$51,INT(('🌱 Configuração'!$B$51+121-'🌱 Configuração'!$E$51)/7)+1=2,MOD('🌱 Configuração'!$B$51+121-'🌱 Configuração'!$E$51,7)=0),"🚿 Água pura (EC &lt; 0.2)",""))))))))))))))))))))))</f>
        <v/>
      </c>
      <c r="G127" s="30" t="str">
        <f>IF(122&gt;'🌱 Configuração'!$F$50,"",IF(AND('🌱 Configuração'!$B$51+121&lt;'🌱 Configuração'!$C$51,INT((122-1)/7)+1=1,MOD(122-1,7)=0),"🐛 Nim 2mL/L foliar — preventivo",IF(AND('🌱 Configuração'!$B$51+121&lt;'🌱 Configuração'!$C$51,INT((122-1)/7)+1=2,MOD(122-1,7)=0),"🐛 Beauveria bassiana foliar + solo",IF(AND('🌱 Configuração'!$B$51+121&gt;='🌱 Configuração'!$C$51,'🌱 Configuração'!$B$51+121&lt;'🌱 Configuração'!$D$51,INT(('🌱 Configuração'!$B$51+121-'🌱 Configuração'!$C$51)/7)+1=1,MOD('🌱 Configuração'!$B$51+121-'🌱 Configuração'!$C$51,7)=0),"🐛 Nim 2mL/L foliar",IF(AND('🌱 Configuração'!$B$51+121&gt;='🌱 Configuração'!$C$51,'🌱 Configuração'!$B$51+121&lt;'🌱 Configuração'!$D$51,INT(('🌱 Configuração'!$B$51+121-'🌱 Configuração'!$C$51)/7)+1=2,MOD('🌱 Configuração'!$B$51+121-'🌱 Configuração'!$C$51,7)=0),"🐛 Beauveria bassiana foliar",IF(AND('🌱 Configuração'!$B$51+121&gt;='🌱 Configuração'!$C$51,'🌱 Configuração'!$B$51+121&lt;'🌱 Configuração'!$D$51,INT(('🌱 Configuração'!$B$51+121-'🌱 Configuração'!$C$51)/7)+1=3,MOD('🌱 Configuração'!$B$51+121-'🌱 Configuração'!$C$51,7)=0),"🐛 Nim + Calda Sulfocálcica 1%",IF(AND('🌱 Configuração'!$B$51+121&gt;='🌱 Configuração'!$C$51,'🌱 Configuração'!$B$51+121&lt;'🌱 Configuração'!$D$51,INT(('🌱 Configuração'!$B$51+121-'🌱 Configuração'!$C$51)/7)+1=4,MOD('🌱 Configuração'!$B$51+121-'🌱 Configuração'!$C$51,7)=0),"🐛 Trichoderma solo + Beauveria",IF(AND('🌱 Configuração'!$B$51+121&gt;='🌱 Configuração'!$C$51,'🌱 Configuração'!$B$51+121&lt;'🌱 Configuração'!$D$51,INT(('🌱 Configuração'!$B$51+121-'🌱 Configuração'!$C$51)/7)+1=5,MOD('🌱 Configuração'!$B$51+121-'🌱 Configuração'!$C$51,7)=0),"🐛 Calda Bordalesa 0.5% foliar",IF(AND('🌱 Configuração'!$B$51+121&gt;='🌱 Configuração'!$C$51,'🌱 Configuração'!$B$51+121&lt;'🌱 Configuração'!$D$51,INT(('🌱 Configuração'!$B$51+121-'🌱 Configuração'!$C$51)/7)+1=6,MOD('🌱 Configuração'!$B$51+121-'🌱 Configuração'!$C$51,7)=0),"🐛 Nim 2mL/L — ÚLTIMA foliar",IF(AND('🌱 Configuração'!$B$51+121&gt;='🌱 Configuração'!$D$51,'🌱 Configuração'!$B$51+121&lt;'🌱 Configuração'!$E$51,INT(('🌱 Configuração'!$B$51+121-'🌱 Configuração'!$D$51)/7)+1=1,MOD('🌱 Configuração'!$B$51+121-'🌱 Configuração'!$D$51,7)=0),"🐛 Beauveria bassiana solo (sem foliar)",IF(AND('🌱 Configuração'!$B$51+121&gt;='🌱 Configuração'!$D$51,'🌱 Configuração'!$B$51+121&lt;'🌱 Configuração'!$E$51,INT(('🌱 Configuração'!$B$51+121-'🌱 Configuração'!$D$51)/7)+1=2,MOD('🌱 Configuração'!$B$51+121-'🌱 Configuração'!$D$51,7)=0),"🐛 Trichoderma solo",IF(AND('🌱 Configuração'!$B$51+121&gt;='🌱 Configuração'!$D$51,'🌱 Configuração'!$B$51+121&lt;'🌱 Configuração'!$E$51,INT(('🌱 Configuração'!$B$51+121-'🌱 Configuração'!$D$51)/7)+1=3,MOD('🌱 Configuração'!$B$51+121-'🌱 Configuração'!$D$51,7)=0),"🐛 Beauveria bassiana solo",IF(AND('🌱 Configuração'!$B$51+121&gt;='🌱 Configuração'!$D$51,'🌱 Configuração'!$B$51+121&lt;'🌱 Configuração'!$E$51,INT(('🌱 Configuração'!$B$51+121-'🌱 Configuração'!$D$51)/7)+1=4,MOD('🌱 Configuração'!$B$51+121-'🌱 Configuração'!$D$51,7)=0),"🐛 Trichoderma solo",IF(AND('🌱 Configuração'!$B$51+121&gt;='🌱 Configuração'!$E$51,INT(('🌱 Configuração'!$B$51+121-'🌱 Configuração'!$E$51)/7)+1=1,MOD('🌱 Configuração'!$B$51+121-'🌱 Configuração'!$E$51,7)=0),"🐛 Inspeção final — sem aplicação",""))))))))))))))</f>
        <v/>
      </c>
      <c r="H127" s="22" t="str">
        <f>IF(122&gt;'🌱 Configuração'!$F$50,"",IF('🌱 Configuração'!$B$51+121='🌱 Configuração'!$C$51,"🌿 INÍCIO VEGA — ajustar espaço, luz 18h/dia — EC 0.8",IF('🌱 Configuração'!$B$51+121='🌱 Configuração'!$D$51,"🌸 INÍCIO FLORAÇÃO — mudar para 12h/12h — 🔴 atenção ao fotoperíodo",IF('🌱 Configuração'!$B$51+121='🌱 Configuração'!$E$51,"🚿 INÍCIO FLUSH — PARAR nutrição, somente água pura",IF('🌱 Configuração'!$B$51+121='🌱 Configuração'!$F$51-1,"🔬 Véspera da colheita — analisar tricomas âmbar",IF('🌱 Configuração'!$B$51+121='🌱 Configuração'!$F$51,"✂️ COLHEITA! Parabéns! 🎉",""))))))</f>
        <v/>
      </c>
    </row>
    <row r="128" spans="2:8" ht="18.75" customHeight="1" x14ac:dyDescent="0.3">
      <c r="B128" s="25">
        <f>IF(123&lt;='🌱 Configuração'!$F$50,123,"")</f>
        <v>123</v>
      </c>
      <c r="C128" s="26">
        <f>IF(123&lt;='🌱 Configuração'!$F$50,'🌱 Configuração'!$B$51+122,"")</f>
        <v>46145</v>
      </c>
      <c r="D128" s="27" t="str">
        <f>IF(123&gt;'🌱 Configuração'!$F$50,"",IF('🌱 Configuração'!$B$51+122&lt;'🌱 Configuração'!$C$51,"🌱 Clone",IF('🌱 Configuração'!$B$51+122&lt;'🌱 Configuração'!$D$51,"🌿 Vegetativo",IF('🌱 Configuração'!$B$51+122&lt;'🌱 Configuração'!$E$51,"🌸 Floração","🚿 Flush"))))</f>
        <v>🚿 Flush</v>
      </c>
      <c r="E128" s="28" t="str">
        <f>IF(123&gt;'🌱 Configuração'!$F$50,"",IF('🌱 Configuração'!$B$51+122&lt;'🌱 Configuração'!$C$51,"Clone S"&amp;INT((123-1)/7)+1,IF('🌱 Configuração'!$B$51+122&lt;'🌱 Configuração'!$D$51,"Vega S"&amp;INT(('🌱 Configuração'!$B$51+122-'🌱 Configuração'!$C$51)/7)+1,IF('🌱 Configuração'!$B$51+122&lt;'🌱 Configuração'!$E$51,"Flora S"&amp;INT(('🌱 Configuração'!$B$51+122-'🌱 Configuração'!$D$51)/7)+1,"Flush S"&amp;INT(('🌱 Configuração'!$B$51+122-'🌱 Configuração'!$E$51)/7)+1))))</f>
        <v>Flush S1</v>
      </c>
      <c r="F128" s="29" t="str">
        <f>IF(123&gt;'🌱 Configuração'!$F$50,"",IF(AND('🌱 Configuração'!$B$51+122&lt;'🌱 Configuração'!$C$51,INT((123-1)/7)+1=1,MOD(123-1,7)=0),"🌱 Enraizador (0.5 mL/L)",IF(AND('🌱 Configuração'!$B$51+122&lt;'🌱 Configuração'!$C$51,INT((123-1)/7)+1=2,MOD(123-1,7)=0),"🌱 Enraizador + Vitamina B1",IF(AND('🌱 Configuração'!$B$51+122&gt;='🌱 Configuração'!$C$51,'🌱 Configuração'!$B$51+122&lt;'🌱 Configuração'!$D$51,INT(('🌱 Configuração'!$B$51+122-'🌱 Configuração'!$C$51)/7)+1=1,MOD('🌱 Configuração'!$B$51+122-'🌱 Configuração'!$C$51,7)=0),"🌿 Grow A+B início — EC 0.8",IF(AND('🌱 Configuração'!$B$51+122&gt;='🌱 Configuração'!$C$51,'🌱 Configuração'!$B$51+122&lt;'🌱 Configuração'!$D$51,INT(('🌱 Configuração'!$B$51+122-'🌱 Configuração'!$C$51)/7)+1=2,MOD('🌱 Configuração'!$B$51+122-'🌱 Configuração'!$C$51,7)=0),"🌿 Grow A+B + CalMag — EC 1.0",IF(AND('🌱 Configuração'!$B$51+122&gt;='🌱 Configuração'!$C$51,'🌱 Configuração'!$B$51+122&lt;'🌱 Configuração'!$D$51,INT(('🌱 Configuração'!$B$51+122-'🌱 Configuração'!$C$51)/7)+1=3,MOD('🌱 Configuração'!$B$51+122-'🌱 Configuração'!$C$51,7)=0),"🌿 Grow A+B + CalMag — EC 1.2",IF(AND('🌱 Configuração'!$B$51+122&gt;='🌱 Configuração'!$C$51,'🌱 Configuração'!$B$51+122&lt;'🌱 Configuração'!$D$51,INT(('🌱 Configuração'!$B$51+122-'🌱 Configuração'!$C$51)/7)+1=4,MOD('🌱 Configuração'!$B$51+122-'🌱 Configuração'!$C$51,7)=0),"🌿 Grow A+B + Enzimas — EC 1.4",IF(AND('🌱 Configuração'!$B$51+122&gt;='🌱 Configuração'!$C$51,'🌱 Configuração'!$B$51+122&lt;'🌱 Configuração'!$D$51,INT(('🌱 Configuração'!$B$51+122-'🌱 Configuração'!$C$51)/7)+1=5,MOD('🌱 Configuração'!$B$51+122-'🌱 Configuração'!$C$51,7)=0),"🌿 Grow A+B + Biorrizas — EC 1.5",IF(AND('🌱 Configuração'!$B$51+122&gt;='🌱 Configuração'!$C$51,'🌱 Configuração'!$B$51+122&lt;'🌱 Configuração'!$D$51,INT(('🌱 Configuração'!$B$51+122-'🌱 Configuração'!$C$51)/7)+1=6,MOD('🌱 Configuração'!$B$51+122-'🌱 Configuração'!$C$51,7)=0),"🌿 Transição Bloom — EC 1.4",IF(AND('🌱 Configuração'!$B$51+122&gt;='🌱 Configuração'!$C$51,'🌱 Configuração'!$B$51+122&lt;'🌱 Configuração'!$D$51,INT(('🌱 Configuração'!$B$51+122-'🌱 Configuração'!$C$51)/7)+1=7,MOD('🌱 Configuração'!$B$51+122-'🌱 Configuração'!$C$51,7)=0),"🌿 Bloom A+B transição — EC 1.4",IF(AND('🌱 Configuração'!$B$51+122&gt;='🌱 Configuração'!$C$51,'🌱 Configuração'!$B$51+122&lt;'🌱 Configuração'!$D$51,INT(('🌱 Configuração'!$B$51+122-'🌱 Configuração'!$C$51)/7)+1=8,MOD('🌱 Configuração'!$B$51+122-'🌱 Configuração'!$C$51,7)=0),"🌿 Bloom A+B — EC 1.4",IF(AND('🌱 Configuração'!$B$51+122&gt;='🌱 Configuração'!$D$51,'🌱 Configuração'!$B$51+122&lt;'🌱 Configuração'!$E$51,INT(('🌱 Configuração'!$B$51+122-'🌱 Configuração'!$D$51)/7)+1=1,MOD('🌱 Configuração'!$B$51+122-'🌱 Configuração'!$D$51,7)=0),"🌸 Bloom A+B — EC 1.6",IF(AND('🌱 Configuração'!$B$51+122&gt;='🌱 Configuração'!$D$51,'🌱 Configuração'!$B$51+122&lt;'🌱 Configuração'!$E$51,INT(('🌱 Configuração'!$B$51+122-'🌱 Configuração'!$D$51)/7)+1=2,MOD('🌱 Configuração'!$B$51+122-'🌱 Configuração'!$D$51,7)=0),"🌸 Bloom + PK 13/14 início",IF(AND('🌱 Configuração'!$B$51+122&gt;='🌱 Configuração'!$D$51,'🌱 Configuração'!$B$51+122&lt;'🌱 Configuração'!$E$51,INT(('🌱 Configuração'!$B$51+122-'🌱 Configuração'!$D$51)/7)+1=3,MOD('🌱 Configuração'!$B$51+122-'🌱 Configuração'!$D$51,7)=0),"🌸 Bloom + PK + CalMag — EC 1.8",IF(AND('🌱 Configuração'!$B$51+122&gt;='🌱 Configuração'!$D$51,'🌱 Configuração'!$B$51+122&lt;'🌱 Configuração'!$E$51,INT(('🌱 Configuração'!$B$51+122-'🌱 Configuração'!$D$51)/7)+1=4,MOD('🌱 Configuração'!$B$51+122-'🌱 Configuração'!$D$51,7)=0),"🌸 Bloom + PK + Boost Floral — EC 2.0",IF(AND('🌱 Configuração'!$B$51+122&gt;='🌱 Configuração'!$D$51,'🌱 Configuração'!$B$51+122&lt;'🌱 Configuração'!$E$51,INT(('🌱 Configuração'!$B$51+122-'🌱 Configuração'!$D$51)/7)+1=5,MOD('🌱 Configuração'!$B$51+122-'🌱 Configuração'!$D$51,7)=0),"🌸 Bloom + Boost + Amino",IF(AND('🌱 Configuração'!$B$51+122&gt;='🌱 Configuração'!$D$51,'🌱 Configuração'!$B$51+122&lt;'🌱 Configuração'!$E$51,INT(('🌱 Configuração'!$B$51+122-'🌱 Configuração'!$D$51)/7)+1=6,MOD('🌱 Configuração'!$B$51+122-'🌱 Configuração'!$D$51,7)=0),"🌸 Bloom + Enzimas + Amino",IF(AND('🌱 Configuração'!$B$51+122&gt;='🌱 Configuração'!$D$51,'🌱 Configuração'!$B$51+122&lt;'🌱 Configuração'!$E$51,INT(('🌱 Configuração'!$B$51+122-'🌱 Configuração'!$D$51)/7)+1=7,MOD('🌱 Configuração'!$B$51+122-'🌱 Configuração'!$D$51,7)=0),"🌸 Reduzir N — Bloom puro — EC 1.6",IF(AND('🌱 Configuração'!$B$51+122&gt;='🌱 Configuração'!$D$51,'🌱 Configuração'!$B$51+122&lt;'🌱 Configuração'!$E$51,INT(('🌱 Configuração'!$B$51+122-'🌱 Configuração'!$D$51)/7)+1=8,MOD('🌱 Configuração'!$B$51+122-'🌱 Configuração'!$D$51,7)=0),"🌸 Bloom puro — EC 1.4  (pré-flush)",IF(AND('🌱 Configuração'!$B$51+122&gt;='🌱 Configuração'!$D$51,'🌱 Configuração'!$B$51+122&lt;'🌱 Configuração'!$E$51,INT(('🌱 Configuração'!$B$51+122-'🌱 Configuração'!$D$51)/7)+1=9,MOD('🌱 Configuração'!$B$51+122-'🌱 Configuração'!$D$51,7)=0),"🌸 Último Bloom — EC 0.8",IF(AND('🌱 Configuração'!$B$51+122&gt;='🌱 Configuração'!$E$51,INT(('🌱 Configuração'!$B$51+122-'🌱 Configuração'!$E$51)/7)+1=1,MOD('🌱 Configuração'!$B$51+122-'🌱 Configuração'!$E$51,7)=0),"🚿 Água pura + Enzimas (EC &lt; 0.3)",IF(AND('🌱 Configuração'!$B$51+122&gt;='🌱 Configuração'!$E$51,INT(('🌱 Configuração'!$B$51+122-'🌱 Configuração'!$E$51)/7)+1=2,MOD('🌱 Configuração'!$B$51+122-'🌱 Configuração'!$E$51,7)=0),"🚿 Água pura (EC &lt; 0.2)",""))))))))))))))))))))))</f>
        <v/>
      </c>
      <c r="G128" s="30" t="str">
        <f>IF(123&gt;'🌱 Configuração'!$F$50,"",IF(AND('🌱 Configuração'!$B$51+122&lt;'🌱 Configuração'!$C$51,INT((123-1)/7)+1=1,MOD(123-1,7)=0),"🐛 Nim 2mL/L foliar — preventivo",IF(AND('🌱 Configuração'!$B$51+122&lt;'🌱 Configuração'!$C$51,INT((123-1)/7)+1=2,MOD(123-1,7)=0),"🐛 Beauveria bassiana foliar + solo",IF(AND('🌱 Configuração'!$B$51+122&gt;='🌱 Configuração'!$C$51,'🌱 Configuração'!$B$51+122&lt;'🌱 Configuração'!$D$51,INT(('🌱 Configuração'!$B$51+122-'🌱 Configuração'!$C$51)/7)+1=1,MOD('🌱 Configuração'!$B$51+122-'🌱 Configuração'!$C$51,7)=0),"🐛 Nim 2mL/L foliar",IF(AND('🌱 Configuração'!$B$51+122&gt;='🌱 Configuração'!$C$51,'🌱 Configuração'!$B$51+122&lt;'🌱 Configuração'!$D$51,INT(('🌱 Configuração'!$B$51+122-'🌱 Configuração'!$C$51)/7)+1=2,MOD('🌱 Configuração'!$B$51+122-'🌱 Configuração'!$C$51,7)=0),"🐛 Beauveria bassiana foliar",IF(AND('🌱 Configuração'!$B$51+122&gt;='🌱 Configuração'!$C$51,'🌱 Configuração'!$B$51+122&lt;'🌱 Configuração'!$D$51,INT(('🌱 Configuração'!$B$51+122-'🌱 Configuração'!$C$51)/7)+1=3,MOD('🌱 Configuração'!$B$51+122-'🌱 Configuração'!$C$51,7)=0),"🐛 Nim + Calda Sulfocálcica 1%",IF(AND('🌱 Configuração'!$B$51+122&gt;='🌱 Configuração'!$C$51,'🌱 Configuração'!$B$51+122&lt;'🌱 Configuração'!$D$51,INT(('🌱 Configuração'!$B$51+122-'🌱 Configuração'!$C$51)/7)+1=4,MOD('🌱 Configuração'!$B$51+122-'🌱 Configuração'!$C$51,7)=0),"🐛 Trichoderma solo + Beauveria",IF(AND('🌱 Configuração'!$B$51+122&gt;='🌱 Configuração'!$C$51,'🌱 Configuração'!$B$51+122&lt;'🌱 Configuração'!$D$51,INT(('🌱 Configuração'!$B$51+122-'🌱 Configuração'!$C$51)/7)+1=5,MOD('🌱 Configuração'!$B$51+122-'🌱 Configuração'!$C$51,7)=0),"🐛 Calda Bordalesa 0.5% foliar",IF(AND('🌱 Configuração'!$B$51+122&gt;='🌱 Configuração'!$C$51,'🌱 Configuração'!$B$51+122&lt;'🌱 Configuração'!$D$51,INT(('🌱 Configuração'!$B$51+122-'🌱 Configuração'!$C$51)/7)+1=6,MOD('🌱 Configuração'!$B$51+122-'🌱 Configuração'!$C$51,7)=0),"🐛 Nim 2mL/L — ÚLTIMA foliar",IF(AND('🌱 Configuração'!$B$51+122&gt;='🌱 Configuração'!$D$51,'🌱 Configuração'!$B$51+122&lt;'🌱 Configuração'!$E$51,INT(('🌱 Configuração'!$B$51+122-'🌱 Configuração'!$D$51)/7)+1=1,MOD('🌱 Configuração'!$B$51+122-'🌱 Configuração'!$D$51,7)=0),"🐛 Beauveria bassiana solo (sem foliar)",IF(AND('🌱 Configuração'!$B$51+122&gt;='🌱 Configuração'!$D$51,'🌱 Configuração'!$B$51+122&lt;'🌱 Configuração'!$E$51,INT(('🌱 Configuração'!$B$51+122-'🌱 Configuração'!$D$51)/7)+1=2,MOD('🌱 Configuração'!$B$51+122-'🌱 Configuração'!$D$51,7)=0),"🐛 Trichoderma solo",IF(AND('🌱 Configuração'!$B$51+122&gt;='🌱 Configuração'!$D$51,'🌱 Configuração'!$B$51+122&lt;'🌱 Configuração'!$E$51,INT(('🌱 Configuração'!$B$51+122-'🌱 Configuração'!$D$51)/7)+1=3,MOD('🌱 Configuração'!$B$51+122-'🌱 Configuração'!$D$51,7)=0),"🐛 Beauveria bassiana solo",IF(AND('🌱 Configuração'!$B$51+122&gt;='🌱 Configuração'!$D$51,'🌱 Configuração'!$B$51+122&lt;'🌱 Configuração'!$E$51,INT(('🌱 Configuração'!$B$51+122-'🌱 Configuração'!$D$51)/7)+1=4,MOD('🌱 Configuração'!$B$51+122-'🌱 Configuração'!$D$51,7)=0),"🐛 Trichoderma solo",IF(AND('🌱 Configuração'!$B$51+122&gt;='🌱 Configuração'!$E$51,INT(('🌱 Configuração'!$B$51+122-'🌱 Configuração'!$E$51)/7)+1=1,MOD('🌱 Configuração'!$B$51+122-'🌱 Configuração'!$E$51,7)=0),"🐛 Inspeção final — sem aplicação",""))))))))))))))</f>
        <v/>
      </c>
      <c r="H128" s="22" t="str">
        <f>IF(123&gt;'🌱 Configuração'!$F$50,"",IF('🌱 Configuração'!$B$51+122='🌱 Configuração'!$C$51,"🌿 INÍCIO VEGA — ajustar espaço, luz 18h/dia — EC 0.8",IF('🌱 Configuração'!$B$51+122='🌱 Configuração'!$D$51,"🌸 INÍCIO FLORAÇÃO — mudar para 12h/12h — 🔴 atenção ao fotoperíodo",IF('🌱 Configuração'!$B$51+122='🌱 Configuração'!$E$51,"🚿 INÍCIO FLUSH — PARAR nutrição, somente água pura",IF('🌱 Configuração'!$B$51+122='🌱 Configuração'!$F$51-1,"🔬 Véspera da colheita — analisar tricomas âmbar",IF('🌱 Configuração'!$B$51+122='🌱 Configuração'!$F$51,"✂️ COLHEITA! Parabéns! 🎉",""))))))</f>
        <v/>
      </c>
    </row>
    <row r="129" spans="2:8" ht="18.75" customHeight="1" x14ac:dyDescent="0.3">
      <c r="B129" s="25">
        <f>IF(124&lt;='🌱 Configuração'!$F$50,124,"")</f>
        <v>124</v>
      </c>
      <c r="C129" s="26">
        <f>IF(124&lt;='🌱 Configuração'!$F$50,'🌱 Configuração'!$B$51+123,"")</f>
        <v>46146</v>
      </c>
      <c r="D129" s="27" t="str">
        <f>IF(124&gt;'🌱 Configuração'!$F$50,"",IF('🌱 Configuração'!$B$51+123&lt;'🌱 Configuração'!$C$51,"🌱 Clone",IF('🌱 Configuração'!$B$51+123&lt;'🌱 Configuração'!$D$51,"🌿 Vegetativo",IF('🌱 Configuração'!$B$51+123&lt;'🌱 Configuração'!$E$51,"🌸 Floração","🚿 Flush"))))</f>
        <v>🚿 Flush</v>
      </c>
      <c r="E129" s="28" t="str">
        <f>IF(124&gt;'🌱 Configuração'!$F$50,"",IF('🌱 Configuração'!$B$51+123&lt;'🌱 Configuração'!$C$51,"Clone S"&amp;INT((124-1)/7)+1,IF('🌱 Configuração'!$B$51+123&lt;'🌱 Configuração'!$D$51,"Vega S"&amp;INT(('🌱 Configuração'!$B$51+123-'🌱 Configuração'!$C$51)/7)+1,IF('🌱 Configuração'!$B$51+123&lt;'🌱 Configuração'!$E$51,"Flora S"&amp;INT(('🌱 Configuração'!$B$51+123-'🌱 Configuração'!$D$51)/7)+1,"Flush S"&amp;INT(('🌱 Configuração'!$B$51+123-'🌱 Configuração'!$E$51)/7)+1))))</f>
        <v>Flush S1</v>
      </c>
      <c r="F129" s="29" t="str">
        <f>IF(124&gt;'🌱 Configuração'!$F$50,"",IF(AND('🌱 Configuração'!$B$51+123&lt;'🌱 Configuração'!$C$51,INT((124-1)/7)+1=1,MOD(124-1,7)=0),"🌱 Enraizador (0.5 mL/L)",IF(AND('🌱 Configuração'!$B$51+123&lt;'🌱 Configuração'!$C$51,INT((124-1)/7)+1=2,MOD(124-1,7)=0),"🌱 Enraizador + Vitamina B1",IF(AND('🌱 Configuração'!$B$51+123&gt;='🌱 Configuração'!$C$51,'🌱 Configuração'!$B$51+123&lt;'🌱 Configuração'!$D$51,INT(('🌱 Configuração'!$B$51+123-'🌱 Configuração'!$C$51)/7)+1=1,MOD('🌱 Configuração'!$B$51+123-'🌱 Configuração'!$C$51,7)=0),"🌿 Grow A+B início — EC 0.8",IF(AND('🌱 Configuração'!$B$51+123&gt;='🌱 Configuração'!$C$51,'🌱 Configuração'!$B$51+123&lt;'🌱 Configuração'!$D$51,INT(('🌱 Configuração'!$B$51+123-'🌱 Configuração'!$C$51)/7)+1=2,MOD('🌱 Configuração'!$B$51+123-'🌱 Configuração'!$C$51,7)=0),"🌿 Grow A+B + CalMag — EC 1.0",IF(AND('🌱 Configuração'!$B$51+123&gt;='🌱 Configuração'!$C$51,'🌱 Configuração'!$B$51+123&lt;'🌱 Configuração'!$D$51,INT(('🌱 Configuração'!$B$51+123-'🌱 Configuração'!$C$51)/7)+1=3,MOD('🌱 Configuração'!$B$51+123-'🌱 Configuração'!$C$51,7)=0),"🌿 Grow A+B + CalMag — EC 1.2",IF(AND('🌱 Configuração'!$B$51+123&gt;='🌱 Configuração'!$C$51,'🌱 Configuração'!$B$51+123&lt;'🌱 Configuração'!$D$51,INT(('🌱 Configuração'!$B$51+123-'🌱 Configuração'!$C$51)/7)+1=4,MOD('🌱 Configuração'!$B$51+123-'🌱 Configuração'!$C$51,7)=0),"🌿 Grow A+B + Enzimas — EC 1.4",IF(AND('🌱 Configuração'!$B$51+123&gt;='🌱 Configuração'!$C$51,'🌱 Configuração'!$B$51+123&lt;'🌱 Configuração'!$D$51,INT(('🌱 Configuração'!$B$51+123-'🌱 Configuração'!$C$51)/7)+1=5,MOD('🌱 Configuração'!$B$51+123-'🌱 Configuração'!$C$51,7)=0),"🌿 Grow A+B + Biorrizas — EC 1.5",IF(AND('🌱 Configuração'!$B$51+123&gt;='🌱 Configuração'!$C$51,'🌱 Configuração'!$B$51+123&lt;'🌱 Configuração'!$D$51,INT(('🌱 Configuração'!$B$51+123-'🌱 Configuração'!$C$51)/7)+1=6,MOD('🌱 Configuração'!$B$51+123-'🌱 Configuração'!$C$51,7)=0),"🌿 Transição Bloom — EC 1.4",IF(AND('🌱 Configuração'!$B$51+123&gt;='🌱 Configuração'!$C$51,'🌱 Configuração'!$B$51+123&lt;'🌱 Configuração'!$D$51,INT(('🌱 Configuração'!$B$51+123-'🌱 Configuração'!$C$51)/7)+1=7,MOD('🌱 Configuração'!$B$51+123-'🌱 Configuração'!$C$51,7)=0),"🌿 Bloom A+B transição — EC 1.4",IF(AND('🌱 Configuração'!$B$51+123&gt;='🌱 Configuração'!$C$51,'🌱 Configuração'!$B$51+123&lt;'🌱 Configuração'!$D$51,INT(('🌱 Configuração'!$B$51+123-'🌱 Configuração'!$C$51)/7)+1=8,MOD('🌱 Configuração'!$B$51+123-'🌱 Configuração'!$C$51,7)=0),"🌿 Bloom A+B — EC 1.4",IF(AND('🌱 Configuração'!$B$51+123&gt;='🌱 Configuração'!$D$51,'🌱 Configuração'!$B$51+123&lt;'🌱 Configuração'!$E$51,INT(('🌱 Configuração'!$B$51+123-'🌱 Configuração'!$D$51)/7)+1=1,MOD('🌱 Configuração'!$B$51+123-'🌱 Configuração'!$D$51,7)=0),"🌸 Bloom A+B — EC 1.6",IF(AND('🌱 Configuração'!$B$51+123&gt;='🌱 Configuração'!$D$51,'🌱 Configuração'!$B$51+123&lt;'🌱 Configuração'!$E$51,INT(('🌱 Configuração'!$B$51+123-'🌱 Configuração'!$D$51)/7)+1=2,MOD('🌱 Configuração'!$B$51+123-'🌱 Configuração'!$D$51,7)=0),"🌸 Bloom + PK 13/14 início",IF(AND('🌱 Configuração'!$B$51+123&gt;='🌱 Configuração'!$D$51,'🌱 Configuração'!$B$51+123&lt;'🌱 Configuração'!$E$51,INT(('🌱 Configuração'!$B$51+123-'🌱 Configuração'!$D$51)/7)+1=3,MOD('🌱 Configuração'!$B$51+123-'🌱 Configuração'!$D$51,7)=0),"🌸 Bloom + PK + CalMag — EC 1.8",IF(AND('🌱 Configuração'!$B$51+123&gt;='🌱 Configuração'!$D$51,'🌱 Configuração'!$B$51+123&lt;'🌱 Configuração'!$E$51,INT(('🌱 Configuração'!$B$51+123-'🌱 Configuração'!$D$51)/7)+1=4,MOD('🌱 Configuração'!$B$51+123-'🌱 Configuração'!$D$51,7)=0),"🌸 Bloom + PK + Boost Floral — EC 2.0",IF(AND('🌱 Configuração'!$B$51+123&gt;='🌱 Configuração'!$D$51,'🌱 Configuração'!$B$51+123&lt;'🌱 Configuração'!$E$51,INT(('🌱 Configuração'!$B$51+123-'🌱 Configuração'!$D$51)/7)+1=5,MOD('🌱 Configuração'!$B$51+123-'🌱 Configuração'!$D$51,7)=0),"🌸 Bloom + Boost + Amino",IF(AND('🌱 Configuração'!$B$51+123&gt;='🌱 Configuração'!$D$51,'🌱 Configuração'!$B$51+123&lt;'🌱 Configuração'!$E$51,INT(('🌱 Configuração'!$B$51+123-'🌱 Configuração'!$D$51)/7)+1=6,MOD('🌱 Configuração'!$B$51+123-'🌱 Configuração'!$D$51,7)=0),"🌸 Bloom + Enzimas + Amino",IF(AND('🌱 Configuração'!$B$51+123&gt;='🌱 Configuração'!$D$51,'🌱 Configuração'!$B$51+123&lt;'🌱 Configuração'!$E$51,INT(('🌱 Configuração'!$B$51+123-'🌱 Configuração'!$D$51)/7)+1=7,MOD('🌱 Configuração'!$B$51+123-'🌱 Configuração'!$D$51,7)=0),"🌸 Reduzir N — Bloom puro — EC 1.6",IF(AND('🌱 Configuração'!$B$51+123&gt;='🌱 Configuração'!$D$51,'🌱 Configuração'!$B$51+123&lt;'🌱 Configuração'!$E$51,INT(('🌱 Configuração'!$B$51+123-'🌱 Configuração'!$D$51)/7)+1=8,MOD('🌱 Configuração'!$B$51+123-'🌱 Configuração'!$D$51,7)=0),"🌸 Bloom puro — EC 1.4  (pré-flush)",IF(AND('🌱 Configuração'!$B$51+123&gt;='🌱 Configuração'!$D$51,'🌱 Configuração'!$B$51+123&lt;'🌱 Configuração'!$E$51,INT(('🌱 Configuração'!$B$51+123-'🌱 Configuração'!$D$51)/7)+1=9,MOD('🌱 Configuração'!$B$51+123-'🌱 Configuração'!$D$51,7)=0),"🌸 Último Bloom — EC 0.8",IF(AND('🌱 Configuração'!$B$51+123&gt;='🌱 Configuração'!$E$51,INT(('🌱 Configuração'!$B$51+123-'🌱 Configuração'!$E$51)/7)+1=1,MOD('🌱 Configuração'!$B$51+123-'🌱 Configuração'!$E$51,7)=0),"🚿 Água pura + Enzimas (EC &lt; 0.3)",IF(AND('🌱 Configuração'!$B$51+123&gt;='🌱 Configuração'!$E$51,INT(('🌱 Configuração'!$B$51+123-'🌱 Configuração'!$E$51)/7)+1=2,MOD('🌱 Configuração'!$B$51+123-'🌱 Configuração'!$E$51,7)=0),"🚿 Água pura (EC &lt; 0.2)",""))))))))))))))))))))))</f>
        <v/>
      </c>
      <c r="G129" s="30" t="str">
        <f>IF(124&gt;'🌱 Configuração'!$F$50,"",IF(AND('🌱 Configuração'!$B$51+123&lt;'🌱 Configuração'!$C$51,INT((124-1)/7)+1=1,MOD(124-1,7)=0),"🐛 Nim 2mL/L foliar — preventivo",IF(AND('🌱 Configuração'!$B$51+123&lt;'🌱 Configuração'!$C$51,INT((124-1)/7)+1=2,MOD(124-1,7)=0),"🐛 Beauveria bassiana foliar + solo",IF(AND('🌱 Configuração'!$B$51+123&gt;='🌱 Configuração'!$C$51,'🌱 Configuração'!$B$51+123&lt;'🌱 Configuração'!$D$51,INT(('🌱 Configuração'!$B$51+123-'🌱 Configuração'!$C$51)/7)+1=1,MOD('🌱 Configuração'!$B$51+123-'🌱 Configuração'!$C$51,7)=0),"🐛 Nim 2mL/L foliar",IF(AND('🌱 Configuração'!$B$51+123&gt;='🌱 Configuração'!$C$51,'🌱 Configuração'!$B$51+123&lt;'🌱 Configuração'!$D$51,INT(('🌱 Configuração'!$B$51+123-'🌱 Configuração'!$C$51)/7)+1=2,MOD('🌱 Configuração'!$B$51+123-'🌱 Configuração'!$C$51,7)=0),"🐛 Beauveria bassiana foliar",IF(AND('🌱 Configuração'!$B$51+123&gt;='🌱 Configuração'!$C$51,'🌱 Configuração'!$B$51+123&lt;'🌱 Configuração'!$D$51,INT(('🌱 Configuração'!$B$51+123-'🌱 Configuração'!$C$51)/7)+1=3,MOD('🌱 Configuração'!$B$51+123-'🌱 Configuração'!$C$51,7)=0),"🐛 Nim + Calda Sulfocálcica 1%",IF(AND('🌱 Configuração'!$B$51+123&gt;='🌱 Configuração'!$C$51,'🌱 Configuração'!$B$51+123&lt;'🌱 Configuração'!$D$51,INT(('🌱 Configuração'!$B$51+123-'🌱 Configuração'!$C$51)/7)+1=4,MOD('🌱 Configuração'!$B$51+123-'🌱 Configuração'!$C$51,7)=0),"🐛 Trichoderma solo + Beauveria",IF(AND('🌱 Configuração'!$B$51+123&gt;='🌱 Configuração'!$C$51,'🌱 Configuração'!$B$51+123&lt;'🌱 Configuração'!$D$51,INT(('🌱 Configuração'!$B$51+123-'🌱 Configuração'!$C$51)/7)+1=5,MOD('🌱 Configuração'!$B$51+123-'🌱 Configuração'!$C$51,7)=0),"🐛 Calda Bordalesa 0.5% foliar",IF(AND('🌱 Configuração'!$B$51+123&gt;='🌱 Configuração'!$C$51,'🌱 Configuração'!$B$51+123&lt;'🌱 Configuração'!$D$51,INT(('🌱 Configuração'!$B$51+123-'🌱 Configuração'!$C$51)/7)+1=6,MOD('🌱 Configuração'!$B$51+123-'🌱 Configuração'!$C$51,7)=0),"🐛 Nim 2mL/L — ÚLTIMA foliar",IF(AND('🌱 Configuração'!$B$51+123&gt;='🌱 Configuração'!$D$51,'🌱 Configuração'!$B$51+123&lt;'🌱 Configuração'!$E$51,INT(('🌱 Configuração'!$B$51+123-'🌱 Configuração'!$D$51)/7)+1=1,MOD('🌱 Configuração'!$B$51+123-'🌱 Configuração'!$D$51,7)=0),"🐛 Beauveria bassiana solo (sem foliar)",IF(AND('🌱 Configuração'!$B$51+123&gt;='🌱 Configuração'!$D$51,'🌱 Configuração'!$B$51+123&lt;'🌱 Configuração'!$E$51,INT(('🌱 Configuração'!$B$51+123-'🌱 Configuração'!$D$51)/7)+1=2,MOD('🌱 Configuração'!$B$51+123-'🌱 Configuração'!$D$51,7)=0),"🐛 Trichoderma solo",IF(AND('🌱 Configuração'!$B$51+123&gt;='🌱 Configuração'!$D$51,'🌱 Configuração'!$B$51+123&lt;'🌱 Configuração'!$E$51,INT(('🌱 Configuração'!$B$51+123-'🌱 Configuração'!$D$51)/7)+1=3,MOD('🌱 Configuração'!$B$51+123-'🌱 Configuração'!$D$51,7)=0),"🐛 Beauveria bassiana solo",IF(AND('🌱 Configuração'!$B$51+123&gt;='🌱 Configuração'!$D$51,'🌱 Configuração'!$B$51+123&lt;'🌱 Configuração'!$E$51,INT(('🌱 Configuração'!$B$51+123-'🌱 Configuração'!$D$51)/7)+1=4,MOD('🌱 Configuração'!$B$51+123-'🌱 Configuração'!$D$51,7)=0),"🐛 Trichoderma solo",IF(AND('🌱 Configuração'!$B$51+123&gt;='🌱 Configuração'!$E$51,INT(('🌱 Configuração'!$B$51+123-'🌱 Configuração'!$E$51)/7)+1=1,MOD('🌱 Configuração'!$B$51+123-'🌱 Configuração'!$E$51,7)=0),"🐛 Inspeção final — sem aplicação",""))))))))))))))</f>
        <v/>
      </c>
      <c r="H129" s="22" t="str">
        <f>IF(124&gt;'🌱 Configuração'!$F$50,"",IF('🌱 Configuração'!$B$51+123='🌱 Configuração'!$C$51,"🌿 INÍCIO VEGA — ajustar espaço, luz 18h/dia — EC 0.8",IF('🌱 Configuração'!$B$51+123='🌱 Configuração'!$D$51,"🌸 INÍCIO FLORAÇÃO — mudar para 12h/12h — 🔴 atenção ao fotoperíodo",IF('🌱 Configuração'!$B$51+123='🌱 Configuração'!$E$51,"🚿 INÍCIO FLUSH — PARAR nutrição, somente água pura",IF('🌱 Configuração'!$B$51+123='🌱 Configuração'!$F$51-1,"🔬 Véspera da colheita — analisar tricomas âmbar",IF('🌱 Configuração'!$B$51+123='🌱 Configuração'!$F$51,"✂️ COLHEITA! Parabéns! 🎉",""))))))</f>
        <v/>
      </c>
    </row>
    <row r="130" spans="2:8" ht="18.75" customHeight="1" x14ac:dyDescent="0.3">
      <c r="B130" s="25">
        <f>IF(125&lt;='🌱 Configuração'!$F$50,125,"")</f>
        <v>125</v>
      </c>
      <c r="C130" s="26">
        <f>IF(125&lt;='🌱 Configuração'!$F$50,'🌱 Configuração'!$B$51+124,"")</f>
        <v>46147</v>
      </c>
      <c r="D130" s="27" t="str">
        <f>IF(125&gt;'🌱 Configuração'!$F$50,"",IF('🌱 Configuração'!$B$51+124&lt;'🌱 Configuração'!$C$51,"🌱 Clone",IF('🌱 Configuração'!$B$51+124&lt;'🌱 Configuração'!$D$51,"🌿 Vegetativo",IF('🌱 Configuração'!$B$51+124&lt;'🌱 Configuração'!$E$51,"🌸 Floração","🚿 Flush"))))</f>
        <v>🚿 Flush</v>
      </c>
      <c r="E130" s="28" t="str">
        <f>IF(125&gt;'🌱 Configuração'!$F$50,"",IF('🌱 Configuração'!$B$51+124&lt;'🌱 Configuração'!$C$51,"Clone S"&amp;INT((125-1)/7)+1,IF('🌱 Configuração'!$B$51+124&lt;'🌱 Configuração'!$D$51,"Vega S"&amp;INT(('🌱 Configuração'!$B$51+124-'🌱 Configuração'!$C$51)/7)+1,IF('🌱 Configuração'!$B$51+124&lt;'🌱 Configuração'!$E$51,"Flora S"&amp;INT(('🌱 Configuração'!$B$51+124-'🌱 Configuração'!$D$51)/7)+1,"Flush S"&amp;INT(('🌱 Configuração'!$B$51+124-'🌱 Configuração'!$E$51)/7)+1))))</f>
        <v>Flush S1</v>
      </c>
      <c r="F130" s="29" t="str">
        <f>IF(125&gt;'🌱 Configuração'!$F$50,"",IF(AND('🌱 Configuração'!$B$51+124&lt;'🌱 Configuração'!$C$51,INT((125-1)/7)+1=1,MOD(125-1,7)=0),"🌱 Enraizador (0.5 mL/L)",IF(AND('🌱 Configuração'!$B$51+124&lt;'🌱 Configuração'!$C$51,INT((125-1)/7)+1=2,MOD(125-1,7)=0),"🌱 Enraizador + Vitamina B1",IF(AND('🌱 Configuração'!$B$51+124&gt;='🌱 Configuração'!$C$51,'🌱 Configuração'!$B$51+124&lt;'🌱 Configuração'!$D$51,INT(('🌱 Configuração'!$B$51+124-'🌱 Configuração'!$C$51)/7)+1=1,MOD('🌱 Configuração'!$B$51+124-'🌱 Configuração'!$C$51,7)=0),"🌿 Grow A+B início — EC 0.8",IF(AND('🌱 Configuração'!$B$51+124&gt;='🌱 Configuração'!$C$51,'🌱 Configuração'!$B$51+124&lt;'🌱 Configuração'!$D$51,INT(('🌱 Configuração'!$B$51+124-'🌱 Configuração'!$C$51)/7)+1=2,MOD('🌱 Configuração'!$B$51+124-'🌱 Configuração'!$C$51,7)=0),"🌿 Grow A+B + CalMag — EC 1.0",IF(AND('🌱 Configuração'!$B$51+124&gt;='🌱 Configuração'!$C$51,'🌱 Configuração'!$B$51+124&lt;'🌱 Configuração'!$D$51,INT(('🌱 Configuração'!$B$51+124-'🌱 Configuração'!$C$51)/7)+1=3,MOD('🌱 Configuração'!$B$51+124-'🌱 Configuração'!$C$51,7)=0),"🌿 Grow A+B + CalMag — EC 1.2",IF(AND('🌱 Configuração'!$B$51+124&gt;='🌱 Configuração'!$C$51,'🌱 Configuração'!$B$51+124&lt;'🌱 Configuração'!$D$51,INT(('🌱 Configuração'!$B$51+124-'🌱 Configuração'!$C$51)/7)+1=4,MOD('🌱 Configuração'!$B$51+124-'🌱 Configuração'!$C$51,7)=0),"🌿 Grow A+B + Enzimas — EC 1.4",IF(AND('🌱 Configuração'!$B$51+124&gt;='🌱 Configuração'!$C$51,'🌱 Configuração'!$B$51+124&lt;'🌱 Configuração'!$D$51,INT(('🌱 Configuração'!$B$51+124-'🌱 Configuração'!$C$51)/7)+1=5,MOD('🌱 Configuração'!$B$51+124-'🌱 Configuração'!$C$51,7)=0),"🌿 Grow A+B + Biorrizas — EC 1.5",IF(AND('🌱 Configuração'!$B$51+124&gt;='🌱 Configuração'!$C$51,'🌱 Configuração'!$B$51+124&lt;'🌱 Configuração'!$D$51,INT(('🌱 Configuração'!$B$51+124-'🌱 Configuração'!$C$51)/7)+1=6,MOD('🌱 Configuração'!$B$51+124-'🌱 Configuração'!$C$51,7)=0),"🌿 Transição Bloom — EC 1.4",IF(AND('🌱 Configuração'!$B$51+124&gt;='🌱 Configuração'!$C$51,'🌱 Configuração'!$B$51+124&lt;'🌱 Configuração'!$D$51,INT(('🌱 Configuração'!$B$51+124-'🌱 Configuração'!$C$51)/7)+1=7,MOD('🌱 Configuração'!$B$51+124-'🌱 Configuração'!$C$51,7)=0),"🌿 Bloom A+B transição — EC 1.4",IF(AND('🌱 Configuração'!$B$51+124&gt;='🌱 Configuração'!$C$51,'🌱 Configuração'!$B$51+124&lt;'🌱 Configuração'!$D$51,INT(('🌱 Configuração'!$B$51+124-'🌱 Configuração'!$C$51)/7)+1=8,MOD('🌱 Configuração'!$B$51+124-'🌱 Configuração'!$C$51,7)=0),"🌿 Bloom A+B — EC 1.4",IF(AND('🌱 Configuração'!$B$51+124&gt;='🌱 Configuração'!$D$51,'🌱 Configuração'!$B$51+124&lt;'🌱 Configuração'!$E$51,INT(('🌱 Configuração'!$B$51+124-'🌱 Configuração'!$D$51)/7)+1=1,MOD('🌱 Configuração'!$B$51+124-'🌱 Configuração'!$D$51,7)=0),"🌸 Bloom A+B — EC 1.6",IF(AND('🌱 Configuração'!$B$51+124&gt;='🌱 Configuração'!$D$51,'🌱 Configuração'!$B$51+124&lt;'🌱 Configuração'!$E$51,INT(('🌱 Configuração'!$B$51+124-'🌱 Configuração'!$D$51)/7)+1=2,MOD('🌱 Configuração'!$B$51+124-'🌱 Configuração'!$D$51,7)=0),"🌸 Bloom + PK 13/14 início",IF(AND('🌱 Configuração'!$B$51+124&gt;='🌱 Configuração'!$D$51,'🌱 Configuração'!$B$51+124&lt;'🌱 Configuração'!$E$51,INT(('🌱 Configuração'!$B$51+124-'🌱 Configuração'!$D$51)/7)+1=3,MOD('🌱 Configuração'!$B$51+124-'🌱 Configuração'!$D$51,7)=0),"🌸 Bloom + PK + CalMag — EC 1.8",IF(AND('🌱 Configuração'!$B$51+124&gt;='🌱 Configuração'!$D$51,'🌱 Configuração'!$B$51+124&lt;'🌱 Configuração'!$E$51,INT(('🌱 Configuração'!$B$51+124-'🌱 Configuração'!$D$51)/7)+1=4,MOD('🌱 Configuração'!$B$51+124-'🌱 Configuração'!$D$51,7)=0),"🌸 Bloom + PK + Boost Floral — EC 2.0",IF(AND('🌱 Configuração'!$B$51+124&gt;='🌱 Configuração'!$D$51,'🌱 Configuração'!$B$51+124&lt;'🌱 Configuração'!$E$51,INT(('🌱 Configuração'!$B$51+124-'🌱 Configuração'!$D$51)/7)+1=5,MOD('🌱 Configuração'!$B$51+124-'🌱 Configuração'!$D$51,7)=0),"🌸 Bloom + Boost + Amino",IF(AND('🌱 Configuração'!$B$51+124&gt;='🌱 Configuração'!$D$51,'🌱 Configuração'!$B$51+124&lt;'🌱 Configuração'!$E$51,INT(('🌱 Configuração'!$B$51+124-'🌱 Configuração'!$D$51)/7)+1=6,MOD('🌱 Configuração'!$B$51+124-'🌱 Configuração'!$D$51,7)=0),"🌸 Bloom + Enzimas + Amino",IF(AND('🌱 Configuração'!$B$51+124&gt;='🌱 Configuração'!$D$51,'🌱 Configuração'!$B$51+124&lt;'🌱 Configuração'!$E$51,INT(('🌱 Configuração'!$B$51+124-'🌱 Configuração'!$D$51)/7)+1=7,MOD('🌱 Configuração'!$B$51+124-'🌱 Configuração'!$D$51,7)=0),"🌸 Reduzir N — Bloom puro — EC 1.6",IF(AND('🌱 Configuração'!$B$51+124&gt;='🌱 Configuração'!$D$51,'🌱 Configuração'!$B$51+124&lt;'🌱 Configuração'!$E$51,INT(('🌱 Configuração'!$B$51+124-'🌱 Configuração'!$D$51)/7)+1=8,MOD('🌱 Configuração'!$B$51+124-'🌱 Configuração'!$D$51,7)=0),"🌸 Bloom puro — EC 1.4  (pré-flush)",IF(AND('🌱 Configuração'!$B$51+124&gt;='🌱 Configuração'!$D$51,'🌱 Configuração'!$B$51+124&lt;'🌱 Configuração'!$E$51,INT(('🌱 Configuração'!$B$51+124-'🌱 Configuração'!$D$51)/7)+1=9,MOD('🌱 Configuração'!$B$51+124-'🌱 Configuração'!$D$51,7)=0),"🌸 Último Bloom — EC 0.8",IF(AND('🌱 Configuração'!$B$51+124&gt;='🌱 Configuração'!$E$51,INT(('🌱 Configuração'!$B$51+124-'🌱 Configuração'!$E$51)/7)+1=1,MOD('🌱 Configuração'!$B$51+124-'🌱 Configuração'!$E$51,7)=0),"🚿 Água pura + Enzimas (EC &lt; 0.3)",IF(AND('🌱 Configuração'!$B$51+124&gt;='🌱 Configuração'!$E$51,INT(('🌱 Configuração'!$B$51+124-'🌱 Configuração'!$E$51)/7)+1=2,MOD('🌱 Configuração'!$B$51+124-'🌱 Configuração'!$E$51,7)=0),"🚿 Água pura (EC &lt; 0.2)",""))))))))))))))))))))))</f>
        <v/>
      </c>
      <c r="G130" s="30" t="str">
        <f>IF(125&gt;'🌱 Configuração'!$F$50,"",IF(AND('🌱 Configuração'!$B$51+124&lt;'🌱 Configuração'!$C$51,INT((125-1)/7)+1=1,MOD(125-1,7)=0),"🐛 Nim 2mL/L foliar — preventivo",IF(AND('🌱 Configuração'!$B$51+124&lt;'🌱 Configuração'!$C$51,INT((125-1)/7)+1=2,MOD(125-1,7)=0),"🐛 Beauveria bassiana foliar + solo",IF(AND('🌱 Configuração'!$B$51+124&gt;='🌱 Configuração'!$C$51,'🌱 Configuração'!$B$51+124&lt;'🌱 Configuração'!$D$51,INT(('🌱 Configuração'!$B$51+124-'🌱 Configuração'!$C$51)/7)+1=1,MOD('🌱 Configuração'!$B$51+124-'🌱 Configuração'!$C$51,7)=0),"🐛 Nim 2mL/L foliar",IF(AND('🌱 Configuração'!$B$51+124&gt;='🌱 Configuração'!$C$51,'🌱 Configuração'!$B$51+124&lt;'🌱 Configuração'!$D$51,INT(('🌱 Configuração'!$B$51+124-'🌱 Configuração'!$C$51)/7)+1=2,MOD('🌱 Configuração'!$B$51+124-'🌱 Configuração'!$C$51,7)=0),"🐛 Beauveria bassiana foliar",IF(AND('🌱 Configuração'!$B$51+124&gt;='🌱 Configuração'!$C$51,'🌱 Configuração'!$B$51+124&lt;'🌱 Configuração'!$D$51,INT(('🌱 Configuração'!$B$51+124-'🌱 Configuração'!$C$51)/7)+1=3,MOD('🌱 Configuração'!$B$51+124-'🌱 Configuração'!$C$51,7)=0),"🐛 Nim + Calda Sulfocálcica 1%",IF(AND('🌱 Configuração'!$B$51+124&gt;='🌱 Configuração'!$C$51,'🌱 Configuração'!$B$51+124&lt;'🌱 Configuração'!$D$51,INT(('🌱 Configuração'!$B$51+124-'🌱 Configuração'!$C$51)/7)+1=4,MOD('🌱 Configuração'!$B$51+124-'🌱 Configuração'!$C$51,7)=0),"🐛 Trichoderma solo + Beauveria",IF(AND('🌱 Configuração'!$B$51+124&gt;='🌱 Configuração'!$C$51,'🌱 Configuração'!$B$51+124&lt;'🌱 Configuração'!$D$51,INT(('🌱 Configuração'!$B$51+124-'🌱 Configuração'!$C$51)/7)+1=5,MOD('🌱 Configuração'!$B$51+124-'🌱 Configuração'!$C$51,7)=0),"🐛 Calda Bordalesa 0.5% foliar",IF(AND('🌱 Configuração'!$B$51+124&gt;='🌱 Configuração'!$C$51,'🌱 Configuração'!$B$51+124&lt;'🌱 Configuração'!$D$51,INT(('🌱 Configuração'!$B$51+124-'🌱 Configuração'!$C$51)/7)+1=6,MOD('🌱 Configuração'!$B$51+124-'🌱 Configuração'!$C$51,7)=0),"🐛 Nim 2mL/L — ÚLTIMA foliar",IF(AND('🌱 Configuração'!$B$51+124&gt;='🌱 Configuração'!$D$51,'🌱 Configuração'!$B$51+124&lt;'🌱 Configuração'!$E$51,INT(('🌱 Configuração'!$B$51+124-'🌱 Configuração'!$D$51)/7)+1=1,MOD('🌱 Configuração'!$B$51+124-'🌱 Configuração'!$D$51,7)=0),"🐛 Beauveria bassiana solo (sem foliar)",IF(AND('🌱 Configuração'!$B$51+124&gt;='🌱 Configuração'!$D$51,'🌱 Configuração'!$B$51+124&lt;'🌱 Configuração'!$E$51,INT(('🌱 Configuração'!$B$51+124-'🌱 Configuração'!$D$51)/7)+1=2,MOD('🌱 Configuração'!$B$51+124-'🌱 Configuração'!$D$51,7)=0),"🐛 Trichoderma solo",IF(AND('🌱 Configuração'!$B$51+124&gt;='🌱 Configuração'!$D$51,'🌱 Configuração'!$B$51+124&lt;'🌱 Configuração'!$E$51,INT(('🌱 Configuração'!$B$51+124-'🌱 Configuração'!$D$51)/7)+1=3,MOD('🌱 Configuração'!$B$51+124-'🌱 Configuração'!$D$51,7)=0),"🐛 Beauveria bassiana solo",IF(AND('🌱 Configuração'!$B$51+124&gt;='🌱 Configuração'!$D$51,'🌱 Configuração'!$B$51+124&lt;'🌱 Configuração'!$E$51,INT(('🌱 Configuração'!$B$51+124-'🌱 Configuração'!$D$51)/7)+1=4,MOD('🌱 Configuração'!$B$51+124-'🌱 Configuração'!$D$51,7)=0),"🐛 Trichoderma solo",IF(AND('🌱 Configuração'!$B$51+124&gt;='🌱 Configuração'!$E$51,INT(('🌱 Configuração'!$B$51+124-'🌱 Configuração'!$E$51)/7)+1=1,MOD('🌱 Configuração'!$B$51+124-'🌱 Configuração'!$E$51,7)=0),"🐛 Inspeção final — sem aplicação",""))))))))))))))</f>
        <v/>
      </c>
      <c r="H130" s="22" t="str">
        <f>IF(125&gt;'🌱 Configuração'!$F$50,"",IF('🌱 Configuração'!$B$51+124='🌱 Configuração'!$C$51,"🌿 INÍCIO VEGA — ajustar espaço, luz 18h/dia — EC 0.8",IF('🌱 Configuração'!$B$51+124='🌱 Configuração'!$D$51,"🌸 INÍCIO FLORAÇÃO — mudar para 12h/12h — 🔴 atenção ao fotoperíodo",IF('🌱 Configuração'!$B$51+124='🌱 Configuração'!$E$51,"🚿 INÍCIO FLUSH — PARAR nutrição, somente água pura",IF('🌱 Configuração'!$B$51+124='🌱 Configuração'!$F$51-1,"🔬 Véspera da colheita — analisar tricomas âmbar",IF('🌱 Configuração'!$B$51+124='🌱 Configuração'!$F$51,"✂️ COLHEITA! Parabéns! 🎉",""))))))</f>
        <v/>
      </c>
    </row>
    <row r="131" spans="2:8" ht="18.75" customHeight="1" x14ac:dyDescent="0.3">
      <c r="B131" s="25">
        <f>IF(126&lt;='🌱 Configuração'!$F$50,126,"")</f>
        <v>126</v>
      </c>
      <c r="C131" s="26">
        <f>IF(126&lt;='🌱 Configuração'!$F$50,'🌱 Configuração'!$B$51+125,"")</f>
        <v>46148</v>
      </c>
      <c r="D131" s="27" t="str">
        <f>IF(126&gt;'🌱 Configuração'!$F$50,"",IF('🌱 Configuração'!$B$51+125&lt;'🌱 Configuração'!$C$51,"🌱 Clone",IF('🌱 Configuração'!$B$51+125&lt;'🌱 Configuração'!$D$51,"🌿 Vegetativo",IF('🌱 Configuração'!$B$51+125&lt;'🌱 Configuração'!$E$51,"🌸 Floração","🚿 Flush"))))</f>
        <v>🚿 Flush</v>
      </c>
      <c r="E131" s="28" t="str">
        <f>IF(126&gt;'🌱 Configuração'!$F$50,"",IF('🌱 Configuração'!$B$51+125&lt;'🌱 Configuração'!$C$51,"Clone S"&amp;INT((126-1)/7)+1,IF('🌱 Configuração'!$B$51+125&lt;'🌱 Configuração'!$D$51,"Vega S"&amp;INT(('🌱 Configuração'!$B$51+125-'🌱 Configuração'!$C$51)/7)+1,IF('🌱 Configuração'!$B$51+125&lt;'🌱 Configuração'!$E$51,"Flora S"&amp;INT(('🌱 Configuração'!$B$51+125-'🌱 Configuração'!$D$51)/7)+1,"Flush S"&amp;INT(('🌱 Configuração'!$B$51+125-'🌱 Configuração'!$E$51)/7)+1))))</f>
        <v>Flush S1</v>
      </c>
      <c r="F131" s="29" t="str">
        <f>IF(126&gt;'🌱 Configuração'!$F$50,"",IF(AND('🌱 Configuração'!$B$51+125&lt;'🌱 Configuração'!$C$51,INT((126-1)/7)+1=1,MOD(126-1,7)=0),"🌱 Enraizador (0.5 mL/L)",IF(AND('🌱 Configuração'!$B$51+125&lt;'🌱 Configuração'!$C$51,INT((126-1)/7)+1=2,MOD(126-1,7)=0),"🌱 Enraizador + Vitamina B1",IF(AND('🌱 Configuração'!$B$51+125&gt;='🌱 Configuração'!$C$51,'🌱 Configuração'!$B$51+125&lt;'🌱 Configuração'!$D$51,INT(('🌱 Configuração'!$B$51+125-'🌱 Configuração'!$C$51)/7)+1=1,MOD('🌱 Configuração'!$B$51+125-'🌱 Configuração'!$C$51,7)=0),"🌿 Grow A+B início — EC 0.8",IF(AND('🌱 Configuração'!$B$51+125&gt;='🌱 Configuração'!$C$51,'🌱 Configuração'!$B$51+125&lt;'🌱 Configuração'!$D$51,INT(('🌱 Configuração'!$B$51+125-'🌱 Configuração'!$C$51)/7)+1=2,MOD('🌱 Configuração'!$B$51+125-'🌱 Configuração'!$C$51,7)=0),"🌿 Grow A+B + CalMag — EC 1.0",IF(AND('🌱 Configuração'!$B$51+125&gt;='🌱 Configuração'!$C$51,'🌱 Configuração'!$B$51+125&lt;'🌱 Configuração'!$D$51,INT(('🌱 Configuração'!$B$51+125-'🌱 Configuração'!$C$51)/7)+1=3,MOD('🌱 Configuração'!$B$51+125-'🌱 Configuração'!$C$51,7)=0),"🌿 Grow A+B + CalMag — EC 1.2",IF(AND('🌱 Configuração'!$B$51+125&gt;='🌱 Configuração'!$C$51,'🌱 Configuração'!$B$51+125&lt;'🌱 Configuração'!$D$51,INT(('🌱 Configuração'!$B$51+125-'🌱 Configuração'!$C$51)/7)+1=4,MOD('🌱 Configuração'!$B$51+125-'🌱 Configuração'!$C$51,7)=0),"🌿 Grow A+B + Enzimas — EC 1.4",IF(AND('🌱 Configuração'!$B$51+125&gt;='🌱 Configuração'!$C$51,'🌱 Configuração'!$B$51+125&lt;'🌱 Configuração'!$D$51,INT(('🌱 Configuração'!$B$51+125-'🌱 Configuração'!$C$51)/7)+1=5,MOD('🌱 Configuração'!$B$51+125-'🌱 Configuração'!$C$51,7)=0),"🌿 Grow A+B + Biorrizas — EC 1.5",IF(AND('🌱 Configuração'!$B$51+125&gt;='🌱 Configuração'!$C$51,'🌱 Configuração'!$B$51+125&lt;'🌱 Configuração'!$D$51,INT(('🌱 Configuração'!$B$51+125-'🌱 Configuração'!$C$51)/7)+1=6,MOD('🌱 Configuração'!$B$51+125-'🌱 Configuração'!$C$51,7)=0),"🌿 Transição Bloom — EC 1.4",IF(AND('🌱 Configuração'!$B$51+125&gt;='🌱 Configuração'!$C$51,'🌱 Configuração'!$B$51+125&lt;'🌱 Configuração'!$D$51,INT(('🌱 Configuração'!$B$51+125-'🌱 Configuração'!$C$51)/7)+1=7,MOD('🌱 Configuração'!$B$51+125-'🌱 Configuração'!$C$51,7)=0),"🌿 Bloom A+B transição — EC 1.4",IF(AND('🌱 Configuração'!$B$51+125&gt;='🌱 Configuração'!$C$51,'🌱 Configuração'!$B$51+125&lt;'🌱 Configuração'!$D$51,INT(('🌱 Configuração'!$B$51+125-'🌱 Configuração'!$C$51)/7)+1=8,MOD('🌱 Configuração'!$B$51+125-'🌱 Configuração'!$C$51,7)=0),"🌿 Bloom A+B — EC 1.4",IF(AND('🌱 Configuração'!$B$51+125&gt;='🌱 Configuração'!$D$51,'🌱 Configuração'!$B$51+125&lt;'🌱 Configuração'!$E$51,INT(('🌱 Configuração'!$B$51+125-'🌱 Configuração'!$D$51)/7)+1=1,MOD('🌱 Configuração'!$B$51+125-'🌱 Configuração'!$D$51,7)=0),"🌸 Bloom A+B — EC 1.6",IF(AND('🌱 Configuração'!$B$51+125&gt;='🌱 Configuração'!$D$51,'🌱 Configuração'!$B$51+125&lt;'🌱 Configuração'!$E$51,INT(('🌱 Configuração'!$B$51+125-'🌱 Configuração'!$D$51)/7)+1=2,MOD('🌱 Configuração'!$B$51+125-'🌱 Configuração'!$D$51,7)=0),"🌸 Bloom + PK 13/14 início",IF(AND('🌱 Configuração'!$B$51+125&gt;='🌱 Configuração'!$D$51,'🌱 Configuração'!$B$51+125&lt;'🌱 Configuração'!$E$51,INT(('🌱 Configuração'!$B$51+125-'🌱 Configuração'!$D$51)/7)+1=3,MOD('🌱 Configuração'!$B$51+125-'🌱 Configuração'!$D$51,7)=0),"🌸 Bloom + PK + CalMag — EC 1.8",IF(AND('🌱 Configuração'!$B$51+125&gt;='🌱 Configuração'!$D$51,'🌱 Configuração'!$B$51+125&lt;'🌱 Configuração'!$E$51,INT(('🌱 Configuração'!$B$51+125-'🌱 Configuração'!$D$51)/7)+1=4,MOD('🌱 Configuração'!$B$51+125-'🌱 Configuração'!$D$51,7)=0),"🌸 Bloom + PK + Boost Floral — EC 2.0",IF(AND('🌱 Configuração'!$B$51+125&gt;='🌱 Configuração'!$D$51,'🌱 Configuração'!$B$51+125&lt;'🌱 Configuração'!$E$51,INT(('🌱 Configuração'!$B$51+125-'🌱 Configuração'!$D$51)/7)+1=5,MOD('🌱 Configuração'!$B$51+125-'🌱 Configuração'!$D$51,7)=0),"🌸 Bloom + Boost + Amino",IF(AND('🌱 Configuração'!$B$51+125&gt;='🌱 Configuração'!$D$51,'🌱 Configuração'!$B$51+125&lt;'🌱 Configuração'!$E$51,INT(('🌱 Configuração'!$B$51+125-'🌱 Configuração'!$D$51)/7)+1=6,MOD('🌱 Configuração'!$B$51+125-'🌱 Configuração'!$D$51,7)=0),"🌸 Bloom + Enzimas + Amino",IF(AND('🌱 Configuração'!$B$51+125&gt;='🌱 Configuração'!$D$51,'🌱 Configuração'!$B$51+125&lt;'🌱 Configuração'!$E$51,INT(('🌱 Configuração'!$B$51+125-'🌱 Configuração'!$D$51)/7)+1=7,MOD('🌱 Configuração'!$B$51+125-'🌱 Configuração'!$D$51,7)=0),"🌸 Reduzir N — Bloom puro — EC 1.6",IF(AND('🌱 Configuração'!$B$51+125&gt;='🌱 Configuração'!$D$51,'🌱 Configuração'!$B$51+125&lt;'🌱 Configuração'!$E$51,INT(('🌱 Configuração'!$B$51+125-'🌱 Configuração'!$D$51)/7)+1=8,MOD('🌱 Configuração'!$B$51+125-'🌱 Configuração'!$D$51,7)=0),"🌸 Bloom puro — EC 1.4  (pré-flush)",IF(AND('🌱 Configuração'!$B$51+125&gt;='🌱 Configuração'!$D$51,'🌱 Configuração'!$B$51+125&lt;'🌱 Configuração'!$E$51,INT(('🌱 Configuração'!$B$51+125-'🌱 Configuração'!$D$51)/7)+1=9,MOD('🌱 Configuração'!$B$51+125-'🌱 Configuração'!$D$51,7)=0),"🌸 Último Bloom — EC 0.8",IF(AND('🌱 Configuração'!$B$51+125&gt;='🌱 Configuração'!$E$51,INT(('🌱 Configuração'!$B$51+125-'🌱 Configuração'!$E$51)/7)+1=1,MOD('🌱 Configuração'!$B$51+125-'🌱 Configuração'!$E$51,7)=0),"🚿 Água pura + Enzimas (EC &lt; 0.3)",IF(AND('🌱 Configuração'!$B$51+125&gt;='🌱 Configuração'!$E$51,INT(('🌱 Configuração'!$B$51+125-'🌱 Configuração'!$E$51)/7)+1=2,MOD('🌱 Configuração'!$B$51+125-'🌱 Configuração'!$E$51,7)=0),"🚿 Água pura (EC &lt; 0.2)",""))))))))))))))))))))))</f>
        <v/>
      </c>
      <c r="G131" s="30" t="str">
        <f>IF(126&gt;'🌱 Configuração'!$F$50,"",IF(AND('🌱 Configuração'!$B$51+125&lt;'🌱 Configuração'!$C$51,INT((126-1)/7)+1=1,MOD(126-1,7)=0),"🐛 Nim 2mL/L foliar — preventivo",IF(AND('🌱 Configuração'!$B$51+125&lt;'🌱 Configuração'!$C$51,INT((126-1)/7)+1=2,MOD(126-1,7)=0),"🐛 Beauveria bassiana foliar + solo",IF(AND('🌱 Configuração'!$B$51+125&gt;='🌱 Configuração'!$C$51,'🌱 Configuração'!$B$51+125&lt;'🌱 Configuração'!$D$51,INT(('🌱 Configuração'!$B$51+125-'🌱 Configuração'!$C$51)/7)+1=1,MOD('🌱 Configuração'!$B$51+125-'🌱 Configuração'!$C$51,7)=0),"🐛 Nim 2mL/L foliar",IF(AND('🌱 Configuração'!$B$51+125&gt;='🌱 Configuração'!$C$51,'🌱 Configuração'!$B$51+125&lt;'🌱 Configuração'!$D$51,INT(('🌱 Configuração'!$B$51+125-'🌱 Configuração'!$C$51)/7)+1=2,MOD('🌱 Configuração'!$B$51+125-'🌱 Configuração'!$C$51,7)=0),"🐛 Beauveria bassiana foliar",IF(AND('🌱 Configuração'!$B$51+125&gt;='🌱 Configuração'!$C$51,'🌱 Configuração'!$B$51+125&lt;'🌱 Configuração'!$D$51,INT(('🌱 Configuração'!$B$51+125-'🌱 Configuração'!$C$51)/7)+1=3,MOD('🌱 Configuração'!$B$51+125-'🌱 Configuração'!$C$51,7)=0),"🐛 Nim + Calda Sulfocálcica 1%",IF(AND('🌱 Configuração'!$B$51+125&gt;='🌱 Configuração'!$C$51,'🌱 Configuração'!$B$51+125&lt;'🌱 Configuração'!$D$51,INT(('🌱 Configuração'!$B$51+125-'🌱 Configuração'!$C$51)/7)+1=4,MOD('🌱 Configuração'!$B$51+125-'🌱 Configuração'!$C$51,7)=0),"🐛 Trichoderma solo + Beauveria",IF(AND('🌱 Configuração'!$B$51+125&gt;='🌱 Configuração'!$C$51,'🌱 Configuração'!$B$51+125&lt;'🌱 Configuração'!$D$51,INT(('🌱 Configuração'!$B$51+125-'🌱 Configuração'!$C$51)/7)+1=5,MOD('🌱 Configuração'!$B$51+125-'🌱 Configuração'!$C$51,7)=0),"🐛 Calda Bordalesa 0.5% foliar",IF(AND('🌱 Configuração'!$B$51+125&gt;='🌱 Configuração'!$C$51,'🌱 Configuração'!$B$51+125&lt;'🌱 Configuração'!$D$51,INT(('🌱 Configuração'!$B$51+125-'🌱 Configuração'!$C$51)/7)+1=6,MOD('🌱 Configuração'!$B$51+125-'🌱 Configuração'!$C$51,7)=0),"🐛 Nim 2mL/L — ÚLTIMA foliar",IF(AND('🌱 Configuração'!$B$51+125&gt;='🌱 Configuração'!$D$51,'🌱 Configuração'!$B$51+125&lt;'🌱 Configuração'!$E$51,INT(('🌱 Configuração'!$B$51+125-'🌱 Configuração'!$D$51)/7)+1=1,MOD('🌱 Configuração'!$B$51+125-'🌱 Configuração'!$D$51,7)=0),"🐛 Beauveria bassiana solo (sem foliar)",IF(AND('🌱 Configuração'!$B$51+125&gt;='🌱 Configuração'!$D$51,'🌱 Configuração'!$B$51+125&lt;'🌱 Configuração'!$E$51,INT(('🌱 Configuração'!$B$51+125-'🌱 Configuração'!$D$51)/7)+1=2,MOD('🌱 Configuração'!$B$51+125-'🌱 Configuração'!$D$51,7)=0),"🐛 Trichoderma solo",IF(AND('🌱 Configuração'!$B$51+125&gt;='🌱 Configuração'!$D$51,'🌱 Configuração'!$B$51+125&lt;'🌱 Configuração'!$E$51,INT(('🌱 Configuração'!$B$51+125-'🌱 Configuração'!$D$51)/7)+1=3,MOD('🌱 Configuração'!$B$51+125-'🌱 Configuração'!$D$51,7)=0),"🐛 Beauveria bassiana solo",IF(AND('🌱 Configuração'!$B$51+125&gt;='🌱 Configuração'!$D$51,'🌱 Configuração'!$B$51+125&lt;'🌱 Configuração'!$E$51,INT(('🌱 Configuração'!$B$51+125-'🌱 Configuração'!$D$51)/7)+1=4,MOD('🌱 Configuração'!$B$51+125-'🌱 Configuração'!$D$51,7)=0),"🐛 Trichoderma solo",IF(AND('🌱 Configuração'!$B$51+125&gt;='🌱 Configuração'!$E$51,INT(('🌱 Configuração'!$B$51+125-'🌱 Configuração'!$E$51)/7)+1=1,MOD('🌱 Configuração'!$B$51+125-'🌱 Configuração'!$E$51,7)=0),"🐛 Inspeção final — sem aplicação",""))))))))))))))</f>
        <v/>
      </c>
      <c r="H131" s="22" t="str">
        <f>IF(126&gt;'🌱 Configuração'!$F$50,"",IF('🌱 Configuração'!$B$51+125='🌱 Configuração'!$C$51,"🌿 INÍCIO VEGA — ajustar espaço, luz 18h/dia — EC 0.8",IF('🌱 Configuração'!$B$51+125='🌱 Configuração'!$D$51,"🌸 INÍCIO FLORAÇÃO — mudar para 12h/12h — 🔴 atenção ao fotoperíodo",IF('🌱 Configuração'!$B$51+125='🌱 Configuração'!$E$51,"🚿 INÍCIO FLUSH — PARAR nutrição, somente água pura",IF('🌱 Configuração'!$B$51+125='🌱 Configuração'!$F$51-1,"🔬 Véspera da colheita — analisar tricomas âmbar",IF('🌱 Configuração'!$B$51+125='🌱 Configuração'!$F$51,"✂️ COLHEITA! Parabéns! 🎉",""))))))</f>
        <v>🔬 Véspera da colheita — analisar tricomas âmbar</v>
      </c>
    </row>
    <row r="132" spans="2:8" ht="18.75" customHeight="1" x14ac:dyDescent="0.3">
      <c r="B132" s="25" t="str">
        <f>IF(127&lt;='🌱 Configuração'!$F$50,127,"")</f>
        <v/>
      </c>
      <c r="C132" s="26" t="str">
        <f>IF(127&lt;='🌱 Configuração'!$F$50,'🌱 Configuração'!$B$51+126,"")</f>
        <v/>
      </c>
      <c r="D132" s="27" t="str">
        <f>IF(127&gt;'🌱 Configuração'!$F$50,"",IF('🌱 Configuração'!$B$51+126&lt;'🌱 Configuração'!$C$51,"🌱 Clone",IF('🌱 Configuração'!$B$51+126&lt;'🌱 Configuração'!$D$51,"🌿 Vegetativo",IF('🌱 Configuração'!$B$51+126&lt;'🌱 Configuração'!$E$51,"🌸 Floração","🚿 Flush"))))</f>
        <v/>
      </c>
      <c r="E132" s="28" t="str">
        <f>IF(127&gt;'🌱 Configuração'!$F$50,"",IF('🌱 Configuração'!$B$51+126&lt;'🌱 Configuração'!$C$51,"Clone S"&amp;INT((127-1)/7)+1,IF('🌱 Configuração'!$B$51+126&lt;'🌱 Configuração'!$D$51,"Vega S"&amp;INT(('🌱 Configuração'!$B$51+126-'🌱 Configuração'!$C$51)/7)+1,IF('🌱 Configuração'!$B$51+126&lt;'🌱 Configuração'!$E$51,"Flora S"&amp;INT(('🌱 Configuração'!$B$51+126-'🌱 Configuração'!$D$51)/7)+1,"Flush S"&amp;INT(('🌱 Configuração'!$B$51+126-'🌱 Configuração'!$E$51)/7)+1))))</f>
        <v/>
      </c>
      <c r="F132" s="29" t="str">
        <f>IF(127&gt;'🌱 Configuração'!$F$50,"",IF(AND('🌱 Configuração'!$B$51+126&lt;'🌱 Configuração'!$C$51,INT((127-1)/7)+1=1,MOD(127-1,7)=0),"🌱 Enraizador (0.5 mL/L)",IF(AND('🌱 Configuração'!$B$51+126&lt;'🌱 Configuração'!$C$51,INT((127-1)/7)+1=2,MOD(127-1,7)=0),"🌱 Enraizador + Vitamina B1",IF(AND('🌱 Configuração'!$B$51+126&gt;='🌱 Configuração'!$C$51,'🌱 Configuração'!$B$51+126&lt;'🌱 Configuração'!$D$51,INT(('🌱 Configuração'!$B$51+126-'🌱 Configuração'!$C$51)/7)+1=1,MOD('🌱 Configuração'!$B$51+126-'🌱 Configuração'!$C$51,7)=0),"🌿 Grow A+B início — EC 0.8",IF(AND('🌱 Configuração'!$B$51+126&gt;='🌱 Configuração'!$C$51,'🌱 Configuração'!$B$51+126&lt;'🌱 Configuração'!$D$51,INT(('🌱 Configuração'!$B$51+126-'🌱 Configuração'!$C$51)/7)+1=2,MOD('🌱 Configuração'!$B$51+126-'🌱 Configuração'!$C$51,7)=0),"🌿 Grow A+B + CalMag — EC 1.0",IF(AND('🌱 Configuração'!$B$51+126&gt;='🌱 Configuração'!$C$51,'🌱 Configuração'!$B$51+126&lt;'🌱 Configuração'!$D$51,INT(('🌱 Configuração'!$B$51+126-'🌱 Configuração'!$C$51)/7)+1=3,MOD('🌱 Configuração'!$B$51+126-'🌱 Configuração'!$C$51,7)=0),"🌿 Grow A+B + CalMag — EC 1.2",IF(AND('🌱 Configuração'!$B$51+126&gt;='🌱 Configuração'!$C$51,'🌱 Configuração'!$B$51+126&lt;'🌱 Configuração'!$D$51,INT(('🌱 Configuração'!$B$51+126-'🌱 Configuração'!$C$51)/7)+1=4,MOD('🌱 Configuração'!$B$51+126-'🌱 Configuração'!$C$51,7)=0),"🌿 Grow A+B + Enzimas — EC 1.4",IF(AND('🌱 Configuração'!$B$51+126&gt;='🌱 Configuração'!$C$51,'🌱 Configuração'!$B$51+126&lt;'🌱 Configuração'!$D$51,INT(('🌱 Configuração'!$B$51+126-'🌱 Configuração'!$C$51)/7)+1=5,MOD('🌱 Configuração'!$B$51+126-'🌱 Configuração'!$C$51,7)=0),"🌿 Grow A+B + Biorrizas — EC 1.5",IF(AND('🌱 Configuração'!$B$51+126&gt;='🌱 Configuração'!$C$51,'🌱 Configuração'!$B$51+126&lt;'🌱 Configuração'!$D$51,INT(('🌱 Configuração'!$B$51+126-'🌱 Configuração'!$C$51)/7)+1=6,MOD('🌱 Configuração'!$B$51+126-'🌱 Configuração'!$C$51,7)=0),"🌿 Transição Bloom — EC 1.4",IF(AND('🌱 Configuração'!$B$51+126&gt;='🌱 Configuração'!$C$51,'🌱 Configuração'!$B$51+126&lt;'🌱 Configuração'!$D$51,INT(('🌱 Configuração'!$B$51+126-'🌱 Configuração'!$C$51)/7)+1=7,MOD('🌱 Configuração'!$B$51+126-'🌱 Configuração'!$C$51,7)=0),"🌿 Bloom A+B transição — EC 1.4",IF(AND('🌱 Configuração'!$B$51+126&gt;='🌱 Configuração'!$C$51,'🌱 Configuração'!$B$51+126&lt;'🌱 Configuração'!$D$51,INT(('🌱 Configuração'!$B$51+126-'🌱 Configuração'!$C$51)/7)+1=8,MOD('🌱 Configuração'!$B$51+126-'🌱 Configuração'!$C$51,7)=0),"🌿 Bloom A+B — EC 1.4",IF(AND('🌱 Configuração'!$B$51+126&gt;='🌱 Configuração'!$D$51,'🌱 Configuração'!$B$51+126&lt;'🌱 Configuração'!$E$51,INT(('🌱 Configuração'!$B$51+126-'🌱 Configuração'!$D$51)/7)+1=1,MOD('🌱 Configuração'!$B$51+126-'🌱 Configuração'!$D$51,7)=0),"🌸 Bloom A+B — EC 1.6",IF(AND('🌱 Configuração'!$B$51+126&gt;='🌱 Configuração'!$D$51,'🌱 Configuração'!$B$51+126&lt;'🌱 Configuração'!$E$51,INT(('🌱 Configuração'!$B$51+126-'🌱 Configuração'!$D$51)/7)+1=2,MOD('🌱 Configuração'!$B$51+126-'🌱 Configuração'!$D$51,7)=0),"🌸 Bloom + PK 13/14 início",IF(AND('🌱 Configuração'!$B$51+126&gt;='🌱 Configuração'!$D$51,'🌱 Configuração'!$B$51+126&lt;'🌱 Configuração'!$E$51,INT(('🌱 Configuração'!$B$51+126-'🌱 Configuração'!$D$51)/7)+1=3,MOD('🌱 Configuração'!$B$51+126-'🌱 Configuração'!$D$51,7)=0),"🌸 Bloom + PK + CalMag — EC 1.8",IF(AND('🌱 Configuração'!$B$51+126&gt;='🌱 Configuração'!$D$51,'🌱 Configuração'!$B$51+126&lt;'🌱 Configuração'!$E$51,INT(('🌱 Configuração'!$B$51+126-'🌱 Configuração'!$D$51)/7)+1=4,MOD('🌱 Configuração'!$B$51+126-'🌱 Configuração'!$D$51,7)=0),"🌸 Bloom + PK + Boost Floral — EC 2.0",IF(AND('🌱 Configuração'!$B$51+126&gt;='🌱 Configuração'!$D$51,'🌱 Configuração'!$B$51+126&lt;'🌱 Configuração'!$E$51,INT(('🌱 Configuração'!$B$51+126-'🌱 Configuração'!$D$51)/7)+1=5,MOD('🌱 Configuração'!$B$51+126-'🌱 Configuração'!$D$51,7)=0),"🌸 Bloom + Boost + Amino",IF(AND('🌱 Configuração'!$B$51+126&gt;='🌱 Configuração'!$D$51,'🌱 Configuração'!$B$51+126&lt;'🌱 Configuração'!$E$51,INT(('🌱 Configuração'!$B$51+126-'🌱 Configuração'!$D$51)/7)+1=6,MOD('🌱 Configuração'!$B$51+126-'🌱 Configuração'!$D$51,7)=0),"🌸 Bloom + Enzimas + Amino",IF(AND('🌱 Configuração'!$B$51+126&gt;='🌱 Configuração'!$D$51,'🌱 Configuração'!$B$51+126&lt;'🌱 Configuração'!$E$51,INT(('🌱 Configuração'!$B$51+126-'🌱 Configuração'!$D$51)/7)+1=7,MOD('🌱 Configuração'!$B$51+126-'🌱 Configuração'!$D$51,7)=0),"🌸 Reduzir N — Bloom puro — EC 1.6",IF(AND('🌱 Configuração'!$B$51+126&gt;='🌱 Configuração'!$D$51,'🌱 Configuração'!$B$51+126&lt;'🌱 Configuração'!$E$51,INT(('🌱 Configuração'!$B$51+126-'🌱 Configuração'!$D$51)/7)+1=8,MOD('🌱 Configuração'!$B$51+126-'🌱 Configuração'!$D$51,7)=0),"🌸 Bloom puro — EC 1.4  (pré-flush)",IF(AND('🌱 Configuração'!$B$51+126&gt;='🌱 Configuração'!$D$51,'🌱 Configuração'!$B$51+126&lt;'🌱 Configuração'!$E$51,INT(('🌱 Configuração'!$B$51+126-'🌱 Configuração'!$D$51)/7)+1=9,MOD('🌱 Configuração'!$B$51+126-'🌱 Configuração'!$D$51,7)=0),"🌸 Último Bloom — EC 0.8",IF(AND('🌱 Configuração'!$B$51+126&gt;='🌱 Configuração'!$E$51,INT(('🌱 Configuração'!$B$51+126-'🌱 Configuração'!$E$51)/7)+1=1,MOD('🌱 Configuração'!$B$51+126-'🌱 Configuração'!$E$51,7)=0),"🚿 Água pura + Enzimas (EC &lt; 0.3)",IF(AND('🌱 Configuração'!$B$51+126&gt;='🌱 Configuração'!$E$51,INT(('🌱 Configuração'!$B$51+126-'🌱 Configuração'!$E$51)/7)+1=2,MOD('🌱 Configuração'!$B$51+126-'🌱 Configuração'!$E$51,7)=0),"🚿 Água pura (EC &lt; 0.2)",""))))))))))))))))))))))</f>
        <v/>
      </c>
      <c r="G132" s="30" t="str">
        <f>IF(127&gt;'🌱 Configuração'!$F$50,"",IF(AND('🌱 Configuração'!$B$51+126&lt;'🌱 Configuração'!$C$51,INT((127-1)/7)+1=1,MOD(127-1,7)=0),"🐛 Nim 2mL/L foliar — preventivo",IF(AND('🌱 Configuração'!$B$51+126&lt;'🌱 Configuração'!$C$51,INT((127-1)/7)+1=2,MOD(127-1,7)=0),"🐛 Beauveria bassiana foliar + solo",IF(AND('🌱 Configuração'!$B$51+126&gt;='🌱 Configuração'!$C$51,'🌱 Configuração'!$B$51+126&lt;'🌱 Configuração'!$D$51,INT(('🌱 Configuração'!$B$51+126-'🌱 Configuração'!$C$51)/7)+1=1,MOD('🌱 Configuração'!$B$51+126-'🌱 Configuração'!$C$51,7)=0),"🐛 Nim 2mL/L foliar",IF(AND('🌱 Configuração'!$B$51+126&gt;='🌱 Configuração'!$C$51,'🌱 Configuração'!$B$51+126&lt;'🌱 Configuração'!$D$51,INT(('🌱 Configuração'!$B$51+126-'🌱 Configuração'!$C$51)/7)+1=2,MOD('🌱 Configuração'!$B$51+126-'🌱 Configuração'!$C$51,7)=0),"🐛 Beauveria bassiana foliar",IF(AND('🌱 Configuração'!$B$51+126&gt;='🌱 Configuração'!$C$51,'🌱 Configuração'!$B$51+126&lt;'🌱 Configuração'!$D$51,INT(('🌱 Configuração'!$B$51+126-'🌱 Configuração'!$C$51)/7)+1=3,MOD('🌱 Configuração'!$B$51+126-'🌱 Configuração'!$C$51,7)=0),"🐛 Nim + Calda Sulfocálcica 1%",IF(AND('🌱 Configuração'!$B$51+126&gt;='🌱 Configuração'!$C$51,'🌱 Configuração'!$B$51+126&lt;'🌱 Configuração'!$D$51,INT(('🌱 Configuração'!$B$51+126-'🌱 Configuração'!$C$51)/7)+1=4,MOD('🌱 Configuração'!$B$51+126-'🌱 Configuração'!$C$51,7)=0),"🐛 Trichoderma solo + Beauveria",IF(AND('🌱 Configuração'!$B$51+126&gt;='🌱 Configuração'!$C$51,'🌱 Configuração'!$B$51+126&lt;'🌱 Configuração'!$D$51,INT(('🌱 Configuração'!$B$51+126-'🌱 Configuração'!$C$51)/7)+1=5,MOD('🌱 Configuração'!$B$51+126-'🌱 Configuração'!$C$51,7)=0),"🐛 Calda Bordalesa 0.5% foliar",IF(AND('🌱 Configuração'!$B$51+126&gt;='🌱 Configuração'!$C$51,'🌱 Configuração'!$B$51+126&lt;'🌱 Configuração'!$D$51,INT(('🌱 Configuração'!$B$51+126-'🌱 Configuração'!$C$51)/7)+1=6,MOD('🌱 Configuração'!$B$51+126-'🌱 Configuração'!$C$51,7)=0),"🐛 Nim 2mL/L — ÚLTIMA foliar",IF(AND('🌱 Configuração'!$B$51+126&gt;='🌱 Configuração'!$D$51,'🌱 Configuração'!$B$51+126&lt;'🌱 Configuração'!$E$51,INT(('🌱 Configuração'!$B$51+126-'🌱 Configuração'!$D$51)/7)+1=1,MOD('🌱 Configuração'!$B$51+126-'🌱 Configuração'!$D$51,7)=0),"🐛 Beauveria bassiana solo (sem foliar)",IF(AND('🌱 Configuração'!$B$51+126&gt;='🌱 Configuração'!$D$51,'🌱 Configuração'!$B$51+126&lt;'🌱 Configuração'!$E$51,INT(('🌱 Configuração'!$B$51+126-'🌱 Configuração'!$D$51)/7)+1=2,MOD('🌱 Configuração'!$B$51+126-'🌱 Configuração'!$D$51,7)=0),"🐛 Trichoderma solo",IF(AND('🌱 Configuração'!$B$51+126&gt;='🌱 Configuração'!$D$51,'🌱 Configuração'!$B$51+126&lt;'🌱 Configuração'!$E$51,INT(('🌱 Configuração'!$B$51+126-'🌱 Configuração'!$D$51)/7)+1=3,MOD('🌱 Configuração'!$B$51+126-'🌱 Configuração'!$D$51,7)=0),"🐛 Beauveria bassiana solo",IF(AND('🌱 Configuração'!$B$51+126&gt;='🌱 Configuração'!$D$51,'🌱 Configuração'!$B$51+126&lt;'🌱 Configuração'!$E$51,INT(('🌱 Configuração'!$B$51+126-'🌱 Configuração'!$D$51)/7)+1=4,MOD('🌱 Configuração'!$B$51+126-'🌱 Configuração'!$D$51,7)=0),"🐛 Trichoderma solo",IF(AND('🌱 Configuração'!$B$51+126&gt;='🌱 Configuração'!$E$51,INT(('🌱 Configuração'!$B$51+126-'🌱 Configuração'!$E$51)/7)+1=1,MOD('🌱 Configuração'!$B$51+126-'🌱 Configuração'!$E$51,7)=0),"🐛 Inspeção final — sem aplicação",""))))))))))))))</f>
        <v/>
      </c>
      <c r="H132" s="22" t="str">
        <f>IF(127&gt;'🌱 Configuração'!$F$50,"",IF('🌱 Configuração'!$B$51+126='🌱 Configuração'!$C$51,"🌿 INÍCIO VEGA — ajustar espaço, luz 18h/dia — EC 0.8",IF('🌱 Configuração'!$B$51+126='🌱 Configuração'!$D$51,"🌸 INÍCIO FLORAÇÃO — mudar para 12h/12h — 🔴 atenção ao fotoperíodo",IF('🌱 Configuração'!$B$51+126='🌱 Configuração'!$E$51,"🚿 INÍCIO FLUSH — PARAR nutrição, somente água pura",IF('🌱 Configuração'!$B$51+126='🌱 Configuração'!$F$51-1,"🔬 Véspera da colheita — analisar tricomas âmbar",IF('🌱 Configuração'!$B$51+126='🌱 Configuração'!$F$51,"✂️ COLHEITA! Parabéns! 🎉",""))))))</f>
        <v/>
      </c>
    </row>
    <row r="133" spans="2:8" ht="18.75" customHeight="1" x14ac:dyDescent="0.3">
      <c r="B133" s="25" t="str">
        <f>IF(128&lt;='🌱 Configuração'!$F$50,128,"")</f>
        <v/>
      </c>
      <c r="C133" s="26" t="str">
        <f>IF(128&lt;='🌱 Configuração'!$F$50,'🌱 Configuração'!$B$51+127,"")</f>
        <v/>
      </c>
      <c r="D133" s="27" t="str">
        <f>IF(128&gt;'🌱 Configuração'!$F$50,"",IF('🌱 Configuração'!$B$51+127&lt;'🌱 Configuração'!$C$51,"🌱 Clone",IF('🌱 Configuração'!$B$51+127&lt;'🌱 Configuração'!$D$51,"🌿 Vegetativo",IF('🌱 Configuração'!$B$51+127&lt;'🌱 Configuração'!$E$51,"🌸 Floração","🚿 Flush"))))</f>
        <v/>
      </c>
      <c r="E133" s="28" t="str">
        <f>IF(128&gt;'🌱 Configuração'!$F$50,"",IF('🌱 Configuração'!$B$51+127&lt;'🌱 Configuração'!$C$51,"Clone S"&amp;INT((128-1)/7)+1,IF('🌱 Configuração'!$B$51+127&lt;'🌱 Configuração'!$D$51,"Vega S"&amp;INT(('🌱 Configuração'!$B$51+127-'🌱 Configuração'!$C$51)/7)+1,IF('🌱 Configuração'!$B$51+127&lt;'🌱 Configuração'!$E$51,"Flora S"&amp;INT(('🌱 Configuração'!$B$51+127-'🌱 Configuração'!$D$51)/7)+1,"Flush S"&amp;INT(('🌱 Configuração'!$B$51+127-'🌱 Configuração'!$E$51)/7)+1))))</f>
        <v/>
      </c>
      <c r="F133" s="29" t="str">
        <f>IF(128&gt;'🌱 Configuração'!$F$50,"",IF(AND('🌱 Configuração'!$B$51+127&lt;'🌱 Configuração'!$C$51,INT((128-1)/7)+1=1,MOD(128-1,7)=0),"🌱 Enraizador (0.5 mL/L)",IF(AND('🌱 Configuração'!$B$51+127&lt;'🌱 Configuração'!$C$51,INT((128-1)/7)+1=2,MOD(128-1,7)=0),"🌱 Enraizador + Vitamina B1",IF(AND('🌱 Configuração'!$B$51+127&gt;='🌱 Configuração'!$C$51,'🌱 Configuração'!$B$51+127&lt;'🌱 Configuração'!$D$51,INT(('🌱 Configuração'!$B$51+127-'🌱 Configuração'!$C$51)/7)+1=1,MOD('🌱 Configuração'!$B$51+127-'🌱 Configuração'!$C$51,7)=0),"🌿 Grow A+B início — EC 0.8",IF(AND('🌱 Configuração'!$B$51+127&gt;='🌱 Configuração'!$C$51,'🌱 Configuração'!$B$51+127&lt;'🌱 Configuração'!$D$51,INT(('🌱 Configuração'!$B$51+127-'🌱 Configuração'!$C$51)/7)+1=2,MOD('🌱 Configuração'!$B$51+127-'🌱 Configuração'!$C$51,7)=0),"🌿 Grow A+B + CalMag — EC 1.0",IF(AND('🌱 Configuração'!$B$51+127&gt;='🌱 Configuração'!$C$51,'🌱 Configuração'!$B$51+127&lt;'🌱 Configuração'!$D$51,INT(('🌱 Configuração'!$B$51+127-'🌱 Configuração'!$C$51)/7)+1=3,MOD('🌱 Configuração'!$B$51+127-'🌱 Configuração'!$C$51,7)=0),"🌿 Grow A+B + CalMag — EC 1.2",IF(AND('🌱 Configuração'!$B$51+127&gt;='🌱 Configuração'!$C$51,'🌱 Configuração'!$B$51+127&lt;'🌱 Configuração'!$D$51,INT(('🌱 Configuração'!$B$51+127-'🌱 Configuração'!$C$51)/7)+1=4,MOD('🌱 Configuração'!$B$51+127-'🌱 Configuração'!$C$51,7)=0),"🌿 Grow A+B + Enzimas — EC 1.4",IF(AND('🌱 Configuração'!$B$51+127&gt;='🌱 Configuração'!$C$51,'🌱 Configuração'!$B$51+127&lt;'🌱 Configuração'!$D$51,INT(('🌱 Configuração'!$B$51+127-'🌱 Configuração'!$C$51)/7)+1=5,MOD('🌱 Configuração'!$B$51+127-'🌱 Configuração'!$C$51,7)=0),"🌿 Grow A+B + Biorrizas — EC 1.5",IF(AND('🌱 Configuração'!$B$51+127&gt;='🌱 Configuração'!$C$51,'🌱 Configuração'!$B$51+127&lt;'🌱 Configuração'!$D$51,INT(('🌱 Configuração'!$B$51+127-'🌱 Configuração'!$C$51)/7)+1=6,MOD('🌱 Configuração'!$B$51+127-'🌱 Configuração'!$C$51,7)=0),"🌿 Transição Bloom — EC 1.4",IF(AND('🌱 Configuração'!$B$51+127&gt;='🌱 Configuração'!$C$51,'🌱 Configuração'!$B$51+127&lt;'🌱 Configuração'!$D$51,INT(('🌱 Configuração'!$B$51+127-'🌱 Configuração'!$C$51)/7)+1=7,MOD('🌱 Configuração'!$B$51+127-'🌱 Configuração'!$C$51,7)=0),"🌿 Bloom A+B transição — EC 1.4",IF(AND('🌱 Configuração'!$B$51+127&gt;='🌱 Configuração'!$C$51,'🌱 Configuração'!$B$51+127&lt;'🌱 Configuração'!$D$51,INT(('🌱 Configuração'!$B$51+127-'🌱 Configuração'!$C$51)/7)+1=8,MOD('🌱 Configuração'!$B$51+127-'🌱 Configuração'!$C$51,7)=0),"🌿 Bloom A+B — EC 1.4",IF(AND('🌱 Configuração'!$B$51+127&gt;='🌱 Configuração'!$D$51,'🌱 Configuração'!$B$51+127&lt;'🌱 Configuração'!$E$51,INT(('🌱 Configuração'!$B$51+127-'🌱 Configuração'!$D$51)/7)+1=1,MOD('🌱 Configuração'!$B$51+127-'🌱 Configuração'!$D$51,7)=0),"🌸 Bloom A+B — EC 1.6",IF(AND('🌱 Configuração'!$B$51+127&gt;='🌱 Configuração'!$D$51,'🌱 Configuração'!$B$51+127&lt;'🌱 Configuração'!$E$51,INT(('🌱 Configuração'!$B$51+127-'🌱 Configuração'!$D$51)/7)+1=2,MOD('🌱 Configuração'!$B$51+127-'🌱 Configuração'!$D$51,7)=0),"🌸 Bloom + PK 13/14 início",IF(AND('🌱 Configuração'!$B$51+127&gt;='🌱 Configuração'!$D$51,'🌱 Configuração'!$B$51+127&lt;'🌱 Configuração'!$E$51,INT(('🌱 Configuração'!$B$51+127-'🌱 Configuração'!$D$51)/7)+1=3,MOD('🌱 Configuração'!$B$51+127-'🌱 Configuração'!$D$51,7)=0),"🌸 Bloom + PK + CalMag — EC 1.8",IF(AND('🌱 Configuração'!$B$51+127&gt;='🌱 Configuração'!$D$51,'🌱 Configuração'!$B$51+127&lt;'🌱 Configuração'!$E$51,INT(('🌱 Configuração'!$B$51+127-'🌱 Configuração'!$D$51)/7)+1=4,MOD('🌱 Configuração'!$B$51+127-'🌱 Configuração'!$D$51,7)=0),"🌸 Bloom + PK + Boost Floral — EC 2.0",IF(AND('🌱 Configuração'!$B$51+127&gt;='🌱 Configuração'!$D$51,'🌱 Configuração'!$B$51+127&lt;'🌱 Configuração'!$E$51,INT(('🌱 Configuração'!$B$51+127-'🌱 Configuração'!$D$51)/7)+1=5,MOD('🌱 Configuração'!$B$51+127-'🌱 Configuração'!$D$51,7)=0),"🌸 Bloom + Boost + Amino",IF(AND('🌱 Configuração'!$B$51+127&gt;='🌱 Configuração'!$D$51,'🌱 Configuração'!$B$51+127&lt;'🌱 Configuração'!$E$51,INT(('🌱 Configuração'!$B$51+127-'🌱 Configuração'!$D$51)/7)+1=6,MOD('🌱 Configuração'!$B$51+127-'🌱 Configuração'!$D$51,7)=0),"🌸 Bloom + Enzimas + Amino",IF(AND('🌱 Configuração'!$B$51+127&gt;='🌱 Configuração'!$D$51,'🌱 Configuração'!$B$51+127&lt;'🌱 Configuração'!$E$51,INT(('🌱 Configuração'!$B$51+127-'🌱 Configuração'!$D$51)/7)+1=7,MOD('🌱 Configuração'!$B$51+127-'🌱 Configuração'!$D$51,7)=0),"🌸 Reduzir N — Bloom puro — EC 1.6",IF(AND('🌱 Configuração'!$B$51+127&gt;='🌱 Configuração'!$D$51,'🌱 Configuração'!$B$51+127&lt;'🌱 Configuração'!$E$51,INT(('🌱 Configuração'!$B$51+127-'🌱 Configuração'!$D$51)/7)+1=8,MOD('🌱 Configuração'!$B$51+127-'🌱 Configuração'!$D$51,7)=0),"🌸 Bloom puro — EC 1.4  (pré-flush)",IF(AND('🌱 Configuração'!$B$51+127&gt;='🌱 Configuração'!$D$51,'🌱 Configuração'!$B$51+127&lt;'🌱 Configuração'!$E$51,INT(('🌱 Configuração'!$B$51+127-'🌱 Configuração'!$D$51)/7)+1=9,MOD('🌱 Configuração'!$B$51+127-'🌱 Configuração'!$D$51,7)=0),"🌸 Último Bloom — EC 0.8",IF(AND('🌱 Configuração'!$B$51+127&gt;='🌱 Configuração'!$E$51,INT(('🌱 Configuração'!$B$51+127-'🌱 Configuração'!$E$51)/7)+1=1,MOD('🌱 Configuração'!$B$51+127-'🌱 Configuração'!$E$51,7)=0),"🚿 Água pura + Enzimas (EC &lt; 0.3)",IF(AND('🌱 Configuração'!$B$51+127&gt;='🌱 Configuração'!$E$51,INT(('🌱 Configuração'!$B$51+127-'🌱 Configuração'!$E$51)/7)+1=2,MOD('🌱 Configuração'!$B$51+127-'🌱 Configuração'!$E$51,7)=0),"🚿 Água pura (EC &lt; 0.2)",""))))))))))))))))))))))</f>
        <v/>
      </c>
      <c r="G133" s="30" t="str">
        <f>IF(128&gt;'🌱 Configuração'!$F$50,"",IF(AND('🌱 Configuração'!$B$51+127&lt;'🌱 Configuração'!$C$51,INT((128-1)/7)+1=1,MOD(128-1,7)=0),"🐛 Nim 2mL/L foliar — preventivo",IF(AND('🌱 Configuração'!$B$51+127&lt;'🌱 Configuração'!$C$51,INT((128-1)/7)+1=2,MOD(128-1,7)=0),"🐛 Beauveria bassiana foliar + solo",IF(AND('🌱 Configuração'!$B$51+127&gt;='🌱 Configuração'!$C$51,'🌱 Configuração'!$B$51+127&lt;'🌱 Configuração'!$D$51,INT(('🌱 Configuração'!$B$51+127-'🌱 Configuração'!$C$51)/7)+1=1,MOD('🌱 Configuração'!$B$51+127-'🌱 Configuração'!$C$51,7)=0),"🐛 Nim 2mL/L foliar",IF(AND('🌱 Configuração'!$B$51+127&gt;='🌱 Configuração'!$C$51,'🌱 Configuração'!$B$51+127&lt;'🌱 Configuração'!$D$51,INT(('🌱 Configuração'!$B$51+127-'🌱 Configuração'!$C$51)/7)+1=2,MOD('🌱 Configuração'!$B$51+127-'🌱 Configuração'!$C$51,7)=0),"🐛 Beauveria bassiana foliar",IF(AND('🌱 Configuração'!$B$51+127&gt;='🌱 Configuração'!$C$51,'🌱 Configuração'!$B$51+127&lt;'🌱 Configuração'!$D$51,INT(('🌱 Configuração'!$B$51+127-'🌱 Configuração'!$C$51)/7)+1=3,MOD('🌱 Configuração'!$B$51+127-'🌱 Configuração'!$C$51,7)=0),"🐛 Nim + Calda Sulfocálcica 1%",IF(AND('🌱 Configuração'!$B$51+127&gt;='🌱 Configuração'!$C$51,'🌱 Configuração'!$B$51+127&lt;'🌱 Configuração'!$D$51,INT(('🌱 Configuração'!$B$51+127-'🌱 Configuração'!$C$51)/7)+1=4,MOD('🌱 Configuração'!$B$51+127-'🌱 Configuração'!$C$51,7)=0),"🐛 Trichoderma solo + Beauveria",IF(AND('🌱 Configuração'!$B$51+127&gt;='🌱 Configuração'!$C$51,'🌱 Configuração'!$B$51+127&lt;'🌱 Configuração'!$D$51,INT(('🌱 Configuração'!$B$51+127-'🌱 Configuração'!$C$51)/7)+1=5,MOD('🌱 Configuração'!$B$51+127-'🌱 Configuração'!$C$51,7)=0),"🐛 Calda Bordalesa 0.5% foliar",IF(AND('🌱 Configuração'!$B$51+127&gt;='🌱 Configuração'!$C$51,'🌱 Configuração'!$B$51+127&lt;'🌱 Configuração'!$D$51,INT(('🌱 Configuração'!$B$51+127-'🌱 Configuração'!$C$51)/7)+1=6,MOD('🌱 Configuração'!$B$51+127-'🌱 Configuração'!$C$51,7)=0),"🐛 Nim 2mL/L — ÚLTIMA foliar",IF(AND('🌱 Configuração'!$B$51+127&gt;='🌱 Configuração'!$D$51,'🌱 Configuração'!$B$51+127&lt;'🌱 Configuração'!$E$51,INT(('🌱 Configuração'!$B$51+127-'🌱 Configuração'!$D$51)/7)+1=1,MOD('🌱 Configuração'!$B$51+127-'🌱 Configuração'!$D$51,7)=0),"🐛 Beauveria bassiana solo (sem foliar)",IF(AND('🌱 Configuração'!$B$51+127&gt;='🌱 Configuração'!$D$51,'🌱 Configuração'!$B$51+127&lt;'🌱 Configuração'!$E$51,INT(('🌱 Configuração'!$B$51+127-'🌱 Configuração'!$D$51)/7)+1=2,MOD('🌱 Configuração'!$B$51+127-'🌱 Configuração'!$D$51,7)=0),"🐛 Trichoderma solo",IF(AND('🌱 Configuração'!$B$51+127&gt;='🌱 Configuração'!$D$51,'🌱 Configuração'!$B$51+127&lt;'🌱 Configuração'!$E$51,INT(('🌱 Configuração'!$B$51+127-'🌱 Configuração'!$D$51)/7)+1=3,MOD('🌱 Configuração'!$B$51+127-'🌱 Configuração'!$D$51,7)=0),"🐛 Beauveria bassiana solo",IF(AND('🌱 Configuração'!$B$51+127&gt;='🌱 Configuração'!$D$51,'🌱 Configuração'!$B$51+127&lt;'🌱 Configuração'!$E$51,INT(('🌱 Configuração'!$B$51+127-'🌱 Configuração'!$D$51)/7)+1=4,MOD('🌱 Configuração'!$B$51+127-'🌱 Configuração'!$D$51,7)=0),"🐛 Trichoderma solo",IF(AND('🌱 Configuração'!$B$51+127&gt;='🌱 Configuração'!$E$51,INT(('🌱 Configuração'!$B$51+127-'🌱 Configuração'!$E$51)/7)+1=1,MOD('🌱 Configuração'!$B$51+127-'🌱 Configuração'!$E$51,7)=0),"🐛 Inspeção final — sem aplicação",""))))))))))))))</f>
        <v/>
      </c>
      <c r="H133" s="22" t="str">
        <f>IF(128&gt;'🌱 Configuração'!$F$50,"",IF('🌱 Configuração'!$B$51+127='🌱 Configuração'!$C$51,"🌿 INÍCIO VEGA — ajustar espaço, luz 18h/dia — EC 0.8",IF('🌱 Configuração'!$B$51+127='🌱 Configuração'!$D$51,"🌸 INÍCIO FLORAÇÃO — mudar para 12h/12h — 🔴 atenção ao fotoperíodo",IF('🌱 Configuração'!$B$51+127='🌱 Configuração'!$E$51,"🚿 INÍCIO FLUSH — PARAR nutrição, somente água pura",IF('🌱 Configuração'!$B$51+127='🌱 Configuração'!$F$51-1,"🔬 Véspera da colheita — analisar tricomas âmbar",IF('🌱 Configuração'!$B$51+127='🌱 Configuração'!$F$51,"✂️ COLHEITA! Parabéns! 🎉",""))))))</f>
        <v/>
      </c>
    </row>
    <row r="134" spans="2:8" ht="18.75" customHeight="1" x14ac:dyDescent="0.3">
      <c r="B134" s="25" t="str">
        <f>IF(129&lt;='🌱 Configuração'!$F$50,129,"")</f>
        <v/>
      </c>
      <c r="C134" s="26" t="str">
        <f>IF(129&lt;='🌱 Configuração'!$F$50,'🌱 Configuração'!$B$51+128,"")</f>
        <v/>
      </c>
      <c r="D134" s="27" t="str">
        <f>IF(129&gt;'🌱 Configuração'!$F$50,"",IF('🌱 Configuração'!$B$51+128&lt;'🌱 Configuração'!$C$51,"🌱 Clone",IF('🌱 Configuração'!$B$51+128&lt;'🌱 Configuração'!$D$51,"🌿 Vegetativo",IF('🌱 Configuração'!$B$51+128&lt;'🌱 Configuração'!$E$51,"🌸 Floração","🚿 Flush"))))</f>
        <v/>
      </c>
      <c r="E134" s="28" t="str">
        <f>IF(129&gt;'🌱 Configuração'!$F$50,"",IF('🌱 Configuração'!$B$51+128&lt;'🌱 Configuração'!$C$51,"Clone S"&amp;INT((129-1)/7)+1,IF('🌱 Configuração'!$B$51+128&lt;'🌱 Configuração'!$D$51,"Vega S"&amp;INT(('🌱 Configuração'!$B$51+128-'🌱 Configuração'!$C$51)/7)+1,IF('🌱 Configuração'!$B$51+128&lt;'🌱 Configuração'!$E$51,"Flora S"&amp;INT(('🌱 Configuração'!$B$51+128-'🌱 Configuração'!$D$51)/7)+1,"Flush S"&amp;INT(('🌱 Configuração'!$B$51+128-'🌱 Configuração'!$E$51)/7)+1))))</f>
        <v/>
      </c>
      <c r="F134" s="29" t="str">
        <f>IF(129&gt;'🌱 Configuração'!$F$50,"",IF(AND('🌱 Configuração'!$B$51+128&lt;'🌱 Configuração'!$C$51,INT((129-1)/7)+1=1,MOD(129-1,7)=0),"🌱 Enraizador (0.5 mL/L)",IF(AND('🌱 Configuração'!$B$51+128&lt;'🌱 Configuração'!$C$51,INT((129-1)/7)+1=2,MOD(129-1,7)=0),"🌱 Enraizador + Vitamina B1",IF(AND('🌱 Configuração'!$B$51+128&gt;='🌱 Configuração'!$C$51,'🌱 Configuração'!$B$51+128&lt;'🌱 Configuração'!$D$51,INT(('🌱 Configuração'!$B$51+128-'🌱 Configuração'!$C$51)/7)+1=1,MOD('🌱 Configuração'!$B$51+128-'🌱 Configuração'!$C$51,7)=0),"🌿 Grow A+B início — EC 0.8",IF(AND('🌱 Configuração'!$B$51+128&gt;='🌱 Configuração'!$C$51,'🌱 Configuração'!$B$51+128&lt;'🌱 Configuração'!$D$51,INT(('🌱 Configuração'!$B$51+128-'🌱 Configuração'!$C$51)/7)+1=2,MOD('🌱 Configuração'!$B$51+128-'🌱 Configuração'!$C$51,7)=0),"🌿 Grow A+B + CalMag — EC 1.0",IF(AND('🌱 Configuração'!$B$51+128&gt;='🌱 Configuração'!$C$51,'🌱 Configuração'!$B$51+128&lt;'🌱 Configuração'!$D$51,INT(('🌱 Configuração'!$B$51+128-'🌱 Configuração'!$C$51)/7)+1=3,MOD('🌱 Configuração'!$B$51+128-'🌱 Configuração'!$C$51,7)=0),"🌿 Grow A+B + CalMag — EC 1.2",IF(AND('🌱 Configuração'!$B$51+128&gt;='🌱 Configuração'!$C$51,'🌱 Configuração'!$B$51+128&lt;'🌱 Configuração'!$D$51,INT(('🌱 Configuração'!$B$51+128-'🌱 Configuração'!$C$51)/7)+1=4,MOD('🌱 Configuração'!$B$51+128-'🌱 Configuração'!$C$51,7)=0),"🌿 Grow A+B + Enzimas — EC 1.4",IF(AND('🌱 Configuração'!$B$51+128&gt;='🌱 Configuração'!$C$51,'🌱 Configuração'!$B$51+128&lt;'🌱 Configuração'!$D$51,INT(('🌱 Configuração'!$B$51+128-'🌱 Configuração'!$C$51)/7)+1=5,MOD('🌱 Configuração'!$B$51+128-'🌱 Configuração'!$C$51,7)=0),"🌿 Grow A+B + Biorrizas — EC 1.5",IF(AND('🌱 Configuração'!$B$51+128&gt;='🌱 Configuração'!$C$51,'🌱 Configuração'!$B$51+128&lt;'🌱 Configuração'!$D$51,INT(('🌱 Configuração'!$B$51+128-'🌱 Configuração'!$C$51)/7)+1=6,MOD('🌱 Configuração'!$B$51+128-'🌱 Configuração'!$C$51,7)=0),"🌿 Transição Bloom — EC 1.4",IF(AND('🌱 Configuração'!$B$51+128&gt;='🌱 Configuração'!$C$51,'🌱 Configuração'!$B$51+128&lt;'🌱 Configuração'!$D$51,INT(('🌱 Configuração'!$B$51+128-'🌱 Configuração'!$C$51)/7)+1=7,MOD('🌱 Configuração'!$B$51+128-'🌱 Configuração'!$C$51,7)=0),"🌿 Bloom A+B transição — EC 1.4",IF(AND('🌱 Configuração'!$B$51+128&gt;='🌱 Configuração'!$C$51,'🌱 Configuração'!$B$51+128&lt;'🌱 Configuração'!$D$51,INT(('🌱 Configuração'!$B$51+128-'🌱 Configuração'!$C$51)/7)+1=8,MOD('🌱 Configuração'!$B$51+128-'🌱 Configuração'!$C$51,7)=0),"🌿 Bloom A+B — EC 1.4",IF(AND('🌱 Configuração'!$B$51+128&gt;='🌱 Configuração'!$D$51,'🌱 Configuração'!$B$51+128&lt;'🌱 Configuração'!$E$51,INT(('🌱 Configuração'!$B$51+128-'🌱 Configuração'!$D$51)/7)+1=1,MOD('🌱 Configuração'!$B$51+128-'🌱 Configuração'!$D$51,7)=0),"🌸 Bloom A+B — EC 1.6",IF(AND('🌱 Configuração'!$B$51+128&gt;='🌱 Configuração'!$D$51,'🌱 Configuração'!$B$51+128&lt;'🌱 Configuração'!$E$51,INT(('🌱 Configuração'!$B$51+128-'🌱 Configuração'!$D$51)/7)+1=2,MOD('🌱 Configuração'!$B$51+128-'🌱 Configuração'!$D$51,7)=0),"🌸 Bloom + PK 13/14 início",IF(AND('🌱 Configuração'!$B$51+128&gt;='🌱 Configuração'!$D$51,'🌱 Configuração'!$B$51+128&lt;'🌱 Configuração'!$E$51,INT(('🌱 Configuração'!$B$51+128-'🌱 Configuração'!$D$51)/7)+1=3,MOD('🌱 Configuração'!$B$51+128-'🌱 Configuração'!$D$51,7)=0),"🌸 Bloom + PK + CalMag — EC 1.8",IF(AND('🌱 Configuração'!$B$51+128&gt;='🌱 Configuração'!$D$51,'🌱 Configuração'!$B$51+128&lt;'🌱 Configuração'!$E$51,INT(('🌱 Configuração'!$B$51+128-'🌱 Configuração'!$D$51)/7)+1=4,MOD('🌱 Configuração'!$B$51+128-'🌱 Configuração'!$D$51,7)=0),"🌸 Bloom + PK + Boost Floral — EC 2.0",IF(AND('🌱 Configuração'!$B$51+128&gt;='🌱 Configuração'!$D$51,'🌱 Configuração'!$B$51+128&lt;'🌱 Configuração'!$E$51,INT(('🌱 Configuração'!$B$51+128-'🌱 Configuração'!$D$51)/7)+1=5,MOD('🌱 Configuração'!$B$51+128-'🌱 Configuração'!$D$51,7)=0),"🌸 Bloom + Boost + Amino",IF(AND('🌱 Configuração'!$B$51+128&gt;='🌱 Configuração'!$D$51,'🌱 Configuração'!$B$51+128&lt;'🌱 Configuração'!$E$51,INT(('🌱 Configuração'!$B$51+128-'🌱 Configuração'!$D$51)/7)+1=6,MOD('🌱 Configuração'!$B$51+128-'🌱 Configuração'!$D$51,7)=0),"🌸 Bloom + Enzimas + Amino",IF(AND('🌱 Configuração'!$B$51+128&gt;='🌱 Configuração'!$D$51,'🌱 Configuração'!$B$51+128&lt;'🌱 Configuração'!$E$51,INT(('🌱 Configuração'!$B$51+128-'🌱 Configuração'!$D$51)/7)+1=7,MOD('🌱 Configuração'!$B$51+128-'🌱 Configuração'!$D$51,7)=0),"🌸 Reduzir N — Bloom puro — EC 1.6",IF(AND('🌱 Configuração'!$B$51+128&gt;='🌱 Configuração'!$D$51,'🌱 Configuração'!$B$51+128&lt;'🌱 Configuração'!$E$51,INT(('🌱 Configuração'!$B$51+128-'🌱 Configuração'!$D$51)/7)+1=8,MOD('🌱 Configuração'!$B$51+128-'🌱 Configuração'!$D$51,7)=0),"🌸 Bloom puro — EC 1.4  (pré-flush)",IF(AND('🌱 Configuração'!$B$51+128&gt;='🌱 Configuração'!$D$51,'🌱 Configuração'!$B$51+128&lt;'🌱 Configuração'!$E$51,INT(('🌱 Configuração'!$B$51+128-'🌱 Configuração'!$D$51)/7)+1=9,MOD('🌱 Configuração'!$B$51+128-'🌱 Configuração'!$D$51,7)=0),"🌸 Último Bloom — EC 0.8",IF(AND('🌱 Configuração'!$B$51+128&gt;='🌱 Configuração'!$E$51,INT(('🌱 Configuração'!$B$51+128-'🌱 Configuração'!$E$51)/7)+1=1,MOD('🌱 Configuração'!$B$51+128-'🌱 Configuração'!$E$51,7)=0),"🚿 Água pura + Enzimas (EC &lt; 0.3)",IF(AND('🌱 Configuração'!$B$51+128&gt;='🌱 Configuração'!$E$51,INT(('🌱 Configuração'!$B$51+128-'🌱 Configuração'!$E$51)/7)+1=2,MOD('🌱 Configuração'!$B$51+128-'🌱 Configuração'!$E$51,7)=0),"🚿 Água pura (EC &lt; 0.2)",""))))))))))))))))))))))</f>
        <v/>
      </c>
      <c r="G134" s="30" t="str">
        <f>IF(129&gt;'🌱 Configuração'!$F$50,"",IF(AND('🌱 Configuração'!$B$51+128&lt;'🌱 Configuração'!$C$51,INT((129-1)/7)+1=1,MOD(129-1,7)=0),"🐛 Nim 2mL/L foliar — preventivo",IF(AND('🌱 Configuração'!$B$51+128&lt;'🌱 Configuração'!$C$51,INT((129-1)/7)+1=2,MOD(129-1,7)=0),"🐛 Beauveria bassiana foliar + solo",IF(AND('🌱 Configuração'!$B$51+128&gt;='🌱 Configuração'!$C$51,'🌱 Configuração'!$B$51+128&lt;'🌱 Configuração'!$D$51,INT(('🌱 Configuração'!$B$51+128-'🌱 Configuração'!$C$51)/7)+1=1,MOD('🌱 Configuração'!$B$51+128-'🌱 Configuração'!$C$51,7)=0),"🐛 Nim 2mL/L foliar",IF(AND('🌱 Configuração'!$B$51+128&gt;='🌱 Configuração'!$C$51,'🌱 Configuração'!$B$51+128&lt;'🌱 Configuração'!$D$51,INT(('🌱 Configuração'!$B$51+128-'🌱 Configuração'!$C$51)/7)+1=2,MOD('🌱 Configuração'!$B$51+128-'🌱 Configuração'!$C$51,7)=0),"🐛 Beauveria bassiana foliar",IF(AND('🌱 Configuração'!$B$51+128&gt;='🌱 Configuração'!$C$51,'🌱 Configuração'!$B$51+128&lt;'🌱 Configuração'!$D$51,INT(('🌱 Configuração'!$B$51+128-'🌱 Configuração'!$C$51)/7)+1=3,MOD('🌱 Configuração'!$B$51+128-'🌱 Configuração'!$C$51,7)=0),"🐛 Nim + Calda Sulfocálcica 1%",IF(AND('🌱 Configuração'!$B$51+128&gt;='🌱 Configuração'!$C$51,'🌱 Configuração'!$B$51+128&lt;'🌱 Configuração'!$D$51,INT(('🌱 Configuração'!$B$51+128-'🌱 Configuração'!$C$51)/7)+1=4,MOD('🌱 Configuração'!$B$51+128-'🌱 Configuração'!$C$51,7)=0),"🐛 Trichoderma solo + Beauveria",IF(AND('🌱 Configuração'!$B$51+128&gt;='🌱 Configuração'!$C$51,'🌱 Configuração'!$B$51+128&lt;'🌱 Configuração'!$D$51,INT(('🌱 Configuração'!$B$51+128-'🌱 Configuração'!$C$51)/7)+1=5,MOD('🌱 Configuração'!$B$51+128-'🌱 Configuração'!$C$51,7)=0),"🐛 Calda Bordalesa 0.5% foliar",IF(AND('🌱 Configuração'!$B$51+128&gt;='🌱 Configuração'!$C$51,'🌱 Configuração'!$B$51+128&lt;'🌱 Configuração'!$D$51,INT(('🌱 Configuração'!$B$51+128-'🌱 Configuração'!$C$51)/7)+1=6,MOD('🌱 Configuração'!$B$51+128-'🌱 Configuração'!$C$51,7)=0),"🐛 Nim 2mL/L — ÚLTIMA foliar",IF(AND('🌱 Configuração'!$B$51+128&gt;='🌱 Configuração'!$D$51,'🌱 Configuração'!$B$51+128&lt;'🌱 Configuração'!$E$51,INT(('🌱 Configuração'!$B$51+128-'🌱 Configuração'!$D$51)/7)+1=1,MOD('🌱 Configuração'!$B$51+128-'🌱 Configuração'!$D$51,7)=0),"🐛 Beauveria bassiana solo (sem foliar)",IF(AND('🌱 Configuração'!$B$51+128&gt;='🌱 Configuração'!$D$51,'🌱 Configuração'!$B$51+128&lt;'🌱 Configuração'!$E$51,INT(('🌱 Configuração'!$B$51+128-'🌱 Configuração'!$D$51)/7)+1=2,MOD('🌱 Configuração'!$B$51+128-'🌱 Configuração'!$D$51,7)=0),"🐛 Trichoderma solo",IF(AND('🌱 Configuração'!$B$51+128&gt;='🌱 Configuração'!$D$51,'🌱 Configuração'!$B$51+128&lt;'🌱 Configuração'!$E$51,INT(('🌱 Configuração'!$B$51+128-'🌱 Configuração'!$D$51)/7)+1=3,MOD('🌱 Configuração'!$B$51+128-'🌱 Configuração'!$D$51,7)=0),"🐛 Beauveria bassiana solo",IF(AND('🌱 Configuração'!$B$51+128&gt;='🌱 Configuração'!$D$51,'🌱 Configuração'!$B$51+128&lt;'🌱 Configuração'!$E$51,INT(('🌱 Configuração'!$B$51+128-'🌱 Configuração'!$D$51)/7)+1=4,MOD('🌱 Configuração'!$B$51+128-'🌱 Configuração'!$D$51,7)=0),"🐛 Trichoderma solo",IF(AND('🌱 Configuração'!$B$51+128&gt;='🌱 Configuração'!$E$51,INT(('🌱 Configuração'!$B$51+128-'🌱 Configuração'!$E$51)/7)+1=1,MOD('🌱 Configuração'!$B$51+128-'🌱 Configuração'!$E$51,7)=0),"🐛 Inspeção final — sem aplicação",""))))))))))))))</f>
        <v/>
      </c>
      <c r="H134" s="22" t="str">
        <f>IF(129&gt;'🌱 Configuração'!$F$50,"",IF('🌱 Configuração'!$B$51+128='🌱 Configuração'!$C$51,"🌿 INÍCIO VEGA — ajustar espaço, luz 18h/dia — EC 0.8",IF('🌱 Configuração'!$B$51+128='🌱 Configuração'!$D$51,"🌸 INÍCIO FLORAÇÃO — mudar para 12h/12h — 🔴 atenção ao fotoperíodo",IF('🌱 Configuração'!$B$51+128='🌱 Configuração'!$E$51,"🚿 INÍCIO FLUSH — PARAR nutrição, somente água pura",IF('🌱 Configuração'!$B$51+128='🌱 Configuração'!$F$51-1,"🔬 Véspera da colheita — analisar tricomas âmbar",IF('🌱 Configuração'!$B$51+128='🌱 Configuração'!$F$51,"✂️ COLHEITA! Parabéns! 🎉",""))))))</f>
        <v/>
      </c>
    </row>
    <row r="135" spans="2:8" ht="18.75" customHeight="1" x14ac:dyDescent="0.3">
      <c r="B135" s="25" t="str">
        <f>IF(130&lt;='🌱 Configuração'!$F$50,130,"")</f>
        <v/>
      </c>
      <c r="C135" s="26" t="str">
        <f>IF(130&lt;='🌱 Configuração'!$F$50,'🌱 Configuração'!$B$51+129,"")</f>
        <v/>
      </c>
      <c r="D135" s="27" t="str">
        <f>IF(130&gt;'🌱 Configuração'!$F$50,"",IF('🌱 Configuração'!$B$51+129&lt;'🌱 Configuração'!$C$51,"🌱 Clone",IF('🌱 Configuração'!$B$51+129&lt;'🌱 Configuração'!$D$51,"🌿 Vegetativo",IF('🌱 Configuração'!$B$51+129&lt;'🌱 Configuração'!$E$51,"🌸 Floração","🚿 Flush"))))</f>
        <v/>
      </c>
      <c r="E135" s="28" t="str">
        <f>IF(130&gt;'🌱 Configuração'!$F$50,"",IF('🌱 Configuração'!$B$51+129&lt;'🌱 Configuração'!$C$51,"Clone S"&amp;INT((130-1)/7)+1,IF('🌱 Configuração'!$B$51+129&lt;'🌱 Configuração'!$D$51,"Vega S"&amp;INT(('🌱 Configuração'!$B$51+129-'🌱 Configuração'!$C$51)/7)+1,IF('🌱 Configuração'!$B$51+129&lt;'🌱 Configuração'!$E$51,"Flora S"&amp;INT(('🌱 Configuração'!$B$51+129-'🌱 Configuração'!$D$51)/7)+1,"Flush S"&amp;INT(('🌱 Configuração'!$B$51+129-'🌱 Configuração'!$E$51)/7)+1))))</f>
        <v/>
      </c>
      <c r="F135" s="29" t="str">
        <f>IF(130&gt;'🌱 Configuração'!$F$50,"",IF(AND('🌱 Configuração'!$B$51+129&lt;'🌱 Configuração'!$C$51,INT((130-1)/7)+1=1,MOD(130-1,7)=0),"🌱 Enraizador (0.5 mL/L)",IF(AND('🌱 Configuração'!$B$51+129&lt;'🌱 Configuração'!$C$51,INT((130-1)/7)+1=2,MOD(130-1,7)=0),"🌱 Enraizador + Vitamina B1",IF(AND('🌱 Configuração'!$B$51+129&gt;='🌱 Configuração'!$C$51,'🌱 Configuração'!$B$51+129&lt;'🌱 Configuração'!$D$51,INT(('🌱 Configuração'!$B$51+129-'🌱 Configuração'!$C$51)/7)+1=1,MOD('🌱 Configuração'!$B$51+129-'🌱 Configuração'!$C$51,7)=0),"🌿 Grow A+B início — EC 0.8",IF(AND('🌱 Configuração'!$B$51+129&gt;='🌱 Configuração'!$C$51,'🌱 Configuração'!$B$51+129&lt;'🌱 Configuração'!$D$51,INT(('🌱 Configuração'!$B$51+129-'🌱 Configuração'!$C$51)/7)+1=2,MOD('🌱 Configuração'!$B$51+129-'🌱 Configuração'!$C$51,7)=0),"🌿 Grow A+B + CalMag — EC 1.0",IF(AND('🌱 Configuração'!$B$51+129&gt;='🌱 Configuração'!$C$51,'🌱 Configuração'!$B$51+129&lt;'🌱 Configuração'!$D$51,INT(('🌱 Configuração'!$B$51+129-'🌱 Configuração'!$C$51)/7)+1=3,MOD('🌱 Configuração'!$B$51+129-'🌱 Configuração'!$C$51,7)=0),"🌿 Grow A+B + CalMag — EC 1.2",IF(AND('🌱 Configuração'!$B$51+129&gt;='🌱 Configuração'!$C$51,'🌱 Configuração'!$B$51+129&lt;'🌱 Configuração'!$D$51,INT(('🌱 Configuração'!$B$51+129-'🌱 Configuração'!$C$51)/7)+1=4,MOD('🌱 Configuração'!$B$51+129-'🌱 Configuração'!$C$51,7)=0),"🌿 Grow A+B + Enzimas — EC 1.4",IF(AND('🌱 Configuração'!$B$51+129&gt;='🌱 Configuração'!$C$51,'🌱 Configuração'!$B$51+129&lt;'🌱 Configuração'!$D$51,INT(('🌱 Configuração'!$B$51+129-'🌱 Configuração'!$C$51)/7)+1=5,MOD('🌱 Configuração'!$B$51+129-'🌱 Configuração'!$C$51,7)=0),"🌿 Grow A+B + Biorrizas — EC 1.5",IF(AND('🌱 Configuração'!$B$51+129&gt;='🌱 Configuração'!$C$51,'🌱 Configuração'!$B$51+129&lt;'🌱 Configuração'!$D$51,INT(('🌱 Configuração'!$B$51+129-'🌱 Configuração'!$C$51)/7)+1=6,MOD('🌱 Configuração'!$B$51+129-'🌱 Configuração'!$C$51,7)=0),"🌿 Transição Bloom — EC 1.4",IF(AND('🌱 Configuração'!$B$51+129&gt;='🌱 Configuração'!$C$51,'🌱 Configuração'!$B$51+129&lt;'🌱 Configuração'!$D$51,INT(('🌱 Configuração'!$B$51+129-'🌱 Configuração'!$C$51)/7)+1=7,MOD('🌱 Configuração'!$B$51+129-'🌱 Configuração'!$C$51,7)=0),"🌿 Bloom A+B transição — EC 1.4",IF(AND('🌱 Configuração'!$B$51+129&gt;='🌱 Configuração'!$C$51,'🌱 Configuração'!$B$51+129&lt;'🌱 Configuração'!$D$51,INT(('🌱 Configuração'!$B$51+129-'🌱 Configuração'!$C$51)/7)+1=8,MOD('🌱 Configuração'!$B$51+129-'🌱 Configuração'!$C$51,7)=0),"🌿 Bloom A+B — EC 1.4",IF(AND('🌱 Configuração'!$B$51+129&gt;='🌱 Configuração'!$D$51,'🌱 Configuração'!$B$51+129&lt;'🌱 Configuração'!$E$51,INT(('🌱 Configuração'!$B$51+129-'🌱 Configuração'!$D$51)/7)+1=1,MOD('🌱 Configuração'!$B$51+129-'🌱 Configuração'!$D$51,7)=0),"🌸 Bloom A+B — EC 1.6",IF(AND('🌱 Configuração'!$B$51+129&gt;='🌱 Configuração'!$D$51,'🌱 Configuração'!$B$51+129&lt;'🌱 Configuração'!$E$51,INT(('🌱 Configuração'!$B$51+129-'🌱 Configuração'!$D$51)/7)+1=2,MOD('🌱 Configuração'!$B$51+129-'🌱 Configuração'!$D$51,7)=0),"🌸 Bloom + PK 13/14 início",IF(AND('🌱 Configuração'!$B$51+129&gt;='🌱 Configuração'!$D$51,'🌱 Configuração'!$B$51+129&lt;'🌱 Configuração'!$E$51,INT(('🌱 Configuração'!$B$51+129-'🌱 Configuração'!$D$51)/7)+1=3,MOD('🌱 Configuração'!$B$51+129-'🌱 Configuração'!$D$51,7)=0),"🌸 Bloom + PK + CalMag — EC 1.8",IF(AND('🌱 Configuração'!$B$51+129&gt;='🌱 Configuração'!$D$51,'🌱 Configuração'!$B$51+129&lt;'🌱 Configuração'!$E$51,INT(('🌱 Configuração'!$B$51+129-'🌱 Configuração'!$D$51)/7)+1=4,MOD('🌱 Configuração'!$B$51+129-'🌱 Configuração'!$D$51,7)=0),"🌸 Bloom + PK + Boost Floral — EC 2.0",IF(AND('🌱 Configuração'!$B$51+129&gt;='🌱 Configuração'!$D$51,'🌱 Configuração'!$B$51+129&lt;'🌱 Configuração'!$E$51,INT(('🌱 Configuração'!$B$51+129-'🌱 Configuração'!$D$51)/7)+1=5,MOD('🌱 Configuração'!$B$51+129-'🌱 Configuração'!$D$51,7)=0),"🌸 Bloom + Boost + Amino",IF(AND('🌱 Configuração'!$B$51+129&gt;='🌱 Configuração'!$D$51,'🌱 Configuração'!$B$51+129&lt;'🌱 Configuração'!$E$51,INT(('🌱 Configuração'!$B$51+129-'🌱 Configuração'!$D$51)/7)+1=6,MOD('🌱 Configuração'!$B$51+129-'🌱 Configuração'!$D$51,7)=0),"🌸 Bloom + Enzimas + Amino",IF(AND('🌱 Configuração'!$B$51+129&gt;='🌱 Configuração'!$D$51,'🌱 Configuração'!$B$51+129&lt;'🌱 Configuração'!$E$51,INT(('🌱 Configuração'!$B$51+129-'🌱 Configuração'!$D$51)/7)+1=7,MOD('🌱 Configuração'!$B$51+129-'🌱 Configuração'!$D$51,7)=0),"🌸 Reduzir N — Bloom puro — EC 1.6",IF(AND('🌱 Configuração'!$B$51+129&gt;='🌱 Configuração'!$D$51,'🌱 Configuração'!$B$51+129&lt;'🌱 Configuração'!$E$51,INT(('🌱 Configuração'!$B$51+129-'🌱 Configuração'!$D$51)/7)+1=8,MOD('🌱 Configuração'!$B$51+129-'🌱 Configuração'!$D$51,7)=0),"🌸 Bloom puro — EC 1.4  (pré-flush)",IF(AND('🌱 Configuração'!$B$51+129&gt;='🌱 Configuração'!$D$51,'🌱 Configuração'!$B$51+129&lt;'🌱 Configuração'!$E$51,INT(('🌱 Configuração'!$B$51+129-'🌱 Configuração'!$D$51)/7)+1=9,MOD('🌱 Configuração'!$B$51+129-'🌱 Configuração'!$D$51,7)=0),"🌸 Último Bloom — EC 0.8",IF(AND('🌱 Configuração'!$B$51+129&gt;='🌱 Configuração'!$E$51,INT(('🌱 Configuração'!$B$51+129-'🌱 Configuração'!$E$51)/7)+1=1,MOD('🌱 Configuração'!$B$51+129-'🌱 Configuração'!$E$51,7)=0),"🚿 Água pura + Enzimas (EC &lt; 0.3)",IF(AND('🌱 Configuração'!$B$51+129&gt;='🌱 Configuração'!$E$51,INT(('🌱 Configuração'!$B$51+129-'🌱 Configuração'!$E$51)/7)+1=2,MOD('🌱 Configuração'!$B$51+129-'🌱 Configuração'!$E$51,7)=0),"🚿 Água pura (EC &lt; 0.2)",""))))))))))))))))))))))</f>
        <v/>
      </c>
      <c r="G135" s="30" t="str">
        <f>IF(130&gt;'🌱 Configuração'!$F$50,"",IF(AND('🌱 Configuração'!$B$51+129&lt;'🌱 Configuração'!$C$51,INT((130-1)/7)+1=1,MOD(130-1,7)=0),"🐛 Nim 2mL/L foliar — preventivo",IF(AND('🌱 Configuração'!$B$51+129&lt;'🌱 Configuração'!$C$51,INT((130-1)/7)+1=2,MOD(130-1,7)=0),"🐛 Beauveria bassiana foliar + solo",IF(AND('🌱 Configuração'!$B$51+129&gt;='🌱 Configuração'!$C$51,'🌱 Configuração'!$B$51+129&lt;'🌱 Configuração'!$D$51,INT(('🌱 Configuração'!$B$51+129-'🌱 Configuração'!$C$51)/7)+1=1,MOD('🌱 Configuração'!$B$51+129-'🌱 Configuração'!$C$51,7)=0),"🐛 Nim 2mL/L foliar",IF(AND('🌱 Configuração'!$B$51+129&gt;='🌱 Configuração'!$C$51,'🌱 Configuração'!$B$51+129&lt;'🌱 Configuração'!$D$51,INT(('🌱 Configuração'!$B$51+129-'🌱 Configuração'!$C$51)/7)+1=2,MOD('🌱 Configuração'!$B$51+129-'🌱 Configuração'!$C$51,7)=0),"🐛 Beauveria bassiana foliar",IF(AND('🌱 Configuração'!$B$51+129&gt;='🌱 Configuração'!$C$51,'🌱 Configuração'!$B$51+129&lt;'🌱 Configuração'!$D$51,INT(('🌱 Configuração'!$B$51+129-'🌱 Configuração'!$C$51)/7)+1=3,MOD('🌱 Configuração'!$B$51+129-'🌱 Configuração'!$C$51,7)=0),"🐛 Nim + Calda Sulfocálcica 1%",IF(AND('🌱 Configuração'!$B$51+129&gt;='🌱 Configuração'!$C$51,'🌱 Configuração'!$B$51+129&lt;'🌱 Configuração'!$D$51,INT(('🌱 Configuração'!$B$51+129-'🌱 Configuração'!$C$51)/7)+1=4,MOD('🌱 Configuração'!$B$51+129-'🌱 Configuração'!$C$51,7)=0),"🐛 Trichoderma solo + Beauveria",IF(AND('🌱 Configuração'!$B$51+129&gt;='🌱 Configuração'!$C$51,'🌱 Configuração'!$B$51+129&lt;'🌱 Configuração'!$D$51,INT(('🌱 Configuração'!$B$51+129-'🌱 Configuração'!$C$51)/7)+1=5,MOD('🌱 Configuração'!$B$51+129-'🌱 Configuração'!$C$51,7)=0),"🐛 Calda Bordalesa 0.5% foliar",IF(AND('🌱 Configuração'!$B$51+129&gt;='🌱 Configuração'!$C$51,'🌱 Configuração'!$B$51+129&lt;'🌱 Configuração'!$D$51,INT(('🌱 Configuração'!$B$51+129-'🌱 Configuração'!$C$51)/7)+1=6,MOD('🌱 Configuração'!$B$51+129-'🌱 Configuração'!$C$51,7)=0),"🐛 Nim 2mL/L — ÚLTIMA foliar",IF(AND('🌱 Configuração'!$B$51+129&gt;='🌱 Configuração'!$D$51,'🌱 Configuração'!$B$51+129&lt;'🌱 Configuração'!$E$51,INT(('🌱 Configuração'!$B$51+129-'🌱 Configuração'!$D$51)/7)+1=1,MOD('🌱 Configuração'!$B$51+129-'🌱 Configuração'!$D$51,7)=0),"🐛 Beauveria bassiana solo (sem foliar)",IF(AND('🌱 Configuração'!$B$51+129&gt;='🌱 Configuração'!$D$51,'🌱 Configuração'!$B$51+129&lt;'🌱 Configuração'!$E$51,INT(('🌱 Configuração'!$B$51+129-'🌱 Configuração'!$D$51)/7)+1=2,MOD('🌱 Configuração'!$B$51+129-'🌱 Configuração'!$D$51,7)=0),"🐛 Trichoderma solo",IF(AND('🌱 Configuração'!$B$51+129&gt;='🌱 Configuração'!$D$51,'🌱 Configuração'!$B$51+129&lt;'🌱 Configuração'!$E$51,INT(('🌱 Configuração'!$B$51+129-'🌱 Configuração'!$D$51)/7)+1=3,MOD('🌱 Configuração'!$B$51+129-'🌱 Configuração'!$D$51,7)=0),"🐛 Beauveria bassiana solo",IF(AND('🌱 Configuração'!$B$51+129&gt;='🌱 Configuração'!$D$51,'🌱 Configuração'!$B$51+129&lt;'🌱 Configuração'!$E$51,INT(('🌱 Configuração'!$B$51+129-'🌱 Configuração'!$D$51)/7)+1=4,MOD('🌱 Configuração'!$B$51+129-'🌱 Configuração'!$D$51,7)=0),"🐛 Trichoderma solo",IF(AND('🌱 Configuração'!$B$51+129&gt;='🌱 Configuração'!$E$51,INT(('🌱 Configuração'!$B$51+129-'🌱 Configuração'!$E$51)/7)+1=1,MOD('🌱 Configuração'!$B$51+129-'🌱 Configuração'!$E$51,7)=0),"🐛 Inspeção final — sem aplicação",""))))))))))))))</f>
        <v/>
      </c>
      <c r="H135" s="22" t="str">
        <f>IF(130&gt;'🌱 Configuração'!$F$50,"",IF('🌱 Configuração'!$B$51+129='🌱 Configuração'!$C$51,"🌿 INÍCIO VEGA — ajustar espaço, luz 18h/dia — EC 0.8",IF('🌱 Configuração'!$B$51+129='🌱 Configuração'!$D$51,"🌸 INÍCIO FLORAÇÃO — mudar para 12h/12h — 🔴 atenção ao fotoperíodo",IF('🌱 Configuração'!$B$51+129='🌱 Configuração'!$E$51,"🚿 INÍCIO FLUSH — PARAR nutrição, somente água pura",IF('🌱 Configuração'!$B$51+129='🌱 Configuração'!$F$51-1,"🔬 Véspera da colheita — analisar tricomas âmbar",IF('🌱 Configuração'!$B$51+129='🌱 Configuração'!$F$51,"✂️ COLHEITA! Parabéns! 🎉",""))))))</f>
        <v/>
      </c>
    </row>
    <row r="136" spans="2:8" ht="18.75" customHeight="1" x14ac:dyDescent="0.3">
      <c r="B136" s="25" t="str">
        <f>IF(131&lt;='🌱 Configuração'!$F$50,131,"")</f>
        <v/>
      </c>
      <c r="C136" s="26" t="str">
        <f>IF(131&lt;='🌱 Configuração'!$F$50,'🌱 Configuração'!$B$51+130,"")</f>
        <v/>
      </c>
      <c r="D136" s="27" t="str">
        <f>IF(131&gt;'🌱 Configuração'!$F$50,"",IF('🌱 Configuração'!$B$51+130&lt;'🌱 Configuração'!$C$51,"🌱 Clone",IF('🌱 Configuração'!$B$51+130&lt;'🌱 Configuração'!$D$51,"🌿 Vegetativo",IF('🌱 Configuração'!$B$51+130&lt;'🌱 Configuração'!$E$51,"🌸 Floração","🚿 Flush"))))</f>
        <v/>
      </c>
      <c r="E136" s="28" t="str">
        <f>IF(131&gt;'🌱 Configuração'!$F$50,"",IF('🌱 Configuração'!$B$51+130&lt;'🌱 Configuração'!$C$51,"Clone S"&amp;INT((131-1)/7)+1,IF('🌱 Configuração'!$B$51+130&lt;'🌱 Configuração'!$D$51,"Vega S"&amp;INT(('🌱 Configuração'!$B$51+130-'🌱 Configuração'!$C$51)/7)+1,IF('🌱 Configuração'!$B$51+130&lt;'🌱 Configuração'!$E$51,"Flora S"&amp;INT(('🌱 Configuração'!$B$51+130-'🌱 Configuração'!$D$51)/7)+1,"Flush S"&amp;INT(('🌱 Configuração'!$B$51+130-'🌱 Configuração'!$E$51)/7)+1))))</f>
        <v/>
      </c>
      <c r="F136" s="29" t="str">
        <f>IF(131&gt;'🌱 Configuração'!$F$50,"",IF(AND('🌱 Configuração'!$B$51+130&lt;'🌱 Configuração'!$C$51,INT((131-1)/7)+1=1,MOD(131-1,7)=0),"🌱 Enraizador (0.5 mL/L)",IF(AND('🌱 Configuração'!$B$51+130&lt;'🌱 Configuração'!$C$51,INT((131-1)/7)+1=2,MOD(131-1,7)=0),"🌱 Enraizador + Vitamina B1",IF(AND('🌱 Configuração'!$B$51+130&gt;='🌱 Configuração'!$C$51,'🌱 Configuração'!$B$51+130&lt;'🌱 Configuração'!$D$51,INT(('🌱 Configuração'!$B$51+130-'🌱 Configuração'!$C$51)/7)+1=1,MOD('🌱 Configuração'!$B$51+130-'🌱 Configuração'!$C$51,7)=0),"🌿 Grow A+B início — EC 0.8",IF(AND('🌱 Configuração'!$B$51+130&gt;='🌱 Configuração'!$C$51,'🌱 Configuração'!$B$51+130&lt;'🌱 Configuração'!$D$51,INT(('🌱 Configuração'!$B$51+130-'🌱 Configuração'!$C$51)/7)+1=2,MOD('🌱 Configuração'!$B$51+130-'🌱 Configuração'!$C$51,7)=0),"🌿 Grow A+B + CalMag — EC 1.0",IF(AND('🌱 Configuração'!$B$51+130&gt;='🌱 Configuração'!$C$51,'🌱 Configuração'!$B$51+130&lt;'🌱 Configuração'!$D$51,INT(('🌱 Configuração'!$B$51+130-'🌱 Configuração'!$C$51)/7)+1=3,MOD('🌱 Configuração'!$B$51+130-'🌱 Configuração'!$C$51,7)=0),"🌿 Grow A+B + CalMag — EC 1.2",IF(AND('🌱 Configuração'!$B$51+130&gt;='🌱 Configuração'!$C$51,'🌱 Configuração'!$B$51+130&lt;'🌱 Configuração'!$D$51,INT(('🌱 Configuração'!$B$51+130-'🌱 Configuração'!$C$51)/7)+1=4,MOD('🌱 Configuração'!$B$51+130-'🌱 Configuração'!$C$51,7)=0),"🌿 Grow A+B + Enzimas — EC 1.4",IF(AND('🌱 Configuração'!$B$51+130&gt;='🌱 Configuração'!$C$51,'🌱 Configuração'!$B$51+130&lt;'🌱 Configuração'!$D$51,INT(('🌱 Configuração'!$B$51+130-'🌱 Configuração'!$C$51)/7)+1=5,MOD('🌱 Configuração'!$B$51+130-'🌱 Configuração'!$C$51,7)=0),"🌿 Grow A+B + Biorrizas — EC 1.5",IF(AND('🌱 Configuração'!$B$51+130&gt;='🌱 Configuração'!$C$51,'🌱 Configuração'!$B$51+130&lt;'🌱 Configuração'!$D$51,INT(('🌱 Configuração'!$B$51+130-'🌱 Configuração'!$C$51)/7)+1=6,MOD('🌱 Configuração'!$B$51+130-'🌱 Configuração'!$C$51,7)=0),"🌿 Transição Bloom — EC 1.4",IF(AND('🌱 Configuração'!$B$51+130&gt;='🌱 Configuração'!$C$51,'🌱 Configuração'!$B$51+130&lt;'🌱 Configuração'!$D$51,INT(('🌱 Configuração'!$B$51+130-'🌱 Configuração'!$C$51)/7)+1=7,MOD('🌱 Configuração'!$B$51+130-'🌱 Configuração'!$C$51,7)=0),"🌿 Bloom A+B transição — EC 1.4",IF(AND('🌱 Configuração'!$B$51+130&gt;='🌱 Configuração'!$C$51,'🌱 Configuração'!$B$51+130&lt;'🌱 Configuração'!$D$51,INT(('🌱 Configuração'!$B$51+130-'🌱 Configuração'!$C$51)/7)+1=8,MOD('🌱 Configuração'!$B$51+130-'🌱 Configuração'!$C$51,7)=0),"🌿 Bloom A+B — EC 1.4",IF(AND('🌱 Configuração'!$B$51+130&gt;='🌱 Configuração'!$D$51,'🌱 Configuração'!$B$51+130&lt;'🌱 Configuração'!$E$51,INT(('🌱 Configuração'!$B$51+130-'🌱 Configuração'!$D$51)/7)+1=1,MOD('🌱 Configuração'!$B$51+130-'🌱 Configuração'!$D$51,7)=0),"🌸 Bloom A+B — EC 1.6",IF(AND('🌱 Configuração'!$B$51+130&gt;='🌱 Configuração'!$D$51,'🌱 Configuração'!$B$51+130&lt;'🌱 Configuração'!$E$51,INT(('🌱 Configuração'!$B$51+130-'🌱 Configuração'!$D$51)/7)+1=2,MOD('🌱 Configuração'!$B$51+130-'🌱 Configuração'!$D$51,7)=0),"🌸 Bloom + PK 13/14 início",IF(AND('🌱 Configuração'!$B$51+130&gt;='🌱 Configuração'!$D$51,'🌱 Configuração'!$B$51+130&lt;'🌱 Configuração'!$E$51,INT(('🌱 Configuração'!$B$51+130-'🌱 Configuração'!$D$51)/7)+1=3,MOD('🌱 Configuração'!$B$51+130-'🌱 Configuração'!$D$51,7)=0),"🌸 Bloom + PK + CalMag — EC 1.8",IF(AND('🌱 Configuração'!$B$51+130&gt;='🌱 Configuração'!$D$51,'🌱 Configuração'!$B$51+130&lt;'🌱 Configuração'!$E$51,INT(('🌱 Configuração'!$B$51+130-'🌱 Configuração'!$D$51)/7)+1=4,MOD('🌱 Configuração'!$B$51+130-'🌱 Configuração'!$D$51,7)=0),"🌸 Bloom + PK + Boost Floral — EC 2.0",IF(AND('🌱 Configuração'!$B$51+130&gt;='🌱 Configuração'!$D$51,'🌱 Configuração'!$B$51+130&lt;'🌱 Configuração'!$E$51,INT(('🌱 Configuração'!$B$51+130-'🌱 Configuração'!$D$51)/7)+1=5,MOD('🌱 Configuração'!$B$51+130-'🌱 Configuração'!$D$51,7)=0),"🌸 Bloom + Boost + Amino",IF(AND('🌱 Configuração'!$B$51+130&gt;='🌱 Configuração'!$D$51,'🌱 Configuração'!$B$51+130&lt;'🌱 Configuração'!$E$51,INT(('🌱 Configuração'!$B$51+130-'🌱 Configuração'!$D$51)/7)+1=6,MOD('🌱 Configuração'!$B$51+130-'🌱 Configuração'!$D$51,7)=0),"🌸 Bloom + Enzimas + Amino",IF(AND('🌱 Configuração'!$B$51+130&gt;='🌱 Configuração'!$D$51,'🌱 Configuração'!$B$51+130&lt;'🌱 Configuração'!$E$51,INT(('🌱 Configuração'!$B$51+130-'🌱 Configuração'!$D$51)/7)+1=7,MOD('🌱 Configuração'!$B$51+130-'🌱 Configuração'!$D$51,7)=0),"🌸 Reduzir N — Bloom puro — EC 1.6",IF(AND('🌱 Configuração'!$B$51+130&gt;='🌱 Configuração'!$D$51,'🌱 Configuração'!$B$51+130&lt;'🌱 Configuração'!$E$51,INT(('🌱 Configuração'!$B$51+130-'🌱 Configuração'!$D$51)/7)+1=8,MOD('🌱 Configuração'!$B$51+130-'🌱 Configuração'!$D$51,7)=0),"🌸 Bloom puro — EC 1.4  (pré-flush)",IF(AND('🌱 Configuração'!$B$51+130&gt;='🌱 Configuração'!$D$51,'🌱 Configuração'!$B$51+130&lt;'🌱 Configuração'!$E$51,INT(('🌱 Configuração'!$B$51+130-'🌱 Configuração'!$D$51)/7)+1=9,MOD('🌱 Configuração'!$B$51+130-'🌱 Configuração'!$D$51,7)=0),"🌸 Último Bloom — EC 0.8",IF(AND('🌱 Configuração'!$B$51+130&gt;='🌱 Configuração'!$E$51,INT(('🌱 Configuração'!$B$51+130-'🌱 Configuração'!$E$51)/7)+1=1,MOD('🌱 Configuração'!$B$51+130-'🌱 Configuração'!$E$51,7)=0),"🚿 Água pura + Enzimas (EC &lt; 0.3)",IF(AND('🌱 Configuração'!$B$51+130&gt;='🌱 Configuração'!$E$51,INT(('🌱 Configuração'!$B$51+130-'🌱 Configuração'!$E$51)/7)+1=2,MOD('🌱 Configuração'!$B$51+130-'🌱 Configuração'!$E$51,7)=0),"🚿 Água pura (EC &lt; 0.2)",""))))))))))))))))))))))</f>
        <v/>
      </c>
      <c r="G136" s="30" t="str">
        <f>IF(131&gt;'🌱 Configuração'!$F$50,"",IF(AND('🌱 Configuração'!$B$51+130&lt;'🌱 Configuração'!$C$51,INT((131-1)/7)+1=1,MOD(131-1,7)=0),"🐛 Nim 2mL/L foliar — preventivo",IF(AND('🌱 Configuração'!$B$51+130&lt;'🌱 Configuração'!$C$51,INT((131-1)/7)+1=2,MOD(131-1,7)=0),"🐛 Beauveria bassiana foliar + solo",IF(AND('🌱 Configuração'!$B$51+130&gt;='🌱 Configuração'!$C$51,'🌱 Configuração'!$B$51+130&lt;'🌱 Configuração'!$D$51,INT(('🌱 Configuração'!$B$51+130-'🌱 Configuração'!$C$51)/7)+1=1,MOD('🌱 Configuração'!$B$51+130-'🌱 Configuração'!$C$51,7)=0),"🐛 Nim 2mL/L foliar",IF(AND('🌱 Configuração'!$B$51+130&gt;='🌱 Configuração'!$C$51,'🌱 Configuração'!$B$51+130&lt;'🌱 Configuração'!$D$51,INT(('🌱 Configuração'!$B$51+130-'🌱 Configuração'!$C$51)/7)+1=2,MOD('🌱 Configuração'!$B$51+130-'🌱 Configuração'!$C$51,7)=0),"🐛 Beauveria bassiana foliar",IF(AND('🌱 Configuração'!$B$51+130&gt;='🌱 Configuração'!$C$51,'🌱 Configuração'!$B$51+130&lt;'🌱 Configuração'!$D$51,INT(('🌱 Configuração'!$B$51+130-'🌱 Configuração'!$C$51)/7)+1=3,MOD('🌱 Configuração'!$B$51+130-'🌱 Configuração'!$C$51,7)=0),"🐛 Nim + Calda Sulfocálcica 1%",IF(AND('🌱 Configuração'!$B$51+130&gt;='🌱 Configuração'!$C$51,'🌱 Configuração'!$B$51+130&lt;'🌱 Configuração'!$D$51,INT(('🌱 Configuração'!$B$51+130-'🌱 Configuração'!$C$51)/7)+1=4,MOD('🌱 Configuração'!$B$51+130-'🌱 Configuração'!$C$51,7)=0),"🐛 Trichoderma solo + Beauveria",IF(AND('🌱 Configuração'!$B$51+130&gt;='🌱 Configuração'!$C$51,'🌱 Configuração'!$B$51+130&lt;'🌱 Configuração'!$D$51,INT(('🌱 Configuração'!$B$51+130-'🌱 Configuração'!$C$51)/7)+1=5,MOD('🌱 Configuração'!$B$51+130-'🌱 Configuração'!$C$51,7)=0),"🐛 Calda Bordalesa 0.5% foliar",IF(AND('🌱 Configuração'!$B$51+130&gt;='🌱 Configuração'!$C$51,'🌱 Configuração'!$B$51+130&lt;'🌱 Configuração'!$D$51,INT(('🌱 Configuração'!$B$51+130-'🌱 Configuração'!$C$51)/7)+1=6,MOD('🌱 Configuração'!$B$51+130-'🌱 Configuração'!$C$51,7)=0),"🐛 Nim 2mL/L — ÚLTIMA foliar",IF(AND('🌱 Configuração'!$B$51+130&gt;='🌱 Configuração'!$D$51,'🌱 Configuração'!$B$51+130&lt;'🌱 Configuração'!$E$51,INT(('🌱 Configuração'!$B$51+130-'🌱 Configuração'!$D$51)/7)+1=1,MOD('🌱 Configuração'!$B$51+130-'🌱 Configuração'!$D$51,7)=0),"🐛 Beauveria bassiana solo (sem foliar)",IF(AND('🌱 Configuração'!$B$51+130&gt;='🌱 Configuração'!$D$51,'🌱 Configuração'!$B$51+130&lt;'🌱 Configuração'!$E$51,INT(('🌱 Configuração'!$B$51+130-'🌱 Configuração'!$D$51)/7)+1=2,MOD('🌱 Configuração'!$B$51+130-'🌱 Configuração'!$D$51,7)=0),"🐛 Trichoderma solo",IF(AND('🌱 Configuração'!$B$51+130&gt;='🌱 Configuração'!$D$51,'🌱 Configuração'!$B$51+130&lt;'🌱 Configuração'!$E$51,INT(('🌱 Configuração'!$B$51+130-'🌱 Configuração'!$D$51)/7)+1=3,MOD('🌱 Configuração'!$B$51+130-'🌱 Configuração'!$D$51,7)=0),"🐛 Beauveria bassiana solo",IF(AND('🌱 Configuração'!$B$51+130&gt;='🌱 Configuração'!$D$51,'🌱 Configuração'!$B$51+130&lt;'🌱 Configuração'!$E$51,INT(('🌱 Configuração'!$B$51+130-'🌱 Configuração'!$D$51)/7)+1=4,MOD('🌱 Configuração'!$B$51+130-'🌱 Configuração'!$D$51,7)=0),"🐛 Trichoderma solo",IF(AND('🌱 Configuração'!$B$51+130&gt;='🌱 Configuração'!$E$51,INT(('🌱 Configuração'!$B$51+130-'🌱 Configuração'!$E$51)/7)+1=1,MOD('🌱 Configuração'!$B$51+130-'🌱 Configuração'!$E$51,7)=0),"🐛 Inspeção final — sem aplicação",""))))))))))))))</f>
        <v/>
      </c>
      <c r="H136" s="22" t="str">
        <f>IF(131&gt;'🌱 Configuração'!$F$50,"",IF('🌱 Configuração'!$B$51+130='🌱 Configuração'!$C$51,"🌿 INÍCIO VEGA — ajustar espaço, luz 18h/dia — EC 0.8",IF('🌱 Configuração'!$B$51+130='🌱 Configuração'!$D$51,"🌸 INÍCIO FLORAÇÃO — mudar para 12h/12h — 🔴 atenção ao fotoperíodo",IF('🌱 Configuração'!$B$51+130='🌱 Configuração'!$E$51,"🚿 INÍCIO FLUSH — PARAR nutrição, somente água pura",IF('🌱 Configuração'!$B$51+130='🌱 Configuração'!$F$51-1,"🔬 Véspera da colheita — analisar tricomas âmbar",IF('🌱 Configuração'!$B$51+130='🌱 Configuração'!$F$51,"✂️ COLHEITA! Parabéns! 🎉",""))))))</f>
        <v/>
      </c>
    </row>
    <row r="137" spans="2:8" ht="18.75" customHeight="1" x14ac:dyDescent="0.3">
      <c r="B137" s="25" t="str">
        <f>IF(132&lt;='🌱 Configuração'!$F$50,132,"")</f>
        <v/>
      </c>
      <c r="C137" s="26" t="str">
        <f>IF(132&lt;='🌱 Configuração'!$F$50,'🌱 Configuração'!$B$51+131,"")</f>
        <v/>
      </c>
      <c r="D137" s="27" t="str">
        <f>IF(132&gt;'🌱 Configuração'!$F$50,"",IF('🌱 Configuração'!$B$51+131&lt;'🌱 Configuração'!$C$51,"🌱 Clone",IF('🌱 Configuração'!$B$51+131&lt;'🌱 Configuração'!$D$51,"🌿 Vegetativo",IF('🌱 Configuração'!$B$51+131&lt;'🌱 Configuração'!$E$51,"🌸 Floração","🚿 Flush"))))</f>
        <v/>
      </c>
      <c r="E137" s="28" t="str">
        <f>IF(132&gt;'🌱 Configuração'!$F$50,"",IF('🌱 Configuração'!$B$51+131&lt;'🌱 Configuração'!$C$51,"Clone S"&amp;INT((132-1)/7)+1,IF('🌱 Configuração'!$B$51+131&lt;'🌱 Configuração'!$D$51,"Vega S"&amp;INT(('🌱 Configuração'!$B$51+131-'🌱 Configuração'!$C$51)/7)+1,IF('🌱 Configuração'!$B$51+131&lt;'🌱 Configuração'!$E$51,"Flora S"&amp;INT(('🌱 Configuração'!$B$51+131-'🌱 Configuração'!$D$51)/7)+1,"Flush S"&amp;INT(('🌱 Configuração'!$B$51+131-'🌱 Configuração'!$E$51)/7)+1))))</f>
        <v/>
      </c>
      <c r="F137" s="29" t="str">
        <f>IF(132&gt;'🌱 Configuração'!$F$50,"",IF(AND('🌱 Configuração'!$B$51+131&lt;'🌱 Configuração'!$C$51,INT((132-1)/7)+1=1,MOD(132-1,7)=0),"🌱 Enraizador (0.5 mL/L)",IF(AND('🌱 Configuração'!$B$51+131&lt;'🌱 Configuração'!$C$51,INT((132-1)/7)+1=2,MOD(132-1,7)=0),"🌱 Enraizador + Vitamina B1",IF(AND('🌱 Configuração'!$B$51+131&gt;='🌱 Configuração'!$C$51,'🌱 Configuração'!$B$51+131&lt;'🌱 Configuração'!$D$51,INT(('🌱 Configuração'!$B$51+131-'🌱 Configuração'!$C$51)/7)+1=1,MOD('🌱 Configuração'!$B$51+131-'🌱 Configuração'!$C$51,7)=0),"🌿 Grow A+B início — EC 0.8",IF(AND('🌱 Configuração'!$B$51+131&gt;='🌱 Configuração'!$C$51,'🌱 Configuração'!$B$51+131&lt;'🌱 Configuração'!$D$51,INT(('🌱 Configuração'!$B$51+131-'🌱 Configuração'!$C$51)/7)+1=2,MOD('🌱 Configuração'!$B$51+131-'🌱 Configuração'!$C$51,7)=0),"🌿 Grow A+B + CalMag — EC 1.0",IF(AND('🌱 Configuração'!$B$51+131&gt;='🌱 Configuração'!$C$51,'🌱 Configuração'!$B$51+131&lt;'🌱 Configuração'!$D$51,INT(('🌱 Configuração'!$B$51+131-'🌱 Configuração'!$C$51)/7)+1=3,MOD('🌱 Configuração'!$B$51+131-'🌱 Configuração'!$C$51,7)=0),"🌿 Grow A+B + CalMag — EC 1.2",IF(AND('🌱 Configuração'!$B$51+131&gt;='🌱 Configuração'!$C$51,'🌱 Configuração'!$B$51+131&lt;'🌱 Configuração'!$D$51,INT(('🌱 Configuração'!$B$51+131-'🌱 Configuração'!$C$51)/7)+1=4,MOD('🌱 Configuração'!$B$51+131-'🌱 Configuração'!$C$51,7)=0),"🌿 Grow A+B + Enzimas — EC 1.4",IF(AND('🌱 Configuração'!$B$51+131&gt;='🌱 Configuração'!$C$51,'🌱 Configuração'!$B$51+131&lt;'🌱 Configuração'!$D$51,INT(('🌱 Configuração'!$B$51+131-'🌱 Configuração'!$C$51)/7)+1=5,MOD('🌱 Configuração'!$B$51+131-'🌱 Configuração'!$C$51,7)=0),"🌿 Grow A+B + Biorrizas — EC 1.5",IF(AND('🌱 Configuração'!$B$51+131&gt;='🌱 Configuração'!$C$51,'🌱 Configuração'!$B$51+131&lt;'🌱 Configuração'!$D$51,INT(('🌱 Configuração'!$B$51+131-'🌱 Configuração'!$C$51)/7)+1=6,MOD('🌱 Configuração'!$B$51+131-'🌱 Configuração'!$C$51,7)=0),"🌿 Transição Bloom — EC 1.4",IF(AND('🌱 Configuração'!$B$51+131&gt;='🌱 Configuração'!$C$51,'🌱 Configuração'!$B$51+131&lt;'🌱 Configuração'!$D$51,INT(('🌱 Configuração'!$B$51+131-'🌱 Configuração'!$C$51)/7)+1=7,MOD('🌱 Configuração'!$B$51+131-'🌱 Configuração'!$C$51,7)=0),"🌿 Bloom A+B transição — EC 1.4",IF(AND('🌱 Configuração'!$B$51+131&gt;='🌱 Configuração'!$C$51,'🌱 Configuração'!$B$51+131&lt;'🌱 Configuração'!$D$51,INT(('🌱 Configuração'!$B$51+131-'🌱 Configuração'!$C$51)/7)+1=8,MOD('🌱 Configuração'!$B$51+131-'🌱 Configuração'!$C$51,7)=0),"🌿 Bloom A+B — EC 1.4",IF(AND('🌱 Configuração'!$B$51+131&gt;='🌱 Configuração'!$D$51,'🌱 Configuração'!$B$51+131&lt;'🌱 Configuração'!$E$51,INT(('🌱 Configuração'!$B$51+131-'🌱 Configuração'!$D$51)/7)+1=1,MOD('🌱 Configuração'!$B$51+131-'🌱 Configuração'!$D$51,7)=0),"🌸 Bloom A+B — EC 1.6",IF(AND('🌱 Configuração'!$B$51+131&gt;='🌱 Configuração'!$D$51,'🌱 Configuração'!$B$51+131&lt;'🌱 Configuração'!$E$51,INT(('🌱 Configuração'!$B$51+131-'🌱 Configuração'!$D$51)/7)+1=2,MOD('🌱 Configuração'!$B$51+131-'🌱 Configuração'!$D$51,7)=0),"🌸 Bloom + PK 13/14 início",IF(AND('🌱 Configuração'!$B$51+131&gt;='🌱 Configuração'!$D$51,'🌱 Configuração'!$B$51+131&lt;'🌱 Configuração'!$E$51,INT(('🌱 Configuração'!$B$51+131-'🌱 Configuração'!$D$51)/7)+1=3,MOD('🌱 Configuração'!$B$51+131-'🌱 Configuração'!$D$51,7)=0),"🌸 Bloom + PK + CalMag — EC 1.8",IF(AND('🌱 Configuração'!$B$51+131&gt;='🌱 Configuração'!$D$51,'🌱 Configuração'!$B$51+131&lt;'🌱 Configuração'!$E$51,INT(('🌱 Configuração'!$B$51+131-'🌱 Configuração'!$D$51)/7)+1=4,MOD('🌱 Configuração'!$B$51+131-'🌱 Configuração'!$D$51,7)=0),"🌸 Bloom + PK + Boost Floral — EC 2.0",IF(AND('🌱 Configuração'!$B$51+131&gt;='🌱 Configuração'!$D$51,'🌱 Configuração'!$B$51+131&lt;'🌱 Configuração'!$E$51,INT(('🌱 Configuração'!$B$51+131-'🌱 Configuração'!$D$51)/7)+1=5,MOD('🌱 Configuração'!$B$51+131-'🌱 Configuração'!$D$51,7)=0),"🌸 Bloom + Boost + Amino",IF(AND('🌱 Configuração'!$B$51+131&gt;='🌱 Configuração'!$D$51,'🌱 Configuração'!$B$51+131&lt;'🌱 Configuração'!$E$51,INT(('🌱 Configuração'!$B$51+131-'🌱 Configuração'!$D$51)/7)+1=6,MOD('🌱 Configuração'!$B$51+131-'🌱 Configuração'!$D$51,7)=0),"🌸 Bloom + Enzimas + Amino",IF(AND('🌱 Configuração'!$B$51+131&gt;='🌱 Configuração'!$D$51,'🌱 Configuração'!$B$51+131&lt;'🌱 Configuração'!$E$51,INT(('🌱 Configuração'!$B$51+131-'🌱 Configuração'!$D$51)/7)+1=7,MOD('🌱 Configuração'!$B$51+131-'🌱 Configuração'!$D$51,7)=0),"🌸 Reduzir N — Bloom puro — EC 1.6",IF(AND('🌱 Configuração'!$B$51+131&gt;='🌱 Configuração'!$D$51,'🌱 Configuração'!$B$51+131&lt;'🌱 Configuração'!$E$51,INT(('🌱 Configuração'!$B$51+131-'🌱 Configuração'!$D$51)/7)+1=8,MOD('🌱 Configuração'!$B$51+131-'🌱 Configuração'!$D$51,7)=0),"🌸 Bloom puro — EC 1.4  (pré-flush)",IF(AND('🌱 Configuração'!$B$51+131&gt;='🌱 Configuração'!$D$51,'🌱 Configuração'!$B$51+131&lt;'🌱 Configuração'!$E$51,INT(('🌱 Configuração'!$B$51+131-'🌱 Configuração'!$D$51)/7)+1=9,MOD('🌱 Configuração'!$B$51+131-'🌱 Configuração'!$D$51,7)=0),"🌸 Último Bloom — EC 0.8",IF(AND('🌱 Configuração'!$B$51+131&gt;='🌱 Configuração'!$E$51,INT(('🌱 Configuração'!$B$51+131-'🌱 Configuração'!$E$51)/7)+1=1,MOD('🌱 Configuração'!$B$51+131-'🌱 Configuração'!$E$51,7)=0),"🚿 Água pura + Enzimas (EC &lt; 0.3)",IF(AND('🌱 Configuração'!$B$51+131&gt;='🌱 Configuração'!$E$51,INT(('🌱 Configuração'!$B$51+131-'🌱 Configuração'!$E$51)/7)+1=2,MOD('🌱 Configuração'!$B$51+131-'🌱 Configuração'!$E$51,7)=0),"🚿 Água pura (EC &lt; 0.2)",""))))))))))))))))))))))</f>
        <v/>
      </c>
      <c r="G137" s="30" t="str">
        <f>IF(132&gt;'🌱 Configuração'!$F$50,"",IF(AND('🌱 Configuração'!$B$51+131&lt;'🌱 Configuração'!$C$51,INT((132-1)/7)+1=1,MOD(132-1,7)=0),"🐛 Nim 2mL/L foliar — preventivo",IF(AND('🌱 Configuração'!$B$51+131&lt;'🌱 Configuração'!$C$51,INT((132-1)/7)+1=2,MOD(132-1,7)=0),"🐛 Beauveria bassiana foliar + solo",IF(AND('🌱 Configuração'!$B$51+131&gt;='🌱 Configuração'!$C$51,'🌱 Configuração'!$B$51+131&lt;'🌱 Configuração'!$D$51,INT(('🌱 Configuração'!$B$51+131-'🌱 Configuração'!$C$51)/7)+1=1,MOD('🌱 Configuração'!$B$51+131-'🌱 Configuração'!$C$51,7)=0),"🐛 Nim 2mL/L foliar",IF(AND('🌱 Configuração'!$B$51+131&gt;='🌱 Configuração'!$C$51,'🌱 Configuração'!$B$51+131&lt;'🌱 Configuração'!$D$51,INT(('🌱 Configuração'!$B$51+131-'🌱 Configuração'!$C$51)/7)+1=2,MOD('🌱 Configuração'!$B$51+131-'🌱 Configuração'!$C$51,7)=0),"🐛 Beauveria bassiana foliar",IF(AND('🌱 Configuração'!$B$51+131&gt;='🌱 Configuração'!$C$51,'🌱 Configuração'!$B$51+131&lt;'🌱 Configuração'!$D$51,INT(('🌱 Configuração'!$B$51+131-'🌱 Configuração'!$C$51)/7)+1=3,MOD('🌱 Configuração'!$B$51+131-'🌱 Configuração'!$C$51,7)=0),"🐛 Nim + Calda Sulfocálcica 1%",IF(AND('🌱 Configuração'!$B$51+131&gt;='🌱 Configuração'!$C$51,'🌱 Configuração'!$B$51+131&lt;'🌱 Configuração'!$D$51,INT(('🌱 Configuração'!$B$51+131-'🌱 Configuração'!$C$51)/7)+1=4,MOD('🌱 Configuração'!$B$51+131-'🌱 Configuração'!$C$51,7)=0),"🐛 Trichoderma solo + Beauveria",IF(AND('🌱 Configuração'!$B$51+131&gt;='🌱 Configuração'!$C$51,'🌱 Configuração'!$B$51+131&lt;'🌱 Configuração'!$D$51,INT(('🌱 Configuração'!$B$51+131-'🌱 Configuração'!$C$51)/7)+1=5,MOD('🌱 Configuração'!$B$51+131-'🌱 Configuração'!$C$51,7)=0),"🐛 Calda Bordalesa 0.5% foliar",IF(AND('🌱 Configuração'!$B$51+131&gt;='🌱 Configuração'!$C$51,'🌱 Configuração'!$B$51+131&lt;'🌱 Configuração'!$D$51,INT(('🌱 Configuração'!$B$51+131-'🌱 Configuração'!$C$51)/7)+1=6,MOD('🌱 Configuração'!$B$51+131-'🌱 Configuração'!$C$51,7)=0),"🐛 Nim 2mL/L — ÚLTIMA foliar",IF(AND('🌱 Configuração'!$B$51+131&gt;='🌱 Configuração'!$D$51,'🌱 Configuração'!$B$51+131&lt;'🌱 Configuração'!$E$51,INT(('🌱 Configuração'!$B$51+131-'🌱 Configuração'!$D$51)/7)+1=1,MOD('🌱 Configuração'!$B$51+131-'🌱 Configuração'!$D$51,7)=0),"🐛 Beauveria bassiana solo (sem foliar)",IF(AND('🌱 Configuração'!$B$51+131&gt;='🌱 Configuração'!$D$51,'🌱 Configuração'!$B$51+131&lt;'🌱 Configuração'!$E$51,INT(('🌱 Configuração'!$B$51+131-'🌱 Configuração'!$D$51)/7)+1=2,MOD('🌱 Configuração'!$B$51+131-'🌱 Configuração'!$D$51,7)=0),"🐛 Trichoderma solo",IF(AND('🌱 Configuração'!$B$51+131&gt;='🌱 Configuração'!$D$51,'🌱 Configuração'!$B$51+131&lt;'🌱 Configuração'!$E$51,INT(('🌱 Configuração'!$B$51+131-'🌱 Configuração'!$D$51)/7)+1=3,MOD('🌱 Configuração'!$B$51+131-'🌱 Configuração'!$D$51,7)=0),"🐛 Beauveria bassiana solo",IF(AND('🌱 Configuração'!$B$51+131&gt;='🌱 Configuração'!$D$51,'🌱 Configuração'!$B$51+131&lt;'🌱 Configuração'!$E$51,INT(('🌱 Configuração'!$B$51+131-'🌱 Configuração'!$D$51)/7)+1=4,MOD('🌱 Configuração'!$B$51+131-'🌱 Configuração'!$D$51,7)=0),"🐛 Trichoderma solo",IF(AND('🌱 Configuração'!$B$51+131&gt;='🌱 Configuração'!$E$51,INT(('🌱 Configuração'!$B$51+131-'🌱 Configuração'!$E$51)/7)+1=1,MOD('🌱 Configuração'!$B$51+131-'🌱 Configuração'!$E$51,7)=0),"🐛 Inspeção final — sem aplicação",""))))))))))))))</f>
        <v/>
      </c>
      <c r="H137" s="22" t="str">
        <f>IF(132&gt;'🌱 Configuração'!$F$50,"",IF('🌱 Configuração'!$B$51+131='🌱 Configuração'!$C$51,"🌿 INÍCIO VEGA — ajustar espaço, luz 18h/dia — EC 0.8",IF('🌱 Configuração'!$B$51+131='🌱 Configuração'!$D$51,"🌸 INÍCIO FLORAÇÃO — mudar para 12h/12h — 🔴 atenção ao fotoperíodo",IF('🌱 Configuração'!$B$51+131='🌱 Configuração'!$E$51,"🚿 INÍCIO FLUSH — PARAR nutrição, somente água pura",IF('🌱 Configuração'!$B$51+131='🌱 Configuração'!$F$51-1,"🔬 Véspera da colheita — analisar tricomas âmbar",IF('🌱 Configuração'!$B$51+131='🌱 Configuração'!$F$51,"✂️ COLHEITA! Parabéns! 🎉",""))))))</f>
        <v/>
      </c>
    </row>
    <row r="138" spans="2:8" ht="18.75" customHeight="1" x14ac:dyDescent="0.3">
      <c r="B138" s="25" t="str">
        <f>IF(133&lt;='🌱 Configuração'!$F$50,133,"")</f>
        <v/>
      </c>
      <c r="C138" s="26" t="str">
        <f>IF(133&lt;='🌱 Configuração'!$F$50,'🌱 Configuração'!$B$51+132,"")</f>
        <v/>
      </c>
      <c r="D138" s="27" t="str">
        <f>IF(133&gt;'🌱 Configuração'!$F$50,"",IF('🌱 Configuração'!$B$51+132&lt;'🌱 Configuração'!$C$51,"🌱 Clone",IF('🌱 Configuração'!$B$51+132&lt;'🌱 Configuração'!$D$51,"🌿 Vegetativo",IF('🌱 Configuração'!$B$51+132&lt;'🌱 Configuração'!$E$51,"🌸 Floração","🚿 Flush"))))</f>
        <v/>
      </c>
      <c r="E138" s="28" t="str">
        <f>IF(133&gt;'🌱 Configuração'!$F$50,"",IF('🌱 Configuração'!$B$51+132&lt;'🌱 Configuração'!$C$51,"Clone S"&amp;INT((133-1)/7)+1,IF('🌱 Configuração'!$B$51+132&lt;'🌱 Configuração'!$D$51,"Vega S"&amp;INT(('🌱 Configuração'!$B$51+132-'🌱 Configuração'!$C$51)/7)+1,IF('🌱 Configuração'!$B$51+132&lt;'🌱 Configuração'!$E$51,"Flora S"&amp;INT(('🌱 Configuração'!$B$51+132-'🌱 Configuração'!$D$51)/7)+1,"Flush S"&amp;INT(('🌱 Configuração'!$B$51+132-'🌱 Configuração'!$E$51)/7)+1))))</f>
        <v/>
      </c>
      <c r="F138" s="29" t="str">
        <f>IF(133&gt;'🌱 Configuração'!$F$50,"",IF(AND('🌱 Configuração'!$B$51+132&lt;'🌱 Configuração'!$C$51,INT((133-1)/7)+1=1,MOD(133-1,7)=0),"🌱 Enraizador (0.5 mL/L)",IF(AND('🌱 Configuração'!$B$51+132&lt;'🌱 Configuração'!$C$51,INT((133-1)/7)+1=2,MOD(133-1,7)=0),"🌱 Enraizador + Vitamina B1",IF(AND('🌱 Configuração'!$B$51+132&gt;='🌱 Configuração'!$C$51,'🌱 Configuração'!$B$51+132&lt;'🌱 Configuração'!$D$51,INT(('🌱 Configuração'!$B$51+132-'🌱 Configuração'!$C$51)/7)+1=1,MOD('🌱 Configuração'!$B$51+132-'🌱 Configuração'!$C$51,7)=0),"🌿 Grow A+B início — EC 0.8",IF(AND('🌱 Configuração'!$B$51+132&gt;='🌱 Configuração'!$C$51,'🌱 Configuração'!$B$51+132&lt;'🌱 Configuração'!$D$51,INT(('🌱 Configuração'!$B$51+132-'🌱 Configuração'!$C$51)/7)+1=2,MOD('🌱 Configuração'!$B$51+132-'🌱 Configuração'!$C$51,7)=0),"🌿 Grow A+B + CalMag — EC 1.0",IF(AND('🌱 Configuração'!$B$51+132&gt;='🌱 Configuração'!$C$51,'🌱 Configuração'!$B$51+132&lt;'🌱 Configuração'!$D$51,INT(('🌱 Configuração'!$B$51+132-'🌱 Configuração'!$C$51)/7)+1=3,MOD('🌱 Configuração'!$B$51+132-'🌱 Configuração'!$C$51,7)=0),"🌿 Grow A+B + CalMag — EC 1.2",IF(AND('🌱 Configuração'!$B$51+132&gt;='🌱 Configuração'!$C$51,'🌱 Configuração'!$B$51+132&lt;'🌱 Configuração'!$D$51,INT(('🌱 Configuração'!$B$51+132-'🌱 Configuração'!$C$51)/7)+1=4,MOD('🌱 Configuração'!$B$51+132-'🌱 Configuração'!$C$51,7)=0),"🌿 Grow A+B + Enzimas — EC 1.4",IF(AND('🌱 Configuração'!$B$51+132&gt;='🌱 Configuração'!$C$51,'🌱 Configuração'!$B$51+132&lt;'🌱 Configuração'!$D$51,INT(('🌱 Configuração'!$B$51+132-'🌱 Configuração'!$C$51)/7)+1=5,MOD('🌱 Configuração'!$B$51+132-'🌱 Configuração'!$C$51,7)=0),"🌿 Grow A+B + Biorrizas — EC 1.5",IF(AND('🌱 Configuração'!$B$51+132&gt;='🌱 Configuração'!$C$51,'🌱 Configuração'!$B$51+132&lt;'🌱 Configuração'!$D$51,INT(('🌱 Configuração'!$B$51+132-'🌱 Configuração'!$C$51)/7)+1=6,MOD('🌱 Configuração'!$B$51+132-'🌱 Configuração'!$C$51,7)=0),"🌿 Transição Bloom — EC 1.4",IF(AND('🌱 Configuração'!$B$51+132&gt;='🌱 Configuração'!$C$51,'🌱 Configuração'!$B$51+132&lt;'🌱 Configuração'!$D$51,INT(('🌱 Configuração'!$B$51+132-'🌱 Configuração'!$C$51)/7)+1=7,MOD('🌱 Configuração'!$B$51+132-'🌱 Configuração'!$C$51,7)=0),"🌿 Bloom A+B transição — EC 1.4",IF(AND('🌱 Configuração'!$B$51+132&gt;='🌱 Configuração'!$C$51,'🌱 Configuração'!$B$51+132&lt;'🌱 Configuração'!$D$51,INT(('🌱 Configuração'!$B$51+132-'🌱 Configuração'!$C$51)/7)+1=8,MOD('🌱 Configuração'!$B$51+132-'🌱 Configuração'!$C$51,7)=0),"🌿 Bloom A+B — EC 1.4",IF(AND('🌱 Configuração'!$B$51+132&gt;='🌱 Configuração'!$D$51,'🌱 Configuração'!$B$51+132&lt;'🌱 Configuração'!$E$51,INT(('🌱 Configuração'!$B$51+132-'🌱 Configuração'!$D$51)/7)+1=1,MOD('🌱 Configuração'!$B$51+132-'🌱 Configuração'!$D$51,7)=0),"🌸 Bloom A+B — EC 1.6",IF(AND('🌱 Configuração'!$B$51+132&gt;='🌱 Configuração'!$D$51,'🌱 Configuração'!$B$51+132&lt;'🌱 Configuração'!$E$51,INT(('🌱 Configuração'!$B$51+132-'🌱 Configuração'!$D$51)/7)+1=2,MOD('🌱 Configuração'!$B$51+132-'🌱 Configuração'!$D$51,7)=0),"🌸 Bloom + PK 13/14 início",IF(AND('🌱 Configuração'!$B$51+132&gt;='🌱 Configuração'!$D$51,'🌱 Configuração'!$B$51+132&lt;'🌱 Configuração'!$E$51,INT(('🌱 Configuração'!$B$51+132-'🌱 Configuração'!$D$51)/7)+1=3,MOD('🌱 Configuração'!$B$51+132-'🌱 Configuração'!$D$51,7)=0),"🌸 Bloom + PK + CalMag — EC 1.8",IF(AND('🌱 Configuração'!$B$51+132&gt;='🌱 Configuração'!$D$51,'🌱 Configuração'!$B$51+132&lt;'🌱 Configuração'!$E$51,INT(('🌱 Configuração'!$B$51+132-'🌱 Configuração'!$D$51)/7)+1=4,MOD('🌱 Configuração'!$B$51+132-'🌱 Configuração'!$D$51,7)=0),"🌸 Bloom + PK + Boost Floral — EC 2.0",IF(AND('🌱 Configuração'!$B$51+132&gt;='🌱 Configuração'!$D$51,'🌱 Configuração'!$B$51+132&lt;'🌱 Configuração'!$E$51,INT(('🌱 Configuração'!$B$51+132-'🌱 Configuração'!$D$51)/7)+1=5,MOD('🌱 Configuração'!$B$51+132-'🌱 Configuração'!$D$51,7)=0),"🌸 Bloom + Boost + Amino",IF(AND('🌱 Configuração'!$B$51+132&gt;='🌱 Configuração'!$D$51,'🌱 Configuração'!$B$51+132&lt;'🌱 Configuração'!$E$51,INT(('🌱 Configuração'!$B$51+132-'🌱 Configuração'!$D$51)/7)+1=6,MOD('🌱 Configuração'!$B$51+132-'🌱 Configuração'!$D$51,7)=0),"🌸 Bloom + Enzimas + Amino",IF(AND('🌱 Configuração'!$B$51+132&gt;='🌱 Configuração'!$D$51,'🌱 Configuração'!$B$51+132&lt;'🌱 Configuração'!$E$51,INT(('🌱 Configuração'!$B$51+132-'🌱 Configuração'!$D$51)/7)+1=7,MOD('🌱 Configuração'!$B$51+132-'🌱 Configuração'!$D$51,7)=0),"🌸 Reduzir N — Bloom puro — EC 1.6",IF(AND('🌱 Configuração'!$B$51+132&gt;='🌱 Configuração'!$D$51,'🌱 Configuração'!$B$51+132&lt;'🌱 Configuração'!$E$51,INT(('🌱 Configuração'!$B$51+132-'🌱 Configuração'!$D$51)/7)+1=8,MOD('🌱 Configuração'!$B$51+132-'🌱 Configuração'!$D$51,7)=0),"🌸 Bloom puro — EC 1.4  (pré-flush)",IF(AND('🌱 Configuração'!$B$51+132&gt;='🌱 Configuração'!$D$51,'🌱 Configuração'!$B$51+132&lt;'🌱 Configuração'!$E$51,INT(('🌱 Configuração'!$B$51+132-'🌱 Configuração'!$D$51)/7)+1=9,MOD('🌱 Configuração'!$B$51+132-'🌱 Configuração'!$D$51,7)=0),"🌸 Último Bloom — EC 0.8",IF(AND('🌱 Configuração'!$B$51+132&gt;='🌱 Configuração'!$E$51,INT(('🌱 Configuração'!$B$51+132-'🌱 Configuração'!$E$51)/7)+1=1,MOD('🌱 Configuração'!$B$51+132-'🌱 Configuração'!$E$51,7)=0),"🚿 Água pura + Enzimas (EC &lt; 0.3)",IF(AND('🌱 Configuração'!$B$51+132&gt;='🌱 Configuração'!$E$51,INT(('🌱 Configuração'!$B$51+132-'🌱 Configuração'!$E$51)/7)+1=2,MOD('🌱 Configuração'!$B$51+132-'🌱 Configuração'!$E$51,7)=0),"🚿 Água pura (EC &lt; 0.2)",""))))))))))))))))))))))</f>
        <v/>
      </c>
      <c r="G138" s="30" t="str">
        <f>IF(133&gt;'🌱 Configuração'!$F$50,"",IF(AND('🌱 Configuração'!$B$51+132&lt;'🌱 Configuração'!$C$51,INT((133-1)/7)+1=1,MOD(133-1,7)=0),"🐛 Nim 2mL/L foliar — preventivo",IF(AND('🌱 Configuração'!$B$51+132&lt;'🌱 Configuração'!$C$51,INT((133-1)/7)+1=2,MOD(133-1,7)=0),"🐛 Beauveria bassiana foliar + solo",IF(AND('🌱 Configuração'!$B$51+132&gt;='🌱 Configuração'!$C$51,'🌱 Configuração'!$B$51+132&lt;'🌱 Configuração'!$D$51,INT(('🌱 Configuração'!$B$51+132-'🌱 Configuração'!$C$51)/7)+1=1,MOD('🌱 Configuração'!$B$51+132-'🌱 Configuração'!$C$51,7)=0),"🐛 Nim 2mL/L foliar",IF(AND('🌱 Configuração'!$B$51+132&gt;='🌱 Configuração'!$C$51,'🌱 Configuração'!$B$51+132&lt;'🌱 Configuração'!$D$51,INT(('🌱 Configuração'!$B$51+132-'🌱 Configuração'!$C$51)/7)+1=2,MOD('🌱 Configuração'!$B$51+132-'🌱 Configuração'!$C$51,7)=0),"🐛 Beauveria bassiana foliar",IF(AND('🌱 Configuração'!$B$51+132&gt;='🌱 Configuração'!$C$51,'🌱 Configuração'!$B$51+132&lt;'🌱 Configuração'!$D$51,INT(('🌱 Configuração'!$B$51+132-'🌱 Configuração'!$C$51)/7)+1=3,MOD('🌱 Configuração'!$B$51+132-'🌱 Configuração'!$C$51,7)=0),"🐛 Nim + Calda Sulfocálcica 1%",IF(AND('🌱 Configuração'!$B$51+132&gt;='🌱 Configuração'!$C$51,'🌱 Configuração'!$B$51+132&lt;'🌱 Configuração'!$D$51,INT(('🌱 Configuração'!$B$51+132-'🌱 Configuração'!$C$51)/7)+1=4,MOD('🌱 Configuração'!$B$51+132-'🌱 Configuração'!$C$51,7)=0),"🐛 Trichoderma solo + Beauveria",IF(AND('🌱 Configuração'!$B$51+132&gt;='🌱 Configuração'!$C$51,'🌱 Configuração'!$B$51+132&lt;'🌱 Configuração'!$D$51,INT(('🌱 Configuração'!$B$51+132-'🌱 Configuração'!$C$51)/7)+1=5,MOD('🌱 Configuração'!$B$51+132-'🌱 Configuração'!$C$51,7)=0),"🐛 Calda Bordalesa 0.5% foliar",IF(AND('🌱 Configuração'!$B$51+132&gt;='🌱 Configuração'!$C$51,'🌱 Configuração'!$B$51+132&lt;'🌱 Configuração'!$D$51,INT(('🌱 Configuração'!$B$51+132-'🌱 Configuração'!$C$51)/7)+1=6,MOD('🌱 Configuração'!$B$51+132-'🌱 Configuração'!$C$51,7)=0),"🐛 Nim 2mL/L — ÚLTIMA foliar",IF(AND('🌱 Configuração'!$B$51+132&gt;='🌱 Configuração'!$D$51,'🌱 Configuração'!$B$51+132&lt;'🌱 Configuração'!$E$51,INT(('🌱 Configuração'!$B$51+132-'🌱 Configuração'!$D$51)/7)+1=1,MOD('🌱 Configuração'!$B$51+132-'🌱 Configuração'!$D$51,7)=0),"🐛 Beauveria bassiana solo (sem foliar)",IF(AND('🌱 Configuração'!$B$51+132&gt;='🌱 Configuração'!$D$51,'🌱 Configuração'!$B$51+132&lt;'🌱 Configuração'!$E$51,INT(('🌱 Configuração'!$B$51+132-'🌱 Configuração'!$D$51)/7)+1=2,MOD('🌱 Configuração'!$B$51+132-'🌱 Configuração'!$D$51,7)=0),"🐛 Trichoderma solo",IF(AND('🌱 Configuração'!$B$51+132&gt;='🌱 Configuração'!$D$51,'🌱 Configuração'!$B$51+132&lt;'🌱 Configuração'!$E$51,INT(('🌱 Configuração'!$B$51+132-'🌱 Configuração'!$D$51)/7)+1=3,MOD('🌱 Configuração'!$B$51+132-'🌱 Configuração'!$D$51,7)=0),"🐛 Beauveria bassiana solo",IF(AND('🌱 Configuração'!$B$51+132&gt;='🌱 Configuração'!$D$51,'🌱 Configuração'!$B$51+132&lt;'🌱 Configuração'!$E$51,INT(('🌱 Configuração'!$B$51+132-'🌱 Configuração'!$D$51)/7)+1=4,MOD('🌱 Configuração'!$B$51+132-'🌱 Configuração'!$D$51,7)=0),"🐛 Trichoderma solo",IF(AND('🌱 Configuração'!$B$51+132&gt;='🌱 Configuração'!$E$51,INT(('🌱 Configuração'!$B$51+132-'🌱 Configuração'!$E$51)/7)+1=1,MOD('🌱 Configuração'!$B$51+132-'🌱 Configuração'!$E$51,7)=0),"🐛 Inspeção final — sem aplicação",""))))))))))))))</f>
        <v/>
      </c>
      <c r="H138" s="22" t="str">
        <f>IF(133&gt;'🌱 Configuração'!$F$50,"",IF('🌱 Configuração'!$B$51+132='🌱 Configuração'!$C$51,"🌿 INÍCIO VEGA — ajustar espaço, luz 18h/dia — EC 0.8",IF('🌱 Configuração'!$B$51+132='🌱 Configuração'!$D$51,"🌸 INÍCIO FLORAÇÃO — mudar para 12h/12h — 🔴 atenção ao fotoperíodo",IF('🌱 Configuração'!$B$51+132='🌱 Configuração'!$E$51,"🚿 INÍCIO FLUSH — PARAR nutrição, somente água pura",IF('🌱 Configuração'!$B$51+132='🌱 Configuração'!$F$51-1,"🔬 Véspera da colheita — analisar tricomas âmbar",IF('🌱 Configuração'!$B$51+132='🌱 Configuração'!$F$51,"✂️ COLHEITA! Parabéns! 🎉",""))))))</f>
        <v/>
      </c>
    </row>
    <row r="139" spans="2:8" ht="18.75" customHeight="1" x14ac:dyDescent="0.3">
      <c r="B139" s="25" t="str">
        <f>IF(134&lt;='🌱 Configuração'!$F$50,134,"")</f>
        <v/>
      </c>
      <c r="C139" s="26" t="str">
        <f>IF(134&lt;='🌱 Configuração'!$F$50,'🌱 Configuração'!$B$51+133,"")</f>
        <v/>
      </c>
      <c r="D139" s="27" t="str">
        <f>IF(134&gt;'🌱 Configuração'!$F$50,"",IF('🌱 Configuração'!$B$51+133&lt;'🌱 Configuração'!$C$51,"🌱 Clone",IF('🌱 Configuração'!$B$51+133&lt;'🌱 Configuração'!$D$51,"🌿 Vegetativo",IF('🌱 Configuração'!$B$51+133&lt;'🌱 Configuração'!$E$51,"🌸 Floração","🚿 Flush"))))</f>
        <v/>
      </c>
      <c r="E139" s="28" t="str">
        <f>IF(134&gt;'🌱 Configuração'!$F$50,"",IF('🌱 Configuração'!$B$51+133&lt;'🌱 Configuração'!$C$51,"Clone S"&amp;INT((134-1)/7)+1,IF('🌱 Configuração'!$B$51+133&lt;'🌱 Configuração'!$D$51,"Vega S"&amp;INT(('🌱 Configuração'!$B$51+133-'🌱 Configuração'!$C$51)/7)+1,IF('🌱 Configuração'!$B$51+133&lt;'🌱 Configuração'!$E$51,"Flora S"&amp;INT(('🌱 Configuração'!$B$51+133-'🌱 Configuração'!$D$51)/7)+1,"Flush S"&amp;INT(('🌱 Configuração'!$B$51+133-'🌱 Configuração'!$E$51)/7)+1))))</f>
        <v/>
      </c>
      <c r="F139" s="29" t="str">
        <f>IF(134&gt;'🌱 Configuração'!$F$50,"",IF(AND('🌱 Configuração'!$B$51+133&lt;'🌱 Configuração'!$C$51,INT((134-1)/7)+1=1,MOD(134-1,7)=0),"🌱 Enraizador (0.5 mL/L)",IF(AND('🌱 Configuração'!$B$51+133&lt;'🌱 Configuração'!$C$51,INT((134-1)/7)+1=2,MOD(134-1,7)=0),"🌱 Enraizador + Vitamina B1",IF(AND('🌱 Configuração'!$B$51+133&gt;='🌱 Configuração'!$C$51,'🌱 Configuração'!$B$51+133&lt;'🌱 Configuração'!$D$51,INT(('🌱 Configuração'!$B$51+133-'🌱 Configuração'!$C$51)/7)+1=1,MOD('🌱 Configuração'!$B$51+133-'🌱 Configuração'!$C$51,7)=0),"🌿 Grow A+B início — EC 0.8",IF(AND('🌱 Configuração'!$B$51+133&gt;='🌱 Configuração'!$C$51,'🌱 Configuração'!$B$51+133&lt;'🌱 Configuração'!$D$51,INT(('🌱 Configuração'!$B$51+133-'🌱 Configuração'!$C$51)/7)+1=2,MOD('🌱 Configuração'!$B$51+133-'🌱 Configuração'!$C$51,7)=0),"🌿 Grow A+B + CalMag — EC 1.0",IF(AND('🌱 Configuração'!$B$51+133&gt;='🌱 Configuração'!$C$51,'🌱 Configuração'!$B$51+133&lt;'🌱 Configuração'!$D$51,INT(('🌱 Configuração'!$B$51+133-'🌱 Configuração'!$C$51)/7)+1=3,MOD('🌱 Configuração'!$B$51+133-'🌱 Configuração'!$C$51,7)=0),"🌿 Grow A+B + CalMag — EC 1.2",IF(AND('🌱 Configuração'!$B$51+133&gt;='🌱 Configuração'!$C$51,'🌱 Configuração'!$B$51+133&lt;'🌱 Configuração'!$D$51,INT(('🌱 Configuração'!$B$51+133-'🌱 Configuração'!$C$51)/7)+1=4,MOD('🌱 Configuração'!$B$51+133-'🌱 Configuração'!$C$51,7)=0),"🌿 Grow A+B + Enzimas — EC 1.4",IF(AND('🌱 Configuração'!$B$51+133&gt;='🌱 Configuração'!$C$51,'🌱 Configuração'!$B$51+133&lt;'🌱 Configuração'!$D$51,INT(('🌱 Configuração'!$B$51+133-'🌱 Configuração'!$C$51)/7)+1=5,MOD('🌱 Configuração'!$B$51+133-'🌱 Configuração'!$C$51,7)=0),"🌿 Grow A+B + Biorrizas — EC 1.5",IF(AND('🌱 Configuração'!$B$51+133&gt;='🌱 Configuração'!$C$51,'🌱 Configuração'!$B$51+133&lt;'🌱 Configuração'!$D$51,INT(('🌱 Configuração'!$B$51+133-'🌱 Configuração'!$C$51)/7)+1=6,MOD('🌱 Configuração'!$B$51+133-'🌱 Configuração'!$C$51,7)=0),"🌿 Transição Bloom — EC 1.4",IF(AND('🌱 Configuração'!$B$51+133&gt;='🌱 Configuração'!$C$51,'🌱 Configuração'!$B$51+133&lt;'🌱 Configuração'!$D$51,INT(('🌱 Configuração'!$B$51+133-'🌱 Configuração'!$C$51)/7)+1=7,MOD('🌱 Configuração'!$B$51+133-'🌱 Configuração'!$C$51,7)=0),"🌿 Bloom A+B transição — EC 1.4",IF(AND('🌱 Configuração'!$B$51+133&gt;='🌱 Configuração'!$C$51,'🌱 Configuração'!$B$51+133&lt;'🌱 Configuração'!$D$51,INT(('🌱 Configuração'!$B$51+133-'🌱 Configuração'!$C$51)/7)+1=8,MOD('🌱 Configuração'!$B$51+133-'🌱 Configuração'!$C$51,7)=0),"🌿 Bloom A+B — EC 1.4",IF(AND('🌱 Configuração'!$B$51+133&gt;='🌱 Configuração'!$D$51,'🌱 Configuração'!$B$51+133&lt;'🌱 Configuração'!$E$51,INT(('🌱 Configuração'!$B$51+133-'🌱 Configuração'!$D$51)/7)+1=1,MOD('🌱 Configuração'!$B$51+133-'🌱 Configuração'!$D$51,7)=0),"🌸 Bloom A+B — EC 1.6",IF(AND('🌱 Configuração'!$B$51+133&gt;='🌱 Configuração'!$D$51,'🌱 Configuração'!$B$51+133&lt;'🌱 Configuração'!$E$51,INT(('🌱 Configuração'!$B$51+133-'🌱 Configuração'!$D$51)/7)+1=2,MOD('🌱 Configuração'!$B$51+133-'🌱 Configuração'!$D$51,7)=0),"🌸 Bloom + PK 13/14 início",IF(AND('🌱 Configuração'!$B$51+133&gt;='🌱 Configuração'!$D$51,'🌱 Configuração'!$B$51+133&lt;'🌱 Configuração'!$E$51,INT(('🌱 Configuração'!$B$51+133-'🌱 Configuração'!$D$51)/7)+1=3,MOD('🌱 Configuração'!$B$51+133-'🌱 Configuração'!$D$51,7)=0),"🌸 Bloom + PK + CalMag — EC 1.8",IF(AND('🌱 Configuração'!$B$51+133&gt;='🌱 Configuração'!$D$51,'🌱 Configuração'!$B$51+133&lt;'🌱 Configuração'!$E$51,INT(('🌱 Configuração'!$B$51+133-'🌱 Configuração'!$D$51)/7)+1=4,MOD('🌱 Configuração'!$B$51+133-'🌱 Configuração'!$D$51,7)=0),"🌸 Bloom + PK + Boost Floral — EC 2.0",IF(AND('🌱 Configuração'!$B$51+133&gt;='🌱 Configuração'!$D$51,'🌱 Configuração'!$B$51+133&lt;'🌱 Configuração'!$E$51,INT(('🌱 Configuração'!$B$51+133-'🌱 Configuração'!$D$51)/7)+1=5,MOD('🌱 Configuração'!$B$51+133-'🌱 Configuração'!$D$51,7)=0),"🌸 Bloom + Boost + Amino",IF(AND('🌱 Configuração'!$B$51+133&gt;='🌱 Configuração'!$D$51,'🌱 Configuração'!$B$51+133&lt;'🌱 Configuração'!$E$51,INT(('🌱 Configuração'!$B$51+133-'🌱 Configuração'!$D$51)/7)+1=6,MOD('🌱 Configuração'!$B$51+133-'🌱 Configuração'!$D$51,7)=0),"🌸 Bloom + Enzimas + Amino",IF(AND('🌱 Configuração'!$B$51+133&gt;='🌱 Configuração'!$D$51,'🌱 Configuração'!$B$51+133&lt;'🌱 Configuração'!$E$51,INT(('🌱 Configuração'!$B$51+133-'🌱 Configuração'!$D$51)/7)+1=7,MOD('🌱 Configuração'!$B$51+133-'🌱 Configuração'!$D$51,7)=0),"🌸 Reduzir N — Bloom puro — EC 1.6",IF(AND('🌱 Configuração'!$B$51+133&gt;='🌱 Configuração'!$D$51,'🌱 Configuração'!$B$51+133&lt;'🌱 Configuração'!$E$51,INT(('🌱 Configuração'!$B$51+133-'🌱 Configuração'!$D$51)/7)+1=8,MOD('🌱 Configuração'!$B$51+133-'🌱 Configuração'!$D$51,7)=0),"🌸 Bloom puro — EC 1.4  (pré-flush)",IF(AND('🌱 Configuração'!$B$51+133&gt;='🌱 Configuração'!$D$51,'🌱 Configuração'!$B$51+133&lt;'🌱 Configuração'!$E$51,INT(('🌱 Configuração'!$B$51+133-'🌱 Configuração'!$D$51)/7)+1=9,MOD('🌱 Configuração'!$B$51+133-'🌱 Configuração'!$D$51,7)=0),"🌸 Último Bloom — EC 0.8",IF(AND('🌱 Configuração'!$B$51+133&gt;='🌱 Configuração'!$E$51,INT(('🌱 Configuração'!$B$51+133-'🌱 Configuração'!$E$51)/7)+1=1,MOD('🌱 Configuração'!$B$51+133-'🌱 Configuração'!$E$51,7)=0),"🚿 Água pura + Enzimas (EC &lt; 0.3)",IF(AND('🌱 Configuração'!$B$51+133&gt;='🌱 Configuração'!$E$51,INT(('🌱 Configuração'!$B$51+133-'🌱 Configuração'!$E$51)/7)+1=2,MOD('🌱 Configuração'!$B$51+133-'🌱 Configuração'!$E$51,7)=0),"🚿 Água pura (EC &lt; 0.2)",""))))))))))))))))))))))</f>
        <v/>
      </c>
      <c r="G139" s="30" t="str">
        <f>IF(134&gt;'🌱 Configuração'!$F$50,"",IF(AND('🌱 Configuração'!$B$51+133&lt;'🌱 Configuração'!$C$51,INT((134-1)/7)+1=1,MOD(134-1,7)=0),"🐛 Nim 2mL/L foliar — preventivo",IF(AND('🌱 Configuração'!$B$51+133&lt;'🌱 Configuração'!$C$51,INT((134-1)/7)+1=2,MOD(134-1,7)=0),"🐛 Beauveria bassiana foliar + solo",IF(AND('🌱 Configuração'!$B$51+133&gt;='🌱 Configuração'!$C$51,'🌱 Configuração'!$B$51+133&lt;'🌱 Configuração'!$D$51,INT(('🌱 Configuração'!$B$51+133-'🌱 Configuração'!$C$51)/7)+1=1,MOD('🌱 Configuração'!$B$51+133-'🌱 Configuração'!$C$51,7)=0),"🐛 Nim 2mL/L foliar",IF(AND('🌱 Configuração'!$B$51+133&gt;='🌱 Configuração'!$C$51,'🌱 Configuração'!$B$51+133&lt;'🌱 Configuração'!$D$51,INT(('🌱 Configuração'!$B$51+133-'🌱 Configuração'!$C$51)/7)+1=2,MOD('🌱 Configuração'!$B$51+133-'🌱 Configuração'!$C$51,7)=0),"🐛 Beauveria bassiana foliar",IF(AND('🌱 Configuração'!$B$51+133&gt;='🌱 Configuração'!$C$51,'🌱 Configuração'!$B$51+133&lt;'🌱 Configuração'!$D$51,INT(('🌱 Configuração'!$B$51+133-'🌱 Configuração'!$C$51)/7)+1=3,MOD('🌱 Configuração'!$B$51+133-'🌱 Configuração'!$C$51,7)=0),"🐛 Nim + Calda Sulfocálcica 1%",IF(AND('🌱 Configuração'!$B$51+133&gt;='🌱 Configuração'!$C$51,'🌱 Configuração'!$B$51+133&lt;'🌱 Configuração'!$D$51,INT(('🌱 Configuração'!$B$51+133-'🌱 Configuração'!$C$51)/7)+1=4,MOD('🌱 Configuração'!$B$51+133-'🌱 Configuração'!$C$51,7)=0),"🐛 Trichoderma solo + Beauveria",IF(AND('🌱 Configuração'!$B$51+133&gt;='🌱 Configuração'!$C$51,'🌱 Configuração'!$B$51+133&lt;'🌱 Configuração'!$D$51,INT(('🌱 Configuração'!$B$51+133-'🌱 Configuração'!$C$51)/7)+1=5,MOD('🌱 Configuração'!$B$51+133-'🌱 Configuração'!$C$51,7)=0),"🐛 Calda Bordalesa 0.5% foliar",IF(AND('🌱 Configuração'!$B$51+133&gt;='🌱 Configuração'!$C$51,'🌱 Configuração'!$B$51+133&lt;'🌱 Configuração'!$D$51,INT(('🌱 Configuração'!$B$51+133-'🌱 Configuração'!$C$51)/7)+1=6,MOD('🌱 Configuração'!$B$51+133-'🌱 Configuração'!$C$51,7)=0),"🐛 Nim 2mL/L — ÚLTIMA foliar",IF(AND('🌱 Configuração'!$B$51+133&gt;='🌱 Configuração'!$D$51,'🌱 Configuração'!$B$51+133&lt;'🌱 Configuração'!$E$51,INT(('🌱 Configuração'!$B$51+133-'🌱 Configuração'!$D$51)/7)+1=1,MOD('🌱 Configuração'!$B$51+133-'🌱 Configuração'!$D$51,7)=0),"🐛 Beauveria bassiana solo (sem foliar)",IF(AND('🌱 Configuração'!$B$51+133&gt;='🌱 Configuração'!$D$51,'🌱 Configuração'!$B$51+133&lt;'🌱 Configuração'!$E$51,INT(('🌱 Configuração'!$B$51+133-'🌱 Configuração'!$D$51)/7)+1=2,MOD('🌱 Configuração'!$B$51+133-'🌱 Configuração'!$D$51,7)=0),"🐛 Trichoderma solo",IF(AND('🌱 Configuração'!$B$51+133&gt;='🌱 Configuração'!$D$51,'🌱 Configuração'!$B$51+133&lt;'🌱 Configuração'!$E$51,INT(('🌱 Configuração'!$B$51+133-'🌱 Configuração'!$D$51)/7)+1=3,MOD('🌱 Configuração'!$B$51+133-'🌱 Configuração'!$D$51,7)=0),"🐛 Beauveria bassiana solo",IF(AND('🌱 Configuração'!$B$51+133&gt;='🌱 Configuração'!$D$51,'🌱 Configuração'!$B$51+133&lt;'🌱 Configuração'!$E$51,INT(('🌱 Configuração'!$B$51+133-'🌱 Configuração'!$D$51)/7)+1=4,MOD('🌱 Configuração'!$B$51+133-'🌱 Configuração'!$D$51,7)=0),"🐛 Trichoderma solo",IF(AND('🌱 Configuração'!$B$51+133&gt;='🌱 Configuração'!$E$51,INT(('🌱 Configuração'!$B$51+133-'🌱 Configuração'!$E$51)/7)+1=1,MOD('🌱 Configuração'!$B$51+133-'🌱 Configuração'!$E$51,7)=0),"🐛 Inspeção final — sem aplicação",""))))))))))))))</f>
        <v/>
      </c>
      <c r="H139" s="22" t="str">
        <f>IF(134&gt;'🌱 Configuração'!$F$50,"",IF('🌱 Configuração'!$B$51+133='🌱 Configuração'!$C$51,"🌿 INÍCIO VEGA — ajustar espaço, luz 18h/dia — EC 0.8",IF('🌱 Configuração'!$B$51+133='🌱 Configuração'!$D$51,"🌸 INÍCIO FLORAÇÃO — mudar para 12h/12h — 🔴 atenção ao fotoperíodo",IF('🌱 Configuração'!$B$51+133='🌱 Configuração'!$E$51,"🚿 INÍCIO FLUSH — PARAR nutrição, somente água pura",IF('🌱 Configuração'!$B$51+133='🌱 Configuração'!$F$51-1,"🔬 Véspera da colheita — analisar tricomas âmbar",IF('🌱 Configuração'!$B$51+133='🌱 Configuração'!$F$51,"✂️ COLHEITA! Parabéns! 🎉",""))))))</f>
        <v/>
      </c>
    </row>
    <row r="140" spans="2:8" ht="18.75" customHeight="1" x14ac:dyDescent="0.3">
      <c r="B140" s="25" t="str">
        <f>IF(135&lt;='🌱 Configuração'!$F$50,135,"")</f>
        <v/>
      </c>
      <c r="C140" s="26" t="str">
        <f>IF(135&lt;='🌱 Configuração'!$F$50,'🌱 Configuração'!$B$51+134,"")</f>
        <v/>
      </c>
      <c r="D140" s="27" t="str">
        <f>IF(135&gt;'🌱 Configuração'!$F$50,"",IF('🌱 Configuração'!$B$51+134&lt;'🌱 Configuração'!$C$51,"🌱 Clone",IF('🌱 Configuração'!$B$51+134&lt;'🌱 Configuração'!$D$51,"🌿 Vegetativo",IF('🌱 Configuração'!$B$51+134&lt;'🌱 Configuração'!$E$51,"🌸 Floração","🚿 Flush"))))</f>
        <v/>
      </c>
      <c r="E140" s="28" t="str">
        <f>IF(135&gt;'🌱 Configuração'!$F$50,"",IF('🌱 Configuração'!$B$51+134&lt;'🌱 Configuração'!$C$51,"Clone S"&amp;INT((135-1)/7)+1,IF('🌱 Configuração'!$B$51+134&lt;'🌱 Configuração'!$D$51,"Vega S"&amp;INT(('🌱 Configuração'!$B$51+134-'🌱 Configuração'!$C$51)/7)+1,IF('🌱 Configuração'!$B$51+134&lt;'🌱 Configuração'!$E$51,"Flora S"&amp;INT(('🌱 Configuração'!$B$51+134-'🌱 Configuração'!$D$51)/7)+1,"Flush S"&amp;INT(('🌱 Configuração'!$B$51+134-'🌱 Configuração'!$E$51)/7)+1))))</f>
        <v/>
      </c>
      <c r="F140" s="29" t="str">
        <f>IF(135&gt;'🌱 Configuração'!$F$50,"",IF(AND('🌱 Configuração'!$B$51+134&lt;'🌱 Configuração'!$C$51,INT((135-1)/7)+1=1,MOD(135-1,7)=0),"🌱 Enraizador (0.5 mL/L)",IF(AND('🌱 Configuração'!$B$51+134&lt;'🌱 Configuração'!$C$51,INT((135-1)/7)+1=2,MOD(135-1,7)=0),"🌱 Enraizador + Vitamina B1",IF(AND('🌱 Configuração'!$B$51+134&gt;='🌱 Configuração'!$C$51,'🌱 Configuração'!$B$51+134&lt;'🌱 Configuração'!$D$51,INT(('🌱 Configuração'!$B$51+134-'🌱 Configuração'!$C$51)/7)+1=1,MOD('🌱 Configuração'!$B$51+134-'🌱 Configuração'!$C$51,7)=0),"🌿 Grow A+B início — EC 0.8",IF(AND('🌱 Configuração'!$B$51+134&gt;='🌱 Configuração'!$C$51,'🌱 Configuração'!$B$51+134&lt;'🌱 Configuração'!$D$51,INT(('🌱 Configuração'!$B$51+134-'🌱 Configuração'!$C$51)/7)+1=2,MOD('🌱 Configuração'!$B$51+134-'🌱 Configuração'!$C$51,7)=0),"🌿 Grow A+B + CalMag — EC 1.0",IF(AND('🌱 Configuração'!$B$51+134&gt;='🌱 Configuração'!$C$51,'🌱 Configuração'!$B$51+134&lt;'🌱 Configuração'!$D$51,INT(('🌱 Configuração'!$B$51+134-'🌱 Configuração'!$C$51)/7)+1=3,MOD('🌱 Configuração'!$B$51+134-'🌱 Configuração'!$C$51,7)=0),"🌿 Grow A+B + CalMag — EC 1.2",IF(AND('🌱 Configuração'!$B$51+134&gt;='🌱 Configuração'!$C$51,'🌱 Configuração'!$B$51+134&lt;'🌱 Configuração'!$D$51,INT(('🌱 Configuração'!$B$51+134-'🌱 Configuração'!$C$51)/7)+1=4,MOD('🌱 Configuração'!$B$51+134-'🌱 Configuração'!$C$51,7)=0),"🌿 Grow A+B + Enzimas — EC 1.4",IF(AND('🌱 Configuração'!$B$51+134&gt;='🌱 Configuração'!$C$51,'🌱 Configuração'!$B$51+134&lt;'🌱 Configuração'!$D$51,INT(('🌱 Configuração'!$B$51+134-'🌱 Configuração'!$C$51)/7)+1=5,MOD('🌱 Configuração'!$B$51+134-'🌱 Configuração'!$C$51,7)=0),"🌿 Grow A+B + Biorrizas — EC 1.5",IF(AND('🌱 Configuração'!$B$51+134&gt;='🌱 Configuração'!$C$51,'🌱 Configuração'!$B$51+134&lt;'🌱 Configuração'!$D$51,INT(('🌱 Configuração'!$B$51+134-'🌱 Configuração'!$C$51)/7)+1=6,MOD('🌱 Configuração'!$B$51+134-'🌱 Configuração'!$C$51,7)=0),"🌿 Transição Bloom — EC 1.4",IF(AND('🌱 Configuração'!$B$51+134&gt;='🌱 Configuração'!$C$51,'🌱 Configuração'!$B$51+134&lt;'🌱 Configuração'!$D$51,INT(('🌱 Configuração'!$B$51+134-'🌱 Configuração'!$C$51)/7)+1=7,MOD('🌱 Configuração'!$B$51+134-'🌱 Configuração'!$C$51,7)=0),"🌿 Bloom A+B transição — EC 1.4",IF(AND('🌱 Configuração'!$B$51+134&gt;='🌱 Configuração'!$C$51,'🌱 Configuração'!$B$51+134&lt;'🌱 Configuração'!$D$51,INT(('🌱 Configuração'!$B$51+134-'🌱 Configuração'!$C$51)/7)+1=8,MOD('🌱 Configuração'!$B$51+134-'🌱 Configuração'!$C$51,7)=0),"🌿 Bloom A+B — EC 1.4",IF(AND('🌱 Configuração'!$B$51+134&gt;='🌱 Configuração'!$D$51,'🌱 Configuração'!$B$51+134&lt;'🌱 Configuração'!$E$51,INT(('🌱 Configuração'!$B$51+134-'🌱 Configuração'!$D$51)/7)+1=1,MOD('🌱 Configuração'!$B$51+134-'🌱 Configuração'!$D$51,7)=0),"🌸 Bloom A+B — EC 1.6",IF(AND('🌱 Configuração'!$B$51+134&gt;='🌱 Configuração'!$D$51,'🌱 Configuração'!$B$51+134&lt;'🌱 Configuração'!$E$51,INT(('🌱 Configuração'!$B$51+134-'🌱 Configuração'!$D$51)/7)+1=2,MOD('🌱 Configuração'!$B$51+134-'🌱 Configuração'!$D$51,7)=0),"🌸 Bloom + PK 13/14 início",IF(AND('🌱 Configuração'!$B$51+134&gt;='🌱 Configuração'!$D$51,'🌱 Configuração'!$B$51+134&lt;'🌱 Configuração'!$E$51,INT(('🌱 Configuração'!$B$51+134-'🌱 Configuração'!$D$51)/7)+1=3,MOD('🌱 Configuração'!$B$51+134-'🌱 Configuração'!$D$51,7)=0),"🌸 Bloom + PK + CalMag — EC 1.8",IF(AND('🌱 Configuração'!$B$51+134&gt;='🌱 Configuração'!$D$51,'🌱 Configuração'!$B$51+134&lt;'🌱 Configuração'!$E$51,INT(('🌱 Configuração'!$B$51+134-'🌱 Configuração'!$D$51)/7)+1=4,MOD('🌱 Configuração'!$B$51+134-'🌱 Configuração'!$D$51,7)=0),"🌸 Bloom + PK + Boost Floral — EC 2.0",IF(AND('🌱 Configuração'!$B$51+134&gt;='🌱 Configuração'!$D$51,'🌱 Configuração'!$B$51+134&lt;'🌱 Configuração'!$E$51,INT(('🌱 Configuração'!$B$51+134-'🌱 Configuração'!$D$51)/7)+1=5,MOD('🌱 Configuração'!$B$51+134-'🌱 Configuração'!$D$51,7)=0),"🌸 Bloom + Boost + Amino",IF(AND('🌱 Configuração'!$B$51+134&gt;='🌱 Configuração'!$D$51,'🌱 Configuração'!$B$51+134&lt;'🌱 Configuração'!$E$51,INT(('🌱 Configuração'!$B$51+134-'🌱 Configuração'!$D$51)/7)+1=6,MOD('🌱 Configuração'!$B$51+134-'🌱 Configuração'!$D$51,7)=0),"🌸 Bloom + Enzimas + Amino",IF(AND('🌱 Configuração'!$B$51+134&gt;='🌱 Configuração'!$D$51,'🌱 Configuração'!$B$51+134&lt;'🌱 Configuração'!$E$51,INT(('🌱 Configuração'!$B$51+134-'🌱 Configuração'!$D$51)/7)+1=7,MOD('🌱 Configuração'!$B$51+134-'🌱 Configuração'!$D$51,7)=0),"🌸 Reduzir N — Bloom puro — EC 1.6",IF(AND('🌱 Configuração'!$B$51+134&gt;='🌱 Configuração'!$D$51,'🌱 Configuração'!$B$51+134&lt;'🌱 Configuração'!$E$51,INT(('🌱 Configuração'!$B$51+134-'🌱 Configuração'!$D$51)/7)+1=8,MOD('🌱 Configuração'!$B$51+134-'🌱 Configuração'!$D$51,7)=0),"🌸 Bloom puro — EC 1.4  (pré-flush)",IF(AND('🌱 Configuração'!$B$51+134&gt;='🌱 Configuração'!$D$51,'🌱 Configuração'!$B$51+134&lt;'🌱 Configuração'!$E$51,INT(('🌱 Configuração'!$B$51+134-'🌱 Configuração'!$D$51)/7)+1=9,MOD('🌱 Configuração'!$B$51+134-'🌱 Configuração'!$D$51,7)=0),"🌸 Último Bloom — EC 0.8",IF(AND('🌱 Configuração'!$B$51+134&gt;='🌱 Configuração'!$E$51,INT(('🌱 Configuração'!$B$51+134-'🌱 Configuração'!$E$51)/7)+1=1,MOD('🌱 Configuração'!$B$51+134-'🌱 Configuração'!$E$51,7)=0),"🚿 Água pura + Enzimas (EC &lt; 0.3)",IF(AND('🌱 Configuração'!$B$51+134&gt;='🌱 Configuração'!$E$51,INT(('🌱 Configuração'!$B$51+134-'🌱 Configuração'!$E$51)/7)+1=2,MOD('🌱 Configuração'!$B$51+134-'🌱 Configuração'!$E$51,7)=0),"🚿 Água pura (EC &lt; 0.2)",""))))))))))))))))))))))</f>
        <v/>
      </c>
      <c r="G140" s="30" t="str">
        <f>IF(135&gt;'🌱 Configuração'!$F$50,"",IF(AND('🌱 Configuração'!$B$51+134&lt;'🌱 Configuração'!$C$51,INT((135-1)/7)+1=1,MOD(135-1,7)=0),"🐛 Nim 2mL/L foliar — preventivo",IF(AND('🌱 Configuração'!$B$51+134&lt;'🌱 Configuração'!$C$51,INT((135-1)/7)+1=2,MOD(135-1,7)=0),"🐛 Beauveria bassiana foliar + solo",IF(AND('🌱 Configuração'!$B$51+134&gt;='🌱 Configuração'!$C$51,'🌱 Configuração'!$B$51+134&lt;'🌱 Configuração'!$D$51,INT(('🌱 Configuração'!$B$51+134-'🌱 Configuração'!$C$51)/7)+1=1,MOD('🌱 Configuração'!$B$51+134-'🌱 Configuração'!$C$51,7)=0),"🐛 Nim 2mL/L foliar",IF(AND('🌱 Configuração'!$B$51+134&gt;='🌱 Configuração'!$C$51,'🌱 Configuração'!$B$51+134&lt;'🌱 Configuração'!$D$51,INT(('🌱 Configuração'!$B$51+134-'🌱 Configuração'!$C$51)/7)+1=2,MOD('🌱 Configuração'!$B$51+134-'🌱 Configuração'!$C$51,7)=0),"🐛 Beauveria bassiana foliar",IF(AND('🌱 Configuração'!$B$51+134&gt;='🌱 Configuração'!$C$51,'🌱 Configuração'!$B$51+134&lt;'🌱 Configuração'!$D$51,INT(('🌱 Configuração'!$B$51+134-'🌱 Configuração'!$C$51)/7)+1=3,MOD('🌱 Configuração'!$B$51+134-'🌱 Configuração'!$C$51,7)=0),"🐛 Nim + Calda Sulfocálcica 1%",IF(AND('🌱 Configuração'!$B$51+134&gt;='🌱 Configuração'!$C$51,'🌱 Configuração'!$B$51+134&lt;'🌱 Configuração'!$D$51,INT(('🌱 Configuração'!$B$51+134-'🌱 Configuração'!$C$51)/7)+1=4,MOD('🌱 Configuração'!$B$51+134-'🌱 Configuração'!$C$51,7)=0),"🐛 Trichoderma solo + Beauveria",IF(AND('🌱 Configuração'!$B$51+134&gt;='🌱 Configuração'!$C$51,'🌱 Configuração'!$B$51+134&lt;'🌱 Configuração'!$D$51,INT(('🌱 Configuração'!$B$51+134-'🌱 Configuração'!$C$51)/7)+1=5,MOD('🌱 Configuração'!$B$51+134-'🌱 Configuração'!$C$51,7)=0),"🐛 Calda Bordalesa 0.5% foliar",IF(AND('🌱 Configuração'!$B$51+134&gt;='🌱 Configuração'!$C$51,'🌱 Configuração'!$B$51+134&lt;'🌱 Configuração'!$D$51,INT(('🌱 Configuração'!$B$51+134-'🌱 Configuração'!$C$51)/7)+1=6,MOD('🌱 Configuração'!$B$51+134-'🌱 Configuração'!$C$51,7)=0),"🐛 Nim 2mL/L — ÚLTIMA foliar",IF(AND('🌱 Configuração'!$B$51+134&gt;='🌱 Configuração'!$D$51,'🌱 Configuração'!$B$51+134&lt;'🌱 Configuração'!$E$51,INT(('🌱 Configuração'!$B$51+134-'🌱 Configuração'!$D$51)/7)+1=1,MOD('🌱 Configuração'!$B$51+134-'🌱 Configuração'!$D$51,7)=0),"🐛 Beauveria bassiana solo (sem foliar)",IF(AND('🌱 Configuração'!$B$51+134&gt;='🌱 Configuração'!$D$51,'🌱 Configuração'!$B$51+134&lt;'🌱 Configuração'!$E$51,INT(('🌱 Configuração'!$B$51+134-'🌱 Configuração'!$D$51)/7)+1=2,MOD('🌱 Configuração'!$B$51+134-'🌱 Configuração'!$D$51,7)=0),"🐛 Trichoderma solo",IF(AND('🌱 Configuração'!$B$51+134&gt;='🌱 Configuração'!$D$51,'🌱 Configuração'!$B$51+134&lt;'🌱 Configuração'!$E$51,INT(('🌱 Configuração'!$B$51+134-'🌱 Configuração'!$D$51)/7)+1=3,MOD('🌱 Configuração'!$B$51+134-'🌱 Configuração'!$D$51,7)=0),"🐛 Beauveria bassiana solo",IF(AND('🌱 Configuração'!$B$51+134&gt;='🌱 Configuração'!$D$51,'🌱 Configuração'!$B$51+134&lt;'🌱 Configuração'!$E$51,INT(('🌱 Configuração'!$B$51+134-'🌱 Configuração'!$D$51)/7)+1=4,MOD('🌱 Configuração'!$B$51+134-'🌱 Configuração'!$D$51,7)=0),"🐛 Trichoderma solo",IF(AND('🌱 Configuração'!$B$51+134&gt;='🌱 Configuração'!$E$51,INT(('🌱 Configuração'!$B$51+134-'🌱 Configuração'!$E$51)/7)+1=1,MOD('🌱 Configuração'!$B$51+134-'🌱 Configuração'!$E$51,7)=0),"🐛 Inspeção final — sem aplicação",""))))))))))))))</f>
        <v/>
      </c>
      <c r="H140" s="22" t="str">
        <f>IF(135&gt;'🌱 Configuração'!$F$50,"",IF('🌱 Configuração'!$B$51+134='🌱 Configuração'!$C$51,"🌿 INÍCIO VEGA — ajustar espaço, luz 18h/dia — EC 0.8",IF('🌱 Configuração'!$B$51+134='🌱 Configuração'!$D$51,"🌸 INÍCIO FLORAÇÃO — mudar para 12h/12h — 🔴 atenção ao fotoperíodo",IF('🌱 Configuração'!$B$51+134='🌱 Configuração'!$E$51,"🚿 INÍCIO FLUSH — PARAR nutrição, somente água pura",IF('🌱 Configuração'!$B$51+134='🌱 Configuração'!$F$51-1,"🔬 Véspera da colheita — analisar tricomas âmbar",IF('🌱 Configuração'!$B$51+134='🌱 Configuração'!$F$51,"✂️ COLHEITA! Parabéns! 🎉",""))))))</f>
        <v/>
      </c>
    </row>
    <row r="141" spans="2:8" ht="18.75" customHeight="1" x14ac:dyDescent="0.3">
      <c r="B141" s="25" t="str">
        <f>IF(136&lt;='🌱 Configuração'!$F$50,136,"")</f>
        <v/>
      </c>
      <c r="C141" s="26" t="str">
        <f>IF(136&lt;='🌱 Configuração'!$F$50,'🌱 Configuração'!$B$51+135,"")</f>
        <v/>
      </c>
      <c r="D141" s="27" t="str">
        <f>IF(136&gt;'🌱 Configuração'!$F$50,"",IF('🌱 Configuração'!$B$51+135&lt;'🌱 Configuração'!$C$51,"🌱 Clone",IF('🌱 Configuração'!$B$51+135&lt;'🌱 Configuração'!$D$51,"🌿 Vegetativo",IF('🌱 Configuração'!$B$51+135&lt;'🌱 Configuração'!$E$51,"🌸 Floração","🚿 Flush"))))</f>
        <v/>
      </c>
      <c r="E141" s="28" t="str">
        <f>IF(136&gt;'🌱 Configuração'!$F$50,"",IF('🌱 Configuração'!$B$51+135&lt;'🌱 Configuração'!$C$51,"Clone S"&amp;INT((136-1)/7)+1,IF('🌱 Configuração'!$B$51+135&lt;'🌱 Configuração'!$D$51,"Vega S"&amp;INT(('🌱 Configuração'!$B$51+135-'🌱 Configuração'!$C$51)/7)+1,IF('🌱 Configuração'!$B$51+135&lt;'🌱 Configuração'!$E$51,"Flora S"&amp;INT(('🌱 Configuração'!$B$51+135-'🌱 Configuração'!$D$51)/7)+1,"Flush S"&amp;INT(('🌱 Configuração'!$B$51+135-'🌱 Configuração'!$E$51)/7)+1))))</f>
        <v/>
      </c>
      <c r="F141" s="29" t="str">
        <f>IF(136&gt;'🌱 Configuração'!$F$50,"",IF(AND('🌱 Configuração'!$B$51+135&lt;'🌱 Configuração'!$C$51,INT((136-1)/7)+1=1,MOD(136-1,7)=0),"🌱 Enraizador (0.5 mL/L)",IF(AND('🌱 Configuração'!$B$51+135&lt;'🌱 Configuração'!$C$51,INT((136-1)/7)+1=2,MOD(136-1,7)=0),"🌱 Enraizador + Vitamina B1",IF(AND('🌱 Configuração'!$B$51+135&gt;='🌱 Configuração'!$C$51,'🌱 Configuração'!$B$51+135&lt;'🌱 Configuração'!$D$51,INT(('🌱 Configuração'!$B$51+135-'🌱 Configuração'!$C$51)/7)+1=1,MOD('🌱 Configuração'!$B$51+135-'🌱 Configuração'!$C$51,7)=0),"🌿 Grow A+B início — EC 0.8",IF(AND('🌱 Configuração'!$B$51+135&gt;='🌱 Configuração'!$C$51,'🌱 Configuração'!$B$51+135&lt;'🌱 Configuração'!$D$51,INT(('🌱 Configuração'!$B$51+135-'🌱 Configuração'!$C$51)/7)+1=2,MOD('🌱 Configuração'!$B$51+135-'🌱 Configuração'!$C$51,7)=0),"🌿 Grow A+B + CalMag — EC 1.0",IF(AND('🌱 Configuração'!$B$51+135&gt;='🌱 Configuração'!$C$51,'🌱 Configuração'!$B$51+135&lt;'🌱 Configuração'!$D$51,INT(('🌱 Configuração'!$B$51+135-'🌱 Configuração'!$C$51)/7)+1=3,MOD('🌱 Configuração'!$B$51+135-'🌱 Configuração'!$C$51,7)=0),"🌿 Grow A+B + CalMag — EC 1.2",IF(AND('🌱 Configuração'!$B$51+135&gt;='🌱 Configuração'!$C$51,'🌱 Configuração'!$B$51+135&lt;'🌱 Configuração'!$D$51,INT(('🌱 Configuração'!$B$51+135-'🌱 Configuração'!$C$51)/7)+1=4,MOD('🌱 Configuração'!$B$51+135-'🌱 Configuração'!$C$51,7)=0),"🌿 Grow A+B + Enzimas — EC 1.4",IF(AND('🌱 Configuração'!$B$51+135&gt;='🌱 Configuração'!$C$51,'🌱 Configuração'!$B$51+135&lt;'🌱 Configuração'!$D$51,INT(('🌱 Configuração'!$B$51+135-'🌱 Configuração'!$C$51)/7)+1=5,MOD('🌱 Configuração'!$B$51+135-'🌱 Configuração'!$C$51,7)=0),"🌿 Grow A+B + Biorrizas — EC 1.5",IF(AND('🌱 Configuração'!$B$51+135&gt;='🌱 Configuração'!$C$51,'🌱 Configuração'!$B$51+135&lt;'🌱 Configuração'!$D$51,INT(('🌱 Configuração'!$B$51+135-'🌱 Configuração'!$C$51)/7)+1=6,MOD('🌱 Configuração'!$B$51+135-'🌱 Configuração'!$C$51,7)=0),"🌿 Transição Bloom — EC 1.4",IF(AND('🌱 Configuração'!$B$51+135&gt;='🌱 Configuração'!$C$51,'🌱 Configuração'!$B$51+135&lt;'🌱 Configuração'!$D$51,INT(('🌱 Configuração'!$B$51+135-'🌱 Configuração'!$C$51)/7)+1=7,MOD('🌱 Configuração'!$B$51+135-'🌱 Configuração'!$C$51,7)=0),"🌿 Bloom A+B transição — EC 1.4",IF(AND('🌱 Configuração'!$B$51+135&gt;='🌱 Configuração'!$C$51,'🌱 Configuração'!$B$51+135&lt;'🌱 Configuração'!$D$51,INT(('🌱 Configuração'!$B$51+135-'🌱 Configuração'!$C$51)/7)+1=8,MOD('🌱 Configuração'!$B$51+135-'🌱 Configuração'!$C$51,7)=0),"🌿 Bloom A+B — EC 1.4",IF(AND('🌱 Configuração'!$B$51+135&gt;='🌱 Configuração'!$D$51,'🌱 Configuração'!$B$51+135&lt;'🌱 Configuração'!$E$51,INT(('🌱 Configuração'!$B$51+135-'🌱 Configuração'!$D$51)/7)+1=1,MOD('🌱 Configuração'!$B$51+135-'🌱 Configuração'!$D$51,7)=0),"🌸 Bloom A+B — EC 1.6",IF(AND('🌱 Configuração'!$B$51+135&gt;='🌱 Configuração'!$D$51,'🌱 Configuração'!$B$51+135&lt;'🌱 Configuração'!$E$51,INT(('🌱 Configuração'!$B$51+135-'🌱 Configuração'!$D$51)/7)+1=2,MOD('🌱 Configuração'!$B$51+135-'🌱 Configuração'!$D$51,7)=0),"🌸 Bloom + PK 13/14 início",IF(AND('🌱 Configuração'!$B$51+135&gt;='🌱 Configuração'!$D$51,'🌱 Configuração'!$B$51+135&lt;'🌱 Configuração'!$E$51,INT(('🌱 Configuração'!$B$51+135-'🌱 Configuração'!$D$51)/7)+1=3,MOD('🌱 Configuração'!$B$51+135-'🌱 Configuração'!$D$51,7)=0),"🌸 Bloom + PK + CalMag — EC 1.8",IF(AND('🌱 Configuração'!$B$51+135&gt;='🌱 Configuração'!$D$51,'🌱 Configuração'!$B$51+135&lt;'🌱 Configuração'!$E$51,INT(('🌱 Configuração'!$B$51+135-'🌱 Configuração'!$D$51)/7)+1=4,MOD('🌱 Configuração'!$B$51+135-'🌱 Configuração'!$D$51,7)=0),"🌸 Bloom + PK + Boost Floral — EC 2.0",IF(AND('🌱 Configuração'!$B$51+135&gt;='🌱 Configuração'!$D$51,'🌱 Configuração'!$B$51+135&lt;'🌱 Configuração'!$E$51,INT(('🌱 Configuração'!$B$51+135-'🌱 Configuração'!$D$51)/7)+1=5,MOD('🌱 Configuração'!$B$51+135-'🌱 Configuração'!$D$51,7)=0),"🌸 Bloom + Boost + Amino",IF(AND('🌱 Configuração'!$B$51+135&gt;='🌱 Configuração'!$D$51,'🌱 Configuração'!$B$51+135&lt;'🌱 Configuração'!$E$51,INT(('🌱 Configuração'!$B$51+135-'🌱 Configuração'!$D$51)/7)+1=6,MOD('🌱 Configuração'!$B$51+135-'🌱 Configuração'!$D$51,7)=0),"🌸 Bloom + Enzimas + Amino",IF(AND('🌱 Configuração'!$B$51+135&gt;='🌱 Configuração'!$D$51,'🌱 Configuração'!$B$51+135&lt;'🌱 Configuração'!$E$51,INT(('🌱 Configuração'!$B$51+135-'🌱 Configuração'!$D$51)/7)+1=7,MOD('🌱 Configuração'!$B$51+135-'🌱 Configuração'!$D$51,7)=0),"🌸 Reduzir N — Bloom puro — EC 1.6",IF(AND('🌱 Configuração'!$B$51+135&gt;='🌱 Configuração'!$D$51,'🌱 Configuração'!$B$51+135&lt;'🌱 Configuração'!$E$51,INT(('🌱 Configuração'!$B$51+135-'🌱 Configuração'!$D$51)/7)+1=8,MOD('🌱 Configuração'!$B$51+135-'🌱 Configuração'!$D$51,7)=0),"🌸 Bloom puro — EC 1.4  (pré-flush)",IF(AND('🌱 Configuração'!$B$51+135&gt;='🌱 Configuração'!$D$51,'🌱 Configuração'!$B$51+135&lt;'🌱 Configuração'!$E$51,INT(('🌱 Configuração'!$B$51+135-'🌱 Configuração'!$D$51)/7)+1=9,MOD('🌱 Configuração'!$B$51+135-'🌱 Configuração'!$D$51,7)=0),"🌸 Último Bloom — EC 0.8",IF(AND('🌱 Configuração'!$B$51+135&gt;='🌱 Configuração'!$E$51,INT(('🌱 Configuração'!$B$51+135-'🌱 Configuração'!$E$51)/7)+1=1,MOD('🌱 Configuração'!$B$51+135-'🌱 Configuração'!$E$51,7)=0),"🚿 Água pura + Enzimas (EC &lt; 0.3)",IF(AND('🌱 Configuração'!$B$51+135&gt;='🌱 Configuração'!$E$51,INT(('🌱 Configuração'!$B$51+135-'🌱 Configuração'!$E$51)/7)+1=2,MOD('🌱 Configuração'!$B$51+135-'🌱 Configuração'!$E$51,7)=0),"🚿 Água pura (EC &lt; 0.2)",""))))))))))))))))))))))</f>
        <v/>
      </c>
      <c r="G141" s="30" t="str">
        <f>IF(136&gt;'🌱 Configuração'!$F$50,"",IF(AND('🌱 Configuração'!$B$51+135&lt;'🌱 Configuração'!$C$51,INT((136-1)/7)+1=1,MOD(136-1,7)=0),"🐛 Nim 2mL/L foliar — preventivo",IF(AND('🌱 Configuração'!$B$51+135&lt;'🌱 Configuração'!$C$51,INT((136-1)/7)+1=2,MOD(136-1,7)=0),"🐛 Beauveria bassiana foliar + solo",IF(AND('🌱 Configuração'!$B$51+135&gt;='🌱 Configuração'!$C$51,'🌱 Configuração'!$B$51+135&lt;'🌱 Configuração'!$D$51,INT(('🌱 Configuração'!$B$51+135-'🌱 Configuração'!$C$51)/7)+1=1,MOD('🌱 Configuração'!$B$51+135-'🌱 Configuração'!$C$51,7)=0),"🐛 Nim 2mL/L foliar",IF(AND('🌱 Configuração'!$B$51+135&gt;='🌱 Configuração'!$C$51,'🌱 Configuração'!$B$51+135&lt;'🌱 Configuração'!$D$51,INT(('🌱 Configuração'!$B$51+135-'🌱 Configuração'!$C$51)/7)+1=2,MOD('🌱 Configuração'!$B$51+135-'🌱 Configuração'!$C$51,7)=0),"🐛 Beauveria bassiana foliar",IF(AND('🌱 Configuração'!$B$51+135&gt;='🌱 Configuração'!$C$51,'🌱 Configuração'!$B$51+135&lt;'🌱 Configuração'!$D$51,INT(('🌱 Configuração'!$B$51+135-'🌱 Configuração'!$C$51)/7)+1=3,MOD('🌱 Configuração'!$B$51+135-'🌱 Configuração'!$C$51,7)=0),"🐛 Nim + Calda Sulfocálcica 1%",IF(AND('🌱 Configuração'!$B$51+135&gt;='🌱 Configuração'!$C$51,'🌱 Configuração'!$B$51+135&lt;'🌱 Configuração'!$D$51,INT(('🌱 Configuração'!$B$51+135-'🌱 Configuração'!$C$51)/7)+1=4,MOD('🌱 Configuração'!$B$51+135-'🌱 Configuração'!$C$51,7)=0),"🐛 Trichoderma solo + Beauveria",IF(AND('🌱 Configuração'!$B$51+135&gt;='🌱 Configuração'!$C$51,'🌱 Configuração'!$B$51+135&lt;'🌱 Configuração'!$D$51,INT(('🌱 Configuração'!$B$51+135-'🌱 Configuração'!$C$51)/7)+1=5,MOD('🌱 Configuração'!$B$51+135-'🌱 Configuração'!$C$51,7)=0),"🐛 Calda Bordalesa 0.5% foliar",IF(AND('🌱 Configuração'!$B$51+135&gt;='🌱 Configuração'!$C$51,'🌱 Configuração'!$B$51+135&lt;'🌱 Configuração'!$D$51,INT(('🌱 Configuração'!$B$51+135-'🌱 Configuração'!$C$51)/7)+1=6,MOD('🌱 Configuração'!$B$51+135-'🌱 Configuração'!$C$51,7)=0),"🐛 Nim 2mL/L — ÚLTIMA foliar",IF(AND('🌱 Configuração'!$B$51+135&gt;='🌱 Configuração'!$D$51,'🌱 Configuração'!$B$51+135&lt;'🌱 Configuração'!$E$51,INT(('🌱 Configuração'!$B$51+135-'🌱 Configuração'!$D$51)/7)+1=1,MOD('🌱 Configuração'!$B$51+135-'🌱 Configuração'!$D$51,7)=0),"🐛 Beauveria bassiana solo (sem foliar)",IF(AND('🌱 Configuração'!$B$51+135&gt;='🌱 Configuração'!$D$51,'🌱 Configuração'!$B$51+135&lt;'🌱 Configuração'!$E$51,INT(('🌱 Configuração'!$B$51+135-'🌱 Configuração'!$D$51)/7)+1=2,MOD('🌱 Configuração'!$B$51+135-'🌱 Configuração'!$D$51,7)=0),"🐛 Trichoderma solo",IF(AND('🌱 Configuração'!$B$51+135&gt;='🌱 Configuração'!$D$51,'🌱 Configuração'!$B$51+135&lt;'🌱 Configuração'!$E$51,INT(('🌱 Configuração'!$B$51+135-'🌱 Configuração'!$D$51)/7)+1=3,MOD('🌱 Configuração'!$B$51+135-'🌱 Configuração'!$D$51,7)=0),"🐛 Beauveria bassiana solo",IF(AND('🌱 Configuração'!$B$51+135&gt;='🌱 Configuração'!$D$51,'🌱 Configuração'!$B$51+135&lt;'🌱 Configuração'!$E$51,INT(('🌱 Configuração'!$B$51+135-'🌱 Configuração'!$D$51)/7)+1=4,MOD('🌱 Configuração'!$B$51+135-'🌱 Configuração'!$D$51,7)=0),"🐛 Trichoderma solo",IF(AND('🌱 Configuração'!$B$51+135&gt;='🌱 Configuração'!$E$51,INT(('🌱 Configuração'!$B$51+135-'🌱 Configuração'!$E$51)/7)+1=1,MOD('🌱 Configuração'!$B$51+135-'🌱 Configuração'!$E$51,7)=0),"🐛 Inspeção final — sem aplicação",""))))))))))))))</f>
        <v/>
      </c>
      <c r="H141" s="22" t="str">
        <f>IF(136&gt;'🌱 Configuração'!$F$50,"",IF('🌱 Configuração'!$B$51+135='🌱 Configuração'!$C$51,"🌿 INÍCIO VEGA — ajustar espaço, luz 18h/dia — EC 0.8",IF('🌱 Configuração'!$B$51+135='🌱 Configuração'!$D$51,"🌸 INÍCIO FLORAÇÃO — mudar para 12h/12h — 🔴 atenção ao fotoperíodo",IF('🌱 Configuração'!$B$51+135='🌱 Configuração'!$E$51,"🚿 INÍCIO FLUSH — PARAR nutrição, somente água pura",IF('🌱 Configuração'!$B$51+135='🌱 Configuração'!$F$51-1,"🔬 Véspera da colheita — analisar tricomas âmbar",IF('🌱 Configuração'!$B$51+135='🌱 Configuração'!$F$51,"✂️ COLHEITA! Parabéns! 🎉",""))))))</f>
        <v/>
      </c>
    </row>
    <row r="142" spans="2:8" ht="18.75" customHeight="1" x14ac:dyDescent="0.3">
      <c r="B142" s="25" t="str">
        <f>IF(137&lt;='🌱 Configuração'!$F$50,137,"")</f>
        <v/>
      </c>
      <c r="C142" s="26" t="str">
        <f>IF(137&lt;='🌱 Configuração'!$F$50,'🌱 Configuração'!$B$51+136,"")</f>
        <v/>
      </c>
      <c r="D142" s="27" t="str">
        <f>IF(137&gt;'🌱 Configuração'!$F$50,"",IF('🌱 Configuração'!$B$51+136&lt;'🌱 Configuração'!$C$51,"🌱 Clone",IF('🌱 Configuração'!$B$51+136&lt;'🌱 Configuração'!$D$51,"🌿 Vegetativo",IF('🌱 Configuração'!$B$51+136&lt;'🌱 Configuração'!$E$51,"🌸 Floração","🚿 Flush"))))</f>
        <v/>
      </c>
      <c r="E142" s="28" t="str">
        <f>IF(137&gt;'🌱 Configuração'!$F$50,"",IF('🌱 Configuração'!$B$51+136&lt;'🌱 Configuração'!$C$51,"Clone S"&amp;INT((137-1)/7)+1,IF('🌱 Configuração'!$B$51+136&lt;'🌱 Configuração'!$D$51,"Vega S"&amp;INT(('🌱 Configuração'!$B$51+136-'🌱 Configuração'!$C$51)/7)+1,IF('🌱 Configuração'!$B$51+136&lt;'🌱 Configuração'!$E$51,"Flora S"&amp;INT(('🌱 Configuração'!$B$51+136-'🌱 Configuração'!$D$51)/7)+1,"Flush S"&amp;INT(('🌱 Configuração'!$B$51+136-'🌱 Configuração'!$E$51)/7)+1))))</f>
        <v/>
      </c>
      <c r="F142" s="29" t="str">
        <f>IF(137&gt;'🌱 Configuração'!$F$50,"",IF(AND('🌱 Configuração'!$B$51+136&lt;'🌱 Configuração'!$C$51,INT((137-1)/7)+1=1,MOD(137-1,7)=0),"🌱 Enraizador (0.5 mL/L)",IF(AND('🌱 Configuração'!$B$51+136&lt;'🌱 Configuração'!$C$51,INT((137-1)/7)+1=2,MOD(137-1,7)=0),"🌱 Enraizador + Vitamina B1",IF(AND('🌱 Configuração'!$B$51+136&gt;='🌱 Configuração'!$C$51,'🌱 Configuração'!$B$51+136&lt;'🌱 Configuração'!$D$51,INT(('🌱 Configuração'!$B$51+136-'🌱 Configuração'!$C$51)/7)+1=1,MOD('🌱 Configuração'!$B$51+136-'🌱 Configuração'!$C$51,7)=0),"🌿 Grow A+B início — EC 0.8",IF(AND('🌱 Configuração'!$B$51+136&gt;='🌱 Configuração'!$C$51,'🌱 Configuração'!$B$51+136&lt;'🌱 Configuração'!$D$51,INT(('🌱 Configuração'!$B$51+136-'🌱 Configuração'!$C$51)/7)+1=2,MOD('🌱 Configuração'!$B$51+136-'🌱 Configuração'!$C$51,7)=0),"🌿 Grow A+B + CalMag — EC 1.0",IF(AND('🌱 Configuração'!$B$51+136&gt;='🌱 Configuração'!$C$51,'🌱 Configuração'!$B$51+136&lt;'🌱 Configuração'!$D$51,INT(('🌱 Configuração'!$B$51+136-'🌱 Configuração'!$C$51)/7)+1=3,MOD('🌱 Configuração'!$B$51+136-'🌱 Configuração'!$C$51,7)=0),"🌿 Grow A+B + CalMag — EC 1.2",IF(AND('🌱 Configuração'!$B$51+136&gt;='🌱 Configuração'!$C$51,'🌱 Configuração'!$B$51+136&lt;'🌱 Configuração'!$D$51,INT(('🌱 Configuração'!$B$51+136-'🌱 Configuração'!$C$51)/7)+1=4,MOD('🌱 Configuração'!$B$51+136-'🌱 Configuração'!$C$51,7)=0),"🌿 Grow A+B + Enzimas — EC 1.4",IF(AND('🌱 Configuração'!$B$51+136&gt;='🌱 Configuração'!$C$51,'🌱 Configuração'!$B$51+136&lt;'🌱 Configuração'!$D$51,INT(('🌱 Configuração'!$B$51+136-'🌱 Configuração'!$C$51)/7)+1=5,MOD('🌱 Configuração'!$B$51+136-'🌱 Configuração'!$C$51,7)=0),"🌿 Grow A+B + Biorrizas — EC 1.5",IF(AND('🌱 Configuração'!$B$51+136&gt;='🌱 Configuração'!$C$51,'🌱 Configuração'!$B$51+136&lt;'🌱 Configuração'!$D$51,INT(('🌱 Configuração'!$B$51+136-'🌱 Configuração'!$C$51)/7)+1=6,MOD('🌱 Configuração'!$B$51+136-'🌱 Configuração'!$C$51,7)=0),"🌿 Transição Bloom — EC 1.4",IF(AND('🌱 Configuração'!$B$51+136&gt;='🌱 Configuração'!$C$51,'🌱 Configuração'!$B$51+136&lt;'🌱 Configuração'!$D$51,INT(('🌱 Configuração'!$B$51+136-'🌱 Configuração'!$C$51)/7)+1=7,MOD('🌱 Configuração'!$B$51+136-'🌱 Configuração'!$C$51,7)=0),"🌿 Bloom A+B transição — EC 1.4",IF(AND('🌱 Configuração'!$B$51+136&gt;='🌱 Configuração'!$C$51,'🌱 Configuração'!$B$51+136&lt;'🌱 Configuração'!$D$51,INT(('🌱 Configuração'!$B$51+136-'🌱 Configuração'!$C$51)/7)+1=8,MOD('🌱 Configuração'!$B$51+136-'🌱 Configuração'!$C$51,7)=0),"🌿 Bloom A+B — EC 1.4",IF(AND('🌱 Configuração'!$B$51+136&gt;='🌱 Configuração'!$D$51,'🌱 Configuração'!$B$51+136&lt;'🌱 Configuração'!$E$51,INT(('🌱 Configuração'!$B$51+136-'🌱 Configuração'!$D$51)/7)+1=1,MOD('🌱 Configuração'!$B$51+136-'🌱 Configuração'!$D$51,7)=0),"🌸 Bloom A+B — EC 1.6",IF(AND('🌱 Configuração'!$B$51+136&gt;='🌱 Configuração'!$D$51,'🌱 Configuração'!$B$51+136&lt;'🌱 Configuração'!$E$51,INT(('🌱 Configuração'!$B$51+136-'🌱 Configuração'!$D$51)/7)+1=2,MOD('🌱 Configuração'!$B$51+136-'🌱 Configuração'!$D$51,7)=0),"🌸 Bloom + PK 13/14 início",IF(AND('🌱 Configuração'!$B$51+136&gt;='🌱 Configuração'!$D$51,'🌱 Configuração'!$B$51+136&lt;'🌱 Configuração'!$E$51,INT(('🌱 Configuração'!$B$51+136-'🌱 Configuração'!$D$51)/7)+1=3,MOD('🌱 Configuração'!$B$51+136-'🌱 Configuração'!$D$51,7)=0),"🌸 Bloom + PK + CalMag — EC 1.8",IF(AND('🌱 Configuração'!$B$51+136&gt;='🌱 Configuração'!$D$51,'🌱 Configuração'!$B$51+136&lt;'🌱 Configuração'!$E$51,INT(('🌱 Configuração'!$B$51+136-'🌱 Configuração'!$D$51)/7)+1=4,MOD('🌱 Configuração'!$B$51+136-'🌱 Configuração'!$D$51,7)=0),"🌸 Bloom + PK + Boost Floral — EC 2.0",IF(AND('🌱 Configuração'!$B$51+136&gt;='🌱 Configuração'!$D$51,'🌱 Configuração'!$B$51+136&lt;'🌱 Configuração'!$E$51,INT(('🌱 Configuração'!$B$51+136-'🌱 Configuração'!$D$51)/7)+1=5,MOD('🌱 Configuração'!$B$51+136-'🌱 Configuração'!$D$51,7)=0),"🌸 Bloom + Boost + Amino",IF(AND('🌱 Configuração'!$B$51+136&gt;='🌱 Configuração'!$D$51,'🌱 Configuração'!$B$51+136&lt;'🌱 Configuração'!$E$51,INT(('🌱 Configuração'!$B$51+136-'🌱 Configuração'!$D$51)/7)+1=6,MOD('🌱 Configuração'!$B$51+136-'🌱 Configuração'!$D$51,7)=0),"🌸 Bloom + Enzimas + Amino",IF(AND('🌱 Configuração'!$B$51+136&gt;='🌱 Configuração'!$D$51,'🌱 Configuração'!$B$51+136&lt;'🌱 Configuração'!$E$51,INT(('🌱 Configuração'!$B$51+136-'🌱 Configuração'!$D$51)/7)+1=7,MOD('🌱 Configuração'!$B$51+136-'🌱 Configuração'!$D$51,7)=0),"🌸 Reduzir N — Bloom puro — EC 1.6",IF(AND('🌱 Configuração'!$B$51+136&gt;='🌱 Configuração'!$D$51,'🌱 Configuração'!$B$51+136&lt;'🌱 Configuração'!$E$51,INT(('🌱 Configuração'!$B$51+136-'🌱 Configuração'!$D$51)/7)+1=8,MOD('🌱 Configuração'!$B$51+136-'🌱 Configuração'!$D$51,7)=0),"🌸 Bloom puro — EC 1.4  (pré-flush)",IF(AND('🌱 Configuração'!$B$51+136&gt;='🌱 Configuração'!$D$51,'🌱 Configuração'!$B$51+136&lt;'🌱 Configuração'!$E$51,INT(('🌱 Configuração'!$B$51+136-'🌱 Configuração'!$D$51)/7)+1=9,MOD('🌱 Configuração'!$B$51+136-'🌱 Configuração'!$D$51,7)=0),"🌸 Último Bloom — EC 0.8",IF(AND('🌱 Configuração'!$B$51+136&gt;='🌱 Configuração'!$E$51,INT(('🌱 Configuração'!$B$51+136-'🌱 Configuração'!$E$51)/7)+1=1,MOD('🌱 Configuração'!$B$51+136-'🌱 Configuração'!$E$51,7)=0),"🚿 Água pura + Enzimas (EC &lt; 0.3)",IF(AND('🌱 Configuração'!$B$51+136&gt;='🌱 Configuração'!$E$51,INT(('🌱 Configuração'!$B$51+136-'🌱 Configuração'!$E$51)/7)+1=2,MOD('🌱 Configuração'!$B$51+136-'🌱 Configuração'!$E$51,7)=0),"🚿 Água pura (EC &lt; 0.2)",""))))))))))))))))))))))</f>
        <v/>
      </c>
      <c r="G142" s="30" t="str">
        <f>IF(137&gt;'🌱 Configuração'!$F$50,"",IF(AND('🌱 Configuração'!$B$51+136&lt;'🌱 Configuração'!$C$51,INT((137-1)/7)+1=1,MOD(137-1,7)=0),"🐛 Nim 2mL/L foliar — preventivo",IF(AND('🌱 Configuração'!$B$51+136&lt;'🌱 Configuração'!$C$51,INT((137-1)/7)+1=2,MOD(137-1,7)=0),"🐛 Beauveria bassiana foliar + solo",IF(AND('🌱 Configuração'!$B$51+136&gt;='🌱 Configuração'!$C$51,'🌱 Configuração'!$B$51+136&lt;'🌱 Configuração'!$D$51,INT(('🌱 Configuração'!$B$51+136-'🌱 Configuração'!$C$51)/7)+1=1,MOD('🌱 Configuração'!$B$51+136-'🌱 Configuração'!$C$51,7)=0),"🐛 Nim 2mL/L foliar",IF(AND('🌱 Configuração'!$B$51+136&gt;='🌱 Configuração'!$C$51,'🌱 Configuração'!$B$51+136&lt;'🌱 Configuração'!$D$51,INT(('🌱 Configuração'!$B$51+136-'🌱 Configuração'!$C$51)/7)+1=2,MOD('🌱 Configuração'!$B$51+136-'🌱 Configuração'!$C$51,7)=0),"🐛 Beauveria bassiana foliar",IF(AND('🌱 Configuração'!$B$51+136&gt;='🌱 Configuração'!$C$51,'🌱 Configuração'!$B$51+136&lt;'🌱 Configuração'!$D$51,INT(('🌱 Configuração'!$B$51+136-'🌱 Configuração'!$C$51)/7)+1=3,MOD('🌱 Configuração'!$B$51+136-'🌱 Configuração'!$C$51,7)=0),"🐛 Nim + Calda Sulfocálcica 1%",IF(AND('🌱 Configuração'!$B$51+136&gt;='🌱 Configuração'!$C$51,'🌱 Configuração'!$B$51+136&lt;'🌱 Configuração'!$D$51,INT(('🌱 Configuração'!$B$51+136-'🌱 Configuração'!$C$51)/7)+1=4,MOD('🌱 Configuração'!$B$51+136-'🌱 Configuração'!$C$51,7)=0),"🐛 Trichoderma solo + Beauveria",IF(AND('🌱 Configuração'!$B$51+136&gt;='🌱 Configuração'!$C$51,'🌱 Configuração'!$B$51+136&lt;'🌱 Configuração'!$D$51,INT(('🌱 Configuração'!$B$51+136-'🌱 Configuração'!$C$51)/7)+1=5,MOD('🌱 Configuração'!$B$51+136-'🌱 Configuração'!$C$51,7)=0),"🐛 Calda Bordalesa 0.5% foliar",IF(AND('🌱 Configuração'!$B$51+136&gt;='🌱 Configuração'!$C$51,'🌱 Configuração'!$B$51+136&lt;'🌱 Configuração'!$D$51,INT(('🌱 Configuração'!$B$51+136-'🌱 Configuração'!$C$51)/7)+1=6,MOD('🌱 Configuração'!$B$51+136-'🌱 Configuração'!$C$51,7)=0),"🐛 Nim 2mL/L — ÚLTIMA foliar",IF(AND('🌱 Configuração'!$B$51+136&gt;='🌱 Configuração'!$D$51,'🌱 Configuração'!$B$51+136&lt;'🌱 Configuração'!$E$51,INT(('🌱 Configuração'!$B$51+136-'🌱 Configuração'!$D$51)/7)+1=1,MOD('🌱 Configuração'!$B$51+136-'🌱 Configuração'!$D$51,7)=0),"🐛 Beauveria bassiana solo (sem foliar)",IF(AND('🌱 Configuração'!$B$51+136&gt;='🌱 Configuração'!$D$51,'🌱 Configuração'!$B$51+136&lt;'🌱 Configuração'!$E$51,INT(('🌱 Configuração'!$B$51+136-'🌱 Configuração'!$D$51)/7)+1=2,MOD('🌱 Configuração'!$B$51+136-'🌱 Configuração'!$D$51,7)=0),"🐛 Trichoderma solo",IF(AND('🌱 Configuração'!$B$51+136&gt;='🌱 Configuração'!$D$51,'🌱 Configuração'!$B$51+136&lt;'🌱 Configuração'!$E$51,INT(('🌱 Configuração'!$B$51+136-'🌱 Configuração'!$D$51)/7)+1=3,MOD('🌱 Configuração'!$B$51+136-'🌱 Configuração'!$D$51,7)=0),"🐛 Beauveria bassiana solo",IF(AND('🌱 Configuração'!$B$51+136&gt;='🌱 Configuração'!$D$51,'🌱 Configuração'!$B$51+136&lt;'🌱 Configuração'!$E$51,INT(('🌱 Configuração'!$B$51+136-'🌱 Configuração'!$D$51)/7)+1=4,MOD('🌱 Configuração'!$B$51+136-'🌱 Configuração'!$D$51,7)=0),"🐛 Trichoderma solo",IF(AND('🌱 Configuração'!$B$51+136&gt;='🌱 Configuração'!$E$51,INT(('🌱 Configuração'!$B$51+136-'🌱 Configuração'!$E$51)/7)+1=1,MOD('🌱 Configuração'!$B$51+136-'🌱 Configuração'!$E$51,7)=0),"🐛 Inspeção final — sem aplicação",""))))))))))))))</f>
        <v/>
      </c>
      <c r="H142" s="22" t="str">
        <f>IF(137&gt;'🌱 Configuração'!$F$50,"",IF('🌱 Configuração'!$B$51+136='🌱 Configuração'!$C$51,"🌿 INÍCIO VEGA — ajustar espaço, luz 18h/dia — EC 0.8",IF('🌱 Configuração'!$B$51+136='🌱 Configuração'!$D$51,"🌸 INÍCIO FLORAÇÃO — mudar para 12h/12h — 🔴 atenção ao fotoperíodo",IF('🌱 Configuração'!$B$51+136='🌱 Configuração'!$E$51,"🚿 INÍCIO FLUSH — PARAR nutrição, somente água pura",IF('🌱 Configuração'!$B$51+136='🌱 Configuração'!$F$51-1,"🔬 Véspera da colheita — analisar tricomas âmbar",IF('🌱 Configuração'!$B$51+136='🌱 Configuração'!$F$51,"✂️ COLHEITA! Parabéns! 🎉",""))))))</f>
        <v/>
      </c>
    </row>
    <row r="143" spans="2:8" ht="18.75" customHeight="1" x14ac:dyDescent="0.3">
      <c r="B143" s="25" t="str">
        <f>IF(138&lt;='🌱 Configuração'!$F$50,138,"")</f>
        <v/>
      </c>
      <c r="C143" s="26" t="str">
        <f>IF(138&lt;='🌱 Configuração'!$F$50,'🌱 Configuração'!$B$51+137,"")</f>
        <v/>
      </c>
      <c r="D143" s="27" t="str">
        <f>IF(138&gt;'🌱 Configuração'!$F$50,"",IF('🌱 Configuração'!$B$51+137&lt;'🌱 Configuração'!$C$51,"🌱 Clone",IF('🌱 Configuração'!$B$51+137&lt;'🌱 Configuração'!$D$51,"🌿 Vegetativo",IF('🌱 Configuração'!$B$51+137&lt;'🌱 Configuração'!$E$51,"🌸 Floração","🚿 Flush"))))</f>
        <v/>
      </c>
      <c r="E143" s="28" t="str">
        <f>IF(138&gt;'🌱 Configuração'!$F$50,"",IF('🌱 Configuração'!$B$51+137&lt;'🌱 Configuração'!$C$51,"Clone S"&amp;INT((138-1)/7)+1,IF('🌱 Configuração'!$B$51+137&lt;'🌱 Configuração'!$D$51,"Vega S"&amp;INT(('🌱 Configuração'!$B$51+137-'🌱 Configuração'!$C$51)/7)+1,IF('🌱 Configuração'!$B$51+137&lt;'🌱 Configuração'!$E$51,"Flora S"&amp;INT(('🌱 Configuração'!$B$51+137-'🌱 Configuração'!$D$51)/7)+1,"Flush S"&amp;INT(('🌱 Configuração'!$B$51+137-'🌱 Configuração'!$E$51)/7)+1))))</f>
        <v/>
      </c>
      <c r="F143" s="29" t="str">
        <f>IF(138&gt;'🌱 Configuração'!$F$50,"",IF(AND('🌱 Configuração'!$B$51+137&lt;'🌱 Configuração'!$C$51,INT((138-1)/7)+1=1,MOD(138-1,7)=0),"🌱 Enraizador (0.5 mL/L)",IF(AND('🌱 Configuração'!$B$51+137&lt;'🌱 Configuração'!$C$51,INT((138-1)/7)+1=2,MOD(138-1,7)=0),"🌱 Enraizador + Vitamina B1",IF(AND('🌱 Configuração'!$B$51+137&gt;='🌱 Configuração'!$C$51,'🌱 Configuração'!$B$51+137&lt;'🌱 Configuração'!$D$51,INT(('🌱 Configuração'!$B$51+137-'🌱 Configuração'!$C$51)/7)+1=1,MOD('🌱 Configuração'!$B$51+137-'🌱 Configuração'!$C$51,7)=0),"🌿 Grow A+B início — EC 0.8",IF(AND('🌱 Configuração'!$B$51+137&gt;='🌱 Configuração'!$C$51,'🌱 Configuração'!$B$51+137&lt;'🌱 Configuração'!$D$51,INT(('🌱 Configuração'!$B$51+137-'🌱 Configuração'!$C$51)/7)+1=2,MOD('🌱 Configuração'!$B$51+137-'🌱 Configuração'!$C$51,7)=0),"🌿 Grow A+B + CalMag — EC 1.0",IF(AND('🌱 Configuração'!$B$51+137&gt;='🌱 Configuração'!$C$51,'🌱 Configuração'!$B$51+137&lt;'🌱 Configuração'!$D$51,INT(('🌱 Configuração'!$B$51+137-'🌱 Configuração'!$C$51)/7)+1=3,MOD('🌱 Configuração'!$B$51+137-'🌱 Configuração'!$C$51,7)=0),"🌿 Grow A+B + CalMag — EC 1.2",IF(AND('🌱 Configuração'!$B$51+137&gt;='🌱 Configuração'!$C$51,'🌱 Configuração'!$B$51+137&lt;'🌱 Configuração'!$D$51,INT(('🌱 Configuração'!$B$51+137-'🌱 Configuração'!$C$51)/7)+1=4,MOD('🌱 Configuração'!$B$51+137-'🌱 Configuração'!$C$51,7)=0),"🌿 Grow A+B + Enzimas — EC 1.4",IF(AND('🌱 Configuração'!$B$51+137&gt;='🌱 Configuração'!$C$51,'🌱 Configuração'!$B$51+137&lt;'🌱 Configuração'!$D$51,INT(('🌱 Configuração'!$B$51+137-'🌱 Configuração'!$C$51)/7)+1=5,MOD('🌱 Configuração'!$B$51+137-'🌱 Configuração'!$C$51,7)=0),"🌿 Grow A+B + Biorrizas — EC 1.5",IF(AND('🌱 Configuração'!$B$51+137&gt;='🌱 Configuração'!$C$51,'🌱 Configuração'!$B$51+137&lt;'🌱 Configuração'!$D$51,INT(('🌱 Configuração'!$B$51+137-'🌱 Configuração'!$C$51)/7)+1=6,MOD('🌱 Configuração'!$B$51+137-'🌱 Configuração'!$C$51,7)=0),"🌿 Transição Bloom — EC 1.4",IF(AND('🌱 Configuração'!$B$51+137&gt;='🌱 Configuração'!$C$51,'🌱 Configuração'!$B$51+137&lt;'🌱 Configuração'!$D$51,INT(('🌱 Configuração'!$B$51+137-'🌱 Configuração'!$C$51)/7)+1=7,MOD('🌱 Configuração'!$B$51+137-'🌱 Configuração'!$C$51,7)=0),"🌿 Bloom A+B transição — EC 1.4",IF(AND('🌱 Configuração'!$B$51+137&gt;='🌱 Configuração'!$C$51,'🌱 Configuração'!$B$51+137&lt;'🌱 Configuração'!$D$51,INT(('🌱 Configuração'!$B$51+137-'🌱 Configuração'!$C$51)/7)+1=8,MOD('🌱 Configuração'!$B$51+137-'🌱 Configuração'!$C$51,7)=0),"🌿 Bloom A+B — EC 1.4",IF(AND('🌱 Configuração'!$B$51+137&gt;='🌱 Configuração'!$D$51,'🌱 Configuração'!$B$51+137&lt;'🌱 Configuração'!$E$51,INT(('🌱 Configuração'!$B$51+137-'🌱 Configuração'!$D$51)/7)+1=1,MOD('🌱 Configuração'!$B$51+137-'🌱 Configuração'!$D$51,7)=0),"🌸 Bloom A+B — EC 1.6",IF(AND('🌱 Configuração'!$B$51+137&gt;='🌱 Configuração'!$D$51,'🌱 Configuração'!$B$51+137&lt;'🌱 Configuração'!$E$51,INT(('🌱 Configuração'!$B$51+137-'🌱 Configuração'!$D$51)/7)+1=2,MOD('🌱 Configuração'!$B$51+137-'🌱 Configuração'!$D$51,7)=0),"🌸 Bloom + PK 13/14 início",IF(AND('🌱 Configuração'!$B$51+137&gt;='🌱 Configuração'!$D$51,'🌱 Configuração'!$B$51+137&lt;'🌱 Configuração'!$E$51,INT(('🌱 Configuração'!$B$51+137-'🌱 Configuração'!$D$51)/7)+1=3,MOD('🌱 Configuração'!$B$51+137-'🌱 Configuração'!$D$51,7)=0),"🌸 Bloom + PK + CalMag — EC 1.8",IF(AND('🌱 Configuração'!$B$51+137&gt;='🌱 Configuração'!$D$51,'🌱 Configuração'!$B$51+137&lt;'🌱 Configuração'!$E$51,INT(('🌱 Configuração'!$B$51+137-'🌱 Configuração'!$D$51)/7)+1=4,MOD('🌱 Configuração'!$B$51+137-'🌱 Configuração'!$D$51,7)=0),"🌸 Bloom + PK + Boost Floral — EC 2.0",IF(AND('🌱 Configuração'!$B$51+137&gt;='🌱 Configuração'!$D$51,'🌱 Configuração'!$B$51+137&lt;'🌱 Configuração'!$E$51,INT(('🌱 Configuração'!$B$51+137-'🌱 Configuração'!$D$51)/7)+1=5,MOD('🌱 Configuração'!$B$51+137-'🌱 Configuração'!$D$51,7)=0),"🌸 Bloom + Boost + Amino",IF(AND('🌱 Configuração'!$B$51+137&gt;='🌱 Configuração'!$D$51,'🌱 Configuração'!$B$51+137&lt;'🌱 Configuração'!$E$51,INT(('🌱 Configuração'!$B$51+137-'🌱 Configuração'!$D$51)/7)+1=6,MOD('🌱 Configuração'!$B$51+137-'🌱 Configuração'!$D$51,7)=0),"🌸 Bloom + Enzimas + Amino",IF(AND('🌱 Configuração'!$B$51+137&gt;='🌱 Configuração'!$D$51,'🌱 Configuração'!$B$51+137&lt;'🌱 Configuração'!$E$51,INT(('🌱 Configuração'!$B$51+137-'🌱 Configuração'!$D$51)/7)+1=7,MOD('🌱 Configuração'!$B$51+137-'🌱 Configuração'!$D$51,7)=0),"🌸 Reduzir N — Bloom puro — EC 1.6",IF(AND('🌱 Configuração'!$B$51+137&gt;='🌱 Configuração'!$D$51,'🌱 Configuração'!$B$51+137&lt;'🌱 Configuração'!$E$51,INT(('🌱 Configuração'!$B$51+137-'🌱 Configuração'!$D$51)/7)+1=8,MOD('🌱 Configuração'!$B$51+137-'🌱 Configuração'!$D$51,7)=0),"🌸 Bloom puro — EC 1.4  (pré-flush)",IF(AND('🌱 Configuração'!$B$51+137&gt;='🌱 Configuração'!$D$51,'🌱 Configuração'!$B$51+137&lt;'🌱 Configuração'!$E$51,INT(('🌱 Configuração'!$B$51+137-'🌱 Configuração'!$D$51)/7)+1=9,MOD('🌱 Configuração'!$B$51+137-'🌱 Configuração'!$D$51,7)=0),"🌸 Último Bloom — EC 0.8",IF(AND('🌱 Configuração'!$B$51+137&gt;='🌱 Configuração'!$E$51,INT(('🌱 Configuração'!$B$51+137-'🌱 Configuração'!$E$51)/7)+1=1,MOD('🌱 Configuração'!$B$51+137-'🌱 Configuração'!$E$51,7)=0),"🚿 Água pura + Enzimas (EC &lt; 0.3)",IF(AND('🌱 Configuração'!$B$51+137&gt;='🌱 Configuração'!$E$51,INT(('🌱 Configuração'!$B$51+137-'🌱 Configuração'!$E$51)/7)+1=2,MOD('🌱 Configuração'!$B$51+137-'🌱 Configuração'!$E$51,7)=0),"🚿 Água pura (EC &lt; 0.2)",""))))))))))))))))))))))</f>
        <v/>
      </c>
      <c r="G143" s="30" t="str">
        <f>IF(138&gt;'🌱 Configuração'!$F$50,"",IF(AND('🌱 Configuração'!$B$51+137&lt;'🌱 Configuração'!$C$51,INT((138-1)/7)+1=1,MOD(138-1,7)=0),"🐛 Nim 2mL/L foliar — preventivo",IF(AND('🌱 Configuração'!$B$51+137&lt;'🌱 Configuração'!$C$51,INT((138-1)/7)+1=2,MOD(138-1,7)=0),"🐛 Beauveria bassiana foliar + solo",IF(AND('🌱 Configuração'!$B$51+137&gt;='🌱 Configuração'!$C$51,'🌱 Configuração'!$B$51+137&lt;'🌱 Configuração'!$D$51,INT(('🌱 Configuração'!$B$51+137-'🌱 Configuração'!$C$51)/7)+1=1,MOD('🌱 Configuração'!$B$51+137-'🌱 Configuração'!$C$51,7)=0),"🐛 Nim 2mL/L foliar",IF(AND('🌱 Configuração'!$B$51+137&gt;='🌱 Configuração'!$C$51,'🌱 Configuração'!$B$51+137&lt;'🌱 Configuração'!$D$51,INT(('🌱 Configuração'!$B$51+137-'🌱 Configuração'!$C$51)/7)+1=2,MOD('🌱 Configuração'!$B$51+137-'🌱 Configuração'!$C$51,7)=0),"🐛 Beauveria bassiana foliar",IF(AND('🌱 Configuração'!$B$51+137&gt;='🌱 Configuração'!$C$51,'🌱 Configuração'!$B$51+137&lt;'🌱 Configuração'!$D$51,INT(('🌱 Configuração'!$B$51+137-'🌱 Configuração'!$C$51)/7)+1=3,MOD('🌱 Configuração'!$B$51+137-'🌱 Configuração'!$C$51,7)=0),"🐛 Nim + Calda Sulfocálcica 1%",IF(AND('🌱 Configuração'!$B$51+137&gt;='🌱 Configuração'!$C$51,'🌱 Configuração'!$B$51+137&lt;'🌱 Configuração'!$D$51,INT(('🌱 Configuração'!$B$51+137-'🌱 Configuração'!$C$51)/7)+1=4,MOD('🌱 Configuração'!$B$51+137-'🌱 Configuração'!$C$51,7)=0),"🐛 Trichoderma solo + Beauveria",IF(AND('🌱 Configuração'!$B$51+137&gt;='🌱 Configuração'!$C$51,'🌱 Configuração'!$B$51+137&lt;'🌱 Configuração'!$D$51,INT(('🌱 Configuração'!$B$51+137-'🌱 Configuração'!$C$51)/7)+1=5,MOD('🌱 Configuração'!$B$51+137-'🌱 Configuração'!$C$51,7)=0),"🐛 Calda Bordalesa 0.5% foliar",IF(AND('🌱 Configuração'!$B$51+137&gt;='🌱 Configuração'!$C$51,'🌱 Configuração'!$B$51+137&lt;'🌱 Configuração'!$D$51,INT(('🌱 Configuração'!$B$51+137-'🌱 Configuração'!$C$51)/7)+1=6,MOD('🌱 Configuração'!$B$51+137-'🌱 Configuração'!$C$51,7)=0),"🐛 Nim 2mL/L — ÚLTIMA foliar",IF(AND('🌱 Configuração'!$B$51+137&gt;='🌱 Configuração'!$D$51,'🌱 Configuração'!$B$51+137&lt;'🌱 Configuração'!$E$51,INT(('🌱 Configuração'!$B$51+137-'🌱 Configuração'!$D$51)/7)+1=1,MOD('🌱 Configuração'!$B$51+137-'🌱 Configuração'!$D$51,7)=0),"🐛 Beauveria bassiana solo (sem foliar)",IF(AND('🌱 Configuração'!$B$51+137&gt;='🌱 Configuração'!$D$51,'🌱 Configuração'!$B$51+137&lt;'🌱 Configuração'!$E$51,INT(('🌱 Configuração'!$B$51+137-'🌱 Configuração'!$D$51)/7)+1=2,MOD('🌱 Configuração'!$B$51+137-'🌱 Configuração'!$D$51,7)=0),"🐛 Trichoderma solo",IF(AND('🌱 Configuração'!$B$51+137&gt;='🌱 Configuração'!$D$51,'🌱 Configuração'!$B$51+137&lt;'🌱 Configuração'!$E$51,INT(('🌱 Configuração'!$B$51+137-'🌱 Configuração'!$D$51)/7)+1=3,MOD('🌱 Configuração'!$B$51+137-'🌱 Configuração'!$D$51,7)=0),"🐛 Beauveria bassiana solo",IF(AND('🌱 Configuração'!$B$51+137&gt;='🌱 Configuração'!$D$51,'🌱 Configuração'!$B$51+137&lt;'🌱 Configuração'!$E$51,INT(('🌱 Configuração'!$B$51+137-'🌱 Configuração'!$D$51)/7)+1=4,MOD('🌱 Configuração'!$B$51+137-'🌱 Configuração'!$D$51,7)=0),"🐛 Trichoderma solo",IF(AND('🌱 Configuração'!$B$51+137&gt;='🌱 Configuração'!$E$51,INT(('🌱 Configuração'!$B$51+137-'🌱 Configuração'!$E$51)/7)+1=1,MOD('🌱 Configuração'!$B$51+137-'🌱 Configuração'!$E$51,7)=0),"🐛 Inspeção final — sem aplicação",""))))))))))))))</f>
        <v/>
      </c>
      <c r="H143" s="22" t="str">
        <f>IF(138&gt;'🌱 Configuração'!$F$50,"",IF('🌱 Configuração'!$B$51+137='🌱 Configuração'!$C$51,"🌿 INÍCIO VEGA — ajustar espaço, luz 18h/dia — EC 0.8",IF('🌱 Configuração'!$B$51+137='🌱 Configuração'!$D$51,"🌸 INÍCIO FLORAÇÃO — mudar para 12h/12h — 🔴 atenção ao fotoperíodo",IF('🌱 Configuração'!$B$51+137='🌱 Configuração'!$E$51,"🚿 INÍCIO FLUSH — PARAR nutrição, somente água pura",IF('🌱 Configuração'!$B$51+137='🌱 Configuração'!$F$51-1,"🔬 Véspera da colheita — analisar tricomas âmbar",IF('🌱 Configuração'!$B$51+137='🌱 Configuração'!$F$51,"✂️ COLHEITA! Parabéns! 🎉",""))))))</f>
        <v/>
      </c>
    </row>
    <row r="144" spans="2:8" ht="18.75" customHeight="1" x14ac:dyDescent="0.3">
      <c r="B144" s="25" t="str">
        <f>IF(139&lt;='🌱 Configuração'!$F$50,139,"")</f>
        <v/>
      </c>
      <c r="C144" s="26" t="str">
        <f>IF(139&lt;='🌱 Configuração'!$F$50,'🌱 Configuração'!$B$51+138,"")</f>
        <v/>
      </c>
      <c r="D144" s="27" t="str">
        <f>IF(139&gt;'🌱 Configuração'!$F$50,"",IF('🌱 Configuração'!$B$51+138&lt;'🌱 Configuração'!$C$51,"🌱 Clone",IF('🌱 Configuração'!$B$51+138&lt;'🌱 Configuração'!$D$51,"🌿 Vegetativo",IF('🌱 Configuração'!$B$51+138&lt;'🌱 Configuração'!$E$51,"🌸 Floração","🚿 Flush"))))</f>
        <v/>
      </c>
      <c r="E144" s="28" t="str">
        <f>IF(139&gt;'🌱 Configuração'!$F$50,"",IF('🌱 Configuração'!$B$51+138&lt;'🌱 Configuração'!$C$51,"Clone S"&amp;INT((139-1)/7)+1,IF('🌱 Configuração'!$B$51+138&lt;'🌱 Configuração'!$D$51,"Vega S"&amp;INT(('🌱 Configuração'!$B$51+138-'🌱 Configuração'!$C$51)/7)+1,IF('🌱 Configuração'!$B$51+138&lt;'🌱 Configuração'!$E$51,"Flora S"&amp;INT(('🌱 Configuração'!$B$51+138-'🌱 Configuração'!$D$51)/7)+1,"Flush S"&amp;INT(('🌱 Configuração'!$B$51+138-'🌱 Configuração'!$E$51)/7)+1))))</f>
        <v/>
      </c>
      <c r="F144" s="29" t="str">
        <f>IF(139&gt;'🌱 Configuração'!$F$50,"",IF(AND('🌱 Configuração'!$B$51+138&lt;'🌱 Configuração'!$C$51,INT((139-1)/7)+1=1,MOD(139-1,7)=0),"🌱 Enraizador (0.5 mL/L)",IF(AND('🌱 Configuração'!$B$51+138&lt;'🌱 Configuração'!$C$51,INT((139-1)/7)+1=2,MOD(139-1,7)=0),"🌱 Enraizador + Vitamina B1",IF(AND('🌱 Configuração'!$B$51+138&gt;='🌱 Configuração'!$C$51,'🌱 Configuração'!$B$51+138&lt;'🌱 Configuração'!$D$51,INT(('🌱 Configuração'!$B$51+138-'🌱 Configuração'!$C$51)/7)+1=1,MOD('🌱 Configuração'!$B$51+138-'🌱 Configuração'!$C$51,7)=0),"🌿 Grow A+B início — EC 0.8",IF(AND('🌱 Configuração'!$B$51+138&gt;='🌱 Configuração'!$C$51,'🌱 Configuração'!$B$51+138&lt;'🌱 Configuração'!$D$51,INT(('🌱 Configuração'!$B$51+138-'🌱 Configuração'!$C$51)/7)+1=2,MOD('🌱 Configuração'!$B$51+138-'🌱 Configuração'!$C$51,7)=0),"🌿 Grow A+B + CalMag — EC 1.0",IF(AND('🌱 Configuração'!$B$51+138&gt;='🌱 Configuração'!$C$51,'🌱 Configuração'!$B$51+138&lt;'🌱 Configuração'!$D$51,INT(('🌱 Configuração'!$B$51+138-'🌱 Configuração'!$C$51)/7)+1=3,MOD('🌱 Configuração'!$B$51+138-'🌱 Configuração'!$C$51,7)=0),"🌿 Grow A+B + CalMag — EC 1.2",IF(AND('🌱 Configuração'!$B$51+138&gt;='🌱 Configuração'!$C$51,'🌱 Configuração'!$B$51+138&lt;'🌱 Configuração'!$D$51,INT(('🌱 Configuração'!$B$51+138-'🌱 Configuração'!$C$51)/7)+1=4,MOD('🌱 Configuração'!$B$51+138-'🌱 Configuração'!$C$51,7)=0),"🌿 Grow A+B + Enzimas — EC 1.4",IF(AND('🌱 Configuração'!$B$51+138&gt;='🌱 Configuração'!$C$51,'🌱 Configuração'!$B$51+138&lt;'🌱 Configuração'!$D$51,INT(('🌱 Configuração'!$B$51+138-'🌱 Configuração'!$C$51)/7)+1=5,MOD('🌱 Configuração'!$B$51+138-'🌱 Configuração'!$C$51,7)=0),"🌿 Grow A+B + Biorrizas — EC 1.5",IF(AND('🌱 Configuração'!$B$51+138&gt;='🌱 Configuração'!$C$51,'🌱 Configuração'!$B$51+138&lt;'🌱 Configuração'!$D$51,INT(('🌱 Configuração'!$B$51+138-'🌱 Configuração'!$C$51)/7)+1=6,MOD('🌱 Configuração'!$B$51+138-'🌱 Configuração'!$C$51,7)=0),"🌿 Transição Bloom — EC 1.4",IF(AND('🌱 Configuração'!$B$51+138&gt;='🌱 Configuração'!$C$51,'🌱 Configuração'!$B$51+138&lt;'🌱 Configuração'!$D$51,INT(('🌱 Configuração'!$B$51+138-'🌱 Configuração'!$C$51)/7)+1=7,MOD('🌱 Configuração'!$B$51+138-'🌱 Configuração'!$C$51,7)=0),"🌿 Bloom A+B transição — EC 1.4",IF(AND('🌱 Configuração'!$B$51+138&gt;='🌱 Configuração'!$C$51,'🌱 Configuração'!$B$51+138&lt;'🌱 Configuração'!$D$51,INT(('🌱 Configuração'!$B$51+138-'🌱 Configuração'!$C$51)/7)+1=8,MOD('🌱 Configuração'!$B$51+138-'🌱 Configuração'!$C$51,7)=0),"🌿 Bloom A+B — EC 1.4",IF(AND('🌱 Configuração'!$B$51+138&gt;='🌱 Configuração'!$D$51,'🌱 Configuração'!$B$51+138&lt;'🌱 Configuração'!$E$51,INT(('🌱 Configuração'!$B$51+138-'🌱 Configuração'!$D$51)/7)+1=1,MOD('🌱 Configuração'!$B$51+138-'🌱 Configuração'!$D$51,7)=0),"🌸 Bloom A+B — EC 1.6",IF(AND('🌱 Configuração'!$B$51+138&gt;='🌱 Configuração'!$D$51,'🌱 Configuração'!$B$51+138&lt;'🌱 Configuração'!$E$51,INT(('🌱 Configuração'!$B$51+138-'🌱 Configuração'!$D$51)/7)+1=2,MOD('🌱 Configuração'!$B$51+138-'🌱 Configuração'!$D$51,7)=0),"🌸 Bloom + PK 13/14 início",IF(AND('🌱 Configuração'!$B$51+138&gt;='🌱 Configuração'!$D$51,'🌱 Configuração'!$B$51+138&lt;'🌱 Configuração'!$E$51,INT(('🌱 Configuração'!$B$51+138-'🌱 Configuração'!$D$51)/7)+1=3,MOD('🌱 Configuração'!$B$51+138-'🌱 Configuração'!$D$51,7)=0),"🌸 Bloom + PK + CalMag — EC 1.8",IF(AND('🌱 Configuração'!$B$51+138&gt;='🌱 Configuração'!$D$51,'🌱 Configuração'!$B$51+138&lt;'🌱 Configuração'!$E$51,INT(('🌱 Configuração'!$B$51+138-'🌱 Configuração'!$D$51)/7)+1=4,MOD('🌱 Configuração'!$B$51+138-'🌱 Configuração'!$D$51,7)=0),"🌸 Bloom + PK + Boost Floral — EC 2.0",IF(AND('🌱 Configuração'!$B$51+138&gt;='🌱 Configuração'!$D$51,'🌱 Configuração'!$B$51+138&lt;'🌱 Configuração'!$E$51,INT(('🌱 Configuração'!$B$51+138-'🌱 Configuração'!$D$51)/7)+1=5,MOD('🌱 Configuração'!$B$51+138-'🌱 Configuração'!$D$51,7)=0),"🌸 Bloom + Boost + Amino",IF(AND('🌱 Configuração'!$B$51+138&gt;='🌱 Configuração'!$D$51,'🌱 Configuração'!$B$51+138&lt;'🌱 Configuração'!$E$51,INT(('🌱 Configuração'!$B$51+138-'🌱 Configuração'!$D$51)/7)+1=6,MOD('🌱 Configuração'!$B$51+138-'🌱 Configuração'!$D$51,7)=0),"🌸 Bloom + Enzimas + Amino",IF(AND('🌱 Configuração'!$B$51+138&gt;='🌱 Configuração'!$D$51,'🌱 Configuração'!$B$51+138&lt;'🌱 Configuração'!$E$51,INT(('🌱 Configuração'!$B$51+138-'🌱 Configuração'!$D$51)/7)+1=7,MOD('🌱 Configuração'!$B$51+138-'🌱 Configuração'!$D$51,7)=0),"🌸 Reduzir N — Bloom puro — EC 1.6",IF(AND('🌱 Configuração'!$B$51+138&gt;='🌱 Configuração'!$D$51,'🌱 Configuração'!$B$51+138&lt;'🌱 Configuração'!$E$51,INT(('🌱 Configuração'!$B$51+138-'🌱 Configuração'!$D$51)/7)+1=8,MOD('🌱 Configuração'!$B$51+138-'🌱 Configuração'!$D$51,7)=0),"🌸 Bloom puro — EC 1.4  (pré-flush)",IF(AND('🌱 Configuração'!$B$51+138&gt;='🌱 Configuração'!$D$51,'🌱 Configuração'!$B$51+138&lt;'🌱 Configuração'!$E$51,INT(('🌱 Configuração'!$B$51+138-'🌱 Configuração'!$D$51)/7)+1=9,MOD('🌱 Configuração'!$B$51+138-'🌱 Configuração'!$D$51,7)=0),"🌸 Último Bloom — EC 0.8",IF(AND('🌱 Configuração'!$B$51+138&gt;='🌱 Configuração'!$E$51,INT(('🌱 Configuração'!$B$51+138-'🌱 Configuração'!$E$51)/7)+1=1,MOD('🌱 Configuração'!$B$51+138-'🌱 Configuração'!$E$51,7)=0),"🚿 Água pura + Enzimas (EC &lt; 0.3)",IF(AND('🌱 Configuração'!$B$51+138&gt;='🌱 Configuração'!$E$51,INT(('🌱 Configuração'!$B$51+138-'🌱 Configuração'!$E$51)/7)+1=2,MOD('🌱 Configuração'!$B$51+138-'🌱 Configuração'!$E$51,7)=0),"🚿 Água pura (EC &lt; 0.2)",""))))))))))))))))))))))</f>
        <v/>
      </c>
      <c r="G144" s="30" t="str">
        <f>IF(139&gt;'🌱 Configuração'!$F$50,"",IF(AND('🌱 Configuração'!$B$51+138&lt;'🌱 Configuração'!$C$51,INT((139-1)/7)+1=1,MOD(139-1,7)=0),"🐛 Nim 2mL/L foliar — preventivo",IF(AND('🌱 Configuração'!$B$51+138&lt;'🌱 Configuração'!$C$51,INT((139-1)/7)+1=2,MOD(139-1,7)=0),"🐛 Beauveria bassiana foliar + solo",IF(AND('🌱 Configuração'!$B$51+138&gt;='🌱 Configuração'!$C$51,'🌱 Configuração'!$B$51+138&lt;'🌱 Configuração'!$D$51,INT(('🌱 Configuração'!$B$51+138-'🌱 Configuração'!$C$51)/7)+1=1,MOD('🌱 Configuração'!$B$51+138-'🌱 Configuração'!$C$51,7)=0),"🐛 Nim 2mL/L foliar",IF(AND('🌱 Configuração'!$B$51+138&gt;='🌱 Configuração'!$C$51,'🌱 Configuração'!$B$51+138&lt;'🌱 Configuração'!$D$51,INT(('🌱 Configuração'!$B$51+138-'🌱 Configuração'!$C$51)/7)+1=2,MOD('🌱 Configuração'!$B$51+138-'🌱 Configuração'!$C$51,7)=0),"🐛 Beauveria bassiana foliar",IF(AND('🌱 Configuração'!$B$51+138&gt;='🌱 Configuração'!$C$51,'🌱 Configuração'!$B$51+138&lt;'🌱 Configuração'!$D$51,INT(('🌱 Configuração'!$B$51+138-'🌱 Configuração'!$C$51)/7)+1=3,MOD('🌱 Configuração'!$B$51+138-'🌱 Configuração'!$C$51,7)=0),"🐛 Nim + Calda Sulfocálcica 1%",IF(AND('🌱 Configuração'!$B$51+138&gt;='🌱 Configuração'!$C$51,'🌱 Configuração'!$B$51+138&lt;'🌱 Configuração'!$D$51,INT(('🌱 Configuração'!$B$51+138-'🌱 Configuração'!$C$51)/7)+1=4,MOD('🌱 Configuração'!$B$51+138-'🌱 Configuração'!$C$51,7)=0),"🐛 Trichoderma solo + Beauveria",IF(AND('🌱 Configuração'!$B$51+138&gt;='🌱 Configuração'!$C$51,'🌱 Configuração'!$B$51+138&lt;'🌱 Configuração'!$D$51,INT(('🌱 Configuração'!$B$51+138-'🌱 Configuração'!$C$51)/7)+1=5,MOD('🌱 Configuração'!$B$51+138-'🌱 Configuração'!$C$51,7)=0),"🐛 Calda Bordalesa 0.5% foliar",IF(AND('🌱 Configuração'!$B$51+138&gt;='🌱 Configuração'!$C$51,'🌱 Configuração'!$B$51+138&lt;'🌱 Configuração'!$D$51,INT(('🌱 Configuração'!$B$51+138-'🌱 Configuração'!$C$51)/7)+1=6,MOD('🌱 Configuração'!$B$51+138-'🌱 Configuração'!$C$51,7)=0),"🐛 Nim 2mL/L — ÚLTIMA foliar",IF(AND('🌱 Configuração'!$B$51+138&gt;='🌱 Configuração'!$D$51,'🌱 Configuração'!$B$51+138&lt;'🌱 Configuração'!$E$51,INT(('🌱 Configuração'!$B$51+138-'🌱 Configuração'!$D$51)/7)+1=1,MOD('🌱 Configuração'!$B$51+138-'🌱 Configuração'!$D$51,7)=0),"🐛 Beauveria bassiana solo (sem foliar)",IF(AND('🌱 Configuração'!$B$51+138&gt;='🌱 Configuração'!$D$51,'🌱 Configuração'!$B$51+138&lt;'🌱 Configuração'!$E$51,INT(('🌱 Configuração'!$B$51+138-'🌱 Configuração'!$D$51)/7)+1=2,MOD('🌱 Configuração'!$B$51+138-'🌱 Configuração'!$D$51,7)=0),"🐛 Trichoderma solo",IF(AND('🌱 Configuração'!$B$51+138&gt;='🌱 Configuração'!$D$51,'🌱 Configuração'!$B$51+138&lt;'🌱 Configuração'!$E$51,INT(('🌱 Configuração'!$B$51+138-'🌱 Configuração'!$D$51)/7)+1=3,MOD('🌱 Configuração'!$B$51+138-'🌱 Configuração'!$D$51,7)=0),"🐛 Beauveria bassiana solo",IF(AND('🌱 Configuração'!$B$51+138&gt;='🌱 Configuração'!$D$51,'🌱 Configuração'!$B$51+138&lt;'🌱 Configuração'!$E$51,INT(('🌱 Configuração'!$B$51+138-'🌱 Configuração'!$D$51)/7)+1=4,MOD('🌱 Configuração'!$B$51+138-'🌱 Configuração'!$D$51,7)=0),"🐛 Trichoderma solo",IF(AND('🌱 Configuração'!$B$51+138&gt;='🌱 Configuração'!$E$51,INT(('🌱 Configuração'!$B$51+138-'🌱 Configuração'!$E$51)/7)+1=1,MOD('🌱 Configuração'!$B$51+138-'🌱 Configuração'!$E$51,7)=0),"🐛 Inspeção final — sem aplicação",""))))))))))))))</f>
        <v/>
      </c>
      <c r="H144" s="22" t="str">
        <f>IF(139&gt;'🌱 Configuração'!$F$50,"",IF('🌱 Configuração'!$B$51+138='🌱 Configuração'!$C$51,"🌿 INÍCIO VEGA — ajustar espaço, luz 18h/dia — EC 0.8",IF('🌱 Configuração'!$B$51+138='🌱 Configuração'!$D$51,"🌸 INÍCIO FLORAÇÃO — mudar para 12h/12h — 🔴 atenção ao fotoperíodo",IF('🌱 Configuração'!$B$51+138='🌱 Configuração'!$E$51,"🚿 INÍCIO FLUSH — PARAR nutrição, somente água pura",IF('🌱 Configuração'!$B$51+138='🌱 Configuração'!$F$51-1,"🔬 Véspera da colheita — analisar tricomas âmbar",IF('🌱 Configuração'!$B$51+138='🌱 Configuração'!$F$51,"✂️ COLHEITA! Parabéns! 🎉",""))))))</f>
        <v/>
      </c>
    </row>
    <row r="145" spans="2:8" ht="18.75" customHeight="1" x14ac:dyDescent="0.3">
      <c r="B145" s="25" t="str">
        <f>IF(140&lt;='🌱 Configuração'!$F$50,140,"")</f>
        <v/>
      </c>
      <c r="C145" s="26" t="str">
        <f>IF(140&lt;='🌱 Configuração'!$F$50,'🌱 Configuração'!$B$51+139,"")</f>
        <v/>
      </c>
      <c r="D145" s="27" t="str">
        <f>IF(140&gt;'🌱 Configuração'!$F$50,"",IF('🌱 Configuração'!$B$51+139&lt;'🌱 Configuração'!$C$51,"🌱 Clone",IF('🌱 Configuração'!$B$51+139&lt;'🌱 Configuração'!$D$51,"🌿 Vegetativo",IF('🌱 Configuração'!$B$51+139&lt;'🌱 Configuração'!$E$51,"🌸 Floração","🚿 Flush"))))</f>
        <v/>
      </c>
      <c r="E145" s="28" t="str">
        <f>IF(140&gt;'🌱 Configuração'!$F$50,"",IF('🌱 Configuração'!$B$51+139&lt;'🌱 Configuração'!$C$51,"Clone S"&amp;INT((140-1)/7)+1,IF('🌱 Configuração'!$B$51+139&lt;'🌱 Configuração'!$D$51,"Vega S"&amp;INT(('🌱 Configuração'!$B$51+139-'🌱 Configuração'!$C$51)/7)+1,IF('🌱 Configuração'!$B$51+139&lt;'🌱 Configuração'!$E$51,"Flora S"&amp;INT(('🌱 Configuração'!$B$51+139-'🌱 Configuração'!$D$51)/7)+1,"Flush S"&amp;INT(('🌱 Configuração'!$B$51+139-'🌱 Configuração'!$E$51)/7)+1))))</f>
        <v/>
      </c>
      <c r="F145" s="29" t="str">
        <f>IF(140&gt;'🌱 Configuração'!$F$50,"",IF(AND('🌱 Configuração'!$B$51+139&lt;'🌱 Configuração'!$C$51,INT((140-1)/7)+1=1,MOD(140-1,7)=0),"🌱 Enraizador (0.5 mL/L)",IF(AND('🌱 Configuração'!$B$51+139&lt;'🌱 Configuração'!$C$51,INT((140-1)/7)+1=2,MOD(140-1,7)=0),"🌱 Enraizador + Vitamina B1",IF(AND('🌱 Configuração'!$B$51+139&gt;='🌱 Configuração'!$C$51,'🌱 Configuração'!$B$51+139&lt;'🌱 Configuração'!$D$51,INT(('🌱 Configuração'!$B$51+139-'🌱 Configuração'!$C$51)/7)+1=1,MOD('🌱 Configuração'!$B$51+139-'🌱 Configuração'!$C$51,7)=0),"🌿 Grow A+B início — EC 0.8",IF(AND('🌱 Configuração'!$B$51+139&gt;='🌱 Configuração'!$C$51,'🌱 Configuração'!$B$51+139&lt;'🌱 Configuração'!$D$51,INT(('🌱 Configuração'!$B$51+139-'🌱 Configuração'!$C$51)/7)+1=2,MOD('🌱 Configuração'!$B$51+139-'🌱 Configuração'!$C$51,7)=0),"🌿 Grow A+B + CalMag — EC 1.0",IF(AND('🌱 Configuração'!$B$51+139&gt;='🌱 Configuração'!$C$51,'🌱 Configuração'!$B$51+139&lt;'🌱 Configuração'!$D$51,INT(('🌱 Configuração'!$B$51+139-'🌱 Configuração'!$C$51)/7)+1=3,MOD('🌱 Configuração'!$B$51+139-'🌱 Configuração'!$C$51,7)=0),"🌿 Grow A+B + CalMag — EC 1.2",IF(AND('🌱 Configuração'!$B$51+139&gt;='🌱 Configuração'!$C$51,'🌱 Configuração'!$B$51+139&lt;'🌱 Configuração'!$D$51,INT(('🌱 Configuração'!$B$51+139-'🌱 Configuração'!$C$51)/7)+1=4,MOD('🌱 Configuração'!$B$51+139-'🌱 Configuração'!$C$51,7)=0),"🌿 Grow A+B + Enzimas — EC 1.4",IF(AND('🌱 Configuração'!$B$51+139&gt;='🌱 Configuração'!$C$51,'🌱 Configuração'!$B$51+139&lt;'🌱 Configuração'!$D$51,INT(('🌱 Configuração'!$B$51+139-'🌱 Configuração'!$C$51)/7)+1=5,MOD('🌱 Configuração'!$B$51+139-'🌱 Configuração'!$C$51,7)=0),"🌿 Grow A+B + Biorrizas — EC 1.5",IF(AND('🌱 Configuração'!$B$51+139&gt;='🌱 Configuração'!$C$51,'🌱 Configuração'!$B$51+139&lt;'🌱 Configuração'!$D$51,INT(('🌱 Configuração'!$B$51+139-'🌱 Configuração'!$C$51)/7)+1=6,MOD('🌱 Configuração'!$B$51+139-'🌱 Configuração'!$C$51,7)=0),"🌿 Transição Bloom — EC 1.4",IF(AND('🌱 Configuração'!$B$51+139&gt;='🌱 Configuração'!$C$51,'🌱 Configuração'!$B$51+139&lt;'🌱 Configuração'!$D$51,INT(('🌱 Configuração'!$B$51+139-'🌱 Configuração'!$C$51)/7)+1=7,MOD('🌱 Configuração'!$B$51+139-'🌱 Configuração'!$C$51,7)=0),"🌿 Bloom A+B transição — EC 1.4",IF(AND('🌱 Configuração'!$B$51+139&gt;='🌱 Configuração'!$C$51,'🌱 Configuração'!$B$51+139&lt;'🌱 Configuração'!$D$51,INT(('🌱 Configuração'!$B$51+139-'🌱 Configuração'!$C$51)/7)+1=8,MOD('🌱 Configuração'!$B$51+139-'🌱 Configuração'!$C$51,7)=0),"🌿 Bloom A+B — EC 1.4",IF(AND('🌱 Configuração'!$B$51+139&gt;='🌱 Configuração'!$D$51,'🌱 Configuração'!$B$51+139&lt;'🌱 Configuração'!$E$51,INT(('🌱 Configuração'!$B$51+139-'🌱 Configuração'!$D$51)/7)+1=1,MOD('🌱 Configuração'!$B$51+139-'🌱 Configuração'!$D$51,7)=0),"🌸 Bloom A+B — EC 1.6",IF(AND('🌱 Configuração'!$B$51+139&gt;='🌱 Configuração'!$D$51,'🌱 Configuração'!$B$51+139&lt;'🌱 Configuração'!$E$51,INT(('🌱 Configuração'!$B$51+139-'🌱 Configuração'!$D$51)/7)+1=2,MOD('🌱 Configuração'!$B$51+139-'🌱 Configuração'!$D$51,7)=0),"🌸 Bloom + PK 13/14 início",IF(AND('🌱 Configuração'!$B$51+139&gt;='🌱 Configuração'!$D$51,'🌱 Configuração'!$B$51+139&lt;'🌱 Configuração'!$E$51,INT(('🌱 Configuração'!$B$51+139-'🌱 Configuração'!$D$51)/7)+1=3,MOD('🌱 Configuração'!$B$51+139-'🌱 Configuração'!$D$51,7)=0),"🌸 Bloom + PK + CalMag — EC 1.8",IF(AND('🌱 Configuração'!$B$51+139&gt;='🌱 Configuração'!$D$51,'🌱 Configuração'!$B$51+139&lt;'🌱 Configuração'!$E$51,INT(('🌱 Configuração'!$B$51+139-'🌱 Configuração'!$D$51)/7)+1=4,MOD('🌱 Configuração'!$B$51+139-'🌱 Configuração'!$D$51,7)=0),"🌸 Bloom + PK + Boost Floral — EC 2.0",IF(AND('🌱 Configuração'!$B$51+139&gt;='🌱 Configuração'!$D$51,'🌱 Configuração'!$B$51+139&lt;'🌱 Configuração'!$E$51,INT(('🌱 Configuração'!$B$51+139-'🌱 Configuração'!$D$51)/7)+1=5,MOD('🌱 Configuração'!$B$51+139-'🌱 Configuração'!$D$51,7)=0),"🌸 Bloom + Boost + Amino",IF(AND('🌱 Configuração'!$B$51+139&gt;='🌱 Configuração'!$D$51,'🌱 Configuração'!$B$51+139&lt;'🌱 Configuração'!$E$51,INT(('🌱 Configuração'!$B$51+139-'🌱 Configuração'!$D$51)/7)+1=6,MOD('🌱 Configuração'!$B$51+139-'🌱 Configuração'!$D$51,7)=0),"🌸 Bloom + Enzimas + Amino",IF(AND('🌱 Configuração'!$B$51+139&gt;='🌱 Configuração'!$D$51,'🌱 Configuração'!$B$51+139&lt;'🌱 Configuração'!$E$51,INT(('🌱 Configuração'!$B$51+139-'🌱 Configuração'!$D$51)/7)+1=7,MOD('🌱 Configuração'!$B$51+139-'🌱 Configuração'!$D$51,7)=0),"🌸 Reduzir N — Bloom puro — EC 1.6",IF(AND('🌱 Configuração'!$B$51+139&gt;='🌱 Configuração'!$D$51,'🌱 Configuração'!$B$51+139&lt;'🌱 Configuração'!$E$51,INT(('🌱 Configuração'!$B$51+139-'🌱 Configuração'!$D$51)/7)+1=8,MOD('🌱 Configuração'!$B$51+139-'🌱 Configuração'!$D$51,7)=0),"🌸 Bloom puro — EC 1.4  (pré-flush)",IF(AND('🌱 Configuração'!$B$51+139&gt;='🌱 Configuração'!$D$51,'🌱 Configuração'!$B$51+139&lt;'🌱 Configuração'!$E$51,INT(('🌱 Configuração'!$B$51+139-'🌱 Configuração'!$D$51)/7)+1=9,MOD('🌱 Configuração'!$B$51+139-'🌱 Configuração'!$D$51,7)=0),"🌸 Último Bloom — EC 0.8",IF(AND('🌱 Configuração'!$B$51+139&gt;='🌱 Configuração'!$E$51,INT(('🌱 Configuração'!$B$51+139-'🌱 Configuração'!$E$51)/7)+1=1,MOD('🌱 Configuração'!$B$51+139-'🌱 Configuração'!$E$51,7)=0),"🚿 Água pura + Enzimas (EC &lt; 0.3)",IF(AND('🌱 Configuração'!$B$51+139&gt;='🌱 Configuração'!$E$51,INT(('🌱 Configuração'!$B$51+139-'🌱 Configuração'!$E$51)/7)+1=2,MOD('🌱 Configuração'!$B$51+139-'🌱 Configuração'!$E$51,7)=0),"🚿 Água pura (EC &lt; 0.2)",""))))))))))))))))))))))</f>
        <v/>
      </c>
      <c r="G145" s="30" t="str">
        <f>IF(140&gt;'🌱 Configuração'!$F$50,"",IF(AND('🌱 Configuração'!$B$51+139&lt;'🌱 Configuração'!$C$51,INT((140-1)/7)+1=1,MOD(140-1,7)=0),"🐛 Nim 2mL/L foliar — preventivo",IF(AND('🌱 Configuração'!$B$51+139&lt;'🌱 Configuração'!$C$51,INT((140-1)/7)+1=2,MOD(140-1,7)=0),"🐛 Beauveria bassiana foliar + solo",IF(AND('🌱 Configuração'!$B$51+139&gt;='🌱 Configuração'!$C$51,'🌱 Configuração'!$B$51+139&lt;'🌱 Configuração'!$D$51,INT(('🌱 Configuração'!$B$51+139-'🌱 Configuração'!$C$51)/7)+1=1,MOD('🌱 Configuração'!$B$51+139-'🌱 Configuração'!$C$51,7)=0),"🐛 Nim 2mL/L foliar",IF(AND('🌱 Configuração'!$B$51+139&gt;='🌱 Configuração'!$C$51,'🌱 Configuração'!$B$51+139&lt;'🌱 Configuração'!$D$51,INT(('🌱 Configuração'!$B$51+139-'🌱 Configuração'!$C$51)/7)+1=2,MOD('🌱 Configuração'!$B$51+139-'🌱 Configuração'!$C$51,7)=0),"🐛 Beauveria bassiana foliar",IF(AND('🌱 Configuração'!$B$51+139&gt;='🌱 Configuração'!$C$51,'🌱 Configuração'!$B$51+139&lt;'🌱 Configuração'!$D$51,INT(('🌱 Configuração'!$B$51+139-'🌱 Configuração'!$C$51)/7)+1=3,MOD('🌱 Configuração'!$B$51+139-'🌱 Configuração'!$C$51,7)=0),"🐛 Nim + Calda Sulfocálcica 1%",IF(AND('🌱 Configuração'!$B$51+139&gt;='🌱 Configuração'!$C$51,'🌱 Configuração'!$B$51+139&lt;'🌱 Configuração'!$D$51,INT(('🌱 Configuração'!$B$51+139-'🌱 Configuração'!$C$51)/7)+1=4,MOD('🌱 Configuração'!$B$51+139-'🌱 Configuração'!$C$51,7)=0),"🐛 Trichoderma solo + Beauveria",IF(AND('🌱 Configuração'!$B$51+139&gt;='🌱 Configuração'!$C$51,'🌱 Configuração'!$B$51+139&lt;'🌱 Configuração'!$D$51,INT(('🌱 Configuração'!$B$51+139-'🌱 Configuração'!$C$51)/7)+1=5,MOD('🌱 Configuração'!$B$51+139-'🌱 Configuração'!$C$51,7)=0),"🐛 Calda Bordalesa 0.5% foliar",IF(AND('🌱 Configuração'!$B$51+139&gt;='🌱 Configuração'!$C$51,'🌱 Configuração'!$B$51+139&lt;'🌱 Configuração'!$D$51,INT(('🌱 Configuração'!$B$51+139-'🌱 Configuração'!$C$51)/7)+1=6,MOD('🌱 Configuração'!$B$51+139-'🌱 Configuração'!$C$51,7)=0),"🐛 Nim 2mL/L — ÚLTIMA foliar",IF(AND('🌱 Configuração'!$B$51+139&gt;='🌱 Configuração'!$D$51,'🌱 Configuração'!$B$51+139&lt;'🌱 Configuração'!$E$51,INT(('🌱 Configuração'!$B$51+139-'🌱 Configuração'!$D$51)/7)+1=1,MOD('🌱 Configuração'!$B$51+139-'🌱 Configuração'!$D$51,7)=0),"🐛 Beauveria bassiana solo (sem foliar)",IF(AND('🌱 Configuração'!$B$51+139&gt;='🌱 Configuração'!$D$51,'🌱 Configuração'!$B$51+139&lt;'🌱 Configuração'!$E$51,INT(('🌱 Configuração'!$B$51+139-'🌱 Configuração'!$D$51)/7)+1=2,MOD('🌱 Configuração'!$B$51+139-'🌱 Configuração'!$D$51,7)=0),"🐛 Trichoderma solo",IF(AND('🌱 Configuração'!$B$51+139&gt;='🌱 Configuração'!$D$51,'🌱 Configuração'!$B$51+139&lt;'🌱 Configuração'!$E$51,INT(('🌱 Configuração'!$B$51+139-'🌱 Configuração'!$D$51)/7)+1=3,MOD('🌱 Configuração'!$B$51+139-'🌱 Configuração'!$D$51,7)=0),"🐛 Beauveria bassiana solo",IF(AND('🌱 Configuração'!$B$51+139&gt;='🌱 Configuração'!$D$51,'🌱 Configuração'!$B$51+139&lt;'🌱 Configuração'!$E$51,INT(('🌱 Configuração'!$B$51+139-'🌱 Configuração'!$D$51)/7)+1=4,MOD('🌱 Configuração'!$B$51+139-'🌱 Configuração'!$D$51,7)=0),"🐛 Trichoderma solo",IF(AND('🌱 Configuração'!$B$51+139&gt;='🌱 Configuração'!$E$51,INT(('🌱 Configuração'!$B$51+139-'🌱 Configuração'!$E$51)/7)+1=1,MOD('🌱 Configuração'!$B$51+139-'🌱 Configuração'!$E$51,7)=0),"🐛 Inspeção final — sem aplicação",""))))))))))))))</f>
        <v/>
      </c>
      <c r="H145" s="22" t="str">
        <f>IF(140&gt;'🌱 Configuração'!$F$50,"",IF('🌱 Configuração'!$B$51+139='🌱 Configuração'!$C$51,"🌿 INÍCIO VEGA — ajustar espaço, luz 18h/dia — EC 0.8",IF('🌱 Configuração'!$B$51+139='🌱 Configuração'!$D$51,"🌸 INÍCIO FLORAÇÃO — mudar para 12h/12h — 🔴 atenção ao fotoperíodo",IF('🌱 Configuração'!$B$51+139='🌱 Configuração'!$E$51,"🚿 INÍCIO FLUSH — PARAR nutrição, somente água pura",IF('🌱 Configuração'!$B$51+139='🌱 Configuração'!$F$51-1,"🔬 Véspera da colheita — analisar tricomas âmbar",IF('🌱 Configuração'!$B$51+139='🌱 Configuração'!$F$51,"✂️ COLHEITA! Parabéns! 🎉",""))))))</f>
        <v/>
      </c>
    </row>
    <row r="146" spans="2:8" ht="18.75" customHeight="1" x14ac:dyDescent="0.3">
      <c r="B146" s="25" t="str">
        <f>IF(141&lt;='🌱 Configuração'!$F$50,141,"")</f>
        <v/>
      </c>
      <c r="C146" s="26" t="str">
        <f>IF(141&lt;='🌱 Configuração'!$F$50,'🌱 Configuração'!$B$51+140,"")</f>
        <v/>
      </c>
      <c r="D146" s="27" t="str">
        <f>IF(141&gt;'🌱 Configuração'!$F$50,"",IF('🌱 Configuração'!$B$51+140&lt;'🌱 Configuração'!$C$51,"🌱 Clone",IF('🌱 Configuração'!$B$51+140&lt;'🌱 Configuração'!$D$51,"🌿 Vegetativo",IF('🌱 Configuração'!$B$51+140&lt;'🌱 Configuração'!$E$51,"🌸 Floração","🚿 Flush"))))</f>
        <v/>
      </c>
      <c r="E146" s="28" t="str">
        <f>IF(141&gt;'🌱 Configuração'!$F$50,"",IF('🌱 Configuração'!$B$51+140&lt;'🌱 Configuração'!$C$51,"Clone S"&amp;INT((141-1)/7)+1,IF('🌱 Configuração'!$B$51+140&lt;'🌱 Configuração'!$D$51,"Vega S"&amp;INT(('🌱 Configuração'!$B$51+140-'🌱 Configuração'!$C$51)/7)+1,IF('🌱 Configuração'!$B$51+140&lt;'🌱 Configuração'!$E$51,"Flora S"&amp;INT(('🌱 Configuração'!$B$51+140-'🌱 Configuração'!$D$51)/7)+1,"Flush S"&amp;INT(('🌱 Configuração'!$B$51+140-'🌱 Configuração'!$E$51)/7)+1))))</f>
        <v/>
      </c>
      <c r="F146" s="29" t="str">
        <f>IF(141&gt;'🌱 Configuração'!$F$50,"",IF(AND('🌱 Configuração'!$B$51+140&lt;'🌱 Configuração'!$C$51,INT((141-1)/7)+1=1,MOD(141-1,7)=0),"🌱 Enraizador (0.5 mL/L)",IF(AND('🌱 Configuração'!$B$51+140&lt;'🌱 Configuração'!$C$51,INT((141-1)/7)+1=2,MOD(141-1,7)=0),"🌱 Enraizador + Vitamina B1",IF(AND('🌱 Configuração'!$B$51+140&gt;='🌱 Configuração'!$C$51,'🌱 Configuração'!$B$51+140&lt;'🌱 Configuração'!$D$51,INT(('🌱 Configuração'!$B$51+140-'🌱 Configuração'!$C$51)/7)+1=1,MOD('🌱 Configuração'!$B$51+140-'🌱 Configuração'!$C$51,7)=0),"🌿 Grow A+B início — EC 0.8",IF(AND('🌱 Configuração'!$B$51+140&gt;='🌱 Configuração'!$C$51,'🌱 Configuração'!$B$51+140&lt;'🌱 Configuração'!$D$51,INT(('🌱 Configuração'!$B$51+140-'🌱 Configuração'!$C$51)/7)+1=2,MOD('🌱 Configuração'!$B$51+140-'🌱 Configuração'!$C$51,7)=0),"🌿 Grow A+B + CalMag — EC 1.0",IF(AND('🌱 Configuração'!$B$51+140&gt;='🌱 Configuração'!$C$51,'🌱 Configuração'!$B$51+140&lt;'🌱 Configuração'!$D$51,INT(('🌱 Configuração'!$B$51+140-'🌱 Configuração'!$C$51)/7)+1=3,MOD('🌱 Configuração'!$B$51+140-'🌱 Configuração'!$C$51,7)=0),"🌿 Grow A+B + CalMag — EC 1.2",IF(AND('🌱 Configuração'!$B$51+140&gt;='🌱 Configuração'!$C$51,'🌱 Configuração'!$B$51+140&lt;'🌱 Configuração'!$D$51,INT(('🌱 Configuração'!$B$51+140-'🌱 Configuração'!$C$51)/7)+1=4,MOD('🌱 Configuração'!$B$51+140-'🌱 Configuração'!$C$51,7)=0),"🌿 Grow A+B + Enzimas — EC 1.4",IF(AND('🌱 Configuração'!$B$51+140&gt;='🌱 Configuração'!$C$51,'🌱 Configuração'!$B$51+140&lt;'🌱 Configuração'!$D$51,INT(('🌱 Configuração'!$B$51+140-'🌱 Configuração'!$C$51)/7)+1=5,MOD('🌱 Configuração'!$B$51+140-'🌱 Configuração'!$C$51,7)=0),"🌿 Grow A+B + Biorrizas — EC 1.5",IF(AND('🌱 Configuração'!$B$51+140&gt;='🌱 Configuração'!$C$51,'🌱 Configuração'!$B$51+140&lt;'🌱 Configuração'!$D$51,INT(('🌱 Configuração'!$B$51+140-'🌱 Configuração'!$C$51)/7)+1=6,MOD('🌱 Configuração'!$B$51+140-'🌱 Configuração'!$C$51,7)=0),"🌿 Transição Bloom — EC 1.4",IF(AND('🌱 Configuração'!$B$51+140&gt;='🌱 Configuração'!$C$51,'🌱 Configuração'!$B$51+140&lt;'🌱 Configuração'!$D$51,INT(('🌱 Configuração'!$B$51+140-'🌱 Configuração'!$C$51)/7)+1=7,MOD('🌱 Configuração'!$B$51+140-'🌱 Configuração'!$C$51,7)=0),"🌿 Bloom A+B transição — EC 1.4",IF(AND('🌱 Configuração'!$B$51+140&gt;='🌱 Configuração'!$C$51,'🌱 Configuração'!$B$51+140&lt;'🌱 Configuração'!$D$51,INT(('🌱 Configuração'!$B$51+140-'🌱 Configuração'!$C$51)/7)+1=8,MOD('🌱 Configuração'!$B$51+140-'🌱 Configuração'!$C$51,7)=0),"🌿 Bloom A+B — EC 1.4",IF(AND('🌱 Configuração'!$B$51+140&gt;='🌱 Configuração'!$D$51,'🌱 Configuração'!$B$51+140&lt;'🌱 Configuração'!$E$51,INT(('🌱 Configuração'!$B$51+140-'🌱 Configuração'!$D$51)/7)+1=1,MOD('🌱 Configuração'!$B$51+140-'🌱 Configuração'!$D$51,7)=0),"🌸 Bloom A+B — EC 1.6",IF(AND('🌱 Configuração'!$B$51+140&gt;='🌱 Configuração'!$D$51,'🌱 Configuração'!$B$51+140&lt;'🌱 Configuração'!$E$51,INT(('🌱 Configuração'!$B$51+140-'🌱 Configuração'!$D$51)/7)+1=2,MOD('🌱 Configuração'!$B$51+140-'🌱 Configuração'!$D$51,7)=0),"🌸 Bloom + PK 13/14 início",IF(AND('🌱 Configuração'!$B$51+140&gt;='🌱 Configuração'!$D$51,'🌱 Configuração'!$B$51+140&lt;'🌱 Configuração'!$E$51,INT(('🌱 Configuração'!$B$51+140-'🌱 Configuração'!$D$51)/7)+1=3,MOD('🌱 Configuração'!$B$51+140-'🌱 Configuração'!$D$51,7)=0),"🌸 Bloom + PK + CalMag — EC 1.8",IF(AND('🌱 Configuração'!$B$51+140&gt;='🌱 Configuração'!$D$51,'🌱 Configuração'!$B$51+140&lt;'🌱 Configuração'!$E$51,INT(('🌱 Configuração'!$B$51+140-'🌱 Configuração'!$D$51)/7)+1=4,MOD('🌱 Configuração'!$B$51+140-'🌱 Configuração'!$D$51,7)=0),"🌸 Bloom + PK + Boost Floral — EC 2.0",IF(AND('🌱 Configuração'!$B$51+140&gt;='🌱 Configuração'!$D$51,'🌱 Configuração'!$B$51+140&lt;'🌱 Configuração'!$E$51,INT(('🌱 Configuração'!$B$51+140-'🌱 Configuração'!$D$51)/7)+1=5,MOD('🌱 Configuração'!$B$51+140-'🌱 Configuração'!$D$51,7)=0),"🌸 Bloom + Boost + Amino",IF(AND('🌱 Configuração'!$B$51+140&gt;='🌱 Configuração'!$D$51,'🌱 Configuração'!$B$51+140&lt;'🌱 Configuração'!$E$51,INT(('🌱 Configuração'!$B$51+140-'🌱 Configuração'!$D$51)/7)+1=6,MOD('🌱 Configuração'!$B$51+140-'🌱 Configuração'!$D$51,7)=0),"🌸 Bloom + Enzimas + Amino",IF(AND('🌱 Configuração'!$B$51+140&gt;='🌱 Configuração'!$D$51,'🌱 Configuração'!$B$51+140&lt;'🌱 Configuração'!$E$51,INT(('🌱 Configuração'!$B$51+140-'🌱 Configuração'!$D$51)/7)+1=7,MOD('🌱 Configuração'!$B$51+140-'🌱 Configuração'!$D$51,7)=0),"🌸 Reduzir N — Bloom puro — EC 1.6",IF(AND('🌱 Configuração'!$B$51+140&gt;='🌱 Configuração'!$D$51,'🌱 Configuração'!$B$51+140&lt;'🌱 Configuração'!$E$51,INT(('🌱 Configuração'!$B$51+140-'🌱 Configuração'!$D$51)/7)+1=8,MOD('🌱 Configuração'!$B$51+140-'🌱 Configuração'!$D$51,7)=0),"🌸 Bloom puro — EC 1.4  (pré-flush)",IF(AND('🌱 Configuração'!$B$51+140&gt;='🌱 Configuração'!$D$51,'🌱 Configuração'!$B$51+140&lt;'🌱 Configuração'!$E$51,INT(('🌱 Configuração'!$B$51+140-'🌱 Configuração'!$D$51)/7)+1=9,MOD('🌱 Configuração'!$B$51+140-'🌱 Configuração'!$D$51,7)=0),"🌸 Último Bloom — EC 0.8",IF(AND('🌱 Configuração'!$B$51+140&gt;='🌱 Configuração'!$E$51,INT(('🌱 Configuração'!$B$51+140-'🌱 Configuração'!$E$51)/7)+1=1,MOD('🌱 Configuração'!$B$51+140-'🌱 Configuração'!$E$51,7)=0),"🚿 Água pura + Enzimas (EC &lt; 0.3)",IF(AND('🌱 Configuração'!$B$51+140&gt;='🌱 Configuração'!$E$51,INT(('🌱 Configuração'!$B$51+140-'🌱 Configuração'!$E$51)/7)+1=2,MOD('🌱 Configuração'!$B$51+140-'🌱 Configuração'!$E$51,7)=0),"🚿 Água pura (EC &lt; 0.2)",""))))))))))))))))))))))</f>
        <v/>
      </c>
      <c r="G146" s="30" t="str">
        <f>IF(141&gt;'🌱 Configuração'!$F$50,"",IF(AND('🌱 Configuração'!$B$51+140&lt;'🌱 Configuração'!$C$51,INT((141-1)/7)+1=1,MOD(141-1,7)=0),"🐛 Nim 2mL/L foliar — preventivo",IF(AND('🌱 Configuração'!$B$51+140&lt;'🌱 Configuração'!$C$51,INT((141-1)/7)+1=2,MOD(141-1,7)=0),"🐛 Beauveria bassiana foliar + solo",IF(AND('🌱 Configuração'!$B$51+140&gt;='🌱 Configuração'!$C$51,'🌱 Configuração'!$B$51+140&lt;'🌱 Configuração'!$D$51,INT(('🌱 Configuração'!$B$51+140-'🌱 Configuração'!$C$51)/7)+1=1,MOD('🌱 Configuração'!$B$51+140-'🌱 Configuração'!$C$51,7)=0),"🐛 Nim 2mL/L foliar",IF(AND('🌱 Configuração'!$B$51+140&gt;='🌱 Configuração'!$C$51,'🌱 Configuração'!$B$51+140&lt;'🌱 Configuração'!$D$51,INT(('🌱 Configuração'!$B$51+140-'🌱 Configuração'!$C$51)/7)+1=2,MOD('🌱 Configuração'!$B$51+140-'🌱 Configuração'!$C$51,7)=0),"🐛 Beauveria bassiana foliar",IF(AND('🌱 Configuração'!$B$51+140&gt;='🌱 Configuração'!$C$51,'🌱 Configuração'!$B$51+140&lt;'🌱 Configuração'!$D$51,INT(('🌱 Configuração'!$B$51+140-'🌱 Configuração'!$C$51)/7)+1=3,MOD('🌱 Configuração'!$B$51+140-'🌱 Configuração'!$C$51,7)=0),"🐛 Nim + Calda Sulfocálcica 1%",IF(AND('🌱 Configuração'!$B$51+140&gt;='🌱 Configuração'!$C$51,'🌱 Configuração'!$B$51+140&lt;'🌱 Configuração'!$D$51,INT(('🌱 Configuração'!$B$51+140-'🌱 Configuração'!$C$51)/7)+1=4,MOD('🌱 Configuração'!$B$51+140-'🌱 Configuração'!$C$51,7)=0),"🐛 Trichoderma solo + Beauveria",IF(AND('🌱 Configuração'!$B$51+140&gt;='🌱 Configuração'!$C$51,'🌱 Configuração'!$B$51+140&lt;'🌱 Configuração'!$D$51,INT(('🌱 Configuração'!$B$51+140-'🌱 Configuração'!$C$51)/7)+1=5,MOD('🌱 Configuração'!$B$51+140-'🌱 Configuração'!$C$51,7)=0),"🐛 Calda Bordalesa 0.5% foliar",IF(AND('🌱 Configuração'!$B$51+140&gt;='🌱 Configuração'!$C$51,'🌱 Configuração'!$B$51+140&lt;'🌱 Configuração'!$D$51,INT(('🌱 Configuração'!$B$51+140-'🌱 Configuração'!$C$51)/7)+1=6,MOD('🌱 Configuração'!$B$51+140-'🌱 Configuração'!$C$51,7)=0),"🐛 Nim 2mL/L — ÚLTIMA foliar",IF(AND('🌱 Configuração'!$B$51+140&gt;='🌱 Configuração'!$D$51,'🌱 Configuração'!$B$51+140&lt;'🌱 Configuração'!$E$51,INT(('🌱 Configuração'!$B$51+140-'🌱 Configuração'!$D$51)/7)+1=1,MOD('🌱 Configuração'!$B$51+140-'🌱 Configuração'!$D$51,7)=0),"🐛 Beauveria bassiana solo (sem foliar)",IF(AND('🌱 Configuração'!$B$51+140&gt;='🌱 Configuração'!$D$51,'🌱 Configuração'!$B$51+140&lt;'🌱 Configuração'!$E$51,INT(('🌱 Configuração'!$B$51+140-'🌱 Configuração'!$D$51)/7)+1=2,MOD('🌱 Configuração'!$B$51+140-'🌱 Configuração'!$D$51,7)=0),"🐛 Trichoderma solo",IF(AND('🌱 Configuração'!$B$51+140&gt;='🌱 Configuração'!$D$51,'🌱 Configuração'!$B$51+140&lt;'🌱 Configuração'!$E$51,INT(('🌱 Configuração'!$B$51+140-'🌱 Configuração'!$D$51)/7)+1=3,MOD('🌱 Configuração'!$B$51+140-'🌱 Configuração'!$D$51,7)=0),"🐛 Beauveria bassiana solo",IF(AND('🌱 Configuração'!$B$51+140&gt;='🌱 Configuração'!$D$51,'🌱 Configuração'!$B$51+140&lt;'🌱 Configuração'!$E$51,INT(('🌱 Configuração'!$B$51+140-'🌱 Configuração'!$D$51)/7)+1=4,MOD('🌱 Configuração'!$B$51+140-'🌱 Configuração'!$D$51,7)=0),"🐛 Trichoderma solo",IF(AND('🌱 Configuração'!$B$51+140&gt;='🌱 Configuração'!$E$51,INT(('🌱 Configuração'!$B$51+140-'🌱 Configuração'!$E$51)/7)+1=1,MOD('🌱 Configuração'!$B$51+140-'🌱 Configuração'!$E$51,7)=0),"🐛 Inspeção final — sem aplicação",""))))))))))))))</f>
        <v/>
      </c>
      <c r="H146" s="22" t="str">
        <f>IF(141&gt;'🌱 Configuração'!$F$50,"",IF('🌱 Configuração'!$B$51+140='🌱 Configuração'!$C$51,"🌿 INÍCIO VEGA — ajustar espaço, luz 18h/dia — EC 0.8",IF('🌱 Configuração'!$B$51+140='🌱 Configuração'!$D$51,"🌸 INÍCIO FLORAÇÃO — mudar para 12h/12h — 🔴 atenção ao fotoperíodo",IF('🌱 Configuração'!$B$51+140='🌱 Configuração'!$E$51,"🚿 INÍCIO FLUSH — PARAR nutrição, somente água pura",IF('🌱 Configuração'!$B$51+140='🌱 Configuração'!$F$51-1,"🔬 Véspera da colheita — analisar tricomas âmbar",IF('🌱 Configuração'!$B$51+140='🌱 Configuração'!$F$51,"✂️ COLHEITA! Parabéns! 🎉",""))))))</f>
        <v/>
      </c>
    </row>
    <row r="147" spans="2:8" ht="18.75" customHeight="1" x14ac:dyDescent="0.3">
      <c r="B147" s="25" t="str">
        <f>IF(142&lt;='🌱 Configuração'!$F$50,142,"")</f>
        <v/>
      </c>
      <c r="C147" s="26" t="str">
        <f>IF(142&lt;='🌱 Configuração'!$F$50,'🌱 Configuração'!$B$51+141,"")</f>
        <v/>
      </c>
      <c r="D147" s="27" t="str">
        <f>IF(142&gt;'🌱 Configuração'!$F$50,"",IF('🌱 Configuração'!$B$51+141&lt;'🌱 Configuração'!$C$51,"🌱 Clone",IF('🌱 Configuração'!$B$51+141&lt;'🌱 Configuração'!$D$51,"🌿 Vegetativo",IF('🌱 Configuração'!$B$51+141&lt;'🌱 Configuração'!$E$51,"🌸 Floração","🚿 Flush"))))</f>
        <v/>
      </c>
      <c r="E147" s="28" t="str">
        <f>IF(142&gt;'🌱 Configuração'!$F$50,"",IF('🌱 Configuração'!$B$51+141&lt;'🌱 Configuração'!$C$51,"Clone S"&amp;INT((142-1)/7)+1,IF('🌱 Configuração'!$B$51+141&lt;'🌱 Configuração'!$D$51,"Vega S"&amp;INT(('🌱 Configuração'!$B$51+141-'🌱 Configuração'!$C$51)/7)+1,IF('🌱 Configuração'!$B$51+141&lt;'🌱 Configuração'!$E$51,"Flora S"&amp;INT(('🌱 Configuração'!$B$51+141-'🌱 Configuração'!$D$51)/7)+1,"Flush S"&amp;INT(('🌱 Configuração'!$B$51+141-'🌱 Configuração'!$E$51)/7)+1))))</f>
        <v/>
      </c>
      <c r="F147" s="29" t="str">
        <f>IF(142&gt;'🌱 Configuração'!$F$50,"",IF(AND('🌱 Configuração'!$B$51+141&lt;'🌱 Configuração'!$C$51,INT((142-1)/7)+1=1,MOD(142-1,7)=0),"🌱 Enraizador (0.5 mL/L)",IF(AND('🌱 Configuração'!$B$51+141&lt;'🌱 Configuração'!$C$51,INT((142-1)/7)+1=2,MOD(142-1,7)=0),"🌱 Enraizador + Vitamina B1",IF(AND('🌱 Configuração'!$B$51+141&gt;='🌱 Configuração'!$C$51,'🌱 Configuração'!$B$51+141&lt;'🌱 Configuração'!$D$51,INT(('🌱 Configuração'!$B$51+141-'🌱 Configuração'!$C$51)/7)+1=1,MOD('🌱 Configuração'!$B$51+141-'🌱 Configuração'!$C$51,7)=0),"🌿 Grow A+B início — EC 0.8",IF(AND('🌱 Configuração'!$B$51+141&gt;='🌱 Configuração'!$C$51,'🌱 Configuração'!$B$51+141&lt;'🌱 Configuração'!$D$51,INT(('🌱 Configuração'!$B$51+141-'🌱 Configuração'!$C$51)/7)+1=2,MOD('🌱 Configuração'!$B$51+141-'🌱 Configuração'!$C$51,7)=0),"🌿 Grow A+B + CalMag — EC 1.0",IF(AND('🌱 Configuração'!$B$51+141&gt;='🌱 Configuração'!$C$51,'🌱 Configuração'!$B$51+141&lt;'🌱 Configuração'!$D$51,INT(('🌱 Configuração'!$B$51+141-'🌱 Configuração'!$C$51)/7)+1=3,MOD('🌱 Configuração'!$B$51+141-'🌱 Configuração'!$C$51,7)=0),"🌿 Grow A+B + CalMag — EC 1.2",IF(AND('🌱 Configuração'!$B$51+141&gt;='🌱 Configuração'!$C$51,'🌱 Configuração'!$B$51+141&lt;'🌱 Configuração'!$D$51,INT(('🌱 Configuração'!$B$51+141-'🌱 Configuração'!$C$51)/7)+1=4,MOD('🌱 Configuração'!$B$51+141-'🌱 Configuração'!$C$51,7)=0),"🌿 Grow A+B + Enzimas — EC 1.4",IF(AND('🌱 Configuração'!$B$51+141&gt;='🌱 Configuração'!$C$51,'🌱 Configuração'!$B$51+141&lt;'🌱 Configuração'!$D$51,INT(('🌱 Configuração'!$B$51+141-'🌱 Configuração'!$C$51)/7)+1=5,MOD('🌱 Configuração'!$B$51+141-'🌱 Configuração'!$C$51,7)=0),"🌿 Grow A+B + Biorrizas — EC 1.5",IF(AND('🌱 Configuração'!$B$51+141&gt;='🌱 Configuração'!$C$51,'🌱 Configuração'!$B$51+141&lt;'🌱 Configuração'!$D$51,INT(('🌱 Configuração'!$B$51+141-'🌱 Configuração'!$C$51)/7)+1=6,MOD('🌱 Configuração'!$B$51+141-'🌱 Configuração'!$C$51,7)=0),"🌿 Transição Bloom — EC 1.4",IF(AND('🌱 Configuração'!$B$51+141&gt;='🌱 Configuração'!$C$51,'🌱 Configuração'!$B$51+141&lt;'🌱 Configuração'!$D$51,INT(('🌱 Configuração'!$B$51+141-'🌱 Configuração'!$C$51)/7)+1=7,MOD('🌱 Configuração'!$B$51+141-'🌱 Configuração'!$C$51,7)=0),"🌿 Bloom A+B transição — EC 1.4",IF(AND('🌱 Configuração'!$B$51+141&gt;='🌱 Configuração'!$C$51,'🌱 Configuração'!$B$51+141&lt;'🌱 Configuração'!$D$51,INT(('🌱 Configuração'!$B$51+141-'🌱 Configuração'!$C$51)/7)+1=8,MOD('🌱 Configuração'!$B$51+141-'🌱 Configuração'!$C$51,7)=0),"🌿 Bloom A+B — EC 1.4",IF(AND('🌱 Configuração'!$B$51+141&gt;='🌱 Configuração'!$D$51,'🌱 Configuração'!$B$51+141&lt;'🌱 Configuração'!$E$51,INT(('🌱 Configuração'!$B$51+141-'🌱 Configuração'!$D$51)/7)+1=1,MOD('🌱 Configuração'!$B$51+141-'🌱 Configuração'!$D$51,7)=0),"🌸 Bloom A+B — EC 1.6",IF(AND('🌱 Configuração'!$B$51+141&gt;='🌱 Configuração'!$D$51,'🌱 Configuração'!$B$51+141&lt;'🌱 Configuração'!$E$51,INT(('🌱 Configuração'!$B$51+141-'🌱 Configuração'!$D$51)/7)+1=2,MOD('🌱 Configuração'!$B$51+141-'🌱 Configuração'!$D$51,7)=0),"🌸 Bloom + PK 13/14 início",IF(AND('🌱 Configuração'!$B$51+141&gt;='🌱 Configuração'!$D$51,'🌱 Configuração'!$B$51+141&lt;'🌱 Configuração'!$E$51,INT(('🌱 Configuração'!$B$51+141-'🌱 Configuração'!$D$51)/7)+1=3,MOD('🌱 Configuração'!$B$51+141-'🌱 Configuração'!$D$51,7)=0),"🌸 Bloom + PK + CalMag — EC 1.8",IF(AND('🌱 Configuração'!$B$51+141&gt;='🌱 Configuração'!$D$51,'🌱 Configuração'!$B$51+141&lt;'🌱 Configuração'!$E$51,INT(('🌱 Configuração'!$B$51+141-'🌱 Configuração'!$D$51)/7)+1=4,MOD('🌱 Configuração'!$B$51+141-'🌱 Configuração'!$D$51,7)=0),"🌸 Bloom + PK + Boost Floral — EC 2.0",IF(AND('🌱 Configuração'!$B$51+141&gt;='🌱 Configuração'!$D$51,'🌱 Configuração'!$B$51+141&lt;'🌱 Configuração'!$E$51,INT(('🌱 Configuração'!$B$51+141-'🌱 Configuração'!$D$51)/7)+1=5,MOD('🌱 Configuração'!$B$51+141-'🌱 Configuração'!$D$51,7)=0),"🌸 Bloom + Boost + Amino",IF(AND('🌱 Configuração'!$B$51+141&gt;='🌱 Configuração'!$D$51,'🌱 Configuração'!$B$51+141&lt;'🌱 Configuração'!$E$51,INT(('🌱 Configuração'!$B$51+141-'🌱 Configuração'!$D$51)/7)+1=6,MOD('🌱 Configuração'!$B$51+141-'🌱 Configuração'!$D$51,7)=0),"🌸 Bloom + Enzimas + Amino",IF(AND('🌱 Configuração'!$B$51+141&gt;='🌱 Configuração'!$D$51,'🌱 Configuração'!$B$51+141&lt;'🌱 Configuração'!$E$51,INT(('🌱 Configuração'!$B$51+141-'🌱 Configuração'!$D$51)/7)+1=7,MOD('🌱 Configuração'!$B$51+141-'🌱 Configuração'!$D$51,7)=0),"🌸 Reduzir N — Bloom puro — EC 1.6",IF(AND('🌱 Configuração'!$B$51+141&gt;='🌱 Configuração'!$D$51,'🌱 Configuração'!$B$51+141&lt;'🌱 Configuração'!$E$51,INT(('🌱 Configuração'!$B$51+141-'🌱 Configuração'!$D$51)/7)+1=8,MOD('🌱 Configuração'!$B$51+141-'🌱 Configuração'!$D$51,7)=0),"🌸 Bloom puro — EC 1.4  (pré-flush)",IF(AND('🌱 Configuração'!$B$51+141&gt;='🌱 Configuração'!$D$51,'🌱 Configuração'!$B$51+141&lt;'🌱 Configuração'!$E$51,INT(('🌱 Configuração'!$B$51+141-'🌱 Configuração'!$D$51)/7)+1=9,MOD('🌱 Configuração'!$B$51+141-'🌱 Configuração'!$D$51,7)=0),"🌸 Último Bloom — EC 0.8",IF(AND('🌱 Configuração'!$B$51+141&gt;='🌱 Configuração'!$E$51,INT(('🌱 Configuração'!$B$51+141-'🌱 Configuração'!$E$51)/7)+1=1,MOD('🌱 Configuração'!$B$51+141-'🌱 Configuração'!$E$51,7)=0),"🚿 Água pura + Enzimas (EC &lt; 0.3)",IF(AND('🌱 Configuração'!$B$51+141&gt;='🌱 Configuração'!$E$51,INT(('🌱 Configuração'!$B$51+141-'🌱 Configuração'!$E$51)/7)+1=2,MOD('🌱 Configuração'!$B$51+141-'🌱 Configuração'!$E$51,7)=0),"🚿 Água pura (EC &lt; 0.2)",""))))))))))))))))))))))</f>
        <v/>
      </c>
      <c r="G147" s="30" t="str">
        <f>IF(142&gt;'🌱 Configuração'!$F$50,"",IF(AND('🌱 Configuração'!$B$51+141&lt;'🌱 Configuração'!$C$51,INT((142-1)/7)+1=1,MOD(142-1,7)=0),"🐛 Nim 2mL/L foliar — preventivo",IF(AND('🌱 Configuração'!$B$51+141&lt;'🌱 Configuração'!$C$51,INT((142-1)/7)+1=2,MOD(142-1,7)=0),"🐛 Beauveria bassiana foliar + solo",IF(AND('🌱 Configuração'!$B$51+141&gt;='🌱 Configuração'!$C$51,'🌱 Configuração'!$B$51+141&lt;'🌱 Configuração'!$D$51,INT(('🌱 Configuração'!$B$51+141-'🌱 Configuração'!$C$51)/7)+1=1,MOD('🌱 Configuração'!$B$51+141-'🌱 Configuração'!$C$51,7)=0),"🐛 Nim 2mL/L foliar",IF(AND('🌱 Configuração'!$B$51+141&gt;='🌱 Configuração'!$C$51,'🌱 Configuração'!$B$51+141&lt;'🌱 Configuração'!$D$51,INT(('🌱 Configuração'!$B$51+141-'🌱 Configuração'!$C$51)/7)+1=2,MOD('🌱 Configuração'!$B$51+141-'🌱 Configuração'!$C$51,7)=0),"🐛 Beauveria bassiana foliar",IF(AND('🌱 Configuração'!$B$51+141&gt;='🌱 Configuração'!$C$51,'🌱 Configuração'!$B$51+141&lt;'🌱 Configuração'!$D$51,INT(('🌱 Configuração'!$B$51+141-'🌱 Configuração'!$C$51)/7)+1=3,MOD('🌱 Configuração'!$B$51+141-'🌱 Configuração'!$C$51,7)=0),"🐛 Nim + Calda Sulfocálcica 1%",IF(AND('🌱 Configuração'!$B$51+141&gt;='🌱 Configuração'!$C$51,'🌱 Configuração'!$B$51+141&lt;'🌱 Configuração'!$D$51,INT(('🌱 Configuração'!$B$51+141-'🌱 Configuração'!$C$51)/7)+1=4,MOD('🌱 Configuração'!$B$51+141-'🌱 Configuração'!$C$51,7)=0),"🐛 Trichoderma solo + Beauveria",IF(AND('🌱 Configuração'!$B$51+141&gt;='🌱 Configuração'!$C$51,'🌱 Configuração'!$B$51+141&lt;'🌱 Configuração'!$D$51,INT(('🌱 Configuração'!$B$51+141-'🌱 Configuração'!$C$51)/7)+1=5,MOD('🌱 Configuração'!$B$51+141-'🌱 Configuração'!$C$51,7)=0),"🐛 Calda Bordalesa 0.5% foliar",IF(AND('🌱 Configuração'!$B$51+141&gt;='🌱 Configuração'!$C$51,'🌱 Configuração'!$B$51+141&lt;'🌱 Configuração'!$D$51,INT(('🌱 Configuração'!$B$51+141-'🌱 Configuração'!$C$51)/7)+1=6,MOD('🌱 Configuração'!$B$51+141-'🌱 Configuração'!$C$51,7)=0),"🐛 Nim 2mL/L — ÚLTIMA foliar",IF(AND('🌱 Configuração'!$B$51+141&gt;='🌱 Configuração'!$D$51,'🌱 Configuração'!$B$51+141&lt;'🌱 Configuração'!$E$51,INT(('🌱 Configuração'!$B$51+141-'🌱 Configuração'!$D$51)/7)+1=1,MOD('🌱 Configuração'!$B$51+141-'🌱 Configuração'!$D$51,7)=0),"🐛 Beauveria bassiana solo (sem foliar)",IF(AND('🌱 Configuração'!$B$51+141&gt;='🌱 Configuração'!$D$51,'🌱 Configuração'!$B$51+141&lt;'🌱 Configuração'!$E$51,INT(('🌱 Configuração'!$B$51+141-'🌱 Configuração'!$D$51)/7)+1=2,MOD('🌱 Configuração'!$B$51+141-'🌱 Configuração'!$D$51,7)=0),"🐛 Trichoderma solo",IF(AND('🌱 Configuração'!$B$51+141&gt;='🌱 Configuração'!$D$51,'🌱 Configuração'!$B$51+141&lt;'🌱 Configuração'!$E$51,INT(('🌱 Configuração'!$B$51+141-'🌱 Configuração'!$D$51)/7)+1=3,MOD('🌱 Configuração'!$B$51+141-'🌱 Configuração'!$D$51,7)=0),"🐛 Beauveria bassiana solo",IF(AND('🌱 Configuração'!$B$51+141&gt;='🌱 Configuração'!$D$51,'🌱 Configuração'!$B$51+141&lt;'🌱 Configuração'!$E$51,INT(('🌱 Configuração'!$B$51+141-'🌱 Configuração'!$D$51)/7)+1=4,MOD('🌱 Configuração'!$B$51+141-'🌱 Configuração'!$D$51,7)=0),"🐛 Trichoderma solo",IF(AND('🌱 Configuração'!$B$51+141&gt;='🌱 Configuração'!$E$51,INT(('🌱 Configuração'!$B$51+141-'🌱 Configuração'!$E$51)/7)+1=1,MOD('🌱 Configuração'!$B$51+141-'🌱 Configuração'!$E$51,7)=0),"🐛 Inspeção final — sem aplicação",""))))))))))))))</f>
        <v/>
      </c>
      <c r="H147" s="22" t="str">
        <f>IF(142&gt;'🌱 Configuração'!$F$50,"",IF('🌱 Configuração'!$B$51+141='🌱 Configuração'!$C$51,"🌿 INÍCIO VEGA — ajustar espaço, luz 18h/dia — EC 0.8",IF('🌱 Configuração'!$B$51+141='🌱 Configuração'!$D$51,"🌸 INÍCIO FLORAÇÃO — mudar para 12h/12h — 🔴 atenção ao fotoperíodo",IF('🌱 Configuração'!$B$51+141='🌱 Configuração'!$E$51,"🚿 INÍCIO FLUSH — PARAR nutrição, somente água pura",IF('🌱 Configuração'!$B$51+141='🌱 Configuração'!$F$51-1,"🔬 Véspera da colheita — analisar tricomas âmbar",IF('🌱 Configuração'!$B$51+141='🌱 Configuração'!$F$51,"✂️ COLHEITA! Parabéns! 🎉",""))))))</f>
        <v/>
      </c>
    </row>
    <row r="148" spans="2:8" ht="18.75" customHeight="1" x14ac:dyDescent="0.3">
      <c r="B148" s="25" t="str">
        <f>IF(143&lt;='🌱 Configuração'!$F$50,143,"")</f>
        <v/>
      </c>
      <c r="C148" s="26" t="str">
        <f>IF(143&lt;='🌱 Configuração'!$F$50,'🌱 Configuração'!$B$51+142,"")</f>
        <v/>
      </c>
      <c r="D148" s="27" t="str">
        <f>IF(143&gt;'🌱 Configuração'!$F$50,"",IF('🌱 Configuração'!$B$51+142&lt;'🌱 Configuração'!$C$51,"🌱 Clone",IF('🌱 Configuração'!$B$51+142&lt;'🌱 Configuração'!$D$51,"🌿 Vegetativo",IF('🌱 Configuração'!$B$51+142&lt;'🌱 Configuração'!$E$51,"🌸 Floração","🚿 Flush"))))</f>
        <v/>
      </c>
      <c r="E148" s="28" t="str">
        <f>IF(143&gt;'🌱 Configuração'!$F$50,"",IF('🌱 Configuração'!$B$51+142&lt;'🌱 Configuração'!$C$51,"Clone S"&amp;INT((143-1)/7)+1,IF('🌱 Configuração'!$B$51+142&lt;'🌱 Configuração'!$D$51,"Vega S"&amp;INT(('🌱 Configuração'!$B$51+142-'🌱 Configuração'!$C$51)/7)+1,IF('🌱 Configuração'!$B$51+142&lt;'🌱 Configuração'!$E$51,"Flora S"&amp;INT(('🌱 Configuração'!$B$51+142-'🌱 Configuração'!$D$51)/7)+1,"Flush S"&amp;INT(('🌱 Configuração'!$B$51+142-'🌱 Configuração'!$E$51)/7)+1))))</f>
        <v/>
      </c>
      <c r="F148" s="29" t="str">
        <f>IF(143&gt;'🌱 Configuração'!$F$50,"",IF(AND('🌱 Configuração'!$B$51+142&lt;'🌱 Configuração'!$C$51,INT((143-1)/7)+1=1,MOD(143-1,7)=0),"🌱 Enraizador (0.5 mL/L)",IF(AND('🌱 Configuração'!$B$51+142&lt;'🌱 Configuração'!$C$51,INT((143-1)/7)+1=2,MOD(143-1,7)=0),"🌱 Enraizador + Vitamina B1",IF(AND('🌱 Configuração'!$B$51+142&gt;='🌱 Configuração'!$C$51,'🌱 Configuração'!$B$51+142&lt;'🌱 Configuração'!$D$51,INT(('🌱 Configuração'!$B$51+142-'🌱 Configuração'!$C$51)/7)+1=1,MOD('🌱 Configuração'!$B$51+142-'🌱 Configuração'!$C$51,7)=0),"🌿 Grow A+B início — EC 0.8",IF(AND('🌱 Configuração'!$B$51+142&gt;='🌱 Configuração'!$C$51,'🌱 Configuração'!$B$51+142&lt;'🌱 Configuração'!$D$51,INT(('🌱 Configuração'!$B$51+142-'🌱 Configuração'!$C$51)/7)+1=2,MOD('🌱 Configuração'!$B$51+142-'🌱 Configuração'!$C$51,7)=0),"🌿 Grow A+B + CalMag — EC 1.0",IF(AND('🌱 Configuração'!$B$51+142&gt;='🌱 Configuração'!$C$51,'🌱 Configuração'!$B$51+142&lt;'🌱 Configuração'!$D$51,INT(('🌱 Configuração'!$B$51+142-'🌱 Configuração'!$C$51)/7)+1=3,MOD('🌱 Configuração'!$B$51+142-'🌱 Configuração'!$C$51,7)=0),"🌿 Grow A+B + CalMag — EC 1.2",IF(AND('🌱 Configuração'!$B$51+142&gt;='🌱 Configuração'!$C$51,'🌱 Configuração'!$B$51+142&lt;'🌱 Configuração'!$D$51,INT(('🌱 Configuração'!$B$51+142-'🌱 Configuração'!$C$51)/7)+1=4,MOD('🌱 Configuração'!$B$51+142-'🌱 Configuração'!$C$51,7)=0),"🌿 Grow A+B + Enzimas — EC 1.4",IF(AND('🌱 Configuração'!$B$51+142&gt;='🌱 Configuração'!$C$51,'🌱 Configuração'!$B$51+142&lt;'🌱 Configuração'!$D$51,INT(('🌱 Configuração'!$B$51+142-'🌱 Configuração'!$C$51)/7)+1=5,MOD('🌱 Configuração'!$B$51+142-'🌱 Configuração'!$C$51,7)=0),"🌿 Grow A+B + Biorrizas — EC 1.5",IF(AND('🌱 Configuração'!$B$51+142&gt;='🌱 Configuração'!$C$51,'🌱 Configuração'!$B$51+142&lt;'🌱 Configuração'!$D$51,INT(('🌱 Configuração'!$B$51+142-'🌱 Configuração'!$C$51)/7)+1=6,MOD('🌱 Configuração'!$B$51+142-'🌱 Configuração'!$C$51,7)=0),"🌿 Transição Bloom — EC 1.4",IF(AND('🌱 Configuração'!$B$51+142&gt;='🌱 Configuração'!$C$51,'🌱 Configuração'!$B$51+142&lt;'🌱 Configuração'!$D$51,INT(('🌱 Configuração'!$B$51+142-'🌱 Configuração'!$C$51)/7)+1=7,MOD('🌱 Configuração'!$B$51+142-'🌱 Configuração'!$C$51,7)=0),"🌿 Bloom A+B transição — EC 1.4",IF(AND('🌱 Configuração'!$B$51+142&gt;='🌱 Configuração'!$C$51,'🌱 Configuração'!$B$51+142&lt;'🌱 Configuração'!$D$51,INT(('🌱 Configuração'!$B$51+142-'🌱 Configuração'!$C$51)/7)+1=8,MOD('🌱 Configuração'!$B$51+142-'🌱 Configuração'!$C$51,7)=0),"🌿 Bloom A+B — EC 1.4",IF(AND('🌱 Configuração'!$B$51+142&gt;='🌱 Configuração'!$D$51,'🌱 Configuração'!$B$51+142&lt;'🌱 Configuração'!$E$51,INT(('🌱 Configuração'!$B$51+142-'🌱 Configuração'!$D$51)/7)+1=1,MOD('🌱 Configuração'!$B$51+142-'🌱 Configuração'!$D$51,7)=0),"🌸 Bloom A+B — EC 1.6",IF(AND('🌱 Configuração'!$B$51+142&gt;='🌱 Configuração'!$D$51,'🌱 Configuração'!$B$51+142&lt;'🌱 Configuração'!$E$51,INT(('🌱 Configuração'!$B$51+142-'🌱 Configuração'!$D$51)/7)+1=2,MOD('🌱 Configuração'!$B$51+142-'🌱 Configuração'!$D$51,7)=0),"🌸 Bloom + PK 13/14 início",IF(AND('🌱 Configuração'!$B$51+142&gt;='🌱 Configuração'!$D$51,'🌱 Configuração'!$B$51+142&lt;'🌱 Configuração'!$E$51,INT(('🌱 Configuração'!$B$51+142-'🌱 Configuração'!$D$51)/7)+1=3,MOD('🌱 Configuração'!$B$51+142-'🌱 Configuração'!$D$51,7)=0),"🌸 Bloom + PK + CalMag — EC 1.8",IF(AND('🌱 Configuração'!$B$51+142&gt;='🌱 Configuração'!$D$51,'🌱 Configuração'!$B$51+142&lt;'🌱 Configuração'!$E$51,INT(('🌱 Configuração'!$B$51+142-'🌱 Configuração'!$D$51)/7)+1=4,MOD('🌱 Configuração'!$B$51+142-'🌱 Configuração'!$D$51,7)=0),"🌸 Bloom + PK + Boost Floral — EC 2.0",IF(AND('🌱 Configuração'!$B$51+142&gt;='🌱 Configuração'!$D$51,'🌱 Configuração'!$B$51+142&lt;'🌱 Configuração'!$E$51,INT(('🌱 Configuração'!$B$51+142-'🌱 Configuração'!$D$51)/7)+1=5,MOD('🌱 Configuração'!$B$51+142-'🌱 Configuração'!$D$51,7)=0),"🌸 Bloom + Boost + Amino",IF(AND('🌱 Configuração'!$B$51+142&gt;='🌱 Configuração'!$D$51,'🌱 Configuração'!$B$51+142&lt;'🌱 Configuração'!$E$51,INT(('🌱 Configuração'!$B$51+142-'🌱 Configuração'!$D$51)/7)+1=6,MOD('🌱 Configuração'!$B$51+142-'🌱 Configuração'!$D$51,7)=0),"🌸 Bloom + Enzimas + Amino",IF(AND('🌱 Configuração'!$B$51+142&gt;='🌱 Configuração'!$D$51,'🌱 Configuração'!$B$51+142&lt;'🌱 Configuração'!$E$51,INT(('🌱 Configuração'!$B$51+142-'🌱 Configuração'!$D$51)/7)+1=7,MOD('🌱 Configuração'!$B$51+142-'🌱 Configuração'!$D$51,7)=0),"🌸 Reduzir N — Bloom puro — EC 1.6",IF(AND('🌱 Configuração'!$B$51+142&gt;='🌱 Configuração'!$D$51,'🌱 Configuração'!$B$51+142&lt;'🌱 Configuração'!$E$51,INT(('🌱 Configuração'!$B$51+142-'🌱 Configuração'!$D$51)/7)+1=8,MOD('🌱 Configuração'!$B$51+142-'🌱 Configuração'!$D$51,7)=0),"🌸 Bloom puro — EC 1.4  (pré-flush)",IF(AND('🌱 Configuração'!$B$51+142&gt;='🌱 Configuração'!$D$51,'🌱 Configuração'!$B$51+142&lt;'🌱 Configuração'!$E$51,INT(('🌱 Configuração'!$B$51+142-'🌱 Configuração'!$D$51)/7)+1=9,MOD('🌱 Configuração'!$B$51+142-'🌱 Configuração'!$D$51,7)=0),"🌸 Último Bloom — EC 0.8",IF(AND('🌱 Configuração'!$B$51+142&gt;='🌱 Configuração'!$E$51,INT(('🌱 Configuração'!$B$51+142-'🌱 Configuração'!$E$51)/7)+1=1,MOD('🌱 Configuração'!$B$51+142-'🌱 Configuração'!$E$51,7)=0),"🚿 Água pura + Enzimas (EC &lt; 0.3)",IF(AND('🌱 Configuração'!$B$51+142&gt;='🌱 Configuração'!$E$51,INT(('🌱 Configuração'!$B$51+142-'🌱 Configuração'!$E$51)/7)+1=2,MOD('🌱 Configuração'!$B$51+142-'🌱 Configuração'!$E$51,7)=0),"🚿 Água pura (EC &lt; 0.2)",""))))))))))))))))))))))</f>
        <v/>
      </c>
      <c r="G148" s="30" t="str">
        <f>IF(143&gt;'🌱 Configuração'!$F$50,"",IF(AND('🌱 Configuração'!$B$51+142&lt;'🌱 Configuração'!$C$51,INT((143-1)/7)+1=1,MOD(143-1,7)=0),"🐛 Nim 2mL/L foliar — preventivo",IF(AND('🌱 Configuração'!$B$51+142&lt;'🌱 Configuração'!$C$51,INT((143-1)/7)+1=2,MOD(143-1,7)=0),"🐛 Beauveria bassiana foliar + solo",IF(AND('🌱 Configuração'!$B$51+142&gt;='🌱 Configuração'!$C$51,'🌱 Configuração'!$B$51+142&lt;'🌱 Configuração'!$D$51,INT(('🌱 Configuração'!$B$51+142-'🌱 Configuração'!$C$51)/7)+1=1,MOD('🌱 Configuração'!$B$51+142-'🌱 Configuração'!$C$51,7)=0),"🐛 Nim 2mL/L foliar",IF(AND('🌱 Configuração'!$B$51+142&gt;='🌱 Configuração'!$C$51,'🌱 Configuração'!$B$51+142&lt;'🌱 Configuração'!$D$51,INT(('🌱 Configuração'!$B$51+142-'🌱 Configuração'!$C$51)/7)+1=2,MOD('🌱 Configuração'!$B$51+142-'🌱 Configuração'!$C$51,7)=0),"🐛 Beauveria bassiana foliar",IF(AND('🌱 Configuração'!$B$51+142&gt;='🌱 Configuração'!$C$51,'🌱 Configuração'!$B$51+142&lt;'🌱 Configuração'!$D$51,INT(('🌱 Configuração'!$B$51+142-'🌱 Configuração'!$C$51)/7)+1=3,MOD('🌱 Configuração'!$B$51+142-'🌱 Configuração'!$C$51,7)=0),"🐛 Nim + Calda Sulfocálcica 1%",IF(AND('🌱 Configuração'!$B$51+142&gt;='🌱 Configuração'!$C$51,'🌱 Configuração'!$B$51+142&lt;'🌱 Configuração'!$D$51,INT(('🌱 Configuração'!$B$51+142-'🌱 Configuração'!$C$51)/7)+1=4,MOD('🌱 Configuração'!$B$51+142-'🌱 Configuração'!$C$51,7)=0),"🐛 Trichoderma solo + Beauveria",IF(AND('🌱 Configuração'!$B$51+142&gt;='🌱 Configuração'!$C$51,'🌱 Configuração'!$B$51+142&lt;'🌱 Configuração'!$D$51,INT(('🌱 Configuração'!$B$51+142-'🌱 Configuração'!$C$51)/7)+1=5,MOD('🌱 Configuração'!$B$51+142-'🌱 Configuração'!$C$51,7)=0),"🐛 Calda Bordalesa 0.5% foliar",IF(AND('🌱 Configuração'!$B$51+142&gt;='🌱 Configuração'!$C$51,'🌱 Configuração'!$B$51+142&lt;'🌱 Configuração'!$D$51,INT(('🌱 Configuração'!$B$51+142-'🌱 Configuração'!$C$51)/7)+1=6,MOD('🌱 Configuração'!$B$51+142-'🌱 Configuração'!$C$51,7)=0),"🐛 Nim 2mL/L — ÚLTIMA foliar",IF(AND('🌱 Configuração'!$B$51+142&gt;='🌱 Configuração'!$D$51,'🌱 Configuração'!$B$51+142&lt;'🌱 Configuração'!$E$51,INT(('🌱 Configuração'!$B$51+142-'🌱 Configuração'!$D$51)/7)+1=1,MOD('🌱 Configuração'!$B$51+142-'🌱 Configuração'!$D$51,7)=0),"🐛 Beauveria bassiana solo (sem foliar)",IF(AND('🌱 Configuração'!$B$51+142&gt;='🌱 Configuração'!$D$51,'🌱 Configuração'!$B$51+142&lt;'🌱 Configuração'!$E$51,INT(('🌱 Configuração'!$B$51+142-'🌱 Configuração'!$D$51)/7)+1=2,MOD('🌱 Configuração'!$B$51+142-'🌱 Configuração'!$D$51,7)=0),"🐛 Trichoderma solo",IF(AND('🌱 Configuração'!$B$51+142&gt;='🌱 Configuração'!$D$51,'🌱 Configuração'!$B$51+142&lt;'🌱 Configuração'!$E$51,INT(('🌱 Configuração'!$B$51+142-'🌱 Configuração'!$D$51)/7)+1=3,MOD('🌱 Configuração'!$B$51+142-'🌱 Configuração'!$D$51,7)=0),"🐛 Beauveria bassiana solo",IF(AND('🌱 Configuração'!$B$51+142&gt;='🌱 Configuração'!$D$51,'🌱 Configuração'!$B$51+142&lt;'🌱 Configuração'!$E$51,INT(('🌱 Configuração'!$B$51+142-'🌱 Configuração'!$D$51)/7)+1=4,MOD('🌱 Configuração'!$B$51+142-'🌱 Configuração'!$D$51,7)=0),"🐛 Trichoderma solo",IF(AND('🌱 Configuração'!$B$51+142&gt;='🌱 Configuração'!$E$51,INT(('🌱 Configuração'!$B$51+142-'🌱 Configuração'!$E$51)/7)+1=1,MOD('🌱 Configuração'!$B$51+142-'🌱 Configuração'!$E$51,7)=0),"🐛 Inspeção final — sem aplicação",""))))))))))))))</f>
        <v/>
      </c>
      <c r="H148" s="22" t="str">
        <f>IF(143&gt;'🌱 Configuração'!$F$50,"",IF('🌱 Configuração'!$B$51+142='🌱 Configuração'!$C$51,"🌿 INÍCIO VEGA — ajustar espaço, luz 18h/dia — EC 0.8",IF('🌱 Configuração'!$B$51+142='🌱 Configuração'!$D$51,"🌸 INÍCIO FLORAÇÃO — mudar para 12h/12h — 🔴 atenção ao fotoperíodo",IF('🌱 Configuração'!$B$51+142='🌱 Configuração'!$E$51,"🚿 INÍCIO FLUSH — PARAR nutrição, somente água pura",IF('🌱 Configuração'!$B$51+142='🌱 Configuração'!$F$51-1,"🔬 Véspera da colheita — analisar tricomas âmbar",IF('🌱 Configuração'!$B$51+142='🌱 Configuração'!$F$51,"✂️ COLHEITA! Parabéns! 🎉",""))))))</f>
        <v/>
      </c>
    </row>
    <row r="149" spans="2:8" ht="18.75" customHeight="1" x14ac:dyDescent="0.3">
      <c r="B149" s="25" t="str">
        <f>IF(144&lt;='🌱 Configuração'!$F$50,144,"")</f>
        <v/>
      </c>
      <c r="C149" s="26" t="str">
        <f>IF(144&lt;='🌱 Configuração'!$F$50,'🌱 Configuração'!$B$51+143,"")</f>
        <v/>
      </c>
      <c r="D149" s="27" t="str">
        <f>IF(144&gt;'🌱 Configuração'!$F$50,"",IF('🌱 Configuração'!$B$51+143&lt;'🌱 Configuração'!$C$51,"🌱 Clone",IF('🌱 Configuração'!$B$51+143&lt;'🌱 Configuração'!$D$51,"🌿 Vegetativo",IF('🌱 Configuração'!$B$51+143&lt;'🌱 Configuração'!$E$51,"🌸 Floração","🚿 Flush"))))</f>
        <v/>
      </c>
      <c r="E149" s="28" t="str">
        <f>IF(144&gt;'🌱 Configuração'!$F$50,"",IF('🌱 Configuração'!$B$51+143&lt;'🌱 Configuração'!$C$51,"Clone S"&amp;INT((144-1)/7)+1,IF('🌱 Configuração'!$B$51+143&lt;'🌱 Configuração'!$D$51,"Vega S"&amp;INT(('🌱 Configuração'!$B$51+143-'🌱 Configuração'!$C$51)/7)+1,IF('🌱 Configuração'!$B$51+143&lt;'🌱 Configuração'!$E$51,"Flora S"&amp;INT(('🌱 Configuração'!$B$51+143-'🌱 Configuração'!$D$51)/7)+1,"Flush S"&amp;INT(('🌱 Configuração'!$B$51+143-'🌱 Configuração'!$E$51)/7)+1))))</f>
        <v/>
      </c>
      <c r="F149" s="29" t="str">
        <f>IF(144&gt;'🌱 Configuração'!$F$50,"",IF(AND('🌱 Configuração'!$B$51+143&lt;'🌱 Configuração'!$C$51,INT((144-1)/7)+1=1,MOD(144-1,7)=0),"🌱 Enraizador (0.5 mL/L)",IF(AND('🌱 Configuração'!$B$51+143&lt;'🌱 Configuração'!$C$51,INT((144-1)/7)+1=2,MOD(144-1,7)=0),"🌱 Enraizador + Vitamina B1",IF(AND('🌱 Configuração'!$B$51+143&gt;='🌱 Configuração'!$C$51,'🌱 Configuração'!$B$51+143&lt;'🌱 Configuração'!$D$51,INT(('🌱 Configuração'!$B$51+143-'🌱 Configuração'!$C$51)/7)+1=1,MOD('🌱 Configuração'!$B$51+143-'🌱 Configuração'!$C$51,7)=0),"🌿 Grow A+B início — EC 0.8",IF(AND('🌱 Configuração'!$B$51+143&gt;='🌱 Configuração'!$C$51,'🌱 Configuração'!$B$51+143&lt;'🌱 Configuração'!$D$51,INT(('🌱 Configuração'!$B$51+143-'🌱 Configuração'!$C$51)/7)+1=2,MOD('🌱 Configuração'!$B$51+143-'🌱 Configuração'!$C$51,7)=0),"🌿 Grow A+B + CalMag — EC 1.0",IF(AND('🌱 Configuração'!$B$51+143&gt;='🌱 Configuração'!$C$51,'🌱 Configuração'!$B$51+143&lt;'🌱 Configuração'!$D$51,INT(('🌱 Configuração'!$B$51+143-'🌱 Configuração'!$C$51)/7)+1=3,MOD('🌱 Configuração'!$B$51+143-'🌱 Configuração'!$C$51,7)=0),"🌿 Grow A+B + CalMag — EC 1.2",IF(AND('🌱 Configuração'!$B$51+143&gt;='🌱 Configuração'!$C$51,'🌱 Configuração'!$B$51+143&lt;'🌱 Configuração'!$D$51,INT(('🌱 Configuração'!$B$51+143-'🌱 Configuração'!$C$51)/7)+1=4,MOD('🌱 Configuração'!$B$51+143-'🌱 Configuração'!$C$51,7)=0),"🌿 Grow A+B + Enzimas — EC 1.4",IF(AND('🌱 Configuração'!$B$51+143&gt;='🌱 Configuração'!$C$51,'🌱 Configuração'!$B$51+143&lt;'🌱 Configuração'!$D$51,INT(('🌱 Configuração'!$B$51+143-'🌱 Configuração'!$C$51)/7)+1=5,MOD('🌱 Configuração'!$B$51+143-'🌱 Configuração'!$C$51,7)=0),"🌿 Grow A+B + Biorrizas — EC 1.5",IF(AND('🌱 Configuração'!$B$51+143&gt;='🌱 Configuração'!$C$51,'🌱 Configuração'!$B$51+143&lt;'🌱 Configuração'!$D$51,INT(('🌱 Configuração'!$B$51+143-'🌱 Configuração'!$C$51)/7)+1=6,MOD('🌱 Configuração'!$B$51+143-'🌱 Configuração'!$C$51,7)=0),"🌿 Transição Bloom — EC 1.4",IF(AND('🌱 Configuração'!$B$51+143&gt;='🌱 Configuração'!$C$51,'🌱 Configuração'!$B$51+143&lt;'🌱 Configuração'!$D$51,INT(('🌱 Configuração'!$B$51+143-'🌱 Configuração'!$C$51)/7)+1=7,MOD('🌱 Configuração'!$B$51+143-'🌱 Configuração'!$C$51,7)=0),"🌿 Bloom A+B transição — EC 1.4",IF(AND('🌱 Configuração'!$B$51+143&gt;='🌱 Configuração'!$C$51,'🌱 Configuração'!$B$51+143&lt;'🌱 Configuração'!$D$51,INT(('🌱 Configuração'!$B$51+143-'🌱 Configuração'!$C$51)/7)+1=8,MOD('🌱 Configuração'!$B$51+143-'🌱 Configuração'!$C$51,7)=0),"🌿 Bloom A+B — EC 1.4",IF(AND('🌱 Configuração'!$B$51+143&gt;='🌱 Configuração'!$D$51,'🌱 Configuração'!$B$51+143&lt;'🌱 Configuração'!$E$51,INT(('🌱 Configuração'!$B$51+143-'🌱 Configuração'!$D$51)/7)+1=1,MOD('🌱 Configuração'!$B$51+143-'🌱 Configuração'!$D$51,7)=0),"🌸 Bloom A+B — EC 1.6",IF(AND('🌱 Configuração'!$B$51+143&gt;='🌱 Configuração'!$D$51,'🌱 Configuração'!$B$51+143&lt;'🌱 Configuração'!$E$51,INT(('🌱 Configuração'!$B$51+143-'🌱 Configuração'!$D$51)/7)+1=2,MOD('🌱 Configuração'!$B$51+143-'🌱 Configuração'!$D$51,7)=0),"🌸 Bloom + PK 13/14 início",IF(AND('🌱 Configuração'!$B$51+143&gt;='🌱 Configuração'!$D$51,'🌱 Configuração'!$B$51+143&lt;'🌱 Configuração'!$E$51,INT(('🌱 Configuração'!$B$51+143-'🌱 Configuração'!$D$51)/7)+1=3,MOD('🌱 Configuração'!$B$51+143-'🌱 Configuração'!$D$51,7)=0),"🌸 Bloom + PK + CalMag — EC 1.8",IF(AND('🌱 Configuração'!$B$51+143&gt;='🌱 Configuração'!$D$51,'🌱 Configuração'!$B$51+143&lt;'🌱 Configuração'!$E$51,INT(('🌱 Configuração'!$B$51+143-'🌱 Configuração'!$D$51)/7)+1=4,MOD('🌱 Configuração'!$B$51+143-'🌱 Configuração'!$D$51,7)=0),"🌸 Bloom + PK + Boost Floral — EC 2.0",IF(AND('🌱 Configuração'!$B$51+143&gt;='🌱 Configuração'!$D$51,'🌱 Configuração'!$B$51+143&lt;'🌱 Configuração'!$E$51,INT(('🌱 Configuração'!$B$51+143-'🌱 Configuração'!$D$51)/7)+1=5,MOD('🌱 Configuração'!$B$51+143-'🌱 Configuração'!$D$51,7)=0),"🌸 Bloom + Boost + Amino",IF(AND('🌱 Configuração'!$B$51+143&gt;='🌱 Configuração'!$D$51,'🌱 Configuração'!$B$51+143&lt;'🌱 Configuração'!$E$51,INT(('🌱 Configuração'!$B$51+143-'🌱 Configuração'!$D$51)/7)+1=6,MOD('🌱 Configuração'!$B$51+143-'🌱 Configuração'!$D$51,7)=0),"🌸 Bloom + Enzimas + Amino",IF(AND('🌱 Configuração'!$B$51+143&gt;='🌱 Configuração'!$D$51,'🌱 Configuração'!$B$51+143&lt;'🌱 Configuração'!$E$51,INT(('🌱 Configuração'!$B$51+143-'🌱 Configuração'!$D$51)/7)+1=7,MOD('🌱 Configuração'!$B$51+143-'🌱 Configuração'!$D$51,7)=0),"🌸 Reduzir N — Bloom puro — EC 1.6",IF(AND('🌱 Configuração'!$B$51+143&gt;='🌱 Configuração'!$D$51,'🌱 Configuração'!$B$51+143&lt;'🌱 Configuração'!$E$51,INT(('🌱 Configuração'!$B$51+143-'🌱 Configuração'!$D$51)/7)+1=8,MOD('🌱 Configuração'!$B$51+143-'🌱 Configuração'!$D$51,7)=0),"🌸 Bloom puro — EC 1.4  (pré-flush)",IF(AND('🌱 Configuração'!$B$51+143&gt;='🌱 Configuração'!$D$51,'🌱 Configuração'!$B$51+143&lt;'🌱 Configuração'!$E$51,INT(('🌱 Configuração'!$B$51+143-'🌱 Configuração'!$D$51)/7)+1=9,MOD('🌱 Configuração'!$B$51+143-'🌱 Configuração'!$D$51,7)=0),"🌸 Último Bloom — EC 0.8",IF(AND('🌱 Configuração'!$B$51+143&gt;='🌱 Configuração'!$E$51,INT(('🌱 Configuração'!$B$51+143-'🌱 Configuração'!$E$51)/7)+1=1,MOD('🌱 Configuração'!$B$51+143-'🌱 Configuração'!$E$51,7)=0),"🚿 Água pura + Enzimas (EC &lt; 0.3)",IF(AND('🌱 Configuração'!$B$51+143&gt;='🌱 Configuração'!$E$51,INT(('🌱 Configuração'!$B$51+143-'🌱 Configuração'!$E$51)/7)+1=2,MOD('🌱 Configuração'!$B$51+143-'🌱 Configuração'!$E$51,7)=0),"🚿 Água pura (EC &lt; 0.2)",""))))))))))))))))))))))</f>
        <v/>
      </c>
      <c r="G149" s="30" t="str">
        <f>IF(144&gt;'🌱 Configuração'!$F$50,"",IF(AND('🌱 Configuração'!$B$51+143&lt;'🌱 Configuração'!$C$51,INT((144-1)/7)+1=1,MOD(144-1,7)=0),"🐛 Nim 2mL/L foliar — preventivo",IF(AND('🌱 Configuração'!$B$51+143&lt;'🌱 Configuração'!$C$51,INT((144-1)/7)+1=2,MOD(144-1,7)=0),"🐛 Beauveria bassiana foliar + solo",IF(AND('🌱 Configuração'!$B$51+143&gt;='🌱 Configuração'!$C$51,'🌱 Configuração'!$B$51+143&lt;'🌱 Configuração'!$D$51,INT(('🌱 Configuração'!$B$51+143-'🌱 Configuração'!$C$51)/7)+1=1,MOD('🌱 Configuração'!$B$51+143-'🌱 Configuração'!$C$51,7)=0),"🐛 Nim 2mL/L foliar",IF(AND('🌱 Configuração'!$B$51+143&gt;='🌱 Configuração'!$C$51,'🌱 Configuração'!$B$51+143&lt;'🌱 Configuração'!$D$51,INT(('🌱 Configuração'!$B$51+143-'🌱 Configuração'!$C$51)/7)+1=2,MOD('🌱 Configuração'!$B$51+143-'🌱 Configuração'!$C$51,7)=0),"🐛 Beauveria bassiana foliar",IF(AND('🌱 Configuração'!$B$51+143&gt;='🌱 Configuração'!$C$51,'🌱 Configuração'!$B$51+143&lt;'🌱 Configuração'!$D$51,INT(('🌱 Configuração'!$B$51+143-'🌱 Configuração'!$C$51)/7)+1=3,MOD('🌱 Configuração'!$B$51+143-'🌱 Configuração'!$C$51,7)=0),"🐛 Nim + Calda Sulfocálcica 1%",IF(AND('🌱 Configuração'!$B$51+143&gt;='🌱 Configuração'!$C$51,'🌱 Configuração'!$B$51+143&lt;'🌱 Configuração'!$D$51,INT(('🌱 Configuração'!$B$51+143-'🌱 Configuração'!$C$51)/7)+1=4,MOD('🌱 Configuração'!$B$51+143-'🌱 Configuração'!$C$51,7)=0),"🐛 Trichoderma solo + Beauveria",IF(AND('🌱 Configuração'!$B$51+143&gt;='🌱 Configuração'!$C$51,'🌱 Configuração'!$B$51+143&lt;'🌱 Configuração'!$D$51,INT(('🌱 Configuração'!$B$51+143-'🌱 Configuração'!$C$51)/7)+1=5,MOD('🌱 Configuração'!$B$51+143-'🌱 Configuração'!$C$51,7)=0),"🐛 Calda Bordalesa 0.5% foliar",IF(AND('🌱 Configuração'!$B$51+143&gt;='🌱 Configuração'!$C$51,'🌱 Configuração'!$B$51+143&lt;'🌱 Configuração'!$D$51,INT(('🌱 Configuração'!$B$51+143-'🌱 Configuração'!$C$51)/7)+1=6,MOD('🌱 Configuração'!$B$51+143-'🌱 Configuração'!$C$51,7)=0),"🐛 Nim 2mL/L — ÚLTIMA foliar",IF(AND('🌱 Configuração'!$B$51+143&gt;='🌱 Configuração'!$D$51,'🌱 Configuração'!$B$51+143&lt;'🌱 Configuração'!$E$51,INT(('🌱 Configuração'!$B$51+143-'🌱 Configuração'!$D$51)/7)+1=1,MOD('🌱 Configuração'!$B$51+143-'🌱 Configuração'!$D$51,7)=0),"🐛 Beauveria bassiana solo (sem foliar)",IF(AND('🌱 Configuração'!$B$51+143&gt;='🌱 Configuração'!$D$51,'🌱 Configuração'!$B$51+143&lt;'🌱 Configuração'!$E$51,INT(('🌱 Configuração'!$B$51+143-'🌱 Configuração'!$D$51)/7)+1=2,MOD('🌱 Configuração'!$B$51+143-'🌱 Configuração'!$D$51,7)=0),"🐛 Trichoderma solo",IF(AND('🌱 Configuração'!$B$51+143&gt;='🌱 Configuração'!$D$51,'🌱 Configuração'!$B$51+143&lt;'🌱 Configuração'!$E$51,INT(('🌱 Configuração'!$B$51+143-'🌱 Configuração'!$D$51)/7)+1=3,MOD('🌱 Configuração'!$B$51+143-'🌱 Configuração'!$D$51,7)=0),"🐛 Beauveria bassiana solo",IF(AND('🌱 Configuração'!$B$51+143&gt;='🌱 Configuração'!$D$51,'🌱 Configuração'!$B$51+143&lt;'🌱 Configuração'!$E$51,INT(('🌱 Configuração'!$B$51+143-'🌱 Configuração'!$D$51)/7)+1=4,MOD('🌱 Configuração'!$B$51+143-'🌱 Configuração'!$D$51,7)=0),"🐛 Trichoderma solo",IF(AND('🌱 Configuração'!$B$51+143&gt;='🌱 Configuração'!$E$51,INT(('🌱 Configuração'!$B$51+143-'🌱 Configuração'!$E$51)/7)+1=1,MOD('🌱 Configuração'!$B$51+143-'🌱 Configuração'!$E$51,7)=0),"🐛 Inspeção final — sem aplicação",""))))))))))))))</f>
        <v/>
      </c>
      <c r="H149" s="22" t="str">
        <f>IF(144&gt;'🌱 Configuração'!$F$50,"",IF('🌱 Configuração'!$B$51+143='🌱 Configuração'!$C$51,"🌿 INÍCIO VEGA — ajustar espaço, luz 18h/dia — EC 0.8",IF('🌱 Configuração'!$B$51+143='🌱 Configuração'!$D$51,"🌸 INÍCIO FLORAÇÃO — mudar para 12h/12h — 🔴 atenção ao fotoperíodo",IF('🌱 Configuração'!$B$51+143='🌱 Configuração'!$E$51,"🚿 INÍCIO FLUSH — PARAR nutrição, somente água pura",IF('🌱 Configuração'!$B$51+143='🌱 Configuração'!$F$51-1,"🔬 Véspera da colheita — analisar tricomas âmbar",IF('🌱 Configuração'!$B$51+143='🌱 Configuração'!$F$51,"✂️ COLHEITA! Parabéns! 🎉",""))))))</f>
        <v/>
      </c>
    </row>
    <row r="150" spans="2:8" ht="18.75" customHeight="1" x14ac:dyDescent="0.3">
      <c r="B150" s="25" t="str">
        <f>IF(145&lt;='🌱 Configuração'!$F$50,145,"")</f>
        <v/>
      </c>
      <c r="C150" s="26" t="str">
        <f>IF(145&lt;='🌱 Configuração'!$F$50,'🌱 Configuração'!$B$51+144,"")</f>
        <v/>
      </c>
      <c r="D150" s="27" t="str">
        <f>IF(145&gt;'🌱 Configuração'!$F$50,"",IF('🌱 Configuração'!$B$51+144&lt;'🌱 Configuração'!$C$51,"🌱 Clone",IF('🌱 Configuração'!$B$51+144&lt;'🌱 Configuração'!$D$51,"🌿 Vegetativo",IF('🌱 Configuração'!$B$51+144&lt;'🌱 Configuração'!$E$51,"🌸 Floração","🚿 Flush"))))</f>
        <v/>
      </c>
      <c r="E150" s="28" t="str">
        <f>IF(145&gt;'🌱 Configuração'!$F$50,"",IF('🌱 Configuração'!$B$51+144&lt;'🌱 Configuração'!$C$51,"Clone S"&amp;INT((145-1)/7)+1,IF('🌱 Configuração'!$B$51+144&lt;'🌱 Configuração'!$D$51,"Vega S"&amp;INT(('🌱 Configuração'!$B$51+144-'🌱 Configuração'!$C$51)/7)+1,IF('🌱 Configuração'!$B$51+144&lt;'🌱 Configuração'!$E$51,"Flora S"&amp;INT(('🌱 Configuração'!$B$51+144-'🌱 Configuração'!$D$51)/7)+1,"Flush S"&amp;INT(('🌱 Configuração'!$B$51+144-'🌱 Configuração'!$E$51)/7)+1))))</f>
        <v/>
      </c>
      <c r="F150" s="29" t="str">
        <f>IF(145&gt;'🌱 Configuração'!$F$50,"",IF(AND('🌱 Configuração'!$B$51+144&lt;'🌱 Configuração'!$C$51,INT((145-1)/7)+1=1,MOD(145-1,7)=0),"🌱 Enraizador (0.5 mL/L)",IF(AND('🌱 Configuração'!$B$51+144&lt;'🌱 Configuração'!$C$51,INT((145-1)/7)+1=2,MOD(145-1,7)=0),"🌱 Enraizador + Vitamina B1",IF(AND('🌱 Configuração'!$B$51+144&gt;='🌱 Configuração'!$C$51,'🌱 Configuração'!$B$51+144&lt;'🌱 Configuração'!$D$51,INT(('🌱 Configuração'!$B$51+144-'🌱 Configuração'!$C$51)/7)+1=1,MOD('🌱 Configuração'!$B$51+144-'🌱 Configuração'!$C$51,7)=0),"🌿 Grow A+B início — EC 0.8",IF(AND('🌱 Configuração'!$B$51+144&gt;='🌱 Configuração'!$C$51,'🌱 Configuração'!$B$51+144&lt;'🌱 Configuração'!$D$51,INT(('🌱 Configuração'!$B$51+144-'🌱 Configuração'!$C$51)/7)+1=2,MOD('🌱 Configuração'!$B$51+144-'🌱 Configuração'!$C$51,7)=0),"🌿 Grow A+B + CalMag — EC 1.0",IF(AND('🌱 Configuração'!$B$51+144&gt;='🌱 Configuração'!$C$51,'🌱 Configuração'!$B$51+144&lt;'🌱 Configuração'!$D$51,INT(('🌱 Configuração'!$B$51+144-'🌱 Configuração'!$C$51)/7)+1=3,MOD('🌱 Configuração'!$B$51+144-'🌱 Configuração'!$C$51,7)=0),"🌿 Grow A+B + CalMag — EC 1.2",IF(AND('🌱 Configuração'!$B$51+144&gt;='🌱 Configuração'!$C$51,'🌱 Configuração'!$B$51+144&lt;'🌱 Configuração'!$D$51,INT(('🌱 Configuração'!$B$51+144-'🌱 Configuração'!$C$51)/7)+1=4,MOD('🌱 Configuração'!$B$51+144-'🌱 Configuração'!$C$51,7)=0),"🌿 Grow A+B + Enzimas — EC 1.4",IF(AND('🌱 Configuração'!$B$51+144&gt;='🌱 Configuração'!$C$51,'🌱 Configuração'!$B$51+144&lt;'🌱 Configuração'!$D$51,INT(('🌱 Configuração'!$B$51+144-'🌱 Configuração'!$C$51)/7)+1=5,MOD('🌱 Configuração'!$B$51+144-'🌱 Configuração'!$C$51,7)=0),"🌿 Grow A+B + Biorrizas — EC 1.5",IF(AND('🌱 Configuração'!$B$51+144&gt;='🌱 Configuração'!$C$51,'🌱 Configuração'!$B$51+144&lt;'🌱 Configuração'!$D$51,INT(('🌱 Configuração'!$B$51+144-'🌱 Configuração'!$C$51)/7)+1=6,MOD('🌱 Configuração'!$B$51+144-'🌱 Configuração'!$C$51,7)=0),"🌿 Transição Bloom — EC 1.4",IF(AND('🌱 Configuração'!$B$51+144&gt;='🌱 Configuração'!$C$51,'🌱 Configuração'!$B$51+144&lt;'🌱 Configuração'!$D$51,INT(('🌱 Configuração'!$B$51+144-'🌱 Configuração'!$C$51)/7)+1=7,MOD('🌱 Configuração'!$B$51+144-'🌱 Configuração'!$C$51,7)=0),"🌿 Bloom A+B transição — EC 1.4",IF(AND('🌱 Configuração'!$B$51+144&gt;='🌱 Configuração'!$C$51,'🌱 Configuração'!$B$51+144&lt;'🌱 Configuração'!$D$51,INT(('🌱 Configuração'!$B$51+144-'🌱 Configuração'!$C$51)/7)+1=8,MOD('🌱 Configuração'!$B$51+144-'🌱 Configuração'!$C$51,7)=0),"🌿 Bloom A+B — EC 1.4",IF(AND('🌱 Configuração'!$B$51+144&gt;='🌱 Configuração'!$D$51,'🌱 Configuração'!$B$51+144&lt;'🌱 Configuração'!$E$51,INT(('🌱 Configuração'!$B$51+144-'🌱 Configuração'!$D$51)/7)+1=1,MOD('🌱 Configuração'!$B$51+144-'🌱 Configuração'!$D$51,7)=0),"🌸 Bloom A+B — EC 1.6",IF(AND('🌱 Configuração'!$B$51+144&gt;='🌱 Configuração'!$D$51,'🌱 Configuração'!$B$51+144&lt;'🌱 Configuração'!$E$51,INT(('🌱 Configuração'!$B$51+144-'🌱 Configuração'!$D$51)/7)+1=2,MOD('🌱 Configuração'!$B$51+144-'🌱 Configuração'!$D$51,7)=0),"🌸 Bloom + PK 13/14 início",IF(AND('🌱 Configuração'!$B$51+144&gt;='🌱 Configuração'!$D$51,'🌱 Configuração'!$B$51+144&lt;'🌱 Configuração'!$E$51,INT(('🌱 Configuração'!$B$51+144-'🌱 Configuração'!$D$51)/7)+1=3,MOD('🌱 Configuração'!$B$51+144-'🌱 Configuração'!$D$51,7)=0),"🌸 Bloom + PK + CalMag — EC 1.8",IF(AND('🌱 Configuração'!$B$51+144&gt;='🌱 Configuração'!$D$51,'🌱 Configuração'!$B$51+144&lt;'🌱 Configuração'!$E$51,INT(('🌱 Configuração'!$B$51+144-'🌱 Configuração'!$D$51)/7)+1=4,MOD('🌱 Configuração'!$B$51+144-'🌱 Configuração'!$D$51,7)=0),"🌸 Bloom + PK + Boost Floral — EC 2.0",IF(AND('🌱 Configuração'!$B$51+144&gt;='🌱 Configuração'!$D$51,'🌱 Configuração'!$B$51+144&lt;'🌱 Configuração'!$E$51,INT(('🌱 Configuração'!$B$51+144-'🌱 Configuração'!$D$51)/7)+1=5,MOD('🌱 Configuração'!$B$51+144-'🌱 Configuração'!$D$51,7)=0),"🌸 Bloom + Boost + Amino",IF(AND('🌱 Configuração'!$B$51+144&gt;='🌱 Configuração'!$D$51,'🌱 Configuração'!$B$51+144&lt;'🌱 Configuração'!$E$51,INT(('🌱 Configuração'!$B$51+144-'🌱 Configuração'!$D$51)/7)+1=6,MOD('🌱 Configuração'!$B$51+144-'🌱 Configuração'!$D$51,7)=0),"🌸 Bloom + Enzimas + Amino",IF(AND('🌱 Configuração'!$B$51+144&gt;='🌱 Configuração'!$D$51,'🌱 Configuração'!$B$51+144&lt;'🌱 Configuração'!$E$51,INT(('🌱 Configuração'!$B$51+144-'🌱 Configuração'!$D$51)/7)+1=7,MOD('🌱 Configuração'!$B$51+144-'🌱 Configuração'!$D$51,7)=0),"🌸 Reduzir N — Bloom puro — EC 1.6",IF(AND('🌱 Configuração'!$B$51+144&gt;='🌱 Configuração'!$D$51,'🌱 Configuração'!$B$51+144&lt;'🌱 Configuração'!$E$51,INT(('🌱 Configuração'!$B$51+144-'🌱 Configuração'!$D$51)/7)+1=8,MOD('🌱 Configuração'!$B$51+144-'🌱 Configuração'!$D$51,7)=0),"🌸 Bloom puro — EC 1.4  (pré-flush)",IF(AND('🌱 Configuração'!$B$51+144&gt;='🌱 Configuração'!$D$51,'🌱 Configuração'!$B$51+144&lt;'🌱 Configuração'!$E$51,INT(('🌱 Configuração'!$B$51+144-'🌱 Configuração'!$D$51)/7)+1=9,MOD('🌱 Configuração'!$B$51+144-'🌱 Configuração'!$D$51,7)=0),"🌸 Último Bloom — EC 0.8",IF(AND('🌱 Configuração'!$B$51+144&gt;='🌱 Configuração'!$E$51,INT(('🌱 Configuração'!$B$51+144-'🌱 Configuração'!$E$51)/7)+1=1,MOD('🌱 Configuração'!$B$51+144-'🌱 Configuração'!$E$51,7)=0),"🚿 Água pura + Enzimas (EC &lt; 0.3)",IF(AND('🌱 Configuração'!$B$51+144&gt;='🌱 Configuração'!$E$51,INT(('🌱 Configuração'!$B$51+144-'🌱 Configuração'!$E$51)/7)+1=2,MOD('🌱 Configuração'!$B$51+144-'🌱 Configuração'!$E$51,7)=0),"🚿 Água pura (EC &lt; 0.2)",""))))))))))))))))))))))</f>
        <v/>
      </c>
      <c r="G150" s="30" t="str">
        <f>IF(145&gt;'🌱 Configuração'!$F$50,"",IF(AND('🌱 Configuração'!$B$51+144&lt;'🌱 Configuração'!$C$51,INT((145-1)/7)+1=1,MOD(145-1,7)=0),"🐛 Nim 2mL/L foliar — preventivo",IF(AND('🌱 Configuração'!$B$51+144&lt;'🌱 Configuração'!$C$51,INT((145-1)/7)+1=2,MOD(145-1,7)=0),"🐛 Beauveria bassiana foliar + solo",IF(AND('🌱 Configuração'!$B$51+144&gt;='🌱 Configuração'!$C$51,'🌱 Configuração'!$B$51+144&lt;'🌱 Configuração'!$D$51,INT(('🌱 Configuração'!$B$51+144-'🌱 Configuração'!$C$51)/7)+1=1,MOD('🌱 Configuração'!$B$51+144-'🌱 Configuração'!$C$51,7)=0),"🐛 Nim 2mL/L foliar",IF(AND('🌱 Configuração'!$B$51+144&gt;='🌱 Configuração'!$C$51,'🌱 Configuração'!$B$51+144&lt;'🌱 Configuração'!$D$51,INT(('🌱 Configuração'!$B$51+144-'🌱 Configuração'!$C$51)/7)+1=2,MOD('🌱 Configuração'!$B$51+144-'🌱 Configuração'!$C$51,7)=0),"🐛 Beauveria bassiana foliar",IF(AND('🌱 Configuração'!$B$51+144&gt;='🌱 Configuração'!$C$51,'🌱 Configuração'!$B$51+144&lt;'🌱 Configuração'!$D$51,INT(('🌱 Configuração'!$B$51+144-'🌱 Configuração'!$C$51)/7)+1=3,MOD('🌱 Configuração'!$B$51+144-'🌱 Configuração'!$C$51,7)=0),"🐛 Nim + Calda Sulfocálcica 1%",IF(AND('🌱 Configuração'!$B$51+144&gt;='🌱 Configuração'!$C$51,'🌱 Configuração'!$B$51+144&lt;'🌱 Configuração'!$D$51,INT(('🌱 Configuração'!$B$51+144-'🌱 Configuração'!$C$51)/7)+1=4,MOD('🌱 Configuração'!$B$51+144-'🌱 Configuração'!$C$51,7)=0),"🐛 Trichoderma solo + Beauveria",IF(AND('🌱 Configuração'!$B$51+144&gt;='🌱 Configuração'!$C$51,'🌱 Configuração'!$B$51+144&lt;'🌱 Configuração'!$D$51,INT(('🌱 Configuração'!$B$51+144-'🌱 Configuração'!$C$51)/7)+1=5,MOD('🌱 Configuração'!$B$51+144-'🌱 Configuração'!$C$51,7)=0),"🐛 Calda Bordalesa 0.5% foliar",IF(AND('🌱 Configuração'!$B$51+144&gt;='🌱 Configuração'!$C$51,'🌱 Configuração'!$B$51+144&lt;'🌱 Configuração'!$D$51,INT(('🌱 Configuração'!$B$51+144-'🌱 Configuração'!$C$51)/7)+1=6,MOD('🌱 Configuração'!$B$51+144-'🌱 Configuração'!$C$51,7)=0),"🐛 Nim 2mL/L — ÚLTIMA foliar",IF(AND('🌱 Configuração'!$B$51+144&gt;='🌱 Configuração'!$D$51,'🌱 Configuração'!$B$51+144&lt;'🌱 Configuração'!$E$51,INT(('🌱 Configuração'!$B$51+144-'🌱 Configuração'!$D$51)/7)+1=1,MOD('🌱 Configuração'!$B$51+144-'🌱 Configuração'!$D$51,7)=0),"🐛 Beauveria bassiana solo (sem foliar)",IF(AND('🌱 Configuração'!$B$51+144&gt;='🌱 Configuração'!$D$51,'🌱 Configuração'!$B$51+144&lt;'🌱 Configuração'!$E$51,INT(('🌱 Configuração'!$B$51+144-'🌱 Configuração'!$D$51)/7)+1=2,MOD('🌱 Configuração'!$B$51+144-'🌱 Configuração'!$D$51,7)=0),"🐛 Trichoderma solo",IF(AND('🌱 Configuração'!$B$51+144&gt;='🌱 Configuração'!$D$51,'🌱 Configuração'!$B$51+144&lt;'🌱 Configuração'!$E$51,INT(('🌱 Configuração'!$B$51+144-'🌱 Configuração'!$D$51)/7)+1=3,MOD('🌱 Configuração'!$B$51+144-'🌱 Configuração'!$D$51,7)=0),"🐛 Beauveria bassiana solo",IF(AND('🌱 Configuração'!$B$51+144&gt;='🌱 Configuração'!$D$51,'🌱 Configuração'!$B$51+144&lt;'🌱 Configuração'!$E$51,INT(('🌱 Configuração'!$B$51+144-'🌱 Configuração'!$D$51)/7)+1=4,MOD('🌱 Configuração'!$B$51+144-'🌱 Configuração'!$D$51,7)=0),"🐛 Trichoderma solo",IF(AND('🌱 Configuração'!$B$51+144&gt;='🌱 Configuração'!$E$51,INT(('🌱 Configuração'!$B$51+144-'🌱 Configuração'!$E$51)/7)+1=1,MOD('🌱 Configuração'!$B$51+144-'🌱 Configuração'!$E$51,7)=0),"🐛 Inspeção final — sem aplicação",""))))))))))))))</f>
        <v/>
      </c>
      <c r="H150" s="22" t="str">
        <f>IF(145&gt;'🌱 Configuração'!$F$50,"",IF('🌱 Configuração'!$B$51+144='🌱 Configuração'!$C$51,"🌿 INÍCIO VEGA — ajustar espaço, luz 18h/dia — EC 0.8",IF('🌱 Configuração'!$B$51+144='🌱 Configuração'!$D$51,"🌸 INÍCIO FLORAÇÃO — mudar para 12h/12h — 🔴 atenção ao fotoperíodo",IF('🌱 Configuração'!$B$51+144='🌱 Configuração'!$E$51,"🚿 INÍCIO FLUSH — PARAR nutrição, somente água pura",IF('🌱 Configuração'!$B$51+144='🌱 Configuração'!$F$51-1,"🔬 Véspera da colheita — analisar tricomas âmbar",IF('🌱 Configuração'!$B$51+144='🌱 Configuração'!$F$51,"✂️ COLHEITA! Parabéns! 🎉",""))))))</f>
        <v/>
      </c>
    </row>
    <row r="151" spans="2:8" ht="18.75" customHeight="1" x14ac:dyDescent="0.3">
      <c r="B151" s="25" t="str">
        <f>IF(146&lt;='🌱 Configuração'!$F$50,146,"")</f>
        <v/>
      </c>
      <c r="C151" s="26" t="str">
        <f>IF(146&lt;='🌱 Configuração'!$F$50,'🌱 Configuração'!$B$51+145,"")</f>
        <v/>
      </c>
      <c r="D151" s="27" t="str">
        <f>IF(146&gt;'🌱 Configuração'!$F$50,"",IF('🌱 Configuração'!$B$51+145&lt;'🌱 Configuração'!$C$51,"🌱 Clone",IF('🌱 Configuração'!$B$51+145&lt;'🌱 Configuração'!$D$51,"🌿 Vegetativo",IF('🌱 Configuração'!$B$51+145&lt;'🌱 Configuração'!$E$51,"🌸 Floração","🚿 Flush"))))</f>
        <v/>
      </c>
      <c r="E151" s="28" t="str">
        <f>IF(146&gt;'🌱 Configuração'!$F$50,"",IF('🌱 Configuração'!$B$51+145&lt;'🌱 Configuração'!$C$51,"Clone S"&amp;INT((146-1)/7)+1,IF('🌱 Configuração'!$B$51+145&lt;'🌱 Configuração'!$D$51,"Vega S"&amp;INT(('🌱 Configuração'!$B$51+145-'🌱 Configuração'!$C$51)/7)+1,IF('🌱 Configuração'!$B$51+145&lt;'🌱 Configuração'!$E$51,"Flora S"&amp;INT(('🌱 Configuração'!$B$51+145-'🌱 Configuração'!$D$51)/7)+1,"Flush S"&amp;INT(('🌱 Configuração'!$B$51+145-'🌱 Configuração'!$E$51)/7)+1))))</f>
        <v/>
      </c>
      <c r="F151" s="29" t="str">
        <f>IF(146&gt;'🌱 Configuração'!$F$50,"",IF(AND('🌱 Configuração'!$B$51+145&lt;'🌱 Configuração'!$C$51,INT((146-1)/7)+1=1,MOD(146-1,7)=0),"🌱 Enraizador (0.5 mL/L)",IF(AND('🌱 Configuração'!$B$51+145&lt;'🌱 Configuração'!$C$51,INT((146-1)/7)+1=2,MOD(146-1,7)=0),"🌱 Enraizador + Vitamina B1",IF(AND('🌱 Configuração'!$B$51+145&gt;='🌱 Configuração'!$C$51,'🌱 Configuração'!$B$51+145&lt;'🌱 Configuração'!$D$51,INT(('🌱 Configuração'!$B$51+145-'🌱 Configuração'!$C$51)/7)+1=1,MOD('🌱 Configuração'!$B$51+145-'🌱 Configuração'!$C$51,7)=0),"🌿 Grow A+B início — EC 0.8",IF(AND('🌱 Configuração'!$B$51+145&gt;='🌱 Configuração'!$C$51,'🌱 Configuração'!$B$51+145&lt;'🌱 Configuração'!$D$51,INT(('🌱 Configuração'!$B$51+145-'🌱 Configuração'!$C$51)/7)+1=2,MOD('🌱 Configuração'!$B$51+145-'🌱 Configuração'!$C$51,7)=0),"🌿 Grow A+B + CalMag — EC 1.0",IF(AND('🌱 Configuração'!$B$51+145&gt;='🌱 Configuração'!$C$51,'🌱 Configuração'!$B$51+145&lt;'🌱 Configuração'!$D$51,INT(('🌱 Configuração'!$B$51+145-'🌱 Configuração'!$C$51)/7)+1=3,MOD('🌱 Configuração'!$B$51+145-'🌱 Configuração'!$C$51,7)=0),"🌿 Grow A+B + CalMag — EC 1.2",IF(AND('🌱 Configuração'!$B$51+145&gt;='🌱 Configuração'!$C$51,'🌱 Configuração'!$B$51+145&lt;'🌱 Configuração'!$D$51,INT(('🌱 Configuração'!$B$51+145-'🌱 Configuração'!$C$51)/7)+1=4,MOD('🌱 Configuração'!$B$51+145-'🌱 Configuração'!$C$51,7)=0),"🌿 Grow A+B + Enzimas — EC 1.4",IF(AND('🌱 Configuração'!$B$51+145&gt;='🌱 Configuração'!$C$51,'🌱 Configuração'!$B$51+145&lt;'🌱 Configuração'!$D$51,INT(('🌱 Configuração'!$B$51+145-'🌱 Configuração'!$C$51)/7)+1=5,MOD('🌱 Configuração'!$B$51+145-'🌱 Configuração'!$C$51,7)=0),"🌿 Grow A+B + Biorrizas — EC 1.5",IF(AND('🌱 Configuração'!$B$51+145&gt;='🌱 Configuração'!$C$51,'🌱 Configuração'!$B$51+145&lt;'🌱 Configuração'!$D$51,INT(('🌱 Configuração'!$B$51+145-'🌱 Configuração'!$C$51)/7)+1=6,MOD('🌱 Configuração'!$B$51+145-'🌱 Configuração'!$C$51,7)=0),"🌿 Transição Bloom — EC 1.4",IF(AND('🌱 Configuração'!$B$51+145&gt;='🌱 Configuração'!$C$51,'🌱 Configuração'!$B$51+145&lt;'🌱 Configuração'!$D$51,INT(('🌱 Configuração'!$B$51+145-'🌱 Configuração'!$C$51)/7)+1=7,MOD('🌱 Configuração'!$B$51+145-'🌱 Configuração'!$C$51,7)=0),"🌿 Bloom A+B transição — EC 1.4",IF(AND('🌱 Configuração'!$B$51+145&gt;='🌱 Configuração'!$C$51,'🌱 Configuração'!$B$51+145&lt;'🌱 Configuração'!$D$51,INT(('🌱 Configuração'!$B$51+145-'🌱 Configuração'!$C$51)/7)+1=8,MOD('🌱 Configuração'!$B$51+145-'🌱 Configuração'!$C$51,7)=0),"🌿 Bloom A+B — EC 1.4",IF(AND('🌱 Configuração'!$B$51+145&gt;='🌱 Configuração'!$D$51,'🌱 Configuração'!$B$51+145&lt;'🌱 Configuração'!$E$51,INT(('🌱 Configuração'!$B$51+145-'🌱 Configuração'!$D$51)/7)+1=1,MOD('🌱 Configuração'!$B$51+145-'🌱 Configuração'!$D$51,7)=0),"🌸 Bloom A+B — EC 1.6",IF(AND('🌱 Configuração'!$B$51+145&gt;='🌱 Configuração'!$D$51,'🌱 Configuração'!$B$51+145&lt;'🌱 Configuração'!$E$51,INT(('🌱 Configuração'!$B$51+145-'🌱 Configuração'!$D$51)/7)+1=2,MOD('🌱 Configuração'!$B$51+145-'🌱 Configuração'!$D$51,7)=0),"🌸 Bloom + PK 13/14 início",IF(AND('🌱 Configuração'!$B$51+145&gt;='🌱 Configuração'!$D$51,'🌱 Configuração'!$B$51+145&lt;'🌱 Configuração'!$E$51,INT(('🌱 Configuração'!$B$51+145-'🌱 Configuração'!$D$51)/7)+1=3,MOD('🌱 Configuração'!$B$51+145-'🌱 Configuração'!$D$51,7)=0),"🌸 Bloom + PK + CalMag — EC 1.8",IF(AND('🌱 Configuração'!$B$51+145&gt;='🌱 Configuração'!$D$51,'🌱 Configuração'!$B$51+145&lt;'🌱 Configuração'!$E$51,INT(('🌱 Configuração'!$B$51+145-'🌱 Configuração'!$D$51)/7)+1=4,MOD('🌱 Configuração'!$B$51+145-'🌱 Configuração'!$D$51,7)=0),"🌸 Bloom + PK + Boost Floral — EC 2.0",IF(AND('🌱 Configuração'!$B$51+145&gt;='🌱 Configuração'!$D$51,'🌱 Configuração'!$B$51+145&lt;'🌱 Configuração'!$E$51,INT(('🌱 Configuração'!$B$51+145-'🌱 Configuração'!$D$51)/7)+1=5,MOD('🌱 Configuração'!$B$51+145-'🌱 Configuração'!$D$51,7)=0),"🌸 Bloom + Boost + Amino",IF(AND('🌱 Configuração'!$B$51+145&gt;='🌱 Configuração'!$D$51,'🌱 Configuração'!$B$51+145&lt;'🌱 Configuração'!$E$51,INT(('🌱 Configuração'!$B$51+145-'🌱 Configuração'!$D$51)/7)+1=6,MOD('🌱 Configuração'!$B$51+145-'🌱 Configuração'!$D$51,7)=0),"🌸 Bloom + Enzimas + Amino",IF(AND('🌱 Configuração'!$B$51+145&gt;='🌱 Configuração'!$D$51,'🌱 Configuração'!$B$51+145&lt;'🌱 Configuração'!$E$51,INT(('🌱 Configuração'!$B$51+145-'🌱 Configuração'!$D$51)/7)+1=7,MOD('🌱 Configuração'!$B$51+145-'🌱 Configuração'!$D$51,7)=0),"🌸 Reduzir N — Bloom puro — EC 1.6",IF(AND('🌱 Configuração'!$B$51+145&gt;='🌱 Configuração'!$D$51,'🌱 Configuração'!$B$51+145&lt;'🌱 Configuração'!$E$51,INT(('🌱 Configuração'!$B$51+145-'🌱 Configuração'!$D$51)/7)+1=8,MOD('🌱 Configuração'!$B$51+145-'🌱 Configuração'!$D$51,7)=0),"🌸 Bloom puro — EC 1.4  (pré-flush)",IF(AND('🌱 Configuração'!$B$51+145&gt;='🌱 Configuração'!$D$51,'🌱 Configuração'!$B$51+145&lt;'🌱 Configuração'!$E$51,INT(('🌱 Configuração'!$B$51+145-'🌱 Configuração'!$D$51)/7)+1=9,MOD('🌱 Configuração'!$B$51+145-'🌱 Configuração'!$D$51,7)=0),"🌸 Último Bloom — EC 0.8",IF(AND('🌱 Configuração'!$B$51+145&gt;='🌱 Configuração'!$E$51,INT(('🌱 Configuração'!$B$51+145-'🌱 Configuração'!$E$51)/7)+1=1,MOD('🌱 Configuração'!$B$51+145-'🌱 Configuração'!$E$51,7)=0),"🚿 Água pura + Enzimas (EC &lt; 0.3)",IF(AND('🌱 Configuração'!$B$51+145&gt;='🌱 Configuração'!$E$51,INT(('🌱 Configuração'!$B$51+145-'🌱 Configuração'!$E$51)/7)+1=2,MOD('🌱 Configuração'!$B$51+145-'🌱 Configuração'!$E$51,7)=0),"🚿 Água pura (EC &lt; 0.2)",""))))))))))))))))))))))</f>
        <v/>
      </c>
      <c r="G151" s="30" t="str">
        <f>IF(146&gt;'🌱 Configuração'!$F$50,"",IF(AND('🌱 Configuração'!$B$51+145&lt;'🌱 Configuração'!$C$51,INT((146-1)/7)+1=1,MOD(146-1,7)=0),"🐛 Nim 2mL/L foliar — preventivo",IF(AND('🌱 Configuração'!$B$51+145&lt;'🌱 Configuração'!$C$51,INT((146-1)/7)+1=2,MOD(146-1,7)=0),"🐛 Beauveria bassiana foliar + solo",IF(AND('🌱 Configuração'!$B$51+145&gt;='🌱 Configuração'!$C$51,'🌱 Configuração'!$B$51+145&lt;'🌱 Configuração'!$D$51,INT(('🌱 Configuração'!$B$51+145-'🌱 Configuração'!$C$51)/7)+1=1,MOD('🌱 Configuração'!$B$51+145-'🌱 Configuração'!$C$51,7)=0),"🐛 Nim 2mL/L foliar",IF(AND('🌱 Configuração'!$B$51+145&gt;='🌱 Configuração'!$C$51,'🌱 Configuração'!$B$51+145&lt;'🌱 Configuração'!$D$51,INT(('🌱 Configuração'!$B$51+145-'🌱 Configuração'!$C$51)/7)+1=2,MOD('🌱 Configuração'!$B$51+145-'🌱 Configuração'!$C$51,7)=0),"🐛 Beauveria bassiana foliar",IF(AND('🌱 Configuração'!$B$51+145&gt;='🌱 Configuração'!$C$51,'🌱 Configuração'!$B$51+145&lt;'🌱 Configuração'!$D$51,INT(('🌱 Configuração'!$B$51+145-'🌱 Configuração'!$C$51)/7)+1=3,MOD('🌱 Configuração'!$B$51+145-'🌱 Configuração'!$C$51,7)=0),"🐛 Nim + Calda Sulfocálcica 1%",IF(AND('🌱 Configuração'!$B$51+145&gt;='🌱 Configuração'!$C$51,'🌱 Configuração'!$B$51+145&lt;'🌱 Configuração'!$D$51,INT(('🌱 Configuração'!$B$51+145-'🌱 Configuração'!$C$51)/7)+1=4,MOD('🌱 Configuração'!$B$51+145-'🌱 Configuração'!$C$51,7)=0),"🐛 Trichoderma solo + Beauveria",IF(AND('🌱 Configuração'!$B$51+145&gt;='🌱 Configuração'!$C$51,'🌱 Configuração'!$B$51+145&lt;'🌱 Configuração'!$D$51,INT(('🌱 Configuração'!$B$51+145-'🌱 Configuração'!$C$51)/7)+1=5,MOD('🌱 Configuração'!$B$51+145-'🌱 Configuração'!$C$51,7)=0),"🐛 Calda Bordalesa 0.5% foliar",IF(AND('🌱 Configuração'!$B$51+145&gt;='🌱 Configuração'!$C$51,'🌱 Configuração'!$B$51+145&lt;'🌱 Configuração'!$D$51,INT(('🌱 Configuração'!$B$51+145-'🌱 Configuração'!$C$51)/7)+1=6,MOD('🌱 Configuração'!$B$51+145-'🌱 Configuração'!$C$51,7)=0),"🐛 Nim 2mL/L — ÚLTIMA foliar",IF(AND('🌱 Configuração'!$B$51+145&gt;='🌱 Configuração'!$D$51,'🌱 Configuração'!$B$51+145&lt;'🌱 Configuração'!$E$51,INT(('🌱 Configuração'!$B$51+145-'🌱 Configuração'!$D$51)/7)+1=1,MOD('🌱 Configuração'!$B$51+145-'🌱 Configuração'!$D$51,7)=0),"🐛 Beauveria bassiana solo (sem foliar)",IF(AND('🌱 Configuração'!$B$51+145&gt;='🌱 Configuração'!$D$51,'🌱 Configuração'!$B$51+145&lt;'🌱 Configuração'!$E$51,INT(('🌱 Configuração'!$B$51+145-'🌱 Configuração'!$D$51)/7)+1=2,MOD('🌱 Configuração'!$B$51+145-'🌱 Configuração'!$D$51,7)=0),"🐛 Trichoderma solo",IF(AND('🌱 Configuração'!$B$51+145&gt;='🌱 Configuração'!$D$51,'🌱 Configuração'!$B$51+145&lt;'🌱 Configuração'!$E$51,INT(('🌱 Configuração'!$B$51+145-'🌱 Configuração'!$D$51)/7)+1=3,MOD('🌱 Configuração'!$B$51+145-'🌱 Configuração'!$D$51,7)=0),"🐛 Beauveria bassiana solo",IF(AND('🌱 Configuração'!$B$51+145&gt;='🌱 Configuração'!$D$51,'🌱 Configuração'!$B$51+145&lt;'🌱 Configuração'!$E$51,INT(('🌱 Configuração'!$B$51+145-'🌱 Configuração'!$D$51)/7)+1=4,MOD('🌱 Configuração'!$B$51+145-'🌱 Configuração'!$D$51,7)=0),"🐛 Trichoderma solo",IF(AND('🌱 Configuração'!$B$51+145&gt;='🌱 Configuração'!$E$51,INT(('🌱 Configuração'!$B$51+145-'🌱 Configuração'!$E$51)/7)+1=1,MOD('🌱 Configuração'!$B$51+145-'🌱 Configuração'!$E$51,7)=0),"🐛 Inspeção final — sem aplicação",""))))))))))))))</f>
        <v/>
      </c>
      <c r="H151" s="22" t="str">
        <f>IF(146&gt;'🌱 Configuração'!$F$50,"",IF('🌱 Configuração'!$B$51+145='🌱 Configuração'!$C$51,"🌿 INÍCIO VEGA — ajustar espaço, luz 18h/dia — EC 0.8",IF('🌱 Configuração'!$B$51+145='🌱 Configuração'!$D$51,"🌸 INÍCIO FLORAÇÃO — mudar para 12h/12h — 🔴 atenção ao fotoperíodo",IF('🌱 Configuração'!$B$51+145='🌱 Configuração'!$E$51,"🚿 INÍCIO FLUSH — PARAR nutrição, somente água pura",IF('🌱 Configuração'!$B$51+145='🌱 Configuração'!$F$51-1,"🔬 Véspera da colheita — analisar tricomas âmbar",IF('🌱 Configuração'!$B$51+145='🌱 Configuração'!$F$51,"✂️ COLHEITA! Parabéns! 🎉",""))))))</f>
        <v/>
      </c>
    </row>
    <row r="152" spans="2:8" ht="18.75" customHeight="1" x14ac:dyDescent="0.3">
      <c r="B152" s="25" t="str">
        <f>IF(147&lt;='🌱 Configuração'!$F$50,147,"")</f>
        <v/>
      </c>
      <c r="C152" s="26" t="str">
        <f>IF(147&lt;='🌱 Configuração'!$F$50,'🌱 Configuração'!$B$51+146,"")</f>
        <v/>
      </c>
      <c r="D152" s="27" t="str">
        <f>IF(147&gt;'🌱 Configuração'!$F$50,"",IF('🌱 Configuração'!$B$51+146&lt;'🌱 Configuração'!$C$51,"🌱 Clone",IF('🌱 Configuração'!$B$51+146&lt;'🌱 Configuração'!$D$51,"🌿 Vegetativo",IF('🌱 Configuração'!$B$51+146&lt;'🌱 Configuração'!$E$51,"🌸 Floração","🚿 Flush"))))</f>
        <v/>
      </c>
      <c r="E152" s="28" t="str">
        <f>IF(147&gt;'🌱 Configuração'!$F$50,"",IF('🌱 Configuração'!$B$51+146&lt;'🌱 Configuração'!$C$51,"Clone S"&amp;INT((147-1)/7)+1,IF('🌱 Configuração'!$B$51+146&lt;'🌱 Configuração'!$D$51,"Vega S"&amp;INT(('🌱 Configuração'!$B$51+146-'🌱 Configuração'!$C$51)/7)+1,IF('🌱 Configuração'!$B$51+146&lt;'🌱 Configuração'!$E$51,"Flora S"&amp;INT(('🌱 Configuração'!$B$51+146-'🌱 Configuração'!$D$51)/7)+1,"Flush S"&amp;INT(('🌱 Configuração'!$B$51+146-'🌱 Configuração'!$E$51)/7)+1))))</f>
        <v/>
      </c>
      <c r="F152" s="29" t="str">
        <f>IF(147&gt;'🌱 Configuração'!$F$50,"",IF(AND('🌱 Configuração'!$B$51+146&lt;'🌱 Configuração'!$C$51,INT((147-1)/7)+1=1,MOD(147-1,7)=0),"🌱 Enraizador (0.5 mL/L)",IF(AND('🌱 Configuração'!$B$51+146&lt;'🌱 Configuração'!$C$51,INT((147-1)/7)+1=2,MOD(147-1,7)=0),"🌱 Enraizador + Vitamina B1",IF(AND('🌱 Configuração'!$B$51+146&gt;='🌱 Configuração'!$C$51,'🌱 Configuração'!$B$51+146&lt;'🌱 Configuração'!$D$51,INT(('🌱 Configuração'!$B$51+146-'🌱 Configuração'!$C$51)/7)+1=1,MOD('🌱 Configuração'!$B$51+146-'🌱 Configuração'!$C$51,7)=0),"🌿 Grow A+B início — EC 0.8",IF(AND('🌱 Configuração'!$B$51+146&gt;='🌱 Configuração'!$C$51,'🌱 Configuração'!$B$51+146&lt;'🌱 Configuração'!$D$51,INT(('🌱 Configuração'!$B$51+146-'🌱 Configuração'!$C$51)/7)+1=2,MOD('🌱 Configuração'!$B$51+146-'🌱 Configuração'!$C$51,7)=0),"🌿 Grow A+B + CalMag — EC 1.0",IF(AND('🌱 Configuração'!$B$51+146&gt;='🌱 Configuração'!$C$51,'🌱 Configuração'!$B$51+146&lt;'🌱 Configuração'!$D$51,INT(('🌱 Configuração'!$B$51+146-'🌱 Configuração'!$C$51)/7)+1=3,MOD('🌱 Configuração'!$B$51+146-'🌱 Configuração'!$C$51,7)=0),"🌿 Grow A+B + CalMag — EC 1.2",IF(AND('🌱 Configuração'!$B$51+146&gt;='🌱 Configuração'!$C$51,'🌱 Configuração'!$B$51+146&lt;'🌱 Configuração'!$D$51,INT(('🌱 Configuração'!$B$51+146-'🌱 Configuração'!$C$51)/7)+1=4,MOD('🌱 Configuração'!$B$51+146-'🌱 Configuração'!$C$51,7)=0),"🌿 Grow A+B + Enzimas — EC 1.4",IF(AND('🌱 Configuração'!$B$51+146&gt;='🌱 Configuração'!$C$51,'🌱 Configuração'!$B$51+146&lt;'🌱 Configuração'!$D$51,INT(('🌱 Configuração'!$B$51+146-'🌱 Configuração'!$C$51)/7)+1=5,MOD('🌱 Configuração'!$B$51+146-'🌱 Configuração'!$C$51,7)=0),"🌿 Grow A+B + Biorrizas — EC 1.5",IF(AND('🌱 Configuração'!$B$51+146&gt;='🌱 Configuração'!$C$51,'🌱 Configuração'!$B$51+146&lt;'🌱 Configuração'!$D$51,INT(('🌱 Configuração'!$B$51+146-'🌱 Configuração'!$C$51)/7)+1=6,MOD('🌱 Configuração'!$B$51+146-'🌱 Configuração'!$C$51,7)=0),"🌿 Transição Bloom — EC 1.4",IF(AND('🌱 Configuração'!$B$51+146&gt;='🌱 Configuração'!$C$51,'🌱 Configuração'!$B$51+146&lt;'🌱 Configuração'!$D$51,INT(('🌱 Configuração'!$B$51+146-'🌱 Configuração'!$C$51)/7)+1=7,MOD('🌱 Configuração'!$B$51+146-'🌱 Configuração'!$C$51,7)=0),"🌿 Bloom A+B transição — EC 1.4",IF(AND('🌱 Configuração'!$B$51+146&gt;='🌱 Configuração'!$C$51,'🌱 Configuração'!$B$51+146&lt;'🌱 Configuração'!$D$51,INT(('🌱 Configuração'!$B$51+146-'🌱 Configuração'!$C$51)/7)+1=8,MOD('🌱 Configuração'!$B$51+146-'🌱 Configuração'!$C$51,7)=0),"🌿 Bloom A+B — EC 1.4",IF(AND('🌱 Configuração'!$B$51+146&gt;='🌱 Configuração'!$D$51,'🌱 Configuração'!$B$51+146&lt;'🌱 Configuração'!$E$51,INT(('🌱 Configuração'!$B$51+146-'🌱 Configuração'!$D$51)/7)+1=1,MOD('🌱 Configuração'!$B$51+146-'🌱 Configuração'!$D$51,7)=0),"🌸 Bloom A+B — EC 1.6",IF(AND('🌱 Configuração'!$B$51+146&gt;='🌱 Configuração'!$D$51,'🌱 Configuração'!$B$51+146&lt;'🌱 Configuração'!$E$51,INT(('🌱 Configuração'!$B$51+146-'🌱 Configuração'!$D$51)/7)+1=2,MOD('🌱 Configuração'!$B$51+146-'🌱 Configuração'!$D$51,7)=0),"🌸 Bloom + PK 13/14 início",IF(AND('🌱 Configuração'!$B$51+146&gt;='🌱 Configuração'!$D$51,'🌱 Configuração'!$B$51+146&lt;'🌱 Configuração'!$E$51,INT(('🌱 Configuração'!$B$51+146-'🌱 Configuração'!$D$51)/7)+1=3,MOD('🌱 Configuração'!$B$51+146-'🌱 Configuração'!$D$51,7)=0),"🌸 Bloom + PK + CalMag — EC 1.8",IF(AND('🌱 Configuração'!$B$51+146&gt;='🌱 Configuração'!$D$51,'🌱 Configuração'!$B$51+146&lt;'🌱 Configuração'!$E$51,INT(('🌱 Configuração'!$B$51+146-'🌱 Configuração'!$D$51)/7)+1=4,MOD('🌱 Configuração'!$B$51+146-'🌱 Configuração'!$D$51,7)=0),"🌸 Bloom + PK + Boost Floral — EC 2.0",IF(AND('🌱 Configuração'!$B$51+146&gt;='🌱 Configuração'!$D$51,'🌱 Configuração'!$B$51+146&lt;'🌱 Configuração'!$E$51,INT(('🌱 Configuração'!$B$51+146-'🌱 Configuração'!$D$51)/7)+1=5,MOD('🌱 Configuração'!$B$51+146-'🌱 Configuração'!$D$51,7)=0),"🌸 Bloom + Boost + Amino",IF(AND('🌱 Configuração'!$B$51+146&gt;='🌱 Configuração'!$D$51,'🌱 Configuração'!$B$51+146&lt;'🌱 Configuração'!$E$51,INT(('🌱 Configuração'!$B$51+146-'🌱 Configuração'!$D$51)/7)+1=6,MOD('🌱 Configuração'!$B$51+146-'🌱 Configuração'!$D$51,7)=0),"🌸 Bloom + Enzimas + Amino",IF(AND('🌱 Configuração'!$B$51+146&gt;='🌱 Configuração'!$D$51,'🌱 Configuração'!$B$51+146&lt;'🌱 Configuração'!$E$51,INT(('🌱 Configuração'!$B$51+146-'🌱 Configuração'!$D$51)/7)+1=7,MOD('🌱 Configuração'!$B$51+146-'🌱 Configuração'!$D$51,7)=0),"🌸 Reduzir N — Bloom puro — EC 1.6",IF(AND('🌱 Configuração'!$B$51+146&gt;='🌱 Configuração'!$D$51,'🌱 Configuração'!$B$51+146&lt;'🌱 Configuração'!$E$51,INT(('🌱 Configuração'!$B$51+146-'🌱 Configuração'!$D$51)/7)+1=8,MOD('🌱 Configuração'!$B$51+146-'🌱 Configuração'!$D$51,7)=0),"🌸 Bloom puro — EC 1.4  (pré-flush)",IF(AND('🌱 Configuração'!$B$51+146&gt;='🌱 Configuração'!$D$51,'🌱 Configuração'!$B$51+146&lt;'🌱 Configuração'!$E$51,INT(('🌱 Configuração'!$B$51+146-'🌱 Configuração'!$D$51)/7)+1=9,MOD('🌱 Configuração'!$B$51+146-'🌱 Configuração'!$D$51,7)=0),"🌸 Último Bloom — EC 0.8",IF(AND('🌱 Configuração'!$B$51+146&gt;='🌱 Configuração'!$E$51,INT(('🌱 Configuração'!$B$51+146-'🌱 Configuração'!$E$51)/7)+1=1,MOD('🌱 Configuração'!$B$51+146-'🌱 Configuração'!$E$51,7)=0),"🚿 Água pura + Enzimas (EC &lt; 0.3)",IF(AND('🌱 Configuração'!$B$51+146&gt;='🌱 Configuração'!$E$51,INT(('🌱 Configuração'!$B$51+146-'🌱 Configuração'!$E$51)/7)+1=2,MOD('🌱 Configuração'!$B$51+146-'🌱 Configuração'!$E$51,7)=0),"🚿 Água pura (EC &lt; 0.2)",""))))))))))))))))))))))</f>
        <v/>
      </c>
      <c r="G152" s="30" t="str">
        <f>IF(147&gt;'🌱 Configuração'!$F$50,"",IF(AND('🌱 Configuração'!$B$51+146&lt;'🌱 Configuração'!$C$51,INT((147-1)/7)+1=1,MOD(147-1,7)=0),"🐛 Nim 2mL/L foliar — preventivo",IF(AND('🌱 Configuração'!$B$51+146&lt;'🌱 Configuração'!$C$51,INT((147-1)/7)+1=2,MOD(147-1,7)=0),"🐛 Beauveria bassiana foliar + solo",IF(AND('🌱 Configuração'!$B$51+146&gt;='🌱 Configuração'!$C$51,'🌱 Configuração'!$B$51+146&lt;'🌱 Configuração'!$D$51,INT(('🌱 Configuração'!$B$51+146-'🌱 Configuração'!$C$51)/7)+1=1,MOD('🌱 Configuração'!$B$51+146-'🌱 Configuração'!$C$51,7)=0),"🐛 Nim 2mL/L foliar",IF(AND('🌱 Configuração'!$B$51+146&gt;='🌱 Configuração'!$C$51,'🌱 Configuração'!$B$51+146&lt;'🌱 Configuração'!$D$51,INT(('🌱 Configuração'!$B$51+146-'🌱 Configuração'!$C$51)/7)+1=2,MOD('🌱 Configuração'!$B$51+146-'🌱 Configuração'!$C$51,7)=0),"🐛 Beauveria bassiana foliar",IF(AND('🌱 Configuração'!$B$51+146&gt;='🌱 Configuração'!$C$51,'🌱 Configuração'!$B$51+146&lt;'🌱 Configuração'!$D$51,INT(('🌱 Configuração'!$B$51+146-'🌱 Configuração'!$C$51)/7)+1=3,MOD('🌱 Configuração'!$B$51+146-'🌱 Configuração'!$C$51,7)=0),"🐛 Nim + Calda Sulfocálcica 1%",IF(AND('🌱 Configuração'!$B$51+146&gt;='🌱 Configuração'!$C$51,'🌱 Configuração'!$B$51+146&lt;'🌱 Configuração'!$D$51,INT(('🌱 Configuração'!$B$51+146-'🌱 Configuração'!$C$51)/7)+1=4,MOD('🌱 Configuração'!$B$51+146-'🌱 Configuração'!$C$51,7)=0),"🐛 Trichoderma solo + Beauveria",IF(AND('🌱 Configuração'!$B$51+146&gt;='🌱 Configuração'!$C$51,'🌱 Configuração'!$B$51+146&lt;'🌱 Configuração'!$D$51,INT(('🌱 Configuração'!$B$51+146-'🌱 Configuração'!$C$51)/7)+1=5,MOD('🌱 Configuração'!$B$51+146-'🌱 Configuração'!$C$51,7)=0),"🐛 Calda Bordalesa 0.5% foliar",IF(AND('🌱 Configuração'!$B$51+146&gt;='🌱 Configuração'!$C$51,'🌱 Configuração'!$B$51+146&lt;'🌱 Configuração'!$D$51,INT(('🌱 Configuração'!$B$51+146-'🌱 Configuração'!$C$51)/7)+1=6,MOD('🌱 Configuração'!$B$51+146-'🌱 Configuração'!$C$51,7)=0),"🐛 Nim 2mL/L — ÚLTIMA foliar",IF(AND('🌱 Configuração'!$B$51+146&gt;='🌱 Configuração'!$D$51,'🌱 Configuração'!$B$51+146&lt;'🌱 Configuração'!$E$51,INT(('🌱 Configuração'!$B$51+146-'🌱 Configuração'!$D$51)/7)+1=1,MOD('🌱 Configuração'!$B$51+146-'🌱 Configuração'!$D$51,7)=0),"🐛 Beauveria bassiana solo (sem foliar)",IF(AND('🌱 Configuração'!$B$51+146&gt;='🌱 Configuração'!$D$51,'🌱 Configuração'!$B$51+146&lt;'🌱 Configuração'!$E$51,INT(('🌱 Configuração'!$B$51+146-'🌱 Configuração'!$D$51)/7)+1=2,MOD('🌱 Configuração'!$B$51+146-'🌱 Configuração'!$D$51,7)=0),"🐛 Trichoderma solo",IF(AND('🌱 Configuração'!$B$51+146&gt;='🌱 Configuração'!$D$51,'🌱 Configuração'!$B$51+146&lt;'🌱 Configuração'!$E$51,INT(('🌱 Configuração'!$B$51+146-'🌱 Configuração'!$D$51)/7)+1=3,MOD('🌱 Configuração'!$B$51+146-'🌱 Configuração'!$D$51,7)=0),"🐛 Beauveria bassiana solo",IF(AND('🌱 Configuração'!$B$51+146&gt;='🌱 Configuração'!$D$51,'🌱 Configuração'!$B$51+146&lt;'🌱 Configuração'!$E$51,INT(('🌱 Configuração'!$B$51+146-'🌱 Configuração'!$D$51)/7)+1=4,MOD('🌱 Configuração'!$B$51+146-'🌱 Configuração'!$D$51,7)=0),"🐛 Trichoderma solo",IF(AND('🌱 Configuração'!$B$51+146&gt;='🌱 Configuração'!$E$51,INT(('🌱 Configuração'!$B$51+146-'🌱 Configuração'!$E$51)/7)+1=1,MOD('🌱 Configuração'!$B$51+146-'🌱 Configuração'!$E$51,7)=0),"🐛 Inspeção final — sem aplicação",""))))))))))))))</f>
        <v/>
      </c>
      <c r="H152" s="22" t="str">
        <f>IF(147&gt;'🌱 Configuração'!$F$50,"",IF('🌱 Configuração'!$B$51+146='🌱 Configuração'!$C$51,"🌿 INÍCIO VEGA — ajustar espaço, luz 18h/dia — EC 0.8",IF('🌱 Configuração'!$B$51+146='🌱 Configuração'!$D$51,"🌸 INÍCIO FLORAÇÃO — mudar para 12h/12h — 🔴 atenção ao fotoperíodo",IF('🌱 Configuração'!$B$51+146='🌱 Configuração'!$E$51,"🚿 INÍCIO FLUSH — PARAR nutrição, somente água pura",IF('🌱 Configuração'!$B$51+146='🌱 Configuração'!$F$51-1,"🔬 Véspera da colheita — analisar tricomas âmbar",IF('🌱 Configuração'!$B$51+146='🌱 Configuração'!$F$51,"✂️ COLHEITA! Parabéns! 🎉",""))))))</f>
        <v/>
      </c>
    </row>
    <row r="153" spans="2:8" ht="18.75" customHeight="1" x14ac:dyDescent="0.3">
      <c r="B153" s="25" t="str">
        <f>IF(148&lt;='🌱 Configuração'!$F$50,148,"")</f>
        <v/>
      </c>
      <c r="C153" s="26" t="str">
        <f>IF(148&lt;='🌱 Configuração'!$F$50,'🌱 Configuração'!$B$51+147,"")</f>
        <v/>
      </c>
      <c r="D153" s="27" t="str">
        <f>IF(148&gt;'🌱 Configuração'!$F$50,"",IF('🌱 Configuração'!$B$51+147&lt;'🌱 Configuração'!$C$51,"🌱 Clone",IF('🌱 Configuração'!$B$51+147&lt;'🌱 Configuração'!$D$51,"🌿 Vegetativo",IF('🌱 Configuração'!$B$51+147&lt;'🌱 Configuração'!$E$51,"🌸 Floração","🚿 Flush"))))</f>
        <v/>
      </c>
      <c r="E153" s="28" t="str">
        <f>IF(148&gt;'🌱 Configuração'!$F$50,"",IF('🌱 Configuração'!$B$51+147&lt;'🌱 Configuração'!$C$51,"Clone S"&amp;INT((148-1)/7)+1,IF('🌱 Configuração'!$B$51+147&lt;'🌱 Configuração'!$D$51,"Vega S"&amp;INT(('🌱 Configuração'!$B$51+147-'🌱 Configuração'!$C$51)/7)+1,IF('🌱 Configuração'!$B$51+147&lt;'🌱 Configuração'!$E$51,"Flora S"&amp;INT(('🌱 Configuração'!$B$51+147-'🌱 Configuração'!$D$51)/7)+1,"Flush S"&amp;INT(('🌱 Configuração'!$B$51+147-'🌱 Configuração'!$E$51)/7)+1))))</f>
        <v/>
      </c>
      <c r="F153" s="29" t="str">
        <f>IF(148&gt;'🌱 Configuração'!$F$50,"",IF(AND('🌱 Configuração'!$B$51+147&lt;'🌱 Configuração'!$C$51,INT((148-1)/7)+1=1,MOD(148-1,7)=0),"🌱 Enraizador (0.5 mL/L)",IF(AND('🌱 Configuração'!$B$51+147&lt;'🌱 Configuração'!$C$51,INT((148-1)/7)+1=2,MOD(148-1,7)=0),"🌱 Enraizador + Vitamina B1",IF(AND('🌱 Configuração'!$B$51+147&gt;='🌱 Configuração'!$C$51,'🌱 Configuração'!$B$51+147&lt;'🌱 Configuração'!$D$51,INT(('🌱 Configuração'!$B$51+147-'🌱 Configuração'!$C$51)/7)+1=1,MOD('🌱 Configuração'!$B$51+147-'🌱 Configuração'!$C$51,7)=0),"🌿 Grow A+B início — EC 0.8",IF(AND('🌱 Configuração'!$B$51+147&gt;='🌱 Configuração'!$C$51,'🌱 Configuração'!$B$51+147&lt;'🌱 Configuração'!$D$51,INT(('🌱 Configuração'!$B$51+147-'🌱 Configuração'!$C$51)/7)+1=2,MOD('🌱 Configuração'!$B$51+147-'🌱 Configuração'!$C$51,7)=0),"🌿 Grow A+B + CalMag — EC 1.0",IF(AND('🌱 Configuração'!$B$51+147&gt;='🌱 Configuração'!$C$51,'🌱 Configuração'!$B$51+147&lt;'🌱 Configuração'!$D$51,INT(('🌱 Configuração'!$B$51+147-'🌱 Configuração'!$C$51)/7)+1=3,MOD('🌱 Configuração'!$B$51+147-'🌱 Configuração'!$C$51,7)=0),"🌿 Grow A+B + CalMag — EC 1.2",IF(AND('🌱 Configuração'!$B$51+147&gt;='🌱 Configuração'!$C$51,'🌱 Configuração'!$B$51+147&lt;'🌱 Configuração'!$D$51,INT(('🌱 Configuração'!$B$51+147-'🌱 Configuração'!$C$51)/7)+1=4,MOD('🌱 Configuração'!$B$51+147-'🌱 Configuração'!$C$51,7)=0),"🌿 Grow A+B + Enzimas — EC 1.4",IF(AND('🌱 Configuração'!$B$51+147&gt;='🌱 Configuração'!$C$51,'🌱 Configuração'!$B$51+147&lt;'🌱 Configuração'!$D$51,INT(('🌱 Configuração'!$B$51+147-'🌱 Configuração'!$C$51)/7)+1=5,MOD('🌱 Configuração'!$B$51+147-'🌱 Configuração'!$C$51,7)=0),"🌿 Grow A+B + Biorrizas — EC 1.5",IF(AND('🌱 Configuração'!$B$51+147&gt;='🌱 Configuração'!$C$51,'🌱 Configuração'!$B$51+147&lt;'🌱 Configuração'!$D$51,INT(('🌱 Configuração'!$B$51+147-'🌱 Configuração'!$C$51)/7)+1=6,MOD('🌱 Configuração'!$B$51+147-'🌱 Configuração'!$C$51,7)=0),"🌿 Transição Bloom — EC 1.4",IF(AND('🌱 Configuração'!$B$51+147&gt;='🌱 Configuração'!$C$51,'🌱 Configuração'!$B$51+147&lt;'🌱 Configuração'!$D$51,INT(('🌱 Configuração'!$B$51+147-'🌱 Configuração'!$C$51)/7)+1=7,MOD('🌱 Configuração'!$B$51+147-'🌱 Configuração'!$C$51,7)=0),"🌿 Bloom A+B transição — EC 1.4",IF(AND('🌱 Configuração'!$B$51+147&gt;='🌱 Configuração'!$C$51,'🌱 Configuração'!$B$51+147&lt;'🌱 Configuração'!$D$51,INT(('🌱 Configuração'!$B$51+147-'🌱 Configuração'!$C$51)/7)+1=8,MOD('🌱 Configuração'!$B$51+147-'🌱 Configuração'!$C$51,7)=0),"🌿 Bloom A+B — EC 1.4",IF(AND('🌱 Configuração'!$B$51+147&gt;='🌱 Configuração'!$D$51,'🌱 Configuração'!$B$51+147&lt;'🌱 Configuração'!$E$51,INT(('🌱 Configuração'!$B$51+147-'🌱 Configuração'!$D$51)/7)+1=1,MOD('🌱 Configuração'!$B$51+147-'🌱 Configuração'!$D$51,7)=0),"🌸 Bloom A+B — EC 1.6",IF(AND('🌱 Configuração'!$B$51+147&gt;='🌱 Configuração'!$D$51,'🌱 Configuração'!$B$51+147&lt;'🌱 Configuração'!$E$51,INT(('🌱 Configuração'!$B$51+147-'🌱 Configuração'!$D$51)/7)+1=2,MOD('🌱 Configuração'!$B$51+147-'🌱 Configuração'!$D$51,7)=0),"🌸 Bloom + PK 13/14 início",IF(AND('🌱 Configuração'!$B$51+147&gt;='🌱 Configuração'!$D$51,'🌱 Configuração'!$B$51+147&lt;'🌱 Configuração'!$E$51,INT(('🌱 Configuração'!$B$51+147-'🌱 Configuração'!$D$51)/7)+1=3,MOD('🌱 Configuração'!$B$51+147-'🌱 Configuração'!$D$51,7)=0),"🌸 Bloom + PK + CalMag — EC 1.8",IF(AND('🌱 Configuração'!$B$51+147&gt;='🌱 Configuração'!$D$51,'🌱 Configuração'!$B$51+147&lt;'🌱 Configuração'!$E$51,INT(('🌱 Configuração'!$B$51+147-'🌱 Configuração'!$D$51)/7)+1=4,MOD('🌱 Configuração'!$B$51+147-'🌱 Configuração'!$D$51,7)=0),"🌸 Bloom + PK + Boost Floral — EC 2.0",IF(AND('🌱 Configuração'!$B$51+147&gt;='🌱 Configuração'!$D$51,'🌱 Configuração'!$B$51+147&lt;'🌱 Configuração'!$E$51,INT(('🌱 Configuração'!$B$51+147-'🌱 Configuração'!$D$51)/7)+1=5,MOD('🌱 Configuração'!$B$51+147-'🌱 Configuração'!$D$51,7)=0),"🌸 Bloom + Boost + Amino",IF(AND('🌱 Configuração'!$B$51+147&gt;='🌱 Configuração'!$D$51,'🌱 Configuração'!$B$51+147&lt;'🌱 Configuração'!$E$51,INT(('🌱 Configuração'!$B$51+147-'🌱 Configuração'!$D$51)/7)+1=6,MOD('🌱 Configuração'!$B$51+147-'🌱 Configuração'!$D$51,7)=0),"🌸 Bloom + Enzimas + Amino",IF(AND('🌱 Configuração'!$B$51+147&gt;='🌱 Configuração'!$D$51,'🌱 Configuração'!$B$51+147&lt;'🌱 Configuração'!$E$51,INT(('🌱 Configuração'!$B$51+147-'🌱 Configuração'!$D$51)/7)+1=7,MOD('🌱 Configuração'!$B$51+147-'🌱 Configuração'!$D$51,7)=0),"🌸 Reduzir N — Bloom puro — EC 1.6",IF(AND('🌱 Configuração'!$B$51+147&gt;='🌱 Configuração'!$D$51,'🌱 Configuração'!$B$51+147&lt;'🌱 Configuração'!$E$51,INT(('🌱 Configuração'!$B$51+147-'🌱 Configuração'!$D$51)/7)+1=8,MOD('🌱 Configuração'!$B$51+147-'🌱 Configuração'!$D$51,7)=0),"🌸 Bloom puro — EC 1.4  (pré-flush)",IF(AND('🌱 Configuração'!$B$51+147&gt;='🌱 Configuração'!$D$51,'🌱 Configuração'!$B$51+147&lt;'🌱 Configuração'!$E$51,INT(('🌱 Configuração'!$B$51+147-'🌱 Configuração'!$D$51)/7)+1=9,MOD('🌱 Configuração'!$B$51+147-'🌱 Configuração'!$D$51,7)=0),"🌸 Último Bloom — EC 0.8",IF(AND('🌱 Configuração'!$B$51+147&gt;='🌱 Configuração'!$E$51,INT(('🌱 Configuração'!$B$51+147-'🌱 Configuração'!$E$51)/7)+1=1,MOD('🌱 Configuração'!$B$51+147-'🌱 Configuração'!$E$51,7)=0),"🚿 Água pura + Enzimas (EC &lt; 0.3)",IF(AND('🌱 Configuração'!$B$51+147&gt;='🌱 Configuração'!$E$51,INT(('🌱 Configuração'!$B$51+147-'🌱 Configuração'!$E$51)/7)+1=2,MOD('🌱 Configuração'!$B$51+147-'🌱 Configuração'!$E$51,7)=0),"🚿 Água pura (EC &lt; 0.2)",""))))))))))))))))))))))</f>
        <v/>
      </c>
      <c r="G153" s="30" t="str">
        <f>IF(148&gt;'🌱 Configuração'!$F$50,"",IF(AND('🌱 Configuração'!$B$51+147&lt;'🌱 Configuração'!$C$51,INT((148-1)/7)+1=1,MOD(148-1,7)=0),"🐛 Nim 2mL/L foliar — preventivo",IF(AND('🌱 Configuração'!$B$51+147&lt;'🌱 Configuração'!$C$51,INT((148-1)/7)+1=2,MOD(148-1,7)=0),"🐛 Beauveria bassiana foliar + solo",IF(AND('🌱 Configuração'!$B$51+147&gt;='🌱 Configuração'!$C$51,'🌱 Configuração'!$B$51+147&lt;'🌱 Configuração'!$D$51,INT(('🌱 Configuração'!$B$51+147-'🌱 Configuração'!$C$51)/7)+1=1,MOD('🌱 Configuração'!$B$51+147-'🌱 Configuração'!$C$51,7)=0),"🐛 Nim 2mL/L foliar",IF(AND('🌱 Configuração'!$B$51+147&gt;='🌱 Configuração'!$C$51,'🌱 Configuração'!$B$51+147&lt;'🌱 Configuração'!$D$51,INT(('🌱 Configuração'!$B$51+147-'🌱 Configuração'!$C$51)/7)+1=2,MOD('🌱 Configuração'!$B$51+147-'🌱 Configuração'!$C$51,7)=0),"🐛 Beauveria bassiana foliar",IF(AND('🌱 Configuração'!$B$51+147&gt;='🌱 Configuração'!$C$51,'🌱 Configuração'!$B$51+147&lt;'🌱 Configuração'!$D$51,INT(('🌱 Configuração'!$B$51+147-'🌱 Configuração'!$C$51)/7)+1=3,MOD('🌱 Configuração'!$B$51+147-'🌱 Configuração'!$C$51,7)=0),"🐛 Nim + Calda Sulfocálcica 1%",IF(AND('🌱 Configuração'!$B$51+147&gt;='🌱 Configuração'!$C$51,'🌱 Configuração'!$B$51+147&lt;'🌱 Configuração'!$D$51,INT(('🌱 Configuração'!$B$51+147-'🌱 Configuração'!$C$51)/7)+1=4,MOD('🌱 Configuração'!$B$51+147-'🌱 Configuração'!$C$51,7)=0),"🐛 Trichoderma solo + Beauveria",IF(AND('🌱 Configuração'!$B$51+147&gt;='🌱 Configuração'!$C$51,'🌱 Configuração'!$B$51+147&lt;'🌱 Configuração'!$D$51,INT(('🌱 Configuração'!$B$51+147-'🌱 Configuração'!$C$51)/7)+1=5,MOD('🌱 Configuração'!$B$51+147-'🌱 Configuração'!$C$51,7)=0),"🐛 Calda Bordalesa 0.5% foliar",IF(AND('🌱 Configuração'!$B$51+147&gt;='🌱 Configuração'!$C$51,'🌱 Configuração'!$B$51+147&lt;'🌱 Configuração'!$D$51,INT(('🌱 Configuração'!$B$51+147-'🌱 Configuração'!$C$51)/7)+1=6,MOD('🌱 Configuração'!$B$51+147-'🌱 Configuração'!$C$51,7)=0),"🐛 Nim 2mL/L — ÚLTIMA foliar",IF(AND('🌱 Configuração'!$B$51+147&gt;='🌱 Configuração'!$D$51,'🌱 Configuração'!$B$51+147&lt;'🌱 Configuração'!$E$51,INT(('🌱 Configuração'!$B$51+147-'🌱 Configuração'!$D$51)/7)+1=1,MOD('🌱 Configuração'!$B$51+147-'🌱 Configuração'!$D$51,7)=0),"🐛 Beauveria bassiana solo (sem foliar)",IF(AND('🌱 Configuração'!$B$51+147&gt;='🌱 Configuração'!$D$51,'🌱 Configuração'!$B$51+147&lt;'🌱 Configuração'!$E$51,INT(('🌱 Configuração'!$B$51+147-'🌱 Configuração'!$D$51)/7)+1=2,MOD('🌱 Configuração'!$B$51+147-'🌱 Configuração'!$D$51,7)=0),"🐛 Trichoderma solo",IF(AND('🌱 Configuração'!$B$51+147&gt;='🌱 Configuração'!$D$51,'🌱 Configuração'!$B$51+147&lt;'🌱 Configuração'!$E$51,INT(('🌱 Configuração'!$B$51+147-'🌱 Configuração'!$D$51)/7)+1=3,MOD('🌱 Configuração'!$B$51+147-'🌱 Configuração'!$D$51,7)=0),"🐛 Beauveria bassiana solo",IF(AND('🌱 Configuração'!$B$51+147&gt;='🌱 Configuração'!$D$51,'🌱 Configuração'!$B$51+147&lt;'🌱 Configuração'!$E$51,INT(('🌱 Configuração'!$B$51+147-'🌱 Configuração'!$D$51)/7)+1=4,MOD('🌱 Configuração'!$B$51+147-'🌱 Configuração'!$D$51,7)=0),"🐛 Trichoderma solo",IF(AND('🌱 Configuração'!$B$51+147&gt;='🌱 Configuração'!$E$51,INT(('🌱 Configuração'!$B$51+147-'🌱 Configuração'!$E$51)/7)+1=1,MOD('🌱 Configuração'!$B$51+147-'🌱 Configuração'!$E$51,7)=0),"🐛 Inspeção final — sem aplicação",""))))))))))))))</f>
        <v/>
      </c>
      <c r="H153" s="22" t="str">
        <f>IF(148&gt;'🌱 Configuração'!$F$50,"",IF('🌱 Configuração'!$B$51+147='🌱 Configuração'!$C$51,"🌿 INÍCIO VEGA — ajustar espaço, luz 18h/dia — EC 0.8",IF('🌱 Configuração'!$B$51+147='🌱 Configuração'!$D$51,"🌸 INÍCIO FLORAÇÃO — mudar para 12h/12h — 🔴 atenção ao fotoperíodo",IF('🌱 Configuração'!$B$51+147='🌱 Configuração'!$E$51,"🚿 INÍCIO FLUSH — PARAR nutrição, somente água pura",IF('🌱 Configuração'!$B$51+147='🌱 Configuração'!$F$51-1,"🔬 Véspera da colheita — analisar tricomas âmbar",IF('🌱 Configuração'!$B$51+147='🌱 Configuração'!$F$51,"✂️ COLHEITA! Parabéns! 🎉",""))))))</f>
        <v/>
      </c>
    </row>
    <row r="154" spans="2:8" ht="18.75" customHeight="1" x14ac:dyDescent="0.3">
      <c r="B154" s="25" t="str">
        <f>IF(149&lt;='🌱 Configuração'!$F$50,149,"")</f>
        <v/>
      </c>
      <c r="C154" s="26" t="str">
        <f>IF(149&lt;='🌱 Configuração'!$F$50,'🌱 Configuração'!$B$51+148,"")</f>
        <v/>
      </c>
      <c r="D154" s="27" t="str">
        <f>IF(149&gt;'🌱 Configuração'!$F$50,"",IF('🌱 Configuração'!$B$51+148&lt;'🌱 Configuração'!$C$51,"🌱 Clone",IF('🌱 Configuração'!$B$51+148&lt;'🌱 Configuração'!$D$51,"🌿 Vegetativo",IF('🌱 Configuração'!$B$51+148&lt;'🌱 Configuração'!$E$51,"🌸 Floração","🚿 Flush"))))</f>
        <v/>
      </c>
      <c r="E154" s="28" t="str">
        <f>IF(149&gt;'🌱 Configuração'!$F$50,"",IF('🌱 Configuração'!$B$51+148&lt;'🌱 Configuração'!$C$51,"Clone S"&amp;INT((149-1)/7)+1,IF('🌱 Configuração'!$B$51+148&lt;'🌱 Configuração'!$D$51,"Vega S"&amp;INT(('🌱 Configuração'!$B$51+148-'🌱 Configuração'!$C$51)/7)+1,IF('🌱 Configuração'!$B$51+148&lt;'🌱 Configuração'!$E$51,"Flora S"&amp;INT(('🌱 Configuração'!$B$51+148-'🌱 Configuração'!$D$51)/7)+1,"Flush S"&amp;INT(('🌱 Configuração'!$B$51+148-'🌱 Configuração'!$E$51)/7)+1))))</f>
        <v/>
      </c>
      <c r="F154" s="29" t="str">
        <f>IF(149&gt;'🌱 Configuração'!$F$50,"",IF(AND('🌱 Configuração'!$B$51+148&lt;'🌱 Configuração'!$C$51,INT((149-1)/7)+1=1,MOD(149-1,7)=0),"🌱 Enraizador (0.5 mL/L)",IF(AND('🌱 Configuração'!$B$51+148&lt;'🌱 Configuração'!$C$51,INT((149-1)/7)+1=2,MOD(149-1,7)=0),"🌱 Enraizador + Vitamina B1",IF(AND('🌱 Configuração'!$B$51+148&gt;='🌱 Configuração'!$C$51,'🌱 Configuração'!$B$51+148&lt;'🌱 Configuração'!$D$51,INT(('🌱 Configuração'!$B$51+148-'🌱 Configuração'!$C$51)/7)+1=1,MOD('🌱 Configuração'!$B$51+148-'🌱 Configuração'!$C$51,7)=0),"🌿 Grow A+B início — EC 0.8",IF(AND('🌱 Configuração'!$B$51+148&gt;='🌱 Configuração'!$C$51,'🌱 Configuração'!$B$51+148&lt;'🌱 Configuração'!$D$51,INT(('🌱 Configuração'!$B$51+148-'🌱 Configuração'!$C$51)/7)+1=2,MOD('🌱 Configuração'!$B$51+148-'🌱 Configuração'!$C$51,7)=0),"🌿 Grow A+B + CalMag — EC 1.0",IF(AND('🌱 Configuração'!$B$51+148&gt;='🌱 Configuração'!$C$51,'🌱 Configuração'!$B$51+148&lt;'🌱 Configuração'!$D$51,INT(('🌱 Configuração'!$B$51+148-'🌱 Configuração'!$C$51)/7)+1=3,MOD('🌱 Configuração'!$B$51+148-'🌱 Configuração'!$C$51,7)=0),"🌿 Grow A+B + CalMag — EC 1.2",IF(AND('🌱 Configuração'!$B$51+148&gt;='🌱 Configuração'!$C$51,'🌱 Configuração'!$B$51+148&lt;'🌱 Configuração'!$D$51,INT(('🌱 Configuração'!$B$51+148-'🌱 Configuração'!$C$51)/7)+1=4,MOD('🌱 Configuração'!$B$51+148-'🌱 Configuração'!$C$51,7)=0),"🌿 Grow A+B + Enzimas — EC 1.4",IF(AND('🌱 Configuração'!$B$51+148&gt;='🌱 Configuração'!$C$51,'🌱 Configuração'!$B$51+148&lt;'🌱 Configuração'!$D$51,INT(('🌱 Configuração'!$B$51+148-'🌱 Configuração'!$C$51)/7)+1=5,MOD('🌱 Configuração'!$B$51+148-'🌱 Configuração'!$C$51,7)=0),"🌿 Grow A+B + Biorrizas — EC 1.5",IF(AND('🌱 Configuração'!$B$51+148&gt;='🌱 Configuração'!$C$51,'🌱 Configuração'!$B$51+148&lt;'🌱 Configuração'!$D$51,INT(('🌱 Configuração'!$B$51+148-'🌱 Configuração'!$C$51)/7)+1=6,MOD('🌱 Configuração'!$B$51+148-'🌱 Configuração'!$C$51,7)=0),"🌿 Transição Bloom — EC 1.4",IF(AND('🌱 Configuração'!$B$51+148&gt;='🌱 Configuração'!$C$51,'🌱 Configuração'!$B$51+148&lt;'🌱 Configuração'!$D$51,INT(('🌱 Configuração'!$B$51+148-'🌱 Configuração'!$C$51)/7)+1=7,MOD('🌱 Configuração'!$B$51+148-'🌱 Configuração'!$C$51,7)=0),"🌿 Bloom A+B transição — EC 1.4",IF(AND('🌱 Configuração'!$B$51+148&gt;='🌱 Configuração'!$C$51,'🌱 Configuração'!$B$51+148&lt;'🌱 Configuração'!$D$51,INT(('🌱 Configuração'!$B$51+148-'🌱 Configuração'!$C$51)/7)+1=8,MOD('🌱 Configuração'!$B$51+148-'🌱 Configuração'!$C$51,7)=0),"🌿 Bloom A+B — EC 1.4",IF(AND('🌱 Configuração'!$B$51+148&gt;='🌱 Configuração'!$D$51,'🌱 Configuração'!$B$51+148&lt;'🌱 Configuração'!$E$51,INT(('🌱 Configuração'!$B$51+148-'🌱 Configuração'!$D$51)/7)+1=1,MOD('🌱 Configuração'!$B$51+148-'🌱 Configuração'!$D$51,7)=0),"🌸 Bloom A+B — EC 1.6",IF(AND('🌱 Configuração'!$B$51+148&gt;='🌱 Configuração'!$D$51,'🌱 Configuração'!$B$51+148&lt;'🌱 Configuração'!$E$51,INT(('🌱 Configuração'!$B$51+148-'🌱 Configuração'!$D$51)/7)+1=2,MOD('🌱 Configuração'!$B$51+148-'🌱 Configuração'!$D$51,7)=0),"🌸 Bloom + PK 13/14 início",IF(AND('🌱 Configuração'!$B$51+148&gt;='🌱 Configuração'!$D$51,'🌱 Configuração'!$B$51+148&lt;'🌱 Configuração'!$E$51,INT(('🌱 Configuração'!$B$51+148-'🌱 Configuração'!$D$51)/7)+1=3,MOD('🌱 Configuração'!$B$51+148-'🌱 Configuração'!$D$51,7)=0),"🌸 Bloom + PK + CalMag — EC 1.8",IF(AND('🌱 Configuração'!$B$51+148&gt;='🌱 Configuração'!$D$51,'🌱 Configuração'!$B$51+148&lt;'🌱 Configuração'!$E$51,INT(('🌱 Configuração'!$B$51+148-'🌱 Configuração'!$D$51)/7)+1=4,MOD('🌱 Configuração'!$B$51+148-'🌱 Configuração'!$D$51,7)=0),"🌸 Bloom + PK + Boost Floral — EC 2.0",IF(AND('🌱 Configuração'!$B$51+148&gt;='🌱 Configuração'!$D$51,'🌱 Configuração'!$B$51+148&lt;'🌱 Configuração'!$E$51,INT(('🌱 Configuração'!$B$51+148-'🌱 Configuração'!$D$51)/7)+1=5,MOD('🌱 Configuração'!$B$51+148-'🌱 Configuração'!$D$51,7)=0),"🌸 Bloom + Boost + Amino",IF(AND('🌱 Configuração'!$B$51+148&gt;='🌱 Configuração'!$D$51,'🌱 Configuração'!$B$51+148&lt;'🌱 Configuração'!$E$51,INT(('🌱 Configuração'!$B$51+148-'🌱 Configuração'!$D$51)/7)+1=6,MOD('🌱 Configuração'!$B$51+148-'🌱 Configuração'!$D$51,7)=0),"🌸 Bloom + Enzimas + Amino",IF(AND('🌱 Configuração'!$B$51+148&gt;='🌱 Configuração'!$D$51,'🌱 Configuração'!$B$51+148&lt;'🌱 Configuração'!$E$51,INT(('🌱 Configuração'!$B$51+148-'🌱 Configuração'!$D$51)/7)+1=7,MOD('🌱 Configuração'!$B$51+148-'🌱 Configuração'!$D$51,7)=0),"🌸 Reduzir N — Bloom puro — EC 1.6",IF(AND('🌱 Configuração'!$B$51+148&gt;='🌱 Configuração'!$D$51,'🌱 Configuração'!$B$51+148&lt;'🌱 Configuração'!$E$51,INT(('🌱 Configuração'!$B$51+148-'🌱 Configuração'!$D$51)/7)+1=8,MOD('🌱 Configuração'!$B$51+148-'🌱 Configuração'!$D$51,7)=0),"🌸 Bloom puro — EC 1.4  (pré-flush)",IF(AND('🌱 Configuração'!$B$51+148&gt;='🌱 Configuração'!$D$51,'🌱 Configuração'!$B$51+148&lt;'🌱 Configuração'!$E$51,INT(('🌱 Configuração'!$B$51+148-'🌱 Configuração'!$D$51)/7)+1=9,MOD('🌱 Configuração'!$B$51+148-'🌱 Configuração'!$D$51,7)=0),"🌸 Último Bloom — EC 0.8",IF(AND('🌱 Configuração'!$B$51+148&gt;='🌱 Configuração'!$E$51,INT(('🌱 Configuração'!$B$51+148-'🌱 Configuração'!$E$51)/7)+1=1,MOD('🌱 Configuração'!$B$51+148-'🌱 Configuração'!$E$51,7)=0),"🚿 Água pura + Enzimas (EC &lt; 0.3)",IF(AND('🌱 Configuração'!$B$51+148&gt;='🌱 Configuração'!$E$51,INT(('🌱 Configuração'!$B$51+148-'🌱 Configuração'!$E$51)/7)+1=2,MOD('🌱 Configuração'!$B$51+148-'🌱 Configuração'!$E$51,7)=0),"🚿 Água pura (EC &lt; 0.2)",""))))))))))))))))))))))</f>
        <v/>
      </c>
      <c r="G154" s="30" t="str">
        <f>IF(149&gt;'🌱 Configuração'!$F$50,"",IF(AND('🌱 Configuração'!$B$51+148&lt;'🌱 Configuração'!$C$51,INT((149-1)/7)+1=1,MOD(149-1,7)=0),"🐛 Nim 2mL/L foliar — preventivo",IF(AND('🌱 Configuração'!$B$51+148&lt;'🌱 Configuração'!$C$51,INT((149-1)/7)+1=2,MOD(149-1,7)=0),"🐛 Beauveria bassiana foliar + solo",IF(AND('🌱 Configuração'!$B$51+148&gt;='🌱 Configuração'!$C$51,'🌱 Configuração'!$B$51+148&lt;'🌱 Configuração'!$D$51,INT(('🌱 Configuração'!$B$51+148-'🌱 Configuração'!$C$51)/7)+1=1,MOD('🌱 Configuração'!$B$51+148-'🌱 Configuração'!$C$51,7)=0),"🐛 Nim 2mL/L foliar",IF(AND('🌱 Configuração'!$B$51+148&gt;='🌱 Configuração'!$C$51,'🌱 Configuração'!$B$51+148&lt;'🌱 Configuração'!$D$51,INT(('🌱 Configuração'!$B$51+148-'🌱 Configuração'!$C$51)/7)+1=2,MOD('🌱 Configuração'!$B$51+148-'🌱 Configuração'!$C$51,7)=0),"🐛 Beauveria bassiana foliar",IF(AND('🌱 Configuração'!$B$51+148&gt;='🌱 Configuração'!$C$51,'🌱 Configuração'!$B$51+148&lt;'🌱 Configuração'!$D$51,INT(('🌱 Configuração'!$B$51+148-'🌱 Configuração'!$C$51)/7)+1=3,MOD('🌱 Configuração'!$B$51+148-'🌱 Configuração'!$C$51,7)=0),"🐛 Nim + Calda Sulfocálcica 1%",IF(AND('🌱 Configuração'!$B$51+148&gt;='🌱 Configuração'!$C$51,'🌱 Configuração'!$B$51+148&lt;'🌱 Configuração'!$D$51,INT(('🌱 Configuração'!$B$51+148-'🌱 Configuração'!$C$51)/7)+1=4,MOD('🌱 Configuração'!$B$51+148-'🌱 Configuração'!$C$51,7)=0),"🐛 Trichoderma solo + Beauveria",IF(AND('🌱 Configuração'!$B$51+148&gt;='🌱 Configuração'!$C$51,'🌱 Configuração'!$B$51+148&lt;'🌱 Configuração'!$D$51,INT(('🌱 Configuração'!$B$51+148-'🌱 Configuração'!$C$51)/7)+1=5,MOD('🌱 Configuração'!$B$51+148-'🌱 Configuração'!$C$51,7)=0),"🐛 Calda Bordalesa 0.5% foliar",IF(AND('🌱 Configuração'!$B$51+148&gt;='🌱 Configuração'!$C$51,'🌱 Configuração'!$B$51+148&lt;'🌱 Configuração'!$D$51,INT(('🌱 Configuração'!$B$51+148-'🌱 Configuração'!$C$51)/7)+1=6,MOD('🌱 Configuração'!$B$51+148-'🌱 Configuração'!$C$51,7)=0),"🐛 Nim 2mL/L — ÚLTIMA foliar",IF(AND('🌱 Configuração'!$B$51+148&gt;='🌱 Configuração'!$D$51,'🌱 Configuração'!$B$51+148&lt;'🌱 Configuração'!$E$51,INT(('🌱 Configuração'!$B$51+148-'🌱 Configuração'!$D$51)/7)+1=1,MOD('🌱 Configuração'!$B$51+148-'🌱 Configuração'!$D$51,7)=0),"🐛 Beauveria bassiana solo (sem foliar)",IF(AND('🌱 Configuração'!$B$51+148&gt;='🌱 Configuração'!$D$51,'🌱 Configuração'!$B$51+148&lt;'🌱 Configuração'!$E$51,INT(('🌱 Configuração'!$B$51+148-'🌱 Configuração'!$D$51)/7)+1=2,MOD('🌱 Configuração'!$B$51+148-'🌱 Configuração'!$D$51,7)=0),"🐛 Trichoderma solo",IF(AND('🌱 Configuração'!$B$51+148&gt;='🌱 Configuração'!$D$51,'🌱 Configuração'!$B$51+148&lt;'🌱 Configuração'!$E$51,INT(('🌱 Configuração'!$B$51+148-'🌱 Configuração'!$D$51)/7)+1=3,MOD('🌱 Configuração'!$B$51+148-'🌱 Configuração'!$D$51,7)=0),"🐛 Beauveria bassiana solo",IF(AND('🌱 Configuração'!$B$51+148&gt;='🌱 Configuração'!$D$51,'🌱 Configuração'!$B$51+148&lt;'🌱 Configuração'!$E$51,INT(('🌱 Configuração'!$B$51+148-'🌱 Configuração'!$D$51)/7)+1=4,MOD('🌱 Configuração'!$B$51+148-'🌱 Configuração'!$D$51,7)=0),"🐛 Trichoderma solo",IF(AND('🌱 Configuração'!$B$51+148&gt;='🌱 Configuração'!$E$51,INT(('🌱 Configuração'!$B$51+148-'🌱 Configuração'!$E$51)/7)+1=1,MOD('🌱 Configuração'!$B$51+148-'🌱 Configuração'!$E$51,7)=0),"🐛 Inspeção final — sem aplicação",""))))))))))))))</f>
        <v/>
      </c>
      <c r="H154" s="22" t="str">
        <f>IF(149&gt;'🌱 Configuração'!$F$50,"",IF('🌱 Configuração'!$B$51+148='🌱 Configuração'!$C$51,"🌿 INÍCIO VEGA — ajustar espaço, luz 18h/dia — EC 0.8",IF('🌱 Configuração'!$B$51+148='🌱 Configuração'!$D$51,"🌸 INÍCIO FLORAÇÃO — mudar para 12h/12h — 🔴 atenção ao fotoperíodo",IF('🌱 Configuração'!$B$51+148='🌱 Configuração'!$E$51,"🚿 INÍCIO FLUSH — PARAR nutrição, somente água pura",IF('🌱 Configuração'!$B$51+148='🌱 Configuração'!$F$51-1,"🔬 Véspera da colheita — analisar tricomas âmbar",IF('🌱 Configuração'!$B$51+148='🌱 Configuração'!$F$51,"✂️ COLHEITA! Parabéns! 🎉",""))))))</f>
        <v/>
      </c>
    </row>
    <row r="155" spans="2:8" ht="18.75" customHeight="1" x14ac:dyDescent="0.3">
      <c r="B155" s="25" t="str">
        <f>IF(150&lt;='🌱 Configuração'!$F$50,150,"")</f>
        <v/>
      </c>
      <c r="C155" s="26" t="str">
        <f>IF(150&lt;='🌱 Configuração'!$F$50,'🌱 Configuração'!$B$51+149,"")</f>
        <v/>
      </c>
      <c r="D155" s="27" t="str">
        <f>IF(150&gt;'🌱 Configuração'!$F$50,"",IF('🌱 Configuração'!$B$51+149&lt;'🌱 Configuração'!$C$51,"🌱 Clone",IF('🌱 Configuração'!$B$51+149&lt;'🌱 Configuração'!$D$51,"🌿 Vegetativo",IF('🌱 Configuração'!$B$51+149&lt;'🌱 Configuração'!$E$51,"🌸 Floração","🚿 Flush"))))</f>
        <v/>
      </c>
      <c r="E155" s="28" t="str">
        <f>IF(150&gt;'🌱 Configuração'!$F$50,"",IF('🌱 Configuração'!$B$51+149&lt;'🌱 Configuração'!$C$51,"Clone S"&amp;INT((150-1)/7)+1,IF('🌱 Configuração'!$B$51+149&lt;'🌱 Configuração'!$D$51,"Vega S"&amp;INT(('🌱 Configuração'!$B$51+149-'🌱 Configuração'!$C$51)/7)+1,IF('🌱 Configuração'!$B$51+149&lt;'🌱 Configuração'!$E$51,"Flora S"&amp;INT(('🌱 Configuração'!$B$51+149-'🌱 Configuração'!$D$51)/7)+1,"Flush S"&amp;INT(('🌱 Configuração'!$B$51+149-'🌱 Configuração'!$E$51)/7)+1))))</f>
        <v/>
      </c>
      <c r="F155" s="29" t="str">
        <f>IF(150&gt;'🌱 Configuração'!$F$50,"",IF(AND('🌱 Configuração'!$B$51+149&lt;'🌱 Configuração'!$C$51,INT((150-1)/7)+1=1,MOD(150-1,7)=0),"🌱 Enraizador (0.5 mL/L)",IF(AND('🌱 Configuração'!$B$51+149&lt;'🌱 Configuração'!$C$51,INT((150-1)/7)+1=2,MOD(150-1,7)=0),"🌱 Enraizador + Vitamina B1",IF(AND('🌱 Configuração'!$B$51+149&gt;='🌱 Configuração'!$C$51,'🌱 Configuração'!$B$51+149&lt;'🌱 Configuração'!$D$51,INT(('🌱 Configuração'!$B$51+149-'🌱 Configuração'!$C$51)/7)+1=1,MOD('🌱 Configuração'!$B$51+149-'🌱 Configuração'!$C$51,7)=0),"🌿 Grow A+B início — EC 0.8",IF(AND('🌱 Configuração'!$B$51+149&gt;='🌱 Configuração'!$C$51,'🌱 Configuração'!$B$51+149&lt;'🌱 Configuração'!$D$51,INT(('🌱 Configuração'!$B$51+149-'🌱 Configuração'!$C$51)/7)+1=2,MOD('🌱 Configuração'!$B$51+149-'🌱 Configuração'!$C$51,7)=0),"🌿 Grow A+B + CalMag — EC 1.0",IF(AND('🌱 Configuração'!$B$51+149&gt;='🌱 Configuração'!$C$51,'🌱 Configuração'!$B$51+149&lt;'🌱 Configuração'!$D$51,INT(('🌱 Configuração'!$B$51+149-'🌱 Configuração'!$C$51)/7)+1=3,MOD('🌱 Configuração'!$B$51+149-'🌱 Configuração'!$C$51,7)=0),"🌿 Grow A+B + CalMag — EC 1.2",IF(AND('🌱 Configuração'!$B$51+149&gt;='🌱 Configuração'!$C$51,'🌱 Configuração'!$B$51+149&lt;'🌱 Configuração'!$D$51,INT(('🌱 Configuração'!$B$51+149-'🌱 Configuração'!$C$51)/7)+1=4,MOD('🌱 Configuração'!$B$51+149-'🌱 Configuração'!$C$51,7)=0),"🌿 Grow A+B + Enzimas — EC 1.4",IF(AND('🌱 Configuração'!$B$51+149&gt;='🌱 Configuração'!$C$51,'🌱 Configuração'!$B$51+149&lt;'🌱 Configuração'!$D$51,INT(('🌱 Configuração'!$B$51+149-'🌱 Configuração'!$C$51)/7)+1=5,MOD('🌱 Configuração'!$B$51+149-'🌱 Configuração'!$C$51,7)=0),"🌿 Grow A+B + Biorrizas — EC 1.5",IF(AND('🌱 Configuração'!$B$51+149&gt;='🌱 Configuração'!$C$51,'🌱 Configuração'!$B$51+149&lt;'🌱 Configuração'!$D$51,INT(('🌱 Configuração'!$B$51+149-'🌱 Configuração'!$C$51)/7)+1=6,MOD('🌱 Configuração'!$B$51+149-'🌱 Configuração'!$C$51,7)=0),"🌿 Transição Bloom — EC 1.4",IF(AND('🌱 Configuração'!$B$51+149&gt;='🌱 Configuração'!$C$51,'🌱 Configuração'!$B$51+149&lt;'🌱 Configuração'!$D$51,INT(('🌱 Configuração'!$B$51+149-'🌱 Configuração'!$C$51)/7)+1=7,MOD('🌱 Configuração'!$B$51+149-'🌱 Configuração'!$C$51,7)=0),"🌿 Bloom A+B transição — EC 1.4",IF(AND('🌱 Configuração'!$B$51+149&gt;='🌱 Configuração'!$C$51,'🌱 Configuração'!$B$51+149&lt;'🌱 Configuração'!$D$51,INT(('🌱 Configuração'!$B$51+149-'🌱 Configuração'!$C$51)/7)+1=8,MOD('🌱 Configuração'!$B$51+149-'🌱 Configuração'!$C$51,7)=0),"🌿 Bloom A+B — EC 1.4",IF(AND('🌱 Configuração'!$B$51+149&gt;='🌱 Configuração'!$D$51,'🌱 Configuração'!$B$51+149&lt;'🌱 Configuração'!$E$51,INT(('🌱 Configuração'!$B$51+149-'🌱 Configuração'!$D$51)/7)+1=1,MOD('🌱 Configuração'!$B$51+149-'🌱 Configuração'!$D$51,7)=0),"🌸 Bloom A+B — EC 1.6",IF(AND('🌱 Configuração'!$B$51+149&gt;='🌱 Configuração'!$D$51,'🌱 Configuração'!$B$51+149&lt;'🌱 Configuração'!$E$51,INT(('🌱 Configuração'!$B$51+149-'🌱 Configuração'!$D$51)/7)+1=2,MOD('🌱 Configuração'!$B$51+149-'🌱 Configuração'!$D$51,7)=0),"🌸 Bloom + PK 13/14 início",IF(AND('🌱 Configuração'!$B$51+149&gt;='🌱 Configuração'!$D$51,'🌱 Configuração'!$B$51+149&lt;'🌱 Configuração'!$E$51,INT(('🌱 Configuração'!$B$51+149-'🌱 Configuração'!$D$51)/7)+1=3,MOD('🌱 Configuração'!$B$51+149-'🌱 Configuração'!$D$51,7)=0),"🌸 Bloom + PK + CalMag — EC 1.8",IF(AND('🌱 Configuração'!$B$51+149&gt;='🌱 Configuração'!$D$51,'🌱 Configuração'!$B$51+149&lt;'🌱 Configuração'!$E$51,INT(('🌱 Configuração'!$B$51+149-'🌱 Configuração'!$D$51)/7)+1=4,MOD('🌱 Configuração'!$B$51+149-'🌱 Configuração'!$D$51,7)=0),"🌸 Bloom + PK + Boost Floral — EC 2.0",IF(AND('🌱 Configuração'!$B$51+149&gt;='🌱 Configuração'!$D$51,'🌱 Configuração'!$B$51+149&lt;'🌱 Configuração'!$E$51,INT(('🌱 Configuração'!$B$51+149-'🌱 Configuração'!$D$51)/7)+1=5,MOD('🌱 Configuração'!$B$51+149-'🌱 Configuração'!$D$51,7)=0),"🌸 Bloom + Boost + Amino",IF(AND('🌱 Configuração'!$B$51+149&gt;='🌱 Configuração'!$D$51,'🌱 Configuração'!$B$51+149&lt;'🌱 Configuração'!$E$51,INT(('🌱 Configuração'!$B$51+149-'🌱 Configuração'!$D$51)/7)+1=6,MOD('🌱 Configuração'!$B$51+149-'🌱 Configuração'!$D$51,7)=0),"🌸 Bloom + Enzimas + Amino",IF(AND('🌱 Configuração'!$B$51+149&gt;='🌱 Configuração'!$D$51,'🌱 Configuração'!$B$51+149&lt;'🌱 Configuração'!$E$51,INT(('🌱 Configuração'!$B$51+149-'🌱 Configuração'!$D$51)/7)+1=7,MOD('🌱 Configuração'!$B$51+149-'🌱 Configuração'!$D$51,7)=0),"🌸 Reduzir N — Bloom puro — EC 1.6",IF(AND('🌱 Configuração'!$B$51+149&gt;='🌱 Configuração'!$D$51,'🌱 Configuração'!$B$51+149&lt;'🌱 Configuração'!$E$51,INT(('🌱 Configuração'!$B$51+149-'🌱 Configuração'!$D$51)/7)+1=8,MOD('🌱 Configuração'!$B$51+149-'🌱 Configuração'!$D$51,7)=0),"🌸 Bloom puro — EC 1.4  (pré-flush)",IF(AND('🌱 Configuração'!$B$51+149&gt;='🌱 Configuração'!$D$51,'🌱 Configuração'!$B$51+149&lt;'🌱 Configuração'!$E$51,INT(('🌱 Configuração'!$B$51+149-'🌱 Configuração'!$D$51)/7)+1=9,MOD('🌱 Configuração'!$B$51+149-'🌱 Configuração'!$D$51,7)=0),"🌸 Último Bloom — EC 0.8",IF(AND('🌱 Configuração'!$B$51+149&gt;='🌱 Configuração'!$E$51,INT(('🌱 Configuração'!$B$51+149-'🌱 Configuração'!$E$51)/7)+1=1,MOD('🌱 Configuração'!$B$51+149-'🌱 Configuração'!$E$51,7)=0),"🚿 Água pura + Enzimas (EC &lt; 0.3)",IF(AND('🌱 Configuração'!$B$51+149&gt;='🌱 Configuração'!$E$51,INT(('🌱 Configuração'!$B$51+149-'🌱 Configuração'!$E$51)/7)+1=2,MOD('🌱 Configuração'!$B$51+149-'🌱 Configuração'!$E$51,7)=0),"🚿 Água pura (EC &lt; 0.2)",""))))))))))))))))))))))</f>
        <v/>
      </c>
      <c r="G155" s="30" t="str">
        <f>IF(150&gt;'🌱 Configuração'!$F$50,"",IF(AND('🌱 Configuração'!$B$51+149&lt;'🌱 Configuração'!$C$51,INT((150-1)/7)+1=1,MOD(150-1,7)=0),"🐛 Nim 2mL/L foliar — preventivo",IF(AND('🌱 Configuração'!$B$51+149&lt;'🌱 Configuração'!$C$51,INT((150-1)/7)+1=2,MOD(150-1,7)=0),"🐛 Beauveria bassiana foliar + solo",IF(AND('🌱 Configuração'!$B$51+149&gt;='🌱 Configuração'!$C$51,'🌱 Configuração'!$B$51+149&lt;'🌱 Configuração'!$D$51,INT(('🌱 Configuração'!$B$51+149-'🌱 Configuração'!$C$51)/7)+1=1,MOD('🌱 Configuração'!$B$51+149-'🌱 Configuração'!$C$51,7)=0),"🐛 Nim 2mL/L foliar",IF(AND('🌱 Configuração'!$B$51+149&gt;='🌱 Configuração'!$C$51,'🌱 Configuração'!$B$51+149&lt;'🌱 Configuração'!$D$51,INT(('🌱 Configuração'!$B$51+149-'🌱 Configuração'!$C$51)/7)+1=2,MOD('🌱 Configuração'!$B$51+149-'🌱 Configuração'!$C$51,7)=0),"🐛 Beauveria bassiana foliar",IF(AND('🌱 Configuração'!$B$51+149&gt;='🌱 Configuração'!$C$51,'🌱 Configuração'!$B$51+149&lt;'🌱 Configuração'!$D$51,INT(('🌱 Configuração'!$B$51+149-'🌱 Configuração'!$C$51)/7)+1=3,MOD('🌱 Configuração'!$B$51+149-'🌱 Configuração'!$C$51,7)=0),"🐛 Nim + Calda Sulfocálcica 1%",IF(AND('🌱 Configuração'!$B$51+149&gt;='🌱 Configuração'!$C$51,'🌱 Configuração'!$B$51+149&lt;'🌱 Configuração'!$D$51,INT(('🌱 Configuração'!$B$51+149-'🌱 Configuração'!$C$51)/7)+1=4,MOD('🌱 Configuração'!$B$51+149-'🌱 Configuração'!$C$51,7)=0),"🐛 Trichoderma solo + Beauveria",IF(AND('🌱 Configuração'!$B$51+149&gt;='🌱 Configuração'!$C$51,'🌱 Configuração'!$B$51+149&lt;'🌱 Configuração'!$D$51,INT(('🌱 Configuração'!$B$51+149-'🌱 Configuração'!$C$51)/7)+1=5,MOD('🌱 Configuração'!$B$51+149-'🌱 Configuração'!$C$51,7)=0),"🐛 Calda Bordalesa 0.5% foliar",IF(AND('🌱 Configuração'!$B$51+149&gt;='🌱 Configuração'!$C$51,'🌱 Configuração'!$B$51+149&lt;'🌱 Configuração'!$D$51,INT(('🌱 Configuração'!$B$51+149-'🌱 Configuração'!$C$51)/7)+1=6,MOD('🌱 Configuração'!$B$51+149-'🌱 Configuração'!$C$51,7)=0),"🐛 Nim 2mL/L — ÚLTIMA foliar",IF(AND('🌱 Configuração'!$B$51+149&gt;='🌱 Configuração'!$D$51,'🌱 Configuração'!$B$51+149&lt;'🌱 Configuração'!$E$51,INT(('🌱 Configuração'!$B$51+149-'🌱 Configuração'!$D$51)/7)+1=1,MOD('🌱 Configuração'!$B$51+149-'🌱 Configuração'!$D$51,7)=0),"🐛 Beauveria bassiana solo (sem foliar)",IF(AND('🌱 Configuração'!$B$51+149&gt;='🌱 Configuração'!$D$51,'🌱 Configuração'!$B$51+149&lt;'🌱 Configuração'!$E$51,INT(('🌱 Configuração'!$B$51+149-'🌱 Configuração'!$D$51)/7)+1=2,MOD('🌱 Configuração'!$B$51+149-'🌱 Configuração'!$D$51,7)=0),"🐛 Trichoderma solo",IF(AND('🌱 Configuração'!$B$51+149&gt;='🌱 Configuração'!$D$51,'🌱 Configuração'!$B$51+149&lt;'🌱 Configuração'!$E$51,INT(('🌱 Configuração'!$B$51+149-'🌱 Configuração'!$D$51)/7)+1=3,MOD('🌱 Configuração'!$B$51+149-'🌱 Configuração'!$D$51,7)=0),"🐛 Beauveria bassiana solo",IF(AND('🌱 Configuração'!$B$51+149&gt;='🌱 Configuração'!$D$51,'🌱 Configuração'!$B$51+149&lt;'🌱 Configuração'!$E$51,INT(('🌱 Configuração'!$B$51+149-'🌱 Configuração'!$D$51)/7)+1=4,MOD('🌱 Configuração'!$B$51+149-'🌱 Configuração'!$D$51,7)=0),"🐛 Trichoderma solo",IF(AND('🌱 Configuração'!$B$51+149&gt;='🌱 Configuração'!$E$51,INT(('🌱 Configuração'!$B$51+149-'🌱 Configuração'!$E$51)/7)+1=1,MOD('🌱 Configuração'!$B$51+149-'🌱 Configuração'!$E$51,7)=0),"🐛 Inspeção final — sem aplicação",""))))))))))))))</f>
        <v/>
      </c>
      <c r="H155" s="22" t="str">
        <f>IF(150&gt;'🌱 Configuração'!$F$50,"",IF('🌱 Configuração'!$B$51+149='🌱 Configuração'!$C$51,"🌿 INÍCIO VEGA — ajustar espaço, luz 18h/dia — EC 0.8",IF('🌱 Configuração'!$B$51+149='🌱 Configuração'!$D$51,"🌸 INÍCIO FLORAÇÃO — mudar para 12h/12h — 🔴 atenção ao fotoperíodo",IF('🌱 Configuração'!$B$51+149='🌱 Configuração'!$E$51,"🚿 INÍCIO FLUSH — PARAR nutrição, somente água pura",IF('🌱 Configuração'!$B$51+149='🌱 Configuração'!$F$51-1,"🔬 Véspera da colheita — analisar tricomas âmbar",IF('🌱 Configuração'!$B$51+149='🌱 Configuração'!$F$51,"✂️ COLHEITA! Parabéns! 🎉",""))))))</f>
        <v/>
      </c>
    </row>
    <row r="156" spans="2:8" ht="18.75" customHeight="1" x14ac:dyDescent="0.3">
      <c r="B156" s="25" t="str">
        <f>IF(151&lt;='🌱 Configuração'!$F$50,151,"")</f>
        <v/>
      </c>
      <c r="C156" s="26" t="str">
        <f>IF(151&lt;='🌱 Configuração'!$F$50,'🌱 Configuração'!$B$51+150,"")</f>
        <v/>
      </c>
      <c r="D156" s="27" t="str">
        <f>IF(151&gt;'🌱 Configuração'!$F$50,"",IF('🌱 Configuração'!$B$51+150&lt;'🌱 Configuração'!$C$51,"🌱 Clone",IF('🌱 Configuração'!$B$51+150&lt;'🌱 Configuração'!$D$51,"🌿 Vegetativo",IF('🌱 Configuração'!$B$51+150&lt;'🌱 Configuração'!$E$51,"🌸 Floração","🚿 Flush"))))</f>
        <v/>
      </c>
      <c r="E156" s="28" t="str">
        <f>IF(151&gt;'🌱 Configuração'!$F$50,"",IF('🌱 Configuração'!$B$51+150&lt;'🌱 Configuração'!$C$51,"Clone S"&amp;INT((151-1)/7)+1,IF('🌱 Configuração'!$B$51+150&lt;'🌱 Configuração'!$D$51,"Vega S"&amp;INT(('🌱 Configuração'!$B$51+150-'🌱 Configuração'!$C$51)/7)+1,IF('🌱 Configuração'!$B$51+150&lt;'🌱 Configuração'!$E$51,"Flora S"&amp;INT(('🌱 Configuração'!$B$51+150-'🌱 Configuração'!$D$51)/7)+1,"Flush S"&amp;INT(('🌱 Configuração'!$B$51+150-'🌱 Configuração'!$E$51)/7)+1))))</f>
        <v/>
      </c>
      <c r="F156" s="29" t="str">
        <f>IF(151&gt;'🌱 Configuração'!$F$50,"",IF(AND('🌱 Configuração'!$B$51+150&lt;'🌱 Configuração'!$C$51,INT((151-1)/7)+1=1,MOD(151-1,7)=0),"🌱 Enraizador (0.5 mL/L)",IF(AND('🌱 Configuração'!$B$51+150&lt;'🌱 Configuração'!$C$51,INT((151-1)/7)+1=2,MOD(151-1,7)=0),"🌱 Enraizador + Vitamina B1",IF(AND('🌱 Configuração'!$B$51+150&gt;='🌱 Configuração'!$C$51,'🌱 Configuração'!$B$51+150&lt;'🌱 Configuração'!$D$51,INT(('🌱 Configuração'!$B$51+150-'🌱 Configuração'!$C$51)/7)+1=1,MOD('🌱 Configuração'!$B$51+150-'🌱 Configuração'!$C$51,7)=0),"🌿 Grow A+B início — EC 0.8",IF(AND('🌱 Configuração'!$B$51+150&gt;='🌱 Configuração'!$C$51,'🌱 Configuração'!$B$51+150&lt;'🌱 Configuração'!$D$51,INT(('🌱 Configuração'!$B$51+150-'🌱 Configuração'!$C$51)/7)+1=2,MOD('🌱 Configuração'!$B$51+150-'🌱 Configuração'!$C$51,7)=0),"🌿 Grow A+B + CalMag — EC 1.0",IF(AND('🌱 Configuração'!$B$51+150&gt;='🌱 Configuração'!$C$51,'🌱 Configuração'!$B$51+150&lt;'🌱 Configuração'!$D$51,INT(('🌱 Configuração'!$B$51+150-'🌱 Configuração'!$C$51)/7)+1=3,MOD('🌱 Configuração'!$B$51+150-'🌱 Configuração'!$C$51,7)=0),"🌿 Grow A+B + CalMag — EC 1.2",IF(AND('🌱 Configuração'!$B$51+150&gt;='🌱 Configuração'!$C$51,'🌱 Configuração'!$B$51+150&lt;'🌱 Configuração'!$D$51,INT(('🌱 Configuração'!$B$51+150-'🌱 Configuração'!$C$51)/7)+1=4,MOD('🌱 Configuração'!$B$51+150-'🌱 Configuração'!$C$51,7)=0),"🌿 Grow A+B + Enzimas — EC 1.4",IF(AND('🌱 Configuração'!$B$51+150&gt;='🌱 Configuração'!$C$51,'🌱 Configuração'!$B$51+150&lt;'🌱 Configuração'!$D$51,INT(('🌱 Configuração'!$B$51+150-'🌱 Configuração'!$C$51)/7)+1=5,MOD('🌱 Configuração'!$B$51+150-'🌱 Configuração'!$C$51,7)=0),"🌿 Grow A+B + Biorrizas — EC 1.5",IF(AND('🌱 Configuração'!$B$51+150&gt;='🌱 Configuração'!$C$51,'🌱 Configuração'!$B$51+150&lt;'🌱 Configuração'!$D$51,INT(('🌱 Configuração'!$B$51+150-'🌱 Configuração'!$C$51)/7)+1=6,MOD('🌱 Configuração'!$B$51+150-'🌱 Configuração'!$C$51,7)=0),"🌿 Transição Bloom — EC 1.4",IF(AND('🌱 Configuração'!$B$51+150&gt;='🌱 Configuração'!$C$51,'🌱 Configuração'!$B$51+150&lt;'🌱 Configuração'!$D$51,INT(('🌱 Configuração'!$B$51+150-'🌱 Configuração'!$C$51)/7)+1=7,MOD('🌱 Configuração'!$B$51+150-'🌱 Configuração'!$C$51,7)=0),"🌿 Bloom A+B transição — EC 1.4",IF(AND('🌱 Configuração'!$B$51+150&gt;='🌱 Configuração'!$C$51,'🌱 Configuração'!$B$51+150&lt;'🌱 Configuração'!$D$51,INT(('🌱 Configuração'!$B$51+150-'🌱 Configuração'!$C$51)/7)+1=8,MOD('🌱 Configuração'!$B$51+150-'🌱 Configuração'!$C$51,7)=0),"🌿 Bloom A+B — EC 1.4",IF(AND('🌱 Configuração'!$B$51+150&gt;='🌱 Configuração'!$D$51,'🌱 Configuração'!$B$51+150&lt;'🌱 Configuração'!$E$51,INT(('🌱 Configuração'!$B$51+150-'🌱 Configuração'!$D$51)/7)+1=1,MOD('🌱 Configuração'!$B$51+150-'🌱 Configuração'!$D$51,7)=0),"🌸 Bloom A+B — EC 1.6",IF(AND('🌱 Configuração'!$B$51+150&gt;='🌱 Configuração'!$D$51,'🌱 Configuração'!$B$51+150&lt;'🌱 Configuração'!$E$51,INT(('🌱 Configuração'!$B$51+150-'🌱 Configuração'!$D$51)/7)+1=2,MOD('🌱 Configuração'!$B$51+150-'🌱 Configuração'!$D$51,7)=0),"🌸 Bloom + PK 13/14 início",IF(AND('🌱 Configuração'!$B$51+150&gt;='🌱 Configuração'!$D$51,'🌱 Configuração'!$B$51+150&lt;'🌱 Configuração'!$E$51,INT(('🌱 Configuração'!$B$51+150-'🌱 Configuração'!$D$51)/7)+1=3,MOD('🌱 Configuração'!$B$51+150-'🌱 Configuração'!$D$51,7)=0),"🌸 Bloom + PK + CalMag — EC 1.8",IF(AND('🌱 Configuração'!$B$51+150&gt;='🌱 Configuração'!$D$51,'🌱 Configuração'!$B$51+150&lt;'🌱 Configuração'!$E$51,INT(('🌱 Configuração'!$B$51+150-'🌱 Configuração'!$D$51)/7)+1=4,MOD('🌱 Configuração'!$B$51+150-'🌱 Configuração'!$D$51,7)=0),"🌸 Bloom + PK + Boost Floral — EC 2.0",IF(AND('🌱 Configuração'!$B$51+150&gt;='🌱 Configuração'!$D$51,'🌱 Configuração'!$B$51+150&lt;'🌱 Configuração'!$E$51,INT(('🌱 Configuração'!$B$51+150-'🌱 Configuração'!$D$51)/7)+1=5,MOD('🌱 Configuração'!$B$51+150-'🌱 Configuração'!$D$51,7)=0),"🌸 Bloom + Boost + Amino",IF(AND('🌱 Configuração'!$B$51+150&gt;='🌱 Configuração'!$D$51,'🌱 Configuração'!$B$51+150&lt;'🌱 Configuração'!$E$51,INT(('🌱 Configuração'!$B$51+150-'🌱 Configuração'!$D$51)/7)+1=6,MOD('🌱 Configuração'!$B$51+150-'🌱 Configuração'!$D$51,7)=0),"🌸 Bloom + Enzimas + Amino",IF(AND('🌱 Configuração'!$B$51+150&gt;='🌱 Configuração'!$D$51,'🌱 Configuração'!$B$51+150&lt;'🌱 Configuração'!$E$51,INT(('🌱 Configuração'!$B$51+150-'🌱 Configuração'!$D$51)/7)+1=7,MOD('🌱 Configuração'!$B$51+150-'🌱 Configuração'!$D$51,7)=0),"🌸 Reduzir N — Bloom puro — EC 1.6",IF(AND('🌱 Configuração'!$B$51+150&gt;='🌱 Configuração'!$D$51,'🌱 Configuração'!$B$51+150&lt;'🌱 Configuração'!$E$51,INT(('🌱 Configuração'!$B$51+150-'🌱 Configuração'!$D$51)/7)+1=8,MOD('🌱 Configuração'!$B$51+150-'🌱 Configuração'!$D$51,7)=0),"🌸 Bloom puro — EC 1.4  (pré-flush)",IF(AND('🌱 Configuração'!$B$51+150&gt;='🌱 Configuração'!$D$51,'🌱 Configuração'!$B$51+150&lt;'🌱 Configuração'!$E$51,INT(('🌱 Configuração'!$B$51+150-'🌱 Configuração'!$D$51)/7)+1=9,MOD('🌱 Configuração'!$B$51+150-'🌱 Configuração'!$D$51,7)=0),"🌸 Último Bloom — EC 0.8",IF(AND('🌱 Configuração'!$B$51+150&gt;='🌱 Configuração'!$E$51,INT(('🌱 Configuração'!$B$51+150-'🌱 Configuração'!$E$51)/7)+1=1,MOD('🌱 Configuração'!$B$51+150-'🌱 Configuração'!$E$51,7)=0),"🚿 Água pura + Enzimas (EC &lt; 0.3)",IF(AND('🌱 Configuração'!$B$51+150&gt;='🌱 Configuração'!$E$51,INT(('🌱 Configuração'!$B$51+150-'🌱 Configuração'!$E$51)/7)+1=2,MOD('🌱 Configuração'!$B$51+150-'🌱 Configuração'!$E$51,7)=0),"🚿 Água pura (EC &lt; 0.2)",""))))))))))))))))))))))</f>
        <v/>
      </c>
      <c r="G156" s="30" t="str">
        <f>IF(151&gt;'🌱 Configuração'!$F$50,"",IF(AND('🌱 Configuração'!$B$51+150&lt;'🌱 Configuração'!$C$51,INT((151-1)/7)+1=1,MOD(151-1,7)=0),"🐛 Nim 2mL/L foliar — preventivo",IF(AND('🌱 Configuração'!$B$51+150&lt;'🌱 Configuração'!$C$51,INT((151-1)/7)+1=2,MOD(151-1,7)=0),"🐛 Beauveria bassiana foliar + solo",IF(AND('🌱 Configuração'!$B$51+150&gt;='🌱 Configuração'!$C$51,'🌱 Configuração'!$B$51+150&lt;'🌱 Configuração'!$D$51,INT(('🌱 Configuração'!$B$51+150-'🌱 Configuração'!$C$51)/7)+1=1,MOD('🌱 Configuração'!$B$51+150-'🌱 Configuração'!$C$51,7)=0),"🐛 Nim 2mL/L foliar",IF(AND('🌱 Configuração'!$B$51+150&gt;='🌱 Configuração'!$C$51,'🌱 Configuração'!$B$51+150&lt;'🌱 Configuração'!$D$51,INT(('🌱 Configuração'!$B$51+150-'🌱 Configuração'!$C$51)/7)+1=2,MOD('🌱 Configuração'!$B$51+150-'🌱 Configuração'!$C$51,7)=0),"🐛 Beauveria bassiana foliar",IF(AND('🌱 Configuração'!$B$51+150&gt;='🌱 Configuração'!$C$51,'🌱 Configuração'!$B$51+150&lt;'🌱 Configuração'!$D$51,INT(('🌱 Configuração'!$B$51+150-'🌱 Configuração'!$C$51)/7)+1=3,MOD('🌱 Configuração'!$B$51+150-'🌱 Configuração'!$C$51,7)=0),"🐛 Nim + Calda Sulfocálcica 1%",IF(AND('🌱 Configuração'!$B$51+150&gt;='🌱 Configuração'!$C$51,'🌱 Configuração'!$B$51+150&lt;'🌱 Configuração'!$D$51,INT(('🌱 Configuração'!$B$51+150-'🌱 Configuração'!$C$51)/7)+1=4,MOD('🌱 Configuração'!$B$51+150-'🌱 Configuração'!$C$51,7)=0),"🐛 Trichoderma solo + Beauveria",IF(AND('🌱 Configuração'!$B$51+150&gt;='🌱 Configuração'!$C$51,'🌱 Configuração'!$B$51+150&lt;'🌱 Configuração'!$D$51,INT(('🌱 Configuração'!$B$51+150-'🌱 Configuração'!$C$51)/7)+1=5,MOD('🌱 Configuração'!$B$51+150-'🌱 Configuração'!$C$51,7)=0),"🐛 Calda Bordalesa 0.5% foliar",IF(AND('🌱 Configuração'!$B$51+150&gt;='🌱 Configuração'!$C$51,'🌱 Configuração'!$B$51+150&lt;'🌱 Configuração'!$D$51,INT(('🌱 Configuração'!$B$51+150-'🌱 Configuração'!$C$51)/7)+1=6,MOD('🌱 Configuração'!$B$51+150-'🌱 Configuração'!$C$51,7)=0),"🐛 Nim 2mL/L — ÚLTIMA foliar",IF(AND('🌱 Configuração'!$B$51+150&gt;='🌱 Configuração'!$D$51,'🌱 Configuração'!$B$51+150&lt;'🌱 Configuração'!$E$51,INT(('🌱 Configuração'!$B$51+150-'🌱 Configuração'!$D$51)/7)+1=1,MOD('🌱 Configuração'!$B$51+150-'🌱 Configuração'!$D$51,7)=0),"🐛 Beauveria bassiana solo (sem foliar)",IF(AND('🌱 Configuração'!$B$51+150&gt;='🌱 Configuração'!$D$51,'🌱 Configuração'!$B$51+150&lt;'🌱 Configuração'!$E$51,INT(('🌱 Configuração'!$B$51+150-'🌱 Configuração'!$D$51)/7)+1=2,MOD('🌱 Configuração'!$B$51+150-'🌱 Configuração'!$D$51,7)=0),"🐛 Trichoderma solo",IF(AND('🌱 Configuração'!$B$51+150&gt;='🌱 Configuração'!$D$51,'🌱 Configuração'!$B$51+150&lt;'🌱 Configuração'!$E$51,INT(('🌱 Configuração'!$B$51+150-'🌱 Configuração'!$D$51)/7)+1=3,MOD('🌱 Configuração'!$B$51+150-'🌱 Configuração'!$D$51,7)=0),"🐛 Beauveria bassiana solo",IF(AND('🌱 Configuração'!$B$51+150&gt;='🌱 Configuração'!$D$51,'🌱 Configuração'!$B$51+150&lt;'🌱 Configuração'!$E$51,INT(('🌱 Configuração'!$B$51+150-'🌱 Configuração'!$D$51)/7)+1=4,MOD('🌱 Configuração'!$B$51+150-'🌱 Configuração'!$D$51,7)=0),"🐛 Trichoderma solo",IF(AND('🌱 Configuração'!$B$51+150&gt;='🌱 Configuração'!$E$51,INT(('🌱 Configuração'!$B$51+150-'🌱 Configuração'!$E$51)/7)+1=1,MOD('🌱 Configuração'!$B$51+150-'🌱 Configuração'!$E$51,7)=0),"🐛 Inspeção final — sem aplicação",""))))))))))))))</f>
        <v/>
      </c>
      <c r="H156" s="22" t="str">
        <f>IF(151&gt;'🌱 Configuração'!$F$50,"",IF('🌱 Configuração'!$B$51+150='🌱 Configuração'!$C$51,"🌿 INÍCIO VEGA — ajustar espaço, luz 18h/dia — EC 0.8",IF('🌱 Configuração'!$B$51+150='🌱 Configuração'!$D$51,"🌸 INÍCIO FLORAÇÃO — mudar para 12h/12h — 🔴 atenção ao fotoperíodo",IF('🌱 Configuração'!$B$51+150='🌱 Configuração'!$E$51,"🚿 INÍCIO FLUSH — PARAR nutrição, somente água pura",IF('🌱 Configuração'!$B$51+150='🌱 Configuração'!$F$51-1,"🔬 Véspera da colheita — analisar tricomas âmbar",IF('🌱 Configuração'!$B$51+150='🌱 Configuração'!$F$51,"✂️ COLHEITA! Parabéns! 🎉",""))))))</f>
        <v/>
      </c>
    </row>
    <row r="157" spans="2:8" ht="18.75" customHeight="1" x14ac:dyDescent="0.3">
      <c r="B157" s="25" t="str">
        <f>IF(152&lt;='🌱 Configuração'!$F$50,152,"")</f>
        <v/>
      </c>
      <c r="C157" s="26" t="str">
        <f>IF(152&lt;='🌱 Configuração'!$F$50,'🌱 Configuração'!$B$51+151,"")</f>
        <v/>
      </c>
      <c r="D157" s="27" t="str">
        <f>IF(152&gt;'🌱 Configuração'!$F$50,"",IF('🌱 Configuração'!$B$51+151&lt;'🌱 Configuração'!$C$51,"🌱 Clone",IF('🌱 Configuração'!$B$51+151&lt;'🌱 Configuração'!$D$51,"🌿 Vegetativo",IF('🌱 Configuração'!$B$51+151&lt;'🌱 Configuração'!$E$51,"🌸 Floração","🚿 Flush"))))</f>
        <v/>
      </c>
      <c r="E157" s="28" t="str">
        <f>IF(152&gt;'🌱 Configuração'!$F$50,"",IF('🌱 Configuração'!$B$51+151&lt;'🌱 Configuração'!$C$51,"Clone S"&amp;INT((152-1)/7)+1,IF('🌱 Configuração'!$B$51+151&lt;'🌱 Configuração'!$D$51,"Vega S"&amp;INT(('🌱 Configuração'!$B$51+151-'🌱 Configuração'!$C$51)/7)+1,IF('🌱 Configuração'!$B$51+151&lt;'🌱 Configuração'!$E$51,"Flora S"&amp;INT(('🌱 Configuração'!$B$51+151-'🌱 Configuração'!$D$51)/7)+1,"Flush S"&amp;INT(('🌱 Configuração'!$B$51+151-'🌱 Configuração'!$E$51)/7)+1))))</f>
        <v/>
      </c>
      <c r="F157" s="29" t="str">
        <f>IF(152&gt;'🌱 Configuração'!$F$50,"",IF(AND('🌱 Configuração'!$B$51+151&lt;'🌱 Configuração'!$C$51,INT((152-1)/7)+1=1,MOD(152-1,7)=0),"🌱 Enraizador (0.5 mL/L)",IF(AND('🌱 Configuração'!$B$51+151&lt;'🌱 Configuração'!$C$51,INT((152-1)/7)+1=2,MOD(152-1,7)=0),"🌱 Enraizador + Vitamina B1",IF(AND('🌱 Configuração'!$B$51+151&gt;='🌱 Configuração'!$C$51,'🌱 Configuração'!$B$51+151&lt;'🌱 Configuração'!$D$51,INT(('🌱 Configuração'!$B$51+151-'🌱 Configuração'!$C$51)/7)+1=1,MOD('🌱 Configuração'!$B$51+151-'🌱 Configuração'!$C$51,7)=0),"🌿 Grow A+B início — EC 0.8",IF(AND('🌱 Configuração'!$B$51+151&gt;='🌱 Configuração'!$C$51,'🌱 Configuração'!$B$51+151&lt;'🌱 Configuração'!$D$51,INT(('🌱 Configuração'!$B$51+151-'🌱 Configuração'!$C$51)/7)+1=2,MOD('🌱 Configuração'!$B$51+151-'🌱 Configuração'!$C$51,7)=0),"🌿 Grow A+B + CalMag — EC 1.0",IF(AND('🌱 Configuração'!$B$51+151&gt;='🌱 Configuração'!$C$51,'🌱 Configuração'!$B$51+151&lt;'🌱 Configuração'!$D$51,INT(('🌱 Configuração'!$B$51+151-'🌱 Configuração'!$C$51)/7)+1=3,MOD('🌱 Configuração'!$B$51+151-'🌱 Configuração'!$C$51,7)=0),"🌿 Grow A+B + CalMag — EC 1.2",IF(AND('🌱 Configuração'!$B$51+151&gt;='🌱 Configuração'!$C$51,'🌱 Configuração'!$B$51+151&lt;'🌱 Configuração'!$D$51,INT(('🌱 Configuração'!$B$51+151-'🌱 Configuração'!$C$51)/7)+1=4,MOD('🌱 Configuração'!$B$51+151-'🌱 Configuração'!$C$51,7)=0),"🌿 Grow A+B + Enzimas — EC 1.4",IF(AND('🌱 Configuração'!$B$51+151&gt;='🌱 Configuração'!$C$51,'🌱 Configuração'!$B$51+151&lt;'🌱 Configuração'!$D$51,INT(('🌱 Configuração'!$B$51+151-'🌱 Configuração'!$C$51)/7)+1=5,MOD('🌱 Configuração'!$B$51+151-'🌱 Configuração'!$C$51,7)=0),"🌿 Grow A+B + Biorrizas — EC 1.5",IF(AND('🌱 Configuração'!$B$51+151&gt;='🌱 Configuração'!$C$51,'🌱 Configuração'!$B$51+151&lt;'🌱 Configuração'!$D$51,INT(('🌱 Configuração'!$B$51+151-'🌱 Configuração'!$C$51)/7)+1=6,MOD('🌱 Configuração'!$B$51+151-'🌱 Configuração'!$C$51,7)=0),"🌿 Transição Bloom — EC 1.4",IF(AND('🌱 Configuração'!$B$51+151&gt;='🌱 Configuração'!$C$51,'🌱 Configuração'!$B$51+151&lt;'🌱 Configuração'!$D$51,INT(('🌱 Configuração'!$B$51+151-'🌱 Configuração'!$C$51)/7)+1=7,MOD('🌱 Configuração'!$B$51+151-'🌱 Configuração'!$C$51,7)=0),"🌿 Bloom A+B transição — EC 1.4",IF(AND('🌱 Configuração'!$B$51+151&gt;='🌱 Configuração'!$C$51,'🌱 Configuração'!$B$51+151&lt;'🌱 Configuração'!$D$51,INT(('🌱 Configuração'!$B$51+151-'🌱 Configuração'!$C$51)/7)+1=8,MOD('🌱 Configuração'!$B$51+151-'🌱 Configuração'!$C$51,7)=0),"🌿 Bloom A+B — EC 1.4",IF(AND('🌱 Configuração'!$B$51+151&gt;='🌱 Configuração'!$D$51,'🌱 Configuração'!$B$51+151&lt;'🌱 Configuração'!$E$51,INT(('🌱 Configuração'!$B$51+151-'🌱 Configuração'!$D$51)/7)+1=1,MOD('🌱 Configuração'!$B$51+151-'🌱 Configuração'!$D$51,7)=0),"🌸 Bloom A+B — EC 1.6",IF(AND('🌱 Configuração'!$B$51+151&gt;='🌱 Configuração'!$D$51,'🌱 Configuração'!$B$51+151&lt;'🌱 Configuração'!$E$51,INT(('🌱 Configuração'!$B$51+151-'🌱 Configuração'!$D$51)/7)+1=2,MOD('🌱 Configuração'!$B$51+151-'🌱 Configuração'!$D$51,7)=0),"🌸 Bloom + PK 13/14 início",IF(AND('🌱 Configuração'!$B$51+151&gt;='🌱 Configuração'!$D$51,'🌱 Configuração'!$B$51+151&lt;'🌱 Configuração'!$E$51,INT(('🌱 Configuração'!$B$51+151-'🌱 Configuração'!$D$51)/7)+1=3,MOD('🌱 Configuração'!$B$51+151-'🌱 Configuração'!$D$51,7)=0),"🌸 Bloom + PK + CalMag — EC 1.8",IF(AND('🌱 Configuração'!$B$51+151&gt;='🌱 Configuração'!$D$51,'🌱 Configuração'!$B$51+151&lt;'🌱 Configuração'!$E$51,INT(('🌱 Configuração'!$B$51+151-'🌱 Configuração'!$D$51)/7)+1=4,MOD('🌱 Configuração'!$B$51+151-'🌱 Configuração'!$D$51,7)=0),"🌸 Bloom + PK + Boost Floral — EC 2.0",IF(AND('🌱 Configuração'!$B$51+151&gt;='🌱 Configuração'!$D$51,'🌱 Configuração'!$B$51+151&lt;'🌱 Configuração'!$E$51,INT(('🌱 Configuração'!$B$51+151-'🌱 Configuração'!$D$51)/7)+1=5,MOD('🌱 Configuração'!$B$51+151-'🌱 Configuração'!$D$51,7)=0),"🌸 Bloom + Boost + Amino",IF(AND('🌱 Configuração'!$B$51+151&gt;='🌱 Configuração'!$D$51,'🌱 Configuração'!$B$51+151&lt;'🌱 Configuração'!$E$51,INT(('🌱 Configuração'!$B$51+151-'🌱 Configuração'!$D$51)/7)+1=6,MOD('🌱 Configuração'!$B$51+151-'🌱 Configuração'!$D$51,7)=0),"🌸 Bloom + Enzimas + Amino",IF(AND('🌱 Configuração'!$B$51+151&gt;='🌱 Configuração'!$D$51,'🌱 Configuração'!$B$51+151&lt;'🌱 Configuração'!$E$51,INT(('🌱 Configuração'!$B$51+151-'🌱 Configuração'!$D$51)/7)+1=7,MOD('🌱 Configuração'!$B$51+151-'🌱 Configuração'!$D$51,7)=0),"🌸 Reduzir N — Bloom puro — EC 1.6",IF(AND('🌱 Configuração'!$B$51+151&gt;='🌱 Configuração'!$D$51,'🌱 Configuração'!$B$51+151&lt;'🌱 Configuração'!$E$51,INT(('🌱 Configuração'!$B$51+151-'🌱 Configuração'!$D$51)/7)+1=8,MOD('🌱 Configuração'!$B$51+151-'🌱 Configuração'!$D$51,7)=0),"🌸 Bloom puro — EC 1.4  (pré-flush)",IF(AND('🌱 Configuração'!$B$51+151&gt;='🌱 Configuração'!$D$51,'🌱 Configuração'!$B$51+151&lt;'🌱 Configuração'!$E$51,INT(('🌱 Configuração'!$B$51+151-'🌱 Configuração'!$D$51)/7)+1=9,MOD('🌱 Configuração'!$B$51+151-'🌱 Configuração'!$D$51,7)=0),"🌸 Último Bloom — EC 0.8",IF(AND('🌱 Configuração'!$B$51+151&gt;='🌱 Configuração'!$E$51,INT(('🌱 Configuração'!$B$51+151-'🌱 Configuração'!$E$51)/7)+1=1,MOD('🌱 Configuração'!$B$51+151-'🌱 Configuração'!$E$51,7)=0),"🚿 Água pura + Enzimas (EC &lt; 0.3)",IF(AND('🌱 Configuração'!$B$51+151&gt;='🌱 Configuração'!$E$51,INT(('🌱 Configuração'!$B$51+151-'🌱 Configuração'!$E$51)/7)+1=2,MOD('🌱 Configuração'!$B$51+151-'🌱 Configuração'!$E$51,7)=0),"🚿 Água pura (EC &lt; 0.2)",""))))))))))))))))))))))</f>
        <v/>
      </c>
      <c r="G157" s="30" t="str">
        <f>IF(152&gt;'🌱 Configuração'!$F$50,"",IF(AND('🌱 Configuração'!$B$51+151&lt;'🌱 Configuração'!$C$51,INT((152-1)/7)+1=1,MOD(152-1,7)=0),"🐛 Nim 2mL/L foliar — preventivo",IF(AND('🌱 Configuração'!$B$51+151&lt;'🌱 Configuração'!$C$51,INT((152-1)/7)+1=2,MOD(152-1,7)=0),"🐛 Beauveria bassiana foliar + solo",IF(AND('🌱 Configuração'!$B$51+151&gt;='🌱 Configuração'!$C$51,'🌱 Configuração'!$B$51+151&lt;'🌱 Configuração'!$D$51,INT(('🌱 Configuração'!$B$51+151-'🌱 Configuração'!$C$51)/7)+1=1,MOD('🌱 Configuração'!$B$51+151-'🌱 Configuração'!$C$51,7)=0),"🐛 Nim 2mL/L foliar",IF(AND('🌱 Configuração'!$B$51+151&gt;='🌱 Configuração'!$C$51,'🌱 Configuração'!$B$51+151&lt;'🌱 Configuração'!$D$51,INT(('🌱 Configuração'!$B$51+151-'🌱 Configuração'!$C$51)/7)+1=2,MOD('🌱 Configuração'!$B$51+151-'🌱 Configuração'!$C$51,7)=0),"🐛 Beauveria bassiana foliar",IF(AND('🌱 Configuração'!$B$51+151&gt;='🌱 Configuração'!$C$51,'🌱 Configuração'!$B$51+151&lt;'🌱 Configuração'!$D$51,INT(('🌱 Configuração'!$B$51+151-'🌱 Configuração'!$C$51)/7)+1=3,MOD('🌱 Configuração'!$B$51+151-'🌱 Configuração'!$C$51,7)=0),"🐛 Nim + Calda Sulfocálcica 1%",IF(AND('🌱 Configuração'!$B$51+151&gt;='🌱 Configuração'!$C$51,'🌱 Configuração'!$B$51+151&lt;'🌱 Configuração'!$D$51,INT(('🌱 Configuração'!$B$51+151-'🌱 Configuração'!$C$51)/7)+1=4,MOD('🌱 Configuração'!$B$51+151-'🌱 Configuração'!$C$51,7)=0),"🐛 Trichoderma solo + Beauveria",IF(AND('🌱 Configuração'!$B$51+151&gt;='🌱 Configuração'!$C$51,'🌱 Configuração'!$B$51+151&lt;'🌱 Configuração'!$D$51,INT(('🌱 Configuração'!$B$51+151-'🌱 Configuração'!$C$51)/7)+1=5,MOD('🌱 Configuração'!$B$51+151-'🌱 Configuração'!$C$51,7)=0),"🐛 Calda Bordalesa 0.5% foliar",IF(AND('🌱 Configuração'!$B$51+151&gt;='🌱 Configuração'!$C$51,'🌱 Configuração'!$B$51+151&lt;'🌱 Configuração'!$D$51,INT(('🌱 Configuração'!$B$51+151-'🌱 Configuração'!$C$51)/7)+1=6,MOD('🌱 Configuração'!$B$51+151-'🌱 Configuração'!$C$51,7)=0),"🐛 Nim 2mL/L — ÚLTIMA foliar",IF(AND('🌱 Configuração'!$B$51+151&gt;='🌱 Configuração'!$D$51,'🌱 Configuração'!$B$51+151&lt;'🌱 Configuração'!$E$51,INT(('🌱 Configuração'!$B$51+151-'🌱 Configuração'!$D$51)/7)+1=1,MOD('🌱 Configuração'!$B$51+151-'🌱 Configuração'!$D$51,7)=0),"🐛 Beauveria bassiana solo (sem foliar)",IF(AND('🌱 Configuração'!$B$51+151&gt;='🌱 Configuração'!$D$51,'🌱 Configuração'!$B$51+151&lt;'🌱 Configuração'!$E$51,INT(('🌱 Configuração'!$B$51+151-'🌱 Configuração'!$D$51)/7)+1=2,MOD('🌱 Configuração'!$B$51+151-'🌱 Configuração'!$D$51,7)=0),"🐛 Trichoderma solo",IF(AND('🌱 Configuração'!$B$51+151&gt;='🌱 Configuração'!$D$51,'🌱 Configuração'!$B$51+151&lt;'🌱 Configuração'!$E$51,INT(('🌱 Configuração'!$B$51+151-'🌱 Configuração'!$D$51)/7)+1=3,MOD('🌱 Configuração'!$B$51+151-'🌱 Configuração'!$D$51,7)=0),"🐛 Beauveria bassiana solo",IF(AND('🌱 Configuração'!$B$51+151&gt;='🌱 Configuração'!$D$51,'🌱 Configuração'!$B$51+151&lt;'🌱 Configuração'!$E$51,INT(('🌱 Configuração'!$B$51+151-'🌱 Configuração'!$D$51)/7)+1=4,MOD('🌱 Configuração'!$B$51+151-'🌱 Configuração'!$D$51,7)=0),"🐛 Trichoderma solo",IF(AND('🌱 Configuração'!$B$51+151&gt;='🌱 Configuração'!$E$51,INT(('🌱 Configuração'!$B$51+151-'🌱 Configuração'!$E$51)/7)+1=1,MOD('🌱 Configuração'!$B$51+151-'🌱 Configuração'!$E$51,7)=0),"🐛 Inspeção final — sem aplicação",""))))))))))))))</f>
        <v/>
      </c>
      <c r="H157" s="22" t="str">
        <f>IF(152&gt;'🌱 Configuração'!$F$50,"",IF('🌱 Configuração'!$B$51+151='🌱 Configuração'!$C$51,"🌿 INÍCIO VEGA — ajustar espaço, luz 18h/dia — EC 0.8",IF('🌱 Configuração'!$B$51+151='🌱 Configuração'!$D$51,"🌸 INÍCIO FLORAÇÃO — mudar para 12h/12h — 🔴 atenção ao fotoperíodo",IF('🌱 Configuração'!$B$51+151='🌱 Configuração'!$E$51,"🚿 INÍCIO FLUSH — PARAR nutrição, somente água pura",IF('🌱 Configuração'!$B$51+151='🌱 Configuração'!$F$51-1,"🔬 Véspera da colheita — analisar tricomas âmbar",IF('🌱 Configuração'!$B$51+151='🌱 Configuração'!$F$51,"✂️ COLHEITA! Parabéns! 🎉",""))))))</f>
        <v/>
      </c>
    </row>
    <row r="158" spans="2:8" ht="18.75" customHeight="1" x14ac:dyDescent="0.3">
      <c r="B158" s="25" t="str">
        <f>IF(153&lt;='🌱 Configuração'!$F$50,153,"")</f>
        <v/>
      </c>
      <c r="C158" s="26" t="str">
        <f>IF(153&lt;='🌱 Configuração'!$F$50,'🌱 Configuração'!$B$51+152,"")</f>
        <v/>
      </c>
      <c r="D158" s="27" t="str">
        <f>IF(153&gt;'🌱 Configuração'!$F$50,"",IF('🌱 Configuração'!$B$51+152&lt;'🌱 Configuração'!$C$51,"🌱 Clone",IF('🌱 Configuração'!$B$51+152&lt;'🌱 Configuração'!$D$51,"🌿 Vegetativo",IF('🌱 Configuração'!$B$51+152&lt;'🌱 Configuração'!$E$51,"🌸 Floração","🚿 Flush"))))</f>
        <v/>
      </c>
      <c r="E158" s="28" t="str">
        <f>IF(153&gt;'🌱 Configuração'!$F$50,"",IF('🌱 Configuração'!$B$51+152&lt;'🌱 Configuração'!$C$51,"Clone S"&amp;INT((153-1)/7)+1,IF('🌱 Configuração'!$B$51+152&lt;'🌱 Configuração'!$D$51,"Vega S"&amp;INT(('🌱 Configuração'!$B$51+152-'🌱 Configuração'!$C$51)/7)+1,IF('🌱 Configuração'!$B$51+152&lt;'🌱 Configuração'!$E$51,"Flora S"&amp;INT(('🌱 Configuração'!$B$51+152-'🌱 Configuração'!$D$51)/7)+1,"Flush S"&amp;INT(('🌱 Configuração'!$B$51+152-'🌱 Configuração'!$E$51)/7)+1))))</f>
        <v/>
      </c>
      <c r="F158" s="29" t="str">
        <f>IF(153&gt;'🌱 Configuração'!$F$50,"",IF(AND('🌱 Configuração'!$B$51+152&lt;'🌱 Configuração'!$C$51,INT((153-1)/7)+1=1,MOD(153-1,7)=0),"🌱 Enraizador (0.5 mL/L)",IF(AND('🌱 Configuração'!$B$51+152&lt;'🌱 Configuração'!$C$51,INT((153-1)/7)+1=2,MOD(153-1,7)=0),"🌱 Enraizador + Vitamina B1",IF(AND('🌱 Configuração'!$B$51+152&gt;='🌱 Configuração'!$C$51,'🌱 Configuração'!$B$51+152&lt;'🌱 Configuração'!$D$51,INT(('🌱 Configuração'!$B$51+152-'🌱 Configuração'!$C$51)/7)+1=1,MOD('🌱 Configuração'!$B$51+152-'🌱 Configuração'!$C$51,7)=0),"🌿 Grow A+B início — EC 0.8",IF(AND('🌱 Configuração'!$B$51+152&gt;='🌱 Configuração'!$C$51,'🌱 Configuração'!$B$51+152&lt;'🌱 Configuração'!$D$51,INT(('🌱 Configuração'!$B$51+152-'🌱 Configuração'!$C$51)/7)+1=2,MOD('🌱 Configuração'!$B$51+152-'🌱 Configuração'!$C$51,7)=0),"🌿 Grow A+B + CalMag — EC 1.0",IF(AND('🌱 Configuração'!$B$51+152&gt;='🌱 Configuração'!$C$51,'🌱 Configuração'!$B$51+152&lt;'🌱 Configuração'!$D$51,INT(('🌱 Configuração'!$B$51+152-'🌱 Configuração'!$C$51)/7)+1=3,MOD('🌱 Configuração'!$B$51+152-'🌱 Configuração'!$C$51,7)=0),"🌿 Grow A+B + CalMag — EC 1.2",IF(AND('🌱 Configuração'!$B$51+152&gt;='🌱 Configuração'!$C$51,'🌱 Configuração'!$B$51+152&lt;'🌱 Configuração'!$D$51,INT(('🌱 Configuração'!$B$51+152-'🌱 Configuração'!$C$51)/7)+1=4,MOD('🌱 Configuração'!$B$51+152-'🌱 Configuração'!$C$51,7)=0),"🌿 Grow A+B + Enzimas — EC 1.4",IF(AND('🌱 Configuração'!$B$51+152&gt;='🌱 Configuração'!$C$51,'🌱 Configuração'!$B$51+152&lt;'🌱 Configuração'!$D$51,INT(('🌱 Configuração'!$B$51+152-'🌱 Configuração'!$C$51)/7)+1=5,MOD('🌱 Configuração'!$B$51+152-'🌱 Configuração'!$C$51,7)=0),"🌿 Grow A+B + Biorrizas — EC 1.5",IF(AND('🌱 Configuração'!$B$51+152&gt;='🌱 Configuração'!$C$51,'🌱 Configuração'!$B$51+152&lt;'🌱 Configuração'!$D$51,INT(('🌱 Configuração'!$B$51+152-'🌱 Configuração'!$C$51)/7)+1=6,MOD('🌱 Configuração'!$B$51+152-'🌱 Configuração'!$C$51,7)=0),"🌿 Transição Bloom — EC 1.4",IF(AND('🌱 Configuração'!$B$51+152&gt;='🌱 Configuração'!$C$51,'🌱 Configuração'!$B$51+152&lt;'🌱 Configuração'!$D$51,INT(('🌱 Configuração'!$B$51+152-'🌱 Configuração'!$C$51)/7)+1=7,MOD('🌱 Configuração'!$B$51+152-'🌱 Configuração'!$C$51,7)=0),"🌿 Bloom A+B transição — EC 1.4",IF(AND('🌱 Configuração'!$B$51+152&gt;='🌱 Configuração'!$C$51,'🌱 Configuração'!$B$51+152&lt;'🌱 Configuração'!$D$51,INT(('🌱 Configuração'!$B$51+152-'🌱 Configuração'!$C$51)/7)+1=8,MOD('🌱 Configuração'!$B$51+152-'🌱 Configuração'!$C$51,7)=0),"🌿 Bloom A+B — EC 1.4",IF(AND('🌱 Configuração'!$B$51+152&gt;='🌱 Configuração'!$D$51,'🌱 Configuração'!$B$51+152&lt;'🌱 Configuração'!$E$51,INT(('🌱 Configuração'!$B$51+152-'🌱 Configuração'!$D$51)/7)+1=1,MOD('🌱 Configuração'!$B$51+152-'🌱 Configuração'!$D$51,7)=0),"🌸 Bloom A+B — EC 1.6",IF(AND('🌱 Configuração'!$B$51+152&gt;='🌱 Configuração'!$D$51,'🌱 Configuração'!$B$51+152&lt;'🌱 Configuração'!$E$51,INT(('🌱 Configuração'!$B$51+152-'🌱 Configuração'!$D$51)/7)+1=2,MOD('🌱 Configuração'!$B$51+152-'🌱 Configuração'!$D$51,7)=0),"🌸 Bloom + PK 13/14 início",IF(AND('🌱 Configuração'!$B$51+152&gt;='🌱 Configuração'!$D$51,'🌱 Configuração'!$B$51+152&lt;'🌱 Configuração'!$E$51,INT(('🌱 Configuração'!$B$51+152-'🌱 Configuração'!$D$51)/7)+1=3,MOD('🌱 Configuração'!$B$51+152-'🌱 Configuração'!$D$51,7)=0),"🌸 Bloom + PK + CalMag — EC 1.8",IF(AND('🌱 Configuração'!$B$51+152&gt;='🌱 Configuração'!$D$51,'🌱 Configuração'!$B$51+152&lt;'🌱 Configuração'!$E$51,INT(('🌱 Configuração'!$B$51+152-'🌱 Configuração'!$D$51)/7)+1=4,MOD('🌱 Configuração'!$B$51+152-'🌱 Configuração'!$D$51,7)=0),"🌸 Bloom + PK + Boost Floral — EC 2.0",IF(AND('🌱 Configuração'!$B$51+152&gt;='🌱 Configuração'!$D$51,'🌱 Configuração'!$B$51+152&lt;'🌱 Configuração'!$E$51,INT(('🌱 Configuração'!$B$51+152-'🌱 Configuração'!$D$51)/7)+1=5,MOD('🌱 Configuração'!$B$51+152-'🌱 Configuração'!$D$51,7)=0),"🌸 Bloom + Boost + Amino",IF(AND('🌱 Configuração'!$B$51+152&gt;='🌱 Configuração'!$D$51,'🌱 Configuração'!$B$51+152&lt;'🌱 Configuração'!$E$51,INT(('🌱 Configuração'!$B$51+152-'🌱 Configuração'!$D$51)/7)+1=6,MOD('🌱 Configuração'!$B$51+152-'🌱 Configuração'!$D$51,7)=0),"🌸 Bloom + Enzimas + Amino",IF(AND('🌱 Configuração'!$B$51+152&gt;='🌱 Configuração'!$D$51,'🌱 Configuração'!$B$51+152&lt;'🌱 Configuração'!$E$51,INT(('🌱 Configuração'!$B$51+152-'🌱 Configuração'!$D$51)/7)+1=7,MOD('🌱 Configuração'!$B$51+152-'🌱 Configuração'!$D$51,7)=0),"🌸 Reduzir N — Bloom puro — EC 1.6",IF(AND('🌱 Configuração'!$B$51+152&gt;='🌱 Configuração'!$D$51,'🌱 Configuração'!$B$51+152&lt;'🌱 Configuração'!$E$51,INT(('🌱 Configuração'!$B$51+152-'🌱 Configuração'!$D$51)/7)+1=8,MOD('🌱 Configuração'!$B$51+152-'🌱 Configuração'!$D$51,7)=0),"🌸 Bloom puro — EC 1.4  (pré-flush)",IF(AND('🌱 Configuração'!$B$51+152&gt;='🌱 Configuração'!$D$51,'🌱 Configuração'!$B$51+152&lt;'🌱 Configuração'!$E$51,INT(('🌱 Configuração'!$B$51+152-'🌱 Configuração'!$D$51)/7)+1=9,MOD('🌱 Configuração'!$B$51+152-'🌱 Configuração'!$D$51,7)=0),"🌸 Último Bloom — EC 0.8",IF(AND('🌱 Configuração'!$B$51+152&gt;='🌱 Configuração'!$E$51,INT(('🌱 Configuração'!$B$51+152-'🌱 Configuração'!$E$51)/7)+1=1,MOD('🌱 Configuração'!$B$51+152-'🌱 Configuração'!$E$51,7)=0),"🚿 Água pura + Enzimas (EC &lt; 0.3)",IF(AND('🌱 Configuração'!$B$51+152&gt;='🌱 Configuração'!$E$51,INT(('🌱 Configuração'!$B$51+152-'🌱 Configuração'!$E$51)/7)+1=2,MOD('🌱 Configuração'!$B$51+152-'🌱 Configuração'!$E$51,7)=0),"🚿 Água pura (EC &lt; 0.2)",""))))))))))))))))))))))</f>
        <v/>
      </c>
      <c r="G158" s="30" t="str">
        <f>IF(153&gt;'🌱 Configuração'!$F$50,"",IF(AND('🌱 Configuração'!$B$51+152&lt;'🌱 Configuração'!$C$51,INT((153-1)/7)+1=1,MOD(153-1,7)=0),"🐛 Nim 2mL/L foliar — preventivo",IF(AND('🌱 Configuração'!$B$51+152&lt;'🌱 Configuração'!$C$51,INT((153-1)/7)+1=2,MOD(153-1,7)=0),"🐛 Beauveria bassiana foliar + solo",IF(AND('🌱 Configuração'!$B$51+152&gt;='🌱 Configuração'!$C$51,'🌱 Configuração'!$B$51+152&lt;'🌱 Configuração'!$D$51,INT(('🌱 Configuração'!$B$51+152-'🌱 Configuração'!$C$51)/7)+1=1,MOD('🌱 Configuração'!$B$51+152-'🌱 Configuração'!$C$51,7)=0),"🐛 Nim 2mL/L foliar",IF(AND('🌱 Configuração'!$B$51+152&gt;='🌱 Configuração'!$C$51,'🌱 Configuração'!$B$51+152&lt;'🌱 Configuração'!$D$51,INT(('🌱 Configuração'!$B$51+152-'🌱 Configuração'!$C$51)/7)+1=2,MOD('🌱 Configuração'!$B$51+152-'🌱 Configuração'!$C$51,7)=0),"🐛 Beauveria bassiana foliar",IF(AND('🌱 Configuração'!$B$51+152&gt;='🌱 Configuração'!$C$51,'🌱 Configuração'!$B$51+152&lt;'🌱 Configuração'!$D$51,INT(('🌱 Configuração'!$B$51+152-'🌱 Configuração'!$C$51)/7)+1=3,MOD('🌱 Configuração'!$B$51+152-'🌱 Configuração'!$C$51,7)=0),"🐛 Nim + Calda Sulfocálcica 1%",IF(AND('🌱 Configuração'!$B$51+152&gt;='🌱 Configuração'!$C$51,'🌱 Configuração'!$B$51+152&lt;'🌱 Configuração'!$D$51,INT(('🌱 Configuração'!$B$51+152-'🌱 Configuração'!$C$51)/7)+1=4,MOD('🌱 Configuração'!$B$51+152-'🌱 Configuração'!$C$51,7)=0),"🐛 Trichoderma solo + Beauveria",IF(AND('🌱 Configuração'!$B$51+152&gt;='🌱 Configuração'!$C$51,'🌱 Configuração'!$B$51+152&lt;'🌱 Configuração'!$D$51,INT(('🌱 Configuração'!$B$51+152-'🌱 Configuração'!$C$51)/7)+1=5,MOD('🌱 Configuração'!$B$51+152-'🌱 Configuração'!$C$51,7)=0),"🐛 Calda Bordalesa 0.5% foliar",IF(AND('🌱 Configuração'!$B$51+152&gt;='🌱 Configuração'!$C$51,'🌱 Configuração'!$B$51+152&lt;'🌱 Configuração'!$D$51,INT(('🌱 Configuração'!$B$51+152-'🌱 Configuração'!$C$51)/7)+1=6,MOD('🌱 Configuração'!$B$51+152-'🌱 Configuração'!$C$51,7)=0),"🐛 Nim 2mL/L — ÚLTIMA foliar",IF(AND('🌱 Configuração'!$B$51+152&gt;='🌱 Configuração'!$D$51,'🌱 Configuração'!$B$51+152&lt;'🌱 Configuração'!$E$51,INT(('🌱 Configuração'!$B$51+152-'🌱 Configuração'!$D$51)/7)+1=1,MOD('🌱 Configuração'!$B$51+152-'🌱 Configuração'!$D$51,7)=0),"🐛 Beauveria bassiana solo (sem foliar)",IF(AND('🌱 Configuração'!$B$51+152&gt;='🌱 Configuração'!$D$51,'🌱 Configuração'!$B$51+152&lt;'🌱 Configuração'!$E$51,INT(('🌱 Configuração'!$B$51+152-'🌱 Configuração'!$D$51)/7)+1=2,MOD('🌱 Configuração'!$B$51+152-'🌱 Configuração'!$D$51,7)=0),"🐛 Trichoderma solo",IF(AND('🌱 Configuração'!$B$51+152&gt;='🌱 Configuração'!$D$51,'🌱 Configuração'!$B$51+152&lt;'🌱 Configuração'!$E$51,INT(('🌱 Configuração'!$B$51+152-'🌱 Configuração'!$D$51)/7)+1=3,MOD('🌱 Configuração'!$B$51+152-'🌱 Configuração'!$D$51,7)=0),"🐛 Beauveria bassiana solo",IF(AND('🌱 Configuração'!$B$51+152&gt;='🌱 Configuração'!$D$51,'🌱 Configuração'!$B$51+152&lt;'🌱 Configuração'!$E$51,INT(('🌱 Configuração'!$B$51+152-'🌱 Configuração'!$D$51)/7)+1=4,MOD('🌱 Configuração'!$B$51+152-'🌱 Configuração'!$D$51,7)=0),"🐛 Trichoderma solo",IF(AND('🌱 Configuração'!$B$51+152&gt;='🌱 Configuração'!$E$51,INT(('🌱 Configuração'!$B$51+152-'🌱 Configuração'!$E$51)/7)+1=1,MOD('🌱 Configuração'!$B$51+152-'🌱 Configuração'!$E$51,7)=0),"🐛 Inspeção final — sem aplicação",""))))))))))))))</f>
        <v/>
      </c>
      <c r="H158" s="22" t="str">
        <f>IF(153&gt;'🌱 Configuração'!$F$50,"",IF('🌱 Configuração'!$B$51+152='🌱 Configuração'!$C$51,"🌿 INÍCIO VEGA — ajustar espaço, luz 18h/dia — EC 0.8",IF('🌱 Configuração'!$B$51+152='🌱 Configuração'!$D$51,"🌸 INÍCIO FLORAÇÃO — mudar para 12h/12h — 🔴 atenção ao fotoperíodo",IF('🌱 Configuração'!$B$51+152='🌱 Configuração'!$E$51,"🚿 INÍCIO FLUSH — PARAR nutrição, somente água pura",IF('🌱 Configuração'!$B$51+152='🌱 Configuração'!$F$51-1,"🔬 Véspera da colheita — analisar tricomas âmbar",IF('🌱 Configuração'!$B$51+152='🌱 Configuração'!$F$51,"✂️ COLHEITA! Parabéns! 🎉",""))))))</f>
        <v/>
      </c>
    </row>
    <row r="159" spans="2:8" ht="18.75" customHeight="1" x14ac:dyDescent="0.3">
      <c r="B159" s="25" t="str">
        <f>IF(154&lt;='🌱 Configuração'!$F$50,154,"")</f>
        <v/>
      </c>
      <c r="C159" s="26" t="str">
        <f>IF(154&lt;='🌱 Configuração'!$F$50,'🌱 Configuração'!$B$51+153,"")</f>
        <v/>
      </c>
      <c r="D159" s="27" t="str">
        <f>IF(154&gt;'🌱 Configuração'!$F$50,"",IF('🌱 Configuração'!$B$51+153&lt;'🌱 Configuração'!$C$51,"🌱 Clone",IF('🌱 Configuração'!$B$51+153&lt;'🌱 Configuração'!$D$51,"🌿 Vegetativo",IF('🌱 Configuração'!$B$51+153&lt;'🌱 Configuração'!$E$51,"🌸 Floração","🚿 Flush"))))</f>
        <v/>
      </c>
      <c r="E159" s="28" t="str">
        <f>IF(154&gt;'🌱 Configuração'!$F$50,"",IF('🌱 Configuração'!$B$51+153&lt;'🌱 Configuração'!$C$51,"Clone S"&amp;INT((154-1)/7)+1,IF('🌱 Configuração'!$B$51+153&lt;'🌱 Configuração'!$D$51,"Vega S"&amp;INT(('🌱 Configuração'!$B$51+153-'🌱 Configuração'!$C$51)/7)+1,IF('🌱 Configuração'!$B$51+153&lt;'🌱 Configuração'!$E$51,"Flora S"&amp;INT(('🌱 Configuração'!$B$51+153-'🌱 Configuração'!$D$51)/7)+1,"Flush S"&amp;INT(('🌱 Configuração'!$B$51+153-'🌱 Configuração'!$E$51)/7)+1))))</f>
        <v/>
      </c>
      <c r="F159" s="29" t="str">
        <f>IF(154&gt;'🌱 Configuração'!$F$50,"",IF(AND('🌱 Configuração'!$B$51+153&lt;'🌱 Configuração'!$C$51,INT((154-1)/7)+1=1,MOD(154-1,7)=0),"🌱 Enraizador (0.5 mL/L)",IF(AND('🌱 Configuração'!$B$51+153&lt;'🌱 Configuração'!$C$51,INT((154-1)/7)+1=2,MOD(154-1,7)=0),"🌱 Enraizador + Vitamina B1",IF(AND('🌱 Configuração'!$B$51+153&gt;='🌱 Configuração'!$C$51,'🌱 Configuração'!$B$51+153&lt;'🌱 Configuração'!$D$51,INT(('🌱 Configuração'!$B$51+153-'🌱 Configuração'!$C$51)/7)+1=1,MOD('🌱 Configuração'!$B$51+153-'🌱 Configuração'!$C$51,7)=0),"🌿 Grow A+B início — EC 0.8",IF(AND('🌱 Configuração'!$B$51+153&gt;='🌱 Configuração'!$C$51,'🌱 Configuração'!$B$51+153&lt;'🌱 Configuração'!$D$51,INT(('🌱 Configuração'!$B$51+153-'🌱 Configuração'!$C$51)/7)+1=2,MOD('🌱 Configuração'!$B$51+153-'🌱 Configuração'!$C$51,7)=0),"🌿 Grow A+B + CalMag — EC 1.0",IF(AND('🌱 Configuração'!$B$51+153&gt;='🌱 Configuração'!$C$51,'🌱 Configuração'!$B$51+153&lt;'🌱 Configuração'!$D$51,INT(('🌱 Configuração'!$B$51+153-'🌱 Configuração'!$C$51)/7)+1=3,MOD('🌱 Configuração'!$B$51+153-'🌱 Configuração'!$C$51,7)=0),"🌿 Grow A+B + CalMag — EC 1.2",IF(AND('🌱 Configuração'!$B$51+153&gt;='🌱 Configuração'!$C$51,'🌱 Configuração'!$B$51+153&lt;'🌱 Configuração'!$D$51,INT(('🌱 Configuração'!$B$51+153-'🌱 Configuração'!$C$51)/7)+1=4,MOD('🌱 Configuração'!$B$51+153-'🌱 Configuração'!$C$51,7)=0),"🌿 Grow A+B + Enzimas — EC 1.4",IF(AND('🌱 Configuração'!$B$51+153&gt;='🌱 Configuração'!$C$51,'🌱 Configuração'!$B$51+153&lt;'🌱 Configuração'!$D$51,INT(('🌱 Configuração'!$B$51+153-'🌱 Configuração'!$C$51)/7)+1=5,MOD('🌱 Configuração'!$B$51+153-'🌱 Configuração'!$C$51,7)=0),"🌿 Grow A+B + Biorrizas — EC 1.5",IF(AND('🌱 Configuração'!$B$51+153&gt;='🌱 Configuração'!$C$51,'🌱 Configuração'!$B$51+153&lt;'🌱 Configuração'!$D$51,INT(('🌱 Configuração'!$B$51+153-'🌱 Configuração'!$C$51)/7)+1=6,MOD('🌱 Configuração'!$B$51+153-'🌱 Configuração'!$C$51,7)=0),"🌿 Transição Bloom — EC 1.4",IF(AND('🌱 Configuração'!$B$51+153&gt;='🌱 Configuração'!$C$51,'🌱 Configuração'!$B$51+153&lt;'🌱 Configuração'!$D$51,INT(('🌱 Configuração'!$B$51+153-'🌱 Configuração'!$C$51)/7)+1=7,MOD('🌱 Configuração'!$B$51+153-'🌱 Configuração'!$C$51,7)=0),"🌿 Bloom A+B transição — EC 1.4",IF(AND('🌱 Configuração'!$B$51+153&gt;='🌱 Configuração'!$C$51,'🌱 Configuração'!$B$51+153&lt;'🌱 Configuração'!$D$51,INT(('🌱 Configuração'!$B$51+153-'🌱 Configuração'!$C$51)/7)+1=8,MOD('🌱 Configuração'!$B$51+153-'🌱 Configuração'!$C$51,7)=0),"🌿 Bloom A+B — EC 1.4",IF(AND('🌱 Configuração'!$B$51+153&gt;='🌱 Configuração'!$D$51,'🌱 Configuração'!$B$51+153&lt;'🌱 Configuração'!$E$51,INT(('🌱 Configuração'!$B$51+153-'🌱 Configuração'!$D$51)/7)+1=1,MOD('🌱 Configuração'!$B$51+153-'🌱 Configuração'!$D$51,7)=0),"🌸 Bloom A+B — EC 1.6",IF(AND('🌱 Configuração'!$B$51+153&gt;='🌱 Configuração'!$D$51,'🌱 Configuração'!$B$51+153&lt;'🌱 Configuração'!$E$51,INT(('🌱 Configuração'!$B$51+153-'🌱 Configuração'!$D$51)/7)+1=2,MOD('🌱 Configuração'!$B$51+153-'🌱 Configuração'!$D$51,7)=0),"🌸 Bloom + PK 13/14 início",IF(AND('🌱 Configuração'!$B$51+153&gt;='🌱 Configuração'!$D$51,'🌱 Configuração'!$B$51+153&lt;'🌱 Configuração'!$E$51,INT(('🌱 Configuração'!$B$51+153-'🌱 Configuração'!$D$51)/7)+1=3,MOD('🌱 Configuração'!$B$51+153-'🌱 Configuração'!$D$51,7)=0),"🌸 Bloom + PK + CalMag — EC 1.8",IF(AND('🌱 Configuração'!$B$51+153&gt;='🌱 Configuração'!$D$51,'🌱 Configuração'!$B$51+153&lt;'🌱 Configuração'!$E$51,INT(('🌱 Configuração'!$B$51+153-'🌱 Configuração'!$D$51)/7)+1=4,MOD('🌱 Configuração'!$B$51+153-'🌱 Configuração'!$D$51,7)=0),"🌸 Bloom + PK + Boost Floral — EC 2.0",IF(AND('🌱 Configuração'!$B$51+153&gt;='🌱 Configuração'!$D$51,'🌱 Configuração'!$B$51+153&lt;'🌱 Configuração'!$E$51,INT(('🌱 Configuração'!$B$51+153-'🌱 Configuração'!$D$51)/7)+1=5,MOD('🌱 Configuração'!$B$51+153-'🌱 Configuração'!$D$51,7)=0),"🌸 Bloom + Boost + Amino",IF(AND('🌱 Configuração'!$B$51+153&gt;='🌱 Configuração'!$D$51,'🌱 Configuração'!$B$51+153&lt;'🌱 Configuração'!$E$51,INT(('🌱 Configuração'!$B$51+153-'🌱 Configuração'!$D$51)/7)+1=6,MOD('🌱 Configuração'!$B$51+153-'🌱 Configuração'!$D$51,7)=0),"🌸 Bloom + Enzimas + Amino",IF(AND('🌱 Configuração'!$B$51+153&gt;='🌱 Configuração'!$D$51,'🌱 Configuração'!$B$51+153&lt;'🌱 Configuração'!$E$51,INT(('🌱 Configuração'!$B$51+153-'🌱 Configuração'!$D$51)/7)+1=7,MOD('🌱 Configuração'!$B$51+153-'🌱 Configuração'!$D$51,7)=0),"🌸 Reduzir N — Bloom puro — EC 1.6",IF(AND('🌱 Configuração'!$B$51+153&gt;='🌱 Configuração'!$D$51,'🌱 Configuração'!$B$51+153&lt;'🌱 Configuração'!$E$51,INT(('🌱 Configuração'!$B$51+153-'🌱 Configuração'!$D$51)/7)+1=8,MOD('🌱 Configuração'!$B$51+153-'🌱 Configuração'!$D$51,7)=0),"🌸 Bloom puro — EC 1.4  (pré-flush)",IF(AND('🌱 Configuração'!$B$51+153&gt;='🌱 Configuração'!$D$51,'🌱 Configuração'!$B$51+153&lt;'🌱 Configuração'!$E$51,INT(('🌱 Configuração'!$B$51+153-'🌱 Configuração'!$D$51)/7)+1=9,MOD('🌱 Configuração'!$B$51+153-'🌱 Configuração'!$D$51,7)=0),"🌸 Último Bloom — EC 0.8",IF(AND('🌱 Configuração'!$B$51+153&gt;='🌱 Configuração'!$E$51,INT(('🌱 Configuração'!$B$51+153-'🌱 Configuração'!$E$51)/7)+1=1,MOD('🌱 Configuração'!$B$51+153-'🌱 Configuração'!$E$51,7)=0),"🚿 Água pura + Enzimas (EC &lt; 0.3)",IF(AND('🌱 Configuração'!$B$51+153&gt;='🌱 Configuração'!$E$51,INT(('🌱 Configuração'!$B$51+153-'🌱 Configuração'!$E$51)/7)+1=2,MOD('🌱 Configuração'!$B$51+153-'🌱 Configuração'!$E$51,7)=0),"🚿 Água pura (EC &lt; 0.2)",""))))))))))))))))))))))</f>
        <v/>
      </c>
      <c r="G159" s="30" t="str">
        <f>IF(154&gt;'🌱 Configuração'!$F$50,"",IF(AND('🌱 Configuração'!$B$51+153&lt;'🌱 Configuração'!$C$51,INT((154-1)/7)+1=1,MOD(154-1,7)=0),"🐛 Nim 2mL/L foliar — preventivo",IF(AND('🌱 Configuração'!$B$51+153&lt;'🌱 Configuração'!$C$51,INT((154-1)/7)+1=2,MOD(154-1,7)=0),"🐛 Beauveria bassiana foliar + solo",IF(AND('🌱 Configuração'!$B$51+153&gt;='🌱 Configuração'!$C$51,'🌱 Configuração'!$B$51+153&lt;'🌱 Configuração'!$D$51,INT(('🌱 Configuração'!$B$51+153-'🌱 Configuração'!$C$51)/7)+1=1,MOD('🌱 Configuração'!$B$51+153-'🌱 Configuração'!$C$51,7)=0),"🐛 Nim 2mL/L foliar",IF(AND('🌱 Configuração'!$B$51+153&gt;='🌱 Configuração'!$C$51,'🌱 Configuração'!$B$51+153&lt;'🌱 Configuração'!$D$51,INT(('🌱 Configuração'!$B$51+153-'🌱 Configuração'!$C$51)/7)+1=2,MOD('🌱 Configuração'!$B$51+153-'🌱 Configuração'!$C$51,7)=0),"🐛 Beauveria bassiana foliar",IF(AND('🌱 Configuração'!$B$51+153&gt;='🌱 Configuração'!$C$51,'🌱 Configuração'!$B$51+153&lt;'🌱 Configuração'!$D$51,INT(('🌱 Configuração'!$B$51+153-'🌱 Configuração'!$C$51)/7)+1=3,MOD('🌱 Configuração'!$B$51+153-'🌱 Configuração'!$C$51,7)=0),"🐛 Nim + Calda Sulfocálcica 1%",IF(AND('🌱 Configuração'!$B$51+153&gt;='🌱 Configuração'!$C$51,'🌱 Configuração'!$B$51+153&lt;'🌱 Configuração'!$D$51,INT(('🌱 Configuração'!$B$51+153-'🌱 Configuração'!$C$51)/7)+1=4,MOD('🌱 Configuração'!$B$51+153-'🌱 Configuração'!$C$51,7)=0),"🐛 Trichoderma solo + Beauveria",IF(AND('🌱 Configuração'!$B$51+153&gt;='🌱 Configuração'!$C$51,'🌱 Configuração'!$B$51+153&lt;'🌱 Configuração'!$D$51,INT(('🌱 Configuração'!$B$51+153-'🌱 Configuração'!$C$51)/7)+1=5,MOD('🌱 Configuração'!$B$51+153-'🌱 Configuração'!$C$51,7)=0),"🐛 Calda Bordalesa 0.5% foliar",IF(AND('🌱 Configuração'!$B$51+153&gt;='🌱 Configuração'!$C$51,'🌱 Configuração'!$B$51+153&lt;'🌱 Configuração'!$D$51,INT(('🌱 Configuração'!$B$51+153-'🌱 Configuração'!$C$51)/7)+1=6,MOD('🌱 Configuração'!$B$51+153-'🌱 Configuração'!$C$51,7)=0),"🐛 Nim 2mL/L — ÚLTIMA foliar",IF(AND('🌱 Configuração'!$B$51+153&gt;='🌱 Configuração'!$D$51,'🌱 Configuração'!$B$51+153&lt;'🌱 Configuração'!$E$51,INT(('🌱 Configuração'!$B$51+153-'🌱 Configuração'!$D$51)/7)+1=1,MOD('🌱 Configuração'!$B$51+153-'🌱 Configuração'!$D$51,7)=0),"🐛 Beauveria bassiana solo (sem foliar)",IF(AND('🌱 Configuração'!$B$51+153&gt;='🌱 Configuração'!$D$51,'🌱 Configuração'!$B$51+153&lt;'🌱 Configuração'!$E$51,INT(('🌱 Configuração'!$B$51+153-'🌱 Configuração'!$D$51)/7)+1=2,MOD('🌱 Configuração'!$B$51+153-'🌱 Configuração'!$D$51,7)=0),"🐛 Trichoderma solo",IF(AND('🌱 Configuração'!$B$51+153&gt;='🌱 Configuração'!$D$51,'🌱 Configuração'!$B$51+153&lt;'🌱 Configuração'!$E$51,INT(('🌱 Configuração'!$B$51+153-'🌱 Configuração'!$D$51)/7)+1=3,MOD('🌱 Configuração'!$B$51+153-'🌱 Configuração'!$D$51,7)=0),"🐛 Beauveria bassiana solo",IF(AND('🌱 Configuração'!$B$51+153&gt;='🌱 Configuração'!$D$51,'🌱 Configuração'!$B$51+153&lt;'🌱 Configuração'!$E$51,INT(('🌱 Configuração'!$B$51+153-'🌱 Configuração'!$D$51)/7)+1=4,MOD('🌱 Configuração'!$B$51+153-'🌱 Configuração'!$D$51,7)=0),"🐛 Trichoderma solo",IF(AND('🌱 Configuração'!$B$51+153&gt;='🌱 Configuração'!$E$51,INT(('🌱 Configuração'!$B$51+153-'🌱 Configuração'!$E$51)/7)+1=1,MOD('🌱 Configuração'!$B$51+153-'🌱 Configuração'!$E$51,7)=0),"🐛 Inspeção final — sem aplicação",""))))))))))))))</f>
        <v/>
      </c>
      <c r="H159" s="22" t="str">
        <f>IF(154&gt;'🌱 Configuração'!$F$50,"",IF('🌱 Configuração'!$B$51+153='🌱 Configuração'!$C$51,"🌿 INÍCIO VEGA — ajustar espaço, luz 18h/dia — EC 0.8",IF('🌱 Configuração'!$B$51+153='🌱 Configuração'!$D$51,"🌸 INÍCIO FLORAÇÃO — mudar para 12h/12h — 🔴 atenção ao fotoperíodo",IF('🌱 Configuração'!$B$51+153='🌱 Configuração'!$E$51,"🚿 INÍCIO FLUSH — PARAR nutrição, somente água pura",IF('🌱 Configuração'!$B$51+153='🌱 Configuração'!$F$51-1,"🔬 Véspera da colheita — analisar tricomas âmbar",IF('🌱 Configuração'!$B$51+153='🌱 Configuração'!$F$51,"✂️ COLHEITA! Parabéns! 🎉",""))))))</f>
        <v/>
      </c>
    </row>
    <row r="160" spans="2:8" ht="18.75" customHeight="1" x14ac:dyDescent="0.3">
      <c r="B160" s="25" t="str">
        <f>IF(155&lt;='🌱 Configuração'!$F$50,155,"")</f>
        <v/>
      </c>
      <c r="C160" s="26" t="str">
        <f>IF(155&lt;='🌱 Configuração'!$F$50,'🌱 Configuração'!$B$51+154,"")</f>
        <v/>
      </c>
      <c r="D160" s="27" t="str">
        <f>IF(155&gt;'🌱 Configuração'!$F$50,"",IF('🌱 Configuração'!$B$51+154&lt;'🌱 Configuração'!$C$51,"🌱 Clone",IF('🌱 Configuração'!$B$51+154&lt;'🌱 Configuração'!$D$51,"🌿 Vegetativo",IF('🌱 Configuração'!$B$51+154&lt;'🌱 Configuração'!$E$51,"🌸 Floração","🚿 Flush"))))</f>
        <v/>
      </c>
      <c r="E160" s="28" t="str">
        <f>IF(155&gt;'🌱 Configuração'!$F$50,"",IF('🌱 Configuração'!$B$51+154&lt;'🌱 Configuração'!$C$51,"Clone S"&amp;INT((155-1)/7)+1,IF('🌱 Configuração'!$B$51+154&lt;'🌱 Configuração'!$D$51,"Vega S"&amp;INT(('🌱 Configuração'!$B$51+154-'🌱 Configuração'!$C$51)/7)+1,IF('🌱 Configuração'!$B$51+154&lt;'🌱 Configuração'!$E$51,"Flora S"&amp;INT(('🌱 Configuração'!$B$51+154-'🌱 Configuração'!$D$51)/7)+1,"Flush S"&amp;INT(('🌱 Configuração'!$B$51+154-'🌱 Configuração'!$E$51)/7)+1))))</f>
        <v/>
      </c>
      <c r="F160" s="29" t="str">
        <f>IF(155&gt;'🌱 Configuração'!$F$50,"",IF(AND('🌱 Configuração'!$B$51+154&lt;'🌱 Configuração'!$C$51,INT((155-1)/7)+1=1,MOD(155-1,7)=0),"🌱 Enraizador (0.5 mL/L)",IF(AND('🌱 Configuração'!$B$51+154&lt;'🌱 Configuração'!$C$51,INT((155-1)/7)+1=2,MOD(155-1,7)=0),"🌱 Enraizador + Vitamina B1",IF(AND('🌱 Configuração'!$B$51+154&gt;='🌱 Configuração'!$C$51,'🌱 Configuração'!$B$51+154&lt;'🌱 Configuração'!$D$51,INT(('🌱 Configuração'!$B$51+154-'🌱 Configuração'!$C$51)/7)+1=1,MOD('🌱 Configuração'!$B$51+154-'🌱 Configuração'!$C$51,7)=0),"🌿 Grow A+B início — EC 0.8",IF(AND('🌱 Configuração'!$B$51+154&gt;='🌱 Configuração'!$C$51,'🌱 Configuração'!$B$51+154&lt;'🌱 Configuração'!$D$51,INT(('🌱 Configuração'!$B$51+154-'🌱 Configuração'!$C$51)/7)+1=2,MOD('🌱 Configuração'!$B$51+154-'🌱 Configuração'!$C$51,7)=0),"🌿 Grow A+B + CalMag — EC 1.0",IF(AND('🌱 Configuração'!$B$51+154&gt;='🌱 Configuração'!$C$51,'🌱 Configuração'!$B$51+154&lt;'🌱 Configuração'!$D$51,INT(('🌱 Configuração'!$B$51+154-'🌱 Configuração'!$C$51)/7)+1=3,MOD('🌱 Configuração'!$B$51+154-'🌱 Configuração'!$C$51,7)=0),"🌿 Grow A+B + CalMag — EC 1.2",IF(AND('🌱 Configuração'!$B$51+154&gt;='🌱 Configuração'!$C$51,'🌱 Configuração'!$B$51+154&lt;'🌱 Configuração'!$D$51,INT(('🌱 Configuração'!$B$51+154-'🌱 Configuração'!$C$51)/7)+1=4,MOD('🌱 Configuração'!$B$51+154-'🌱 Configuração'!$C$51,7)=0),"🌿 Grow A+B + Enzimas — EC 1.4",IF(AND('🌱 Configuração'!$B$51+154&gt;='🌱 Configuração'!$C$51,'🌱 Configuração'!$B$51+154&lt;'🌱 Configuração'!$D$51,INT(('🌱 Configuração'!$B$51+154-'🌱 Configuração'!$C$51)/7)+1=5,MOD('🌱 Configuração'!$B$51+154-'🌱 Configuração'!$C$51,7)=0),"🌿 Grow A+B + Biorrizas — EC 1.5",IF(AND('🌱 Configuração'!$B$51+154&gt;='🌱 Configuração'!$C$51,'🌱 Configuração'!$B$51+154&lt;'🌱 Configuração'!$D$51,INT(('🌱 Configuração'!$B$51+154-'🌱 Configuração'!$C$51)/7)+1=6,MOD('🌱 Configuração'!$B$51+154-'🌱 Configuração'!$C$51,7)=0),"🌿 Transição Bloom — EC 1.4",IF(AND('🌱 Configuração'!$B$51+154&gt;='🌱 Configuração'!$C$51,'🌱 Configuração'!$B$51+154&lt;'🌱 Configuração'!$D$51,INT(('🌱 Configuração'!$B$51+154-'🌱 Configuração'!$C$51)/7)+1=7,MOD('🌱 Configuração'!$B$51+154-'🌱 Configuração'!$C$51,7)=0),"🌿 Bloom A+B transição — EC 1.4",IF(AND('🌱 Configuração'!$B$51+154&gt;='🌱 Configuração'!$C$51,'🌱 Configuração'!$B$51+154&lt;'🌱 Configuração'!$D$51,INT(('🌱 Configuração'!$B$51+154-'🌱 Configuração'!$C$51)/7)+1=8,MOD('🌱 Configuração'!$B$51+154-'🌱 Configuração'!$C$51,7)=0),"🌿 Bloom A+B — EC 1.4",IF(AND('🌱 Configuração'!$B$51+154&gt;='🌱 Configuração'!$D$51,'🌱 Configuração'!$B$51+154&lt;'🌱 Configuração'!$E$51,INT(('🌱 Configuração'!$B$51+154-'🌱 Configuração'!$D$51)/7)+1=1,MOD('🌱 Configuração'!$B$51+154-'🌱 Configuração'!$D$51,7)=0),"🌸 Bloom A+B — EC 1.6",IF(AND('🌱 Configuração'!$B$51+154&gt;='🌱 Configuração'!$D$51,'🌱 Configuração'!$B$51+154&lt;'🌱 Configuração'!$E$51,INT(('🌱 Configuração'!$B$51+154-'🌱 Configuração'!$D$51)/7)+1=2,MOD('🌱 Configuração'!$B$51+154-'🌱 Configuração'!$D$51,7)=0),"🌸 Bloom + PK 13/14 início",IF(AND('🌱 Configuração'!$B$51+154&gt;='🌱 Configuração'!$D$51,'🌱 Configuração'!$B$51+154&lt;'🌱 Configuração'!$E$51,INT(('🌱 Configuração'!$B$51+154-'🌱 Configuração'!$D$51)/7)+1=3,MOD('🌱 Configuração'!$B$51+154-'🌱 Configuração'!$D$51,7)=0),"🌸 Bloom + PK + CalMag — EC 1.8",IF(AND('🌱 Configuração'!$B$51+154&gt;='🌱 Configuração'!$D$51,'🌱 Configuração'!$B$51+154&lt;'🌱 Configuração'!$E$51,INT(('🌱 Configuração'!$B$51+154-'🌱 Configuração'!$D$51)/7)+1=4,MOD('🌱 Configuração'!$B$51+154-'🌱 Configuração'!$D$51,7)=0),"🌸 Bloom + PK + Boost Floral — EC 2.0",IF(AND('🌱 Configuração'!$B$51+154&gt;='🌱 Configuração'!$D$51,'🌱 Configuração'!$B$51+154&lt;'🌱 Configuração'!$E$51,INT(('🌱 Configuração'!$B$51+154-'🌱 Configuração'!$D$51)/7)+1=5,MOD('🌱 Configuração'!$B$51+154-'🌱 Configuração'!$D$51,7)=0),"🌸 Bloom + Boost + Amino",IF(AND('🌱 Configuração'!$B$51+154&gt;='🌱 Configuração'!$D$51,'🌱 Configuração'!$B$51+154&lt;'🌱 Configuração'!$E$51,INT(('🌱 Configuração'!$B$51+154-'🌱 Configuração'!$D$51)/7)+1=6,MOD('🌱 Configuração'!$B$51+154-'🌱 Configuração'!$D$51,7)=0),"🌸 Bloom + Enzimas + Amino",IF(AND('🌱 Configuração'!$B$51+154&gt;='🌱 Configuração'!$D$51,'🌱 Configuração'!$B$51+154&lt;'🌱 Configuração'!$E$51,INT(('🌱 Configuração'!$B$51+154-'🌱 Configuração'!$D$51)/7)+1=7,MOD('🌱 Configuração'!$B$51+154-'🌱 Configuração'!$D$51,7)=0),"🌸 Reduzir N — Bloom puro — EC 1.6",IF(AND('🌱 Configuração'!$B$51+154&gt;='🌱 Configuração'!$D$51,'🌱 Configuração'!$B$51+154&lt;'🌱 Configuração'!$E$51,INT(('🌱 Configuração'!$B$51+154-'🌱 Configuração'!$D$51)/7)+1=8,MOD('🌱 Configuração'!$B$51+154-'🌱 Configuração'!$D$51,7)=0),"🌸 Bloom puro — EC 1.4  (pré-flush)",IF(AND('🌱 Configuração'!$B$51+154&gt;='🌱 Configuração'!$D$51,'🌱 Configuração'!$B$51+154&lt;'🌱 Configuração'!$E$51,INT(('🌱 Configuração'!$B$51+154-'🌱 Configuração'!$D$51)/7)+1=9,MOD('🌱 Configuração'!$B$51+154-'🌱 Configuração'!$D$51,7)=0),"🌸 Último Bloom — EC 0.8",IF(AND('🌱 Configuração'!$B$51+154&gt;='🌱 Configuração'!$E$51,INT(('🌱 Configuração'!$B$51+154-'🌱 Configuração'!$E$51)/7)+1=1,MOD('🌱 Configuração'!$B$51+154-'🌱 Configuração'!$E$51,7)=0),"🚿 Água pura + Enzimas (EC &lt; 0.3)",IF(AND('🌱 Configuração'!$B$51+154&gt;='🌱 Configuração'!$E$51,INT(('🌱 Configuração'!$B$51+154-'🌱 Configuração'!$E$51)/7)+1=2,MOD('🌱 Configuração'!$B$51+154-'🌱 Configuração'!$E$51,7)=0),"🚿 Água pura (EC &lt; 0.2)",""))))))))))))))))))))))</f>
        <v/>
      </c>
      <c r="G160" s="30" t="str">
        <f>IF(155&gt;'🌱 Configuração'!$F$50,"",IF(AND('🌱 Configuração'!$B$51+154&lt;'🌱 Configuração'!$C$51,INT((155-1)/7)+1=1,MOD(155-1,7)=0),"🐛 Nim 2mL/L foliar — preventivo",IF(AND('🌱 Configuração'!$B$51+154&lt;'🌱 Configuração'!$C$51,INT((155-1)/7)+1=2,MOD(155-1,7)=0),"🐛 Beauveria bassiana foliar + solo",IF(AND('🌱 Configuração'!$B$51+154&gt;='🌱 Configuração'!$C$51,'🌱 Configuração'!$B$51+154&lt;'🌱 Configuração'!$D$51,INT(('🌱 Configuração'!$B$51+154-'🌱 Configuração'!$C$51)/7)+1=1,MOD('🌱 Configuração'!$B$51+154-'🌱 Configuração'!$C$51,7)=0),"🐛 Nim 2mL/L foliar",IF(AND('🌱 Configuração'!$B$51+154&gt;='🌱 Configuração'!$C$51,'🌱 Configuração'!$B$51+154&lt;'🌱 Configuração'!$D$51,INT(('🌱 Configuração'!$B$51+154-'🌱 Configuração'!$C$51)/7)+1=2,MOD('🌱 Configuração'!$B$51+154-'🌱 Configuração'!$C$51,7)=0),"🐛 Beauveria bassiana foliar",IF(AND('🌱 Configuração'!$B$51+154&gt;='🌱 Configuração'!$C$51,'🌱 Configuração'!$B$51+154&lt;'🌱 Configuração'!$D$51,INT(('🌱 Configuração'!$B$51+154-'🌱 Configuração'!$C$51)/7)+1=3,MOD('🌱 Configuração'!$B$51+154-'🌱 Configuração'!$C$51,7)=0),"🐛 Nim + Calda Sulfocálcica 1%",IF(AND('🌱 Configuração'!$B$51+154&gt;='🌱 Configuração'!$C$51,'🌱 Configuração'!$B$51+154&lt;'🌱 Configuração'!$D$51,INT(('🌱 Configuração'!$B$51+154-'🌱 Configuração'!$C$51)/7)+1=4,MOD('🌱 Configuração'!$B$51+154-'🌱 Configuração'!$C$51,7)=0),"🐛 Trichoderma solo + Beauveria",IF(AND('🌱 Configuração'!$B$51+154&gt;='🌱 Configuração'!$C$51,'🌱 Configuração'!$B$51+154&lt;'🌱 Configuração'!$D$51,INT(('🌱 Configuração'!$B$51+154-'🌱 Configuração'!$C$51)/7)+1=5,MOD('🌱 Configuração'!$B$51+154-'🌱 Configuração'!$C$51,7)=0),"🐛 Calda Bordalesa 0.5% foliar",IF(AND('🌱 Configuração'!$B$51+154&gt;='🌱 Configuração'!$C$51,'🌱 Configuração'!$B$51+154&lt;'🌱 Configuração'!$D$51,INT(('🌱 Configuração'!$B$51+154-'🌱 Configuração'!$C$51)/7)+1=6,MOD('🌱 Configuração'!$B$51+154-'🌱 Configuração'!$C$51,7)=0),"🐛 Nim 2mL/L — ÚLTIMA foliar",IF(AND('🌱 Configuração'!$B$51+154&gt;='🌱 Configuração'!$D$51,'🌱 Configuração'!$B$51+154&lt;'🌱 Configuração'!$E$51,INT(('🌱 Configuração'!$B$51+154-'🌱 Configuração'!$D$51)/7)+1=1,MOD('🌱 Configuração'!$B$51+154-'🌱 Configuração'!$D$51,7)=0),"🐛 Beauveria bassiana solo (sem foliar)",IF(AND('🌱 Configuração'!$B$51+154&gt;='🌱 Configuração'!$D$51,'🌱 Configuração'!$B$51+154&lt;'🌱 Configuração'!$E$51,INT(('🌱 Configuração'!$B$51+154-'🌱 Configuração'!$D$51)/7)+1=2,MOD('🌱 Configuração'!$B$51+154-'🌱 Configuração'!$D$51,7)=0),"🐛 Trichoderma solo",IF(AND('🌱 Configuração'!$B$51+154&gt;='🌱 Configuração'!$D$51,'🌱 Configuração'!$B$51+154&lt;'🌱 Configuração'!$E$51,INT(('🌱 Configuração'!$B$51+154-'🌱 Configuração'!$D$51)/7)+1=3,MOD('🌱 Configuração'!$B$51+154-'🌱 Configuração'!$D$51,7)=0),"🐛 Beauveria bassiana solo",IF(AND('🌱 Configuração'!$B$51+154&gt;='🌱 Configuração'!$D$51,'🌱 Configuração'!$B$51+154&lt;'🌱 Configuração'!$E$51,INT(('🌱 Configuração'!$B$51+154-'🌱 Configuração'!$D$51)/7)+1=4,MOD('🌱 Configuração'!$B$51+154-'🌱 Configuração'!$D$51,7)=0),"🐛 Trichoderma solo",IF(AND('🌱 Configuração'!$B$51+154&gt;='🌱 Configuração'!$E$51,INT(('🌱 Configuração'!$B$51+154-'🌱 Configuração'!$E$51)/7)+1=1,MOD('🌱 Configuração'!$B$51+154-'🌱 Configuração'!$E$51,7)=0),"🐛 Inspeção final — sem aplicação",""))))))))))))))</f>
        <v/>
      </c>
      <c r="H160" s="22" t="str">
        <f>IF(155&gt;'🌱 Configuração'!$F$50,"",IF('🌱 Configuração'!$B$51+154='🌱 Configuração'!$C$51,"🌿 INÍCIO VEGA — ajustar espaço, luz 18h/dia — EC 0.8",IF('🌱 Configuração'!$B$51+154='🌱 Configuração'!$D$51,"🌸 INÍCIO FLORAÇÃO — mudar para 12h/12h — 🔴 atenção ao fotoperíodo",IF('🌱 Configuração'!$B$51+154='🌱 Configuração'!$E$51,"🚿 INÍCIO FLUSH — PARAR nutrição, somente água pura",IF('🌱 Configuração'!$B$51+154='🌱 Configuração'!$F$51-1,"🔬 Véspera da colheita — analisar tricomas âmbar",IF('🌱 Configuração'!$B$51+154='🌱 Configuração'!$F$51,"✂️ COLHEITA! Parabéns! 🎉",""))))))</f>
        <v/>
      </c>
    </row>
    <row r="161" spans="2:8" ht="18.75" customHeight="1" x14ac:dyDescent="0.3">
      <c r="B161" s="25" t="str">
        <f>IF(156&lt;='🌱 Configuração'!$F$50,156,"")</f>
        <v/>
      </c>
      <c r="C161" s="26" t="str">
        <f>IF(156&lt;='🌱 Configuração'!$F$50,'🌱 Configuração'!$B$51+155,"")</f>
        <v/>
      </c>
      <c r="D161" s="27" t="str">
        <f>IF(156&gt;'🌱 Configuração'!$F$50,"",IF('🌱 Configuração'!$B$51+155&lt;'🌱 Configuração'!$C$51,"🌱 Clone",IF('🌱 Configuração'!$B$51+155&lt;'🌱 Configuração'!$D$51,"🌿 Vegetativo",IF('🌱 Configuração'!$B$51+155&lt;'🌱 Configuração'!$E$51,"🌸 Floração","🚿 Flush"))))</f>
        <v/>
      </c>
      <c r="E161" s="28" t="str">
        <f>IF(156&gt;'🌱 Configuração'!$F$50,"",IF('🌱 Configuração'!$B$51+155&lt;'🌱 Configuração'!$C$51,"Clone S"&amp;INT((156-1)/7)+1,IF('🌱 Configuração'!$B$51+155&lt;'🌱 Configuração'!$D$51,"Vega S"&amp;INT(('🌱 Configuração'!$B$51+155-'🌱 Configuração'!$C$51)/7)+1,IF('🌱 Configuração'!$B$51+155&lt;'🌱 Configuração'!$E$51,"Flora S"&amp;INT(('🌱 Configuração'!$B$51+155-'🌱 Configuração'!$D$51)/7)+1,"Flush S"&amp;INT(('🌱 Configuração'!$B$51+155-'🌱 Configuração'!$E$51)/7)+1))))</f>
        <v/>
      </c>
      <c r="F161" s="29" t="str">
        <f>IF(156&gt;'🌱 Configuração'!$F$50,"",IF(AND('🌱 Configuração'!$B$51+155&lt;'🌱 Configuração'!$C$51,INT((156-1)/7)+1=1,MOD(156-1,7)=0),"🌱 Enraizador (0.5 mL/L)",IF(AND('🌱 Configuração'!$B$51+155&lt;'🌱 Configuração'!$C$51,INT((156-1)/7)+1=2,MOD(156-1,7)=0),"🌱 Enraizador + Vitamina B1",IF(AND('🌱 Configuração'!$B$51+155&gt;='🌱 Configuração'!$C$51,'🌱 Configuração'!$B$51+155&lt;'🌱 Configuração'!$D$51,INT(('🌱 Configuração'!$B$51+155-'🌱 Configuração'!$C$51)/7)+1=1,MOD('🌱 Configuração'!$B$51+155-'🌱 Configuração'!$C$51,7)=0),"🌿 Grow A+B início — EC 0.8",IF(AND('🌱 Configuração'!$B$51+155&gt;='🌱 Configuração'!$C$51,'🌱 Configuração'!$B$51+155&lt;'🌱 Configuração'!$D$51,INT(('🌱 Configuração'!$B$51+155-'🌱 Configuração'!$C$51)/7)+1=2,MOD('🌱 Configuração'!$B$51+155-'🌱 Configuração'!$C$51,7)=0),"🌿 Grow A+B + CalMag — EC 1.0",IF(AND('🌱 Configuração'!$B$51+155&gt;='🌱 Configuração'!$C$51,'🌱 Configuração'!$B$51+155&lt;'🌱 Configuração'!$D$51,INT(('🌱 Configuração'!$B$51+155-'🌱 Configuração'!$C$51)/7)+1=3,MOD('🌱 Configuração'!$B$51+155-'🌱 Configuração'!$C$51,7)=0),"🌿 Grow A+B + CalMag — EC 1.2",IF(AND('🌱 Configuração'!$B$51+155&gt;='🌱 Configuração'!$C$51,'🌱 Configuração'!$B$51+155&lt;'🌱 Configuração'!$D$51,INT(('🌱 Configuração'!$B$51+155-'🌱 Configuração'!$C$51)/7)+1=4,MOD('🌱 Configuração'!$B$51+155-'🌱 Configuração'!$C$51,7)=0),"🌿 Grow A+B + Enzimas — EC 1.4",IF(AND('🌱 Configuração'!$B$51+155&gt;='🌱 Configuração'!$C$51,'🌱 Configuração'!$B$51+155&lt;'🌱 Configuração'!$D$51,INT(('🌱 Configuração'!$B$51+155-'🌱 Configuração'!$C$51)/7)+1=5,MOD('🌱 Configuração'!$B$51+155-'🌱 Configuração'!$C$51,7)=0),"🌿 Grow A+B + Biorrizas — EC 1.5",IF(AND('🌱 Configuração'!$B$51+155&gt;='🌱 Configuração'!$C$51,'🌱 Configuração'!$B$51+155&lt;'🌱 Configuração'!$D$51,INT(('🌱 Configuração'!$B$51+155-'🌱 Configuração'!$C$51)/7)+1=6,MOD('🌱 Configuração'!$B$51+155-'🌱 Configuração'!$C$51,7)=0),"🌿 Transição Bloom — EC 1.4",IF(AND('🌱 Configuração'!$B$51+155&gt;='🌱 Configuração'!$C$51,'🌱 Configuração'!$B$51+155&lt;'🌱 Configuração'!$D$51,INT(('🌱 Configuração'!$B$51+155-'🌱 Configuração'!$C$51)/7)+1=7,MOD('🌱 Configuração'!$B$51+155-'🌱 Configuração'!$C$51,7)=0),"🌿 Bloom A+B transição — EC 1.4",IF(AND('🌱 Configuração'!$B$51+155&gt;='🌱 Configuração'!$C$51,'🌱 Configuração'!$B$51+155&lt;'🌱 Configuração'!$D$51,INT(('🌱 Configuração'!$B$51+155-'🌱 Configuração'!$C$51)/7)+1=8,MOD('🌱 Configuração'!$B$51+155-'🌱 Configuração'!$C$51,7)=0),"🌿 Bloom A+B — EC 1.4",IF(AND('🌱 Configuração'!$B$51+155&gt;='🌱 Configuração'!$D$51,'🌱 Configuração'!$B$51+155&lt;'🌱 Configuração'!$E$51,INT(('🌱 Configuração'!$B$51+155-'🌱 Configuração'!$D$51)/7)+1=1,MOD('🌱 Configuração'!$B$51+155-'🌱 Configuração'!$D$51,7)=0),"🌸 Bloom A+B — EC 1.6",IF(AND('🌱 Configuração'!$B$51+155&gt;='🌱 Configuração'!$D$51,'🌱 Configuração'!$B$51+155&lt;'🌱 Configuração'!$E$51,INT(('🌱 Configuração'!$B$51+155-'🌱 Configuração'!$D$51)/7)+1=2,MOD('🌱 Configuração'!$B$51+155-'🌱 Configuração'!$D$51,7)=0),"🌸 Bloom + PK 13/14 início",IF(AND('🌱 Configuração'!$B$51+155&gt;='🌱 Configuração'!$D$51,'🌱 Configuração'!$B$51+155&lt;'🌱 Configuração'!$E$51,INT(('🌱 Configuração'!$B$51+155-'🌱 Configuração'!$D$51)/7)+1=3,MOD('🌱 Configuração'!$B$51+155-'🌱 Configuração'!$D$51,7)=0),"🌸 Bloom + PK + CalMag — EC 1.8",IF(AND('🌱 Configuração'!$B$51+155&gt;='🌱 Configuração'!$D$51,'🌱 Configuração'!$B$51+155&lt;'🌱 Configuração'!$E$51,INT(('🌱 Configuração'!$B$51+155-'🌱 Configuração'!$D$51)/7)+1=4,MOD('🌱 Configuração'!$B$51+155-'🌱 Configuração'!$D$51,7)=0),"🌸 Bloom + PK + Boost Floral — EC 2.0",IF(AND('🌱 Configuração'!$B$51+155&gt;='🌱 Configuração'!$D$51,'🌱 Configuração'!$B$51+155&lt;'🌱 Configuração'!$E$51,INT(('🌱 Configuração'!$B$51+155-'🌱 Configuração'!$D$51)/7)+1=5,MOD('🌱 Configuração'!$B$51+155-'🌱 Configuração'!$D$51,7)=0),"🌸 Bloom + Boost + Amino",IF(AND('🌱 Configuração'!$B$51+155&gt;='🌱 Configuração'!$D$51,'🌱 Configuração'!$B$51+155&lt;'🌱 Configuração'!$E$51,INT(('🌱 Configuração'!$B$51+155-'🌱 Configuração'!$D$51)/7)+1=6,MOD('🌱 Configuração'!$B$51+155-'🌱 Configuração'!$D$51,7)=0),"🌸 Bloom + Enzimas + Amino",IF(AND('🌱 Configuração'!$B$51+155&gt;='🌱 Configuração'!$D$51,'🌱 Configuração'!$B$51+155&lt;'🌱 Configuração'!$E$51,INT(('🌱 Configuração'!$B$51+155-'🌱 Configuração'!$D$51)/7)+1=7,MOD('🌱 Configuração'!$B$51+155-'🌱 Configuração'!$D$51,7)=0),"🌸 Reduzir N — Bloom puro — EC 1.6",IF(AND('🌱 Configuração'!$B$51+155&gt;='🌱 Configuração'!$D$51,'🌱 Configuração'!$B$51+155&lt;'🌱 Configuração'!$E$51,INT(('🌱 Configuração'!$B$51+155-'🌱 Configuração'!$D$51)/7)+1=8,MOD('🌱 Configuração'!$B$51+155-'🌱 Configuração'!$D$51,7)=0),"🌸 Bloom puro — EC 1.4  (pré-flush)",IF(AND('🌱 Configuração'!$B$51+155&gt;='🌱 Configuração'!$D$51,'🌱 Configuração'!$B$51+155&lt;'🌱 Configuração'!$E$51,INT(('🌱 Configuração'!$B$51+155-'🌱 Configuração'!$D$51)/7)+1=9,MOD('🌱 Configuração'!$B$51+155-'🌱 Configuração'!$D$51,7)=0),"🌸 Último Bloom — EC 0.8",IF(AND('🌱 Configuração'!$B$51+155&gt;='🌱 Configuração'!$E$51,INT(('🌱 Configuração'!$B$51+155-'🌱 Configuração'!$E$51)/7)+1=1,MOD('🌱 Configuração'!$B$51+155-'🌱 Configuração'!$E$51,7)=0),"🚿 Água pura + Enzimas (EC &lt; 0.3)",IF(AND('🌱 Configuração'!$B$51+155&gt;='🌱 Configuração'!$E$51,INT(('🌱 Configuração'!$B$51+155-'🌱 Configuração'!$E$51)/7)+1=2,MOD('🌱 Configuração'!$B$51+155-'🌱 Configuração'!$E$51,7)=0),"🚿 Água pura (EC &lt; 0.2)",""))))))))))))))))))))))</f>
        <v/>
      </c>
      <c r="G161" s="30" t="str">
        <f>IF(156&gt;'🌱 Configuração'!$F$50,"",IF(AND('🌱 Configuração'!$B$51+155&lt;'🌱 Configuração'!$C$51,INT((156-1)/7)+1=1,MOD(156-1,7)=0),"🐛 Nim 2mL/L foliar — preventivo",IF(AND('🌱 Configuração'!$B$51+155&lt;'🌱 Configuração'!$C$51,INT((156-1)/7)+1=2,MOD(156-1,7)=0),"🐛 Beauveria bassiana foliar + solo",IF(AND('🌱 Configuração'!$B$51+155&gt;='🌱 Configuração'!$C$51,'🌱 Configuração'!$B$51+155&lt;'🌱 Configuração'!$D$51,INT(('🌱 Configuração'!$B$51+155-'🌱 Configuração'!$C$51)/7)+1=1,MOD('🌱 Configuração'!$B$51+155-'🌱 Configuração'!$C$51,7)=0),"🐛 Nim 2mL/L foliar",IF(AND('🌱 Configuração'!$B$51+155&gt;='🌱 Configuração'!$C$51,'🌱 Configuração'!$B$51+155&lt;'🌱 Configuração'!$D$51,INT(('🌱 Configuração'!$B$51+155-'🌱 Configuração'!$C$51)/7)+1=2,MOD('🌱 Configuração'!$B$51+155-'🌱 Configuração'!$C$51,7)=0),"🐛 Beauveria bassiana foliar",IF(AND('🌱 Configuração'!$B$51+155&gt;='🌱 Configuração'!$C$51,'🌱 Configuração'!$B$51+155&lt;'🌱 Configuração'!$D$51,INT(('🌱 Configuração'!$B$51+155-'🌱 Configuração'!$C$51)/7)+1=3,MOD('🌱 Configuração'!$B$51+155-'🌱 Configuração'!$C$51,7)=0),"🐛 Nim + Calda Sulfocálcica 1%",IF(AND('🌱 Configuração'!$B$51+155&gt;='🌱 Configuração'!$C$51,'🌱 Configuração'!$B$51+155&lt;'🌱 Configuração'!$D$51,INT(('🌱 Configuração'!$B$51+155-'🌱 Configuração'!$C$51)/7)+1=4,MOD('🌱 Configuração'!$B$51+155-'🌱 Configuração'!$C$51,7)=0),"🐛 Trichoderma solo + Beauveria",IF(AND('🌱 Configuração'!$B$51+155&gt;='🌱 Configuração'!$C$51,'🌱 Configuração'!$B$51+155&lt;'🌱 Configuração'!$D$51,INT(('🌱 Configuração'!$B$51+155-'🌱 Configuração'!$C$51)/7)+1=5,MOD('🌱 Configuração'!$B$51+155-'🌱 Configuração'!$C$51,7)=0),"🐛 Calda Bordalesa 0.5% foliar",IF(AND('🌱 Configuração'!$B$51+155&gt;='🌱 Configuração'!$C$51,'🌱 Configuração'!$B$51+155&lt;'🌱 Configuração'!$D$51,INT(('🌱 Configuração'!$B$51+155-'🌱 Configuração'!$C$51)/7)+1=6,MOD('🌱 Configuração'!$B$51+155-'🌱 Configuração'!$C$51,7)=0),"🐛 Nim 2mL/L — ÚLTIMA foliar",IF(AND('🌱 Configuração'!$B$51+155&gt;='🌱 Configuração'!$D$51,'🌱 Configuração'!$B$51+155&lt;'🌱 Configuração'!$E$51,INT(('🌱 Configuração'!$B$51+155-'🌱 Configuração'!$D$51)/7)+1=1,MOD('🌱 Configuração'!$B$51+155-'🌱 Configuração'!$D$51,7)=0),"🐛 Beauveria bassiana solo (sem foliar)",IF(AND('🌱 Configuração'!$B$51+155&gt;='🌱 Configuração'!$D$51,'🌱 Configuração'!$B$51+155&lt;'🌱 Configuração'!$E$51,INT(('🌱 Configuração'!$B$51+155-'🌱 Configuração'!$D$51)/7)+1=2,MOD('🌱 Configuração'!$B$51+155-'🌱 Configuração'!$D$51,7)=0),"🐛 Trichoderma solo",IF(AND('🌱 Configuração'!$B$51+155&gt;='🌱 Configuração'!$D$51,'🌱 Configuração'!$B$51+155&lt;'🌱 Configuração'!$E$51,INT(('🌱 Configuração'!$B$51+155-'🌱 Configuração'!$D$51)/7)+1=3,MOD('🌱 Configuração'!$B$51+155-'🌱 Configuração'!$D$51,7)=0),"🐛 Beauveria bassiana solo",IF(AND('🌱 Configuração'!$B$51+155&gt;='🌱 Configuração'!$D$51,'🌱 Configuração'!$B$51+155&lt;'🌱 Configuração'!$E$51,INT(('🌱 Configuração'!$B$51+155-'🌱 Configuração'!$D$51)/7)+1=4,MOD('🌱 Configuração'!$B$51+155-'🌱 Configuração'!$D$51,7)=0),"🐛 Trichoderma solo",IF(AND('🌱 Configuração'!$B$51+155&gt;='🌱 Configuração'!$E$51,INT(('🌱 Configuração'!$B$51+155-'🌱 Configuração'!$E$51)/7)+1=1,MOD('🌱 Configuração'!$B$51+155-'🌱 Configuração'!$E$51,7)=0),"🐛 Inspeção final — sem aplicação",""))))))))))))))</f>
        <v/>
      </c>
      <c r="H161" s="22" t="str">
        <f>IF(156&gt;'🌱 Configuração'!$F$50,"",IF('🌱 Configuração'!$B$51+155='🌱 Configuração'!$C$51,"🌿 INÍCIO VEGA — ajustar espaço, luz 18h/dia — EC 0.8",IF('🌱 Configuração'!$B$51+155='🌱 Configuração'!$D$51,"🌸 INÍCIO FLORAÇÃO — mudar para 12h/12h — 🔴 atenção ao fotoperíodo",IF('🌱 Configuração'!$B$51+155='🌱 Configuração'!$E$51,"🚿 INÍCIO FLUSH — PARAR nutrição, somente água pura",IF('🌱 Configuração'!$B$51+155='🌱 Configuração'!$F$51-1,"🔬 Véspera da colheita — analisar tricomas âmbar",IF('🌱 Configuração'!$B$51+155='🌱 Configuração'!$F$51,"✂️ COLHEITA! Parabéns! 🎉",""))))))</f>
        <v/>
      </c>
    </row>
    <row r="162" spans="2:8" ht="18.75" customHeight="1" x14ac:dyDescent="0.3">
      <c r="B162" s="25" t="str">
        <f>IF(157&lt;='🌱 Configuração'!$F$50,157,"")</f>
        <v/>
      </c>
      <c r="C162" s="26" t="str">
        <f>IF(157&lt;='🌱 Configuração'!$F$50,'🌱 Configuração'!$B$51+156,"")</f>
        <v/>
      </c>
      <c r="D162" s="27" t="str">
        <f>IF(157&gt;'🌱 Configuração'!$F$50,"",IF('🌱 Configuração'!$B$51+156&lt;'🌱 Configuração'!$C$51,"🌱 Clone",IF('🌱 Configuração'!$B$51+156&lt;'🌱 Configuração'!$D$51,"🌿 Vegetativo",IF('🌱 Configuração'!$B$51+156&lt;'🌱 Configuração'!$E$51,"🌸 Floração","🚿 Flush"))))</f>
        <v/>
      </c>
      <c r="E162" s="28" t="str">
        <f>IF(157&gt;'🌱 Configuração'!$F$50,"",IF('🌱 Configuração'!$B$51+156&lt;'🌱 Configuração'!$C$51,"Clone S"&amp;INT((157-1)/7)+1,IF('🌱 Configuração'!$B$51+156&lt;'🌱 Configuração'!$D$51,"Vega S"&amp;INT(('🌱 Configuração'!$B$51+156-'🌱 Configuração'!$C$51)/7)+1,IF('🌱 Configuração'!$B$51+156&lt;'🌱 Configuração'!$E$51,"Flora S"&amp;INT(('🌱 Configuração'!$B$51+156-'🌱 Configuração'!$D$51)/7)+1,"Flush S"&amp;INT(('🌱 Configuração'!$B$51+156-'🌱 Configuração'!$E$51)/7)+1))))</f>
        <v/>
      </c>
      <c r="F162" s="29" t="str">
        <f>IF(157&gt;'🌱 Configuração'!$F$50,"",IF(AND('🌱 Configuração'!$B$51+156&lt;'🌱 Configuração'!$C$51,INT((157-1)/7)+1=1,MOD(157-1,7)=0),"🌱 Enraizador (0.5 mL/L)",IF(AND('🌱 Configuração'!$B$51+156&lt;'🌱 Configuração'!$C$51,INT((157-1)/7)+1=2,MOD(157-1,7)=0),"🌱 Enraizador + Vitamina B1",IF(AND('🌱 Configuração'!$B$51+156&gt;='🌱 Configuração'!$C$51,'🌱 Configuração'!$B$51+156&lt;'🌱 Configuração'!$D$51,INT(('🌱 Configuração'!$B$51+156-'🌱 Configuração'!$C$51)/7)+1=1,MOD('🌱 Configuração'!$B$51+156-'🌱 Configuração'!$C$51,7)=0),"🌿 Grow A+B início — EC 0.8",IF(AND('🌱 Configuração'!$B$51+156&gt;='🌱 Configuração'!$C$51,'🌱 Configuração'!$B$51+156&lt;'🌱 Configuração'!$D$51,INT(('🌱 Configuração'!$B$51+156-'🌱 Configuração'!$C$51)/7)+1=2,MOD('🌱 Configuração'!$B$51+156-'🌱 Configuração'!$C$51,7)=0),"🌿 Grow A+B + CalMag — EC 1.0",IF(AND('🌱 Configuração'!$B$51+156&gt;='🌱 Configuração'!$C$51,'🌱 Configuração'!$B$51+156&lt;'🌱 Configuração'!$D$51,INT(('🌱 Configuração'!$B$51+156-'🌱 Configuração'!$C$51)/7)+1=3,MOD('🌱 Configuração'!$B$51+156-'🌱 Configuração'!$C$51,7)=0),"🌿 Grow A+B + CalMag — EC 1.2",IF(AND('🌱 Configuração'!$B$51+156&gt;='🌱 Configuração'!$C$51,'🌱 Configuração'!$B$51+156&lt;'🌱 Configuração'!$D$51,INT(('🌱 Configuração'!$B$51+156-'🌱 Configuração'!$C$51)/7)+1=4,MOD('🌱 Configuração'!$B$51+156-'🌱 Configuração'!$C$51,7)=0),"🌿 Grow A+B + Enzimas — EC 1.4",IF(AND('🌱 Configuração'!$B$51+156&gt;='🌱 Configuração'!$C$51,'🌱 Configuração'!$B$51+156&lt;'🌱 Configuração'!$D$51,INT(('🌱 Configuração'!$B$51+156-'🌱 Configuração'!$C$51)/7)+1=5,MOD('🌱 Configuração'!$B$51+156-'🌱 Configuração'!$C$51,7)=0),"🌿 Grow A+B + Biorrizas — EC 1.5",IF(AND('🌱 Configuração'!$B$51+156&gt;='🌱 Configuração'!$C$51,'🌱 Configuração'!$B$51+156&lt;'🌱 Configuração'!$D$51,INT(('🌱 Configuração'!$B$51+156-'🌱 Configuração'!$C$51)/7)+1=6,MOD('🌱 Configuração'!$B$51+156-'🌱 Configuração'!$C$51,7)=0),"🌿 Transição Bloom — EC 1.4",IF(AND('🌱 Configuração'!$B$51+156&gt;='🌱 Configuração'!$C$51,'🌱 Configuração'!$B$51+156&lt;'🌱 Configuração'!$D$51,INT(('🌱 Configuração'!$B$51+156-'🌱 Configuração'!$C$51)/7)+1=7,MOD('🌱 Configuração'!$B$51+156-'🌱 Configuração'!$C$51,7)=0),"🌿 Bloom A+B transição — EC 1.4",IF(AND('🌱 Configuração'!$B$51+156&gt;='🌱 Configuração'!$C$51,'🌱 Configuração'!$B$51+156&lt;'🌱 Configuração'!$D$51,INT(('🌱 Configuração'!$B$51+156-'🌱 Configuração'!$C$51)/7)+1=8,MOD('🌱 Configuração'!$B$51+156-'🌱 Configuração'!$C$51,7)=0),"🌿 Bloom A+B — EC 1.4",IF(AND('🌱 Configuração'!$B$51+156&gt;='🌱 Configuração'!$D$51,'🌱 Configuração'!$B$51+156&lt;'🌱 Configuração'!$E$51,INT(('🌱 Configuração'!$B$51+156-'🌱 Configuração'!$D$51)/7)+1=1,MOD('🌱 Configuração'!$B$51+156-'🌱 Configuração'!$D$51,7)=0),"🌸 Bloom A+B — EC 1.6",IF(AND('🌱 Configuração'!$B$51+156&gt;='🌱 Configuração'!$D$51,'🌱 Configuração'!$B$51+156&lt;'🌱 Configuração'!$E$51,INT(('🌱 Configuração'!$B$51+156-'🌱 Configuração'!$D$51)/7)+1=2,MOD('🌱 Configuração'!$B$51+156-'🌱 Configuração'!$D$51,7)=0),"🌸 Bloom + PK 13/14 início",IF(AND('🌱 Configuração'!$B$51+156&gt;='🌱 Configuração'!$D$51,'🌱 Configuração'!$B$51+156&lt;'🌱 Configuração'!$E$51,INT(('🌱 Configuração'!$B$51+156-'🌱 Configuração'!$D$51)/7)+1=3,MOD('🌱 Configuração'!$B$51+156-'🌱 Configuração'!$D$51,7)=0),"🌸 Bloom + PK + CalMag — EC 1.8",IF(AND('🌱 Configuração'!$B$51+156&gt;='🌱 Configuração'!$D$51,'🌱 Configuração'!$B$51+156&lt;'🌱 Configuração'!$E$51,INT(('🌱 Configuração'!$B$51+156-'🌱 Configuração'!$D$51)/7)+1=4,MOD('🌱 Configuração'!$B$51+156-'🌱 Configuração'!$D$51,7)=0),"🌸 Bloom + PK + Boost Floral — EC 2.0",IF(AND('🌱 Configuração'!$B$51+156&gt;='🌱 Configuração'!$D$51,'🌱 Configuração'!$B$51+156&lt;'🌱 Configuração'!$E$51,INT(('🌱 Configuração'!$B$51+156-'🌱 Configuração'!$D$51)/7)+1=5,MOD('🌱 Configuração'!$B$51+156-'🌱 Configuração'!$D$51,7)=0),"🌸 Bloom + Boost + Amino",IF(AND('🌱 Configuração'!$B$51+156&gt;='🌱 Configuração'!$D$51,'🌱 Configuração'!$B$51+156&lt;'🌱 Configuração'!$E$51,INT(('🌱 Configuração'!$B$51+156-'🌱 Configuração'!$D$51)/7)+1=6,MOD('🌱 Configuração'!$B$51+156-'🌱 Configuração'!$D$51,7)=0),"🌸 Bloom + Enzimas + Amino",IF(AND('🌱 Configuração'!$B$51+156&gt;='🌱 Configuração'!$D$51,'🌱 Configuração'!$B$51+156&lt;'🌱 Configuração'!$E$51,INT(('🌱 Configuração'!$B$51+156-'🌱 Configuração'!$D$51)/7)+1=7,MOD('🌱 Configuração'!$B$51+156-'🌱 Configuração'!$D$51,7)=0),"🌸 Reduzir N — Bloom puro — EC 1.6",IF(AND('🌱 Configuração'!$B$51+156&gt;='🌱 Configuração'!$D$51,'🌱 Configuração'!$B$51+156&lt;'🌱 Configuração'!$E$51,INT(('🌱 Configuração'!$B$51+156-'🌱 Configuração'!$D$51)/7)+1=8,MOD('🌱 Configuração'!$B$51+156-'🌱 Configuração'!$D$51,7)=0),"🌸 Bloom puro — EC 1.4  (pré-flush)",IF(AND('🌱 Configuração'!$B$51+156&gt;='🌱 Configuração'!$D$51,'🌱 Configuração'!$B$51+156&lt;'🌱 Configuração'!$E$51,INT(('🌱 Configuração'!$B$51+156-'🌱 Configuração'!$D$51)/7)+1=9,MOD('🌱 Configuração'!$B$51+156-'🌱 Configuração'!$D$51,7)=0),"🌸 Último Bloom — EC 0.8",IF(AND('🌱 Configuração'!$B$51+156&gt;='🌱 Configuração'!$E$51,INT(('🌱 Configuração'!$B$51+156-'🌱 Configuração'!$E$51)/7)+1=1,MOD('🌱 Configuração'!$B$51+156-'🌱 Configuração'!$E$51,7)=0),"🚿 Água pura + Enzimas (EC &lt; 0.3)",IF(AND('🌱 Configuração'!$B$51+156&gt;='🌱 Configuração'!$E$51,INT(('🌱 Configuração'!$B$51+156-'🌱 Configuração'!$E$51)/7)+1=2,MOD('🌱 Configuração'!$B$51+156-'🌱 Configuração'!$E$51,7)=0),"🚿 Água pura (EC &lt; 0.2)",""))))))))))))))))))))))</f>
        <v/>
      </c>
      <c r="G162" s="30" t="str">
        <f>IF(157&gt;'🌱 Configuração'!$F$50,"",IF(AND('🌱 Configuração'!$B$51+156&lt;'🌱 Configuração'!$C$51,INT((157-1)/7)+1=1,MOD(157-1,7)=0),"🐛 Nim 2mL/L foliar — preventivo",IF(AND('🌱 Configuração'!$B$51+156&lt;'🌱 Configuração'!$C$51,INT((157-1)/7)+1=2,MOD(157-1,7)=0),"🐛 Beauveria bassiana foliar + solo",IF(AND('🌱 Configuração'!$B$51+156&gt;='🌱 Configuração'!$C$51,'🌱 Configuração'!$B$51+156&lt;'🌱 Configuração'!$D$51,INT(('🌱 Configuração'!$B$51+156-'🌱 Configuração'!$C$51)/7)+1=1,MOD('🌱 Configuração'!$B$51+156-'🌱 Configuração'!$C$51,7)=0),"🐛 Nim 2mL/L foliar",IF(AND('🌱 Configuração'!$B$51+156&gt;='🌱 Configuração'!$C$51,'🌱 Configuração'!$B$51+156&lt;'🌱 Configuração'!$D$51,INT(('🌱 Configuração'!$B$51+156-'🌱 Configuração'!$C$51)/7)+1=2,MOD('🌱 Configuração'!$B$51+156-'🌱 Configuração'!$C$51,7)=0),"🐛 Beauveria bassiana foliar",IF(AND('🌱 Configuração'!$B$51+156&gt;='🌱 Configuração'!$C$51,'🌱 Configuração'!$B$51+156&lt;'🌱 Configuração'!$D$51,INT(('🌱 Configuração'!$B$51+156-'🌱 Configuração'!$C$51)/7)+1=3,MOD('🌱 Configuração'!$B$51+156-'🌱 Configuração'!$C$51,7)=0),"🐛 Nim + Calda Sulfocálcica 1%",IF(AND('🌱 Configuração'!$B$51+156&gt;='🌱 Configuração'!$C$51,'🌱 Configuração'!$B$51+156&lt;'🌱 Configuração'!$D$51,INT(('🌱 Configuração'!$B$51+156-'🌱 Configuração'!$C$51)/7)+1=4,MOD('🌱 Configuração'!$B$51+156-'🌱 Configuração'!$C$51,7)=0),"🐛 Trichoderma solo + Beauveria",IF(AND('🌱 Configuração'!$B$51+156&gt;='🌱 Configuração'!$C$51,'🌱 Configuração'!$B$51+156&lt;'🌱 Configuração'!$D$51,INT(('🌱 Configuração'!$B$51+156-'🌱 Configuração'!$C$51)/7)+1=5,MOD('🌱 Configuração'!$B$51+156-'🌱 Configuração'!$C$51,7)=0),"🐛 Calda Bordalesa 0.5% foliar",IF(AND('🌱 Configuração'!$B$51+156&gt;='🌱 Configuração'!$C$51,'🌱 Configuração'!$B$51+156&lt;'🌱 Configuração'!$D$51,INT(('🌱 Configuração'!$B$51+156-'🌱 Configuração'!$C$51)/7)+1=6,MOD('🌱 Configuração'!$B$51+156-'🌱 Configuração'!$C$51,7)=0),"🐛 Nim 2mL/L — ÚLTIMA foliar",IF(AND('🌱 Configuração'!$B$51+156&gt;='🌱 Configuração'!$D$51,'🌱 Configuração'!$B$51+156&lt;'🌱 Configuração'!$E$51,INT(('🌱 Configuração'!$B$51+156-'🌱 Configuração'!$D$51)/7)+1=1,MOD('🌱 Configuração'!$B$51+156-'🌱 Configuração'!$D$51,7)=0),"🐛 Beauveria bassiana solo (sem foliar)",IF(AND('🌱 Configuração'!$B$51+156&gt;='🌱 Configuração'!$D$51,'🌱 Configuração'!$B$51+156&lt;'🌱 Configuração'!$E$51,INT(('🌱 Configuração'!$B$51+156-'🌱 Configuração'!$D$51)/7)+1=2,MOD('🌱 Configuração'!$B$51+156-'🌱 Configuração'!$D$51,7)=0),"🐛 Trichoderma solo",IF(AND('🌱 Configuração'!$B$51+156&gt;='🌱 Configuração'!$D$51,'🌱 Configuração'!$B$51+156&lt;'🌱 Configuração'!$E$51,INT(('🌱 Configuração'!$B$51+156-'🌱 Configuração'!$D$51)/7)+1=3,MOD('🌱 Configuração'!$B$51+156-'🌱 Configuração'!$D$51,7)=0),"🐛 Beauveria bassiana solo",IF(AND('🌱 Configuração'!$B$51+156&gt;='🌱 Configuração'!$D$51,'🌱 Configuração'!$B$51+156&lt;'🌱 Configuração'!$E$51,INT(('🌱 Configuração'!$B$51+156-'🌱 Configuração'!$D$51)/7)+1=4,MOD('🌱 Configuração'!$B$51+156-'🌱 Configuração'!$D$51,7)=0),"🐛 Trichoderma solo",IF(AND('🌱 Configuração'!$B$51+156&gt;='🌱 Configuração'!$E$51,INT(('🌱 Configuração'!$B$51+156-'🌱 Configuração'!$E$51)/7)+1=1,MOD('🌱 Configuração'!$B$51+156-'🌱 Configuração'!$E$51,7)=0),"🐛 Inspeção final — sem aplicação",""))))))))))))))</f>
        <v/>
      </c>
      <c r="H162" s="22" t="str">
        <f>IF(157&gt;'🌱 Configuração'!$F$50,"",IF('🌱 Configuração'!$B$51+156='🌱 Configuração'!$C$51,"🌿 INÍCIO VEGA — ajustar espaço, luz 18h/dia — EC 0.8",IF('🌱 Configuração'!$B$51+156='🌱 Configuração'!$D$51,"🌸 INÍCIO FLORAÇÃO — mudar para 12h/12h — 🔴 atenção ao fotoperíodo",IF('🌱 Configuração'!$B$51+156='🌱 Configuração'!$E$51,"🚿 INÍCIO FLUSH — PARAR nutrição, somente água pura",IF('🌱 Configuração'!$B$51+156='🌱 Configuração'!$F$51-1,"🔬 Véspera da colheita — analisar tricomas âmbar",IF('🌱 Configuração'!$B$51+156='🌱 Configuração'!$F$51,"✂️ COLHEITA! Parabéns! 🎉",""))))))</f>
        <v/>
      </c>
    </row>
    <row r="163" spans="2:8" ht="18.75" customHeight="1" x14ac:dyDescent="0.3">
      <c r="B163" s="25" t="str">
        <f>IF(158&lt;='🌱 Configuração'!$F$50,158,"")</f>
        <v/>
      </c>
      <c r="C163" s="26" t="str">
        <f>IF(158&lt;='🌱 Configuração'!$F$50,'🌱 Configuração'!$B$51+157,"")</f>
        <v/>
      </c>
      <c r="D163" s="27" t="str">
        <f>IF(158&gt;'🌱 Configuração'!$F$50,"",IF('🌱 Configuração'!$B$51+157&lt;'🌱 Configuração'!$C$51,"🌱 Clone",IF('🌱 Configuração'!$B$51+157&lt;'🌱 Configuração'!$D$51,"🌿 Vegetativo",IF('🌱 Configuração'!$B$51+157&lt;'🌱 Configuração'!$E$51,"🌸 Floração","🚿 Flush"))))</f>
        <v/>
      </c>
      <c r="E163" s="28" t="str">
        <f>IF(158&gt;'🌱 Configuração'!$F$50,"",IF('🌱 Configuração'!$B$51+157&lt;'🌱 Configuração'!$C$51,"Clone S"&amp;INT((158-1)/7)+1,IF('🌱 Configuração'!$B$51+157&lt;'🌱 Configuração'!$D$51,"Vega S"&amp;INT(('🌱 Configuração'!$B$51+157-'🌱 Configuração'!$C$51)/7)+1,IF('🌱 Configuração'!$B$51+157&lt;'🌱 Configuração'!$E$51,"Flora S"&amp;INT(('🌱 Configuração'!$B$51+157-'🌱 Configuração'!$D$51)/7)+1,"Flush S"&amp;INT(('🌱 Configuração'!$B$51+157-'🌱 Configuração'!$E$51)/7)+1))))</f>
        <v/>
      </c>
      <c r="F163" s="29" t="str">
        <f>IF(158&gt;'🌱 Configuração'!$F$50,"",IF(AND('🌱 Configuração'!$B$51+157&lt;'🌱 Configuração'!$C$51,INT((158-1)/7)+1=1,MOD(158-1,7)=0),"🌱 Enraizador (0.5 mL/L)",IF(AND('🌱 Configuração'!$B$51+157&lt;'🌱 Configuração'!$C$51,INT((158-1)/7)+1=2,MOD(158-1,7)=0),"🌱 Enraizador + Vitamina B1",IF(AND('🌱 Configuração'!$B$51+157&gt;='🌱 Configuração'!$C$51,'🌱 Configuração'!$B$51+157&lt;'🌱 Configuração'!$D$51,INT(('🌱 Configuração'!$B$51+157-'🌱 Configuração'!$C$51)/7)+1=1,MOD('🌱 Configuração'!$B$51+157-'🌱 Configuração'!$C$51,7)=0),"🌿 Grow A+B início — EC 0.8",IF(AND('🌱 Configuração'!$B$51+157&gt;='🌱 Configuração'!$C$51,'🌱 Configuração'!$B$51+157&lt;'🌱 Configuração'!$D$51,INT(('🌱 Configuração'!$B$51+157-'🌱 Configuração'!$C$51)/7)+1=2,MOD('🌱 Configuração'!$B$51+157-'🌱 Configuração'!$C$51,7)=0),"🌿 Grow A+B + CalMag — EC 1.0",IF(AND('🌱 Configuração'!$B$51+157&gt;='🌱 Configuração'!$C$51,'🌱 Configuração'!$B$51+157&lt;'🌱 Configuração'!$D$51,INT(('🌱 Configuração'!$B$51+157-'🌱 Configuração'!$C$51)/7)+1=3,MOD('🌱 Configuração'!$B$51+157-'🌱 Configuração'!$C$51,7)=0),"🌿 Grow A+B + CalMag — EC 1.2",IF(AND('🌱 Configuração'!$B$51+157&gt;='🌱 Configuração'!$C$51,'🌱 Configuração'!$B$51+157&lt;'🌱 Configuração'!$D$51,INT(('🌱 Configuração'!$B$51+157-'🌱 Configuração'!$C$51)/7)+1=4,MOD('🌱 Configuração'!$B$51+157-'🌱 Configuração'!$C$51,7)=0),"🌿 Grow A+B + Enzimas — EC 1.4",IF(AND('🌱 Configuração'!$B$51+157&gt;='🌱 Configuração'!$C$51,'🌱 Configuração'!$B$51+157&lt;'🌱 Configuração'!$D$51,INT(('🌱 Configuração'!$B$51+157-'🌱 Configuração'!$C$51)/7)+1=5,MOD('🌱 Configuração'!$B$51+157-'🌱 Configuração'!$C$51,7)=0),"🌿 Grow A+B + Biorrizas — EC 1.5",IF(AND('🌱 Configuração'!$B$51+157&gt;='🌱 Configuração'!$C$51,'🌱 Configuração'!$B$51+157&lt;'🌱 Configuração'!$D$51,INT(('🌱 Configuração'!$B$51+157-'🌱 Configuração'!$C$51)/7)+1=6,MOD('🌱 Configuração'!$B$51+157-'🌱 Configuração'!$C$51,7)=0),"🌿 Transição Bloom — EC 1.4",IF(AND('🌱 Configuração'!$B$51+157&gt;='🌱 Configuração'!$C$51,'🌱 Configuração'!$B$51+157&lt;'🌱 Configuração'!$D$51,INT(('🌱 Configuração'!$B$51+157-'🌱 Configuração'!$C$51)/7)+1=7,MOD('🌱 Configuração'!$B$51+157-'🌱 Configuração'!$C$51,7)=0),"🌿 Bloom A+B transição — EC 1.4",IF(AND('🌱 Configuração'!$B$51+157&gt;='🌱 Configuração'!$C$51,'🌱 Configuração'!$B$51+157&lt;'🌱 Configuração'!$D$51,INT(('🌱 Configuração'!$B$51+157-'🌱 Configuração'!$C$51)/7)+1=8,MOD('🌱 Configuração'!$B$51+157-'🌱 Configuração'!$C$51,7)=0),"🌿 Bloom A+B — EC 1.4",IF(AND('🌱 Configuração'!$B$51+157&gt;='🌱 Configuração'!$D$51,'🌱 Configuração'!$B$51+157&lt;'🌱 Configuração'!$E$51,INT(('🌱 Configuração'!$B$51+157-'🌱 Configuração'!$D$51)/7)+1=1,MOD('🌱 Configuração'!$B$51+157-'🌱 Configuração'!$D$51,7)=0),"🌸 Bloom A+B — EC 1.6",IF(AND('🌱 Configuração'!$B$51+157&gt;='🌱 Configuração'!$D$51,'🌱 Configuração'!$B$51+157&lt;'🌱 Configuração'!$E$51,INT(('🌱 Configuração'!$B$51+157-'🌱 Configuração'!$D$51)/7)+1=2,MOD('🌱 Configuração'!$B$51+157-'🌱 Configuração'!$D$51,7)=0),"🌸 Bloom + PK 13/14 início",IF(AND('🌱 Configuração'!$B$51+157&gt;='🌱 Configuração'!$D$51,'🌱 Configuração'!$B$51+157&lt;'🌱 Configuração'!$E$51,INT(('🌱 Configuração'!$B$51+157-'🌱 Configuração'!$D$51)/7)+1=3,MOD('🌱 Configuração'!$B$51+157-'🌱 Configuração'!$D$51,7)=0),"🌸 Bloom + PK + CalMag — EC 1.8",IF(AND('🌱 Configuração'!$B$51+157&gt;='🌱 Configuração'!$D$51,'🌱 Configuração'!$B$51+157&lt;'🌱 Configuração'!$E$51,INT(('🌱 Configuração'!$B$51+157-'🌱 Configuração'!$D$51)/7)+1=4,MOD('🌱 Configuração'!$B$51+157-'🌱 Configuração'!$D$51,7)=0),"🌸 Bloom + PK + Boost Floral — EC 2.0",IF(AND('🌱 Configuração'!$B$51+157&gt;='🌱 Configuração'!$D$51,'🌱 Configuração'!$B$51+157&lt;'🌱 Configuração'!$E$51,INT(('🌱 Configuração'!$B$51+157-'🌱 Configuração'!$D$51)/7)+1=5,MOD('🌱 Configuração'!$B$51+157-'🌱 Configuração'!$D$51,7)=0),"🌸 Bloom + Boost + Amino",IF(AND('🌱 Configuração'!$B$51+157&gt;='🌱 Configuração'!$D$51,'🌱 Configuração'!$B$51+157&lt;'🌱 Configuração'!$E$51,INT(('🌱 Configuração'!$B$51+157-'🌱 Configuração'!$D$51)/7)+1=6,MOD('🌱 Configuração'!$B$51+157-'🌱 Configuração'!$D$51,7)=0),"🌸 Bloom + Enzimas + Amino",IF(AND('🌱 Configuração'!$B$51+157&gt;='🌱 Configuração'!$D$51,'🌱 Configuração'!$B$51+157&lt;'🌱 Configuração'!$E$51,INT(('🌱 Configuração'!$B$51+157-'🌱 Configuração'!$D$51)/7)+1=7,MOD('🌱 Configuração'!$B$51+157-'🌱 Configuração'!$D$51,7)=0),"🌸 Reduzir N — Bloom puro — EC 1.6",IF(AND('🌱 Configuração'!$B$51+157&gt;='🌱 Configuração'!$D$51,'🌱 Configuração'!$B$51+157&lt;'🌱 Configuração'!$E$51,INT(('🌱 Configuração'!$B$51+157-'🌱 Configuração'!$D$51)/7)+1=8,MOD('🌱 Configuração'!$B$51+157-'🌱 Configuração'!$D$51,7)=0),"🌸 Bloom puro — EC 1.4  (pré-flush)",IF(AND('🌱 Configuração'!$B$51+157&gt;='🌱 Configuração'!$D$51,'🌱 Configuração'!$B$51+157&lt;'🌱 Configuração'!$E$51,INT(('🌱 Configuração'!$B$51+157-'🌱 Configuração'!$D$51)/7)+1=9,MOD('🌱 Configuração'!$B$51+157-'🌱 Configuração'!$D$51,7)=0),"🌸 Último Bloom — EC 0.8",IF(AND('🌱 Configuração'!$B$51+157&gt;='🌱 Configuração'!$E$51,INT(('🌱 Configuração'!$B$51+157-'🌱 Configuração'!$E$51)/7)+1=1,MOD('🌱 Configuração'!$B$51+157-'🌱 Configuração'!$E$51,7)=0),"🚿 Água pura + Enzimas (EC &lt; 0.3)",IF(AND('🌱 Configuração'!$B$51+157&gt;='🌱 Configuração'!$E$51,INT(('🌱 Configuração'!$B$51+157-'🌱 Configuração'!$E$51)/7)+1=2,MOD('🌱 Configuração'!$B$51+157-'🌱 Configuração'!$E$51,7)=0),"🚿 Água pura (EC &lt; 0.2)",""))))))))))))))))))))))</f>
        <v/>
      </c>
      <c r="G163" s="30" t="str">
        <f>IF(158&gt;'🌱 Configuração'!$F$50,"",IF(AND('🌱 Configuração'!$B$51+157&lt;'🌱 Configuração'!$C$51,INT((158-1)/7)+1=1,MOD(158-1,7)=0),"🐛 Nim 2mL/L foliar — preventivo",IF(AND('🌱 Configuração'!$B$51+157&lt;'🌱 Configuração'!$C$51,INT((158-1)/7)+1=2,MOD(158-1,7)=0),"🐛 Beauveria bassiana foliar + solo",IF(AND('🌱 Configuração'!$B$51+157&gt;='🌱 Configuração'!$C$51,'🌱 Configuração'!$B$51+157&lt;'🌱 Configuração'!$D$51,INT(('🌱 Configuração'!$B$51+157-'🌱 Configuração'!$C$51)/7)+1=1,MOD('🌱 Configuração'!$B$51+157-'🌱 Configuração'!$C$51,7)=0),"🐛 Nim 2mL/L foliar",IF(AND('🌱 Configuração'!$B$51+157&gt;='🌱 Configuração'!$C$51,'🌱 Configuração'!$B$51+157&lt;'🌱 Configuração'!$D$51,INT(('🌱 Configuração'!$B$51+157-'🌱 Configuração'!$C$51)/7)+1=2,MOD('🌱 Configuração'!$B$51+157-'🌱 Configuração'!$C$51,7)=0),"🐛 Beauveria bassiana foliar",IF(AND('🌱 Configuração'!$B$51+157&gt;='🌱 Configuração'!$C$51,'🌱 Configuração'!$B$51+157&lt;'🌱 Configuração'!$D$51,INT(('🌱 Configuração'!$B$51+157-'🌱 Configuração'!$C$51)/7)+1=3,MOD('🌱 Configuração'!$B$51+157-'🌱 Configuração'!$C$51,7)=0),"🐛 Nim + Calda Sulfocálcica 1%",IF(AND('🌱 Configuração'!$B$51+157&gt;='🌱 Configuração'!$C$51,'🌱 Configuração'!$B$51+157&lt;'🌱 Configuração'!$D$51,INT(('🌱 Configuração'!$B$51+157-'🌱 Configuração'!$C$51)/7)+1=4,MOD('🌱 Configuração'!$B$51+157-'🌱 Configuração'!$C$51,7)=0),"🐛 Trichoderma solo + Beauveria",IF(AND('🌱 Configuração'!$B$51+157&gt;='🌱 Configuração'!$C$51,'🌱 Configuração'!$B$51+157&lt;'🌱 Configuração'!$D$51,INT(('🌱 Configuração'!$B$51+157-'🌱 Configuração'!$C$51)/7)+1=5,MOD('🌱 Configuração'!$B$51+157-'🌱 Configuração'!$C$51,7)=0),"🐛 Calda Bordalesa 0.5% foliar",IF(AND('🌱 Configuração'!$B$51+157&gt;='🌱 Configuração'!$C$51,'🌱 Configuração'!$B$51+157&lt;'🌱 Configuração'!$D$51,INT(('🌱 Configuração'!$B$51+157-'🌱 Configuração'!$C$51)/7)+1=6,MOD('🌱 Configuração'!$B$51+157-'🌱 Configuração'!$C$51,7)=0),"🐛 Nim 2mL/L — ÚLTIMA foliar",IF(AND('🌱 Configuração'!$B$51+157&gt;='🌱 Configuração'!$D$51,'🌱 Configuração'!$B$51+157&lt;'🌱 Configuração'!$E$51,INT(('🌱 Configuração'!$B$51+157-'🌱 Configuração'!$D$51)/7)+1=1,MOD('🌱 Configuração'!$B$51+157-'🌱 Configuração'!$D$51,7)=0),"🐛 Beauveria bassiana solo (sem foliar)",IF(AND('🌱 Configuração'!$B$51+157&gt;='🌱 Configuração'!$D$51,'🌱 Configuração'!$B$51+157&lt;'🌱 Configuração'!$E$51,INT(('🌱 Configuração'!$B$51+157-'🌱 Configuração'!$D$51)/7)+1=2,MOD('🌱 Configuração'!$B$51+157-'🌱 Configuração'!$D$51,7)=0),"🐛 Trichoderma solo",IF(AND('🌱 Configuração'!$B$51+157&gt;='🌱 Configuração'!$D$51,'🌱 Configuração'!$B$51+157&lt;'🌱 Configuração'!$E$51,INT(('🌱 Configuração'!$B$51+157-'🌱 Configuração'!$D$51)/7)+1=3,MOD('🌱 Configuração'!$B$51+157-'🌱 Configuração'!$D$51,7)=0),"🐛 Beauveria bassiana solo",IF(AND('🌱 Configuração'!$B$51+157&gt;='🌱 Configuração'!$D$51,'🌱 Configuração'!$B$51+157&lt;'🌱 Configuração'!$E$51,INT(('🌱 Configuração'!$B$51+157-'🌱 Configuração'!$D$51)/7)+1=4,MOD('🌱 Configuração'!$B$51+157-'🌱 Configuração'!$D$51,7)=0),"🐛 Trichoderma solo",IF(AND('🌱 Configuração'!$B$51+157&gt;='🌱 Configuração'!$E$51,INT(('🌱 Configuração'!$B$51+157-'🌱 Configuração'!$E$51)/7)+1=1,MOD('🌱 Configuração'!$B$51+157-'🌱 Configuração'!$E$51,7)=0),"🐛 Inspeção final — sem aplicação",""))))))))))))))</f>
        <v/>
      </c>
      <c r="H163" s="22" t="str">
        <f>IF(158&gt;'🌱 Configuração'!$F$50,"",IF('🌱 Configuração'!$B$51+157='🌱 Configuração'!$C$51,"🌿 INÍCIO VEGA — ajustar espaço, luz 18h/dia — EC 0.8",IF('🌱 Configuração'!$B$51+157='🌱 Configuração'!$D$51,"🌸 INÍCIO FLORAÇÃO — mudar para 12h/12h — 🔴 atenção ao fotoperíodo",IF('🌱 Configuração'!$B$51+157='🌱 Configuração'!$E$51,"🚿 INÍCIO FLUSH — PARAR nutrição, somente água pura",IF('🌱 Configuração'!$B$51+157='🌱 Configuração'!$F$51-1,"🔬 Véspera da colheita — analisar tricomas âmbar",IF('🌱 Configuração'!$B$51+157='🌱 Configuração'!$F$51,"✂️ COLHEITA! Parabéns! 🎉",""))))))</f>
        <v/>
      </c>
    </row>
    <row r="164" spans="2:8" ht="18.75" customHeight="1" x14ac:dyDescent="0.3">
      <c r="B164" s="25" t="str">
        <f>IF(159&lt;='🌱 Configuração'!$F$50,159,"")</f>
        <v/>
      </c>
      <c r="C164" s="26" t="str">
        <f>IF(159&lt;='🌱 Configuração'!$F$50,'🌱 Configuração'!$B$51+158,"")</f>
        <v/>
      </c>
      <c r="D164" s="27" t="str">
        <f>IF(159&gt;'🌱 Configuração'!$F$50,"",IF('🌱 Configuração'!$B$51+158&lt;'🌱 Configuração'!$C$51,"🌱 Clone",IF('🌱 Configuração'!$B$51+158&lt;'🌱 Configuração'!$D$51,"🌿 Vegetativo",IF('🌱 Configuração'!$B$51+158&lt;'🌱 Configuração'!$E$51,"🌸 Floração","🚿 Flush"))))</f>
        <v/>
      </c>
      <c r="E164" s="28" t="str">
        <f>IF(159&gt;'🌱 Configuração'!$F$50,"",IF('🌱 Configuração'!$B$51+158&lt;'🌱 Configuração'!$C$51,"Clone S"&amp;INT((159-1)/7)+1,IF('🌱 Configuração'!$B$51+158&lt;'🌱 Configuração'!$D$51,"Vega S"&amp;INT(('🌱 Configuração'!$B$51+158-'🌱 Configuração'!$C$51)/7)+1,IF('🌱 Configuração'!$B$51+158&lt;'🌱 Configuração'!$E$51,"Flora S"&amp;INT(('🌱 Configuração'!$B$51+158-'🌱 Configuração'!$D$51)/7)+1,"Flush S"&amp;INT(('🌱 Configuração'!$B$51+158-'🌱 Configuração'!$E$51)/7)+1))))</f>
        <v/>
      </c>
      <c r="F164" s="29" t="str">
        <f>IF(159&gt;'🌱 Configuração'!$F$50,"",IF(AND('🌱 Configuração'!$B$51+158&lt;'🌱 Configuração'!$C$51,INT((159-1)/7)+1=1,MOD(159-1,7)=0),"🌱 Enraizador (0.5 mL/L)",IF(AND('🌱 Configuração'!$B$51+158&lt;'🌱 Configuração'!$C$51,INT((159-1)/7)+1=2,MOD(159-1,7)=0),"🌱 Enraizador + Vitamina B1",IF(AND('🌱 Configuração'!$B$51+158&gt;='🌱 Configuração'!$C$51,'🌱 Configuração'!$B$51+158&lt;'🌱 Configuração'!$D$51,INT(('🌱 Configuração'!$B$51+158-'🌱 Configuração'!$C$51)/7)+1=1,MOD('🌱 Configuração'!$B$51+158-'🌱 Configuração'!$C$51,7)=0),"🌿 Grow A+B início — EC 0.8",IF(AND('🌱 Configuração'!$B$51+158&gt;='🌱 Configuração'!$C$51,'🌱 Configuração'!$B$51+158&lt;'🌱 Configuração'!$D$51,INT(('🌱 Configuração'!$B$51+158-'🌱 Configuração'!$C$51)/7)+1=2,MOD('🌱 Configuração'!$B$51+158-'🌱 Configuração'!$C$51,7)=0),"🌿 Grow A+B + CalMag — EC 1.0",IF(AND('🌱 Configuração'!$B$51+158&gt;='🌱 Configuração'!$C$51,'🌱 Configuração'!$B$51+158&lt;'🌱 Configuração'!$D$51,INT(('🌱 Configuração'!$B$51+158-'🌱 Configuração'!$C$51)/7)+1=3,MOD('🌱 Configuração'!$B$51+158-'🌱 Configuração'!$C$51,7)=0),"🌿 Grow A+B + CalMag — EC 1.2",IF(AND('🌱 Configuração'!$B$51+158&gt;='🌱 Configuração'!$C$51,'🌱 Configuração'!$B$51+158&lt;'🌱 Configuração'!$D$51,INT(('🌱 Configuração'!$B$51+158-'🌱 Configuração'!$C$51)/7)+1=4,MOD('🌱 Configuração'!$B$51+158-'🌱 Configuração'!$C$51,7)=0),"🌿 Grow A+B + Enzimas — EC 1.4",IF(AND('🌱 Configuração'!$B$51+158&gt;='🌱 Configuração'!$C$51,'🌱 Configuração'!$B$51+158&lt;'🌱 Configuração'!$D$51,INT(('🌱 Configuração'!$B$51+158-'🌱 Configuração'!$C$51)/7)+1=5,MOD('🌱 Configuração'!$B$51+158-'🌱 Configuração'!$C$51,7)=0),"🌿 Grow A+B + Biorrizas — EC 1.5",IF(AND('🌱 Configuração'!$B$51+158&gt;='🌱 Configuração'!$C$51,'🌱 Configuração'!$B$51+158&lt;'🌱 Configuração'!$D$51,INT(('🌱 Configuração'!$B$51+158-'🌱 Configuração'!$C$51)/7)+1=6,MOD('🌱 Configuração'!$B$51+158-'🌱 Configuração'!$C$51,7)=0),"🌿 Transição Bloom — EC 1.4",IF(AND('🌱 Configuração'!$B$51+158&gt;='🌱 Configuração'!$C$51,'🌱 Configuração'!$B$51+158&lt;'🌱 Configuração'!$D$51,INT(('🌱 Configuração'!$B$51+158-'🌱 Configuração'!$C$51)/7)+1=7,MOD('🌱 Configuração'!$B$51+158-'🌱 Configuração'!$C$51,7)=0),"🌿 Bloom A+B transição — EC 1.4",IF(AND('🌱 Configuração'!$B$51+158&gt;='🌱 Configuração'!$C$51,'🌱 Configuração'!$B$51+158&lt;'🌱 Configuração'!$D$51,INT(('🌱 Configuração'!$B$51+158-'🌱 Configuração'!$C$51)/7)+1=8,MOD('🌱 Configuração'!$B$51+158-'🌱 Configuração'!$C$51,7)=0),"🌿 Bloom A+B — EC 1.4",IF(AND('🌱 Configuração'!$B$51+158&gt;='🌱 Configuração'!$D$51,'🌱 Configuração'!$B$51+158&lt;'🌱 Configuração'!$E$51,INT(('🌱 Configuração'!$B$51+158-'🌱 Configuração'!$D$51)/7)+1=1,MOD('🌱 Configuração'!$B$51+158-'🌱 Configuração'!$D$51,7)=0),"🌸 Bloom A+B — EC 1.6",IF(AND('🌱 Configuração'!$B$51+158&gt;='🌱 Configuração'!$D$51,'🌱 Configuração'!$B$51+158&lt;'🌱 Configuração'!$E$51,INT(('🌱 Configuração'!$B$51+158-'🌱 Configuração'!$D$51)/7)+1=2,MOD('🌱 Configuração'!$B$51+158-'🌱 Configuração'!$D$51,7)=0),"🌸 Bloom + PK 13/14 início",IF(AND('🌱 Configuração'!$B$51+158&gt;='🌱 Configuração'!$D$51,'🌱 Configuração'!$B$51+158&lt;'🌱 Configuração'!$E$51,INT(('🌱 Configuração'!$B$51+158-'🌱 Configuração'!$D$51)/7)+1=3,MOD('🌱 Configuração'!$B$51+158-'🌱 Configuração'!$D$51,7)=0),"🌸 Bloom + PK + CalMag — EC 1.8",IF(AND('🌱 Configuração'!$B$51+158&gt;='🌱 Configuração'!$D$51,'🌱 Configuração'!$B$51+158&lt;'🌱 Configuração'!$E$51,INT(('🌱 Configuração'!$B$51+158-'🌱 Configuração'!$D$51)/7)+1=4,MOD('🌱 Configuração'!$B$51+158-'🌱 Configuração'!$D$51,7)=0),"🌸 Bloom + PK + Boost Floral — EC 2.0",IF(AND('🌱 Configuração'!$B$51+158&gt;='🌱 Configuração'!$D$51,'🌱 Configuração'!$B$51+158&lt;'🌱 Configuração'!$E$51,INT(('🌱 Configuração'!$B$51+158-'🌱 Configuração'!$D$51)/7)+1=5,MOD('🌱 Configuração'!$B$51+158-'🌱 Configuração'!$D$51,7)=0),"🌸 Bloom + Boost + Amino",IF(AND('🌱 Configuração'!$B$51+158&gt;='🌱 Configuração'!$D$51,'🌱 Configuração'!$B$51+158&lt;'🌱 Configuração'!$E$51,INT(('🌱 Configuração'!$B$51+158-'🌱 Configuração'!$D$51)/7)+1=6,MOD('🌱 Configuração'!$B$51+158-'🌱 Configuração'!$D$51,7)=0),"🌸 Bloom + Enzimas + Amino",IF(AND('🌱 Configuração'!$B$51+158&gt;='🌱 Configuração'!$D$51,'🌱 Configuração'!$B$51+158&lt;'🌱 Configuração'!$E$51,INT(('🌱 Configuração'!$B$51+158-'🌱 Configuração'!$D$51)/7)+1=7,MOD('🌱 Configuração'!$B$51+158-'🌱 Configuração'!$D$51,7)=0),"🌸 Reduzir N — Bloom puro — EC 1.6",IF(AND('🌱 Configuração'!$B$51+158&gt;='🌱 Configuração'!$D$51,'🌱 Configuração'!$B$51+158&lt;'🌱 Configuração'!$E$51,INT(('🌱 Configuração'!$B$51+158-'🌱 Configuração'!$D$51)/7)+1=8,MOD('🌱 Configuração'!$B$51+158-'🌱 Configuração'!$D$51,7)=0),"🌸 Bloom puro — EC 1.4  (pré-flush)",IF(AND('🌱 Configuração'!$B$51+158&gt;='🌱 Configuração'!$D$51,'🌱 Configuração'!$B$51+158&lt;'🌱 Configuração'!$E$51,INT(('🌱 Configuração'!$B$51+158-'🌱 Configuração'!$D$51)/7)+1=9,MOD('🌱 Configuração'!$B$51+158-'🌱 Configuração'!$D$51,7)=0),"🌸 Último Bloom — EC 0.8",IF(AND('🌱 Configuração'!$B$51+158&gt;='🌱 Configuração'!$E$51,INT(('🌱 Configuração'!$B$51+158-'🌱 Configuração'!$E$51)/7)+1=1,MOD('🌱 Configuração'!$B$51+158-'🌱 Configuração'!$E$51,7)=0),"🚿 Água pura + Enzimas (EC &lt; 0.3)",IF(AND('🌱 Configuração'!$B$51+158&gt;='🌱 Configuração'!$E$51,INT(('🌱 Configuração'!$B$51+158-'🌱 Configuração'!$E$51)/7)+1=2,MOD('🌱 Configuração'!$B$51+158-'🌱 Configuração'!$E$51,7)=0),"🚿 Água pura (EC &lt; 0.2)",""))))))))))))))))))))))</f>
        <v/>
      </c>
      <c r="G164" s="30" t="str">
        <f>IF(159&gt;'🌱 Configuração'!$F$50,"",IF(AND('🌱 Configuração'!$B$51+158&lt;'🌱 Configuração'!$C$51,INT((159-1)/7)+1=1,MOD(159-1,7)=0),"🐛 Nim 2mL/L foliar — preventivo",IF(AND('🌱 Configuração'!$B$51+158&lt;'🌱 Configuração'!$C$51,INT((159-1)/7)+1=2,MOD(159-1,7)=0),"🐛 Beauveria bassiana foliar + solo",IF(AND('🌱 Configuração'!$B$51+158&gt;='🌱 Configuração'!$C$51,'🌱 Configuração'!$B$51+158&lt;'🌱 Configuração'!$D$51,INT(('🌱 Configuração'!$B$51+158-'🌱 Configuração'!$C$51)/7)+1=1,MOD('🌱 Configuração'!$B$51+158-'🌱 Configuração'!$C$51,7)=0),"🐛 Nim 2mL/L foliar",IF(AND('🌱 Configuração'!$B$51+158&gt;='🌱 Configuração'!$C$51,'🌱 Configuração'!$B$51+158&lt;'🌱 Configuração'!$D$51,INT(('🌱 Configuração'!$B$51+158-'🌱 Configuração'!$C$51)/7)+1=2,MOD('🌱 Configuração'!$B$51+158-'🌱 Configuração'!$C$51,7)=0),"🐛 Beauveria bassiana foliar",IF(AND('🌱 Configuração'!$B$51+158&gt;='🌱 Configuração'!$C$51,'🌱 Configuração'!$B$51+158&lt;'🌱 Configuração'!$D$51,INT(('🌱 Configuração'!$B$51+158-'🌱 Configuração'!$C$51)/7)+1=3,MOD('🌱 Configuração'!$B$51+158-'🌱 Configuração'!$C$51,7)=0),"🐛 Nim + Calda Sulfocálcica 1%",IF(AND('🌱 Configuração'!$B$51+158&gt;='🌱 Configuração'!$C$51,'🌱 Configuração'!$B$51+158&lt;'🌱 Configuração'!$D$51,INT(('🌱 Configuração'!$B$51+158-'🌱 Configuração'!$C$51)/7)+1=4,MOD('🌱 Configuração'!$B$51+158-'🌱 Configuração'!$C$51,7)=0),"🐛 Trichoderma solo + Beauveria",IF(AND('🌱 Configuração'!$B$51+158&gt;='🌱 Configuração'!$C$51,'🌱 Configuração'!$B$51+158&lt;'🌱 Configuração'!$D$51,INT(('🌱 Configuração'!$B$51+158-'🌱 Configuração'!$C$51)/7)+1=5,MOD('🌱 Configuração'!$B$51+158-'🌱 Configuração'!$C$51,7)=0),"🐛 Calda Bordalesa 0.5% foliar",IF(AND('🌱 Configuração'!$B$51+158&gt;='🌱 Configuração'!$C$51,'🌱 Configuração'!$B$51+158&lt;'🌱 Configuração'!$D$51,INT(('🌱 Configuração'!$B$51+158-'🌱 Configuração'!$C$51)/7)+1=6,MOD('🌱 Configuração'!$B$51+158-'🌱 Configuração'!$C$51,7)=0),"🐛 Nim 2mL/L — ÚLTIMA foliar",IF(AND('🌱 Configuração'!$B$51+158&gt;='🌱 Configuração'!$D$51,'🌱 Configuração'!$B$51+158&lt;'🌱 Configuração'!$E$51,INT(('🌱 Configuração'!$B$51+158-'🌱 Configuração'!$D$51)/7)+1=1,MOD('🌱 Configuração'!$B$51+158-'🌱 Configuração'!$D$51,7)=0),"🐛 Beauveria bassiana solo (sem foliar)",IF(AND('🌱 Configuração'!$B$51+158&gt;='🌱 Configuração'!$D$51,'🌱 Configuração'!$B$51+158&lt;'🌱 Configuração'!$E$51,INT(('🌱 Configuração'!$B$51+158-'🌱 Configuração'!$D$51)/7)+1=2,MOD('🌱 Configuração'!$B$51+158-'🌱 Configuração'!$D$51,7)=0),"🐛 Trichoderma solo",IF(AND('🌱 Configuração'!$B$51+158&gt;='🌱 Configuração'!$D$51,'🌱 Configuração'!$B$51+158&lt;'🌱 Configuração'!$E$51,INT(('🌱 Configuração'!$B$51+158-'🌱 Configuração'!$D$51)/7)+1=3,MOD('🌱 Configuração'!$B$51+158-'🌱 Configuração'!$D$51,7)=0),"🐛 Beauveria bassiana solo",IF(AND('🌱 Configuração'!$B$51+158&gt;='🌱 Configuração'!$D$51,'🌱 Configuração'!$B$51+158&lt;'🌱 Configuração'!$E$51,INT(('🌱 Configuração'!$B$51+158-'🌱 Configuração'!$D$51)/7)+1=4,MOD('🌱 Configuração'!$B$51+158-'🌱 Configuração'!$D$51,7)=0),"🐛 Trichoderma solo",IF(AND('🌱 Configuração'!$B$51+158&gt;='🌱 Configuração'!$E$51,INT(('🌱 Configuração'!$B$51+158-'🌱 Configuração'!$E$51)/7)+1=1,MOD('🌱 Configuração'!$B$51+158-'🌱 Configuração'!$E$51,7)=0),"🐛 Inspeção final — sem aplicação",""))))))))))))))</f>
        <v/>
      </c>
      <c r="H164" s="22" t="str">
        <f>IF(159&gt;'🌱 Configuração'!$F$50,"",IF('🌱 Configuração'!$B$51+158='🌱 Configuração'!$C$51,"🌿 INÍCIO VEGA — ajustar espaço, luz 18h/dia — EC 0.8",IF('🌱 Configuração'!$B$51+158='🌱 Configuração'!$D$51,"🌸 INÍCIO FLORAÇÃO — mudar para 12h/12h — 🔴 atenção ao fotoperíodo",IF('🌱 Configuração'!$B$51+158='🌱 Configuração'!$E$51,"🚿 INÍCIO FLUSH — PARAR nutrição, somente água pura",IF('🌱 Configuração'!$B$51+158='🌱 Configuração'!$F$51-1,"🔬 Véspera da colheita — analisar tricomas âmbar",IF('🌱 Configuração'!$B$51+158='🌱 Configuração'!$F$51,"✂️ COLHEITA! Parabéns! 🎉",""))))))</f>
        <v/>
      </c>
    </row>
    <row r="165" spans="2:8" ht="18.75" customHeight="1" x14ac:dyDescent="0.3">
      <c r="B165" s="25" t="str">
        <f>IF(160&lt;='🌱 Configuração'!$F$50,160,"")</f>
        <v/>
      </c>
      <c r="C165" s="26" t="str">
        <f>IF(160&lt;='🌱 Configuração'!$F$50,'🌱 Configuração'!$B$51+159,"")</f>
        <v/>
      </c>
      <c r="D165" s="27" t="str">
        <f>IF(160&gt;'🌱 Configuração'!$F$50,"",IF('🌱 Configuração'!$B$51+159&lt;'🌱 Configuração'!$C$51,"🌱 Clone",IF('🌱 Configuração'!$B$51+159&lt;'🌱 Configuração'!$D$51,"🌿 Vegetativo",IF('🌱 Configuração'!$B$51+159&lt;'🌱 Configuração'!$E$51,"🌸 Floração","🚿 Flush"))))</f>
        <v/>
      </c>
      <c r="E165" s="28" t="str">
        <f>IF(160&gt;'🌱 Configuração'!$F$50,"",IF('🌱 Configuração'!$B$51+159&lt;'🌱 Configuração'!$C$51,"Clone S"&amp;INT((160-1)/7)+1,IF('🌱 Configuração'!$B$51+159&lt;'🌱 Configuração'!$D$51,"Vega S"&amp;INT(('🌱 Configuração'!$B$51+159-'🌱 Configuração'!$C$51)/7)+1,IF('🌱 Configuração'!$B$51+159&lt;'🌱 Configuração'!$E$51,"Flora S"&amp;INT(('🌱 Configuração'!$B$51+159-'🌱 Configuração'!$D$51)/7)+1,"Flush S"&amp;INT(('🌱 Configuração'!$B$51+159-'🌱 Configuração'!$E$51)/7)+1))))</f>
        <v/>
      </c>
      <c r="F165" s="29" t="str">
        <f>IF(160&gt;'🌱 Configuração'!$F$50,"",IF(AND('🌱 Configuração'!$B$51+159&lt;'🌱 Configuração'!$C$51,INT((160-1)/7)+1=1,MOD(160-1,7)=0),"🌱 Enraizador (0.5 mL/L)",IF(AND('🌱 Configuração'!$B$51+159&lt;'🌱 Configuração'!$C$51,INT((160-1)/7)+1=2,MOD(160-1,7)=0),"🌱 Enraizador + Vitamina B1",IF(AND('🌱 Configuração'!$B$51+159&gt;='🌱 Configuração'!$C$51,'🌱 Configuração'!$B$51+159&lt;'🌱 Configuração'!$D$51,INT(('🌱 Configuração'!$B$51+159-'🌱 Configuração'!$C$51)/7)+1=1,MOD('🌱 Configuração'!$B$51+159-'🌱 Configuração'!$C$51,7)=0),"🌿 Grow A+B início — EC 0.8",IF(AND('🌱 Configuração'!$B$51+159&gt;='🌱 Configuração'!$C$51,'🌱 Configuração'!$B$51+159&lt;'🌱 Configuração'!$D$51,INT(('🌱 Configuração'!$B$51+159-'🌱 Configuração'!$C$51)/7)+1=2,MOD('🌱 Configuração'!$B$51+159-'🌱 Configuração'!$C$51,7)=0),"🌿 Grow A+B + CalMag — EC 1.0",IF(AND('🌱 Configuração'!$B$51+159&gt;='🌱 Configuração'!$C$51,'🌱 Configuração'!$B$51+159&lt;'🌱 Configuração'!$D$51,INT(('🌱 Configuração'!$B$51+159-'🌱 Configuração'!$C$51)/7)+1=3,MOD('🌱 Configuração'!$B$51+159-'🌱 Configuração'!$C$51,7)=0),"🌿 Grow A+B + CalMag — EC 1.2",IF(AND('🌱 Configuração'!$B$51+159&gt;='🌱 Configuração'!$C$51,'🌱 Configuração'!$B$51+159&lt;'🌱 Configuração'!$D$51,INT(('🌱 Configuração'!$B$51+159-'🌱 Configuração'!$C$51)/7)+1=4,MOD('🌱 Configuração'!$B$51+159-'🌱 Configuração'!$C$51,7)=0),"🌿 Grow A+B + Enzimas — EC 1.4",IF(AND('🌱 Configuração'!$B$51+159&gt;='🌱 Configuração'!$C$51,'🌱 Configuração'!$B$51+159&lt;'🌱 Configuração'!$D$51,INT(('🌱 Configuração'!$B$51+159-'🌱 Configuração'!$C$51)/7)+1=5,MOD('🌱 Configuração'!$B$51+159-'🌱 Configuração'!$C$51,7)=0),"🌿 Grow A+B + Biorrizas — EC 1.5",IF(AND('🌱 Configuração'!$B$51+159&gt;='🌱 Configuração'!$C$51,'🌱 Configuração'!$B$51+159&lt;'🌱 Configuração'!$D$51,INT(('🌱 Configuração'!$B$51+159-'🌱 Configuração'!$C$51)/7)+1=6,MOD('🌱 Configuração'!$B$51+159-'🌱 Configuração'!$C$51,7)=0),"🌿 Transição Bloom — EC 1.4",IF(AND('🌱 Configuração'!$B$51+159&gt;='🌱 Configuração'!$C$51,'🌱 Configuração'!$B$51+159&lt;'🌱 Configuração'!$D$51,INT(('🌱 Configuração'!$B$51+159-'🌱 Configuração'!$C$51)/7)+1=7,MOD('🌱 Configuração'!$B$51+159-'🌱 Configuração'!$C$51,7)=0),"🌿 Bloom A+B transição — EC 1.4",IF(AND('🌱 Configuração'!$B$51+159&gt;='🌱 Configuração'!$C$51,'🌱 Configuração'!$B$51+159&lt;'🌱 Configuração'!$D$51,INT(('🌱 Configuração'!$B$51+159-'🌱 Configuração'!$C$51)/7)+1=8,MOD('🌱 Configuração'!$B$51+159-'🌱 Configuração'!$C$51,7)=0),"🌿 Bloom A+B — EC 1.4",IF(AND('🌱 Configuração'!$B$51+159&gt;='🌱 Configuração'!$D$51,'🌱 Configuração'!$B$51+159&lt;'🌱 Configuração'!$E$51,INT(('🌱 Configuração'!$B$51+159-'🌱 Configuração'!$D$51)/7)+1=1,MOD('🌱 Configuração'!$B$51+159-'🌱 Configuração'!$D$51,7)=0),"🌸 Bloom A+B — EC 1.6",IF(AND('🌱 Configuração'!$B$51+159&gt;='🌱 Configuração'!$D$51,'🌱 Configuração'!$B$51+159&lt;'🌱 Configuração'!$E$51,INT(('🌱 Configuração'!$B$51+159-'🌱 Configuração'!$D$51)/7)+1=2,MOD('🌱 Configuração'!$B$51+159-'🌱 Configuração'!$D$51,7)=0),"🌸 Bloom + PK 13/14 início",IF(AND('🌱 Configuração'!$B$51+159&gt;='🌱 Configuração'!$D$51,'🌱 Configuração'!$B$51+159&lt;'🌱 Configuração'!$E$51,INT(('🌱 Configuração'!$B$51+159-'🌱 Configuração'!$D$51)/7)+1=3,MOD('🌱 Configuração'!$B$51+159-'🌱 Configuração'!$D$51,7)=0),"🌸 Bloom + PK + CalMag — EC 1.8",IF(AND('🌱 Configuração'!$B$51+159&gt;='🌱 Configuração'!$D$51,'🌱 Configuração'!$B$51+159&lt;'🌱 Configuração'!$E$51,INT(('🌱 Configuração'!$B$51+159-'🌱 Configuração'!$D$51)/7)+1=4,MOD('🌱 Configuração'!$B$51+159-'🌱 Configuração'!$D$51,7)=0),"🌸 Bloom + PK + Boost Floral — EC 2.0",IF(AND('🌱 Configuração'!$B$51+159&gt;='🌱 Configuração'!$D$51,'🌱 Configuração'!$B$51+159&lt;'🌱 Configuração'!$E$51,INT(('🌱 Configuração'!$B$51+159-'🌱 Configuração'!$D$51)/7)+1=5,MOD('🌱 Configuração'!$B$51+159-'🌱 Configuração'!$D$51,7)=0),"🌸 Bloom + Boost + Amino",IF(AND('🌱 Configuração'!$B$51+159&gt;='🌱 Configuração'!$D$51,'🌱 Configuração'!$B$51+159&lt;'🌱 Configuração'!$E$51,INT(('🌱 Configuração'!$B$51+159-'🌱 Configuração'!$D$51)/7)+1=6,MOD('🌱 Configuração'!$B$51+159-'🌱 Configuração'!$D$51,7)=0),"🌸 Bloom + Enzimas + Amino",IF(AND('🌱 Configuração'!$B$51+159&gt;='🌱 Configuração'!$D$51,'🌱 Configuração'!$B$51+159&lt;'🌱 Configuração'!$E$51,INT(('🌱 Configuração'!$B$51+159-'🌱 Configuração'!$D$51)/7)+1=7,MOD('🌱 Configuração'!$B$51+159-'🌱 Configuração'!$D$51,7)=0),"🌸 Reduzir N — Bloom puro — EC 1.6",IF(AND('🌱 Configuração'!$B$51+159&gt;='🌱 Configuração'!$D$51,'🌱 Configuração'!$B$51+159&lt;'🌱 Configuração'!$E$51,INT(('🌱 Configuração'!$B$51+159-'🌱 Configuração'!$D$51)/7)+1=8,MOD('🌱 Configuração'!$B$51+159-'🌱 Configuração'!$D$51,7)=0),"🌸 Bloom puro — EC 1.4  (pré-flush)",IF(AND('🌱 Configuração'!$B$51+159&gt;='🌱 Configuração'!$D$51,'🌱 Configuração'!$B$51+159&lt;'🌱 Configuração'!$E$51,INT(('🌱 Configuração'!$B$51+159-'🌱 Configuração'!$D$51)/7)+1=9,MOD('🌱 Configuração'!$B$51+159-'🌱 Configuração'!$D$51,7)=0),"🌸 Último Bloom — EC 0.8",IF(AND('🌱 Configuração'!$B$51+159&gt;='🌱 Configuração'!$E$51,INT(('🌱 Configuração'!$B$51+159-'🌱 Configuração'!$E$51)/7)+1=1,MOD('🌱 Configuração'!$B$51+159-'🌱 Configuração'!$E$51,7)=0),"🚿 Água pura + Enzimas (EC &lt; 0.3)",IF(AND('🌱 Configuração'!$B$51+159&gt;='🌱 Configuração'!$E$51,INT(('🌱 Configuração'!$B$51+159-'🌱 Configuração'!$E$51)/7)+1=2,MOD('🌱 Configuração'!$B$51+159-'🌱 Configuração'!$E$51,7)=0),"🚿 Água pura (EC &lt; 0.2)",""))))))))))))))))))))))</f>
        <v/>
      </c>
      <c r="G165" s="30" t="str">
        <f>IF(160&gt;'🌱 Configuração'!$F$50,"",IF(AND('🌱 Configuração'!$B$51+159&lt;'🌱 Configuração'!$C$51,INT((160-1)/7)+1=1,MOD(160-1,7)=0),"🐛 Nim 2mL/L foliar — preventivo",IF(AND('🌱 Configuração'!$B$51+159&lt;'🌱 Configuração'!$C$51,INT((160-1)/7)+1=2,MOD(160-1,7)=0),"🐛 Beauveria bassiana foliar + solo",IF(AND('🌱 Configuração'!$B$51+159&gt;='🌱 Configuração'!$C$51,'🌱 Configuração'!$B$51+159&lt;'🌱 Configuração'!$D$51,INT(('🌱 Configuração'!$B$51+159-'🌱 Configuração'!$C$51)/7)+1=1,MOD('🌱 Configuração'!$B$51+159-'🌱 Configuração'!$C$51,7)=0),"🐛 Nim 2mL/L foliar",IF(AND('🌱 Configuração'!$B$51+159&gt;='🌱 Configuração'!$C$51,'🌱 Configuração'!$B$51+159&lt;'🌱 Configuração'!$D$51,INT(('🌱 Configuração'!$B$51+159-'🌱 Configuração'!$C$51)/7)+1=2,MOD('🌱 Configuração'!$B$51+159-'🌱 Configuração'!$C$51,7)=0),"🐛 Beauveria bassiana foliar",IF(AND('🌱 Configuração'!$B$51+159&gt;='🌱 Configuração'!$C$51,'🌱 Configuração'!$B$51+159&lt;'🌱 Configuração'!$D$51,INT(('🌱 Configuração'!$B$51+159-'🌱 Configuração'!$C$51)/7)+1=3,MOD('🌱 Configuração'!$B$51+159-'🌱 Configuração'!$C$51,7)=0),"🐛 Nim + Calda Sulfocálcica 1%",IF(AND('🌱 Configuração'!$B$51+159&gt;='🌱 Configuração'!$C$51,'🌱 Configuração'!$B$51+159&lt;'🌱 Configuração'!$D$51,INT(('🌱 Configuração'!$B$51+159-'🌱 Configuração'!$C$51)/7)+1=4,MOD('🌱 Configuração'!$B$51+159-'🌱 Configuração'!$C$51,7)=0),"🐛 Trichoderma solo + Beauveria",IF(AND('🌱 Configuração'!$B$51+159&gt;='🌱 Configuração'!$C$51,'🌱 Configuração'!$B$51+159&lt;'🌱 Configuração'!$D$51,INT(('🌱 Configuração'!$B$51+159-'🌱 Configuração'!$C$51)/7)+1=5,MOD('🌱 Configuração'!$B$51+159-'🌱 Configuração'!$C$51,7)=0),"🐛 Calda Bordalesa 0.5% foliar",IF(AND('🌱 Configuração'!$B$51+159&gt;='🌱 Configuração'!$C$51,'🌱 Configuração'!$B$51+159&lt;'🌱 Configuração'!$D$51,INT(('🌱 Configuração'!$B$51+159-'🌱 Configuração'!$C$51)/7)+1=6,MOD('🌱 Configuração'!$B$51+159-'🌱 Configuração'!$C$51,7)=0),"🐛 Nim 2mL/L — ÚLTIMA foliar",IF(AND('🌱 Configuração'!$B$51+159&gt;='🌱 Configuração'!$D$51,'🌱 Configuração'!$B$51+159&lt;'🌱 Configuração'!$E$51,INT(('🌱 Configuração'!$B$51+159-'🌱 Configuração'!$D$51)/7)+1=1,MOD('🌱 Configuração'!$B$51+159-'🌱 Configuração'!$D$51,7)=0),"🐛 Beauveria bassiana solo (sem foliar)",IF(AND('🌱 Configuração'!$B$51+159&gt;='🌱 Configuração'!$D$51,'🌱 Configuração'!$B$51+159&lt;'🌱 Configuração'!$E$51,INT(('🌱 Configuração'!$B$51+159-'🌱 Configuração'!$D$51)/7)+1=2,MOD('🌱 Configuração'!$B$51+159-'🌱 Configuração'!$D$51,7)=0),"🐛 Trichoderma solo",IF(AND('🌱 Configuração'!$B$51+159&gt;='🌱 Configuração'!$D$51,'🌱 Configuração'!$B$51+159&lt;'🌱 Configuração'!$E$51,INT(('🌱 Configuração'!$B$51+159-'🌱 Configuração'!$D$51)/7)+1=3,MOD('🌱 Configuração'!$B$51+159-'🌱 Configuração'!$D$51,7)=0),"🐛 Beauveria bassiana solo",IF(AND('🌱 Configuração'!$B$51+159&gt;='🌱 Configuração'!$D$51,'🌱 Configuração'!$B$51+159&lt;'🌱 Configuração'!$E$51,INT(('🌱 Configuração'!$B$51+159-'🌱 Configuração'!$D$51)/7)+1=4,MOD('🌱 Configuração'!$B$51+159-'🌱 Configuração'!$D$51,7)=0),"🐛 Trichoderma solo",IF(AND('🌱 Configuração'!$B$51+159&gt;='🌱 Configuração'!$E$51,INT(('🌱 Configuração'!$B$51+159-'🌱 Configuração'!$E$51)/7)+1=1,MOD('🌱 Configuração'!$B$51+159-'🌱 Configuração'!$E$51,7)=0),"🐛 Inspeção final — sem aplicação",""))))))))))))))</f>
        <v/>
      </c>
      <c r="H165" s="22" t="str">
        <f>IF(160&gt;'🌱 Configuração'!$F$50,"",IF('🌱 Configuração'!$B$51+159='🌱 Configuração'!$C$51,"🌿 INÍCIO VEGA — ajustar espaço, luz 18h/dia — EC 0.8",IF('🌱 Configuração'!$B$51+159='🌱 Configuração'!$D$51,"🌸 INÍCIO FLORAÇÃO — mudar para 12h/12h — 🔴 atenção ao fotoperíodo",IF('🌱 Configuração'!$B$51+159='🌱 Configuração'!$E$51,"🚿 INÍCIO FLUSH — PARAR nutrição, somente água pura",IF('🌱 Configuração'!$B$51+159='🌱 Configuração'!$F$51-1,"🔬 Véspera da colheita — analisar tricomas âmbar",IF('🌱 Configuração'!$B$51+159='🌱 Configuração'!$F$51,"✂️ COLHEITA! Parabéns! 🎉",""))))))</f>
        <v/>
      </c>
    </row>
    <row r="166" spans="2:8" ht="18.75" customHeight="1" x14ac:dyDescent="0.3">
      <c r="B166" s="25" t="str">
        <f>IF(161&lt;='🌱 Configuração'!$F$50,161,"")</f>
        <v/>
      </c>
      <c r="C166" s="26" t="str">
        <f>IF(161&lt;='🌱 Configuração'!$F$50,'🌱 Configuração'!$B$51+160,"")</f>
        <v/>
      </c>
      <c r="D166" s="27" t="str">
        <f>IF(161&gt;'🌱 Configuração'!$F$50,"",IF('🌱 Configuração'!$B$51+160&lt;'🌱 Configuração'!$C$51,"🌱 Clone",IF('🌱 Configuração'!$B$51+160&lt;'🌱 Configuração'!$D$51,"🌿 Vegetativo",IF('🌱 Configuração'!$B$51+160&lt;'🌱 Configuração'!$E$51,"🌸 Floração","🚿 Flush"))))</f>
        <v/>
      </c>
      <c r="E166" s="28" t="str">
        <f>IF(161&gt;'🌱 Configuração'!$F$50,"",IF('🌱 Configuração'!$B$51+160&lt;'🌱 Configuração'!$C$51,"Clone S"&amp;INT((161-1)/7)+1,IF('🌱 Configuração'!$B$51+160&lt;'🌱 Configuração'!$D$51,"Vega S"&amp;INT(('🌱 Configuração'!$B$51+160-'🌱 Configuração'!$C$51)/7)+1,IF('🌱 Configuração'!$B$51+160&lt;'🌱 Configuração'!$E$51,"Flora S"&amp;INT(('🌱 Configuração'!$B$51+160-'🌱 Configuração'!$D$51)/7)+1,"Flush S"&amp;INT(('🌱 Configuração'!$B$51+160-'🌱 Configuração'!$E$51)/7)+1))))</f>
        <v/>
      </c>
      <c r="F166" s="29" t="str">
        <f>IF(161&gt;'🌱 Configuração'!$F$50,"",IF(AND('🌱 Configuração'!$B$51+160&lt;'🌱 Configuração'!$C$51,INT((161-1)/7)+1=1,MOD(161-1,7)=0),"🌱 Enraizador (0.5 mL/L)",IF(AND('🌱 Configuração'!$B$51+160&lt;'🌱 Configuração'!$C$51,INT((161-1)/7)+1=2,MOD(161-1,7)=0),"🌱 Enraizador + Vitamina B1",IF(AND('🌱 Configuração'!$B$51+160&gt;='🌱 Configuração'!$C$51,'🌱 Configuração'!$B$51+160&lt;'🌱 Configuração'!$D$51,INT(('🌱 Configuração'!$B$51+160-'🌱 Configuração'!$C$51)/7)+1=1,MOD('🌱 Configuração'!$B$51+160-'🌱 Configuração'!$C$51,7)=0),"🌿 Grow A+B início — EC 0.8",IF(AND('🌱 Configuração'!$B$51+160&gt;='🌱 Configuração'!$C$51,'🌱 Configuração'!$B$51+160&lt;'🌱 Configuração'!$D$51,INT(('🌱 Configuração'!$B$51+160-'🌱 Configuração'!$C$51)/7)+1=2,MOD('🌱 Configuração'!$B$51+160-'🌱 Configuração'!$C$51,7)=0),"🌿 Grow A+B + CalMag — EC 1.0",IF(AND('🌱 Configuração'!$B$51+160&gt;='🌱 Configuração'!$C$51,'🌱 Configuração'!$B$51+160&lt;'🌱 Configuração'!$D$51,INT(('🌱 Configuração'!$B$51+160-'🌱 Configuração'!$C$51)/7)+1=3,MOD('🌱 Configuração'!$B$51+160-'🌱 Configuração'!$C$51,7)=0),"🌿 Grow A+B + CalMag — EC 1.2",IF(AND('🌱 Configuração'!$B$51+160&gt;='🌱 Configuração'!$C$51,'🌱 Configuração'!$B$51+160&lt;'🌱 Configuração'!$D$51,INT(('🌱 Configuração'!$B$51+160-'🌱 Configuração'!$C$51)/7)+1=4,MOD('🌱 Configuração'!$B$51+160-'🌱 Configuração'!$C$51,7)=0),"🌿 Grow A+B + Enzimas — EC 1.4",IF(AND('🌱 Configuração'!$B$51+160&gt;='🌱 Configuração'!$C$51,'🌱 Configuração'!$B$51+160&lt;'🌱 Configuração'!$D$51,INT(('🌱 Configuração'!$B$51+160-'🌱 Configuração'!$C$51)/7)+1=5,MOD('🌱 Configuração'!$B$51+160-'🌱 Configuração'!$C$51,7)=0),"🌿 Grow A+B + Biorrizas — EC 1.5",IF(AND('🌱 Configuração'!$B$51+160&gt;='🌱 Configuração'!$C$51,'🌱 Configuração'!$B$51+160&lt;'🌱 Configuração'!$D$51,INT(('🌱 Configuração'!$B$51+160-'🌱 Configuração'!$C$51)/7)+1=6,MOD('🌱 Configuração'!$B$51+160-'🌱 Configuração'!$C$51,7)=0),"🌿 Transição Bloom — EC 1.4",IF(AND('🌱 Configuração'!$B$51+160&gt;='🌱 Configuração'!$C$51,'🌱 Configuração'!$B$51+160&lt;'🌱 Configuração'!$D$51,INT(('🌱 Configuração'!$B$51+160-'🌱 Configuração'!$C$51)/7)+1=7,MOD('🌱 Configuração'!$B$51+160-'🌱 Configuração'!$C$51,7)=0),"🌿 Bloom A+B transição — EC 1.4",IF(AND('🌱 Configuração'!$B$51+160&gt;='🌱 Configuração'!$C$51,'🌱 Configuração'!$B$51+160&lt;'🌱 Configuração'!$D$51,INT(('🌱 Configuração'!$B$51+160-'🌱 Configuração'!$C$51)/7)+1=8,MOD('🌱 Configuração'!$B$51+160-'🌱 Configuração'!$C$51,7)=0),"🌿 Bloom A+B — EC 1.4",IF(AND('🌱 Configuração'!$B$51+160&gt;='🌱 Configuração'!$D$51,'🌱 Configuração'!$B$51+160&lt;'🌱 Configuração'!$E$51,INT(('🌱 Configuração'!$B$51+160-'🌱 Configuração'!$D$51)/7)+1=1,MOD('🌱 Configuração'!$B$51+160-'🌱 Configuração'!$D$51,7)=0),"🌸 Bloom A+B — EC 1.6",IF(AND('🌱 Configuração'!$B$51+160&gt;='🌱 Configuração'!$D$51,'🌱 Configuração'!$B$51+160&lt;'🌱 Configuração'!$E$51,INT(('🌱 Configuração'!$B$51+160-'🌱 Configuração'!$D$51)/7)+1=2,MOD('🌱 Configuração'!$B$51+160-'🌱 Configuração'!$D$51,7)=0),"🌸 Bloom + PK 13/14 início",IF(AND('🌱 Configuração'!$B$51+160&gt;='🌱 Configuração'!$D$51,'🌱 Configuração'!$B$51+160&lt;'🌱 Configuração'!$E$51,INT(('🌱 Configuração'!$B$51+160-'🌱 Configuração'!$D$51)/7)+1=3,MOD('🌱 Configuração'!$B$51+160-'🌱 Configuração'!$D$51,7)=0),"🌸 Bloom + PK + CalMag — EC 1.8",IF(AND('🌱 Configuração'!$B$51+160&gt;='🌱 Configuração'!$D$51,'🌱 Configuração'!$B$51+160&lt;'🌱 Configuração'!$E$51,INT(('🌱 Configuração'!$B$51+160-'🌱 Configuração'!$D$51)/7)+1=4,MOD('🌱 Configuração'!$B$51+160-'🌱 Configuração'!$D$51,7)=0),"🌸 Bloom + PK + Boost Floral — EC 2.0",IF(AND('🌱 Configuração'!$B$51+160&gt;='🌱 Configuração'!$D$51,'🌱 Configuração'!$B$51+160&lt;'🌱 Configuração'!$E$51,INT(('🌱 Configuração'!$B$51+160-'🌱 Configuração'!$D$51)/7)+1=5,MOD('🌱 Configuração'!$B$51+160-'🌱 Configuração'!$D$51,7)=0),"🌸 Bloom + Boost + Amino",IF(AND('🌱 Configuração'!$B$51+160&gt;='🌱 Configuração'!$D$51,'🌱 Configuração'!$B$51+160&lt;'🌱 Configuração'!$E$51,INT(('🌱 Configuração'!$B$51+160-'🌱 Configuração'!$D$51)/7)+1=6,MOD('🌱 Configuração'!$B$51+160-'🌱 Configuração'!$D$51,7)=0),"🌸 Bloom + Enzimas + Amino",IF(AND('🌱 Configuração'!$B$51+160&gt;='🌱 Configuração'!$D$51,'🌱 Configuração'!$B$51+160&lt;'🌱 Configuração'!$E$51,INT(('🌱 Configuração'!$B$51+160-'🌱 Configuração'!$D$51)/7)+1=7,MOD('🌱 Configuração'!$B$51+160-'🌱 Configuração'!$D$51,7)=0),"🌸 Reduzir N — Bloom puro — EC 1.6",IF(AND('🌱 Configuração'!$B$51+160&gt;='🌱 Configuração'!$D$51,'🌱 Configuração'!$B$51+160&lt;'🌱 Configuração'!$E$51,INT(('🌱 Configuração'!$B$51+160-'🌱 Configuração'!$D$51)/7)+1=8,MOD('🌱 Configuração'!$B$51+160-'🌱 Configuração'!$D$51,7)=0),"🌸 Bloom puro — EC 1.4  (pré-flush)",IF(AND('🌱 Configuração'!$B$51+160&gt;='🌱 Configuração'!$D$51,'🌱 Configuração'!$B$51+160&lt;'🌱 Configuração'!$E$51,INT(('🌱 Configuração'!$B$51+160-'🌱 Configuração'!$D$51)/7)+1=9,MOD('🌱 Configuração'!$B$51+160-'🌱 Configuração'!$D$51,7)=0),"🌸 Último Bloom — EC 0.8",IF(AND('🌱 Configuração'!$B$51+160&gt;='🌱 Configuração'!$E$51,INT(('🌱 Configuração'!$B$51+160-'🌱 Configuração'!$E$51)/7)+1=1,MOD('🌱 Configuração'!$B$51+160-'🌱 Configuração'!$E$51,7)=0),"🚿 Água pura + Enzimas (EC &lt; 0.3)",IF(AND('🌱 Configuração'!$B$51+160&gt;='🌱 Configuração'!$E$51,INT(('🌱 Configuração'!$B$51+160-'🌱 Configuração'!$E$51)/7)+1=2,MOD('🌱 Configuração'!$B$51+160-'🌱 Configuração'!$E$51,7)=0),"🚿 Água pura (EC &lt; 0.2)",""))))))))))))))))))))))</f>
        <v/>
      </c>
      <c r="G166" s="30" t="str">
        <f>IF(161&gt;'🌱 Configuração'!$F$50,"",IF(AND('🌱 Configuração'!$B$51+160&lt;'🌱 Configuração'!$C$51,INT((161-1)/7)+1=1,MOD(161-1,7)=0),"🐛 Nim 2mL/L foliar — preventivo",IF(AND('🌱 Configuração'!$B$51+160&lt;'🌱 Configuração'!$C$51,INT((161-1)/7)+1=2,MOD(161-1,7)=0),"🐛 Beauveria bassiana foliar + solo",IF(AND('🌱 Configuração'!$B$51+160&gt;='🌱 Configuração'!$C$51,'🌱 Configuração'!$B$51+160&lt;'🌱 Configuração'!$D$51,INT(('🌱 Configuração'!$B$51+160-'🌱 Configuração'!$C$51)/7)+1=1,MOD('🌱 Configuração'!$B$51+160-'🌱 Configuração'!$C$51,7)=0),"🐛 Nim 2mL/L foliar",IF(AND('🌱 Configuração'!$B$51+160&gt;='🌱 Configuração'!$C$51,'🌱 Configuração'!$B$51+160&lt;'🌱 Configuração'!$D$51,INT(('🌱 Configuração'!$B$51+160-'🌱 Configuração'!$C$51)/7)+1=2,MOD('🌱 Configuração'!$B$51+160-'🌱 Configuração'!$C$51,7)=0),"🐛 Beauveria bassiana foliar",IF(AND('🌱 Configuração'!$B$51+160&gt;='🌱 Configuração'!$C$51,'🌱 Configuração'!$B$51+160&lt;'🌱 Configuração'!$D$51,INT(('🌱 Configuração'!$B$51+160-'🌱 Configuração'!$C$51)/7)+1=3,MOD('🌱 Configuração'!$B$51+160-'🌱 Configuração'!$C$51,7)=0),"🐛 Nim + Calda Sulfocálcica 1%",IF(AND('🌱 Configuração'!$B$51+160&gt;='🌱 Configuração'!$C$51,'🌱 Configuração'!$B$51+160&lt;'🌱 Configuração'!$D$51,INT(('🌱 Configuração'!$B$51+160-'🌱 Configuração'!$C$51)/7)+1=4,MOD('🌱 Configuração'!$B$51+160-'🌱 Configuração'!$C$51,7)=0),"🐛 Trichoderma solo + Beauveria",IF(AND('🌱 Configuração'!$B$51+160&gt;='🌱 Configuração'!$C$51,'🌱 Configuração'!$B$51+160&lt;'🌱 Configuração'!$D$51,INT(('🌱 Configuração'!$B$51+160-'🌱 Configuração'!$C$51)/7)+1=5,MOD('🌱 Configuração'!$B$51+160-'🌱 Configuração'!$C$51,7)=0),"🐛 Calda Bordalesa 0.5% foliar",IF(AND('🌱 Configuração'!$B$51+160&gt;='🌱 Configuração'!$C$51,'🌱 Configuração'!$B$51+160&lt;'🌱 Configuração'!$D$51,INT(('🌱 Configuração'!$B$51+160-'🌱 Configuração'!$C$51)/7)+1=6,MOD('🌱 Configuração'!$B$51+160-'🌱 Configuração'!$C$51,7)=0),"🐛 Nim 2mL/L — ÚLTIMA foliar",IF(AND('🌱 Configuração'!$B$51+160&gt;='🌱 Configuração'!$D$51,'🌱 Configuração'!$B$51+160&lt;'🌱 Configuração'!$E$51,INT(('🌱 Configuração'!$B$51+160-'🌱 Configuração'!$D$51)/7)+1=1,MOD('🌱 Configuração'!$B$51+160-'🌱 Configuração'!$D$51,7)=0),"🐛 Beauveria bassiana solo (sem foliar)",IF(AND('🌱 Configuração'!$B$51+160&gt;='🌱 Configuração'!$D$51,'🌱 Configuração'!$B$51+160&lt;'🌱 Configuração'!$E$51,INT(('🌱 Configuração'!$B$51+160-'🌱 Configuração'!$D$51)/7)+1=2,MOD('🌱 Configuração'!$B$51+160-'🌱 Configuração'!$D$51,7)=0),"🐛 Trichoderma solo",IF(AND('🌱 Configuração'!$B$51+160&gt;='🌱 Configuração'!$D$51,'🌱 Configuração'!$B$51+160&lt;'🌱 Configuração'!$E$51,INT(('🌱 Configuração'!$B$51+160-'🌱 Configuração'!$D$51)/7)+1=3,MOD('🌱 Configuração'!$B$51+160-'🌱 Configuração'!$D$51,7)=0),"🐛 Beauveria bassiana solo",IF(AND('🌱 Configuração'!$B$51+160&gt;='🌱 Configuração'!$D$51,'🌱 Configuração'!$B$51+160&lt;'🌱 Configuração'!$E$51,INT(('🌱 Configuração'!$B$51+160-'🌱 Configuração'!$D$51)/7)+1=4,MOD('🌱 Configuração'!$B$51+160-'🌱 Configuração'!$D$51,7)=0),"🐛 Trichoderma solo",IF(AND('🌱 Configuração'!$B$51+160&gt;='🌱 Configuração'!$E$51,INT(('🌱 Configuração'!$B$51+160-'🌱 Configuração'!$E$51)/7)+1=1,MOD('🌱 Configuração'!$B$51+160-'🌱 Configuração'!$E$51,7)=0),"🐛 Inspeção final — sem aplicação",""))))))))))))))</f>
        <v/>
      </c>
      <c r="H166" s="22" t="str">
        <f>IF(161&gt;'🌱 Configuração'!$F$50,"",IF('🌱 Configuração'!$B$51+160='🌱 Configuração'!$C$51,"🌿 INÍCIO VEGA — ajustar espaço, luz 18h/dia — EC 0.8",IF('🌱 Configuração'!$B$51+160='🌱 Configuração'!$D$51,"🌸 INÍCIO FLORAÇÃO — mudar para 12h/12h — 🔴 atenção ao fotoperíodo",IF('🌱 Configuração'!$B$51+160='🌱 Configuração'!$E$51,"🚿 INÍCIO FLUSH — PARAR nutrição, somente água pura",IF('🌱 Configuração'!$B$51+160='🌱 Configuração'!$F$51-1,"🔬 Véspera da colheita — analisar tricomas âmbar",IF('🌱 Configuração'!$B$51+160='🌱 Configuração'!$F$51,"✂️ COLHEITA! Parabéns! 🎉",""))))))</f>
        <v/>
      </c>
    </row>
    <row r="167" spans="2:8" ht="18.75" customHeight="1" x14ac:dyDescent="0.3">
      <c r="B167" s="25" t="str">
        <f>IF(162&lt;='🌱 Configuração'!$F$50,162,"")</f>
        <v/>
      </c>
      <c r="C167" s="26" t="str">
        <f>IF(162&lt;='🌱 Configuração'!$F$50,'🌱 Configuração'!$B$51+161,"")</f>
        <v/>
      </c>
      <c r="D167" s="27" t="str">
        <f>IF(162&gt;'🌱 Configuração'!$F$50,"",IF('🌱 Configuração'!$B$51+161&lt;'🌱 Configuração'!$C$51,"🌱 Clone",IF('🌱 Configuração'!$B$51+161&lt;'🌱 Configuração'!$D$51,"🌿 Vegetativo",IF('🌱 Configuração'!$B$51+161&lt;'🌱 Configuração'!$E$51,"🌸 Floração","🚿 Flush"))))</f>
        <v/>
      </c>
      <c r="E167" s="28" t="str">
        <f>IF(162&gt;'🌱 Configuração'!$F$50,"",IF('🌱 Configuração'!$B$51+161&lt;'🌱 Configuração'!$C$51,"Clone S"&amp;INT((162-1)/7)+1,IF('🌱 Configuração'!$B$51+161&lt;'🌱 Configuração'!$D$51,"Vega S"&amp;INT(('🌱 Configuração'!$B$51+161-'🌱 Configuração'!$C$51)/7)+1,IF('🌱 Configuração'!$B$51+161&lt;'🌱 Configuração'!$E$51,"Flora S"&amp;INT(('🌱 Configuração'!$B$51+161-'🌱 Configuração'!$D$51)/7)+1,"Flush S"&amp;INT(('🌱 Configuração'!$B$51+161-'🌱 Configuração'!$E$51)/7)+1))))</f>
        <v/>
      </c>
      <c r="F167" s="29" t="str">
        <f>IF(162&gt;'🌱 Configuração'!$F$50,"",IF(AND('🌱 Configuração'!$B$51+161&lt;'🌱 Configuração'!$C$51,INT((162-1)/7)+1=1,MOD(162-1,7)=0),"🌱 Enraizador (0.5 mL/L)",IF(AND('🌱 Configuração'!$B$51+161&lt;'🌱 Configuração'!$C$51,INT((162-1)/7)+1=2,MOD(162-1,7)=0),"🌱 Enraizador + Vitamina B1",IF(AND('🌱 Configuração'!$B$51+161&gt;='🌱 Configuração'!$C$51,'🌱 Configuração'!$B$51+161&lt;'🌱 Configuração'!$D$51,INT(('🌱 Configuração'!$B$51+161-'🌱 Configuração'!$C$51)/7)+1=1,MOD('🌱 Configuração'!$B$51+161-'🌱 Configuração'!$C$51,7)=0),"🌿 Grow A+B início — EC 0.8",IF(AND('🌱 Configuração'!$B$51+161&gt;='🌱 Configuração'!$C$51,'🌱 Configuração'!$B$51+161&lt;'🌱 Configuração'!$D$51,INT(('🌱 Configuração'!$B$51+161-'🌱 Configuração'!$C$51)/7)+1=2,MOD('🌱 Configuração'!$B$51+161-'🌱 Configuração'!$C$51,7)=0),"🌿 Grow A+B + CalMag — EC 1.0",IF(AND('🌱 Configuração'!$B$51+161&gt;='🌱 Configuração'!$C$51,'🌱 Configuração'!$B$51+161&lt;'🌱 Configuração'!$D$51,INT(('🌱 Configuração'!$B$51+161-'🌱 Configuração'!$C$51)/7)+1=3,MOD('🌱 Configuração'!$B$51+161-'🌱 Configuração'!$C$51,7)=0),"🌿 Grow A+B + CalMag — EC 1.2",IF(AND('🌱 Configuração'!$B$51+161&gt;='🌱 Configuração'!$C$51,'🌱 Configuração'!$B$51+161&lt;'🌱 Configuração'!$D$51,INT(('🌱 Configuração'!$B$51+161-'🌱 Configuração'!$C$51)/7)+1=4,MOD('🌱 Configuração'!$B$51+161-'🌱 Configuração'!$C$51,7)=0),"🌿 Grow A+B + Enzimas — EC 1.4",IF(AND('🌱 Configuração'!$B$51+161&gt;='🌱 Configuração'!$C$51,'🌱 Configuração'!$B$51+161&lt;'🌱 Configuração'!$D$51,INT(('🌱 Configuração'!$B$51+161-'🌱 Configuração'!$C$51)/7)+1=5,MOD('🌱 Configuração'!$B$51+161-'🌱 Configuração'!$C$51,7)=0),"🌿 Grow A+B + Biorrizas — EC 1.5",IF(AND('🌱 Configuração'!$B$51+161&gt;='🌱 Configuração'!$C$51,'🌱 Configuração'!$B$51+161&lt;'🌱 Configuração'!$D$51,INT(('🌱 Configuração'!$B$51+161-'🌱 Configuração'!$C$51)/7)+1=6,MOD('🌱 Configuração'!$B$51+161-'🌱 Configuração'!$C$51,7)=0),"🌿 Transição Bloom — EC 1.4",IF(AND('🌱 Configuração'!$B$51+161&gt;='🌱 Configuração'!$C$51,'🌱 Configuração'!$B$51+161&lt;'🌱 Configuração'!$D$51,INT(('🌱 Configuração'!$B$51+161-'🌱 Configuração'!$C$51)/7)+1=7,MOD('🌱 Configuração'!$B$51+161-'🌱 Configuração'!$C$51,7)=0),"🌿 Bloom A+B transição — EC 1.4",IF(AND('🌱 Configuração'!$B$51+161&gt;='🌱 Configuração'!$C$51,'🌱 Configuração'!$B$51+161&lt;'🌱 Configuração'!$D$51,INT(('🌱 Configuração'!$B$51+161-'🌱 Configuração'!$C$51)/7)+1=8,MOD('🌱 Configuração'!$B$51+161-'🌱 Configuração'!$C$51,7)=0),"🌿 Bloom A+B — EC 1.4",IF(AND('🌱 Configuração'!$B$51+161&gt;='🌱 Configuração'!$D$51,'🌱 Configuração'!$B$51+161&lt;'🌱 Configuração'!$E$51,INT(('🌱 Configuração'!$B$51+161-'🌱 Configuração'!$D$51)/7)+1=1,MOD('🌱 Configuração'!$B$51+161-'🌱 Configuração'!$D$51,7)=0),"🌸 Bloom A+B — EC 1.6",IF(AND('🌱 Configuração'!$B$51+161&gt;='🌱 Configuração'!$D$51,'🌱 Configuração'!$B$51+161&lt;'🌱 Configuração'!$E$51,INT(('🌱 Configuração'!$B$51+161-'🌱 Configuração'!$D$51)/7)+1=2,MOD('🌱 Configuração'!$B$51+161-'🌱 Configuração'!$D$51,7)=0),"🌸 Bloom + PK 13/14 início",IF(AND('🌱 Configuração'!$B$51+161&gt;='🌱 Configuração'!$D$51,'🌱 Configuração'!$B$51+161&lt;'🌱 Configuração'!$E$51,INT(('🌱 Configuração'!$B$51+161-'🌱 Configuração'!$D$51)/7)+1=3,MOD('🌱 Configuração'!$B$51+161-'🌱 Configuração'!$D$51,7)=0),"🌸 Bloom + PK + CalMag — EC 1.8",IF(AND('🌱 Configuração'!$B$51+161&gt;='🌱 Configuração'!$D$51,'🌱 Configuração'!$B$51+161&lt;'🌱 Configuração'!$E$51,INT(('🌱 Configuração'!$B$51+161-'🌱 Configuração'!$D$51)/7)+1=4,MOD('🌱 Configuração'!$B$51+161-'🌱 Configuração'!$D$51,7)=0),"🌸 Bloom + PK + Boost Floral — EC 2.0",IF(AND('🌱 Configuração'!$B$51+161&gt;='🌱 Configuração'!$D$51,'🌱 Configuração'!$B$51+161&lt;'🌱 Configuração'!$E$51,INT(('🌱 Configuração'!$B$51+161-'🌱 Configuração'!$D$51)/7)+1=5,MOD('🌱 Configuração'!$B$51+161-'🌱 Configuração'!$D$51,7)=0),"🌸 Bloom + Boost + Amino",IF(AND('🌱 Configuração'!$B$51+161&gt;='🌱 Configuração'!$D$51,'🌱 Configuração'!$B$51+161&lt;'🌱 Configuração'!$E$51,INT(('🌱 Configuração'!$B$51+161-'🌱 Configuração'!$D$51)/7)+1=6,MOD('🌱 Configuração'!$B$51+161-'🌱 Configuração'!$D$51,7)=0),"🌸 Bloom + Enzimas + Amino",IF(AND('🌱 Configuração'!$B$51+161&gt;='🌱 Configuração'!$D$51,'🌱 Configuração'!$B$51+161&lt;'🌱 Configuração'!$E$51,INT(('🌱 Configuração'!$B$51+161-'🌱 Configuração'!$D$51)/7)+1=7,MOD('🌱 Configuração'!$B$51+161-'🌱 Configuração'!$D$51,7)=0),"🌸 Reduzir N — Bloom puro — EC 1.6",IF(AND('🌱 Configuração'!$B$51+161&gt;='🌱 Configuração'!$D$51,'🌱 Configuração'!$B$51+161&lt;'🌱 Configuração'!$E$51,INT(('🌱 Configuração'!$B$51+161-'🌱 Configuração'!$D$51)/7)+1=8,MOD('🌱 Configuração'!$B$51+161-'🌱 Configuração'!$D$51,7)=0),"🌸 Bloom puro — EC 1.4  (pré-flush)",IF(AND('🌱 Configuração'!$B$51+161&gt;='🌱 Configuração'!$D$51,'🌱 Configuração'!$B$51+161&lt;'🌱 Configuração'!$E$51,INT(('🌱 Configuração'!$B$51+161-'🌱 Configuração'!$D$51)/7)+1=9,MOD('🌱 Configuração'!$B$51+161-'🌱 Configuração'!$D$51,7)=0),"🌸 Último Bloom — EC 0.8",IF(AND('🌱 Configuração'!$B$51+161&gt;='🌱 Configuração'!$E$51,INT(('🌱 Configuração'!$B$51+161-'🌱 Configuração'!$E$51)/7)+1=1,MOD('🌱 Configuração'!$B$51+161-'🌱 Configuração'!$E$51,7)=0),"🚿 Água pura + Enzimas (EC &lt; 0.3)",IF(AND('🌱 Configuração'!$B$51+161&gt;='🌱 Configuração'!$E$51,INT(('🌱 Configuração'!$B$51+161-'🌱 Configuração'!$E$51)/7)+1=2,MOD('🌱 Configuração'!$B$51+161-'🌱 Configuração'!$E$51,7)=0),"🚿 Água pura (EC &lt; 0.2)",""))))))))))))))))))))))</f>
        <v/>
      </c>
      <c r="G167" s="30" t="str">
        <f>IF(162&gt;'🌱 Configuração'!$F$50,"",IF(AND('🌱 Configuração'!$B$51+161&lt;'🌱 Configuração'!$C$51,INT((162-1)/7)+1=1,MOD(162-1,7)=0),"🐛 Nim 2mL/L foliar — preventivo",IF(AND('🌱 Configuração'!$B$51+161&lt;'🌱 Configuração'!$C$51,INT((162-1)/7)+1=2,MOD(162-1,7)=0),"🐛 Beauveria bassiana foliar + solo",IF(AND('🌱 Configuração'!$B$51+161&gt;='🌱 Configuração'!$C$51,'🌱 Configuração'!$B$51+161&lt;'🌱 Configuração'!$D$51,INT(('🌱 Configuração'!$B$51+161-'🌱 Configuração'!$C$51)/7)+1=1,MOD('🌱 Configuração'!$B$51+161-'🌱 Configuração'!$C$51,7)=0),"🐛 Nim 2mL/L foliar",IF(AND('🌱 Configuração'!$B$51+161&gt;='🌱 Configuração'!$C$51,'🌱 Configuração'!$B$51+161&lt;'🌱 Configuração'!$D$51,INT(('🌱 Configuração'!$B$51+161-'🌱 Configuração'!$C$51)/7)+1=2,MOD('🌱 Configuração'!$B$51+161-'🌱 Configuração'!$C$51,7)=0),"🐛 Beauveria bassiana foliar",IF(AND('🌱 Configuração'!$B$51+161&gt;='🌱 Configuração'!$C$51,'🌱 Configuração'!$B$51+161&lt;'🌱 Configuração'!$D$51,INT(('🌱 Configuração'!$B$51+161-'🌱 Configuração'!$C$51)/7)+1=3,MOD('🌱 Configuração'!$B$51+161-'🌱 Configuração'!$C$51,7)=0),"🐛 Nim + Calda Sulfocálcica 1%",IF(AND('🌱 Configuração'!$B$51+161&gt;='🌱 Configuração'!$C$51,'🌱 Configuração'!$B$51+161&lt;'🌱 Configuração'!$D$51,INT(('🌱 Configuração'!$B$51+161-'🌱 Configuração'!$C$51)/7)+1=4,MOD('🌱 Configuração'!$B$51+161-'🌱 Configuração'!$C$51,7)=0),"🐛 Trichoderma solo + Beauveria",IF(AND('🌱 Configuração'!$B$51+161&gt;='🌱 Configuração'!$C$51,'🌱 Configuração'!$B$51+161&lt;'🌱 Configuração'!$D$51,INT(('🌱 Configuração'!$B$51+161-'🌱 Configuração'!$C$51)/7)+1=5,MOD('🌱 Configuração'!$B$51+161-'🌱 Configuração'!$C$51,7)=0),"🐛 Calda Bordalesa 0.5% foliar",IF(AND('🌱 Configuração'!$B$51+161&gt;='🌱 Configuração'!$C$51,'🌱 Configuração'!$B$51+161&lt;'🌱 Configuração'!$D$51,INT(('🌱 Configuração'!$B$51+161-'🌱 Configuração'!$C$51)/7)+1=6,MOD('🌱 Configuração'!$B$51+161-'🌱 Configuração'!$C$51,7)=0),"🐛 Nim 2mL/L — ÚLTIMA foliar",IF(AND('🌱 Configuração'!$B$51+161&gt;='🌱 Configuração'!$D$51,'🌱 Configuração'!$B$51+161&lt;'🌱 Configuração'!$E$51,INT(('🌱 Configuração'!$B$51+161-'🌱 Configuração'!$D$51)/7)+1=1,MOD('🌱 Configuração'!$B$51+161-'🌱 Configuração'!$D$51,7)=0),"🐛 Beauveria bassiana solo (sem foliar)",IF(AND('🌱 Configuração'!$B$51+161&gt;='🌱 Configuração'!$D$51,'🌱 Configuração'!$B$51+161&lt;'🌱 Configuração'!$E$51,INT(('🌱 Configuração'!$B$51+161-'🌱 Configuração'!$D$51)/7)+1=2,MOD('🌱 Configuração'!$B$51+161-'🌱 Configuração'!$D$51,7)=0),"🐛 Trichoderma solo",IF(AND('🌱 Configuração'!$B$51+161&gt;='🌱 Configuração'!$D$51,'🌱 Configuração'!$B$51+161&lt;'🌱 Configuração'!$E$51,INT(('🌱 Configuração'!$B$51+161-'🌱 Configuração'!$D$51)/7)+1=3,MOD('🌱 Configuração'!$B$51+161-'🌱 Configuração'!$D$51,7)=0),"🐛 Beauveria bassiana solo",IF(AND('🌱 Configuração'!$B$51+161&gt;='🌱 Configuração'!$D$51,'🌱 Configuração'!$B$51+161&lt;'🌱 Configuração'!$E$51,INT(('🌱 Configuração'!$B$51+161-'🌱 Configuração'!$D$51)/7)+1=4,MOD('🌱 Configuração'!$B$51+161-'🌱 Configuração'!$D$51,7)=0),"🐛 Trichoderma solo",IF(AND('🌱 Configuração'!$B$51+161&gt;='🌱 Configuração'!$E$51,INT(('🌱 Configuração'!$B$51+161-'🌱 Configuração'!$E$51)/7)+1=1,MOD('🌱 Configuração'!$B$51+161-'🌱 Configuração'!$E$51,7)=0),"🐛 Inspeção final — sem aplicação",""))))))))))))))</f>
        <v/>
      </c>
      <c r="H167" s="22" t="str">
        <f>IF(162&gt;'🌱 Configuração'!$F$50,"",IF('🌱 Configuração'!$B$51+161='🌱 Configuração'!$C$51,"🌿 INÍCIO VEGA — ajustar espaço, luz 18h/dia — EC 0.8",IF('🌱 Configuração'!$B$51+161='🌱 Configuração'!$D$51,"🌸 INÍCIO FLORAÇÃO — mudar para 12h/12h — 🔴 atenção ao fotoperíodo",IF('🌱 Configuração'!$B$51+161='🌱 Configuração'!$E$51,"🚿 INÍCIO FLUSH — PARAR nutrição, somente água pura",IF('🌱 Configuração'!$B$51+161='🌱 Configuração'!$F$51-1,"🔬 Véspera da colheita — analisar tricomas âmbar",IF('🌱 Configuração'!$B$51+161='🌱 Configuração'!$F$51,"✂️ COLHEITA! Parabéns! 🎉",""))))))</f>
        <v/>
      </c>
    </row>
    <row r="168" spans="2:8" ht="18.75" customHeight="1" x14ac:dyDescent="0.3">
      <c r="B168" s="25" t="str">
        <f>IF(163&lt;='🌱 Configuração'!$F$50,163,"")</f>
        <v/>
      </c>
      <c r="C168" s="26" t="str">
        <f>IF(163&lt;='🌱 Configuração'!$F$50,'🌱 Configuração'!$B$51+162,"")</f>
        <v/>
      </c>
      <c r="D168" s="27" t="str">
        <f>IF(163&gt;'🌱 Configuração'!$F$50,"",IF('🌱 Configuração'!$B$51+162&lt;'🌱 Configuração'!$C$51,"🌱 Clone",IF('🌱 Configuração'!$B$51+162&lt;'🌱 Configuração'!$D$51,"🌿 Vegetativo",IF('🌱 Configuração'!$B$51+162&lt;'🌱 Configuração'!$E$51,"🌸 Floração","🚿 Flush"))))</f>
        <v/>
      </c>
      <c r="E168" s="28" t="str">
        <f>IF(163&gt;'🌱 Configuração'!$F$50,"",IF('🌱 Configuração'!$B$51+162&lt;'🌱 Configuração'!$C$51,"Clone S"&amp;INT((163-1)/7)+1,IF('🌱 Configuração'!$B$51+162&lt;'🌱 Configuração'!$D$51,"Vega S"&amp;INT(('🌱 Configuração'!$B$51+162-'🌱 Configuração'!$C$51)/7)+1,IF('🌱 Configuração'!$B$51+162&lt;'🌱 Configuração'!$E$51,"Flora S"&amp;INT(('🌱 Configuração'!$B$51+162-'🌱 Configuração'!$D$51)/7)+1,"Flush S"&amp;INT(('🌱 Configuração'!$B$51+162-'🌱 Configuração'!$E$51)/7)+1))))</f>
        <v/>
      </c>
      <c r="F168" s="29" t="str">
        <f>IF(163&gt;'🌱 Configuração'!$F$50,"",IF(AND('🌱 Configuração'!$B$51+162&lt;'🌱 Configuração'!$C$51,INT((163-1)/7)+1=1,MOD(163-1,7)=0),"🌱 Enraizador (0.5 mL/L)",IF(AND('🌱 Configuração'!$B$51+162&lt;'🌱 Configuração'!$C$51,INT((163-1)/7)+1=2,MOD(163-1,7)=0),"🌱 Enraizador + Vitamina B1",IF(AND('🌱 Configuração'!$B$51+162&gt;='🌱 Configuração'!$C$51,'🌱 Configuração'!$B$51+162&lt;'🌱 Configuração'!$D$51,INT(('🌱 Configuração'!$B$51+162-'🌱 Configuração'!$C$51)/7)+1=1,MOD('🌱 Configuração'!$B$51+162-'🌱 Configuração'!$C$51,7)=0),"🌿 Grow A+B início — EC 0.8",IF(AND('🌱 Configuração'!$B$51+162&gt;='🌱 Configuração'!$C$51,'🌱 Configuração'!$B$51+162&lt;'🌱 Configuração'!$D$51,INT(('🌱 Configuração'!$B$51+162-'🌱 Configuração'!$C$51)/7)+1=2,MOD('🌱 Configuração'!$B$51+162-'🌱 Configuração'!$C$51,7)=0),"🌿 Grow A+B + CalMag — EC 1.0",IF(AND('🌱 Configuração'!$B$51+162&gt;='🌱 Configuração'!$C$51,'🌱 Configuração'!$B$51+162&lt;'🌱 Configuração'!$D$51,INT(('🌱 Configuração'!$B$51+162-'🌱 Configuração'!$C$51)/7)+1=3,MOD('🌱 Configuração'!$B$51+162-'🌱 Configuração'!$C$51,7)=0),"🌿 Grow A+B + CalMag — EC 1.2",IF(AND('🌱 Configuração'!$B$51+162&gt;='🌱 Configuração'!$C$51,'🌱 Configuração'!$B$51+162&lt;'🌱 Configuração'!$D$51,INT(('🌱 Configuração'!$B$51+162-'🌱 Configuração'!$C$51)/7)+1=4,MOD('🌱 Configuração'!$B$51+162-'🌱 Configuração'!$C$51,7)=0),"🌿 Grow A+B + Enzimas — EC 1.4",IF(AND('🌱 Configuração'!$B$51+162&gt;='🌱 Configuração'!$C$51,'🌱 Configuração'!$B$51+162&lt;'🌱 Configuração'!$D$51,INT(('🌱 Configuração'!$B$51+162-'🌱 Configuração'!$C$51)/7)+1=5,MOD('🌱 Configuração'!$B$51+162-'🌱 Configuração'!$C$51,7)=0),"🌿 Grow A+B + Biorrizas — EC 1.5",IF(AND('🌱 Configuração'!$B$51+162&gt;='🌱 Configuração'!$C$51,'🌱 Configuração'!$B$51+162&lt;'🌱 Configuração'!$D$51,INT(('🌱 Configuração'!$B$51+162-'🌱 Configuração'!$C$51)/7)+1=6,MOD('🌱 Configuração'!$B$51+162-'🌱 Configuração'!$C$51,7)=0),"🌿 Transição Bloom — EC 1.4",IF(AND('🌱 Configuração'!$B$51+162&gt;='🌱 Configuração'!$C$51,'🌱 Configuração'!$B$51+162&lt;'🌱 Configuração'!$D$51,INT(('🌱 Configuração'!$B$51+162-'🌱 Configuração'!$C$51)/7)+1=7,MOD('🌱 Configuração'!$B$51+162-'🌱 Configuração'!$C$51,7)=0),"🌿 Bloom A+B transição — EC 1.4",IF(AND('🌱 Configuração'!$B$51+162&gt;='🌱 Configuração'!$C$51,'🌱 Configuração'!$B$51+162&lt;'🌱 Configuração'!$D$51,INT(('🌱 Configuração'!$B$51+162-'🌱 Configuração'!$C$51)/7)+1=8,MOD('🌱 Configuração'!$B$51+162-'🌱 Configuração'!$C$51,7)=0),"🌿 Bloom A+B — EC 1.4",IF(AND('🌱 Configuração'!$B$51+162&gt;='🌱 Configuração'!$D$51,'🌱 Configuração'!$B$51+162&lt;'🌱 Configuração'!$E$51,INT(('🌱 Configuração'!$B$51+162-'🌱 Configuração'!$D$51)/7)+1=1,MOD('🌱 Configuração'!$B$51+162-'🌱 Configuração'!$D$51,7)=0),"🌸 Bloom A+B — EC 1.6",IF(AND('🌱 Configuração'!$B$51+162&gt;='🌱 Configuração'!$D$51,'🌱 Configuração'!$B$51+162&lt;'🌱 Configuração'!$E$51,INT(('🌱 Configuração'!$B$51+162-'🌱 Configuração'!$D$51)/7)+1=2,MOD('🌱 Configuração'!$B$51+162-'🌱 Configuração'!$D$51,7)=0),"🌸 Bloom + PK 13/14 início",IF(AND('🌱 Configuração'!$B$51+162&gt;='🌱 Configuração'!$D$51,'🌱 Configuração'!$B$51+162&lt;'🌱 Configuração'!$E$51,INT(('🌱 Configuração'!$B$51+162-'🌱 Configuração'!$D$51)/7)+1=3,MOD('🌱 Configuração'!$B$51+162-'🌱 Configuração'!$D$51,7)=0),"🌸 Bloom + PK + CalMag — EC 1.8",IF(AND('🌱 Configuração'!$B$51+162&gt;='🌱 Configuração'!$D$51,'🌱 Configuração'!$B$51+162&lt;'🌱 Configuração'!$E$51,INT(('🌱 Configuração'!$B$51+162-'🌱 Configuração'!$D$51)/7)+1=4,MOD('🌱 Configuração'!$B$51+162-'🌱 Configuração'!$D$51,7)=0),"🌸 Bloom + PK + Boost Floral — EC 2.0",IF(AND('🌱 Configuração'!$B$51+162&gt;='🌱 Configuração'!$D$51,'🌱 Configuração'!$B$51+162&lt;'🌱 Configuração'!$E$51,INT(('🌱 Configuração'!$B$51+162-'🌱 Configuração'!$D$51)/7)+1=5,MOD('🌱 Configuração'!$B$51+162-'🌱 Configuração'!$D$51,7)=0),"🌸 Bloom + Boost + Amino",IF(AND('🌱 Configuração'!$B$51+162&gt;='🌱 Configuração'!$D$51,'🌱 Configuração'!$B$51+162&lt;'🌱 Configuração'!$E$51,INT(('🌱 Configuração'!$B$51+162-'🌱 Configuração'!$D$51)/7)+1=6,MOD('🌱 Configuração'!$B$51+162-'🌱 Configuração'!$D$51,7)=0),"🌸 Bloom + Enzimas + Amino",IF(AND('🌱 Configuração'!$B$51+162&gt;='🌱 Configuração'!$D$51,'🌱 Configuração'!$B$51+162&lt;'🌱 Configuração'!$E$51,INT(('🌱 Configuração'!$B$51+162-'🌱 Configuração'!$D$51)/7)+1=7,MOD('🌱 Configuração'!$B$51+162-'🌱 Configuração'!$D$51,7)=0),"🌸 Reduzir N — Bloom puro — EC 1.6",IF(AND('🌱 Configuração'!$B$51+162&gt;='🌱 Configuração'!$D$51,'🌱 Configuração'!$B$51+162&lt;'🌱 Configuração'!$E$51,INT(('🌱 Configuração'!$B$51+162-'🌱 Configuração'!$D$51)/7)+1=8,MOD('🌱 Configuração'!$B$51+162-'🌱 Configuração'!$D$51,7)=0),"🌸 Bloom puro — EC 1.4  (pré-flush)",IF(AND('🌱 Configuração'!$B$51+162&gt;='🌱 Configuração'!$D$51,'🌱 Configuração'!$B$51+162&lt;'🌱 Configuração'!$E$51,INT(('🌱 Configuração'!$B$51+162-'🌱 Configuração'!$D$51)/7)+1=9,MOD('🌱 Configuração'!$B$51+162-'🌱 Configuração'!$D$51,7)=0),"🌸 Último Bloom — EC 0.8",IF(AND('🌱 Configuração'!$B$51+162&gt;='🌱 Configuração'!$E$51,INT(('🌱 Configuração'!$B$51+162-'🌱 Configuração'!$E$51)/7)+1=1,MOD('🌱 Configuração'!$B$51+162-'🌱 Configuração'!$E$51,7)=0),"🚿 Água pura + Enzimas (EC &lt; 0.3)",IF(AND('🌱 Configuração'!$B$51+162&gt;='🌱 Configuração'!$E$51,INT(('🌱 Configuração'!$B$51+162-'🌱 Configuração'!$E$51)/7)+1=2,MOD('🌱 Configuração'!$B$51+162-'🌱 Configuração'!$E$51,7)=0),"🚿 Água pura (EC &lt; 0.2)",""))))))))))))))))))))))</f>
        <v/>
      </c>
      <c r="G168" s="30" t="str">
        <f>IF(163&gt;'🌱 Configuração'!$F$50,"",IF(AND('🌱 Configuração'!$B$51+162&lt;'🌱 Configuração'!$C$51,INT((163-1)/7)+1=1,MOD(163-1,7)=0),"🐛 Nim 2mL/L foliar — preventivo",IF(AND('🌱 Configuração'!$B$51+162&lt;'🌱 Configuração'!$C$51,INT((163-1)/7)+1=2,MOD(163-1,7)=0),"🐛 Beauveria bassiana foliar + solo",IF(AND('🌱 Configuração'!$B$51+162&gt;='🌱 Configuração'!$C$51,'🌱 Configuração'!$B$51+162&lt;'🌱 Configuração'!$D$51,INT(('🌱 Configuração'!$B$51+162-'🌱 Configuração'!$C$51)/7)+1=1,MOD('🌱 Configuração'!$B$51+162-'🌱 Configuração'!$C$51,7)=0),"🐛 Nim 2mL/L foliar",IF(AND('🌱 Configuração'!$B$51+162&gt;='🌱 Configuração'!$C$51,'🌱 Configuração'!$B$51+162&lt;'🌱 Configuração'!$D$51,INT(('🌱 Configuração'!$B$51+162-'🌱 Configuração'!$C$51)/7)+1=2,MOD('🌱 Configuração'!$B$51+162-'🌱 Configuração'!$C$51,7)=0),"🐛 Beauveria bassiana foliar",IF(AND('🌱 Configuração'!$B$51+162&gt;='🌱 Configuração'!$C$51,'🌱 Configuração'!$B$51+162&lt;'🌱 Configuração'!$D$51,INT(('🌱 Configuração'!$B$51+162-'🌱 Configuração'!$C$51)/7)+1=3,MOD('🌱 Configuração'!$B$51+162-'🌱 Configuração'!$C$51,7)=0),"🐛 Nim + Calda Sulfocálcica 1%",IF(AND('🌱 Configuração'!$B$51+162&gt;='🌱 Configuração'!$C$51,'🌱 Configuração'!$B$51+162&lt;'🌱 Configuração'!$D$51,INT(('🌱 Configuração'!$B$51+162-'🌱 Configuração'!$C$51)/7)+1=4,MOD('🌱 Configuração'!$B$51+162-'🌱 Configuração'!$C$51,7)=0),"🐛 Trichoderma solo + Beauveria",IF(AND('🌱 Configuração'!$B$51+162&gt;='🌱 Configuração'!$C$51,'🌱 Configuração'!$B$51+162&lt;'🌱 Configuração'!$D$51,INT(('🌱 Configuração'!$B$51+162-'🌱 Configuração'!$C$51)/7)+1=5,MOD('🌱 Configuração'!$B$51+162-'🌱 Configuração'!$C$51,7)=0),"🐛 Calda Bordalesa 0.5% foliar",IF(AND('🌱 Configuração'!$B$51+162&gt;='🌱 Configuração'!$C$51,'🌱 Configuração'!$B$51+162&lt;'🌱 Configuração'!$D$51,INT(('🌱 Configuração'!$B$51+162-'🌱 Configuração'!$C$51)/7)+1=6,MOD('🌱 Configuração'!$B$51+162-'🌱 Configuração'!$C$51,7)=0),"🐛 Nim 2mL/L — ÚLTIMA foliar",IF(AND('🌱 Configuração'!$B$51+162&gt;='🌱 Configuração'!$D$51,'🌱 Configuração'!$B$51+162&lt;'🌱 Configuração'!$E$51,INT(('🌱 Configuração'!$B$51+162-'🌱 Configuração'!$D$51)/7)+1=1,MOD('🌱 Configuração'!$B$51+162-'🌱 Configuração'!$D$51,7)=0),"🐛 Beauveria bassiana solo (sem foliar)",IF(AND('🌱 Configuração'!$B$51+162&gt;='🌱 Configuração'!$D$51,'🌱 Configuração'!$B$51+162&lt;'🌱 Configuração'!$E$51,INT(('🌱 Configuração'!$B$51+162-'🌱 Configuração'!$D$51)/7)+1=2,MOD('🌱 Configuração'!$B$51+162-'🌱 Configuração'!$D$51,7)=0),"🐛 Trichoderma solo",IF(AND('🌱 Configuração'!$B$51+162&gt;='🌱 Configuração'!$D$51,'🌱 Configuração'!$B$51+162&lt;'🌱 Configuração'!$E$51,INT(('🌱 Configuração'!$B$51+162-'🌱 Configuração'!$D$51)/7)+1=3,MOD('🌱 Configuração'!$B$51+162-'🌱 Configuração'!$D$51,7)=0),"🐛 Beauveria bassiana solo",IF(AND('🌱 Configuração'!$B$51+162&gt;='🌱 Configuração'!$D$51,'🌱 Configuração'!$B$51+162&lt;'🌱 Configuração'!$E$51,INT(('🌱 Configuração'!$B$51+162-'🌱 Configuração'!$D$51)/7)+1=4,MOD('🌱 Configuração'!$B$51+162-'🌱 Configuração'!$D$51,7)=0),"🐛 Trichoderma solo",IF(AND('🌱 Configuração'!$B$51+162&gt;='🌱 Configuração'!$E$51,INT(('🌱 Configuração'!$B$51+162-'🌱 Configuração'!$E$51)/7)+1=1,MOD('🌱 Configuração'!$B$51+162-'🌱 Configuração'!$E$51,7)=0),"🐛 Inspeção final — sem aplicação",""))))))))))))))</f>
        <v/>
      </c>
      <c r="H168" s="22" t="str">
        <f>IF(163&gt;'🌱 Configuração'!$F$50,"",IF('🌱 Configuração'!$B$51+162='🌱 Configuração'!$C$51,"🌿 INÍCIO VEGA — ajustar espaço, luz 18h/dia — EC 0.8",IF('🌱 Configuração'!$B$51+162='🌱 Configuração'!$D$51,"🌸 INÍCIO FLORAÇÃO — mudar para 12h/12h — 🔴 atenção ao fotoperíodo",IF('🌱 Configuração'!$B$51+162='🌱 Configuração'!$E$51,"🚿 INÍCIO FLUSH — PARAR nutrição, somente água pura",IF('🌱 Configuração'!$B$51+162='🌱 Configuração'!$F$51-1,"🔬 Véspera da colheita — analisar tricomas âmbar",IF('🌱 Configuração'!$B$51+162='🌱 Configuração'!$F$51,"✂️ COLHEITA! Parabéns! 🎉",""))))))</f>
        <v/>
      </c>
    </row>
    <row r="169" spans="2:8" ht="18.75" customHeight="1" x14ac:dyDescent="0.3">
      <c r="B169" s="25" t="str">
        <f>IF(164&lt;='🌱 Configuração'!$F$50,164,"")</f>
        <v/>
      </c>
      <c r="C169" s="26" t="str">
        <f>IF(164&lt;='🌱 Configuração'!$F$50,'🌱 Configuração'!$B$51+163,"")</f>
        <v/>
      </c>
      <c r="D169" s="27" t="str">
        <f>IF(164&gt;'🌱 Configuração'!$F$50,"",IF('🌱 Configuração'!$B$51+163&lt;'🌱 Configuração'!$C$51,"🌱 Clone",IF('🌱 Configuração'!$B$51+163&lt;'🌱 Configuração'!$D$51,"🌿 Vegetativo",IF('🌱 Configuração'!$B$51+163&lt;'🌱 Configuração'!$E$51,"🌸 Floração","🚿 Flush"))))</f>
        <v/>
      </c>
      <c r="E169" s="28" t="str">
        <f>IF(164&gt;'🌱 Configuração'!$F$50,"",IF('🌱 Configuração'!$B$51+163&lt;'🌱 Configuração'!$C$51,"Clone S"&amp;INT((164-1)/7)+1,IF('🌱 Configuração'!$B$51+163&lt;'🌱 Configuração'!$D$51,"Vega S"&amp;INT(('🌱 Configuração'!$B$51+163-'🌱 Configuração'!$C$51)/7)+1,IF('🌱 Configuração'!$B$51+163&lt;'🌱 Configuração'!$E$51,"Flora S"&amp;INT(('🌱 Configuração'!$B$51+163-'🌱 Configuração'!$D$51)/7)+1,"Flush S"&amp;INT(('🌱 Configuração'!$B$51+163-'🌱 Configuração'!$E$51)/7)+1))))</f>
        <v/>
      </c>
      <c r="F169" s="29" t="str">
        <f>IF(164&gt;'🌱 Configuração'!$F$50,"",IF(AND('🌱 Configuração'!$B$51+163&lt;'🌱 Configuração'!$C$51,INT((164-1)/7)+1=1,MOD(164-1,7)=0),"🌱 Enraizador (0.5 mL/L)",IF(AND('🌱 Configuração'!$B$51+163&lt;'🌱 Configuração'!$C$51,INT((164-1)/7)+1=2,MOD(164-1,7)=0),"🌱 Enraizador + Vitamina B1",IF(AND('🌱 Configuração'!$B$51+163&gt;='🌱 Configuração'!$C$51,'🌱 Configuração'!$B$51+163&lt;'🌱 Configuração'!$D$51,INT(('🌱 Configuração'!$B$51+163-'🌱 Configuração'!$C$51)/7)+1=1,MOD('🌱 Configuração'!$B$51+163-'🌱 Configuração'!$C$51,7)=0),"🌿 Grow A+B início — EC 0.8",IF(AND('🌱 Configuração'!$B$51+163&gt;='🌱 Configuração'!$C$51,'🌱 Configuração'!$B$51+163&lt;'🌱 Configuração'!$D$51,INT(('🌱 Configuração'!$B$51+163-'🌱 Configuração'!$C$51)/7)+1=2,MOD('🌱 Configuração'!$B$51+163-'🌱 Configuração'!$C$51,7)=0),"🌿 Grow A+B + CalMag — EC 1.0",IF(AND('🌱 Configuração'!$B$51+163&gt;='🌱 Configuração'!$C$51,'🌱 Configuração'!$B$51+163&lt;'🌱 Configuração'!$D$51,INT(('🌱 Configuração'!$B$51+163-'🌱 Configuração'!$C$51)/7)+1=3,MOD('🌱 Configuração'!$B$51+163-'🌱 Configuração'!$C$51,7)=0),"🌿 Grow A+B + CalMag — EC 1.2",IF(AND('🌱 Configuração'!$B$51+163&gt;='🌱 Configuração'!$C$51,'🌱 Configuração'!$B$51+163&lt;'🌱 Configuração'!$D$51,INT(('🌱 Configuração'!$B$51+163-'🌱 Configuração'!$C$51)/7)+1=4,MOD('🌱 Configuração'!$B$51+163-'🌱 Configuração'!$C$51,7)=0),"🌿 Grow A+B + Enzimas — EC 1.4",IF(AND('🌱 Configuração'!$B$51+163&gt;='🌱 Configuração'!$C$51,'🌱 Configuração'!$B$51+163&lt;'🌱 Configuração'!$D$51,INT(('🌱 Configuração'!$B$51+163-'🌱 Configuração'!$C$51)/7)+1=5,MOD('🌱 Configuração'!$B$51+163-'🌱 Configuração'!$C$51,7)=0),"🌿 Grow A+B + Biorrizas — EC 1.5",IF(AND('🌱 Configuração'!$B$51+163&gt;='🌱 Configuração'!$C$51,'🌱 Configuração'!$B$51+163&lt;'🌱 Configuração'!$D$51,INT(('🌱 Configuração'!$B$51+163-'🌱 Configuração'!$C$51)/7)+1=6,MOD('🌱 Configuração'!$B$51+163-'🌱 Configuração'!$C$51,7)=0),"🌿 Transição Bloom — EC 1.4",IF(AND('🌱 Configuração'!$B$51+163&gt;='🌱 Configuração'!$C$51,'🌱 Configuração'!$B$51+163&lt;'🌱 Configuração'!$D$51,INT(('🌱 Configuração'!$B$51+163-'🌱 Configuração'!$C$51)/7)+1=7,MOD('🌱 Configuração'!$B$51+163-'🌱 Configuração'!$C$51,7)=0),"🌿 Bloom A+B transição — EC 1.4",IF(AND('🌱 Configuração'!$B$51+163&gt;='🌱 Configuração'!$C$51,'🌱 Configuração'!$B$51+163&lt;'🌱 Configuração'!$D$51,INT(('🌱 Configuração'!$B$51+163-'🌱 Configuração'!$C$51)/7)+1=8,MOD('🌱 Configuração'!$B$51+163-'🌱 Configuração'!$C$51,7)=0),"🌿 Bloom A+B — EC 1.4",IF(AND('🌱 Configuração'!$B$51+163&gt;='🌱 Configuração'!$D$51,'🌱 Configuração'!$B$51+163&lt;'🌱 Configuração'!$E$51,INT(('🌱 Configuração'!$B$51+163-'🌱 Configuração'!$D$51)/7)+1=1,MOD('🌱 Configuração'!$B$51+163-'🌱 Configuração'!$D$51,7)=0),"🌸 Bloom A+B — EC 1.6",IF(AND('🌱 Configuração'!$B$51+163&gt;='🌱 Configuração'!$D$51,'🌱 Configuração'!$B$51+163&lt;'🌱 Configuração'!$E$51,INT(('🌱 Configuração'!$B$51+163-'🌱 Configuração'!$D$51)/7)+1=2,MOD('🌱 Configuração'!$B$51+163-'🌱 Configuração'!$D$51,7)=0),"🌸 Bloom + PK 13/14 início",IF(AND('🌱 Configuração'!$B$51+163&gt;='🌱 Configuração'!$D$51,'🌱 Configuração'!$B$51+163&lt;'🌱 Configuração'!$E$51,INT(('🌱 Configuração'!$B$51+163-'🌱 Configuração'!$D$51)/7)+1=3,MOD('🌱 Configuração'!$B$51+163-'🌱 Configuração'!$D$51,7)=0),"🌸 Bloom + PK + CalMag — EC 1.8",IF(AND('🌱 Configuração'!$B$51+163&gt;='🌱 Configuração'!$D$51,'🌱 Configuração'!$B$51+163&lt;'🌱 Configuração'!$E$51,INT(('🌱 Configuração'!$B$51+163-'🌱 Configuração'!$D$51)/7)+1=4,MOD('🌱 Configuração'!$B$51+163-'🌱 Configuração'!$D$51,7)=0),"🌸 Bloom + PK + Boost Floral — EC 2.0",IF(AND('🌱 Configuração'!$B$51+163&gt;='🌱 Configuração'!$D$51,'🌱 Configuração'!$B$51+163&lt;'🌱 Configuração'!$E$51,INT(('🌱 Configuração'!$B$51+163-'🌱 Configuração'!$D$51)/7)+1=5,MOD('🌱 Configuração'!$B$51+163-'🌱 Configuração'!$D$51,7)=0),"🌸 Bloom + Boost + Amino",IF(AND('🌱 Configuração'!$B$51+163&gt;='🌱 Configuração'!$D$51,'🌱 Configuração'!$B$51+163&lt;'🌱 Configuração'!$E$51,INT(('🌱 Configuração'!$B$51+163-'🌱 Configuração'!$D$51)/7)+1=6,MOD('🌱 Configuração'!$B$51+163-'🌱 Configuração'!$D$51,7)=0),"🌸 Bloom + Enzimas + Amino",IF(AND('🌱 Configuração'!$B$51+163&gt;='🌱 Configuração'!$D$51,'🌱 Configuração'!$B$51+163&lt;'🌱 Configuração'!$E$51,INT(('🌱 Configuração'!$B$51+163-'🌱 Configuração'!$D$51)/7)+1=7,MOD('🌱 Configuração'!$B$51+163-'🌱 Configuração'!$D$51,7)=0),"🌸 Reduzir N — Bloom puro — EC 1.6",IF(AND('🌱 Configuração'!$B$51+163&gt;='🌱 Configuração'!$D$51,'🌱 Configuração'!$B$51+163&lt;'🌱 Configuração'!$E$51,INT(('🌱 Configuração'!$B$51+163-'🌱 Configuração'!$D$51)/7)+1=8,MOD('🌱 Configuração'!$B$51+163-'🌱 Configuração'!$D$51,7)=0),"🌸 Bloom puro — EC 1.4  (pré-flush)",IF(AND('🌱 Configuração'!$B$51+163&gt;='🌱 Configuração'!$D$51,'🌱 Configuração'!$B$51+163&lt;'🌱 Configuração'!$E$51,INT(('🌱 Configuração'!$B$51+163-'🌱 Configuração'!$D$51)/7)+1=9,MOD('🌱 Configuração'!$B$51+163-'🌱 Configuração'!$D$51,7)=0),"🌸 Último Bloom — EC 0.8",IF(AND('🌱 Configuração'!$B$51+163&gt;='🌱 Configuração'!$E$51,INT(('🌱 Configuração'!$B$51+163-'🌱 Configuração'!$E$51)/7)+1=1,MOD('🌱 Configuração'!$B$51+163-'🌱 Configuração'!$E$51,7)=0),"🚿 Água pura + Enzimas (EC &lt; 0.3)",IF(AND('🌱 Configuração'!$B$51+163&gt;='🌱 Configuração'!$E$51,INT(('🌱 Configuração'!$B$51+163-'🌱 Configuração'!$E$51)/7)+1=2,MOD('🌱 Configuração'!$B$51+163-'🌱 Configuração'!$E$51,7)=0),"🚿 Água pura (EC &lt; 0.2)",""))))))))))))))))))))))</f>
        <v/>
      </c>
      <c r="G169" s="30" t="str">
        <f>IF(164&gt;'🌱 Configuração'!$F$50,"",IF(AND('🌱 Configuração'!$B$51+163&lt;'🌱 Configuração'!$C$51,INT((164-1)/7)+1=1,MOD(164-1,7)=0),"🐛 Nim 2mL/L foliar — preventivo",IF(AND('🌱 Configuração'!$B$51+163&lt;'🌱 Configuração'!$C$51,INT((164-1)/7)+1=2,MOD(164-1,7)=0),"🐛 Beauveria bassiana foliar + solo",IF(AND('🌱 Configuração'!$B$51+163&gt;='🌱 Configuração'!$C$51,'🌱 Configuração'!$B$51+163&lt;'🌱 Configuração'!$D$51,INT(('🌱 Configuração'!$B$51+163-'🌱 Configuração'!$C$51)/7)+1=1,MOD('🌱 Configuração'!$B$51+163-'🌱 Configuração'!$C$51,7)=0),"🐛 Nim 2mL/L foliar",IF(AND('🌱 Configuração'!$B$51+163&gt;='🌱 Configuração'!$C$51,'🌱 Configuração'!$B$51+163&lt;'🌱 Configuração'!$D$51,INT(('🌱 Configuração'!$B$51+163-'🌱 Configuração'!$C$51)/7)+1=2,MOD('🌱 Configuração'!$B$51+163-'🌱 Configuração'!$C$51,7)=0),"🐛 Beauveria bassiana foliar",IF(AND('🌱 Configuração'!$B$51+163&gt;='🌱 Configuração'!$C$51,'🌱 Configuração'!$B$51+163&lt;'🌱 Configuração'!$D$51,INT(('🌱 Configuração'!$B$51+163-'🌱 Configuração'!$C$51)/7)+1=3,MOD('🌱 Configuração'!$B$51+163-'🌱 Configuração'!$C$51,7)=0),"🐛 Nim + Calda Sulfocálcica 1%",IF(AND('🌱 Configuração'!$B$51+163&gt;='🌱 Configuração'!$C$51,'🌱 Configuração'!$B$51+163&lt;'🌱 Configuração'!$D$51,INT(('🌱 Configuração'!$B$51+163-'🌱 Configuração'!$C$51)/7)+1=4,MOD('🌱 Configuração'!$B$51+163-'🌱 Configuração'!$C$51,7)=0),"🐛 Trichoderma solo + Beauveria",IF(AND('🌱 Configuração'!$B$51+163&gt;='🌱 Configuração'!$C$51,'🌱 Configuração'!$B$51+163&lt;'🌱 Configuração'!$D$51,INT(('🌱 Configuração'!$B$51+163-'🌱 Configuração'!$C$51)/7)+1=5,MOD('🌱 Configuração'!$B$51+163-'🌱 Configuração'!$C$51,7)=0),"🐛 Calda Bordalesa 0.5% foliar",IF(AND('🌱 Configuração'!$B$51+163&gt;='🌱 Configuração'!$C$51,'🌱 Configuração'!$B$51+163&lt;'🌱 Configuração'!$D$51,INT(('🌱 Configuração'!$B$51+163-'🌱 Configuração'!$C$51)/7)+1=6,MOD('🌱 Configuração'!$B$51+163-'🌱 Configuração'!$C$51,7)=0),"🐛 Nim 2mL/L — ÚLTIMA foliar",IF(AND('🌱 Configuração'!$B$51+163&gt;='🌱 Configuração'!$D$51,'🌱 Configuração'!$B$51+163&lt;'🌱 Configuração'!$E$51,INT(('🌱 Configuração'!$B$51+163-'🌱 Configuração'!$D$51)/7)+1=1,MOD('🌱 Configuração'!$B$51+163-'🌱 Configuração'!$D$51,7)=0),"🐛 Beauveria bassiana solo (sem foliar)",IF(AND('🌱 Configuração'!$B$51+163&gt;='🌱 Configuração'!$D$51,'🌱 Configuração'!$B$51+163&lt;'🌱 Configuração'!$E$51,INT(('🌱 Configuração'!$B$51+163-'🌱 Configuração'!$D$51)/7)+1=2,MOD('🌱 Configuração'!$B$51+163-'🌱 Configuração'!$D$51,7)=0),"🐛 Trichoderma solo",IF(AND('🌱 Configuração'!$B$51+163&gt;='🌱 Configuração'!$D$51,'🌱 Configuração'!$B$51+163&lt;'🌱 Configuração'!$E$51,INT(('🌱 Configuração'!$B$51+163-'🌱 Configuração'!$D$51)/7)+1=3,MOD('🌱 Configuração'!$B$51+163-'🌱 Configuração'!$D$51,7)=0),"🐛 Beauveria bassiana solo",IF(AND('🌱 Configuração'!$B$51+163&gt;='🌱 Configuração'!$D$51,'🌱 Configuração'!$B$51+163&lt;'🌱 Configuração'!$E$51,INT(('🌱 Configuração'!$B$51+163-'🌱 Configuração'!$D$51)/7)+1=4,MOD('🌱 Configuração'!$B$51+163-'🌱 Configuração'!$D$51,7)=0),"🐛 Trichoderma solo",IF(AND('🌱 Configuração'!$B$51+163&gt;='🌱 Configuração'!$E$51,INT(('🌱 Configuração'!$B$51+163-'🌱 Configuração'!$E$51)/7)+1=1,MOD('🌱 Configuração'!$B$51+163-'🌱 Configuração'!$E$51,7)=0),"🐛 Inspeção final — sem aplicação",""))))))))))))))</f>
        <v/>
      </c>
      <c r="H169" s="22" t="str">
        <f>IF(164&gt;'🌱 Configuração'!$F$50,"",IF('🌱 Configuração'!$B$51+163='🌱 Configuração'!$C$51,"🌿 INÍCIO VEGA — ajustar espaço, luz 18h/dia — EC 0.8",IF('🌱 Configuração'!$B$51+163='🌱 Configuração'!$D$51,"🌸 INÍCIO FLORAÇÃO — mudar para 12h/12h — 🔴 atenção ao fotoperíodo",IF('🌱 Configuração'!$B$51+163='🌱 Configuração'!$E$51,"🚿 INÍCIO FLUSH — PARAR nutrição, somente água pura",IF('🌱 Configuração'!$B$51+163='🌱 Configuração'!$F$51-1,"🔬 Véspera da colheita — analisar tricomas âmbar",IF('🌱 Configuração'!$B$51+163='🌱 Configuração'!$F$51,"✂️ COLHEITA! Parabéns! 🎉",""))))))</f>
        <v/>
      </c>
    </row>
    <row r="170" spans="2:8" ht="18.75" customHeight="1" x14ac:dyDescent="0.3">
      <c r="B170" s="25" t="str">
        <f>IF(165&lt;='🌱 Configuração'!$F$50,165,"")</f>
        <v/>
      </c>
      <c r="C170" s="26" t="str">
        <f>IF(165&lt;='🌱 Configuração'!$F$50,'🌱 Configuração'!$B$51+164,"")</f>
        <v/>
      </c>
      <c r="D170" s="27" t="str">
        <f>IF(165&gt;'🌱 Configuração'!$F$50,"",IF('🌱 Configuração'!$B$51+164&lt;'🌱 Configuração'!$C$51,"🌱 Clone",IF('🌱 Configuração'!$B$51+164&lt;'🌱 Configuração'!$D$51,"🌿 Vegetativo",IF('🌱 Configuração'!$B$51+164&lt;'🌱 Configuração'!$E$51,"🌸 Floração","🚿 Flush"))))</f>
        <v/>
      </c>
      <c r="E170" s="28" t="str">
        <f>IF(165&gt;'🌱 Configuração'!$F$50,"",IF('🌱 Configuração'!$B$51+164&lt;'🌱 Configuração'!$C$51,"Clone S"&amp;INT((165-1)/7)+1,IF('🌱 Configuração'!$B$51+164&lt;'🌱 Configuração'!$D$51,"Vega S"&amp;INT(('🌱 Configuração'!$B$51+164-'🌱 Configuração'!$C$51)/7)+1,IF('🌱 Configuração'!$B$51+164&lt;'🌱 Configuração'!$E$51,"Flora S"&amp;INT(('🌱 Configuração'!$B$51+164-'🌱 Configuração'!$D$51)/7)+1,"Flush S"&amp;INT(('🌱 Configuração'!$B$51+164-'🌱 Configuração'!$E$51)/7)+1))))</f>
        <v/>
      </c>
      <c r="F170" s="29" t="str">
        <f>IF(165&gt;'🌱 Configuração'!$F$50,"",IF(AND('🌱 Configuração'!$B$51+164&lt;'🌱 Configuração'!$C$51,INT((165-1)/7)+1=1,MOD(165-1,7)=0),"🌱 Enraizador (0.5 mL/L)",IF(AND('🌱 Configuração'!$B$51+164&lt;'🌱 Configuração'!$C$51,INT((165-1)/7)+1=2,MOD(165-1,7)=0),"🌱 Enraizador + Vitamina B1",IF(AND('🌱 Configuração'!$B$51+164&gt;='🌱 Configuração'!$C$51,'🌱 Configuração'!$B$51+164&lt;'🌱 Configuração'!$D$51,INT(('🌱 Configuração'!$B$51+164-'🌱 Configuração'!$C$51)/7)+1=1,MOD('🌱 Configuração'!$B$51+164-'🌱 Configuração'!$C$51,7)=0),"🌿 Grow A+B início — EC 0.8",IF(AND('🌱 Configuração'!$B$51+164&gt;='🌱 Configuração'!$C$51,'🌱 Configuração'!$B$51+164&lt;'🌱 Configuração'!$D$51,INT(('🌱 Configuração'!$B$51+164-'🌱 Configuração'!$C$51)/7)+1=2,MOD('🌱 Configuração'!$B$51+164-'🌱 Configuração'!$C$51,7)=0),"🌿 Grow A+B + CalMag — EC 1.0",IF(AND('🌱 Configuração'!$B$51+164&gt;='🌱 Configuração'!$C$51,'🌱 Configuração'!$B$51+164&lt;'🌱 Configuração'!$D$51,INT(('🌱 Configuração'!$B$51+164-'🌱 Configuração'!$C$51)/7)+1=3,MOD('🌱 Configuração'!$B$51+164-'🌱 Configuração'!$C$51,7)=0),"🌿 Grow A+B + CalMag — EC 1.2",IF(AND('🌱 Configuração'!$B$51+164&gt;='🌱 Configuração'!$C$51,'🌱 Configuração'!$B$51+164&lt;'🌱 Configuração'!$D$51,INT(('🌱 Configuração'!$B$51+164-'🌱 Configuração'!$C$51)/7)+1=4,MOD('🌱 Configuração'!$B$51+164-'🌱 Configuração'!$C$51,7)=0),"🌿 Grow A+B + Enzimas — EC 1.4",IF(AND('🌱 Configuração'!$B$51+164&gt;='🌱 Configuração'!$C$51,'🌱 Configuração'!$B$51+164&lt;'🌱 Configuração'!$D$51,INT(('🌱 Configuração'!$B$51+164-'🌱 Configuração'!$C$51)/7)+1=5,MOD('🌱 Configuração'!$B$51+164-'🌱 Configuração'!$C$51,7)=0),"🌿 Grow A+B + Biorrizas — EC 1.5",IF(AND('🌱 Configuração'!$B$51+164&gt;='🌱 Configuração'!$C$51,'🌱 Configuração'!$B$51+164&lt;'🌱 Configuração'!$D$51,INT(('🌱 Configuração'!$B$51+164-'🌱 Configuração'!$C$51)/7)+1=6,MOD('🌱 Configuração'!$B$51+164-'🌱 Configuração'!$C$51,7)=0),"🌿 Transição Bloom — EC 1.4",IF(AND('🌱 Configuração'!$B$51+164&gt;='🌱 Configuração'!$C$51,'🌱 Configuração'!$B$51+164&lt;'🌱 Configuração'!$D$51,INT(('🌱 Configuração'!$B$51+164-'🌱 Configuração'!$C$51)/7)+1=7,MOD('🌱 Configuração'!$B$51+164-'🌱 Configuração'!$C$51,7)=0),"🌿 Bloom A+B transição — EC 1.4",IF(AND('🌱 Configuração'!$B$51+164&gt;='🌱 Configuração'!$C$51,'🌱 Configuração'!$B$51+164&lt;'🌱 Configuração'!$D$51,INT(('🌱 Configuração'!$B$51+164-'🌱 Configuração'!$C$51)/7)+1=8,MOD('🌱 Configuração'!$B$51+164-'🌱 Configuração'!$C$51,7)=0),"🌿 Bloom A+B — EC 1.4",IF(AND('🌱 Configuração'!$B$51+164&gt;='🌱 Configuração'!$D$51,'🌱 Configuração'!$B$51+164&lt;'🌱 Configuração'!$E$51,INT(('🌱 Configuração'!$B$51+164-'🌱 Configuração'!$D$51)/7)+1=1,MOD('🌱 Configuração'!$B$51+164-'🌱 Configuração'!$D$51,7)=0),"🌸 Bloom A+B — EC 1.6",IF(AND('🌱 Configuração'!$B$51+164&gt;='🌱 Configuração'!$D$51,'🌱 Configuração'!$B$51+164&lt;'🌱 Configuração'!$E$51,INT(('🌱 Configuração'!$B$51+164-'🌱 Configuração'!$D$51)/7)+1=2,MOD('🌱 Configuração'!$B$51+164-'🌱 Configuração'!$D$51,7)=0),"🌸 Bloom + PK 13/14 início",IF(AND('🌱 Configuração'!$B$51+164&gt;='🌱 Configuração'!$D$51,'🌱 Configuração'!$B$51+164&lt;'🌱 Configuração'!$E$51,INT(('🌱 Configuração'!$B$51+164-'🌱 Configuração'!$D$51)/7)+1=3,MOD('🌱 Configuração'!$B$51+164-'🌱 Configuração'!$D$51,7)=0),"🌸 Bloom + PK + CalMag — EC 1.8",IF(AND('🌱 Configuração'!$B$51+164&gt;='🌱 Configuração'!$D$51,'🌱 Configuração'!$B$51+164&lt;'🌱 Configuração'!$E$51,INT(('🌱 Configuração'!$B$51+164-'🌱 Configuração'!$D$51)/7)+1=4,MOD('🌱 Configuração'!$B$51+164-'🌱 Configuração'!$D$51,7)=0),"🌸 Bloom + PK + Boost Floral — EC 2.0",IF(AND('🌱 Configuração'!$B$51+164&gt;='🌱 Configuração'!$D$51,'🌱 Configuração'!$B$51+164&lt;'🌱 Configuração'!$E$51,INT(('🌱 Configuração'!$B$51+164-'🌱 Configuração'!$D$51)/7)+1=5,MOD('🌱 Configuração'!$B$51+164-'🌱 Configuração'!$D$51,7)=0),"🌸 Bloom + Boost + Amino",IF(AND('🌱 Configuração'!$B$51+164&gt;='🌱 Configuração'!$D$51,'🌱 Configuração'!$B$51+164&lt;'🌱 Configuração'!$E$51,INT(('🌱 Configuração'!$B$51+164-'🌱 Configuração'!$D$51)/7)+1=6,MOD('🌱 Configuração'!$B$51+164-'🌱 Configuração'!$D$51,7)=0),"🌸 Bloom + Enzimas + Amino",IF(AND('🌱 Configuração'!$B$51+164&gt;='🌱 Configuração'!$D$51,'🌱 Configuração'!$B$51+164&lt;'🌱 Configuração'!$E$51,INT(('🌱 Configuração'!$B$51+164-'🌱 Configuração'!$D$51)/7)+1=7,MOD('🌱 Configuração'!$B$51+164-'🌱 Configuração'!$D$51,7)=0),"🌸 Reduzir N — Bloom puro — EC 1.6",IF(AND('🌱 Configuração'!$B$51+164&gt;='🌱 Configuração'!$D$51,'🌱 Configuração'!$B$51+164&lt;'🌱 Configuração'!$E$51,INT(('🌱 Configuração'!$B$51+164-'🌱 Configuração'!$D$51)/7)+1=8,MOD('🌱 Configuração'!$B$51+164-'🌱 Configuração'!$D$51,7)=0),"🌸 Bloom puro — EC 1.4  (pré-flush)",IF(AND('🌱 Configuração'!$B$51+164&gt;='🌱 Configuração'!$D$51,'🌱 Configuração'!$B$51+164&lt;'🌱 Configuração'!$E$51,INT(('🌱 Configuração'!$B$51+164-'🌱 Configuração'!$D$51)/7)+1=9,MOD('🌱 Configuração'!$B$51+164-'🌱 Configuração'!$D$51,7)=0),"🌸 Último Bloom — EC 0.8",IF(AND('🌱 Configuração'!$B$51+164&gt;='🌱 Configuração'!$E$51,INT(('🌱 Configuração'!$B$51+164-'🌱 Configuração'!$E$51)/7)+1=1,MOD('🌱 Configuração'!$B$51+164-'🌱 Configuração'!$E$51,7)=0),"🚿 Água pura + Enzimas (EC &lt; 0.3)",IF(AND('🌱 Configuração'!$B$51+164&gt;='🌱 Configuração'!$E$51,INT(('🌱 Configuração'!$B$51+164-'🌱 Configuração'!$E$51)/7)+1=2,MOD('🌱 Configuração'!$B$51+164-'🌱 Configuração'!$E$51,7)=0),"🚿 Água pura (EC &lt; 0.2)",""))))))))))))))))))))))</f>
        <v/>
      </c>
      <c r="G170" s="30" t="str">
        <f>IF(165&gt;'🌱 Configuração'!$F$50,"",IF(AND('🌱 Configuração'!$B$51+164&lt;'🌱 Configuração'!$C$51,INT((165-1)/7)+1=1,MOD(165-1,7)=0),"🐛 Nim 2mL/L foliar — preventivo",IF(AND('🌱 Configuração'!$B$51+164&lt;'🌱 Configuração'!$C$51,INT((165-1)/7)+1=2,MOD(165-1,7)=0),"🐛 Beauveria bassiana foliar + solo",IF(AND('🌱 Configuração'!$B$51+164&gt;='🌱 Configuração'!$C$51,'🌱 Configuração'!$B$51+164&lt;'🌱 Configuração'!$D$51,INT(('🌱 Configuração'!$B$51+164-'🌱 Configuração'!$C$51)/7)+1=1,MOD('🌱 Configuração'!$B$51+164-'🌱 Configuração'!$C$51,7)=0),"🐛 Nim 2mL/L foliar",IF(AND('🌱 Configuração'!$B$51+164&gt;='🌱 Configuração'!$C$51,'🌱 Configuração'!$B$51+164&lt;'🌱 Configuração'!$D$51,INT(('🌱 Configuração'!$B$51+164-'🌱 Configuração'!$C$51)/7)+1=2,MOD('🌱 Configuração'!$B$51+164-'🌱 Configuração'!$C$51,7)=0),"🐛 Beauveria bassiana foliar",IF(AND('🌱 Configuração'!$B$51+164&gt;='🌱 Configuração'!$C$51,'🌱 Configuração'!$B$51+164&lt;'🌱 Configuração'!$D$51,INT(('🌱 Configuração'!$B$51+164-'🌱 Configuração'!$C$51)/7)+1=3,MOD('🌱 Configuração'!$B$51+164-'🌱 Configuração'!$C$51,7)=0),"🐛 Nim + Calda Sulfocálcica 1%",IF(AND('🌱 Configuração'!$B$51+164&gt;='🌱 Configuração'!$C$51,'🌱 Configuração'!$B$51+164&lt;'🌱 Configuração'!$D$51,INT(('🌱 Configuração'!$B$51+164-'🌱 Configuração'!$C$51)/7)+1=4,MOD('🌱 Configuração'!$B$51+164-'🌱 Configuração'!$C$51,7)=0),"🐛 Trichoderma solo + Beauveria",IF(AND('🌱 Configuração'!$B$51+164&gt;='🌱 Configuração'!$C$51,'🌱 Configuração'!$B$51+164&lt;'🌱 Configuração'!$D$51,INT(('🌱 Configuração'!$B$51+164-'🌱 Configuração'!$C$51)/7)+1=5,MOD('🌱 Configuração'!$B$51+164-'🌱 Configuração'!$C$51,7)=0),"🐛 Calda Bordalesa 0.5% foliar",IF(AND('🌱 Configuração'!$B$51+164&gt;='🌱 Configuração'!$C$51,'🌱 Configuração'!$B$51+164&lt;'🌱 Configuração'!$D$51,INT(('🌱 Configuração'!$B$51+164-'🌱 Configuração'!$C$51)/7)+1=6,MOD('🌱 Configuração'!$B$51+164-'🌱 Configuração'!$C$51,7)=0),"🐛 Nim 2mL/L — ÚLTIMA foliar",IF(AND('🌱 Configuração'!$B$51+164&gt;='🌱 Configuração'!$D$51,'🌱 Configuração'!$B$51+164&lt;'🌱 Configuração'!$E$51,INT(('🌱 Configuração'!$B$51+164-'🌱 Configuração'!$D$51)/7)+1=1,MOD('🌱 Configuração'!$B$51+164-'🌱 Configuração'!$D$51,7)=0),"🐛 Beauveria bassiana solo (sem foliar)",IF(AND('🌱 Configuração'!$B$51+164&gt;='🌱 Configuração'!$D$51,'🌱 Configuração'!$B$51+164&lt;'🌱 Configuração'!$E$51,INT(('🌱 Configuração'!$B$51+164-'🌱 Configuração'!$D$51)/7)+1=2,MOD('🌱 Configuração'!$B$51+164-'🌱 Configuração'!$D$51,7)=0),"🐛 Trichoderma solo",IF(AND('🌱 Configuração'!$B$51+164&gt;='🌱 Configuração'!$D$51,'🌱 Configuração'!$B$51+164&lt;'🌱 Configuração'!$E$51,INT(('🌱 Configuração'!$B$51+164-'🌱 Configuração'!$D$51)/7)+1=3,MOD('🌱 Configuração'!$B$51+164-'🌱 Configuração'!$D$51,7)=0),"🐛 Beauveria bassiana solo",IF(AND('🌱 Configuração'!$B$51+164&gt;='🌱 Configuração'!$D$51,'🌱 Configuração'!$B$51+164&lt;'🌱 Configuração'!$E$51,INT(('🌱 Configuração'!$B$51+164-'🌱 Configuração'!$D$51)/7)+1=4,MOD('🌱 Configuração'!$B$51+164-'🌱 Configuração'!$D$51,7)=0),"🐛 Trichoderma solo",IF(AND('🌱 Configuração'!$B$51+164&gt;='🌱 Configuração'!$E$51,INT(('🌱 Configuração'!$B$51+164-'🌱 Configuração'!$E$51)/7)+1=1,MOD('🌱 Configuração'!$B$51+164-'🌱 Configuração'!$E$51,7)=0),"🐛 Inspeção final — sem aplicação",""))))))))))))))</f>
        <v/>
      </c>
      <c r="H170" s="22" t="str">
        <f>IF(165&gt;'🌱 Configuração'!$F$50,"",IF('🌱 Configuração'!$B$51+164='🌱 Configuração'!$C$51,"🌿 INÍCIO VEGA — ajustar espaço, luz 18h/dia — EC 0.8",IF('🌱 Configuração'!$B$51+164='🌱 Configuração'!$D$51,"🌸 INÍCIO FLORAÇÃO — mudar para 12h/12h — 🔴 atenção ao fotoperíodo",IF('🌱 Configuração'!$B$51+164='🌱 Configuração'!$E$51,"🚿 INÍCIO FLUSH — PARAR nutrição, somente água pura",IF('🌱 Configuração'!$B$51+164='🌱 Configuração'!$F$51-1,"🔬 Véspera da colheita — analisar tricomas âmbar",IF('🌱 Configuração'!$B$51+164='🌱 Configuração'!$F$51,"✂️ COLHEITA! Parabéns! 🎉",""))))))</f>
        <v/>
      </c>
    </row>
    <row r="171" spans="2:8" ht="18.75" customHeight="1" x14ac:dyDescent="0.3">
      <c r="B171" s="25" t="str">
        <f>IF(166&lt;='🌱 Configuração'!$F$50,166,"")</f>
        <v/>
      </c>
      <c r="C171" s="26" t="str">
        <f>IF(166&lt;='🌱 Configuração'!$F$50,'🌱 Configuração'!$B$51+165,"")</f>
        <v/>
      </c>
      <c r="D171" s="27" t="str">
        <f>IF(166&gt;'🌱 Configuração'!$F$50,"",IF('🌱 Configuração'!$B$51+165&lt;'🌱 Configuração'!$C$51,"🌱 Clone",IF('🌱 Configuração'!$B$51+165&lt;'🌱 Configuração'!$D$51,"🌿 Vegetativo",IF('🌱 Configuração'!$B$51+165&lt;'🌱 Configuração'!$E$51,"🌸 Floração","🚿 Flush"))))</f>
        <v/>
      </c>
      <c r="E171" s="28" t="str">
        <f>IF(166&gt;'🌱 Configuração'!$F$50,"",IF('🌱 Configuração'!$B$51+165&lt;'🌱 Configuração'!$C$51,"Clone S"&amp;INT((166-1)/7)+1,IF('🌱 Configuração'!$B$51+165&lt;'🌱 Configuração'!$D$51,"Vega S"&amp;INT(('🌱 Configuração'!$B$51+165-'🌱 Configuração'!$C$51)/7)+1,IF('🌱 Configuração'!$B$51+165&lt;'🌱 Configuração'!$E$51,"Flora S"&amp;INT(('🌱 Configuração'!$B$51+165-'🌱 Configuração'!$D$51)/7)+1,"Flush S"&amp;INT(('🌱 Configuração'!$B$51+165-'🌱 Configuração'!$E$51)/7)+1))))</f>
        <v/>
      </c>
      <c r="F171" s="29" t="str">
        <f>IF(166&gt;'🌱 Configuração'!$F$50,"",IF(AND('🌱 Configuração'!$B$51+165&lt;'🌱 Configuração'!$C$51,INT((166-1)/7)+1=1,MOD(166-1,7)=0),"🌱 Enraizador (0.5 mL/L)",IF(AND('🌱 Configuração'!$B$51+165&lt;'🌱 Configuração'!$C$51,INT((166-1)/7)+1=2,MOD(166-1,7)=0),"🌱 Enraizador + Vitamina B1",IF(AND('🌱 Configuração'!$B$51+165&gt;='🌱 Configuração'!$C$51,'🌱 Configuração'!$B$51+165&lt;'🌱 Configuração'!$D$51,INT(('🌱 Configuração'!$B$51+165-'🌱 Configuração'!$C$51)/7)+1=1,MOD('🌱 Configuração'!$B$51+165-'🌱 Configuração'!$C$51,7)=0),"🌿 Grow A+B início — EC 0.8",IF(AND('🌱 Configuração'!$B$51+165&gt;='🌱 Configuração'!$C$51,'🌱 Configuração'!$B$51+165&lt;'🌱 Configuração'!$D$51,INT(('🌱 Configuração'!$B$51+165-'🌱 Configuração'!$C$51)/7)+1=2,MOD('🌱 Configuração'!$B$51+165-'🌱 Configuração'!$C$51,7)=0),"🌿 Grow A+B + CalMag — EC 1.0",IF(AND('🌱 Configuração'!$B$51+165&gt;='🌱 Configuração'!$C$51,'🌱 Configuração'!$B$51+165&lt;'🌱 Configuração'!$D$51,INT(('🌱 Configuração'!$B$51+165-'🌱 Configuração'!$C$51)/7)+1=3,MOD('🌱 Configuração'!$B$51+165-'🌱 Configuração'!$C$51,7)=0),"🌿 Grow A+B + CalMag — EC 1.2",IF(AND('🌱 Configuração'!$B$51+165&gt;='🌱 Configuração'!$C$51,'🌱 Configuração'!$B$51+165&lt;'🌱 Configuração'!$D$51,INT(('🌱 Configuração'!$B$51+165-'🌱 Configuração'!$C$51)/7)+1=4,MOD('🌱 Configuração'!$B$51+165-'🌱 Configuração'!$C$51,7)=0),"🌿 Grow A+B + Enzimas — EC 1.4",IF(AND('🌱 Configuração'!$B$51+165&gt;='🌱 Configuração'!$C$51,'🌱 Configuração'!$B$51+165&lt;'🌱 Configuração'!$D$51,INT(('🌱 Configuração'!$B$51+165-'🌱 Configuração'!$C$51)/7)+1=5,MOD('🌱 Configuração'!$B$51+165-'🌱 Configuração'!$C$51,7)=0),"🌿 Grow A+B + Biorrizas — EC 1.5",IF(AND('🌱 Configuração'!$B$51+165&gt;='🌱 Configuração'!$C$51,'🌱 Configuração'!$B$51+165&lt;'🌱 Configuração'!$D$51,INT(('🌱 Configuração'!$B$51+165-'🌱 Configuração'!$C$51)/7)+1=6,MOD('🌱 Configuração'!$B$51+165-'🌱 Configuração'!$C$51,7)=0),"🌿 Transição Bloom — EC 1.4",IF(AND('🌱 Configuração'!$B$51+165&gt;='🌱 Configuração'!$C$51,'🌱 Configuração'!$B$51+165&lt;'🌱 Configuração'!$D$51,INT(('🌱 Configuração'!$B$51+165-'🌱 Configuração'!$C$51)/7)+1=7,MOD('🌱 Configuração'!$B$51+165-'🌱 Configuração'!$C$51,7)=0),"🌿 Bloom A+B transição — EC 1.4",IF(AND('🌱 Configuração'!$B$51+165&gt;='🌱 Configuração'!$C$51,'🌱 Configuração'!$B$51+165&lt;'🌱 Configuração'!$D$51,INT(('🌱 Configuração'!$B$51+165-'🌱 Configuração'!$C$51)/7)+1=8,MOD('🌱 Configuração'!$B$51+165-'🌱 Configuração'!$C$51,7)=0),"🌿 Bloom A+B — EC 1.4",IF(AND('🌱 Configuração'!$B$51+165&gt;='🌱 Configuração'!$D$51,'🌱 Configuração'!$B$51+165&lt;'🌱 Configuração'!$E$51,INT(('🌱 Configuração'!$B$51+165-'🌱 Configuração'!$D$51)/7)+1=1,MOD('🌱 Configuração'!$B$51+165-'🌱 Configuração'!$D$51,7)=0),"🌸 Bloom A+B — EC 1.6",IF(AND('🌱 Configuração'!$B$51+165&gt;='🌱 Configuração'!$D$51,'🌱 Configuração'!$B$51+165&lt;'🌱 Configuração'!$E$51,INT(('🌱 Configuração'!$B$51+165-'🌱 Configuração'!$D$51)/7)+1=2,MOD('🌱 Configuração'!$B$51+165-'🌱 Configuração'!$D$51,7)=0),"🌸 Bloom + PK 13/14 início",IF(AND('🌱 Configuração'!$B$51+165&gt;='🌱 Configuração'!$D$51,'🌱 Configuração'!$B$51+165&lt;'🌱 Configuração'!$E$51,INT(('🌱 Configuração'!$B$51+165-'🌱 Configuração'!$D$51)/7)+1=3,MOD('🌱 Configuração'!$B$51+165-'🌱 Configuração'!$D$51,7)=0),"🌸 Bloom + PK + CalMag — EC 1.8",IF(AND('🌱 Configuração'!$B$51+165&gt;='🌱 Configuração'!$D$51,'🌱 Configuração'!$B$51+165&lt;'🌱 Configuração'!$E$51,INT(('🌱 Configuração'!$B$51+165-'🌱 Configuração'!$D$51)/7)+1=4,MOD('🌱 Configuração'!$B$51+165-'🌱 Configuração'!$D$51,7)=0),"🌸 Bloom + PK + Boost Floral — EC 2.0",IF(AND('🌱 Configuração'!$B$51+165&gt;='🌱 Configuração'!$D$51,'🌱 Configuração'!$B$51+165&lt;'🌱 Configuração'!$E$51,INT(('🌱 Configuração'!$B$51+165-'🌱 Configuração'!$D$51)/7)+1=5,MOD('🌱 Configuração'!$B$51+165-'🌱 Configuração'!$D$51,7)=0),"🌸 Bloom + Boost + Amino",IF(AND('🌱 Configuração'!$B$51+165&gt;='🌱 Configuração'!$D$51,'🌱 Configuração'!$B$51+165&lt;'🌱 Configuração'!$E$51,INT(('🌱 Configuração'!$B$51+165-'🌱 Configuração'!$D$51)/7)+1=6,MOD('🌱 Configuração'!$B$51+165-'🌱 Configuração'!$D$51,7)=0),"🌸 Bloom + Enzimas + Amino",IF(AND('🌱 Configuração'!$B$51+165&gt;='🌱 Configuração'!$D$51,'🌱 Configuração'!$B$51+165&lt;'🌱 Configuração'!$E$51,INT(('🌱 Configuração'!$B$51+165-'🌱 Configuração'!$D$51)/7)+1=7,MOD('🌱 Configuração'!$B$51+165-'🌱 Configuração'!$D$51,7)=0),"🌸 Reduzir N — Bloom puro — EC 1.6",IF(AND('🌱 Configuração'!$B$51+165&gt;='🌱 Configuração'!$D$51,'🌱 Configuração'!$B$51+165&lt;'🌱 Configuração'!$E$51,INT(('🌱 Configuração'!$B$51+165-'🌱 Configuração'!$D$51)/7)+1=8,MOD('🌱 Configuração'!$B$51+165-'🌱 Configuração'!$D$51,7)=0),"🌸 Bloom puro — EC 1.4  (pré-flush)",IF(AND('🌱 Configuração'!$B$51+165&gt;='🌱 Configuração'!$D$51,'🌱 Configuração'!$B$51+165&lt;'🌱 Configuração'!$E$51,INT(('🌱 Configuração'!$B$51+165-'🌱 Configuração'!$D$51)/7)+1=9,MOD('🌱 Configuração'!$B$51+165-'🌱 Configuração'!$D$51,7)=0),"🌸 Último Bloom — EC 0.8",IF(AND('🌱 Configuração'!$B$51+165&gt;='🌱 Configuração'!$E$51,INT(('🌱 Configuração'!$B$51+165-'🌱 Configuração'!$E$51)/7)+1=1,MOD('🌱 Configuração'!$B$51+165-'🌱 Configuração'!$E$51,7)=0),"🚿 Água pura + Enzimas (EC &lt; 0.3)",IF(AND('🌱 Configuração'!$B$51+165&gt;='🌱 Configuração'!$E$51,INT(('🌱 Configuração'!$B$51+165-'🌱 Configuração'!$E$51)/7)+1=2,MOD('🌱 Configuração'!$B$51+165-'🌱 Configuração'!$E$51,7)=0),"🚿 Água pura (EC &lt; 0.2)",""))))))))))))))))))))))</f>
        <v/>
      </c>
      <c r="G171" s="30" t="str">
        <f>IF(166&gt;'🌱 Configuração'!$F$50,"",IF(AND('🌱 Configuração'!$B$51+165&lt;'🌱 Configuração'!$C$51,INT((166-1)/7)+1=1,MOD(166-1,7)=0),"🐛 Nim 2mL/L foliar — preventivo",IF(AND('🌱 Configuração'!$B$51+165&lt;'🌱 Configuração'!$C$51,INT((166-1)/7)+1=2,MOD(166-1,7)=0),"🐛 Beauveria bassiana foliar + solo",IF(AND('🌱 Configuração'!$B$51+165&gt;='🌱 Configuração'!$C$51,'🌱 Configuração'!$B$51+165&lt;'🌱 Configuração'!$D$51,INT(('🌱 Configuração'!$B$51+165-'🌱 Configuração'!$C$51)/7)+1=1,MOD('🌱 Configuração'!$B$51+165-'🌱 Configuração'!$C$51,7)=0),"🐛 Nim 2mL/L foliar",IF(AND('🌱 Configuração'!$B$51+165&gt;='🌱 Configuração'!$C$51,'🌱 Configuração'!$B$51+165&lt;'🌱 Configuração'!$D$51,INT(('🌱 Configuração'!$B$51+165-'🌱 Configuração'!$C$51)/7)+1=2,MOD('🌱 Configuração'!$B$51+165-'🌱 Configuração'!$C$51,7)=0),"🐛 Beauveria bassiana foliar",IF(AND('🌱 Configuração'!$B$51+165&gt;='🌱 Configuração'!$C$51,'🌱 Configuração'!$B$51+165&lt;'🌱 Configuração'!$D$51,INT(('🌱 Configuração'!$B$51+165-'🌱 Configuração'!$C$51)/7)+1=3,MOD('🌱 Configuração'!$B$51+165-'🌱 Configuração'!$C$51,7)=0),"🐛 Nim + Calda Sulfocálcica 1%",IF(AND('🌱 Configuração'!$B$51+165&gt;='🌱 Configuração'!$C$51,'🌱 Configuração'!$B$51+165&lt;'🌱 Configuração'!$D$51,INT(('🌱 Configuração'!$B$51+165-'🌱 Configuração'!$C$51)/7)+1=4,MOD('🌱 Configuração'!$B$51+165-'🌱 Configuração'!$C$51,7)=0),"🐛 Trichoderma solo + Beauveria",IF(AND('🌱 Configuração'!$B$51+165&gt;='🌱 Configuração'!$C$51,'🌱 Configuração'!$B$51+165&lt;'🌱 Configuração'!$D$51,INT(('🌱 Configuração'!$B$51+165-'🌱 Configuração'!$C$51)/7)+1=5,MOD('🌱 Configuração'!$B$51+165-'🌱 Configuração'!$C$51,7)=0),"🐛 Calda Bordalesa 0.5% foliar",IF(AND('🌱 Configuração'!$B$51+165&gt;='🌱 Configuração'!$C$51,'🌱 Configuração'!$B$51+165&lt;'🌱 Configuração'!$D$51,INT(('🌱 Configuração'!$B$51+165-'🌱 Configuração'!$C$51)/7)+1=6,MOD('🌱 Configuração'!$B$51+165-'🌱 Configuração'!$C$51,7)=0),"🐛 Nim 2mL/L — ÚLTIMA foliar",IF(AND('🌱 Configuração'!$B$51+165&gt;='🌱 Configuração'!$D$51,'🌱 Configuração'!$B$51+165&lt;'🌱 Configuração'!$E$51,INT(('🌱 Configuração'!$B$51+165-'🌱 Configuração'!$D$51)/7)+1=1,MOD('🌱 Configuração'!$B$51+165-'🌱 Configuração'!$D$51,7)=0),"🐛 Beauveria bassiana solo (sem foliar)",IF(AND('🌱 Configuração'!$B$51+165&gt;='🌱 Configuração'!$D$51,'🌱 Configuração'!$B$51+165&lt;'🌱 Configuração'!$E$51,INT(('🌱 Configuração'!$B$51+165-'🌱 Configuração'!$D$51)/7)+1=2,MOD('🌱 Configuração'!$B$51+165-'🌱 Configuração'!$D$51,7)=0),"🐛 Trichoderma solo",IF(AND('🌱 Configuração'!$B$51+165&gt;='🌱 Configuração'!$D$51,'🌱 Configuração'!$B$51+165&lt;'🌱 Configuração'!$E$51,INT(('🌱 Configuração'!$B$51+165-'🌱 Configuração'!$D$51)/7)+1=3,MOD('🌱 Configuração'!$B$51+165-'🌱 Configuração'!$D$51,7)=0),"🐛 Beauveria bassiana solo",IF(AND('🌱 Configuração'!$B$51+165&gt;='🌱 Configuração'!$D$51,'🌱 Configuração'!$B$51+165&lt;'🌱 Configuração'!$E$51,INT(('🌱 Configuração'!$B$51+165-'🌱 Configuração'!$D$51)/7)+1=4,MOD('🌱 Configuração'!$B$51+165-'🌱 Configuração'!$D$51,7)=0),"🐛 Trichoderma solo",IF(AND('🌱 Configuração'!$B$51+165&gt;='🌱 Configuração'!$E$51,INT(('🌱 Configuração'!$B$51+165-'🌱 Configuração'!$E$51)/7)+1=1,MOD('🌱 Configuração'!$B$51+165-'🌱 Configuração'!$E$51,7)=0),"🐛 Inspeção final — sem aplicação",""))))))))))))))</f>
        <v/>
      </c>
      <c r="H171" s="22" t="str">
        <f>IF(166&gt;'🌱 Configuração'!$F$50,"",IF('🌱 Configuração'!$B$51+165='🌱 Configuração'!$C$51,"🌿 INÍCIO VEGA — ajustar espaço, luz 18h/dia — EC 0.8",IF('🌱 Configuração'!$B$51+165='🌱 Configuração'!$D$51,"🌸 INÍCIO FLORAÇÃO — mudar para 12h/12h — 🔴 atenção ao fotoperíodo",IF('🌱 Configuração'!$B$51+165='🌱 Configuração'!$E$51,"🚿 INÍCIO FLUSH — PARAR nutrição, somente água pura",IF('🌱 Configuração'!$B$51+165='🌱 Configuração'!$F$51-1,"🔬 Véspera da colheita — analisar tricomas âmbar",IF('🌱 Configuração'!$B$51+165='🌱 Configuração'!$F$51,"✂️ COLHEITA! Parabéns! 🎉",""))))))</f>
        <v/>
      </c>
    </row>
    <row r="172" spans="2:8" ht="18.75" customHeight="1" x14ac:dyDescent="0.3">
      <c r="B172" s="25" t="str">
        <f>IF(167&lt;='🌱 Configuração'!$F$50,167,"")</f>
        <v/>
      </c>
      <c r="C172" s="26" t="str">
        <f>IF(167&lt;='🌱 Configuração'!$F$50,'🌱 Configuração'!$B$51+166,"")</f>
        <v/>
      </c>
      <c r="D172" s="27" t="str">
        <f>IF(167&gt;'🌱 Configuração'!$F$50,"",IF('🌱 Configuração'!$B$51+166&lt;'🌱 Configuração'!$C$51,"🌱 Clone",IF('🌱 Configuração'!$B$51+166&lt;'🌱 Configuração'!$D$51,"🌿 Vegetativo",IF('🌱 Configuração'!$B$51+166&lt;'🌱 Configuração'!$E$51,"🌸 Floração","🚿 Flush"))))</f>
        <v/>
      </c>
      <c r="E172" s="28" t="str">
        <f>IF(167&gt;'🌱 Configuração'!$F$50,"",IF('🌱 Configuração'!$B$51+166&lt;'🌱 Configuração'!$C$51,"Clone S"&amp;INT((167-1)/7)+1,IF('🌱 Configuração'!$B$51+166&lt;'🌱 Configuração'!$D$51,"Vega S"&amp;INT(('🌱 Configuração'!$B$51+166-'🌱 Configuração'!$C$51)/7)+1,IF('🌱 Configuração'!$B$51+166&lt;'🌱 Configuração'!$E$51,"Flora S"&amp;INT(('🌱 Configuração'!$B$51+166-'🌱 Configuração'!$D$51)/7)+1,"Flush S"&amp;INT(('🌱 Configuração'!$B$51+166-'🌱 Configuração'!$E$51)/7)+1))))</f>
        <v/>
      </c>
      <c r="F172" s="29" t="str">
        <f>IF(167&gt;'🌱 Configuração'!$F$50,"",IF(AND('🌱 Configuração'!$B$51+166&lt;'🌱 Configuração'!$C$51,INT((167-1)/7)+1=1,MOD(167-1,7)=0),"🌱 Enraizador (0.5 mL/L)",IF(AND('🌱 Configuração'!$B$51+166&lt;'🌱 Configuração'!$C$51,INT((167-1)/7)+1=2,MOD(167-1,7)=0),"🌱 Enraizador + Vitamina B1",IF(AND('🌱 Configuração'!$B$51+166&gt;='🌱 Configuração'!$C$51,'🌱 Configuração'!$B$51+166&lt;'🌱 Configuração'!$D$51,INT(('🌱 Configuração'!$B$51+166-'🌱 Configuração'!$C$51)/7)+1=1,MOD('🌱 Configuração'!$B$51+166-'🌱 Configuração'!$C$51,7)=0),"🌿 Grow A+B início — EC 0.8",IF(AND('🌱 Configuração'!$B$51+166&gt;='🌱 Configuração'!$C$51,'🌱 Configuração'!$B$51+166&lt;'🌱 Configuração'!$D$51,INT(('🌱 Configuração'!$B$51+166-'🌱 Configuração'!$C$51)/7)+1=2,MOD('🌱 Configuração'!$B$51+166-'🌱 Configuração'!$C$51,7)=0),"🌿 Grow A+B + CalMag — EC 1.0",IF(AND('🌱 Configuração'!$B$51+166&gt;='🌱 Configuração'!$C$51,'🌱 Configuração'!$B$51+166&lt;'🌱 Configuração'!$D$51,INT(('🌱 Configuração'!$B$51+166-'🌱 Configuração'!$C$51)/7)+1=3,MOD('🌱 Configuração'!$B$51+166-'🌱 Configuração'!$C$51,7)=0),"🌿 Grow A+B + CalMag — EC 1.2",IF(AND('🌱 Configuração'!$B$51+166&gt;='🌱 Configuração'!$C$51,'🌱 Configuração'!$B$51+166&lt;'🌱 Configuração'!$D$51,INT(('🌱 Configuração'!$B$51+166-'🌱 Configuração'!$C$51)/7)+1=4,MOD('🌱 Configuração'!$B$51+166-'🌱 Configuração'!$C$51,7)=0),"🌿 Grow A+B + Enzimas — EC 1.4",IF(AND('🌱 Configuração'!$B$51+166&gt;='🌱 Configuração'!$C$51,'🌱 Configuração'!$B$51+166&lt;'🌱 Configuração'!$D$51,INT(('🌱 Configuração'!$B$51+166-'🌱 Configuração'!$C$51)/7)+1=5,MOD('🌱 Configuração'!$B$51+166-'🌱 Configuração'!$C$51,7)=0),"🌿 Grow A+B + Biorrizas — EC 1.5",IF(AND('🌱 Configuração'!$B$51+166&gt;='🌱 Configuração'!$C$51,'🌱 Configuração'!$B$51+166&lt;'🌱 Configuração'!$D$51,INT(('🌱 Configuração'!$B$51+166-'🌱 Configuração'!$C$51)/7)+1=6,MOD('🌱 Configuração'!$B$51+166-'🌱 Configuração'!$C$51,7)=0),"🌿 Transição Bloom — EC 1.4",IF(AND('🌱 Configuração'!$B$51+166&gt;='🌱 Configuração'!$C$51,'🌱 Configuração'!$B$51+166&lt;'🌱 Configuração'!$D$51,INT(('🌱 Configuração'!$B$51+166-'🌱 Configuração'!$C$51)/7)+1=7,MOD('🌱 Configuração'!$B$51+166-'🌱 Configuração'!$C$51,7)=0),"🌿 Bloom A+B transição — EC 1.4",IF(AND('🌱 Configuração'!$B$51+166&gt;='🌱 Configuração'!$C$51,'🌱 Configuração'!$B$51+166&lt;'🌱 Configuração'!$D$51,INT(('🌱 Configuração'!$B$51+166-'🌱 Configuração'!$C$51)/7)+1=8,MOD('🌱 Configuração'!$B$51+166-'🌱 Configuração'!$C$51,7)=0),"🌿 Bloom A+B — EC 1.4",IF(AND('🌱 Configuração'!$B$51+166&gt;='🌱 Configuração'!$D$51,'🌱 Configuração'!$B$51+166&lt;'🌱 Configuração'!$E$51,INT(('🌱 Configuração'!$B$51+166-'🌱 Configuração'!$D$51)/7)+1=1,MOD('🌱 Configuração'!$B$51+166-'🌱 Configuração'!$D$51,7)=0),"🌸 Bloom A+B — EC 1.6",IF(AND('🌱 Configuração'!$B$51+166&gt;='🌱 Configuração'!$D$51,'🌱 Configuração'!$B$51+166&lt;'🌱 Configuração'!$E$51,INT(('🌱 Configuração'!$B$51+166-'🌱 Configuração'!$D$51)/7)+1=2,MOD('🌱 Configuração'!$B$51+166-'🌱 Configuração'!$D$51,7)=0),"🌸 Bloom + PK 13/14 início",IF(AND('🌱 Configuração'!$B$51+166&gt;='🌱 Configuração'!$D$51,'🌱 Configuração'!$B$51+166&lt;'🌱 Configuração'!$E$51,INT(('🌱 Configuração'!$B$51+166-'🌱 Configuração'!$D$51)/7)+1=3,MOD('🌱 Configuração'!$B$51+166-'🌱 Configuração'!$D$51,7)=0),"🌸 Bloom + PK + CalMag — EC 1.8",IF(AND('🌱 Configuração'!$B$51+166&gt;='🌱 Configuração'!$D$51,'🌱 Configuração'!$B$51+166&lt;'🌱 Configuração'!$E$51,INT(('🌱 Configuração'!$B$51+166-'🌱 Configuração'!$D$51)/7)+1=4,MOD('🌱 Configuração'!$B$51+166-'🌱 Configuração'!$D$51,7)=0),"🌸 Bloom + PK + Boost Floral — EC 2.0",IF(AND('🌱 Configuração'!$B$51+166&gt;='🌱 Configuração'!$D$51,'🌱 Configuração'!$B$51+166&lt;'🌱 Configuração'!$E$51,INT(('🌱 Configuração'!$B$51+166-'🌱 Configuração'!$D$51)/7)+1=5,MOD('🌱 Configuração'!$B$51+166-'🌱 Configuração'!$D$51,7)=0),"🌸 Bloom + Boost + Amino",IF(AND('🌱 Configuração'!$B$51+166&gt;='🌱 Configuração'!$D$51,'🌱 Configuração'!$B$51+166&lt;'🌱 Configuração'!$E$51,INT(('🌱 Configuração'!$B$51+166-'🌱 Configuração'!$D$51)/7)+1=6,MOD('🌱 Configuração'!$B$51+166-'🌱 Configuração'!$D$51,7)=0),"🌸 Bloom + Enzimas + Amino",IF(AND('🌱 Configuração'!$B$51+166&gt;='🌱 Configuração'!$D$51,'🌱 Configuração'!$B$51+166&lt;'🌱 Configuração'!$E$51,INT(('🌱 Configuração'!$B$51+166-'🌱 Configuração'!$D$51)/7)+1=7,MOD('🌱 Configuração'!$B$51+166-'🌱 Configuração'!$D$51,7)=0),"🌸 Reduzir N — Bloom puro — EC 1.6",IF(AND('🌱 Configuração'!$B$51+166&gt;='🌱 Configuração'!$D$51,'🌱 Configuração'!$B$51+166&lt;'🌱 Configuração'!$E$51,INT(('🌱 Configuração'!$B$51+166-'🌱 Configuração'!$D$51)/7)+1=8,MOD('🌱 Configuração'!$B$51+166-'🌱 Configuração'!$D$51,7)=0),"🌸 Bloom puro — EC 1.4  (pré-flush)",IF(AND('🌱 Configuração'!$B$51+166&gt;='🌱 Configuração'!$D$51,'🌱 Configuração'!$B$51+166&lt;'🌱 Configuração'!$E$51,INT(('🌱 Configuração'!$B$51+166-'🌱 Configuração'!$D$51)/7)+1=9,MOD('🌱 Configuração'!$B$51+166-'🌱 Configuração'!$D$51,7)=0),"🌸 Último Bloom — EC 0.8",IF(AND('🌱 Configuração'!$B$51+166&gt;='🌱 Configuração'!$E$51,INT(('🌱 Configuração'!$B$51+166-'🌱 Configuração'!$E$51)/7)+1=1,MOD('🌱 Configuração'!$B$51+166-'🌱 Configuração'!$E$51,7)=0),"🚿 Água pura + Enzimas (EC &lt; 0.3)",IF(AND('🌱 Configuração'!$B$51+166&gt;='🌱 Configuração'!$E$51,INT(('🌱 Configuração'!$B$51+166-'🌱 Configuração'!$E$51)/7)+1=2,MOD('🌱 Configuração'!$B$51+166-'🌱 Configuração'!$E$51,7)=0),"🚿 Água pura (EC &lt; 0.2)",""))))))))))))))))))))))</f>
        <v/>
      </c>
      <c r="G172" s="30" t="str">
        <f>IF(167&gt;'🌱 Configuração'!$F$50,"",IF(AND('🌱 Configuração'!$B$51+166&lt;'🌱 Configuração'!$C$51,INT((167-1)/7)+1=1,MOD(167-1,7)=0),"🐛 Nim 2mL/L foliar — preventivo",IF(AND('🌱 Configuração'!$B$51+166&lt;'🌱 Configuração'!$C$51,INT((167-1)/7)+1=2,MOD(167-1,7)=0),"🐛 Beauveria bassiana foliar + solo",IF(AND('🌱 Configuração'!$B$51+166&gt;='🌱 Configuração'!$C$51,'🌱 Configuração'!$B$51+166&lt;'🌱 Configuração'!$D$51,INT(('🌱 Configuração'!$B$51+166-'🌱 Configuração'!$C$51)/7)+1=1,MOD('🌱 Configuração'!$B$51+166-'🌱 Configuração'!$C$51,7)=0),"🐛 Nim 2mL/L foliar",IF(AND('🌱 Configuração'!$B$51+166&gt;='🌱 Configuração'!$C$51,'🌱 Configuração'!$B$51+166&lt;'🌱 Configuração'!$D$51,INT(('🌱 Configuração'!$B$51+166-'🌱 Configuração'!$C$51)/7)+1=2,MOD('🌱 Configuração'!$B$51+166-'🌱 Configuração'!$C$51,7)=0),"🐛 Beauveria bassiana foliar",IF(AND('🌱 Configuração'!$B$51+166&gt;='🌱 Configuração'!$C$51,'🌱 Configuração'!$B$51+166&lt;'🌱 Configuração'!$D$51,INT(('🌱 Configuração'!$B$51+166-'🌱 Configuração'!$C$51)/7)+1=3,MOD('🌱 Configuração'!$B$51+166-'🌱 Configuração'!$C$51,7)=0),"🐛 Nim + Calda Sulfocálcica 1%",IF(AND('🌱 Configuração'!$B$51+166&gt;='🌱 Configuração'!$C$51,'🌱 Configuração'!$B$51+166&lt;'🌱 Configuração'!$D$51,INT(('🌱 Configuração'!$B$51+166-'🌱 Configuração'!$C$51)/7)+1=4,MOD('🌱 Configuração'!$B$51+166-'🌱 Configuração'!$C$51,7)=0),"🐛 Trichoderma solo + Beauveria",IF(AND('🌱 Configuração'!$B$51+166&gt;='🌱 Configuração'!$C$51,'🌱 Configuração'!$B$51+166&lt;'🌱 Configuração'!$D$51,INT(('🌱 Configuração'!$B$51+166-'🌱 Configuração'!$C$51)/7)+1=5,MOD('🌱 Configuração'!$B$51+166-'🌱 Configuração'!$C$51,7)=0),"🐛 Calda Bordalesa 0.5% foliar",IF(AND('🌱 Configuração'!$B$51+166&gt;='🌱 Configuração'!$C$51,'🌱 Configuração'!$B$51+166&lt;'🌱 Configuração'!$D$51,INT(('🌱 Configuração'!$B$51+166-'🌱 Configuração'!$C$51)/7)+1=6,MOD('🌱 Configuração'!$B$51+166-'🌱 Configuração'!$C$51,7)=0),"🐛 Nim 2mL/L — ÚLTIMA foliar",IF(AND('🌱 Configuração'!$B$51+166&gt;='🌱 Configuração'!$D$51,'🌱 Configuração'!$B$51+166&lt;'🌱 Configuração'!$E$51,INT(('🌱 Configuração'!$B$51+166-'🌱 Configuração'!$D$51)/7)+1=1,MOD('🌱 Configuração'!$B$51+166-'🌱 Configuração'!$D$51,7)=0),"🐛 Beauveria bassiana solo (sem foliar)",IF(AND('🌱 Configuração'!$B$51+166&gt;='🌱 Configuração'!$D$51,'🌱 Configuração'!$B$51+166&lt;'🌱 Configuração'!$E$51,INT(('🌱 Configuração'!$B$51+166-'🌱 Configuração'!$D$51)/7)+1=2,MOD('🌱 Configuração'!$B$51+166-'🌱 Configuração'!$D$51,7)=0),"🐛 Trichoderma solo",IF(AND('🌱 Configuração'!$B$51+166&gt;='🌱 Configuração'!$D$51,'🌱 Configuração'!$B$51+166&lt;'🌱 Configuração'!$E$51,INT(('🌱 Configuração'!$B$51+166-'🌱 Configuração'!$D$51)/7)+1=3,MOD('🌱 Configuração'!$B$51+166-'🌱 Configuração'!$D$51,7)=0),"🐛 Beauveria bassiana solo",IF(AND('🌱 Configuração'!$B$51+166&gt;='🌱 Configuração'!$D$51,'🌱 Configuração'!$B$51+166&lt;'🌱 Configuração'!$E$51,INT(('🌱 Configuração'!$B$51+166-'🌱 Configuração'!$D$51)/7)+1=4,MOD('🌱 Configuração'!$B$51+166-'🌱 Configuração'!$D$51,7)=0),"🐛 Trichoderma solo",IF(AND('🌱 Configuração'!$B$51+166&gt;='🌱 Configuração'!$E$51,INT(('🌱 Configuração'!$B$51+166-'🌱 Configuração'!$E$51)/7)+1=1,MOD('🌱 Configuração'!$B$51+166-'🌱 Configuração'!$E$51,7)=0),"🐛 Inspeção final — sem aplicação",""))))))))))))))</f>
        <v/>
      </c>
      <c r="H172" s="22" t="str">
        <f>IF(167&gt;'🌱 Configuração'!$F$50,"",IF('🌱 Configuração'!$B$51+166='🌱 Configuração'!$C$51,"🌿 INÍCIO VEGA — ajustar espaço, luz 18h/dia — EC 0.8",IF('🌱 Configuração'!$B$51+166='🌱 Configuração'!$D$51,"🌸 INÍCIO FLORAÇÃO — mudar para 12h/12h — 🔴 atenção ao fotoperíodo",IF('🌱 Configuração'!$B$51+166='🌱 Configuração'!$E$51,"🚿 INÍCIO FLUSH — PARAR nutrição, somente água pura",IF('🌱 Configuração'!$B$51+166='🌱 Configuração'!$F$51-1,"🔬 Véspera da colheita — analisar tricomas âmbar",IF('🌱 Configuração'!$B$51+166='🌱 Configuração'!$F$51,"✂️ COLHEITA! Parabéns! 🎉",""))))))</f>
        <v/>
      </c>
    </row>
    <row r="173" spans="2:8" ht="18.75" customHeight="1" x14ac:dyDescent="0.3">
      <c r="B173" s="25" t="str">
        <f>IF(168&lt;='🌱 Configuração'!$F$50,168,"")</f>
        <v/>
      </c>
      <c r="C173" s="26" t="str">
        <f>IF(168&lt;='🌱 Configuração'!$F$50,'🌱 Configuração'!$B$51+167,"")</f>
        <v/>
      </c>
      <c r="D173" s="27" t="str">
        <f>IF(168&gt;'🌱 Configuração'!$F$50,"",IF('🌱 Configuração'!$B$51+167&lt;'🌱 Configuração'!$C$51,"🌱 Clone",IF('🌱 Configuração'!$B$51+167&lt;'🌱 Configuração'!$D$51,"🌿 Vegetativo",IF('🌱 Configuração'!$B$51+167&lt;'🌱 Configuração'!$E$51,"🌸 Floração","🚿 Flush"))))</f>
        <v/>
      </c>
      <c r="E173" s="28" t="str">
        <f>IF(168&gt;'🌱 Configuração'!$F$50,"",IF('🌱 Configuração'!$B$51+167&lt;'🌱 Configuração'!$C$51,"Clone S"&amp;INT((168-1)/7)+1,IF('🌱 Configuração'!$B$51+167&lt;'🌱 Configuração'!$D$51,"Vega S"&amp;INT(('🌱 Configuração'!$B$51+167-'🌱 Configuração'!$C$51)/7)+1,IF('🌱 Configuração'!$B$51+167&lt;'🌱 Configuração'!$E$51,"Flora S"&amp;INT(('🌱 Configuração'!$B$51+167-'🌱 Configuração'!$D$51)/7)+1,"Flush S"&amp;INT(('🌱 Configuração'!$B$51+167-'🌱 Configuração'!$E$51)/7)+1))))</f>
        <v/>
      </c>
      <c r="F173" s="29" t="str">
        <f>IF(168&gt;'🌱 Configuração'!$F$50,"",IF(AND('🌱 Configuração'!$B$51+167&lt;'🌱 Configuração'!$C$51,INT((168-1)/7)+1=1,MOD(168-1,7)=0),"🌱 Enraizador (0.5 mL/L)",IF(AND('🌱 Configuração'!$B$51+167&lt;'🌱 Configuração'!$C$51,INT((168-1)/7)+1=2,MOD(168-1,7)=0),"🌱 Enraizador + Vitamina B1",IF(AND('🌱 Configuração'!$B$51+167&gt;='🌱 Configuração'!$C$51,'🌱 Configuração'!$B$51+167&lt;'🌱 Configuração'!$D$51,INT(('🌱 Configuração'!$B$51+167-'🌱 Configuração'!$C$51)/7)+1=1,MOD('🌱 Configuração'!$B$51+167-'🌱 Configuração'!$C$51,7)=0),"🌿 Grow A+B início — EC 0.8",IF(AND('🌱 Configuração'!$B$51+167&gt;='🌱 Configuração'!$C$51,'🌱 Configuração'!$B$51+167&lt;'🌱 Configuração'!$D$51,INT(('🌱 Configuração'!$B$51+167-'🌱 Configuração'!$C$51)/7)+1=2,MOD('🌱 Configuração'!$B$51+167-'🌱 Configuração'!$C$51,7)=0),"🌿 Grow A+B + CalMag — EC 1.0",IF(AND('🌱 Configuração'!$B$51+167&gt;='🌱 Configuração'!$C$51,'🌱 Configuração'!$B$51+167&lt;'🌱 Configuração'!$D$51,INT(('🌱 Configuração'!$B$51+167-'🌱 Configuração'!$C$51)/7)+1=3,MOD('🌱 Configuração'!$B$51+167-'🌱 Configuração'!$C$51,7)=0),"🌿 Grow A+B + CalMag — EC 1.2",IF(AND('🌱 Configuração'!$B$51+167&gt;='🌱 Configuração'!$C$51,'🌱 Configuração'!$B$51+167&lt;'🌱 Configuração'!$D$51,INT(('🌱 Configuração'!$B$51+167-'🌱 Configuração'!$C$51)/7)+1=4,MOD('🌱 Configuração'!$B$51+167-'🌱 Configuração'!$C$51,7)=0),"🌿 Grow A+B + Enzimas — EC 1.4",IF(AND('🌱 Configuração'!$B$51+167&gt;='🌱 Configuração'!$C$51,'🌱 Configuração'!$B$51+167&lt;'🌱 Configuração'!$D$51,INT(('🌱 Configuração'!$B$51+167-'🌱 Configuração'!$C$51)/7)+1=5,MOD('🌱 Configuração'!$B$51+167-'🌱 Configuração'!$C$51,7)=0),"🌿 Grow A+B + Biorrizas — EC 1.5",IF(AND('🌱 Configuração'!$B$51+167&gt;='🌱 Configuração'!$C$51,'🌱 Configuração'!$B$51+167&lt;'🌱 Configuração'!$D$51,INT(('🌱 Configuração'!$B$51+167-'🌱 Configuração'!$C$51)/7)+1=6,MOD('🌱 Configuração'!$B$51+167-'🌱 Configuração'!$C$51,7)=0),"🌿 Transição Bloom — EC 1.4",IF(AND('🌱 Configuração'!$B$51+167&gt;='🌱 Configuração'!$C$51,'🌱 Configuração'!$B$51+167&lt;'🌱 Configuração'!$D$51,INT(('🌱 Configuração'!$B$51+167-'🌱 Configuração'!$C$51)/7)+1=7,MOD('🌱 Configuração'!$B$51+167-'🌱 Configuração'!$C$51,7)=0),"🌿 Bloom A+B transição — EC 1.4",IF(AND('🌱 Configuração'!$B$51+167&gt;='🌱 Configuração'!$C$51,'🌱 Configuração'!$B$51+167&lt;'🌱 Configuração'!$D$51,INT(('🌱 Configuração'!$B$51+167-'🌱 Configuração'!$C$51)/7)+1=8,MOD('🌱 Configuração'!$B$51+167-'🌱 Configuração'!$C$51,7)=0),"🌿 Bloom A+B — EC 1.4",IF(AND('🌱 Configuração'!$B$51+167&gt;='🌱 Configuração'!$D$51,'🌱 Configuração'!$B$51+167&lt;'🌱 Configuração'!$E$51,INT(('🌱 Configuração'!$B$51+167-'🌱 Configuração'!$D$51)/7)+1=1,MOD('🌱 Configuração'!$B$51+167-'🌱 Configuração'!$D$51,7)=0),"🌸 Bloom A+B — EC 1.6",IF(AND('🌱 Configuração'!$B$51+167&gt;='🌱 Configuração'!$D$51,'🌱 Configuração'!$B$51+167&lt;'🌱 Configuração'!$E$51,INT(('🌱 Configuração'!$B$51+167-'🌱 Configuração'!$D$51)/7)+1=2,MOD('🌱 Configuração'!$B$51+167-'🌱 Configuração'!$D$51,7)=0),"🌸 Bloom + PK 13/14 início",IF(AND('🌱 Configuração'!$B$51+167&gt;='🌱 Configuração'!$D$51,'🌱 Configuração'!$B$51+167&lt;'🌱 Configuração'!$E$51,INT(('🌱 Configuração'!$B$51+167-'🌱 Configuração'!$D$51)/7)+1=3,MOD('🌱 Configuração'!$B$51+167-'🌱 Configuração'!$D$51,7)=0),"🌸 Bloom + PK + CalMag — EC 1.8",IF(AND('🌱 Configuração'!$B$51+167&gt;='🌱 Configuração'!$D$51,'🌱 Configuração'!$B$51+167&lt;'🌱 Configuração'!$E$51,INT(('🌱 Configuração'!$B$51+167-'🌱 Configuração'!$D$51)/7)+1=4,MOD('🌱 Configuração'!$B$51+167-'🌱 Configuração'!$D$51,7)=0),"🌸 Bloom + PK + Boost Floral — EC 2.0",IF(AND('🌱 Configuração'!$B$51+167&gt;='🌱 Configuração'!$D$51,'🌱 Configuração'!$B$51+167&lt;'🌱 Configuração'!$E$51,INT(('🌱 Configuração'!$B$51+167-'🌱 Configuração'!$D$51)/7)+1=5,MOD('🌱 Configuração'!$B$51+167-'🌱 Configuração'!$D$51,7)=0),"🌸 Bloom + Boost + Amino",IF(AND('🌱 Configuração'!$B$51+167&gt;='🌱 Configuração'!$D$51,'🌱 Configuração'!$B$51+167&lt;'🌱 Configuração'!$E$51,INT(('🌱 Configuração'!$B$51+167-'🌱 Configuração'!$D$51)/7)+1=6,MOD('🌱 Configuração'!$B$51+167-'🌱 Configuração'!$D$51,7)=0),"🌸 Bloom + Enzimas + Amino",IF(AND('🌱 Configuração'!$B$51+167&gt;='🌱 Configuração'!$D$51,'🌱 Configuração'!$B$51+167&lt;'🌱 Configuração'!$E$51,INT(('🌱 Configuração'!$B$51+167-'🌱 Configuração'!$D$51)/7)+1=7,MOD('🌱 Configuração'!$B$51+167-'🌱 Configuração'!$D$51,7)=0),"🌸 Reduzir N — Bloom puro — EC 1.6",IF(AND('🌱 Configuração'!$B$51+167&gt;='🌱 Configuração'!$D$51,'🌱 Configuração'!$B$51+167&lt;'🌱 Configuração'!$E$51,INT(('🌱 Configuração'!$B$51+167-'🌱 Configuração'!$D$51)/7)+1=8,MOD('🌱 Configuração'!$B$51+167-'🌱 Configuração'!$D$51,7)=0),"🌸 Bloom puro — EC 1.4  (pré-flush)",IF(AND('🌱 Configuração'!$B$51+167&gt;='🌱 Configuração'!$D$51,'🌱 Configuração'!$B$51+167&lt;'🌱 Configuração'!$E$51,INT(('🌱 Configuração'!$B$51+167-'🌱 Configuração'!$D$51)/7)+1=9,MOD('🌱 Configuração'!$B$51+167-'🌱 Configuração'!$D$51,7)=0),"🌸 Último Bloom — EC 0.8",IF(AND('🌱 Configuração'!$B$51+167&gt;='🌱 Configuração'!$E$51,INT(('🌱 Configuração'!$B$51+167-'🌱 Configuração'!$E$51)/7)+1=1,MOD('🌱 Configuração'!$B$51+167-'🌱 Configuração'!$E$51,7)=0),"🚿 Água pura + Enzimas (EC &lt; 0.3)",IF(AND('🌱 Configuração'!$B$51+167&gt;='🌱 Configuração'!$E$51,INT(('🌱 Configuração'!$B$51+167-'🌱 Configuração'!$E$51)/7)+1=2,MOD('🌱 Configuração'!$B$51+167-'🌱 Configuração'!$E$51,7)=0),"🚿 Água pura (EC &lt; 0.2)",""))))))))))))))))))))))</f>
        <v/>
      </c>
      <c r="G173" s="30" t="str">
        <f>IF(168&gt;'🌱 Configuração'!$F$50,"",IF(AND('🌱 Configuração'!$B$51+167&lt;'🌱 Configuração'!$C$51,INT((168-1)/7)+1=1,MOD(168-1,7)=0),"🐛 Nim 2mL/L foliar — preventivo",IF(AND('🌱 Configuração'!$B$51+167&lt;'🌱 Configuração'!$C$51,INT((168-1)/7)+1=2,MOD(168-1,7)=0),"🐛 Beauveria bassiana foliar + solo",IF(AND('🌱 Configuração'!$B$51+167&gt;='🌱 Configuração'!$C$51,'🌱 Configuração'!$B$51+167&lt;'🌱 Configuração'!$D$51,INT(('🌱 Configuração'!$B$51+167-'🌱 Configuração'!$C$51)/7)+1=1,MOD('🌱 Configuração'!$B$51+167-'🌱 Configuração'!$C$51,7)=0),"🐛 Nim 2mL/L foliar",IF(AND('🌱 Configuração'!$B$51+167&gt;='🌱 Configuração'!$C$51,'🌱 Configuração'!$B$51+167&lt;'🌱 Configuração'!$D$51,INT(('🌱 Configuração'!$B$51+167-'🌱 Configuração'!$C$51)/7)+1=2,MOD('🌱 Configuração'!$B$51+167-'🌱 Configuração'!$C$51,7)=0),"🐛 Beauveria bassiana foliar",IF(AND('🌱 Configuração'!$B$51+167&gt;='🌱 Configuração'!$C$51,'🌱 Configuração'!$B$51+167&lt;'🌱 Configuração'!$D$51,INT(('🌱 Configuração'!$B$51+167-'🌱 Configuração'!$C$51)/7)+1=3,MOD('🌱 Configuração'!$B$51+167-'🌱 Configuração'!$C$51,7)=0),"🐛 Nim + Calda Sulfocálcica 1%",IF(AND('🌱 Configuração'!$B$51+167&gt;='🌱 Configuração'!$C$51,'🌱 Configuração'!$B$51+167&lt;'🌱 Configuração'!$D$51,INT(('🌱 Configuração'!$B$51+167-'🌱 Configuração'!$C$51)/7)+1=4,MOD('🌱 Configuração'!$B$51+167-'🌱 Configuração'!$C$51,7)=0),"🐛 Trichoderma solo + Beauveria",IF(AND('🌱 Configuração'!$B$51+167&gt;='🌱 Configuração'!$C$51,'🌱 Configuração'!$B$51+167&lt;'🌱 Configuração'!$D$51,INT(('🌱 Configuração'!$B$51+167-'🌱 Configuração'!$C$51)/7)+1=5,MOD('🌱 Configuração'!$B$51+167-'🌱 Configuração'!$C$51,7)=0),"🐛 Calda Bordalesa 0.5% foliar",IF(AND('🌱 Configuração'!$B$51+167&gt;='🌱 Configuração'!$C$51,'🌱 Configuração'!$B$51+167&lt;'🌱 Configuração'!$D$51,INT(('🌱 Configuração'!$B$51+167-'🌱 Configuração'!$C$51)/7)+1=6,MOD('🌱 Configuração'!$B$51+167-'🌱 Configuração'!$C$51,7)=0),"🐛 Nim 2mL/L — ÚLTIMA foliar",IF(AND('🌱 Configuração'!$B$51+167&gt;='🌱 Configuração'!$D$51,'🌱 Configuração'!$B$51+167&lt;'🌱 Configuração'!$E$51,INT(('🌱 Configuração'!$B$51+167-'🌱 Configuração'!$D$51)/7)+1=1,MOD('🌱 Configuração'!$B$51+167-'🌱 Configuração'!$D$51,7)=0),"🐛 Beauveria bassiana solo (sem foliar)",IF(AND('🌱 Configuração'!$B$51+167&gt;='🌱 Configuração'!$D$51,'🌱 Configuração'!$B$51+167&lt;'🌱 Configuração'!$E$51,INT(('🌱 Configuração'!$B$51+167-'🌱 Configuração'!$D$51)/7)+1=2,MOD('🌱 Configuração'!$B$51+167-'🌱 Configuração'!$D$51,7)=0),"🐛 Trichoderma solo",IF(AND('🌱 Configuração'!$B$51+167&gt;='🌱 Configuração'!$D$51,'🌱 Configuração'!$B$51+167&lt;'🌱 Configuração'!$E$51,INT(('🌱 Configuração'!$B$51+167-'🌱 Configuração'!$D$51)/7)+1=3,MOD('🌱 Configuração'!$B$51+167-'🌱 Configuração'!$D$51,7)=0),"🐛 Beauveria bassiana solo",IF(AND('🌱 Configuração'!$B$51+167&gt;='🌱 Configuração'!$D$51,'🌱 Configuração'!$B$51+167&lt;'🌱 Configuração'!$E$51,INT(('🌱 Configuração'!$B$51+167-'🌱 Configuração'!$D$51)/7)+1=4,MOD('🌱 Configuração'!$B$51+167-'🌱 Configuração'!$D$51,7)=0),"🐛 Trichoderma solo",IF(AND('🌱 Configuração'!$B$51+167&gt;='🌱 Configuração'!$E$51,INT(('🌱 Configuração'!$B$51+167-'🌱 Configuração'!$E$51)/7)+1=1,MOD('🌱 Configuração'!$B$51+167-'🌱 Configuração'!$E$51,7)=0),"🐛 Inspeção final — sem aplicação",""))))))))))))))</f>
        <v/>
      </c>
      <c r="H173" s="22" t="str">
        <f>IF(168&gt;'🌱 Configuração'!$F$50,"",IF('🌱 Configuração'!$B$51+167='🌱 Configuração'!$C$51,"🌿 INÍCIO VEGA — ajustar espaço, luz 18h/dia — EC 0.8",IF('🌱 Configuração'!$B$51+167='🌱 Configuração'!$D$51,"🌸 INÍCIO FLORAÇÃO — mudar para 12h/12h — 🔴 atenção ao fotoperíodo",IF('🌱 Configuração'!$B$51+167='🌱 Configuração'!$E$51,"🚿 INÍCIO FLUSH — PARAR nutrição, somente água pura",IF('🌱 Configuração'!$B$51+167='🌱 Configuração'!$F$51-1,"🔬 Véspera da colheita — analisar tricomas âmbar",IF('🌱 Configuração'!$B$51+167='🌱 Configuração'!$F$51,"✂️ COLHEITA! Parabéns! 🎉",""))))))</f>
        <v/>
      </c>
    </row>
    <row r="174" spans="2:8" ht="18.75" customHeight="1" x14ac:dyDescent="0.3">
      <c r="B174" s="25" t="str">
        <f>IF(169&lt;='🌱 Configuração'!$F$50,169,"")</f>
        <v/>
      </c>
      <c r="C174" s="26" t="str">
        <f>IF(169&lt;='🌱 Configuração'!$F$50,'🌱 Configuração'!$B$51+168,"")</f>
        <v/>
      </c>
      <c r="D174" s="27" t="str">
        <f>IF(169&gt;'🌱 Configuração'!$F$50,"",IF('🌱 Configuração'!$B$51+168&lt;'🌱 Configuração'!$C$51,"🌱 Clone",IF('🌱 Configuração'!$B$51+168&lt;'🌱 Configuração'!$D$51,"🌿 Vegetativo",IF('🌱 Configuração'!$B$51+168&lt;'🌱 Configuração'!$E$51,"🌸 Floração","🚿 Flush"))))</f>
        <v/>
      </c>
      <c r="E174" s="28" t="str">
        <f>IF(169&gt;'🌱 Configuração'!$F$50,"",IF('🌱 Configuração'!$B$51+168&lt;'🌱 Configuração'!$C$51,"Clone S"&amp;INT((169-1)/7)+1,IF('🌱 Configuração'!$B$51+168&lt;'🌱 Configuração'!$D$51,"Vega S"&amp;INT(('🌱 Configuração'!$B$51+168-'🌱 Configuração'!$C$51)/7)+1,IF('🌱 Configuração'!$B$51+168&lt;'🌱 Configuração'!$E$51,"Flora S"&amp;INT(('🌱 Configuração'!$B$51+168-'🌱 Configuração'!$D$51)/7)+1,"Flush S"&amp;INT(('🌱 Configuração'!$B$51+168-'🌱 Configuração'!$E$51)/7)+1))))</f>
        <v/>
      </c>
      <c r="F174" s="29" t="str">
        <f>IF(169&gt;'🌱 Configuração'!$F$50,"",IF(AND('🌱 Configuração'!$B$51+168&lt;'🌱 Configuração'!$C$51,INT((169-1)/7)+1=1,MOD(169-1,7)=0),"🌱 Enraizador (0.5 mL/L)",IF(AND('🌱 Configuração'!$B$51+168&lt;'🌱 Configuração'!$C$51,INT((169-1)/7)+1=2,MOD(169-1,7)=0),"🌱 Enraizador + Vitamina B1",IF(AND('🌱 Configuração'!$B$51+168&gt;='🌱 Configuração'!$C$51,'🌱 Configuração'!$B$51+168&lt;'🌱 Configuração'!$D$51,INT(('🌱 Configuração'!$B$51+168-'🌱 Configuração'!$C$51)/7)+1=1,MOD('🌱 Configuração'!$B$51+168-'🌱 Configuração'!$C$51,7)=0),"🌿 Grow A+B início — EC 0.8",IF(AND('🌱 Configuração'!$B$51+168&gt;='🌱 Configuração'!$C$51,'🌱 Configuração'!$B$51+168&lt;'🌱 Configuração'!$D$51,INT(('🌱 Configuração'!$B$51+168-'🌱 Configuração'!$C$51)/7)+1=2,MOD('🌱 Configuração'!$B$51+168-'🌱 Configuração'!$C$51,7)=0),"🌿 Grow A+B + CalMag — EC 1.0",IF(AND('🌱 Configuração'!$B$51+168&gt;='🌱 Configuração'!$C$51,'🌱 Configuração'!$B$51+168&lt;'🌱 Configuração'!$D$51,INT(('🌱 Configuração'!$B$51+168-'🌱 Configuração'!$C$51)/7)+1=3,MOD('🌱 Configuração'!$B$51+168-'🌱 Configuração'!$C$51,7)=0),"🌿 Grow A+B + CalMag — EC 1.2",IF(AND('🌱 Configuração'!$B$51+168&gt;='🌱 Configuração'!$C$51,'🌱 Configuração'!$B$51+168&lt;'🌱 Configuração'!$D$51,INT(('🌱 Configuração'!$B$51+168-'🌱 Configuração'!$C$51)/7)+1=4,MOD('🌱 Configuração'!$B$51+168-'🌱 Configuração'!$C$51,7)=0),"🌿 Grow A+B + Enzimas — EC 1.4",IF(AND('🌱 Configuração'!$B$51+168&gt;='🌱 Configuração'!$C$51,'🌱 Configuração'!$B$51+168&lt;'🌱 Configuração'!$D$51,INT(('🌱 Configuração'!$B$51+168-'🌱 Configuração'!$C$51)/7)+1=5,MOD('🌱 Configuração'!$B$51+168-'🌱 Configuração'!$C$51,7)=0),"🌿 Grow A+B + Biorrizas — EC 1.5",IF(AND('🌱 Configuração'!$B$51+168&gt;='🌱 Configuração'!$C$51,'🌱 Configuração'!$B$51+168&lt;'🌱 Configuração'!$D$51,INT(('🌱 Configuração'!$B$51+168-'🌱 Configuração'!$C$51)/7)+1=6,MOD('🌱 Configuração'!$B$51+168-'🌱 Configuração'!$C$51,7)=0),"🌿 Transição Bloom — EC 1.4",IF(AND('🌱 Configuração'!$B$51+168&gt;='🌱 Configuração'!$C$51,'🌱 Configuração'!$B$51+168&lt;'🌱 Configuração'!$D$51,INT(('🌱 Configuração'!$B$51+168-'🌱 Configuração'!$C$51)/7)+1=7,MOD('🌱 Configuração'!$B$51+168-'🌱 Configuração'!$C$51,7)=0),"🌿 Bloom A+B transição — EC 1.4",IF(AND('🌱 Configuração'!$B$51+168&gt;='🌱 Configuração'!$C$51,'🌱 Configuração'!$B$51+168&lt;'🌱 Configuração'!$D$51,INT(('🌱 Configuração'!$B$51+168-'🌱 Configuração'!$C$51)/7)+1=8,MOD('🌱 Configuração'!$B$51+168-'🌱 Configuração'!$C$51,7)=0),"🌿 Bloom A+B — EC 1.4",IF(AND('🌱 Configuração'!$B$51+168&gt;='🌱 Configuração'!$D$51,'🌱 Configuração'!$B$51+168&lt;'🌱 Configuração'!$E$51,INT(('🌱 Configuração'!$B$51+168-'🌱 Configuração'!$D$51)/7)+1=1,MOD('🌱 Configuração'!$B$51+168-'🌱 Configuração'!$D$51,7)=0),"🌸 Bloom A+B — EC 1.6",IF(AND('🌱 Configuração'!$B$51+168&gt;='🌱 Configuração'!$D$51,'🌱 Configuração'!$B$51+168&lt;'🌱 Configuração'!$E$51,INT(('🌱 Configuração'!$B$51+168-'🌱 Configuração'!$D$51)/7)+1=2,MOD('🌱 Configuração'!$B$51+168-'🌱 Configuração'!$D$51,7)=0),"🌸 Bloom + PK 13/14 início",IF(AND('🌱 Configuração'!$B$51+168&gt;='🌱 Configuração'!$D$51,'🌱 Configuração'!$B$51+168&lt;'🌱 Configuração'!$E$51,INT(('🌱 Configuração'!$B$51+168-'🌱 Configuração'!$D$51)/7)+1=3,MOD('🌱 Configuração'!$B$51+168-'🌱 Configuração'!$D$51,7)=0),"🌸 Bloom + PK + CalMag — EC 1.8",IF(AND('🌱 Configuração'!$B$51+168&gt;='🌱 Configuração'!$D$51,'🌱 Configuração'!$B$51+168&lt;'🌱 Configuração'!$E$51,INT(('🌱 Configuração'!$B$51+168-'🌱 Configuração'!$D$51)/7)+1=4,MOD('🌱 Configuração'!$B$51+168-'🌱 Configuração'!$D$51,7)=0),"🌸 Bloom + PK + Boost Floral — EC 2.0",IF(AND('🌱 Configuração'!$B$51+168&gt;='🌱 Configuração'!$D$51,'🌱 Configuração'!$B$51+168&lt;'🌱 Configuração'!$E$51,INT(('🌱 Configuração'!$B$51+168-'🌱 Configuração'!$D$51)/7)+1=5,MOD('🌱 Configuração'!$B$51+168-'🌱 Configuração'!$D$51,7)=0),"🌸 Bloom + Boost + Amino",IF(AND('🌱 Configuração'!$B$51+168&gt;='🌱 Configuração'!$D$51,'🌱 Configuração'!$B$51+168&lt;'🌱 Configuração'!$E$51,INT(('🌱 Configuração'!$B$51+168-'🌱 Configuração'!$D$51)/7)+1=6,MOD('🌱 Configuração'!$B$51+168-'🌱 Configuração'!$D$51,7)=0),"🌸 Bloom + Enzimas + Amino",IF(AND('🌱 Configuração'!$B$51+168&gt;='🌱 Configuração'!$D$51,'🌱 Configuração'!$B$51+168&lt;'🌱 Configuração'!$E$51,INT(('🌱 Configuração'!$B$51+168-'🌱 Configuração'!$D$51)/7)+1=7,MOD('🌱 Configuração'!$B$51+168-'🌱 Configuração'!$D$51,7)=0),"🌸 Reduzir N — Bloom puro — EC 1.6",IF(AND('🌱 Configuração'!$B$51+168&gt;='🌱 Configuração'!$D$51,'🌱 Configuração'!$B$51+168&lt;'🌱 Configuração'!$E$51,INT(('🌱 Configuração'!$B$51+168-'🌱 Configuração'!$D$51)/7)+1=8,MOD('🌱 Configuração'!$B$51+168-'🌱 Configuração'!$D$51,7)=0),"🌸 Bloom puro — EC 1.4  (pré-flush)",IF(AND('🌱 Configuração'!$B$51+168&gt;='🌱 Configuração'!$D$51,'🌱 Configuração'!$B$51+168&lt;'🌱 Configuração'!$E$51,INT(('🌱 Configuração'!$B$51+168-'🌱 Configuração'!$D$51)/7)+1=9,MOD('🌱 Configuração'!$B$51+168-'🌱 Configuração'!$D$51,7)=0),"🌸 Último Bloom — EC 0.8",IF(AND('🌱 Configuração'!$B$51+168&gt;='🌱 Configuração'!$E$51,INT(('🌱 Configuração'!$B$51+168-'🌱 Configuração'!$E$51)/7)+1=1,MOD('🌱 Configuração'!$B$51+168-'🌱 Configuração'!$E$51,7)=0),"🚿 Água pura + Enzimas (EC &lt; 0.3)",IF(AND('🌱 Configuração'!$B$51+168&gt;='🌱 Configuração'!$E$51,INT(('🌱 Configuração'!$B$51+168-'🌱 Configuração'!$E$51)/7)+1=2,MOD('🌱 Configuração'!$B$51+168-'🌱 Configuração'!$E$51,7)=0),"🚿 Água pura (EC &lt; 0.2)",""))))))))))))))))))))))</f>
        <v/>
      </c>
      <c r="G174" s="30" t="str">
        <f>IF(169&gt;'🌱 Configuração'!$F$50,"",IF(AND('🌱 Configuração'!$B$51+168&lt;'🌱 Configuração'!$C$51,INT((169-1)/7)+1=1,MOD(169-1,7)=0),"🐛 Nim 2mL/L foliar — preventivo",IF(AND('🌱 Configuração'!$B$51+168&lt;'🌱 Configuração'!$C$51,INT((169-1)/7)+1=2,MOD(169-1,7)=0),"🐛 Beauveria bassiana foliar + solo",IF(AND('🌱 Configuração'!$B$51+168&gt;='🌱 Configuração'!$C$51,'🌱 Configuração'!$B$51+168&lt;'🌱 Configuração'!$D$51,INT(('🌱 Configuração'!$B$51+168-'🌱 Configuração'!$C$51)/7)+1=1,MOD('🌱 Configuração'!$B$51+168-'🌱 Configuração'!$C$51,7)=0),"🐛 Nim 2mL/L foliar",IF(AND('🌱 Configuração'!$B$51+168&gt;='🌱 Configuração'!$C$51,'🌱 Configuração'!$B$51+168&lt;'🌱 Configuração'!$D$51,INT(('🌱 Configuração'!$B$51+168-'🌱 Configuração'!$C$51)/7)+1=2,MOD('🌱 Configuração'!$B$51+168-'🌱 Configuração'!$C$51,7)=0),"🐛 Beauveria bassiana foliar",IF(AND('🌱 Configuração'!$B$51+168&gt;='🌱 Configuração'!$C$51,'🌱 Configuração'!$B$51+168&lt;'🌱 Configuração'!$D$51,INT(('🌱 Configuração'!$B$51+168-'🌱 Configuração'!$C$51)/7)+1=3,MOD('🌱 Configuração'!$B$51+168-'🌱 Configuração'!$C$51,7)=0),"🐛 Nim + Calda Sulfocálcica 1%",IF(AND('🌱 Configuração'!$B$51+168&gt;='🌱 Configuração'!$C$51,'🌱 Configuração'!$B$51+168&lt;'🌱 Configuração'!$D$51,INT(('🌱 Configuração'!$B$51+168-'🌱 Configuração'!$C$51)/7)+1=4,MOD('🌱 Configuração'!$B$51+168-'🌱 Configuração'!$C$51,7)=0),"🐛 Trichoderma solo + Beauveria",IF(AND('🌱 Configuração'!$B$51+168&gt;='🌱 Configuração'!$C$51,'🌱 Configuração'!$B$51+168&lt;'🌱 Configuração'!$D$51,INT(('🌱 Configuração'!$B$51+168-'🌱 Configuração'!$C$51)/7)+1=5,MOD('🌱 Configuração'!$B$51+168-'🌱 Configuração'!$C$51,7)=0),"🐛 Calda Bordalesa 0.5% foliar",IF(AND('🌱 Configuração'!$B$51+168&gt;='🌱 Configuração'!$C$51,'🌱 Configuração'!$B$51+168&lt;'🌱 Configuração'!$D$51,INT(('🌱 Configuração'!$B$51+168-'🌱 Configuração'!$C$51)/7)+1=6,MOD('🌱 Configuração'!$B$51+168-'🌱 Configuração'!$C$51,7)=0),"🐛 Nim 2mL/L — ÚLTIMA foliar",IF(AND('🌱 Configuração'!$B$51+168&gt;='🌱 Configuração'!$D$51,'🌱 Configuração'!$B$51+168&lt;'🌱 Configuração'!$E$51,INT(('🌱 Configuração'!$B$51+168-'🌱 Configuração'!$D$51)/7)+1=1,MOD('🌱 Configuração'!$B$51+168-'🌱 Configuração'!$D$51,7)=0),"🐛 Beauveria bassiana solo (sem foliar)",IF(AND('🌱 Configuração'!$B$51+168&gt;='🌱 Configuração'!$D$51,'🌱 Configuração'!$B$51+168&lt;'🌱 Configuração'!$E$51,INT(('🌱 Configuração'!$B$51+168-'🌱 Configuração'!$D$51)/7)+1=2,MOD('🌱 Configuração'!$B$51+168-'🌱 Configuração'!$D$51,7)=0),"🐛 Trichoderma solo",IF(AND('🌱 Configuração'!$B$51+168&gt;='🌱 Configuração'!$D$51,'🌱 Configuração'!$B$51+168&lt;'🌱 Configuração'!$E$51,INT(('🌱 Configuração'!$B$51+168-'🌱 Configuração'!$D$51)/7)+1=3,MOD('🌱 Configuração'!$B$51+168-'🌱 Configuração'!$D$51,7)=0),"🐛 Beauveria bassiana solo",IF(AND('🌱 Configuração'!$B$51+168&gt;='🌱 Configuração'!$D$51,'🌱 Configuração'!$B$51+168&lt;'🌱 Configuração'!$E$51,INT(('🌱 Configuração'!$B$51+168-'🌱 Configuração'!$D$51)/7)+1=4,MOD('🌱 Configuração'!$B$51+168-'🌱 Configuração'!$D$51,7)=0),"🐛 Trichoderma solo",IF(AND('🌱 Configuração'!$B$51+168&gt;='🌱 Configuração'!$E$51,INT(('🌱 Configuração'!$B$51+168-'🌱 Configuração'!$E$51)/7)+1=1,MOD('🌱 Configuração'!$B$51+168-'🌱 Configuração'!$E$51,7)=0),"🐛 Inspeção final — sem aplicação",""))))))))))))))</f>
        <v/>
      </c>
      <c r="H174" s="22" t="str">
        <f>IF(169&gt;'🌱 Configuração'!$F$50,"",IF('🌱 Configuração'!$B$51+168='🌱 Configuração'!$C$51,"🌿 INÍCIO VEGA — ajustar espaço, luz 18h/dia — EC 0.8",IF('🌱 Configuração'!$B$51+168='🌱 Configuração'!$D$51,"🌸 INÍCIO FLORAÇÃO — mudar para 12h/12h — 🔴 atenção ao fotoperíodo",IF('🌱 Configuração'!$B$51+168='🌱 Configuração'!$E$51,"🚿 INÍCIO FLUSH — PARAR nutrição, somente água pura",IF('🌱 Configuração'!$B$51+168='🌱 Configuração'!$F$51-1,"🔬 Véspera da colheita — analisar tricomas âmbar",IF('🌱 Configuração'!$B$51+168='🌱 Configuração'!$F$51,"✂️ COLHEITA! Parabéns! 🎉",""))))))</f>
        <v/>
      </c>
    </row>
    <row r="175" spans="2:8" ht="18.75" customHeight="1" x14ac:dyDescent="0.3">
      <c r="B175" s="25" t="str">
        <f>IF(170&lt;='🌱 Configuração'!$F$50,170,"")</f>
        <v/>
      </c>
      <c r="C175" s="26" t="str">
        <f>IF(170&lt;='🌱 Configuração'!$F$50,'🌱 Configuração'!$B$51+169,"")</f>
        <v/>
      </c>
      <c r="D175" s="27" t="str">
        <f>IF(170&gt;'🌱 Configuração'!$F$50,"",IF('🌱 Configuração'!$B$51+169&lt;'🌱 Configuração'!$C$51,"🌱 Clone",IF('🌱 Configuração'!$B$51+169&lt;'🌱 Configuração'!$D$51,"🌿 Vegetativo",IF('🌱 Configuração'!$B$51+169&lt;'🌱 Configuração'!$E$51,"🌸 Floração","🚿 Flush"))))</f>
        <v/>
      </c>
      <c r="E175" s="28" t="str">
        <f>IF(170&gt;'🌱 Configuração'!$F$50,"",IF('🌱 Configuração'!$B$51+169&lt;'🌱 Configuração'!$C$51,"Clone S"&amp;INT((170-1)/7)+1,IF('🌱 Configuração'!$B$51+169&lt;'🌱 Configuração'!$D$51,"Vega S"&amp;INT(('🌱 Configuração'!$B$51+169-'🌱 Configuração'!$C$51)/7)+1,IF('🌱 Configuração'!$B$51+169&lt;'🌱 Configuração'!$E$51,"Flora S"&amp;INT(('🌱 Configuração'!$B$51+169-'🌱 Configuração'!$D$51)/7)+1,"Flush S"&amp;INT(('🌱 Configuração'!$B$51+169-'🌱 Configuração'!$E$51)/7)+1))))</f>
        <v/>
      </c>
      <c r="F175" s="29" t="str">
        <f>IF(170&gt;'🌱 Configuração'!$F$50,"",IF(AND('🌱 Configuração'!$B$51+169&lt;'🌱 Configuração'!$C$51,INT((170-1)/7)+1=1,MOD(170-1,7)=0),"🌱 Enraizador (0.5 mL/L)",IF(AND('🌱 Configuração'!$B$51+169&lt;'🌱 Configuração'!$C$51,INT((170-1)/7)+1=2,MOD(170-1,7)=0),"🌱 Enraizador + Vitamina B1",IF(AND('🌱 Configuração'!$B$51+169&gt;='🌱 Configuração'!$C$51,'🌱 Configuração'!$B$51+169&lt;'🌱 Configuração'!$D$51,INT(('🌱 Configuração'!$B$51+169-'🌱 Configuração'!$C$51)/7)+1=1,MOD('🌱 Configuração'!$B$51+169-'🌱 Configuração'!$C$51,7)=0),"🌿 Grow A+B início — EC 0.8",IF(AND('🌱 Configuração'!$B$51+169&gt;='🌱 Configuração'!$C$51,'🌱 Configuração'!$B$51+169&lt;'🌱 Configuração'!$D$51,INT(('🌱 Configuração'!$B$51+169-'🌱 Configuração'!$C$51)/7)+1=2,MOD('🌱 Configuração'!$B$51+169-'🌱 Configuração'!$C$51,7)=0),"🌿 Grow A+B + CalMag — EC 1.0",IF(AND('🌱 Configuração'!$B$51+169&gt;='🌱 Configuração'!$C$51,'🌱 Configuração'!$B$51+169&lt;'🌱 Configuração'!$D$51,INT(('🌱 Configuração'!$B$51+169-'🌱 Configuração'!$C$51)/7)+1=3,MOD('🌱 Configuração'!$B$51+169-'🌱 Configuração'!$C$51,7)=0),"🌿 Grow A+B + CalMag — EC 1.2",IF(AND('🌱 Configuração'!$B$51+169&gt;='🌱 Configuração'!$C$51,'🌱 Configuração'!$B$51+169&lt;'🌱 Configuração'!$D$51,INT(('🌱 Configuração'!$B$51+169-'🌱 Configuração'!$C$51)/7)+1=4,MOD('🌱 Configuração'!$B$51+169-'🌱 Configuração'!$C$51,7)=0),"🌿 Grow A+B + Enzimas — EC 1.4",IF(AND('🌱 Configuração'!$B$51+169&gt;='🌱 Configuração'!$C$51,'🌱 Configuração'!$B$51+169&lt;'🌱 Configuração'!$D$51,INT(('🌱 Configuração'!$B$51+169-'🌱 Configuração'!$C$51)/7)+1=5,MOD('🌱 Configuração'!$B$51+169-'🌱 Configuração'!$C$51,7)=0),"🌿 Grow A+B + Biorrizas — EC 1.5",IF(AND('🌱 Configuração'!$B$51+169&gt;='🌱 Configuração'!$C$51,'🌱 Configuração'!$B$51+169&lt;'🌱 Configuração'!$D$51,INT(('🌱 Configuração'!$B$51+169-'🌱 Configuração'!$C$51)/7)+1=6,MOD('🌱 Configuração'!$B$51+169-'🌱 Configuração'!$C$51,7)=0),"🌿 Transição Bloom — EC 1.4",IF(AND('🌱 Configuração'!$B$51+169&gt;='🌱 Configuração'!$C$51,'🌱 Configuração'!$B$51+169&lt;'🌱 Configuração'!$D$51,INT(('🌱 Configuração'!$B$51+169-'🌱 Configuração'!$C$51)/7)+1=7,MOD('🌱 Configuração'!$B$51+169-'🌱 Configuração'!$C$51,7)=0),"🌿 Bloom A+B transição — EC 1.4",IF(AND('🌱 Configuração'!$B$51+169&gt;='🌱 Configuração'!$C$51,'🌱 Configuração'!$B$51+169&lt;'🌱 Configuração'!$D$51,INT(('🌱 Configuração'!$B$51+169-'🌱 Configuração'!$C$51)/7)+1=8,MOD('🌱 Configuração'!$B$51+169-'🌱 Configuração'!$C$51,7)=0),"🌿 Bloom A+B — EC 1.4",IF(AND('🌱 Configuração'!$B$51+169&gt;='🌱 Configuração'!$D$51,'🌱 Configuração'!$B$51+169&lt;'🌱 Configuração'!$E$51,INT(('🌱 Configuração'!$B$51+169-'🌱 Configuração'!$D$51)/7)+1=1,MOD('🌱 Configuração'!$B$51+169-'🌱 Configuração'!$D$51,7)=0),"🌸 Bloom A+B — EC 1.6",IF(AND('🌱 Configuração'!$B$51+169&gt;='🌱 Configuração'!$D$51,'🌱 Configuração'!$B$51+169&lt;'🌱 Configuração'!$E$51,INT(('🌱 Configuração'!$B$51+169-'🌱 Configuração'!$D$51)/7)+1=2,MOD('🌱 Configuração'!$B$51+169-'🌱 Configuração'!$D$51,7)=0),"🌸 Bloom + PK 13/14 início",IF(AND('🌱 Configuração'!$B$51+169&gt;='🌱 Configuração'!$D$51,'🌱 Configuração'!$B$51+169&lt;'🌱 Configuração'!$E$51,INT(('🌱 Configuração'!$B$51+169-'🌱 Configuração'!$D$51)/7)+1=3,MOD('🌱 Configuração'!$B$51+169-'🌱 Configuração'!$D$51,7)=0),"🌸 Bloom + PK + CalMag — EC 1.8",IF(AND('🌱 Configuração'!$B$51+169&gt;='🌱 Configuração'!$D$51,'🌱 Configuração'!$B$51+169&lt;'🌱 Configuração'!$E$51,INT(('🌱 Configuração'!$B$51+169-'🌱 Configuração'!$D$51)/7)+1=4,MOD('🌱 Configuração'!$B$51+169-'🌱 Configuração'!$D$51,7)=0),"🌸 Bloom + PK + Boost Floral — EC 2.0",IF(AND('🌱 Configuração'!$B$51+169&gt;='🌱 Configuração'!$D$51,'🌱 Configuração'!$B$51+169&lt;'🌱 Configuração'!$E$51,INT(('🌱 Configuração'!$B$51+169-'🌱 Configuração'!$D$51)/7)+1=5,MOD('🌱 Configuração'!$B$51+169-'🌱 Configuração'!$D$51,7)=0),"🌸 Bloom + Boost + Amino",IF(AND('🌱 Configuração'!$B$51+169&gt;='🌱 Configuração'!$D$51,'🌱 Configuração'!$B$51+169&lt;'🌱 Configuração'!$E$51,INT(('🌱 Configuração'!$B$51+169-'🌱 Configuração'!$D$51)/7)+1=6,MOD('🌱 Configuração'!$B$51+169-'🌱 Configuração'!$D$51,7)=0),"🌸 Bloom + Enzimas + Amino",IF(AND('🌱 Configuração'!$B$51+169&gt;='🌱 Configuração'!$D$51,'🌱 Configuração'!$B$51+169&lt;'🌱 Configuração'!$E$51,INT(('🌱 Configuração'!$B$51+169-'🌱 Configuração'!$D$51)/7)+1=7,MOD('🌱 Configuração'!$B$51+169-'🌱 Configuração'!$D$51,7)=0),"🌸 Reduzir N — Bloom puro — EC 1.6",IF(AND('🌱 Configuração'!$B$51+169&gt;='🌱 Configuração'!$D$51,'🌱 Configuração'!$B$51+169&lt;'🌱 Configuração'!$E$51,INT(('🌱 Configuração'!$B$51+169-'🌱 Configuração'!$D$51)/7)+1=8,MOD('🌱 Configuração'!$B$51+169-'🌱 Configuração'!$D$51,7)=0),"🌸 Bloom puro — EC 1.4  (pré-flush)",IF(AND('🌱 Configuração'!$B$51+169&gt;='🌱 Configuração'!$D$51,'🌱 Configuração'!$B$51+169&lt;'🌱 Configuração'!$E$51,INT(('🌱 Configuração'!$B$51+169-'🌱 Configuração'!$D$51)/7)+1=9,MOD('🌱 Configuração'!$B$51+169-'🌱 Configuração'!$D$51,7)=0),"🌸 Último Bloom — EC 0.8",IF(AND('🌱 Configuração'!$B$51+169&gt;='🌱 Configuração'!$E$51,INT(('🌱 Configuração'!$B$51+169-'🌱 Configuração'!$E$51)/7)+1=1,MOD('🌱 Configuração'!$B$51+169-'🌱 Configuração'!$E$51,7)=0),"🚿 Água pura + Enzimas (EC &lt; 0.3)",IF(AND('🌱 Configuração'!$B$51+169&gt;='🌱 Configuração'!$E$51,INT(('🌱 Configuração'!$B$51+169-'🌱 Configuração'!$E$51)/7)+1=2,MOD('🌱 Configuração'!$B$51+169-'🌱 Configuração'!$E$51,7)=0),"🚿 Água pura (EC &lt; 0.2)",""))))))))))))))))))))))</f>
        <v/>
      </c>
      <c r="G175" s="30" t="str">
        <f>IF(170&gt;'🌱 Configuração'!$F$50,"",IF(AND('🌱 Configuração'!$B$51+169&lt;'🌱 Configuração'!$C$51,INT((170-1)/7)+1=1,MOD(170-1,7)=0),"🐛 Nim 2mL/L foliar — preventivo",IF(AND('🌱 Configuração'!$B$51+169&lt;'🌱 Configuração'!$C$51,INT((170-1)/7)+1=2,MOD(170-1,7)=0),"🐛 Beauveria bassiana foliar + solo",IF(AND('🌱 Configuração'!$B$51+169&gt;='🌱 Configuração'!$C$51,'🌱 Configuração'!$B$51+169&lt;'🌱 Configuração'!$D$51,INT(('🌱 Configuração'!$B$51+169-'🌱 Configuração'!$C$51)/7)+1=1,MOD('🌱 Configuração'!$B$51+169-'🌱 Configuração'!$C$51,7)=0),"🐛 Nim 2mL/L foliar",IF(AND('🌱 Configuração'!$B$51+169&gt;='🌱 Configuração'!$C$51,'🌱 Configuração'!$B$51+169&lt;'🌱 Configuração'!$D$51,INT(('🌱 Configuração'!$B$51+169-'🌱 Configuração'!$C$51)/7)+1=2,MOD('🌱 Configuração'!$B$51+169-'🌱 Configuração'!$C$51,7)=0),"🐛 Beauveria bassiana foliar",IF(AND('🌱 Configuração'!$B$51+169&gt;='🌱 Configuração'!$C$51,'🌱 Configuração'!$B$51+169&lt;'🌱 Configuração'!$D$51,INT(('🌱 Configuração'!$B$51+169-'🌱 Configuração'!$C$51)/7)+1=3,MOD('🌱 Configuração'!$B$51+169-'🌱 Configuração'!$C$51,7)=0),"🐛 Nim + Calda Sulfocálcica 1%",IF(AND('🌱 Configuração'!$B$51+169&gt;='🌱 Configuração'!$C$51,'🌱 Configuração'!$B$51+169&lt;'🌱 Configuração'!$D$51,INT(('🌱 Configuração'!$B$51+169-'🌱 Configuração'!$C$51)/7)+1=4,MOD('🌱 Configuração'!$B$51+169-'🌱 Configuração'!$C$51,7)=0),"🐛 Trichoderma solo + Beauveria",IF(AND('🌱 Configuração'!$B$51+169&gt;='🌱 Configuração'!$C$51,'🌱 Configuração'!$B$51+169&lt;'🌱 Configuração'!$D$51,INT(('🌱 Configuração'!$B$51+169-'🌱 Configuração'!$C$51)/7)+1=5,MOD('🌱 Configuração'!$B$51+169-'🌱 Configuração'!$C$51,7)=0),"🐛 Calda Bordalesa 0.5% foliar",IF(AND('🌱 Configuração'!$B$51+169&gt;='🌱 Configuração'!$C$51,'🌱 Configuração'!$B$51+169&lt;'🌱 Configuração'!$D$51,INT(('🌱 Configuração'!$B$51+169-'🌱 Configuração'!$C$51)/7)+1=6,MOD('🌱 Configuração'!$B$51+169-'🌱 Configuração'!$C$51,7)=0),"🐛 Nim 2mL/L — ÚLTIMA foliar",IF(AND('🌱 Configuração'!$B$51+169&gt;='🌱 Configuração'!$D$51,'🌱 Configuração'!$B$51+169&lt;'🌱 Configuração'!$E$51,INT(('🌱 Configuração'!$B$51+169-'🌱 Configuração'!$D$51)/7)+1=1,MOD('🌱 Configuração'!$B$51+169-'🌱 Configuração'!$D$51,7)=0),"🐛 Beauveria bassiana solo (sem foliar)",IF(AND('🌱 Configuração'!$B$51+169&gt;='🌱 Configuração'!$D$51,'🌱 Configuração'!$B$51+169&lt;'🌱 Configuração'!$E$51,INT(('🌱 Configuração'!$B$51+169-'🌱 Configuração'!$D$51)/7)+1=2,MOD('🌱 Configuração'!$B$51+169-'🌱 Configuração'!$D$51,7)=0),"🐛 Trichoderma solo",IF(AND('🌱 Configuração'!$B$51+169&gt;='🌱 Configuração'!$D$51,'🌱 Configuração'!$B$51+169&lt;'🌱 Configuração'!$E$51,INT(('🌱 Configuração'!$B$51+169-'🌱 Configuração'!$D$51)/7)+1=3,MOD('🌱 Configuração'!$B$51+169-'🌱 Configuração'!$D$51,7)=0),"🐛 Beauveria bassiana solo",IF(AND('🌱 Configuração'!$B$51+169&gt;='🌱 Configuração'!$D$51,'🌱 Configuração'!$B$51+169&lt;'🌱 Configuração'!$E$51,INT(('🌱 Configuração'!$B$51+169-'🌱 Configuração'!$D$51)/7)+1=4,MOD('🌱 Configuração'!$B$51+169-'🌱 Configuração'!$D$51,7)=0),"🐛 Trichoderma solo",IF(AND('🌱 Configuração'!$B$51+169&gt;='🌱 Configuração'!$E$51,INT(('🌱 Configuração'!$B$51+169-'🌱 Configuração'!$E$51)/7)+1=1,MOD('🌱 Configuração'!$B$51+169-'🌱 Configuração'!$E$51,7)=0),"🐛 Inspeção final — sem aplicação",""))))))))))))))</f>
        <v/>
      </c>
      <c r="H175" s="22" t="str">
        <f>IF(170&gt;'🌱 Configuração'!$F$50,"",IF('🌱 Configuração'!$B$51+169='🌱 Configuração'!$C$51,"🌿 INÍCIO VEGA — ajustar espaço, luz 18h/dia — EC 0.8",IF('🌱 Configuração'!$B$51+169='🌱 Configuração'!$D$51,"🌸 INÍCIO FLORAÇÃO — mudar para 12h/12h — 🔴 atenção ao fotoperíodo",IF('🌱 Configuração'!$B$51+169='🌱 Configuração'!$E$51,"🚿 INÍCIO FLUSH — PARAR nutrição, somente água pura",IF('🌱 Configuração'!$B$51+169='🌱 Configuração'!$F$51-1,"🔬 Véspera da colheita — analisar tricomas âmbar",IF('🌱 Configuração'!$B$51+169='🌱 Configuração'!$F$51,"✂️ COLHEITA! Parabéns! 🎉",""))))))</f>
        <v/>
      </c>
    </row>
    <row r="176" spans="2:8" ht="18.75" customHeight="1" x14ac:dyDescent="0.3">
      <c r="B176" s="25" t="str">
        <f>IF(171&lt;='🌱 Configuração'!$F$50,171,"")</f>
        <v/>
      </c>
      <c r="C176" s="26" t="str">
        <f>IF(171&lt;='🌱 Configuração'!$F$50,'🌱 Configuração'!$B$51+170,"")</f>
        <v/>
      </c>
      <c r="D176" s="27" t="str">
        <f>IF(171&gt;'🌱 Configuração'!$F$50,"",IF('🌱 Configuração'!$B$51+170&lt;'🌱 Configuração'!$C$51,"🌱 Clone",IF('🌱 Configuração'!$B$51+170&lt;'🌱 Configuração'!$D$51,"🌿 Vegetativo",IF('🌱 Configuração'!$B$51+170&lt;'🌱 Configuração'!$E$51,"🌸 Floração","🚿 Flush"))))</f>
        <v/>
      </c>
      <c r="E176" s="28" t="str">
        <f>IF(171&gt;'🌱 Configuração'!$F$50,"",IF('🌱 Configuração'!$B$51+170&lt;'🌱 Configuração'!$C$51,"Clone S"&amp;INT((171-1)/7)+1,IF('🌱 Configuração'!$B$51+170&lt;'🌱 Configuração'!$D$51,"Vega S"&amp;INT(('🌱 Configuração'!$B$51+170-'🌱 Configuração'!$C$51)/7)+1,IF('🌱 Configuração'!$B$51+170&lt;'🌱 Configuração'!$E$51,"Flora S"&amp;INT(('🌱 Configuração'!$B$51+170-'🌱 Configuração'!$D$51)/7)+1,"Flush S"&amp;INT(('🌱 Configuração'!$B$51+170-'🌱 Configuração'!$E$51)/7)+1))))</f>
        <v/>
      </c>
      <c r="F176" s="29" t="str">
        <f>IF(171&gt;'🌱 Configuração'!$F$50,"",IF(AND('🌱 Configuração'!$B$51+170&lt;'🌱 Configuração'!$C$51,INT((171-1)/7)+1=1,MOD(171-1,7)=0),"🌱 Enraizador (0.5 mL/L)",IF(AND('🌱 Configuração'!$B$51+170&lt;'🌱 Configuração'!$C$51,INT((171-1)/7)+1=2,MOD(171-1,7)=0),"🌱 Enraizador + Vitamina B1",IF(AND('🌱 Configuração'!$B$51+170&gt;='🌱 Configuração'!$C$51,'🌱 Configuração'!$B$51+170&lt;'🌱 Configuração'!$D$51,INT(('🌱 Configuração'!$B$51+170-'🌱 Configuração'!$C$51)/7)+1=1,MOD('🌱 Configuração'!$B$51+170-'🌱 Configuração'!$C$51,7)=0),"🌿 Grow A+B início — EC 0.8",IF(AND('🌱 Configuração'!$B$51+170&gt;='🌱 Configuração'!$C$51,'🌱 Configuração'!$B$51+170&lt;'🌱 Configuração'!$D$51,INT(('🌱 Configuração'!$B$51+170-'🌱 Configuração'!$C$51)/7)+1=2,MOD('🌱 Configuração'!$B$51+170-'🌱 Configuração'!$C$51,7)=0),"🌿 Grow A+B + CalMag — EC 1.0",IF(AND('🌱 Configuração'!$B$51+170&gt;='🌱 Configuração'!$C$51,'🌱 Configuração'!$B$51+170&lt;'🌱 Configuração'!$D$51,INT(('🌱 Configuração'!$B$51+170-'🌱 Configuração'!$C$51)/7)+1=3,MOD('🌱 Configuração'!$B$51+170-'🌱 Configuração'!$C$51,7)=0),"🌿 Grow A+B + CalMag — EC 1.2",IF(AND('🌱 Configuração'!$B$51+170&gt;='🌱 Configuração'!$C$51,'🌱 Configuração'!$B$51+170&lt;'🌱 Configuração'!$D$51,INT(('🌱 Configuração'!$B$51+170-'🌱 Configuração'!$C$51)/7)+1=4,MOD('🌱 Configuração'!$B$51+170-'🌱 Configuração'!$C$51,7)=0),"🌿 Grow A+B + Enzimas — EC 1.4",IF(AND('🌱 Configuração'!$B$51+170&gt;='🌱 Configuração'!$C$51,'🌱 Configuração'!$B$51+170&lt;'🌱 Configuração'!$D$51,INT(('🌱 Configuração'!$B$51+170-'🌱 Configuração'!$C$51)/7)+1=5,MOD('🌱 Configuração'!$B$51+170-'🌱 Configuração'!$C$51,7)=0),"🌿 Grow A+B + Biorrizas — EC 1.5",IF(AND('🌱 Configuração'!$B$51+170&gt;='🌱 Configuração'!$C$51,'🌱 Configuração'!$B$51+170&lt;'🌱 Configuração'!$D$51,INT(('🌱 Configuração'!$B$51+170-'🌱 Configuração'!$C$51)/7)+1=6,MOD('🌱 Configuração'!$B$51+170-'🌱 Configuração'!$C$51,7)=0),"🌿 Transição Bloom — EC 1.4",IF(AND('🌱 Configuração'!$B$51+170&gt;='🌱 Configuração'!$C$51,'🌱 Configuração'!$B$51+170&lt;'🌱 Configuração'!$D$51,INT(('🌱 Configuração'!$B$51+170-'🌱 Configuração'!$C$51)/7)+1=7,MOD('🌱 Configuração'!$B$51+170-'🌱 Configuração'!$C$51,7)=0),"🌿 Bloom A+B transição — EC 1.4",IF(AND('🌱 Configuração'!$B$51+170&gt;='🌱 Configuração'!$C$51,'🌱 Configuração'!$B$51+170&lt;'🌱 Configuração'!$D$51,INT(('🌱 Configuração'!$B$51+170-'🌱 Configuração'!$C$51)/7)+1=8,MOD('🌱 Configuração'!$B$51+170-'🌱 Configuração'!$C$51,7)=0),"🌿 Bloom A+B — EC 1.4",IF(AND('🌱 Configuração'!$B$51+170&gt;='🌱 Configuração'!$D$51,'🌱 Configuração'!$B$51+170&lt;'🌱 Configuração'!$E$51,INT(('🌱 Configuração'!$B$51+170-'🌱 Configuração'!$D$51)/7)+1=1,MOD('🌱 Configuração'!$B$51+170-'🌱 Configuração'!$D$51,7)=0),"🌸 Bloom A+B — EC 1.6",IF(AND('🌱 Configuração'!$B$51+170&gt;='🌱 Configuração'!$D$51,'🌱 Configuração'!$B$51+170&lt;'🌱 Configuração'!$E$51,INT(('🌱 Configuração'!$B$51+170-'🌱 Configuração'!$D$51)/7)+1=2,MOD('🌱 Configuração'!$B$51+170-'🌱 Configuração'!$D$51,7)=0),"🌸 Bloom + PK 13/14 início",IF(AND('🌱 Configuração'!$B$51+170&gt;='🌱 Configuração'!$D$51,'🌱 Configuração'!$B$51+170&lt;'🌱 Configuração'!$E$51,INT(('🌱 Configuração'!$B$51+170-'🌱 Configuração'!$D$51)/7)+1=3,MOD('🌱 Configuração'!$B$51+170-'🌱 Configuração'!$D$51,7)=0),"🌸 Bloom + PK + CalMag — EC 1.8",IF(AND('🌱 Configuração'!$B$51+170&gt;='🌱 Configuração'!$D$51,'🌱 Configuração'!$B$51+170&lt;'🌱 Configuração'!$E$51,INT(('🌱 Configuração'!$B$51+170-'🌱 Configuração'!$D$51)/7)+1=4,MOD('🌱 Configuração'!$B$51+170-'🌱 Configuração'!$D$51,7)=0),"🌸 Bloom + PK + Boost Floral — EC 2.0",IF(AND('🌱 Configuração'!$B$51+170&gt;='🌱 Configuração'!$D$51,'🌱 Configuração'!$B$51+170&lt;'🌱 Configuração'!$E$51,INT(('🌱 Configuração'!$B$51+170-'🌱 Configuração'!$D$51)/7)+1=5,MOD('🌱 Configuração'!$B$51+170-'🌱 Configuração'!$D$51,7)=0),"🌸 Bloom + Boost + Amino",IF(AND('🌱 Configuração'!$B$51+170&gt;='🌱 Configuração'!$D$51,'🌱 Configuração'!$B$51+170&lt;'🌱 Configuração'!$E$51,INT(('🌱 Configuração'!$B$51+170-'🌱 Configuração'!$D$51)/7)+1=6,MOD('🌱 Configuração'!$B$51+170-'🌱 Configuração'!$D$51,7)=0),"🌸 Bloom + Enzimas + Amino",IF(AND('🌱 Configuração'!$B$51+170&gt;='🌱 Configuração'!$D$51,'🌱 Configuração'!$B$51+170&lt;'🌱 Configuração'!$E$51,INT(('🌱 Configuração'!$B$51+170-'🌱 Configuração'!$D$51)/7)+1=7,MOD('🌱 Configuração'!$B$51+170-'🌱 Configuração'!$D$51,7)=0),"🌸 Reduzir N — Bloom puro — EC 1.6",IF(AND('🌱 Configuração'!$B$51+170&gt;='🌱 Configuração'!$D$51,'🌱 Configuração'!$B$51+170&lt;'🌱 Configuração'!$E$51,INT(('🌱 Configuração'!$B$51+170-'🌱 Configuração'!$D$51)/7)+1=8,MOD('🌱 Configuração'!$B$51+170-'🌱 Configuração'!$D$51,7)=0),"🌸 Bloom puro — EC 1.4  (pré-flush)",IF(AND('🌱 Configuração'!$B$51+170&gt;='🌱 Configuração'!$D$51,'🌱 Configuração'!$B$51+170&lt;'🌱 Configuração'!$E$51,INT(('🌱 Configuração'!$B$51+170-'🌱 Configuração'!$D$51)/7)+1=9,MOD('🌱 Configuração'!$B$51+170-'🌱 Configuração'!$D$51,7)=0),"🌸 Último Bloom — EC 0.8",IF(AND('🌱 Configuração'!$B$51+170&gt;='🌱 Configuração'!$E$51,INT(('🌱 Configuração'!$B$51+170-'🌱 Configuração'!$E$51)/7)+1=1,MOD('🌱 Configuração'!$B$51+170-'🌱 Configuração'!$E$51,7)=0),"🚿 Água pura + Enzimas (EC &lt; 0.3)",IF(AND('🌱 Configuração'!$B$51+170&gt;='🌱 Configuração'!$E$51,INT(('🌱 Configuração'!$B$51+170-'🌱 Configuração'!$E$51)/7)+1=2,MOD('🌱 Configuração'!$B$51+170-'🌱 Configuração'!$E$51,7)=0),"🚿 Água pura (EC &lt; 0.2)",""))))))))))))))))))))))</f>
        <v/>
      </c>
      <c r="G176" s="30" t="str">
        <f>IF(171&gt;'🌱 Configuração'!$F$50,"",IF(AND('🌱 Configuração'!$B$51+170&lt;'🌱 Configuração'!$C$51,INT((171-1)/7)+1=1,MOD(171-1,7)=0),"🐛 Nim 2mL/L foliar — preventivo",IF(AND('🌱 Configuração'!$B$51+170&lt;'🌱 Configuração'!$C$51,INT((171-1)/7)+1=2,MOD(171-1,7)=0),"🐛 Beauveria bassiana foliar + solo",IF(AND('🌱 Configuração'!$B$51+170&gt;='🌱 Configuração'!$C$51,'🌱 Configuração'!$B$51+170&lt;'🌱 Configuração'!$D$51,INT(('🌱 Configuração'!$B$51+170-'🌱 Configuração'!$C$51)/7)+1=1,MOD('🌱 Configuração'!$B$51+170-'🌱 Configuração'!$C$51,7)=0),"🐛 Nim 2mL/L foliar",IF(AND('🌱 Configuração'!$B$51+170&gt;='🌱 Configuração'!$C$51,'🌱 Configuração'!$B$51+170&lt;'🌱 Configuração'!$D$51,INT(('🌱 Configuração'!$B$51+170-'🌱 Configuração'!$C$51)/7)+1=2,MOD('🌱 Configuração'!$B$51+170-'🌱 Configuração'!$C$51,7)=0),"🐛 Beauveria bassiana foliar",IF(AND('🌱 Configuração'!$B$51+170&gt;='🌱 Configuração'!$C$51,'🌱 Configuração'!$B$51+170&lt;'🌱 Configuração'!$D$51,INT(('🌱 Configuração'!$B$51+170-'🌱 Configuração'!$C$51)/7)+1=3,MOD('🌱 Configuração'!$B$51+170-'🌱 Configuração'!$C$51,7)=0),"🐛 Nim + Calda Sulfocálcica 1%",IF(AND('🌱 Configuração'!$B$51+170&gt;='🌱 Configuração'!$C$51,'🌱 Configuração'!$B$51+170&lt;'🌱 Configuração'!$D$51,INT(('🌱 Configuração'!$B$51+170-'🌱 Configuração'!$C$51)/7)+1=4,MOD('🌱 Configuração'!$B$51+170-'🌱 Configuração'!$C$51,7)=0),"🐛 Trichoderma solo + Beauveria",IF(AND('🌱 Configuração'!$B$51+170&gt;='🌱 Configuração'!$C$51,'🌱 Configuração'!$B$51+170&lt;'🌱 Configuração'!$D$51,INT(('🌱 Configuração'!$B$51+170-'🌱 Configuração'!$C$51)/7)+1=5,MOD('🌱 Configuração'!$B$51+170-'🌱 Configuração'!$C$51,7)=0),"🐛 Calda Bordalesa 0.5% foliar",IF(AND('🌱 Configuração'!$B$51+170&gt;='🌱 Configuração'!$C$51,'🌱 Configuração'!$B$51+170&lt;'🌱 Configuração'!$D$51,INT(('🌱 Configuração'!$B$51+170-'🌱 Configuração'!$C$51)/7)+1=6,MOD('🌱 Configuração'!$B$51+170-'🌱 Configuração'!$C$51,7)=0),"🐛 Nim 2mL/L — ÚLTIMA foliar",IF(AND('🌱 Configuração'!$B$51+170&gt;='🌱 Configuração'!$D$51,'🌱 Configuração'!$B$51+170&lt;'🌱 Configuração'!$E$51,INT(('🌱 Configuração'!$B$51+170-'🌱 Configuração'!$D$51)/7)+1=1,MOD('🌱 Configuração'!$B$51+170-'🌱 Configuração'!$D$51,7)=0),"🐛 Beauveria bassiana solo (sem foliar)",IF(AND('🌱 Configuração'!$B$51+170&gt;='🌱 Configuração'!$D$51,'🌱 Configuração'!$B$51+170&lt;'🌱 Configuração'!$E$51,INT(('🌱 Configuração'!$B$51+170-'🌱 Configuração'!$D$51)/7)+1=2,MOD('🌱 Configuração'!$B$51+170-'🌱 Configuração'!$D$51,7)=0),"🐛 Trichoderma solo",IF(AND('🌱 Configuração'!$B$51+170&gt;='🌱 Configuração'!$D$51,'🌱 Configuração'!$B$51+170&lt;'🌱 Configuração'!$E$51,INT(('🌱 Configuração'!$B$51+170-'🌱 Configuração'!$D$51)/7)+1=3,MOD('🌱 Configuração'!$B$51+170-'🌱 Configuração'!$D$51,7)=0),"🐛 Beauveria bassiana solo",IF(AND('🌱 Configuração'!$B$51+170&gt;='🌱 Configuração'!$D$51,'🌱 Configuração'!$B$51+170&lt;'🌱 Configuração'!$E$51,INT(('🌱 Configuração'!$B$51+170-'🌱 Configuração'!$D$51)/7)+1=4,MOD('🌱 Configuração'!$B$51+170-'🌱 Configuração'!$D$51,7)=0),"🐛 Trichoderma solo",IF(AND('🌱 Configuração'!$B$51+170&gt;='🌱 Configuração'!$E$51,INT(('🌱 Configuração'!$B$51+170-'🌱 Configuração'!$E$51)/7)+1=1,MOD('🌱 Configuração'!$B$51+170-'🌱 Configuração'!$E$51,7)=0),"🐛 Inspeção final — sem aplicação",""))))))))))))))</f>
        <v/>
      </c>
      <c r="H176" s="22" t="str">
        <f>IF(171&gt;'🌱 Configuração'!$F$50,"",IF('🌱 Configuração'!$B$51+170='🌱 Configuração'!$C$51,"🌿 INÍCIO VEGA — ajustar espaço, luz 18h/dia — EC 0.8",IF('🌱 Configuração'!$B$51+170='🌱 Configuração'!$D$51,"🌸 INÍCIO FLORAÇÃO — mudar para 12h/12h — 🔴 atenção ao fotoperíodo",IF('🌱 Configuração'!$B$51+170='🌱 Configuração'!$E$51,"🚿 INÍCIO FLUSH — PARAR nutrição, somente água pura",IF('🌱 Configuração'!$B$51+170='🌱 Configuração'!$F$51-1,"🔬 Véspera da colheita — analisar tricomas âmbar",IF('🌱 Configuração'!$B$51+170='🌱 Configuração'!$F$51,"✂️ COLHEITA! Parabéns! 🎉",""))))))</f>
        <v/>
      </c>
    </row>
    <row r="177" spans="2:8" ht="18.75" customHeight="1" x14ac:dyDescent="0.3">
      <c r="B177" s="25" t="str">
        <f>IF(172&lt;='🌱 Configuração'!$F$50,172,"")</f>
        <v/>
      </c>
      <c r="C177" s="26" t="str">
        <f>IF(172&lt;='🌱 Configuração'!$F$50,'🌱 Configuração'!$B$51+171,"")</f>
        <v/>
      </c>
      <c r="D177" s="27" t="str">
        <f>IF(172&gt;'🌱 Configuração'!$F$50,"",IF('🌱 Configuração'!$B$51+171&lt;'🌱 Configuração'!$C$51,"🌱 Clone",IF('🌱 Configuração'!$B$51+171&lt;'🌱 Configuração'!$D$51,"🌿 Vegetativo",IF('🌱 Configuração'!$B$51+171&lt;'🌱 Configuração'!$E$51,"🌸 Floração","🚿 Flush"))))</f>
        <v/>
      </c>
      <c r="E177" s="28" t="str">
        <f>IF(172&gt;'🌱 Configuração'!$F$50,"",IF('🌱 Configuração'!$B$51+171&lt;'🌱 Configuração'!$C$51,"Clone S"&amp;INT((172-1)/7)+1,IF('🌱 Configuração'!$B$51+171&lt;'🌱 Configuração'!$D$51,"Vega S"&amp;INT(('🌱 Configuração'!$B$51+171-'🌱 Configuração'!$C$51)/7)+1,IF('🌱 Configuração'!$B$51+171&lt;'🌱 Configuração'!$E$51,"Flora S"&amp;INT(('🌱 Configuração'!$B$51+171-'🌱 Configuração'!$D$51)/7)+1,"Flush S"&amp;INT(('🌱 Configuração'!$B$51+171-'🌱 Configuração'!$E$51)/7)+1))))</f>
        <v/>
      </c>
      <c r="F177" s="29" t="str">
        <f>IF(172&gt;'🌱 Configuração'!$F$50,"",IF(AND('🌱 Configuração'!$B$51+171&lt;'🌱 Configuração'!$C$51,INT((172-1)/7)+1=1,MOD(172-1,7)=0),"🌱 Enraizador (0.5 mL/L)",IF(AND('🌱 Configuração'!$B$51+171&lt;'🌱 Configuração'!$C$51,INT((172-1)/7)+1=2,MOD(172-1,7)=0),"🌱 Enraizador + Vitamina B1",IF(AND('🌱 Configuração'!$B$51+171&gt;='🌱 Configuração'!$C$51,'🌱 Configuração'!$B$51+171&lt;'🌱 Configuração'!$D$51,INT(('🌱 Configuração'!$B$51+171-'🌱 Configuração'!$C$51)/7)+1=1,MOD('🌱 Configuração'!$B$51+171-'🌱 Configuração'!$C$51,7)=0),"🌿 Grow A+B início — EC 0.8",IF(AND('🌱 Configuração'!$B$51+171&gt;='🌱 Configuração'!$C$51,'🌱 Configuração'!$B$51+171&lt;'🌱 Configuração'!$D$51,INT(('🌱 Configuração'!$B$51+171-'🌱 Configuração'!$C$51)/7)+1=2,MOD('🌱 Configuração'!$B$51+171-'🌱 Configuração'!$C$51,7)=0),"🌿 Grow A+B + CalMag — EC 1.0",IF(AND('🌱 Configuração'!$B$51+171&gt;='🌱 Configuração'!$C$51,'🌱 Configuração'!$B$51+171&lt;'🌱 Configuração'!$D$51,INT(('🌱 Configuração'!$B$51+171-'🌱 Configuração'!$C$51)/7)+1=3,MOD('🌱 Configuração'!$B$51+171-'🌱 Configuração'!$C$51,7)=0),"🌿 Grow A+B + CalMag — EC 1.2",IF(AND('🌱 Configuração'!$B$51+171&gt;='🌱 Configuração'!$C$51,'🌱 Configuração'!$B$51+171&lt;'🌱 Configuração'!$D$51,INT(('🌱 Configuração'!$B$51+171-'🌱 Configuração'!$C$51)/7)+1=4,MOD('🌱 Configuração'!$B$51+171-'🌱 Configuração'!$C$51,7)=0),"🌿 Grow A+B + Enzimas — EC 1.4",IF(AND('🌱 Configuração'!$B$51+171&gt;='🌱 Configuração'!$C$51,'🌱 Configuração'!$B$51+171&lt;'🌱 Configuração'!$D$51,INT(('🌱 Configuração'!$B$51+171-'🌱 Configuração'!$C$51)/7)+1=5,MOD('🌱 Configuração'!$B$51+171-'🌱 Configuração'!$C$51,7)=0),"🌿 Grow A+B + Biorrizas — EC 1.5",IF(AND('🌱 Configuração'!$B$51+171&gt;='🌱 Configuração'!$C$51,'🌱 Configuração'!$B$51+171&lt;'🌱 Configuração'!$D$51,INT(('🌱 Configuração'!$B$51+171-'🌱 Configuração'!$C$51)/7)+1=6,MOD('🌱 Configuração'!$B$51+171-'🌱 Configuração'!$C$51,7)=0),"🌿 Transição Bloom — EC 1.4",IF(AND('🌱 Configuração'!$B$51+171&gt;='🌱 Configuração'!$C$51,'🌱 Configuração'!$B$51+171&lt;'🌱 Configuração'!$D$51,INT(('🌱 Configuração'!$B$51+171-'🌱 Configuração'!$C$51)/7)+1=7,MOD('🌱 Configuração'!$B$51+171-'🌱 Configuração'!$C$51,7)=0),"🌿 Bloom A+B transição — EC 1.4",IF(AND('🌱 Configuração'!$B$51+171&gt;='🌱 Configuração'!$C$51,'🌱 Configuração'!$B$51+171&lt;'🌱 Configuração'!$D$51,INT(('🌱 Configuração'!$B$51+171-'🌱 Configuração'!$C$51)/7)+1=8,MOD('🌱 Configuração'!$B$51+171-'🌱 Configuração'!$C$51,7)=0),"🌿 Bloom A+B — EC 1.4",IF(AND('🌱 Configuração'!$B$51+171&gt;='🌱 Configuração'!$D$51,'🌱 Configuração'!$B$51+171&lt;'🌱 Configuração'!$E$51,INT(('🌱 Configuração'!$B$51+171-'🌱 Configuração'!$D$51)/7)+1=1,MOD('🌱 Configuração'!$B$51+171-'🌱 Configuração'!$D$51,7)=0),"🌸 Bloom A+B — EC 1.6",IF(AND('🌱 Configuração'!$B$51+171&gt;='🌱 Configuração'!$D$51,'🌱 Configuração'!$B$51+171&lt;'🌱 Configuração'!$E$51,INT(('🌱 Configuração'!$B$51+171-'🌱 Configuração'!$D$51)/7)+1=2,MOD('🌱 Configuração'!$B$51+171-'🌱 Configuração'!$D$51,7)=0),"🌸 Bloom + PK 13/14 início",IF(AND('🌱 Configuração'!$B$51+171&gt;='🌱 Configuração'!$D$51,'🌱 Configuração'!$B$51+171&lt;'🌱 Configuração'!$E$51,INT(('🌱 Configuração'!$B$51+171-'🌱 Configuração'!$D$51)/7)+1=3,MOD('🌱 Configuração'!$B$51+171-'🌱 Configuração'!$D$51,7)=0),"🌸 Bloom + PK + CalMag — EC 1.8",IF(AND('🌱 Configuração'!$B$51+171&gt;='🌱 Configuração'!$D$51,'🌱 Configuração'!$B$51+171&lt;'🌱 Configuração'!$E$51,INT(('🌱 Configuração'!$B$51+171-'🌱 Configuração'!$D$51)/7)+1=4,MOD('🌱 Configuração'!$B$51+171-'🌱 Configuração'!$D$51,7)=0),"🌸 Bloom + PK + Boost Floral — EC 2.0",IF(AND('🌱 Configuração'!$B$51+171&gt;='🌱 Configuração'!$D$51,'🌱 Configuração'!$B$51+171&lt;'🌱 Configuração'!$E$51,INT(('🌱 Configuração'!$B$51+171-'🌱 Configuração'!$D$51)/7)+1=5,MOD('🌱 Configuração'!$B$51+171-'🌱 Configuração'!$D$51,7)=0),"🌸 Bloom + Boost + Amino",IF(AND('🌱 Configuração'!$B$51+171&gt;='🌱 Configuração'!$D$51,'🌱 Configuração'!$B$51+171&lt;'🌱 Configuração'!$E$51,INT(('🌱 Configuração'!$B$51+171-'🌱 Configuração'!$D$51)/7)+1=6,MOD('🌱 Configuração'!$B$51+171-'🌱 Configuração'!$D$51,7)=0),"🌸 Bloom + Enzimas + Amino",IF(AND('🌱 Configuração'!$B$51+171&gt;='🌱 Configuração'!$D$51,'🌱 Configuração'!$B$51+171&lt;'🌱 Configuração'!$E$51,INT(('🌱 Configuração'!$B$51+171-'🌱 Configuração'!$D$51)/7)+1=7,MOD('🌱 Configuração'!$B$51+171-'🌱 Configuração'!$D$51,7)=0),"🌸 Reduzir N — Bloom puro — EC 1.6",IF(AND('🌱 Configuração'!$B$51+171&gt;='🌱 Configuração'!$D$51,'🌱 Configuração'!$B$51+171&lt;'🌱 Configuração'!$E$51,INT(('🌱 Configuração'!$B$51+171-'🌱 Configuração'!$D$51)/7)+1=8,MOD('🌱 Configuração'!$B$51+171-'🌱 Configuração'!$D$51,7)=0),"🌸 Bloom puro — EC 1.4  (pré-flush)",IF(AND('🌱 Configuração'!$B$51+171&gt;='🌱 Configuração'!$D$51,'🌱 Configuração'!$B$51+171&lt;'🌱 Configuração'!$E$51,INT(('🌱 Configuração'!$B$51+171-'🌱 Configuração'!$D$51)/7)+1=9,MOD('🌱 Configuração'!$B$51+171-'🌱 Configuração'!$D$51,7)=0),"🌸 Último Bloom — EC 0.8",IF(AND('🌱 Configuração'!$B$51+171&gt;='🌱 Configuração'!$E$51,INT(('🌱 Configuração'!$B$51+171-'🌱 Configuração'!$E$51)/7)+1=1,MOD('🌱 Configuração'!$B$51+171-'🌱 Configuração'!$E$51,7)=0),"🚿 Água pura + Enzimas (EC &lt; 0.3)",IF(AND('🌱 Configuração'!$B$51+171&gt;='🌱 Configuração'!$E$51,INT(('🌱 Configuração'!$B$51+171-'🌱 Configuração'!$E$51)/7)+1=2,MOD('🌱 Configuração'!$B$51+171-'🌱 Configuração'!$E$51,7)=0),"🚿 Água pura (EC &lt; 0.2)",""))))))))))))))))))))))</f>
        <v/>
      </c>
      <c r="G177" s="30" t="str">
        <f>IF(172&gt;'🌱 Configuração'!$F$50,"",IF(AND('🌱 Configuração'!$B$51+171&lt;'🌱 Configuração'!$C$51,INT((172-1)/7)+1=1,MOD(172-1,7)=0),"🐛 Nim 2mL/L foliar — preventivo",IF(AND('🌱 Configuração'!$B$51+171&lt;'🌱 Configuração'!$C$51,INT((172-1)/7)+1=2,MOD(172-1,7)=0),"🐛 Beauveria bassiana foliar + solo",IF(AND('🌱 Configuração'!$B$51+171&gt;='🌱 Configuração'!$C$51,'🌱 Configuração'!$B$51+171&lt;'🌱 Configuração'!$D$51,INT(('🌱 Configuração'!$B$51+171-'🌱 Configuração'!$C$51)/7)+1=1,MOD('🌱 Configuração'!$B$51+171-'🌱 Configuração'!$C$51,7)=0),"🐛 Nim 2mL/L foliar",IF(AND('🌱 Configuração'!$B$51+171&gt;='🌱 Configuração'!$C$51,'🌱 Configuração'!$B$51+171&lt;'🌱 Configuração'!$D$51,INT(('🌱 Configuração'!$B$51+171-'🌱 Configuração'!$C$51)/7)+1=2,MOD('🌱 Configuração'!$B$51+171-'🌱 Configuração'!$C$51,7)=0),"🐛 Beauveria bassiana foliar",IF(AND('🌱 Configuração'!$B$51+171&gt;='🌱 Configuração'!$C$51,'🌱 Configuração'!$B$51+171&lt;'🌱 Configuração'!$D$51,INT(('🌱 Configuração'!$B$51+171-'🌱 Configuração'!$C$51)/7)+1=3,MOD('🌱 Configuração'!$B$51+171-'🌱 Configuração'!$C$51,7)=0),"🐛 Nim + Calda Sulfocálcica 1%",IF(AND('🌱 Configuração'!$B$51+171&gt;='🌱 Configuração'!$C$51,'🌱 Configuração'!$B$51+171&lt;'🌱 Configuração'!$D$51,INT(('🌱 Configuração'!$B$51+171-'🌱 Configuração'!$C$51)/7)+1=4,MOD('🌱 Configuração'!$B$51+171-'🌱 Configuração'!$C$51,7)=0),"🐛 Trichoderma solo + Beauveria",IF(AND('🌱 Configuração'!$B$51+171&gt;='🌱 Configuração'!$C$51,'🌱 Configuração'!$B$51+171&lt;'🌱 Configuração'!$D$51,INT(('🌱 Configuração'!$B$51+171-'🌱 Configuração'!$C$51)/7)+1=5,MOD('🌱 Configuração'!$B$51+171-'🌱 Configuração'!$C$51,7)=0),"🐛 Calda Bordalesa 0.5% foliar",IF(AND('🌱 Configuração'!$B$51+171&gt;='🌱 Configuração'!$C$51,'🌱 Configuração'!$B$51+171&lt;'🌱 Configuração'!$D$51,INT(('🌱 Configuração'!$B$51+171-'🌱 Configuração'!$C$51)/7)+1=6,MOD('🌱 Configuração'!$B$51+171-'🌱 Configuração'!$C$51,7)=0),"🐛 Nim 2mL/L — ÚLTIMA foliar",IF(AND('🌱 Configuração'!$B$51+171&gt;='🌱 Configuração'!$D$51,'🌱 Configuração'!$B$51+171&lt;'🌱 Configuração'!$E$51,INT(('🌱 Configuração'!$B$51+171-'🌱 Configuração'!$D$51)/7)+1=1,MOD('🌱 Configuração'!$B$51+171-'🌱 Configuração'!$D$51,7)=0),"🐛 Beauveria bassiana solo (sem foliar)",IF(AND('🌱 Configuração'!$B$51+171&gt;='🌱 Configuração'!$D$51,'🌱 Configuração'!$B$51+171&lt;'🌱 Configuração'!$E$51,INT(('🌱 Configuração'!$B$51+171-'🌱 Configuração'!$D$51)/7)+1=2,MOD('🌱 Configuração'!$B$51+171-'🌱 Configuração'!$D$51,7)=0),"🐛 Trichoderma solo",IF(AND('🌱 Configuração'!$B$51+171&gt;='🌱 Configuração'!$D$51,'🌱 Configuração'!$B$51+171&lt;'🌱 Configuração'!$E$51,INT(('🌱 Configuração'!$B$51+171-'🌱 Configuração'!$D$51)/7)+1=3,MOD('🌱 Configuração'!$B$51+171-'🌱 Configuração'!$D$51,7)=0),"🐛 Beauveria bassiana solo",IF(AND('🌱 Configuração'!$B$51+171&gt;='🌱 Configuração'!$D$51,'🌱 Configuração'!$B$51+171&lt;'🌱 Configuração'!$E$51,INT(('🌱 Configuração'!$B$51+171-'🌱 Configuração'!$D$51)/7)+1=4,MOD('🌱 Configuração'!$B$51+171-'🌱 Configuração'!$D$51,7)=0),"🐛 Trichoderma solo",IF(AND('🌱 Configuração'!$B$51+171&gt;='🌱 Configuração'!$E$51,INT(('🌱 Configuração'!$B$51+171-'🌱 Configuração'!$E$51)/7)+1=1,MOD('🌱 Configuração'!$B$51+171-'🌱 Configuração'!$E$51,7)=0),"🐛 Inspeção final — sem aplicação",""))))))))))))))</f>
        <v/>
      </c>
      <c r="H177" s="22" t="str">
        <f>IF(172&gt;'🌱 Configuração'!$F$50,"",IF('🌱 Configuração'!$B$51+171='🌱 Configuração'!$C$51,"🌿 INÍCIO VEGA — ajustar espaço, luz 18h/dia — EC 0.8",IF('🌱 Configuração'!$B$51+171='🌱 Configuração'!$D$51,"🌸 INÍCIO FLORAÇÃO — mudar para 12h/12h — 🔴 atenção ao fotoperíodo",IF('🌱 Configuração'!$B$51+171='🌱 Configuração'!$E$51,"🚿 INÍCIO FLUSH — PARAR nutrição, somente água pura",IF('🌱 Configuração'!$B$51+171='🌱 Configuração'!$F$51-1,"🔬 Véspera da colheita — analisar tricomas âmbar",IF('🌱 Configuração'!$B$51+171='🌱 Configuração'!$F$51,"✂️ COLHEITA! Parabéns! 🎉",""))))))</f>
        <v/>
      </c>
    </row>
    <row r="178" spans="2:8" ht="18.75" customHeight="1" x14ac:dyDescent="0.3">
      <c r="B178" s="25" t="str">
        <f>IF(173&lt;='🌱 Configuração'!$F$50,173,"")</f>
        <v/>
      </c>
      <c r="C178" s="26" t="str">
        <f>IF(173&lt;='🌱 Configuração'!$F$50,'🌱 Configuração'!$B$51+172,"")</f>
        <v/>
      </c>
      <c r="D178" s="27" t="str">
        <f>IF(173&gt;'🌱 Configuração'!$F$50,"",IF('🌱 Configuração'!$B$51+172&lt;'🌱 Configuração'!$C$51,"🌱 Clone",IF('🌱 Configuração'!$B$51+172&lt;'🌱 Configuração'!$D$51,"🌿 Vegetativo",IF('🌱 Configuração'!$B$51+172&lt;'🌱 Configuração'!$E$51,"🌸 Floração","🚿 Flush"))))</f>
        <v/>
      </c>
      <c r="E178" s="28" t="str">
        <f>IF(173&gt;'🌱 Configuração'!$F$50,"",IF('🌱 Configuração'!$B$51+172&lt;'🌱 Configuração'!$C$51,"Clone S"&amp;INT((173-1)/7)+1,IF('🌱 Configuração'!$B$51+172&lt;'🌱 Configuração'!$D$51,"Vega S"&amp;INT(('🌱 Configuração'!$B$51+172-'🌱 Configuração'!$C$51)/7)+1,IF('🌱 Configuração'!$B$51+172&lt;'🌱 Configuração'!$E$51,"Flora S"&amp;INT(('🌱 Configuração'!$B$51+172-'🌱 Configuração'!$D$51)/7)+1,"Flush S"&amp;INT(('🌱 Configuração'!$B$51+172-'🌱 Configuração'!$E$51)/7)+1))))</f>
        <v/>
      </c>
      <c r="F178" s="29" t="str">
        <f>IF(173&gt;'🌱 Configuração'!$F$50,"",IF(AND('🌱 Configuração'!$B$51+172&lt;'🌱 Configuração'!$C$51,INT((173-1)/7)+1=1,MOD(173-1,7)=0),"🌱 Enraizador (0.5 mL/L)",IF(AND('🌱 Configuração'!$B$51+172&lt;'🌱 Configuração'!$C$51,INT((173-1)/7)+1=2,MOD(173-1,7)=0),"🌱 Enraizador + Vitamina B1",IF(AND('🌱 Configuração'!$B$51+172&gt;='🌱 Configuração'!$C$51,'🌱 Configuração'!$B$51+172&lt;'🌱 Configuração'!$D$51,INT(('🌱 Configuração'!$B$51+172-'🌱 Configuração'!$C$51)/7)+1=1,MOD('🌱 Configuração'!$B$51+172-'🌱 Configuração'!$C$51,7)=0),"🌿 Grow A+B início — EC 0.8",IF(AND('🌱 Configuração'!$B$51+172&gt;='🌱 Configuração'!$C$51,'🌱 Configuração'!$B$51+172&lt;'🌱 Configuração'!$D$51,INT(('🌱 Configuração'!$B$51+172-'🌱 Configuração'!$C$51)/7)+1=2,MOD('🌱 Configuração'!$B$51+172-'🌱 Configuração'!$C$51,7)=0),"🌿 Grow A+B + CalMag — EC 1.0",IF(AND('🌱 Configuração'!$B$51+172&gt;='🌱 Configuração'!$C$51,'🌱 Configuração'!$B$51+172&lt;'🌱 Configuração'!$D$51,INT(('🌱 Configuração'!$B$51+172-'🌱 Configuração'!$C$51)/7)+1=3,MOD('🌱 Configuração'!$B$51+172-'🌱 Configuração'!$C$51,7)=0),"🌿 Grow A+B + CalMag — EC 1.2",IF(AND('🌱 Configuração'!$B$51+172&gt;='🌱 Configuração'!$C$51,'🌱 Configuração'!$B$51+172&lt;'🌱 Configuração'!$D$51,INT(('🌱 Configuração'!$B$51+172-'🌱 Configuração'!$C$51)/7)+1=4,MOD('🌱 Configuração'!$B$51+172-'🌱 Configuração'!$C$51,7)=0),"🌿 Grow A+B + Enzimas — EC 1.4",IF(AND('🌱 Configuração'!$B$51+172&gt;='🌱 Configuração'!$C$51,'🌱 Configuração'!$B$51+172&lt;'🌱 Configuração'!$D$51,INT(('🌱 Configuração'!$B$51+172-'🌱 Configuração'!$C$51)/7)+1=5,MOD('🌱 Configuração'!$B$51+172-'🌱 Configuração'!$C$51,7)=0),"🌿 Grow A+B + Biorrizas — EC 1.5",IF(AND('🌱 Configuração'!$B$51+172&gt;='🌱 Configuração'!$C$51,'🌱 Configuração'!$B$51+172&lt;'🌱 Configuração'!$D$51,INT(('🌱 Configuração'!$B$51+172-'🌱 Configuração'!$C$51)/7)+1=6,MOD('🌱 Configuração'!$B$51+172-'🌱 Configuração'!$C$51,7)=0),"🌿 Transição Bloom — EC 1.4",IF(AND('🌱 Configuração'!$B$51+172&gt;='🌱 Configuração'!$C$51,'🌱 Configuração'!$B$51+172&lt;'🌱 Configuração'!$D$51,INT(('🌱 Configuração'!$B$51+172-'🌱 Configuração'!$C$51)/7)+1=7,MOD('🌱 Configuração'!$B$51+172-'🌱 Configuração'!$C$51,7)=0),"🌿 Bloom A+B transição — EC 1.4",IF(AND('🌱 Configuração'!$B$51+172&gt;='🌱 Configuração'!$C$51,'🌱 Configuração'!$B$51+172&lt;'🌱 Configuração'!$D$51,INT(('🌱 Configuração'!$B$51+172-'🌱 Configuração'!$C$51)/7)+1=8,MOD('🌱 Configuração'!$B$51+172-'🌱 Configuração'!$C$51,7)=0),"🌿 Bloom A+B — EC 1.4",IF(AND('🌱 Configuração'!$B$51+172&gt;='🌱 Configuração'!$D$51,'🌱 Configuração'!$B$51+172&lt;'🌱 Configuração'!$E$51,INT(('🌱 Configuração'!$B$51+172-'🌱 Configuração'!$D$51)/7)+1=1,MOD('🌱 Configuração'!$B$51+172-'🌱 Configuração'!$D$51,7)=0),"🌸 Bloom A+B — EC 1.6",IF(AND('🌱 Configuração'!$B$51+172&gt;='🌱 Configuração'!$D$51,'🌱 Configuração'!$B$51+172&lt;'🌱 Configuração'!$E$51,INT(('🌱 Configuração'!$B$51+172-'🌱 Configuração'!$D$51)/7)+1=2,MOD('🌱 Configuração'!$B$51+172-'🌱 Configuração'!$D$51,7)=0),"🌸 Bloom + PK 13/14 início",IF(AND('🌱 Configuração'!$B$51+172&gt;='🌱 Configuração'!$D$51,'🌱 Configuração'!$B$51+172&lt;'🌱 Configuração'!$E$51,INT(('🌱 Configuração'!$B$51+172-'🌱 Configuração'!$D$51)/7)+1=3,MOD('🌱 Configuração'!$B$51+172-'🌱 Configuração'!$D$51,7)=0),"🌸 Bloom + PK + CalMag — EC 1.8",IF(AND('🌱 Configuração'!$B$51+172&gt;='🌱 Configuração'!$D$51,'🌱 Configuração'!$B$51+172&lt;'🌱 Configuração'!$E$51,INT(('🌱 Configuração'!$B$51+172-'🌱 Configuração'!$D$51)/7)+1=4,MOD('🌱 Configuração'!$B$51+172-'🌱 Configuração'!$D$51,7)=0),"🌸 Bloom + PK + Boost Floral — EC 2.0",IF(AND('🌱 Configuração'!$B$51+172&gt;='🌱 Configuração'!$D$51,'🌱 Configuração'!$B$51+172&lt;'🌱 Configuração'!$E$51,INT(('🌱 Configuração'!$B$51+172-'🌱 Configuração'!$D$51)/7)+1=5,MOD('🌱 Configuração'!$B$51+172-'🌱 Configuração'!$D$51,7)=0),"🌸 Bloom + Boost + Amino",IF(AND('🌱 Configuração'!$B$51+172&gt;='🌱 Configuração'!$D$51,'🌱 Configuração'!$B$51+172&lt;'🌱 Configuração'!$E$51,INT(('🌱 Configuração'!$B$51+172-'🌱 Configuração'!$D$51)/7)+1=6,MOD('🌱 Configuração'!$B$51+172-'🌱 Configuração'!$D$51,7)=0),"🌸 Bloom + Enzimas + Amino",IF(AND('🌱 Configuração'!$B$51+172&gt;='🌱 Configuração'!$D$51,'🌱 Configuração'!$B$51+172&lt;'🌱 Configuração'!$E$51,INT(('🌱 Configuração'!$B$51+172-'🌱 Configuração'!$D$51)/7)+1=7,MOD('🌱 Configuração'!$B$51+172-'🌱 Configuração'!$D$51,7)=0),"🌸 Reduzir N — Bloom puro — EC 1.6",IF(AND('🌱 Configuração'!$B$51+172&gt;='🌱 Configuração'!$D$51,'🌱 Configuração'!$B$51+172&lt;'🌱 Configuração'!$E$51,INT(('🌱 Configuração'!$B$51+172-'🌱 Configuração'!$D$51)/7)+1=8,MOD('🌱 Configuração'!$B$51+172-'🌱 Configuração'!$D$51,7)=0),"🌸 Bloom puro — EC 1.4  (pré-flush)",IF(AND('🌱 Configuração'!$B$51+172&gt;='🌱 Configuração'!$D$51,'🌱 Configuração'!$B$51+172&lt;'🌱 Configuração'!$E$51,INT(('🌱 Configuração'!$B$51+172-'🌱 Configuração'!$D$51)/7)+1=9,MOD('🌱 Configuração'!$B$51+172-'🌱 Configuração'!$D$51,7)=0),"🌸 Último Bloom — EC 0.8",IF(AND('🌱 Configuração'!$B$51+172&gt;='🌱 Configuração'!$E$51,INT(('🌱 Configuração'!$B$51+172-'🌱 Configuração'!$E$51)/7)+1=1,MOD('🌱 Configuração'!$B$51+172-'🌱 Configuração'!$E$51,7)=0),"🚿 Água pura + Enzimas (EC &lt; 0.3)",IF(AND('🌱 Configuração'!$B$51+172&gt;='🌱 Configuração'!$E$51,INT(('🌱 Configuração'!$B$51+172-'🌱 Configuração'!$E$51)/7)+1=2,MOD('🌱 Configuração'!$B$51+172-'🌱 Configuração'!$E$51,7)=0),"🚿 Água pura (EC &lt; 0.2)",""))))))))))))))))))))))</f>
        <v/>
      </c>
      <c r="G178" s="30" t="str">
        <f>IF(173&gt;'🌱 Configuração'!$F$50,"",IF(AND('🌱 Configuração'!$B$51+172&lt;'🌱 Configuração'!$C$51,INT((173-1)/7)+1=1,MOD(173-1,7)=0),"🐛 Nim 2mL/L foliar — preventivo",IF(AND('🌱 Configuração'!$B$51+172&lt;'🌱 Configuração'!$C$51,INT((173-1)/7)+1=2,MOD(173-1,7)=0),"🐛 Beauveria bassiana foliar + solo",IF(AND('🌱 Configuração'!$B$51+172&gt;='🌱 Configuração'!$C$51,'🌱 Configuração'!$B$51+172&lt;'🌱 Configuração'!$D$51,INT(('🌱 Configuração'!$B$51+172-'🌱 Configuração'!$C$51)/7)+1=1,MOD('🌱 Configuração'!$B$51+172-'🌱 Configuração'!$C$51,7)=0),"🐛 Nim 2mL/L foliar",IF(AND('🌱 Configuração'!$B$51+172&gt;='🌱 Configuração'!$C$51,'🌱 Configuração'!$B$51+172&lt;'🌱 Configuração'!$D$51,INT(('🌱 Configuração'!$B$51+172-'🌱 Configuração'!$C$51)/7)+1=2,MOD('🌱 Configuração'!$B$51+172-'🌱 Configuração'!$C$51,7)=0),"🐛 Beauveria bassiana foliar",IF(AND('🌱 Configuração'!$B$51+172&gt;='🌱 Configuração'!$C$51,'🌱 Configuração'!$B$51+172&lt;'🌱 Configuração'!$D$51,INT(('🌱 Configuração'!$B$51+172-'🌱 Configuração'!$C$51)/7)+1=3,MOD('🌱 Configuração'!$B$51+172-'🌱 Configuração'!$C$51,7)=0),"🐛 Nim + Calda Sulfocálcica 1%",IF(AND('🌱 Configuração'!$B$51+172&gt;='🌱 Configuração'!$C$51,'🌱 Configuração'!$B$51+172&lt;'🌱 Configuração'!$D$51,INT(('🌱 Configuração'!$B$51+172-'🌱 Configuração'!$C$51)/7)+1=4,MOD('🌱 Configuração'!$B$51+172-'🌱 Configuração'!$C$51,7)=0),"🐛 Trichoderma solo + Beauveria",IF(AND('🌱 Configuração'!$B$51+172&gt;='🌱 Configuração'!$C$51,'🌱 Configuração'!$B$51+172&lt;'🌱 Configuração'!$D$51,INT(('🌱 Configuração'!$B$51+172-'🌱 Configuração'!$C$51)/7)+1=5,MOD('🌱 Configuração'!$B$51+172-'🌱 Configuração'!$C$51,7)=0),"🐛 Calda Bordalesa 0.5% foliar",IF(AND('🌱 Configuração'!$B$51+172&gt;='🌱 Configuração'!$C$51,'🌱 Configuração'!$B$51+172&lt;'🌱 Configuração'!$D$51,INT(('🌱 Configuração'!$B$51+172-'🌱 Configuração'!$C$51)/7)+1=6,MOD('🌱 Configuração'!$B$51+172-'🌱 Configuração'!$C$51,7)=0),"🐛 Nim 2mL/L — ÚLTIMA foliar",IF(AND('🌱 Configuração'!$B$51+172&gt;='🌱 Configuração'!$D$51,'🌱 Configuração'!$B$51+172&lt;'🌱 Configuração'!$E$51,INT(('🌱 Configuração'!$B$51+172-'🌱 Configuração'!$D$51)/7)+1=1,MOD('🌱 Configuração'!$B$51+172-'🌱 Configuração'!$D$51,7)=0),"🐛 Beauveria bassiana solo (sem foliar)",IF(AND('🌱 Configuração'!$B$51+172&gt;='🌱 Configuração'!$D$51,'🌱 Configuração'!$B$51+172&lt;'🌱 Configuração'!$E$51,INT(('🌱 Configuração'!$B$51+172-'🌱 Configuração'!$D$51)/7)+1=2,MOD('🌱 Configuração'!$B$51+172-'🌱 Configuração'!$D$51,7)=0),"🐛 Trichoderma solo",IF(AND('🌱 Configuração'!$B$51+172&gt;='🌱 Configuração'!$D$51,'🌱 Configuração'!$B$51+172&lt;'🌱 Configuração'!$E$51,INT(('🌱 Configuração'!$B$51+172-'🌱 Configuração'!$D$51)/7)+1=3,MOD('🌱 Configuração'!$B$51+172-'🌱 Configuração'!$D$51,7)=0),"🐛 Beauveria bassiana solo",IF(AND('🌱 Configuração'!$B$51+172&gt;='🌱 Configuração'!$D$51,'🌱 Configuração'!$B$51+172&lt;'🌱 Configuração'!$E$51,INT(('🌱 Configuração'!$B$51+172-'🌱 Configuração'!$D$51)/7)+1=4,MOD('🌱 Configuração'!$B$51+172-'🌱 Configuração'!$D$51,7)=0),"🐛 Trichoderma solo",IF(AND('🌱 Configuração'!$B$51+172&gt;='🌱 Configuração'!$E$51,INT(('🌱 Configuração'!$B$51+172-'🌱 Configuração'!$E$51)/7)+1=1,MOD('🌱 Configuração'!$B$51+172-'🌱 Configuração'!$E$51,7)=0),"🐛 Inspeção final — sem aplicação",""))))))))))))))</f>
        <v/>
      </c>
      <c r="H178" s="22" t="str">
        <f>IF(173&gt;'🌱 Configuração'!$F$50,"",IF('🌱 Configuração'!$B$51+172='🌱 Configuração'!$C$51,"🌿 INÍCIO VEGA — ajustar espaço, luz 18h/dia — EC 0.8",IF('🌱 Configuração'!$B$51+172='🌱 Configuração'!$D$51,"🌸 INÍCIO FLORAÇÃO — mudar para 12h/12h — 🔴 atenção ao fotoperíodo",IF('🌱 Configuração'!$B$51+172='🌱 Configuração'!$E$51,"🚿 INÍCIO FLUSH — PARAR nutrição, somente água pura",IF('🌱 Configuração'!$B$51+172='🌱 Configuração'!$F$51-1,"🔬 Véspera da colheita — analisar tricomas âmbar",IF('🌱 Configuração'!$B$51+172='🌱 Configuração'!$F$51,"✂️ COLHEITA! Parabéns! 🎉",""))))))</f>
        <v/>
      </c>
    </row>
    <row r="179" spans="2:8" ht="18.75" customHeight="1" x14ac:dyDescent="0.3">
      <c r="B179" s="25" t="str">
        <f>IF(174&lt;='🌱 Configuração'!$F$50,174,"")</f>
        <v/>
      </c>
      <c r="C179" s="26" t="str">
        <f>IF(174&lt;='🌱 Configuração'!$F$50,'🌱 Configuração'!$B$51+173,"")</f>
        <v/>
      </c>
      <c r="D179" s="27" t="str">
        <f>IF(174&gt;'🌱 Configuração'!$F$50,"",IF('🌱 Configuração'!$B$51+173&lt;'🌱 Configuração'!$C$51,"🌱 Clone",IF('🌱 Configuração'!$B$51+173&lt;'🌱 Configuração'!$D$51,"🌿 Vegetativo",IF('🌱 Configuração'!$B$51+173&lt;'🌱 Configuração'!$E$51,"🌸 Floração","🚿 Flush"))))</f>
        <v/>
      </c>
      <c r="E179" s="28" t="str">
        <f>IF(174&gt;'🌱 Configuração'!$F$50,"",IF('🌱 Configuração'!$B$51+173&lt;'🌱 Configuração'!$C$51,"Clone S"&amp;INT((174-1)/7)+1,IF('🌱 Configuração'!$B$51+173&lt;'🌱 Configuração'!$D$51,"Vega S"&amp;INT(('🌱 Configuração'!$B$51+173-'🌱 Configuração'!$C$51)/7)+1,IF('🌱 Configuração'!$B$51+173&lt;'🌱 Configuração'!$E$51,"Flora S"&amp;INT(('🌱 Configuração'!$B$51+173-'🌱 Configuração'!$D$51)/7)+1,"Flush S"&amp;INT(('🌱 Configuração'!$B$51+173-'🌱 Configuração'!$E$51)/7)+1))))</f>
        <v/>
      </c>
      <c r="F179" s="29" t="str">
        <f>IF(174&gt;'🌱 Configuração'!$F$50,"",IF(AND('🌱 Configuração'!$B$51+173&lt;'🌱 Configuração'!$C$51,INT((174-1)/7)+1=1,MOD(174-1,7)=0),"🌱 Enraizador (0.5 mL/L)",IF(AND('🌱 Configuração'!$B$51+173&lt;'🌱 Configuração'!$C$51,INT((174-1)/7)+1=2,MOD(174-1,7)=0),"🌱 Enraizador + Vitamina B1",IF(AND('🌱 Configuração'!$B$51+173&gt;='🌱 Configuração'!$C$51,'🌱 Configuração'!$B$51+173&lt;'🌱 Configuração'!$D$51,INT(('🌱 Configuração'!$B$51+173-'🌱 Configuração'!$C$51)/7)+1=1,MOD('🌱 Configuração'!$B$51+173-'🌱 Configuração'!$C$51,7)=0),"🌿 Grow A+B início — EC 0.8",IF(AND('🌱 Configuração'!$B$51+173&gt;='🌱 Configuração'!$C$51,'🌱 Configuração'!$B$51+173&lt;'🌱 Configuração'!$D$51,INT(('🌱 Configuração'!$B$51+173-'🌱 Configuração'!$C$51)/7)+1=2,MOD('🌱 Configuração'!$B$51+173-'🌱 Configuração'!$C$51,7)=0),"🌿 Grow A+B + CalMag — EC 1.0",IF(AND('🌱 Configuração'!$B$51+173&gt;='🌱 Configuração'!$C$51,'🌱 Configuração'!$B$51+173&lt;'🌱 Configuração'!$D$51,INT(('🌱 Configuração'!$B$51+173-'🌱 Configuração'!$C$51)/7)+1=3,MOD('🌱 Configuração'!$B$51+173-'🌱 Configuração'!$C$51,7)=0),"🌿 Grow A+B + CalMag — EC 1.2",IF(AND('🌱 Configuração'!$B$51+173&gt;='🌱 Configuração'!$C$51,'🌱 Configuração'!$B$51+173&lt;'🌱 Configuração'!$D$51,INT(('🌱 Configuração'!$B$51+173-'🌱 Configuração'!$C$51)/7)+1=4,MOD('🌱 Configuração'!$B$51+173-'🌱 Configuração'!$C$51,7)=0),"🌿 Grow A+B + Enzimas — EC 1.4",IF(AND('🌱 Configuração'!$B$51+173&gt;='🌱 Configuração'!$C$51,'🌱 Configuração'!$B$51+173&lt;'🌱 Configuração'!$D$51,INT(('🌱 Configuração'!$B$51+173-'🌱 Configuração'!$C$51)/7)+1=5,MOD('🌱 Configuração'!$B$51+173-'🌱 Configuração'!$C$51,7)=0),"🌿 Grow A+B + Biorrizas — EC 1.5",IF(AND('🌱 Configuração'!$B$51+173&gt;='🌱 Configuração'!$C$51,'🌱 Configuração'!$B$51+173&lt;'🌱 Configuração'!$D$51,INT(('🌱 Configuração'!$B$51+173-'🌱 Configuração'!$C$51)/7)+1=6,MOD('🌱 Configuração'!$B$51+173-'🌱 Configuração'!$C$51,7)=0),"🌿 Transição Bloom — EC 1.4",IF(AND('🌱 Configuração'!$B$51+173&gt;='🌱 Configuração'!$C$51,'🌱 Configuração'!$B$51+173&lt;'🌱 Configuração'!$D$51,INT(('🌱 Configuração'!$B$51+173-'🌱 Configuração'!$C$51)/7)+1=7,MOD('🌱 Configuração'!$B$51+173-'🌱 Configuração'!$C$51,7)=0),"🌿 Bloom A+B transição — EC 1.4",IF(AND('🌱 Configuração'!$B$51+173&gt;='🌱 Configuração'!$C$51,'🌱 Configuração'!$B$51+173&lt;'🌱 Configuração'!$D$51,INT(('🌱 Configuração'!$B$51+173-'🌱 Configuração'!$C$51)/7)+1=8,MOD('🌱 Configuração'!$B$51+173-'🌱 Configuração'!$C$51,7)=0),"🌿 Bloom A+B — EC 1.4",IF(AND('🌱 Configuração'!$B$51+173&gt;='🌱 Configuração'!$D$51,'🌱 Configuração'!$B$51+173&lt;'🌱 Configuração'!$E$51,INT(('🌱 Configuração'!$B$51+173-'🌱 Configuração'!$D$51)/7)+1=1,MOD('🌱 Configuração'!$B$51+173-'🌱 Configuração'!$D$51,7)=0),"🌸 Bloom A+B — EC 1.6",IF(AND('🌱 Configuração'!$B$51+173&gt;='🌱 Configuração'!$D$51,'🌱 Configuração'!$B$51+173&lt;'🌱 Configuração'!$E$51,INT(('🌱 Configuração'!$B$51+173-'🌱 Configuração'!$D$51)/7)+1=2,MOD('🌱 Configuração'!$B$51+173-'🌱 Configuração'!$D$51,7)=0),"🌸 Bloom + PK 13/14 início",IF(AND('🌱 Configuração'!$B$51+173&gt;='🌱 Configuração'!$D$51,'🌱 Configuração'!$B$51+173&lt;'🌱 Configuração'!$E$51,INT(('🌱 Configuração'!$B$51+173-'🌱 Configuração'!$D$51)/7)+1=3,MOD('🌱 Configuração'!$B$51+173-'🌱 Configuração'!$D$51,7)=0),"🌸 Bloom + PK + CalMag — EC 1.8",IF(AND('🌱 Configuração'!$B$51+173&gt;='🌱 Configuração'!$D$51,'🌱 Configuração'!$B$51+173&lt;'🌱 Configuração'!$E$51,INT(('🌱 Configuração'!$B$51+173-'🌱 Configuração'!$D$51)/7)+1=4,MOD('🌱 Configuração'!$B$51+173-'🌱 Configuração'!$D$51,7)=0),"🌸 Bloom + PK + Boost Floral — EC 2.0",IF(AND('🌱 Configuração'!$B$51+173&gt;='🌱 Configuração'!$D$51,'🌱 Configuração'!$B$51+173&lt;'🌱 Configuração'!$E$51,INT(('🌱 Configuração'!$B$51+173-'🌱 Configuração'!$D$51)/7)+1=5,MOD('🌱 Configuração'!$B$51+173-'🌱 Configuração'!$D$51,7)=0),"🌸 Bloom + Boost + Amino",IF(AND('🌱 Configuração'!$B$51+173&gt;='🌱 Configuração'!$D$51,'🌱 Configuração'!$B$51+173&lt;'🌱 Configuração'!$E$51,INT(('🌱 Configuração'!$B$51+173-'🌱 Configuração'!$D$51)/7)+1=6,MOD('🌱 Configuração'!$B$51+173-'🌱 Configuração'!$D$51,7)=0),"🌸 Bloom + Enzimas + Amino",IF(AND('🌱 Configuração'!$B$51+173&gt;='🌱 Configuração'!$D$51,'🌱 Configuração'!$B$51+173&lt;'🌱 Configuração'!$E$51,INT(('🌱 Configuração'!$B$51+173-'🌱 Configuração'!$D$51)/7)+1=7,MOD('🌱 Configuração'!$B$51+173-'🌱 Configuração'!$D$51,7)=0),"🌸 Reduzir N — Bloom puro — EC 1.6",IF(AND('🌱 Configuração'!$B$51+173&gt;='🌱 Configuração'!$D$51,'🌱 Configuração'!$B$51+173&lt;'🌱 Configuração'!$E$51,INT(('🌱 Configuração'!$B$51+173-'🌱 Configuração'!$D$51)/7)+1=8,MOD('🌱 Configuração'!$B$51+173-'🌱 Configuração'!$D$51,7)=0),"🌸 Bloom puro — EC 1.4  (pré-flush)",IF(AND('🌱 Configuração'!$B$51+173&gt;='🌱 Configuração'!$D$51,'🌱 Configuração'!$B$51+173&lt;'🌱 Configuração'!$E$51,INT(('🌱 Configuração'!$B$51+173-'🌱 Configuração'!$D$51)/7)+1=9,MOD('🌱 Configuração'!$B$51+173-'🌱 Configuração'!$D$51,7)=0),"🌸 Último Bloom — EC 0.8",IF(AND('🌱 Configuração'!$B$51+173&gt;='🌱 Configuração'!$E$51,INT(('🌱 Configuração'!$B$51+173-'🌱 Configuração'!$E$51)/7)+1=1,MOD('🌱 Configuração'!$B$51+173-'🌱 Configuração'!$E$51,7)=0),"🚿 Água pura + Enzimas (EC &lt; 0.3)",IF(AND('🌱 Configuração'!$B$51+173&gt;='🌱 Configuração'!$E$51,INT(('🌱 Configuração'!$B$51+173-'🌱 Configuração'!$E$51)/7)+1=2,MOD('🌱 Configuração'!$B$51+173-'🌱 Configuração'!$E$51,7)=0),"🚿 Água pura (EC &lt; 0.2)",""))))))))))))))))))))))</f>
        <v/>
      </c>
      <c r="G179" s="30" t="str">
        <f>IF(174&gt;'🌱 Configuração'!$F$50,"",IF(AND('🌱 Configuração'!$B$51+173&lt;'🌱 Configuração'!$C$51,INT((174-1)/7)+1=1,MOD(174-1,7)=0),"🐛 Nim 2mL/L foliar — preventivo",IF(AND('🌱 Configuração'!$B$51+173&lt;'🌱 Configuração'!$C$51,INT((174-1)/7)+1=2,MOD(174-1,7)=0),"🐛 Beauveria bassiana foliar + solo",IF(AND('🌱 Configuração'!$B$51+173&gt;='🌱 Configuração'!$C$51,'🌱 Configuração'!$B$51+173&lt;'🌱 Configuração'!$D$51,INT(('🌱 Configuração'!$B$51+173-'🌱 Configuração'!$C$51)/7)+1=1,MOD('🌱 Configuração'!$B$51+173-'🌱 Configuração'!$C$51,7)=0),"🐛 Nim 2mL/L foliar",IF(AND('🌱 Configuração'!$B$51+173&gt;='🌱 Configuração'!$C$51,'🌱 Configuração'!$B$51+173&lt;'🌱 Configuração'!$D$51,INT(('🌱 Configuração'!$B$51+173-'🌱 Configuração'!$C$51)/7)+1=2,MOD('🌱 Configuração'!$B$51+173-'🌱 Configuração'!$C$51,7)=0),"🐛 Beauveria bassiana foliar",IF(AND('🌱 Configuração'!$B$51+173&gt;='🌱 Configuração'!$C$51,'🌱 Configuração'!$B$51+173&lt;'🌱 Configuração'!$D$51,INT(('🌱 Configuração'!$B$51+173-'🌱 Configuração'!$C$51)/7)+1=3,MOD('🌱 Configuração'!$B$51+173-'🌱 Configuração'!$C$51,7)=0),"🐛 Nim + Calda Sulfocálcica 1%",IF(AND('🌱 Configuração'!$B$51+173&gt;='🌱 Configuração'!$C$51,'🌱 Configuração'!$B$51+173&lt;'🌱 Configuração'!$D$51,INT(('🌱 Configuração'!$B$51+173-'🌱 Configuração'!$C$51)/7)+1=4,MOD('🌱 Configuração'!$B$51+173-'🌱 Configuração'!$C$51,7)=0),"🐛 Trichoderma solo + Beauveria",IF(AND('🌱 Configuração'!$B$51+173&gt;='🌱 Configuração'!$C$51,'🌱 Configuração'!$B$51+173&lt;'🌱 Configuração'!$D$51,INT(('🌱 Configuração'!$B$51+173-'🌱 Configuração'!$C$51)/7)+1=5,MOD('🌱 Configuração'!$B$51+173-'🌱 Configuração'!$C$51,7)=0),"🐛 Calda Bordalesa 0.5% foliar",IF(AND('🌱 Configuração'!$B$51+173&gt;='🌱 Configuração'!$C$51,'🌱 Configuração'!$B$51+173&lt;'🌱 Configuração'!$D$51,INT(('🌱 Configuração'!$B$51+173-'🌱 Configuração'!$C$51)/7)+1=6,MOD('🌱 Configuração'!$B$51+173-'🌱 Configuração'!$C$51,7)=0),"🐛 Nim 2mL/L — ÚLTIMA foliar",IF(AND('🌱 Configuração'!$B$51+173&gt;='🌱 Configuração'!$D$51,'🌱 Configuração'!$B$51+173&lt;'🌱 Configuração'!$E$51,INT(('🌱 Configuração'!$B$51+173-'🌱 Configuração'!$D$51)/7)+1=1,MOD('🌱 Configuração'!$B$51+173-'🌱 Configuração'!$D$51,7)=0),"🐛 Beauveria bassiana solo (sem foliar)",IF(AND('🌱 Configuração'!$B$51+173&gt;='🌱 Configuração'!$D$51,'🌱 Configuração'!$B$51+173&lt;'🌱 Configuração'!$E$51,INT(('🌱 Configuração'!$B$51+173-'🌱 Configuração'!$D$51)/7)+1=2,MOD('🌱 Configuração'!$B$51+173-'🌱 Configuração'!$D$51,7)=0),"🐛 Trichoderma solo",IF(AND('🌱 Configuração'!$B$51+173&gt;='🌱 Configuração'!$D$51,'🌱 Configuração'!$B$51+173&lt;'🌱 Configuração'!$E$51,INT(('🌱 Configuração'!$B$51+173-'🌱 Configuração'!$D$51)/7)+1=3,MOD('🌱 Configuração'!$B$51+173-'🌱 Configuração'!$D$51,7)=0),"🐛 Beauveria bassiana solo",IF(AND('🌱 Configuração'!$B$51+173&gt;='🌱 Configuração'!$D$51,'🌱 Configuração'!$B$51+173&lt;'🌱 Configuração'!$E$51,INT(('🌱 Configuração'!$B$51+173-'🌱 Configuração'!$D$51)/7)+1=4,MOD('🌱 Configuração'!$B$51+173-'🌱 Configuração'!$D$51,7)=0),"🐛 Trichoderma solo",IF(AND('🌱 Configuração'!$B$51+173&gt;='🌱 Configuração'!$E$51,INT(('🌱 Configuração'!$B$51+173-'🌱 Configuração'!$E$51)/7)+1=1,MOD('🌱 Configuração'!$B$51+173-'🌱 Configuração'!$E$51,7)=0),"🐛 Inspeção final — sem aplicação",""))))))))))))))</f>
        <v/>
      </c>
      <c r="H179" s="22" t="str">
        <f>IF(174&gt;'🌱 Configuração'!$F$50,"",IF('🌱 Configuração'!$B$51+173='🌱 Configuração'!$C$51,"🌿 INÍCIO VEGA — ajustar espaço, luz 18h/dia — EC 0.8",IF('🌱 Configuração'!$B$51+173='🌱 Configuração'!$D$51,"🌸 INÍCIO FLORAÇÃO — mudar para 12h/12h — 🔴 atenção ao fotoperíodo",IF('🌱 Configuração'!$B$51+173='🌱 Configuração'!$E$51,"🚿 INÍCIO FLUSH — PARAR nutrição, somente água pura",IF('🌱 Configuração'!$B$51+173='🌱 Configuração'!$F$51-1,"🔬 Véspera da colheita — analisar tricomas âmbar",IF('🌱 Configuração'!$B$51+173='🌱 Configuração'!$F$51,"✂️ COLHEITA! Parabéns! 🎉",""))))))</f>
        <v/>
      </c>
    </row>
    <row r="180" spans="2:8" ht="18.75" customHeight="1" x14ac:dyDescent="0.3">
      <c r="B180" s="25" t="str">
        <f>IF(175&lt;='🌱 Configuração'!$F$50,175,"")</f>
        <v/>
      </c>
      <c r="C180" s="26" t="str">
        <f>IF(175&lt;='🌱 Configuração'!$F$50,'🌱 Configuração'!$B$51+174,"")</f>
        <v/>
      </c>
      <c r="D180" s="27" t="str">
        <f>IF(175&gt;'🌱 Configuração'!$F$50,"",IF('🌱 Configuração'!$B$51+174&lt;'🌱 Configuração'!$C$51,"🌱 Clone",IF('🌱 Configuração'!$B$51+174&lt;'🌱 Configuração'!$D$51,"🌿 Vegetativo",IF('🌱 Configuração'!$B$51+174&lt;'🌱 Configuração'!$E$51,"🌸 Floração","🚿 Flush"))))</f>
        <v/>
      </c>
      <c r="E180" s="28" t="str">
        <f>IF(175&gt;'🌱 Configuração'!$F$50,"",IF('🌱 Configuração'!$B$51+174&lt;'🌱 Configuração'!$C$51,"Clone S"&amp;INT((175-1)/7)+1,IF('🌱 Configuração'!$B$51+174&lt;'🌱 Configuração'!$D$51,"Vega S"&amp;INT(('🌱 Configuração'!$B$51+174-'🌱 Configuração'!$C$51)/7)+1,IF('🌱 Configuração'!$B$51+174&lt;'🌱 Configuração'!$E$51,"Flora S"&amp;INT(('🌱 Configuração'!$B$51+174-'🌱 Configuração'!$D$51)/7)+1,"Flush S"&amp;INT(('🌱 Configuração'!$B$51+174-'🌱 Configuração'!$E$51)/7)+1))))</f>
        <v/>
      </c>
      <c r="F180" s="29" t="str">
        <f>IF(175&gt;'🌱 Configuração'!$F$50,"",IF(AND('🌱 Configuração'!$B$51+174&lt;'🌱 Configuração'!$C$51,INT((175-1)/7)+1=1,MOD(175-1,7)=0),"🌱 Enraizador (0.5 mL/L)",IF(AND('🌱 Configuração'!$B$51+174&lt;'🌱 Configuração'!$C$51,INT((175-1)/7)+1=2,MOD(175-1,7)=0),"🌱 Enraizador + Vitamina B1",IF(AND('🌱 Configuração'!$B$51+174&gt;='🌱 Configuração'!$C$51,'🌱 Configuração'!$B$51+174&lt;'🌱 Configuração'!$D$51,INT(('🌱 Configuração'!$B$51+174-'🌱 Configuração'!$C$51)/7)+1=1,MOD('🌱 Configuração'!$B$51+174-'🌱 Configuração'!$C$51,7)=0),"🌿 Grow A+B início — EC 0.8",IF(AND('🌱 Configuração'!$B$51+174&gt;='🌱 Configuração'!$C$51,'🌱 Configuração'!$B$51+174&lt;'🌱 Configuração'!$D$51,INT(('🌱 Configuração'!$B$51+174-'🌱 Configuração'!$C$51)/7)+1=2,MOD('🌱 Configuração'!$B$51+174-'🌱 Configuração'!$C$51,7)=0),"🌿 Grow A+B + CalMag — EC 1.0",IF(AND('🌱 Configuração'!$B$51+174&gt;='🌱 Configuração'!$C$51,'🌱 Configuração'!$B$51+174&lt;'🌱 Configuração'!$D$51,INT(('🌱 Configuração'!$B$51+174-'🌱 Configuração'!$C$51)/7)+1=3,MOD('🌱 Configuração'!$B$51+174-'🌱 Configuração'!$C$51,7)=0),"🌿 Grow A+B + CalMag — EC 1.2",IF(AND('🌱 Configuração'!$B$51+174&gt;='🌱 Configuração'!$C$51,'🌱 Configuração'!$B$51+174&lt;'🌱 Configuração'!$D$51,INT(('🌱 Configuração'!$B$51+174-'🌱 Configuração'!$C$51)/7)+1=4,MOD('🌱 Configuração'!$B$51+174-'🌱 Configuração'!$C$51,7)=0),"🌿 Grow A+B + Enzimas — EC 1.4",IF(AND('🌱 Configuração'!$B$51+174&gt;='🌱 Configuração'!$C$51,'🌱 Configuração'!$B$51+174&lt;'🌱 Configuração'!$D$51,INT(('🌱 Configuração'!$B$51+174-'🌱 Configuração'!$C$51)/7)+1=5,MOD('🌱 Configuração'!$B$51+174-'🌱 Configuração'!$C$51,7)=0),"🌿 Grow A+B + Biorrizas — EC 1.5",IF(AND('🌱 Configuração'!$B$51+174&gt;='🌱 Configuração'!$C$51,'🌱 Configuração'!$B$51+174&lt;'🌱 Configuração'!$D$51,INT(('🌱 Configuração'!$B$51+174-'🌱 Configuração'!$C$51)/7)+1=6,MOD('🌱 Configuração'!$B$51+174-'🌱 Configuração'!$C$51,7)=0),"🌿 Transição Bloom — EC 1.4",IF(AND('🌱 Configuração'!$B$51+174&gt;='🌱 Configuração'!$C$51,'🌱 Configuração'!$B$51+174&lt;'🌱 Configuração'!$D$51,INT(('🌱 Configuração'!$B$51+174-'🌱 Configuração'!$C$51)/7)+1=7,MOD('🌱 Configuração'!$B$51+174-'🌱 Configuração'!$C$51,7)=0),"🌿 Bloom A+B transição — EC 1.4",IF(AND('🌱 Configuração'!$B$51+174&gt;='🌱 Configuração'!$C$51,'🌱 Configuração'!$B$51+174&lt;'🌱 Configuração'!$D$51,INT(('🌱 Configuração'!$B$51+174-'🌱 Configuração'!$C$51)/7)+1=8,MOD('🌱 Configuração'!$B$51+174-'🌱 Configuração'!$C$51,7)=0),"🌿 Bloom A+B — EC 1.4",IF(AND('🌱 Configuração'!$B$51+174&gt;='🌱 Configuração'!$D$51,'🌱 Configuração'!$B$51+174&lt;'🌱 Configuração'!$E$51,INT(('🌱 Configuração'!$B$51+174-'🌱 Configuração'!$D$51)/7)+1=1,MOD('🌱 Configuração'!$B$51+174-'🌱 Configuração'!$D$51,7)=0),"🌸 Bloom A+B — EC 1.6",IF(AND('🌱 Configuração'!$B$51+174&gt;='🌱 Configuração'!$D$51,'🌱 Configuração'!$B$51+174&lt;'🌱 Configuração'!$E$51,INT(('🌱 Configuração'!$B$51+174-'🌱 Configuração'!$D$51)/7)+1=2,MOD('🌱 Configuração'!$B$51+174-'🌱 Configuração'!$D$51,7)=0),"🌸 Bloom + PK 13/14 início",IF(AND('🌱 Configuração'!$B$51+174&gt;='🌱 Configuração'!$D$51,'🌱 Configuração'!$B$51+174&lt;'🌱 Configuração'!$E$51,INT(('🌱 Configuração'!$B$51+174-'🌱 Configuração'!$D$51)/7)+1=3,MOD('🌱 Configuração'!$B$51+174-'🌱 Configuração'!$D$51,7)=0),"🌸 Bloom + PK + CalMag — EC 1.8",IF(AND('🌱 Configuração'!$B$51+174&gt;='🌱 Configuração'!$D$51,'🌱 Configuração'!$B$51+174&lt;'🌱 Configuração'!$E$51,INT(('🌱 Configuração'!$B$51+174-'🌱 Configuração'!$D$51)/7)+1=4,MOD('🌱 Configuração'!$B$51+174-'🌱 Configuração'!$D$51,7)=0),"🌸 Bloom + PK + Boost Floral — EC 2.0",IF(AND('🌱 Configuração'!$B$51+174&gt;='🌱 Configuração'!$D$51,'🌱 Configuração'!$B$51+174&lt;'🌱 Configuração'!$E$51,INT(('🌱 Configuração'!$B$51+174-'🌱 Configuração'!$D$51)/7)+1=5,MOD('🌱 Configuração'!$B$51+174-'🌱 Configuração'!$D$51,7)=0),"🌸 Bloom + Boost + Amino",IF(AND('🌱 Configuração'!$B$51+174&gt;='🌱 Configuração'!$D$51,'🌱 Configuração'!$B$51+174&lt;'🌱 Configuração'!$E$51,INT(('🌱 Configuração'!$B$51+174-'🌱 Configuração'!$D$51)/7)+1=6,MOD('🌱 Configuração'!$B$51+174-'🌱 Configuração'!$D$51,7)=0),"🌸 Bloom + Enzimas + Amino",IF(AND('🌱 Configuração'!$B$51+174&gt;='🌱 Configuração'!$D$51,'🌱 Configuração'!$B$51+174&lt;'🌱 Configuração'!$E$51,INT(('🌱 Configuração'!$B$51+174-'🌱 Configuração'!$D$51)/7)+1=7,MOD('🌱 Configuração'!$B$51+174-'🌱 Configuração'!$D$51,7)=0),"🌸 Reduzir N — Bloom puro — EC 1.6",IF(AND('🌱 Configuração'!$B$51+174&gt;='🌱 Configuração'!$D$51,'🌱 Configuração'!$B$51+174&lt;'🌱 Configuração'!$E$51,INT(('🌱 Configuração'!$B$51+174-'🌱 Configuração'!$D$51)/7)+1=8,MOD('🌱 Configuração'!$B$51+174-'🌱 Configuração'!$D$51,7)=0),"🌸 Bloom puro — EC 1.4  (pré-flush)",IF(AND('🌱 Configuração'!$B$51+174&gt;='🌱 Configuração'!$D$51,'🌱 Configuração'!$B$51+174&lt;'🌱 Configuração'!$E$51,INT(('🌱 Configuração'!$B$51+174-'🌱 Configuração'!$D$51)/7)+1=9,MOD('🌱 Configuração'!$B$51+174-'🌱 Configuração'!$D$51,7)=0),"🌸 Último Bloom — EC 0.8",IF(AND('🌱 Configuração'!$B$51+174&gt;='🌱 Configuração'!$E$51,INT(('🌱 Configuração'!$B$51+174-'🌱 Configuração'!$E$51)/7)+1=1,MOD('🌱 Configuração'!$B$51+174-'🌱 Configuração'!$E$51,7)=0),"🚿 Água pura + Enzimas (EC &lt; 0.3)",IF(AND('🌱 Configuração'!$B$51+174&gt;='🌱 Configuração'!$E$51,INT(('🌱 Configuração'!$B$51+174-'🌱 Configuração'!$E$51)/7)+1=2,MOD('🌱 Configuração'!$B$51+174-'🌱 Configuração'!$E$51,7)=0),"🚿 Água pura (EC &lt; 0.2)",""))))))))))))))))))))))</f>
        <v/>
      </c>
      <c r="G180" s="30" t="str">
        <f>IF(175&gt;'🌱 Configuração'!$F$50,"",IF(AND('🌱 Configuração'!$B$51+174&lt;'🌱 Configuração'!$C$51,INT((175-1)/7)+1=1,MOD(175-1,7)=0),"🐛 Nim 2mL/L foliar — preventivo",IF(AND('🌱 Configuração'!$B$51+174&lt;'🌱 Configuração'!$C$51,INT((175-1)/7)+1=2,MOD(175-1,7)=0),"🐛 Beauveria bassiana foliar + solo",IF(AND('🌱 Configuração'!$B$51+174&gt;='🌱 Configuração'!$C$51,'🌱 Configuração'!$B$51+174&lt;'🌱 Configuração'!$D$51,INT(('🌱 Configuração'!$B$51+174-'🌱 Configuração'!$C$51)/7)+1=1,MOD('🌱 Configuração'!$B$51+174-'🌱 Configuração'!$C$51,7)=0),"🐛 Nim 2mL/L foliar",IF(AND('🌱 Configuração'!$B$51+174&gt;='🌱 Configuração'!$C$51,'🌱 Configuração'!$B$51+174&lt;'🌱 Configuração'!$D$51,INT(('🌱 Configuração'!$B$51+174-'🌱 Configuração'!$C$51)/7)+1=2,MOD('🌱 Configuração'!$B$51+174-'🌱 Configuração'!$C$51,7)=0),"🐛 Beauveria bassiana foliar",IF(AND('🌱 Configuração'!$B$51+174&gt;='🌱 Configuração'!$C$51,'🌱 Configuração'!$B$51+174&lt;'🌱 Configuração'!$D$51,INT(('🌱 Configuração'!$B$51+174-'🌱 Configuração'!$C$51)/7)+1=3,MOD('🌱 Configuração'!$B$51+174-'🌱 Configuração'!$C$51,7)=0),"🐛 Nim + Calda Sulfocálcica 1%",IF(AND('🌱 Configuração'!$B$51+174&gt;='🌱 Configuração'!$C$51,'🌱 Configuração'!$B$51+174&lt;'🌱 Configuração'!$D$51,INT(('🌱 Configuração'!$B$51+174-'🌱 Configuração'!$C$51)/7)+1=4,MOD('🌱 Configuração'!$B$51+174-'🌱 Configuração'!$C$51,7)=0),"🐛 Trichoderma solo + Beauveria",IF(AND('🌱 Configuração'!$B$51+174&gt;='🌱 Configuração'!$C$51,'🌱 Configuração'!$B$51+174&lt;'🌱 Configuração'!$D$51,INT(('🌱 Configuração'!$B$51+174-'🌱 Configuração'!$C$51)/7)+1=5,MOD('🌱 Configuração'!$B$51+174-'🌱 Configuração'!$C$51,7)=0),"🐛 Calda Bordalesa 0.5% foliar",IF(AND('🌱 Configuração'!$B$51+174&gt;='🌱 Configuração'!$C$51,'🌱 Configuração'!$B$51+174&lt;'🌱 Configuração'!$D$51,INT(('🌱 Configuração'!$B$51+174-'🌱 Configuração'!$C$51)/7)+1=6,MOD('🌱 Configuração'!$B$51+174-'🌱 Configuração'!$C$51,7)=0),"🐛 Nim 2mL/L — ÚLTIMA foliar",IF(AND('🌱 Configuração'!$B$51+174&gt;='🌱 Configuração'!$D$51,'🌱 Configuração'!$B$51+174&lt;'🌱 Configuração'!$E$51,INT(('🌱 Configuração'!$B$51+174-'🌱 Configuração'!$D$51)/7)+1=1,MOD('🌱 Configuração'!$B$51+174-'🌱 Configuração'!$D$51,7)=0),"🐛 Beauveria bassiana solo (sem foliar)",IF(AND('🌱 Configuração'!$B$51+174&gt;='🌱 Configuração'!$D$51,'🌱 Configuração'!$B$51+174&lt;'🌱 Configuração'!$E$51,INT(('🌱 Configuração'!$B$51+174-'🌱 Configuração'!$D$51)/7)+1=2,MOD('🌱 Configuração'!$B$51+174-'🌱 Configuração'!$D$51,7)=0),"🐛 Trichoderma solo",IF(AND('🌱 Configuração'!$B$51+174&gt;='🌱 Configuração'!$D$51,'🌱 Configuração'!$B$51+174&lt;'🌱 Configuração'!$E$51,INT(('🌱 Configuração'!$B$51+174-'🌱 Configuração'!$D$51)/7)+1=3,MOD('🌱 Configuração'!$B$51+174-'🌱 Configuração'!$D$51,7)=0),"🐛 Beauveria bassiana solo",IF(AND('🌱 Configuração'!$B$51+174&gt;='🌱 Configuração'!$D$51,'🌱 Configuração'!$B$51+174&lt;'🌱 Configuração'!$E$51,INT(('🌱 Configuração'!$B$51+174-'🌱 Configuração'!$D$51)/7)+1=4,MOD('🌱 Configuração'!$B$51+174-'🌱 Configuração'!$D$51,7)=0),"🐛 Trichoderma solo",IF(AND('🌱 Configuração'!$B$51+174&gt;='🌱 Configuração'!$E$51,INT(('🌱 Configuração'!$B$51+174-'🌱 Configuração'!$E$51)/7)+1=1,MOD('🌱 Configuração'!$B$51+174-'🌱 Configuração'!$E$51,7)=0),"🐛 Inspeção final — sem aplicação",""))))))))))))))</f>
        <v/>
      </c>
      <c r="H180" s="22" t="str">
        <f>IF(175&gt;'🌱 Configuração'!$F$50,"",IF('🌱 Configuração'!$B$51+174='🌱 Configuração'!$C$51,"🌿 INÍCIO VEGA — ajustar espaço, luz 18h/dia — EC 0.8",IF('🌱 Configuração'!$B$51+174='🌱 Configuração'!$D$51,"🌸 INÍCIO FLORAÇÃO — mudar para 12h/12h — 🔴 atenção ao fotoperíodo",IF('🌱 Configuração'!$B$51+174='🌱 Configuração'!$E$51,"🚿 INÍCIO FLUSH — PARAR nutrição, somente água pura",IF('🌱 Configuração'!$B$51+174='🌱 Configuração'!$F$51-1,"🔬 Véspera da colheita — analisar tricomas âmbar",IF('🌱 Configuração'!$B$51+174='🌱 Configuração'!$F$51,"✂️ COLHEITA! Parabéns! 🎉",""))))))</f>
        <v/>
      </c>
    </row>
    <row r="181" spans="2:8" ht="18.75" customHeight="1" x14ac:dyDescent="0.3">
      <c r="B181" s="25" t="str">
        <f>IF(176&lt;='🌱 Configuração'!$F$50,176,"")</f>
        <v/>
      </c>
      <c r="C181" s="26" t="str">
        <f>IF(176&lt;='🌱 Configuração'!$F$50,'🌱 Configuração'!$B$51+175,"")</f>
        <v/>
      </c>
      <c r="D181" s="27" t="str">
        <f>IF(176&gt;'🌱 Configuração'!$F$50,"",IF('🌱 Configuração'!$B$51+175&lt;'🌱 Configuração'!$C$51,"🌱 Clone",IF('🌱 Configuração'!$B$51+175&lt;'🌱 Configuração'!$D$51,"🌿 Vegetativo",IF('🌱 Configuração'!$B$51+175&lt;'🌱 Configuração'!$E$51,"🌸 Floração","🚿 Flush"))))</f>
        <v/>
      </c>
      <c r="E181" s="28" t="str">
        <f>IF(176&gt;'🌱 Configuração'!$F$50,"",IF('🌱 Configuração'!$B$51+175&lt;'🌱 Configuração'!$C$51,"Clone S"&amp;INT((176-1)/7)+1,IF('🌱 Configuração'!$B$51+175&lt;'🌱 Configuração'!$D$51,"Vega S"&amp;INT(('🌱 Configuração'!$B$51+175-'🌱 Configuração'!$C$51)/7)+1,IF('🌱 Configuração'!$B$51+175&lt;'🌱 Configuração'!$E$51,"Flora S"&amp;INT(('🌱 Configuração'!$B$51+175-'🌱 Configuração'!$D$51)/7)+1,"Flush S"&amp;INT(('🌱 Configuração'!$B$51+175-'🌱 Configuração'!$E$51)/7)+1))))</f>
        <v/>
      </c>
      <c r="F181" s="29" t="str">
        <f>IF(176&gt;'🌱 Configuração'!$F$50,"",IF(AND('🌱 Configuração'!$B$51+175&lt;'🌱 Configuração'!$C$51,INT((176-1)/7)+1=1,MOD(176-1,7)=0),"🌱 Enraizador (0.5 mL/L)",IF(AND('🌱 Configuração'!$B$51+175&lt;'🌱 Configuração'!$C$51,INT((176-1)/7)+1=2,MOD(176-1,7)=0),"🌱 Enraizador + Vitamina B1",IF(AND('🌱 Configuração'!$B$51+175&gt;='🌱 Configuração'!$C$51,'🌱 Configuração'!$B$51+175&lt;'🌱 Configuração'!$D$51,INT(('🌱 Configuração'!$B$51+175-'🌱 Configuração'!$C$51)/7)+1=1,MOD('🌱 Configuração'!$B$51+175-'🌱 Configuração'!$C$51,7)=0),"🌿 Grow A+B início — EC 0.8",IF(AND('🌱 Configuração'!$B$51+175&gt;='🌱 Configuração'!$C$51,'🌱 Configuração'!$B$51+175&lt;'🌱 Configuração'!$D$51,INT(('🌱 Configuração'!$B$51+175-'🌱 Configuração'!$C$51)/7)+1=2,MOD('🌱 Configuração'!$B$51+175-'🌱 Configuração'!$C$51,7)=0),"🌿 Grow A+B + CalMag — EC 1.0",IF(AND('🌱 Configuração'!$B$51+175&gt;='🌱 Configuração'!$C$51,'🌱 Configuração'!$B$51+175&lt;'🌱 Configuração'!$D$51,INT(('🌱 Configuração'!$B$51+175-'🌱 Configuração'!$C$51)/7)+1=3,MOD('🌱 Configuração'!$B$51+175-'🌱 Configuração'!$C$51,7)=0),"🌿 Grow A+B + CalMag — EC 1.2",IF(AND('🌱 Configuração'!$B$51+175&gt;='🌱 Configuração'!$C$51,'🌱 Configuração'!$B$51+175&lt;'🌱 Configuração'!$D$51,INT(('🌱 Configuração'!$B$51+175-'🌱 Configuração'!$C$51)/7)+1=4,MOD('🌱 Configuração'!$B$51+175-'🌱 Configuração'!$C$51,7)=0),"🌿 Grow A+B + Enzimas — EC 1.4",IF(AND('🌱 Configuração'!$B$51+175&gt;='🌱 Configuração'!$C$51,'🌱 Configuração'!$B$51+175&lt;'🌱 Configuração'!$D$51,INT(('🌱 Configuração'!$B$51+175-'🌱 Configuração'!$C$51)/7)+1=5,MOD('🌱 Configuração'!$B$51+175-'🌱 Configuração'!$C$51,7)=0),"🌿 Grow A+B + Biorrizas — EC 1.5",IF(AND('🌱 Configuração'!$B$51+175&gt;='🌱 Configuração'!$C$51,'🌱 Configuração'!$B$51+175&lt;'🌱 Configuração'!$D$51,INT(('🌱 Configuração'!$B$51+175-'🌱 Configuração'!$C$51)/7)+1=6,MOD('🌱 Configuração'!$B$51+175-'🌱 Configuração'!$C$51,7)=0),"🌿 Transição Bloom — EC 1.4",IF(AND('🌱 Configuração'!$B$51+175&gt;='🌱 Configuração'!$C$51,'🌱 Configuração'!$B$51+175&lt;'🌱 Configuração'!$D$51,INT(('🌱 Configuração'!$B$51+175-'🌱 Configuração'!$C$51)/7)+1=7,MOD('🌱 Configuração'!$B$51+175-'🌱 Configuração'!$C$51,7)=0),"🌿 Bloom A+B transição — EC 1.4",IF(AND('🌱 Configuração'!$B$51+175&gt;='🌱 Configuração'!$C$51,'🌱 Configuração'!$B$51+175&lt;'🌱 Configuração'!$D$51,INT(('🌱 Configuração'!$B$51+175-'🌱 Configuração'!$C$51)/7)+1=8,MOD('🌱 Configuração'!$B$51+175-'🌱 Configuração'!$C$51,7)=0),"🌿 Bloom A+B — EC 1.4",IF(AND('🌱 Configuração'!$B$51+175&gt;='🌱 Configuração'!$D$51,'🌱 Configuração'!$B$51+175&lt;'🌱 Configuração'!$E$51,INT(('🌱 Configuração'!$B$51+175-'🌱 Configuração'!$D$51)/7)+1=1,MOD('🌱 Configuração'!$B$51+175-'🌱 Configuração'!$D$51,7)=0),"🌸 Bloom A+B — EC 1.6",IF(AND('🌱 Configuração'!$B$51+175&gt;='🌱 Configuração'!$D$51,'🌱 Configuração'!$B$51+175&lt;'🌱 Configuração'!$E$51,INT(('🌱 Configuração'!$B$51+175-'🌱 Configuração'!$D$51)/7)+1=2,MOD('🌱 Configuração'!$B$51+175-'🌱 Configuração'!$D$51,7)=0),"🌸 Bloom + PK 13/14 início",IF(AND('🌱 Configuração'!$B$51+175&gt;='🌱 Configuração'!$D$51,'🌱 Configuração'!$B$51+175&lt;'🌱 Configuração'!$E$51,INT(('🌱 Configuração'!$B$51+175-'🌱 Configuração'!$D$51)/7)+1=3,MOD('🌱 Configuração'!$B$51+175-'🌱 Configuração'!$D$51,7)=0),"🌸 Bloom + PK + CalMag — EC 1.8",IF(AND('🌱 Configuração'!$B$51+175&gt;='🌱 Configuração'!$D$51,'🌱 Configuração'!$B$51+175&lt;'🌱 Configuração'!$E$51,INT(('🌱 Configuração'!$B$51+175-'🌱 Configuração'!$D$51)/7)+1=4,MOD('🌱 Configuração'!$B$51+175-'🌱 Configuração'!$D$51,7)=0),"🌸 Bloom + PK + Boost Floral — EC 2.0",IF(AND('🌱 Configuração'!$B$51+175&gt;='🌱 Configuração'!$D$51,'🌱 Configuração'!$B$51+175&lt;'🌱 Configuração'!$E$51,INT(('🌱 Configuração'!$B$51+175-'🌱 Configuração'!$D$51)/7)+1=5,MOD('🌱 Configuração'!$B$51+175-'🌱 Configuração'!$D$51,7)=0),"🌸 Bloom + Boost + Amino",IF(AND('🌱 Configuração'!$B$51+175&gt;='🌱 Configuração'!$D$51,'🌱 Configuração'!$B$51+175&lt;'🌱 Configuração'!$E$51,INT(('🌱 Configuração'!$B$51+175-'🌱 Configuração'!$D$51)/7)+1=6,MOD('🌱 Configuração'!$B$51+175-'🌱 Configuração'!$D$51,7)=0),"🌸 Bloom + Enzimas + Amino",IF(AND('🌱 Configuração'!$B$51+175&gt;='🌱 Configuração'!$D$51,'🌱 Configuração'!$B$51+175&lt;'🌱 Configuração'!$E$51,INT(('🌱 Configuração'!$B$51+175-'🌱 Configuração'!$D$51)/7)+1=7,MOD('🌱 Configuração'!$B$51+175-'🌱 Configuração'!$D$51,7)=0),"🌸 Reduzir N — Bloom puro — EC 1.6",IF(AND('🌱 Configuração'!$B$51+175&gt;='🌱 Configuração'!$D$51,'🌱 Configuração'!$B$51+175&lt;'🌱 Configuração'!$E$51,INT(('🌱 Configuração'!$B$51+175-'🌱 Configuração'!$D$51)/7)+1=8,MOD('🌱 Configuração'!$B$51+175-'🌱 Configuração'!$D$51,7)=0),"🌸 Bloom puro — EC 1.4  (pré-flush)",IF(AND('🌱 Configuração'!$B$51+175&gt;='🌱 Configuração'!$D$51,'🌱 Configuração'!$B$51+175&lt;'🌱 Configuração'!$E$51,INT(('🌱 Configuração'!$B$51+175-'🌱 Configuração'!$D$51)/7)+1=9,MOD('🌱 Configuração'!$B$51+175-'🌱 Configuração'!$D$51,7)=0),"🌸 Último Bloom — EC 0.8",IF(AND('🌱 Configuração'!$B$51+175&gt;='🌱 Configuração'!$E$51,INT(('🌱 Configuração'!$B$51+175-'🌱 Configuração'!$E$51)/7)+1=1,MOD('🌱 Configuração'!$B$51+175-'🌱 Configuração'!$E$51,7)=0),"🚿 Água pura + Enzimas (EC &lt; 0.3)",IF(AND('🌱 Configuração'!$B$51+175&gt;='🌱 Configuração'!$E$51,INT(('🌱 Configuração'!$B$51+175-'🌱 Configuração'!$E$51)/7)+1=2,MOD('🌱 Configuração'!$B$51+175-'🌱 Configuração'!$E$51,7)=0),"🚿 Água pura (EC &lt; 0.2)",""))))))))))))))))))))))</f>
        <v/>
      </c>
      <c r="G181" s="30" t="str">
        <f>IF(176&gt;'🌱 Configuração'!$F$50,"",IF(AND('🌱 Configuração'!$B$51+175&lt;'🌱 Configuração'!$C$51,INT((176-1)/7)+1=1,MOD(176-1,7)=0),"🐛 Nim 2mL/L foliar — preventivo",IF(AND('🌱 Configuração'!$B$51+175&lt;'🌱 Configuração'!$C$51,INT((176-1)/7)+1=2,MOD(176-1,7)=0),"🐛 Beauveria bassiana foliar + solo",IF(AND('🌱 Configuração'!$B$51+175&gt;='🌱 Configuração'!$C$51,'🌱 Configuração'!$B$51+175&lt;'🌱 Configuração'!$D$51,INT(('🌱 Configuração'!$B$51+175-'🌱 Configuração'!$C$51)/7)+1=1,MOD('🌱 Configuração'!$B$51+175-'🌱 Configuração'!$C$51,7)=0),"🐛 Nim 2mL/L foliar",IF(AND('🌱 Configuração'!$B$51+175&gt;='🌱 Configuração'!$C$51,'🌱 Configuração'!$B$51+175&lt;'🌱 Configuração'!$D$51,INT(('🌱 Configuração'!$B$51+175-'🌱 Configuração'!$C$51)/7)+1=2,MOD('🌱 Configuração'!$B$51+175-'🌱 Configuração'!$C$51,7)=0),"🐛 Beauveria bassiana foliar",IF(AND('🌱 Configuração'!$B$51+175&gt;='🌱 Configuração'!$C$51,'🌱 Configuração'!$B$51+175&lt;'🌱 Configuração'!$D$51,INT(('🌱 Configuração'!$B$51+175-'🌱 Configuração'!$C$51)/7)+1=3,MOD('🌱 Configuração'!$B$51+175-'🌱 Configuração'!$C$51,7)=0),"🐛 Nim + Calda Sulfocálcica 1%",IF(AND('🌱 Configuração'!$B$51+175&gt;='🌱 Configuração'!$C$51,'🌱 Configuração'!$B$51+175&lt;'🌱 Configuração'!$D$51,INT(('🌱 Configuração'!$B$51+175-'🌱 Configuração'!$C$51)/7)+1=4,MOD('🌱 Configuração'!$B$51+175-'🌱 Configuração'!$C$51,7)=0),"🐛 Trichoderma solo + Beauveria",IF(AND('🌱 Configuração'!$B$51+175&gt;='🌱 Configuração'!$C$51,'🌱 Configuração'!$B$51+175&lt;'🌱 Configuração'!$D$51,INT(('🌱 Configuração'!$B$51+175-'🌱 Configuração'!$C$51)/7)+1=5,MOD('🌱 Configuração'!$B$51+175-'🌱 Configuração'!$C$51,7)=0),"🐛 Calda Bordalesa 0.5% foliar",IF(AND('🌱 Configuração'!$B$51+175&gt;='🌱 Configuração'!$C$51,'🌱 Configuração'!$B$51+175&lt;'🌱 Configuração'!$D$51,INT(('🌱 Configuração'!$B$51+175-'🌱 Configuração'!$C$51)/7)+1=6,MOD('🌱 Configuração'!$B$51+175-'🌱 Configuração'!$C$51,7)=0),"🐛 Nim 2mL/L — ÚLTIMA foliar",IF(AND('🌱 Configuração'!$B$51+175&gt;='🌱 Configuração'!$D$51,'🌱 Configuração'!$B$51+175&lt;'🌱 Configuração'!$E$51,INT(('🌱 Configuração'!$B$51+175-'🌱 Configuração'!$D$51)/7)+1=1,MOD('🌱 Configuração'!$B$51+175-'🌱 Configuração'!$D$51,7)=0),"🐛 Beauveria bassiana solo (sem foliar)",IF(AND('🌱 Configuração'!$B$51+175&gt;='🌱 Configuração'!$D$51,'🌱 Configuração'!$B$51+175&lt;'🌱 Configuração'!$E$51,INT(('🌱 Configuração'!$B$51+175-'🌱 Configuração'!$D$51)/7)+1=2,MOD('🌱 Configuração'!$B$51+175-'🌱 Configuração'!$D$51,7)=0),"🐛 Trichoderma solo",IF(AND('🌱 Configuração'!$B$51+175&gt;='🌱 Configuração'!$D$51,'🌱 Configuração'!$B$51+175&lt;'🌱 Configuração'!$E$51,INT(('🌱 Configuração'!$B$51+175-'🌱 Configuração'!$D$51)/7)+1=3,MOD('🌱 Configuração'!$B$51+175-'🌱 Configuração'!$D$51,7)=0),"🐛 Beauveria bassiana solo",IF(AND('🌱 Configuração'!$B$51+175&gt;='🌱 Configuração'!$D$51,'🌱 Configuração'!$B$51+175&lt;'🌱 Configuração'!$E$51,INT(('🌱 Configuração'!$B$51+175-'🌱 Configuração'!$D$51)/7)+1=4,MOD('🌱 Configuração'!$B$51+175-'🌱 Configuração'!$D$51,7)=0),"🐛 Trichoderma solo",IF(AND('🌱 Configuração'!$B$51+175&gt;='🌱 Configuração'!$E$51,INT(('🌱 Configuração'!$B$51+175-'🌱 Configuração'!$E$51)/7)+1=1,MOD('🌱 Configuração'!$B$51+175-'🌱 Configuração'!$E$51,7)=0),"🐛 Inspeção final — sem aplicação",""))))))))))))))</f>
        <v/>
      </c>
      <c r="H181" s="22" t="str">
        <f>IF(176&gt;'🌱 Configuração'!$F$50,"",IF('🌱 Configuração'!$B$51+175='🌱 Configuração'!$C$51,"🌿 INÍCIO VEGA — ajustar espaço, luz 18h/dia — EC 0.8",IF('🌱 Configuração'!$B$51+175='🌱 Configuração'!$D$51,"🌸 INÍCIO FLORAÇÃO — mudar para 12h/12h — 🔴 atenção ao fotoperíodo",IF('🌱 Configuração'!$B$51+175='🌱 Configuração'!$E$51,"🚿 INÍCIO FLUSH — PARAR nutrição, somente água pura",IF('🌱 Configuração'!$B$51+175='🌱 Configuração'!$F$51-1,"🔬 Véspera da colheita — analisar tricomas âmbar",IF('🌱 Configuração'!$B$51+175='🌱 Configuração'!$F$51,"✂️ COLHEITA! Parabéns! 🎉",""))))))</f>
        <v/>
      </c>
    </row>
    <row r="182" spans="2:8" ht="18.75" customHeight="1" x14ac:dyDescent="0.3">
      <c r="B182" s="25" t="str">
        <f>IF(177&lt;='🌱 Configuração'!$F$50,177,"")</f>
        <v/>
      </c>
      <c r="C182" s="26" t="str">
        <f>IF(177&lt;='🌱 Configuração'!$F$50,'🌱 Configuração'!$B$51+176,"")</f>
        <v/>
      </c>
      <c r="D182" s="27" t="str">
        <f>IF(177&gt;'🌱 Configuração'!$F$50,"",IF('🌱 Configuração'!$B$51+176&lt;'🌱 Configuração'!$C$51,"🌱 Clone",IF('🌱 Configuração'!$B$51+176&lt;'🌱 Configuração'!$D$51,"🌿 Vegetativo",IF('🌱 Configuração'!$B$51+176&lt;'🌱 Configuração'!$E$51,"🌸 Floração","🚿 Flush"))))</f>
        <v/>
      </c>
      <c r="E182" s="28" t="str">
        <f>IF(177&gt;'🌱 Configuração'!$F$50,"",IF('🌱 Configuração'!$B$51+176&lt;'🌱 Configuração'!$C$51,"Clone S"&amp;INT((177-1)/7)+1,IF('🌱 Configuração'!$B$51+176&lt;'🌱 Configuração'!$D$51,"Vega S"&amp;INT(('🌱 Configuração'!$B$51+176-'🌱 Configuração'!$C$51)/7)+1,IF('🌱 Configuração'!$B$51+176&lt;'🌱 Configuração'!$E$51,"Flora S"&amp;INT(('🌱 Configuração'!$B$51+176-'🌱 Configuração'!$D$51)/7)+1,"Flush S"&amp;INT(('🌱 Configuração'!$B$51+176-'🌱 Configuração'!$E$51)/7)+1))))</f>
        <v/>
      </c>
      <c r="F182" s="29" t="str">
        <f>IF(177&gt;'🌱 Configuração'!$F$50,"",IF(AND('🌱 Configuração'!$B$51+176&lt;'🌱 Configuração'!$C$51,INT((177-1)/7)+1=1,MOD(177-1,7)=0),"🌱 Enraizador (0.5 mL/L)",IF(AND('🌱 Configuração'!$B$51+176&lt;'🌱 Configuração'!$C$51,INT((177-1)/7)+1=2,MOD(177-1,7)=0),"🌱 Enraizador + Vitamina B1",IF(AND('🌱 Configuração'!$B$51+176&gt;='🌱 Configuração'!$C$51,'🌱 Configuração'!$B$51+176&lt;'🌱 Configuração'!$D$51,INT(('🌱 Configuração'!$B$51+176-'🌱 Configuração'!$C$51)/7)+1=1,MOD('🌱 Configuração'!$B$51+176-'🌱 Configuração'!$C$51,7)=0),"🌿 Grow A+B início — EC 0.8",IF(AND('🌱 Configuração'!$B$51+176&gt;='🌱 Configuração'!$C$51,'🌱 Configuração'!$B$51+176&lt;'🌱 Configuração'!$D$51,INT(('🌱 Configuração'!$B$51+176-'🌱 Configuração'!$C$51)/7)+1=2,MOD('🌱 Configuração'!$B$51+176-'🌱 Configuração'!$C$51,7)=0),"🌿 Grow A+B + CalMag — EC 1.0",IF(AND('🌱 Configuração'!$B$51+176&gt;='🌱 Configuração'!$C$51,'🌱 Configuração'!$B$51+176&lt;'🌱 Configuração'!$D$51,INT(('🌱 Configuração'!$B$51+176-'🌱 Configuração'!$C$51)/7)+1=3,MOD('🌱 Configuração'!$B$51+176-'🌱 Configuração'!$C$51,7)=0),"🌿 Grow A+B + CalMag — EC 1.2",IF(AND('🌱 Configuração'!$B$51+176&gt;='🌱 Configuração'!$C$51,'🌱 Configuração'!$B$51+176&lt;'🌱 Configuração'!$D$51,INT(('🌱 Configuração'!$B$51+176-'🌱 Configuração'!$C$51)/7)+1=4,MOD('🌱 Configuração'!$B$51+176-'🌱 Configuração'!$C$51,7)=0),"🌿 Grow A+B + Enzimas — EC 1.4",IF(AND('🌱 Configuração'!$B$51+176&gt;='🌱 Configuração'!$C$51,'🌱 Configuração'!$B$51+176&lt;'🌱 Configuração'!$D$51,INT(('🌱 Configuração'!$B$51+176-'🌱 Configuração'!$C$51)/7)+1=5,MOD('🌱 Configuração'!$B$51+176-'🌱 Configuração'!$C$51,7)=0),"🌿 Grow A+B + Biorrizas — EC 1.5",IF(AND('🌱 Configuração'!$B$51+176&gt;='🌱 Configuração'!$C$51,'🌱 Configuração'!$B$51+176&lt;'🌱 Configuração'!$D$51,INT(('🌱 Configuração'!$B$51+176-'🌱 Configuração'!$C$51)/7)+1=6,MOD('🌱 Configuração'!$B$51+176-'🌱 Configuração'!$C$51,7)=0),"🌿 Transição Bloom — EC 1.4",IF(AND('🌱 Configuração'!$B$51+176&gt;='🌱 Configuração'!$C$51,'🌱 Configuração'!$B$51+176&lt;'🌱 Configuração'!$D$51,INT(('🌱 Configuração'!$B$51+176-'🌱 Configuração'!$C$51)/7)+1=7,MOD('🌱 Configuração'!$B$51+176-'🌱 Configuração'!$C$51,7)=0),"🌿 Bloom A+B transição — EC 1.4",IF(AND('🌱 Configuração'!$B$51+176&gt;='🌱 Configuração'!$C$51,'🌱 Configuração'!$B$51+176&lt;'🌱 Configuração'!$D$51,INT(('🌱 Configuração'!$B$51+176-'🌱 Configuração'!$C$51)/7)+1=8,MOD('🌱 Configuração'!$B$51+176-'🌱 Configuração'!$C$51,7)=0),"🌿 Bloom A+B — EC 1.4",IF(AND('🌱 Configuração'!$B$51+176&gt;='🌱 Configuração'!$D$51,'🌱 Configuração'!$B$51+176&lt;'🌱 Configuração'!$E$51,INT(('🌱 Configuração'!$B$51+176-'🌱 Configuração'!$D$51)/7)+1=1,MOD('🌱 Configuração'!$B$51+176-'🌱 Configuração'!$D$51,7)=0),"🌸 Bloom A+B — EC 1.6",IF(AND('🌱 Configuração'!$B$51+176&gt;='🌱 Configuração'!$D$51,'🌱 Configuração'!$B$51+176&lt;'🌱 Configuração'!$E$51,INT(('🌱 Configuração'!$B$51+176-'🌱 Configuração'!$D$51)/7)+1=2,MOD('🌱 Configuração'!$B$51+176-'🌱 Configuração'!$D$51,7)=0),"🌸 Bloom + PK 13/14 início",IF(AND('🌱 Configuração'!$B$51+176&gt;='🌱 Configuração'!$D$51,'🌱 Configuração'!$B$51+176&lt;'🌱 Configuração'!$E$51,INT(('🌱 Configuração'!$B$51+176-'🌱 Configuração'!$D$51)/7)+1=3,MOD('🌱 Configuração'!$B$51+176-'🌱 Configuração'!$D$51,7)=0),"🌸 Bloom + PK + CalMag — EC 1.8",IF(AND('🌱 Configuração'!$B$51+176&gt;='🌱 Configuração'!$D$51,'🌱 Configuração'!$B$51+176&lt;'🌱 Configuração'!$E$51,INT(('🌱 Configuração'!$B$51+176-'🌱 Configuração'!$D$51)/7)+1=4,MOD('🌱 Configuração'!$B$51+176-'🌱 Configuração'!$D$51,7)=0),"🌸 Bloom + PK + Boost Floral — EC 2.0",IF(AND('🌱 Configuração'!$B$51+176&gt;='🌱 Configuração'!$D$51,'🌱 Configuração'!$B$51+176&lt;'🌱 Configuração'!$E$51,INT(('🌱 Configuração'!$B$51+176-'🌱 Configuração'!$D$51)/7)+1=5,MOD('🌱 Configuração'!$B$51+176-'🌱 Configuração'!$D$51,7)=0),"🌸 Bloom + Boost + Amino",IF(AND('🌱 Configuração'!$B$51+176&gt;='🌱 Configuração'!$D$51,'🌱 Configuração'!$B$51+176&lt;'🌱 Configuração'!$E$51,INT(('🌱 Configuração'!$B$51+176-'🌱 Configuração'!$D$51)/7)+1=6,MOD('🌱 Configuração'!$B$51+176-'🌱 Configuração'!$D$51,7)=0),"🌸 Bloom + Enzimas + Amino",IF(AND('🌱 Configuração'!$B$51+176&gt;='🌱 Configuração'!$D$51,'🌱 Configuração'!$B$51+176&lt;'🌱 Configuração'!$E$51,INT(('🌱 Configuração'!$B$51+176-'🌱 Configuração'!$D$51)/7)+1=7,MOD('🌱 Configuração'!$B$51+176-'🌱 Configuração'!$D$51,7)=0),"🌸 Reduzir N — Bloom puro — EC 1.6",IF(AND('🌱 Configuração'!$B$51+176&gt;='🌱 Configuração'!$D$51,'🌱 Configuração'!$B$51+176&lt;'🌱 Configuração'!$E$51,INT(('🌱 Configuração'!$B$51+176-'🌱 Configuração'!$D$51)/7)+1=8,MOD('🌱 Configuração'!$B$51+176-'🌱 Configuração'!$D$51,7)=0),"🌸 Bloom puro — EC 1.4  (pré-flush)",IF(AND('🌱 Configuração'!$B$51+176&gt;='🌱 Configuração'!$D$51,'🌱 Configuração'!$B$51+176&lt;'🌱 Configuração'!$E$51,INT(('🌱 Configuração'!$B$51+176-'🌱 Configuração'!$D$51)/7)+1=9,MOD('🌱 Configuração'!$B$51+176-'🌱 Configuração'!$D$51,7)=0),"🌸 Último Bloom — EC 0.8",IF(AND('🌱 Configuração'!$B$51+176&gt;='🌱 Configuração'!$E$51,INT(('🌱 Configuração'!$B$51+176-'🌱 Configuração'!$E$51)/7)+1=1,MOD('🌱 Configuração'!$B$51+176-'🌱 Configuração'!$E$51,7)=0),"🚿 Água pura + Enzimas (EC &lt; 0.3)",IF(AND('🌱 Configuração'!$B$51+176&gt;='🌱 Configuração'!$E$51,INT(('🌱 Configuração'!$B$51+176-'🌱 Configuração'!$E$51)/7)+1=2,MOD('🌱 Configuração'!$B$51+176-'🌱 Configuração'!$E$51,7)=0),"🚿 Água pura (EC &lt; 0.2)",""))))))))))))))))))))))</f>
        <v/>
      </c>
      <c r="G182" s="30" t="str">
        <f>IF(177&gt;'🌱 Configuração'!$F$50,"",IF(AND('🌱 Configuração'!$B$51+176&lt;'🌱 Configuração'!$C$51,INT((177-1)/7)+1=1,MOD(177-1,7)=0),"🐛 Nim 2mL/L foliar — preventivo",IF(AND('🌱 Configuração'!$B$51+176&lt;'🌱 Configuração'!$C$51,INT((177-1)/7)+1=2,MOD(177-1,7)=0),"🐛 Beauveria bassiana foliar + solo",IF(AND('🌱 Configuração'!$B$51+176&gt;='🌱 Configuração'!$C$51,'🌱 Configuração'!$B$51+176&lt;'🌱 Configuração'!$D$51,INT(('🌱 Configuração'!$B$51+176-'🌱 Configuração'!$C$51)/7)+1=1,MOD('🌱 Configuração'!$B$51+176-'🌱 Configuração'!$C$51,7)=0),"🐛 Nim 2mL/L foliar",IF(AND('🌱 Configuração'!$B$51+176&gt;='🌱 Configuração'!$C$51,'🌱 Configuração'!$B$51+176&lt;'🌱 Configuração'!$D$51,INT(('🌱 Configuração'!$B$51+176-'🌱 Configuração'!$C$51)/7)+1=2,MOD('🌱 Configuração'!$B$51+176-'🌱 Configuração'!$C$51,7)=0),"🐛 Beauveria bassiana foliar",IF(AND('🌱 Configuração'!$B$51+176&gt;='🌱 Configuração'!$C$51,'🌱 Configuração'!$B$51+176&lt;'🌱 Configuração'!$D$51,INT(('🌱 Configuração'!$B$51+176-'🌱 Configuração'!$C$51)/7)+1=3,MOD('🌱 Configuração'!$B$51+176-'🌱 Configuração'!$C$51,7)=0),"🐛 Nim + Calda Sulfocálcica 1%",IF(AND('🌱 Configuração'!$B$51+176&gt;='🌱 Configuração'!$C$51,'🌱 Configuração'!$B$51+176&lt;'🌱 Configuração'!$D$51,INT(('🌱 Configuração'!$B$51+176-'🌱 Configuração'!$C$51)/7)+1=4,MOD('🌱 Configuração'!$B$51+176-'🌱 Configuração'!$C$51,7)=0),"🐛 Trichoderma solo + Beauveria",IF(AND('🌱 Configuração'!$B$51+176&gt;='🌱 Configuração'!$C$51,'🌱 Configuração'!$B$51+176&lt;'🌱 Configuração'!$D$51,INT(('🌱 Configuração'!$B$51+176-'🌱 Configuração'!$C$51)/7)+1=5,MOD('🌱 Configuração'!$B$51+176-'🌱 Configuração'!$C$51,7)=0),"🐛 Calda Bordalesa 0.5% foliar",IF(AND('🌱 Configuração'!$B$51+176&gt;='🌱 Configuração'!$C$51,'🌱 Configuração'!$B$51+176&lt;'🌱 Configuração'!$D$51,INT(('🌱 Configuração'!$B$51+176-'🌱 Configuração'!$C$51)/7)+1=6,MOD('🌱 Configuração'!$B$51+176-'🌱 Configuração'!$C$51,7)=0),"🐛 Nim 2mL/L — ÚLTIMA foliar",IF(AND('🌱 Configuração'!$B$51+176&gt;='🌱 Configuração'!$D$51,'🌱 Configuração'!$B$51+176&lt;'🌱 Configuração'!$E$51,INT(('🌱 Configuração'!$B$51+176-'🌱 Configuração'!$D$51)/7)+1=1,MOD('🌱 Configuração'!$B$51+176-'🌱 Configuração'!$D$51,7)=0),"🐛 Beauveria bassiana solo (sem foliar)",IF(AND('🌱 Configuração'!$B$51+176&gt;='🌱 Configuração'!$D$51,'🌱 Configuração'!$B$51+176&lt;'🌱 Configuração'!$E$51,INT(('🌱 Configuração'!$B$51+176-'🌱 Configuração'!$D$51)/7)+1=2,MOD('🌱 Configuração'!$B$51+176-'🌱 Configuração'!$D$51,7)=0),"🐛 Trichoderma solo",IF(AND('🌱 Configuração'!$B$51+176&gt;='🌱 Configuração'!$D$51,'🌱 Configuração'!$B$51+176&lt;'🌱 Configuração'!$E$51,INT(('🌱 Configuração'!$B$51+176-'🌱 Configuração'!$D$51)/7)+1=3,MOD('🌱 Configuração'!$B$51+176-'🌱 Configuração'!$D$51,7)=0),"🐛 Beauveria bassiana solo",IF(AND('🌱 Configuração'!$B$51+176&gt;='🌱 Configuração'!$D$51,'🌱 Configuração'!$B$51+176&lt;'🌱 Configuração'!$E$51,INT(('🌱 Configuração'!$B$51+176-'🌱 Configuração'!$D$51)/7)+1=4,MOD('🌱 Configuração'!$B$51+176-'🌱 Configuração'!$D$51,7)=0),"🐛 Trichoderma solo",IF(AND('🌱 Configuração'!$B$51+176&gt;='🌱 Configuração'!$E$51,INT(('🌱 Configuração'!$B$51+176-'🌱 Configuração'!$E$51)/7)+1=1,MOD('🌱 Configuração'!$B$51+176-'🌱 Configuração'!$E$51,7)=0),"🐛 Inspeção final — sem aplicação",""))))))))))))))</f>
        <v/>
      </c>
      <c r="H182" s="22" t="str">
        <f>IF(177&gt;'🌱 Configuração'!$F$50,"",IF('🌱 Configuração'!$B$51+176='🌱 Configuração'!$C$51,"🌿 INÍCIO VEGA — ajustar espaço, luz 18h/dia — EC 0.8",IF('🌱 Configuração'!$B$51+176='🌱 Configuração'!$D$51,"🌸 INÍCIO FLORAÇÃO — mudar para 12h/12h — 🔴 atenção ao fotoperíodo",IF('🌱 Configuração'!$B$51+176='🌱 Configuração'!$E$51,"🚿 INÍCIO FLUSH — PARAR nutrição, somente água pura",IF('🌱 Configuração'!$B$51+176='🌱 Configuração'!$F$51-1,"🔬 Véspera da colheita — analisar tricomas âmbar",IF('🌱 Configuração'!$B$51+176='🌱 Configuração'!$F$51,"✂️ COLHEITA! Parabéns! 🎉",""))))))</f>
        <v/>
      </c>
    </row>
    <row r="183" spans="2:8" ht="18.75" customHeight="1" x14ac:dyDescent="0.3">
      <c r="B183" s="25" t="str">
        <f>IF(178&lt;='🌱 Configuração'!$F$50,178,"")</f>
        <v/>
      </c>
      <c r="C183" s="26" t="str">
        <f>IF(178&lt;='🌱 Configuração'!$F$50,'🌱 Configuração'!$B$51+177,"")</f>
        <v/>
      </c>
      <c r="D183" s="27" t="str">
        <f>IF(178&gt;'🌱 Configuração'!$F$50,"",IF('🌱 Configuração'!$B$51+177&lt;'🌱 Configuração'!$C$51,"🌱 Clone",IF('🌱 Configuração'!$B$51+177&lt;'🌱 Configuração'!$D$51,"🌿 Vegetativo",IF('🌱 Configuração'!$B$51+177&lt;'🌱 Configuração'!$E$51,"🌸 Floração","🚿 Flush"))))</f>
        <v/>
      </c>
      <c r="E183" s="28" t="str">
        <f>IF(178&gt;'🌱 Configuração'!$F$50,"",IF('🌱 Configuração'!$B$51+177&lt;'🌱 Configuração'!$C$51,"Clone S"&amp;INT((178-1)/7)+1,IF('🌱 Configuração'!$B$51+177&lt;'🌱 Configuração'!$D$51,"Vega S"&amp;INT(('🌱 Configuração'!$B$51+177-'🌱 Configuração'!$C$51)/7)+1,IF('🌱 Configuração'!$B$51+177&lt;'🌱 Configuração'!$E$51,"Flora S"&amp;INT(('🌱 Configuração'!$B$51+177-'🌱 Configuração'!$D$51)/7)+1,"Flush S"&amp;INT(('🌱 Configuração'!$B$51+177-'🌱 Configuração'!$E$51)/7)+1))))</f>
        <v/>
      </c>
      <c r="F183" s="29" t="str">
        <f>IF(178&gt;'🌱 Configuração'!$F$50,"",IF(AND('🌱 Configuração'!$B$51+177&lt;'🌱 Configuração'!$C$51,INT((178-1)/7)+1=1,MOD(178-1,7)=0),"🌱 Enraizador (0.5 mL/L)",IF(AND('🌱 Configuração'!$B$51+177&lt;'🌱 Configuração'!$C$51,INT((178-1)/7)+1=2,MOD(178-1,7)=0),"🌱 Enraizador + Vitamina B1",IF(AND('🌱 Configuração'!$B$51+177&gt;='🌱 Configuração'!$C$51,'🌱 Configuração'!$B$51+177&lt;'🌱 Configuração'!$D$51,INT(('🌱 Configuração'!$B$51+177-'🌱 Configuração'!$C$51)/7)+1=1,MOD('🌱 Configuração'!$B$51+177-'🌱 Configuração'!$C$51,7)=0),"🌿 Grow A+B início — EC 0.8",IF(AND('🌱 Configuração'!$B$51+177&gt;='🌱 Configuração'!$C$51,'🌱 Configuração'!$B$51+177&lt;'🌱 Configuração'!$D$51,INT(('🌱 Configuração'!$B$51+177-'🌱 Configuração'!$C$51)/7)+1=2,MOD('🌱 Configuração'!$B$51+177-'🌱 Configuração'!$C$51,7)=0),"🌿 Grow A+B + CalMag — EC 1.0",IF(AND('🌱 Configuração'!$B$51+177&gt;='🌱 Configuração'!$C$51,'🌱 Configuração'!$B$51+177&lt;'🌱 Configuração'!$D$51,INT(('🌱 Configuração'!$B$51+177-'🌱 Configuração'!$C$51)/7)+1=3,MOD('🌱 Configuração'!$B$51+177-'🌱 Configuração'!$C$51,7)=0),"🌿 Grow A+B + CalMag — EC 1.2",IF(AND('🌱 Configuração'!$B$51+177&gt;='🌱 Configuração'!$C$51,'🌱 Configuração'!$B$51+177&lt;'🌱 Configuração'!$D$51,INT(('🌱 Configuração'!$B$51+177-'🌱 Configuração'!$C$51)/7)+1=4,MOD('🌱 Configuração'!$B$51+177-'🌱 Configuração'!$C$51,7)=0),"🌿 Grow A+B + Enzimas — EC 1.4",IF(AND('🌱 Configuração'!$B$51+177&gt;='🌱 Configuração'!$C$51,'🌱 Configuração'!$B$51+177&lt;'🌱 Configuração'!$D$51,INT(('🌱 Configuração'!$B$51+177-'🌱 Configuração'!$C$51)/7)+1=5,MOD('🌱 Configuração'!$B$51+177-'🌱 Configuração'!$C$51,7)=0),"🌿 Grow A+B + Biorrizas — EC 1.5",IF(AND('🌱 Configuração'!$B$51+177&gt;='🌱 Configuração'!$C$51,'🌱 Configuração'!$B$51+177&lt;'🌱 Configuração'!$D$51,INT(('🌱 Configuração'!$B$51+177-'🌱 Configuração'!$C$51)/7)+1=6,MOD('🌱 Configuração'!$B$51+177-'🌱 Configuração'!$C$51,7)=0),"🌿 Transição Bloom — EC 1.4",IF(AND('🌱 Configuração'!$B$51+177&gt;='🌱 Configuração'!$C$51,'🌱 Configuração'!$B$51+177&lt;'🌱 Configuração'!$D$51,INT(('🌱 Configuração'!$B$51+177-'🌱 Configuração'!$C$51)/7)+1=7,MOD('🌱 Configuração'!$B$51+177-'🌱 Configuração'!$C$51,7)=0),"🌿 Bloom A+B transição — EC 1.4",IF(AND('🌱 Configuração'!$B$51+177&gt;='🌱 Configuração'!$C$51,'🌱 Configuração'!$B$51+177&lt;'🌱 Configuração'!$D$51,INT(('🌱 Configuração'!$B$51+177-'🌱 Configuração'!$C$51)/7)+1=8,MOD('🌱 Configuração'!$B$51+177-'🌱 Configuração'!$C$51,7)=0),"🌿 Bloom A+B — EC 1.4",IF(AND('🌱 Configuração'!$B$51+177&gt;='🌱 Configuração'!$D$51,'🌱 Configuração'!$B$51+177&lt;'🌱 Configuração'!$E$51,INT(('🌱 Configuração'!$B$51+177-'🌱 Configuração'!$D$51)/7)+1=1,MOD('🌱 Configuração'!$B$51+177-'🌱 Configuração'!$D$51,7)=0),"🌸 Bloom A+B — EC 1.6",IF(AND('🌱 Configuração'!$B$51+177&gt;='🌱 Configuração'!$D$51,'🌱 Configuração'!$B$51+177&lt;'🌱 Configuração'!$E$51,INT(('🌱 Configuração'!$B$51+177-'🌱 Configuração'!$D$51)/7)+1=2,MOD('🌱 Configuração'!$B$51+177-'🌱 Configuração'!$D$51,7)=0),"🌸 Bloom + PK 13/14 início",IF(AND('🌱 Configuração'!$B$51+177&gt;='🌱 Configuração'!$D$51,'🌱 Configuração'!$B$51+177&lt;'🌱 Configuração'!$E$51,INT(('🌱 Configuração'!$B$51+177-'🌱 Configuração'!$D$51)/7)+1=3,MOD('🌱 Configuração'!$B$51+177-'🌱 Configuração'!$D$51,7)=0),"🌸 Bloom + PK + CalMag — EC 1.8",IF(AND('🌱 Configuração'!$B$51+177&gt;='🌱 Configuração'!$D$51,'🌱 Configuração'!$B$51+177&lt;'🌱 Configuração'!$E$51,INT(('🌱 Configuração'!$B$51+177-'🌱 Configuração'!$D$51)/7)+1=4,MOD('🌱 Configuração'!$B$51+177-'🌱 Configuração'!$D$51,7)=0),"🌸 Bloom + PK + Boost Floral — EC 2.0",IF(AND('🌱 Configuração'!$B$51+177&gt;='🌱 Configuração'!$D$51,'🌱 Configuração'!$B$51+177&lt;'🌱 Configuração'!$E$51,INT(('🌱 Configuração'!$B$51+177-'🌱 Configuração'!$D$51)/7)+1=5,MOD('🌱 Configuração'!$B$51+177-'🌱 Configuração'!$D$51,7)=0),"🌸 Bloom + Boost + Amino",IF(AND('🌱 Configuração'!$B$51+177&gt;='🌱 Configuração'!$D$51,'🌱 Configuração'!$B$51+177&lt;'🌱 Configuração'!$E$51,INT(('🌱 Configuração'!$B$51+177-'🌱 Configuração'!$D$51)/7)+1=6,MOD('🌱 Configuração'!$B$51+177-'🌱 Configuração'!$D$51,7)=0),"🌸 Bloom + Enzimas + Amino",IF(AND('🌱 Configuração'!$B$51+177&gt;='🌱 Configuração'!$D$51,'🌱 Configuração'!$B$51+177&lt;'🌱 Configuração'!$E$51,INT(('🌱 Configuração'!$B$51+177-'🌱 Configuração'!$D$51)/7)+1=7,MOD('🌱 Configuração'!$B$51+177-'🌱 Configuração'!$D$51,7)=0),"🌸 Reduzir N — Bloom puro — EC 1.6",IF(AND('🌱 Configuração'!$B$51+177&gt;='🌱 Configuração'!$D$51,'🌱 Configuração'!$B$51+177&lt;'🌱 Configuração'!$E$51,INT(('🌱 Configuração'!$B$51+177-'🌱 Configuração'!$D$51)/7)+1=8,MOD('🌱 Configuração'!$B$51+177-'🌱 Configuração'!$D$51,7)=0),"🌸 Bloom puro — EC 1.4  (pré-flush)",IF(AND('🌱 Configuração'!$B$51+177&gt;='🌱 Configuração'!$D$51,'🌱 Configuração'!$B$51+177&lt;'🌱 Configuração'!$E$51,INT(('🌱 Configuração'!$B$51+177-'🌱 Configuração'!$D$51)/7)+1=9,MOD('🌱 Configuração'!$B$51+177-'🌱 Configuração'!$D$51,7)=0),"🌸 Último Bloom — EC 0.8",IF(AND('🌱 Configuração'!$B$51+177&gt;='🌱 Configuração'!$E$51,INT(('🌱 Configuração'!$B$51+177-'🌱 Configuração'!$E$51)/7)+1=1,MOD('🌱 Configuração'!$B$51+177-'🌱 Configuração'!$E$51,7)=0),"🚿 Água pura + Enzimas (EC &lt; 0.3)",IF(AND('🌱 Configuração'!$B$51+177&gt;='🌱 Configuração'!$E$51,INT(('🌱 Configuração'!$B$51+177-'🌱 Configuração'!$E$51)/7)+1=2,MOD('🌱 Configuração'!$B$51+177-'🌱 Configuração'!$E$51,7)=0),"🚿 Água pura (EC &lt; 0.2)",""))))))))))))))))))))))</f>
        <v/>
      </c>
      <c r="G183" s="30" t="str">
        <f>IF(178&gt;'🌱 Configuração'!$F$50,"",IF(AND('🌱 Configuração'!$B$51+177&lt;'🌱 Configuração'!$C$51,INT((178-1)/7)+1=1,MOD(178-1,7)=0),"🐛 Nim 2mL/L foliar — preventivo",IF(AND('🌱 Configuração'!$B$51+177&lt;'🌱 Configuração'!$C$51,INT((178-1)/7)+1=2,MOD(178-1,7)=0),"🐛 Beauveria bassiana foliar + solo",IF(AND('🌱 Configuração'!$B$51+177&gt;='🌱 Configuração'!$C$51,'🌱 Configuração'!$B$51+177&lt;'🌱 Configuração'!$D$51,INT(('🌱 Configuração'!$B$51+177-'🌱 Configuração'!$C$51)/7)+1=1,MOD('🌱 Configuração'!$B$51+177-'🌱 Configuração'!$C$51,7)=0),"🐛 Nim 2mL/L foliar",IF(AND('🌱 Configuração'!$B$51+177&gt;='🌱 Configuração'!$C$51,'🌱 Configuração'!$B$51+177&lt;'🌱 Configuração'!$D$51,INT(('🌱 Configuração'!$B$51+177-'🌱 Configuração'!$C$51)/7)+1=2,MOD('🌱 Configuração'!$B$51+177-'🌱 Configuração'!$C$51,7)=0),"🐛 Beauveria bassiana foliar",IF(AND('🌱 Configuração'!$B$51+177&gt;='🌱 Configuração'!$C$51,'🌱 Configuração'!$B$51+177&lt;'🌱 Configuração'!$D$51,INT(('🌱 Configuração'!$B$51+177-'🌱 Configuração'!$C$51)/7)+1=3,MOD('🌱 Configuração'!$B$51+177-'🌱 Configuração'!$C$51,7)=0),"🐛 Nim + Calda Sulfocálcica 1%",IF(AND('🌱 Configuração'!$B$51+177&gt;='🌱 Configuração'!$C$51,'🌱 Configuração'!$B$51+177&lt;'🌱 Configuração'!$D$51,INT(('🌱 Configuração'!$B$51+177-'🌱 Configuração'!$C$51)/7)+1=4,MOD('🌱 Configuração'!$B$51+177-'🌱 Configuração'!$C$51,7)=0),"🐛 Trichoderma solo + Beauveria",IF(AND('🌱 Configuração'!$B$51+177&gt;='🌱 Configuração'!$C$51,'🌱 Configuração'!$B$51+177&lt;'🌱 Configuração'!$D$51,INT(('🌱 Configuração'!$B$51+177-'🌱 Configuração'!$C$51)/7)+1=5,MOD('🌱 Configuração'!$B$51+177-'🌱 Configuração'!$C$51,7)=0),"🐛 Calda Bordalesa 0.5% foliar",IF(AND('🌱 Configuração'!$B$51+177&gt;='🌱 Configuração'!$C$51,'🌱 Configuração'!$B$51+177&lt;'🌱 Configuração'!$D$51,INT(('🌱 Configuração'!$B$51+177-'🌱 Configuração'!$C$51)/7)+1=6,MOD('🌱 Configuração'!$B$51+177-'🌱 Configuração'!$C$51,7)=0),"🐛 Nim 2mL/L — ÚLTIMA foliar",IF(AND('🌱 Configuração'!$B$51+177&gt;='🌱 Configuração'!$D$51,'🌱 Configuração'!$B$51+177&lt;'🌱 Configuração'!$E$51,INT(('🌱 Configuração'!$B$51+177-'🌱 Configuração'!$D$51)/7)+1=1,MOD('🌱 Configuração'!$B$51+177-'🌱 Configuração'!$D$51,7)=0),"🐛 Beauveria bassiana solo (sem foliar)",IF(AND('🌱 Configuração'!$B$51+177&gt;='🌱 Configuração'!$D$51,'🌱 Configuração'!$B$51+177&lt;'🌱 Configuração'!$E$51,INT(('🌱 Configuração'!$B$51+177-'🌱 Configuração'!$D$51)/7)+1=2,MOD('🌱 Configuração'!$B$51+177-'🌱 Configuração'!$D$51,7)=0),"🐛 Trichoderma solo",IF(AND('🌱 Configuração'!$B$51+177&gt;='🌱 Configuração'!$D$51,'🌱 Configuração'!$B$51+177&lt;'🌱 Configuração'!$E$51,INT(('🌱 Configuração'!$B$51+177-'🌱 Configuração'!$D$51)/7)+1=3,MOD('🌱 Configuração'!$B$51+177-'🌱 Configuração'!$D$51,7)=0),"🐛 Beauveria bassiana solo",IF(AND('🌱 Configuração'!$B$51+177&gt;='🌱 Configuração'!$D$51,'🌱 Configuração'!$B$51+177&lt;'🌱 Configuração'!$E$51,INT(('🌱 Configuração'!$B$51+177-'🌱 Configuração'!$D$51)/7)+1=4,MOD('🌱 Configuração'!$B$51+177-'🌱 Configuração'!$D$51,7)=0),"🐛 Trichoderma solo",IF(AND('🌱 Configuração'!$B$51+177&gt;='🌱 Configuração'!$E$51,INT(('🌱 Configuração'!$B$51+177-'🌱 Configuração'!$E$51)/7)+1=1,MOD('🌱 Configuração'!$B$51+177-'🌱 Configuração'!$E$51,7)=0),"🐛 Inspeção final — sem aplicação",""))))))))))))))</f>
        <v/>
      </c>
      <c r="H183" s="22" t="str">
        <f>IF(178&gt;'🌱 Configuração'!$F$50,"",IF('🌱 Configuração'!$B$51+177='🌱 Configuração'!$C$51,"🌿 INÍCIO VEGA — ajustar espaço, luz 18h/dia — EC 0.8",IF('🌱 Configuração'!$B$51+177='🌱 Configuração'!$D$51,"🌸 INÍCIO FLORAÇÃO — mudar para 12h/12h — 🔴 atenção ao fotoperíodo",IF('🌱 Configuração'!$B$51+177='🌱 Configuração'!$E$51,"🚿 INÍCIO FLUSH — PARAR nutrição, somente água pura",IF('🌱 Configuração'!$B$51+177='🌱 Configuração'!$F$51-1,"🔬 Véspera da colheita — analisar tricomas âmbar",IF('🌱 Configuração'!$B$51+177='🌱 Configuração'!$F$51,"✂️ COLHEITA! Parabéns! 🎉",""))))))</f>
        <v/>
      </c>
    </row>
    <row r="184" spans="2:8" ht="18.75" customHeight="1" x14ac:dyDescent="0.3">
      <c r="B184" s="25" t="str">
        <f>IF(179&lt;='🌱 Configuração'!$F$50,179,"")</f>
        <v/>
      </c>
      <c r="C184" s="26" t="str">
        <f>IF(179&lt;='🌱 Configuração'!$F$50,'🌱 Configuração'!$B$51+178,"")</f>
        <v/>
      </c>
      <c r="D184" s="27" t="str">
        <f>IF(179&gt;'🌱 Configuração'!$F$50,"",IF('🌱 Configuração'!$B$51+178&lt;'🌱 Configuração'!$C$51,"🌱 Clone",IF('🌱 Configuração'!$B$51+178&lt;'🌱 Configuração'!$D$51,"🌿 Vegetativo",IF('🌱 Configuração'!$B$51+178&lt;'🌱 Configuração'!$E$51,"🌸 Floração","🚿 Flush"))))</f>
        <v/>
      </c>
      <c r="E184" s="28" t="str">
        <f>IF(179&gt;'🌱 Configuração'!$F$50,"",IF('🌱 Configuração'!$B$51+178&lt;'🌱 Configuração'!$C$51,"Clone S"&amp;INT((179-1)/7)+1,IF('🌱 Configuração'!$B$51+178&lt;'🌱 Configuração'!$D$51,"Vega S"&amp;INT(('🌱 Configuração'!$B$51+178-'🌱 Configuração'!$C$51)/7)+1,IF('🌱 Configuração'!$B$51+178&lt;'🌱 Configuração'!$E$51,"Flora S"&amp;INT(('🌱 Configuração'!$B$51+178-'🌱 Configuração'!$D$51)/7)+1,"Flush S"&amp;INT(('🌱 Configuração'!$B$51+178-'🌱 Configuração'!$E$51)/7)+1))))</f>
        <v/>
      </c>
      <c r="F184" s="29" t="str">
        <f>IF(179&gt;'🌱 Configuração'!$F$50,"",IF(AND('🌱 Configuração'!$B$51+178&lt;'🌱 Configuração'!$C$51,INT((179-1)/7)+1=1,MOD(179-1,7)=0),"🌱 Enraizador (0.5 mL/L)",IF(AND('🌱 Configuração'!$B$51+178&lt;'🌱 Configuração'!$C$51,INT((179-1)/7)+1=2,MOD(179-1,7)=0),"🌱 Enraizador + Vitamina B1",IF(AND('🌱 Configuração'!$B$51+178&gt;='🌱 Configuração'!$C$51,'🌱 Configuração'!$B$51+178&lt;'🌱 Configuração'!$D$51,INT(('🌱 Configuração'!$B$51+178-'🌱 Configuração'!$C$51)/7)+1=1,MOD('🌱 Configuração'!$B$51+178-'🌱 Configuração'!$C$51,7)=0),"🌿 Grow A+B início — EC 0.8",IF(AND('🌱 Configuração'!$B$51+178&gt;='🌱 Configuração'!$C$51,'🌱 Configuração'!$B$51+178&lt;'🌱 Configuração'!$D$51,INT(('🌱 Configuração'!$B$51+178-'🌱 Configuração'!$C$51)/7)+1=2,MOD('🌱 Configuração'!$B$51+178-'🌱 Configuração'!$C$51,7)=0),"🌿 Grow A+B + CalMag — EC 1.0",IF(AND('🌱 Configuração'!$B$51+178&gt;='🌱 Configuração'!$C$51,'🌱 Configuração'!$B$51+178&lt;'🌱 Configuração'!$D$51,INT(('🌱 Configuração'!$B$51+178-'🌱 Configuração'!$C$51)/7)+1=3,MOD('🌱 Configuração'!$B$51+178-'🌱 Configuração'!$C$51,7)=0),"🌿 Grow A+B + CalMag — EC 1.2",IF(AND('🌱 Configuração'!$B$51+178&gt;='🌱 Configuração'!$C$51,'🌱 Configuração'!$B$51+178&lt;'🌱 Configuração'!$D$51,INT(('🌱 Configuração'!$B$51+178-'🌱 Configuração'!$C$51)/7)+1=4,MOD('🌱 Configuração'!$B$51+178-'🌱 Configuração'!$C$51,7)=0),"🌿 Grow A+B + Enzimas — EC 1.4",IF(AND('🌱 Configuração'!$B$51+178&gt;='🌱 Configuração'!$C$51,'🌱 Configuração'!$B$51+178&lt;'🌱 Configuração'!$D$51,INT(('🌱 Configuração'!$B$51+178-'🌱 Configuração'!$C$51)/7)+1=5,MOD('🌱 Configuração'!$B$51+178-'🌱 Configuração'!$C$51,7)=0),"🌿 Grow A+B + Biorrizas — EC 1.5",IF(AND('🌱 Configuração'!$B$51+178&gt;='🌱 Configuração'!$C$51,'🌱 Configuração'!$B$51+178&lt;'🌱 Configuração'!$D$51,INT(('🌱 Configuração'!$B$51+178-'🌱 Configuração'!$C$51)/7)+1=6,MOD('🌱 Configuração'!$B$51+178-'🌱 Configuração'!$C$51,7)=0),"🌿 Transição Bloom — EC 1.4",IF(AND('🌱 Configuração'!$B$51+178&gt;='🌱 Configuração'!$C$51,'🌱 Configuração'!$B$51+178&lt;'🌱 Configuração'!$D$51,INT(('🌱 Configuração'!$B$51+178-'🌱 Configuração'!$C$51)/7)+1=7,MOD('🌱 Configuração'!$B$51+178-'🌱 Configuração'!$C$51,7)=0),"🌿 Bloom A+B transição — EC 1.4",IF(AND('🌱 Configuração'!$B$51+178&gt;='🌱 Configuração'!$C$51,'🌱 Configuração'!$B$51+178&lt;'🌱 Configuração'!$D$51,INT(('🌱 Configuração'!$B$51+178-'🌱 Configuração'!$C$51)/7)+1=8,MOD('🌱 Configuração'!$B$51+178-'🌱 Configuração'!$C$51,7)=0),"🌿 Bloom A+B — EC 1.4",IF(AND('🌱 Configuração'!$B$51+178&gt;='🌱 Configuração'!$D$51,'🌱 Configuração'!$B$51+178&lt;'🌱 Configuração'!$E$51,INT(('🌱 Configuração'!$B$51+178-'🌱 Configuração'!$D$51)/7)+1=1,MOD('🌱 Configuração'!$B$51+178-'🌱 Configuração'!$D$51,7)=0),"🌸 Bloom A+B — EC 1.6",IF(AND('🌱 Configuração'!$B$51+178&gt;='🌱 Configuração'!$D$51,'🌱 Configuração'!$B$51+178&lt;'🌱 Configuração'!$E$51,INT(('🌱 Configuração'!$B$51+178-'🌱 Configuração'!$D$51)/7)+1=2,MOD('🌱 Configuração'!$B$51+178-'🌱 Configuração'!$D$51,7)=0),"🌸 Bloom + PK 13/14 início",IF(AND('🌱 Configuração'!$B$51+178&gt;='🌱 Configuração'!$D$51,'🌱 Configuração'!$B$51+178&lt;'🌱 Configuração'!$E$51,INT(('🌱 Configuração'!$B$51+178-'🌱 Configuração'!$D$51)/7)+1=3,MOD('🌱 Configuração'!$B$51+178-'🌱 Configuração'!$D$51,7)=0),"🌸 Bloom + PK + CalMag — EC 1.8",IF(AND('🌱 Configuração'!$B$51+178&gt;='🌱 Configuração'!$D$51,'🌱 Configuração'!$B$51+178&lt;'🌱 Configuração'!$E$51,INT(('🌱 Configuração'!$B$51+178-'🌱 Configuração'!$D$51)/7)+1=4,MOD('🌱 Configuração'!$B$51+178-'🌱 Configuração'!$D$51,7)=0),"🌸 Bloom + PK + Boost Floral — EC 2.0",IF(AND('🌱 Configuração'!$B$51+178&gt;='🌱 Configuração'!$D$51,'🌱 Configuração'!$B$51+178&lt;'🌱 Configuração'!$E$51,INT(('🌱 Configuração'!$B$51+178-'🌱 Configuração'!$D$51)/7)+1=5,MOD('🌱 Configuração'!$B$51+178-'🌱 Configuração'!$D$51,7)=0),"🌸 Bloom + Boost + Amino",IF(AND('🌱 Configuração'!$B$51+178&gt;='🌱 Configuração'!$D$51,'🌱 Configuração'!$B$51+178&lt;'🌱 Configuração'!$E$51,INT(('🌱 Configuração'!$B$51+178-'🌱 Configuração'!$D$51)/7)+1=6,MOD('🌱 Configuração'!$B$51+178-'🌱 Configuração'!$D$51,7)=0),"🌸 Bloom + Enzimas + Amino",IF(AND('🌱 Configuração'!$B$51+178&gt;='🌱 Configuração'!$D$51,'🌱 Configuração'!$B$51+178&lt;'🌱 Configuração'!$E$51,INT(('🌱 Configuração'!$B$51+178-'🌱 Configuração'!$D$51)/7)+1=7,MOD('🌱 Configuração'!$B$51+178-'🌱 Configuração'!$D$51,7)=0),"🌸 Reduzir N — Bloom puro — EC 1.6",IF(AND('🌱 Configuração'!$B$51+178&gt;='🌱 Configuração'!$D$51,'🌱 Configuração'!$B$51+178&lt;'🌱 Configuração'!$E$51,INT(('🌱 Configuração'!$B$51+178-'🌱 Configuração'!$D$51)/7)+1=8,MOD('🌱 Configuração'!$B$51+178-'🌱 Configuração'!$D$51,7)=0),"🌸 Bloom puro — EC 1.4  (pré-flush)",IF(AND('🌱 Configuração'!$B$51+178&gt;='🌱 Configuração'!$D$51,'🌱 Configuração'!$B$51+178&lt;'🌱 Configuração'!$E$51,INT(('🌱 Configuração'!$B$51+178-'🌱 Configuração'!$D$51)/7)+1=9,MOD('🌱 Configuração'!$B$51+178-'🌱 Configuração'!$D$51,7)=0),"🌸 Último Bloom — EC 0.8",IF(AND('🌱 Configuração'!$B$51+178&gt;='🌱 Configuração'!$E$51,INT(('🌱 Configuração'!$B$51+178-'🌱 Configuração'!$E$51)/7)+1=1,MOD('🌱 Configuração'!$B$51+178-'🌱 Configuração'!$E$51,7)=0),"🚿 Água pura + Enzimas (EC &lt; 0.3)",IF(AND('🌱 Configuração'!$B$51+178&gt;='🌱 Configuração'!$E$51,INT(('🌱 Configuração'!$B$51+178-'🌱 Configuração'!$E$51)/7)+1=2,MOD('🌱 Configuração'!$B$51+178-'🌱 Configuração'!$E$51,7)=0),"🚿 Água pura (EC &lt; 0.2)",""))))))))))))))))))))))</f>
        <v/>
      </c>
      <c r="G184" s="30" t="str">
        <f>IF(179&gt;'🌱 Configuração'!$F$50,"",IF(AND('🌱 Configuração'!$B$51+178&lt;'🌱 Configuração'!$C$51,INT((179-1)/7)+1=1,MOD(179-1,7)=0),"🐛 Nim 2mL/L foliar — preventivo",IF(AND('🌱 Configuração'!$B$51+178&lt;'🌱 Configuração'!$C$51,INT((179-1)/7)+1=2,MOD(179-1,7)=0),"🐛 Beauveria bassiana foliar + solo",IF(AND('🌱 Configuração'!$B$51+178&gt;='🌱 Configuração'!$C$51,'🌱 Configuração'!$B$51+178&lt;'🌱 Configuração'!$D$51,INT(('🌱 Configuração'!$B$51+178-'🌱 Configuração'!$C$51)/7)+1=1,MOD('🌱 Configuração'!$B$51+178-'🌱 Configuração'!$C$51,7)=0),"🐛 Nim 2mL/L foliar",IF(AND('🌱 Configuração'!$B$51+178&gt;='🌱 Configuração'!$C$51,'🌱 Configuração'!$B$51+178&lt;'🌱 Configuração'!$D$51,INT(('🌱 Configuração'!$B$51+178-'🌱 Configuração'!$C$51)/7)+1=2,MOD('🌱 Configuração'!$B$51+178-'🌱 Configuração'!$C$51,7)=0),"🐛 Beauveria bassiana foliar",IF(AND('🌱 Configuração'!$B$51+178&gt;='🌱 Configuração'!$C$51,'🌱 Configuração'!$B$51+178&lt;'🌱 Configuração'!$D$51,INT(('🌱 Configuração'!$B$51+178-'🌱 Configuração'!$C$51)/7)+1=3,MOD('🌱 Configuração'!$B$51+178-'🌱 Configuração'!$C$51,7)=0),"🐛 Nim + Calda Sulfocálcica 1%",IF(AND('🌱 Configuração'!$B$51+178&gt;='🌱 Configuração'!$C$51,'🌱 Configuração'!$B$51+178&lt;'🌱 Configuração'!$D$51,INT(('🌱 Configuração'!$B$51+178-'🌱 Configuração'!$C$51)/7)+1=4,MOD('🌱 Configuração'!$B$51+178-'🌱 Configuração'!$C$51,7)=0),"🐛 Trichoderma solo + Beauveria",IF(AND('🌱 Configuração'!$B$51+178&gt;='🌱 Configuração'!$C$51,'🌱 Configuração'!$B$51+178&lt;'🌱 Configuração'!$D$51,INT(('🌱 Configuração'!$B$51+178-'🌱 Configuração'!$C$51)/7)+1=5,MOD('🌱 Configuração'!$B$51+178-'🌱 Configuração'!$C$51,7)=0),"🐛 Calda Bordalesa 0.5% foliar",IF(AND('🌱 Configuração'!$B$51+178&gt;='🌱 Configuração'!$C$51,'🌱 Configuração'!$B$51+178&lt;'🌱 Configuração'!$D$51,INT(('🌱 Configuração'!$B$51+178-'🌱 Configuração'!$C$51)/7)+1=6,MOD('🌱 Configuração'!$B$51+178-'🌱 Configuração'!$C$51,7)=0),"🐛 Nim 2mL/L — ÚLTIMA foliar",IF(AND('🌱 Configuração'!$B$51+178&gt;='🌱 Configuração'!$D$51,'🌱 Configuração'!$B$51+178&lt;'🌱 Configuração'!$E$51,INT(('🌱 Configuração'!$B$51+178-'🌱 Configuração'!$D$51)/7)+1=1,MOD('🌱 Configuração'!$B$51+178-'🌱 Configuração'!$D$51,7)=0),"🐛 Beauveria bassiana solo (sem foliar)",IF(AND('🌱 Configuração'!$B$51+178&gt;='🌱 Configuração'!$D$51,'🌱 Configuração'!$B$51+178&lt;'🌱 Configuração'!$E$51,INT(('🌱 Configuração'!$B$51+178-'🌱 Configuração'!$D$51)/7)+1=2,MOD('🌱 Configuração'!$B$51+178-'🌱 Configuração'!$D$51,7)=0),"🐛 Trichoderma solo",IF(AND('🌱 Configuração'!$B$51+178&gt;='🌱 Configuração'!$D$51,'🌱 Configuração'!$B$51+178&lt;'🌱 Configuração'!$E$51,INT(('🌱 Configuração'!$B$51+178-'🌱 Configuração'!$D$51)/7)+1=3,MOD('🌱 Configuração'!$B$51+178-'🌱 Configuração'!$D$51,7)=0),"🐛 Beauveria bassiana solo",IF(AND('🌱 Configuração'!$B$51+178&gt;='🌱 Configuração'!$D$51,'🌱 Configuração'!$B$51+178&lt;'🌱 Configuração'!$E$51,INT(('🌱 Configuração'!$B$51+178-'🌱 Configuração'!$D$51)/7)+1=4,MOD('🌱 Configuração'!$B$51+178-'🌱 Configuração'!$D$51,7)=0),"🐛 Trichoderma solo",IF(AND('🌱 Configuração'!$B$51+178&gt;='🌱 Configuração'!$E$51,INT(('🌱 Configuração'!$B$51+178-'🌱 Configuração'!$E$51)/7)+1=1,MOD('🌱 Configuração'!$B$51+178-'🌱 Configuração'!$E$51,7)=0),"🐛 Inspeção final — sem aplicação",""))))))))))))))</f>
        <v/>
      </c>
      <c r="H184" s="22" t="str">
        <f>IF(179&gt;'🌱 Configuração'!$F$50,"",IF('🌱 Configuração'!$B$51+178='🌱 Configuração'!$C$51,"🌿 INÍCIO VEGA — ajustar espaço, luz 18h/dia — EC 0.8",IF('🌱 Configuração'!$B$51+178='🌱 Configuração'!$D$51,"🌸 INÍCIO FLORAÇÃO — mudar para 12h/12h — 🔴 atenção ao fotoperíodo",IF('🌱 Configuração'!$B$51+178='🌱 Configuração'!$E$51,"🚿 INÍCIO FLUSH — PARAR nutrição, somente água pura",IF('🌱 Configuração'!$B$51+178='🌱 Configuração'!$F$51-1,"🔬 Véspera da colheita — analisar tricomas âmbar",IF('🌱 Configuração'!$B$51+178='🌱 Configuração'!$F$51,"✂️ COLHEITA! Parabéns! 🎉",""))))))</f>
        <v/>
      </c>
    </row>
    <row r="185" spans="2:8" ht="18.75" customHeight="1" x14ac:dyDescent="0.3">
      <c r="B185" s="25" t="str">
        <f>IF(180&lt;='🌱 Configuração'!$F$50,180,"")</f>
        <v/>
      </c>
      <c r="C185" s="26" t="str">
        <f>IF(180&lt;='🌱 Configuração'!$F$50,'🌱 Configuração'!$B$51+179,"")</f>
        <v/>
      </c>
      <c r="D185" s="27" t="str">
        <f>IF(180&gt;'🌱 Configuração'!$F$50,"",IF('🌱 Configuração'!$B$51+179&lt;'🌱 Configuração'!$C$51,"🌱 Clone",IF('🌱 Configuração'!$B$51+179&lt;'🌱 Configuração'!$D$51,"🌿 Vegetativo",IF('🌱 Configuração'!$B$51+179&lt;'🌱 Configuração'!$E$51,"🌸 Floração","🚿 Flush"))))</f>
        <v/>
      </c>
      <c r="E185" s="28" t="str">
        <f>IF(180&gt;'🌱 Configuração'!$F$50,"",IF('🌱 Configuração'!$B$51+179&lt;'🌱 Configuração'!$C$51,"Clone S"&amp;INT((180-1)/7)+1,IF('🌱 Configuração'!$B$51+179&lt;'🌱 Configuração'!$D$51,"Vega S"&amp;INT(('🌱 Configuração'!$B$51+179-'🌱 Configuração'!$C$51)/7)+1,IF('🌱 Configuração'!$B$51+179&lt;'🌱 Configuração'!$E$51,"Flora S"&amp;INT(('🌱 Configuração'!$B$51+179-'🌱 Configuração'!$D$51)/7)+1,"Flush S"&amp;INT(('🌱 Configuração'!$B$51+179-'🌱 Configuração'!$E$51)/7)+1))))</f>
        <v/>
      </c>
      <c r="F185" s="29" t="str">
        <f>IF(180&gt;'🌱 Configuração'!$F$50,"",IF(AND('🌱 Configuração'!$B$51+179&lt;'🌱 Configuração'!$C$51,INT((180-1)/7)+1=1,MOD(180-1,7)=0),"🌱 Enraizador (0.5 mL/L)",IF(AND('🌱 Configuração'!$B$51+179&lt;'🌱 Configuração'!$C$51,INT((180-1)/7)+1=2,MOD(180-1,7)=0),"🌱 Enraizador + Vitamina B1",IF(AND('🌱 Configuração'!$B$51+179&gt;='🌱 Configuração'!$C$51,'🌱 Configuração'!$B$51+179&lt;'🌱 Configuração'!$D$51,INT(('🌱 Configuração'!$B$51+179-'🌱 Configuração'!$C$51)/7)+1=1,MOD('🌱 Configuração'!$B$51+179-'🌱 Configuração'!$C$51,7)=0),"🌿 Grow A+B início — EC 0.8",IF(AND('🌱 Configuração'!$B$51+179&gt;='🌱 Configuração'!$C$51,'🌱 Configuração'!$B$51+179&lt;'🌱 Configuração'!$D$51,INT(('🌱 Configuração'!$B$51+179-'🌱 Configuração'!$C$51)/7)+1=2,MOD('🌱 Configuração'!$B$51+179-'🌱 Configuração'!$C$51,7)=0),"🌿 Grow A+B + CalMag — EC 1.0",IF(AND('🌱 Configuração'!$B$51+179&gt;='🌱 Configuração'!$C$51,'🌱 Configuração'!$B$51+179&lt;'🌱 Configuração'!$D$51,INT(('🌱 Configuração'!$B$51+179-'🌱 Configuração'!$C$51)/7)+1=3,MOD('🌱 Configuração'!$B$51+179-'🌱 Configuração'!$C$51,7)=0),"🌿 Grow A+B + CalMag — EC 1.2",IF(AND('🌱 Configuração'!$B$51+179&gt;='🌱 Configuração'!$C$51,'🌱 Configuração'!$B$51+179&lt;'🌱 Configuração'!$D$51,INT(('🌱 Configuração'!$B$51+179-'🌱 Configuração'!$C$51)/7)+1=4,MOD('🌱 Configuração'!$B$51+179-'🌱 Configuração'!$C$51,7)=0),"🌿 Grow A+B + Enzimas — EC 1.4",IF(AND('🌱 Configuração'!$B$51+179&gt;='🌱 Configuração'!$C$51,'🌱 Configuração'!$B$51+179&lt;'🌱 Configuração'!$D$51,INT(('🌱 Configuração'!$B$51+179-'🌱 Configuração'!$C$51)/7)+1=5,MOD('🌱 Configuração'!$B$51+179-'🌱 Configuração'!$C$51,7)=0),"🌿 Grow A+B + Biorrizas — EC 1.5",IF(AND('🌱 Configuração'!$B$51+179&gt;='🌱 Configuração'!$C$51,'🌱 Configuração'!$B$51+179&lt;'🌱 Configuração'!$D$51,INT(('🌱 Configuração'!$B$51+179-'🌱 Configuração'!$C$51)/7)+1=6,MOD('🌱 Configuração'!$B$51+179-'🌱 Configuração'!$C$51,7)=0),"🌿 Transição Bloom — EC 1.4",IF(AND('🌱 Configuração'!$B$51+179&gt;='🌱 Configuração'!$C$51,'🌱 Configuração'!$B$51+179&lt;'🌱 Configuração'!$D$51,INT(('🌱 Configuração'!$B$51+179-'🌱 Configuração'!$C$51)/7)+1=7,MOD('🌱 Configuração'!$B$51+179-'🌱 Configuração'!$C$51,7)=0),"🌿 Bloom A+B transição — EC 1.4",IF(AND('🌱 Configuração'!$B$51+179&gt;='🌱 Configuração'!$C$51,'🌱 Configuração'!$B$51+179&lt;'🌱 Configuração'!$D$51,INT(('🌱 Configuração'!$B$51+179-'🌱 Configuração'!$C$51)/7)+1=8,MOD('🌱 Configuração'!$B$51+179-'🌱 Configuração'!$C$51,7)=0),"🌿 Bloom A+B — EC 1.4",IF(AND('🌱 Configuração'!$B$51+179&gt;='🌱 Configuração'!$D$51,'🌱 Configuração'!$B$51+179&lt;'🌱 Configuração'!$E$51,INT(('🌱 Configuração'!$B$51+179-'🌱 Configuração'!$D$51)/7)+1=1,MOD('🌱 Configuração'!$B$51+179-'🌱 Configuração'!$D$51,7)=0),"🌸 Bloom A+B — EC 1.6",IF(AND('🌱 Configuração'!$B$51+179&gt;='🌱 Configuração'!$D$51,'🌱 Configuração'!$B$51+179&lt;'🌱 Configuração'!$E$51,INT(('🌱 Configuração'!$B$51+179-'🌱 Configuração'!$D$51)/7)+1=2,MOD('🌱 Configuração'!$B$51+179-'🌱 Configuração'!$D$51,7)=0),"🌸 Bloom + PK 13/14 início",IF(AND('🌱 Configuração'!$B$51+179&gt;='🌱 Configuração'!$D$51,'🌱 Configuração'!$B$51+179&lt;'🌱 Configuração'!$E$51,INT(('🌱 Configuração'!$B$51+179-'🌱 Configuração'!$D$51)/7)+1=3,MOD('🌱 Configuração'!$B$51+179-'🌱 Configuração'!$D$51,7)=0),"🌸 Bloom + PK + CalMag — EC 1.8",IF(AND('🌱 Configuração'!$B$51+179&gt;='🌱 Configuração'!$D$51,'🌱 Configuração'!$B$51+179&lt;'🌱 Configuração'!$E$51,INT(('🌱 Configuração'!$B$51+179-'🌱 Configuração'!$D$51)/7)+1=4,MOD('🌱 Configuração'!$B$51+179-'🌱 Configuração'!$D$51,7)=0),"🌸 Bloom + PK + Boost Floral — EC 2.0",IF(AND('🌱 Configuração'!$B$51+179&gt;='🌱 Configuração'!$D$51,'🌱 Configuração'!$B$51+179&lt;'🌱 Configuração'!$E$51,INT(('🌱 Configuração'!$B$51+179-'🌱 Configuração'!$D$51)/7)+1=5,MOD('🌱 Configuração'!$B$51+179-'🌱 Configuração'!$D$51,7)=0),"🌸 Bloom + Boost + Amino",IF(AND('🌱 Configuração'!$B$51+179&gt;='🌱 Configuração'!$D$51,'🌱 Configuração'!$B$51+179&lt;'🌱 Configuração'!$E$51,INT(('🌱 Configuração'!$B$51+179-'🌱 Configuração'!$D$51)/7)+1=6,MOD('🌱 Configuração'!$B$51+179-'🌱 Configuração'!$D$51,7)=0),"🌸 Bloom + Enzimas + Amino",IF(AND('🌱 Configuração'!$B$51+179&gt;='🌱 Configuração'!$D$51,'🌱 Configuração'!$B$51+179&lt;'🌱 Configuração'!$E$51,INT(('🌱 Configuração'!$B$51+179-'🌱 Configuração'!$D$51)/7)+1=7,MOD('🌱 Configuração'!$B$51+179-'🌱 Configuração'!$D$51,7)=0),"🌸 Reduzir N — Bloom puro — EC 1.6",IF(AND('🌱 Configuração'!$B$51+179&gt;='🌱 Configuração'!$D$51,'🌱 Configuração'!$B$51+179&lt;'🌱 Configuração'!$E$51,INT(('🌱 Configuração'!$B$51+179-'🌱 Configuração'!$D$51)/7)+1=8,MOD('🌱 Configuração'!$B$51+179-'🌱 Configuração'!$D$51,7)=0),"🌸 Bloom puro — EC 1.4  (pré-flush)",IF(AND('🌱 Configuração'!$B$51+179&gt;='🌱 Configuração'!$D$51,'🌱 Configuração'!$B$51+179&lt;'🌱 Configuração'!$E$51,INT(('🌱 Configuração'!$B$51+179-'🌱 Configuração'!$D$51)/7)+1=9,MOD('🌱 Configuração'!$B$51+179-'🌱 Configuração'!$D$51,7)=0),"🌸 Último Bloom — EC 0.8",IF(AND('🌱 Configuração'!$B$51+179&gt;='🌱 Configuração'!$E$51,INT(('🌱 Configuração'!$B$51+179-'🌱 Configuração'!$E$51)/7)+1=1,MOD('🌱 Configuração'!$B$51+179-'🌱 Configuração'!$E$51,7)=0),"🚿 Água pura + Enzimas (EC &lt; 0.3)",IF(AND('🌱 Configuração'!$B$51+179&gt;='🌱 Configuração'!$E$51,INT(('🌱 Configuração'!$B$51+179-'🌱 Configuração'!$E$51)/7)+1=2,MOD('🌱 Configuração'!$B$51+179-'🌱 Configuração'!$E$51,7)=0),"🚿 Água pura (EC &lt; 0.2)",""))))))))))))))))))))))</f>
        <v/>
      </c>
      <c r="G185" s="30" t="str">
        <f>IF(180&gt;'🌱 Configuração'!$F$50,"",IF(AND('🌱 Configuração'!$B$51+179&lt;'🌱 Configuração'!$C$51,INT((180-1)/7)+1=1,MOD(180-1,7)=0),"🐛 Nim 2mL/L foliar — preventivo",IF(AND('🌱 Configuração'!$B$51+179&lt;'🌱 Configuração'!$C$51,INT((180-1)/7)+1=2,MOD(180-1,7)=0),"🐛 Beauveria bassiana foliar + solo",IF(AND('🌱 Configuração'!$B$51+179&gt;='🌱 Configuração'!$C$51,'🌱 Configuração'!$B$51+179&lt;'🌱 Configuração'!$D$51,INT(('🌱 Configuração'!$B$51+179-'🌱 Configuração'!$C$51)/7)+1=1,MOD('🌱 Configuração'!$B$51+179-'🌱 Configuração'!$C$51,7)=0),"🐛 Nim 2mL/L foliar",IF(AND('🌱 Configuração'!$B$51+179&gt;='🌱 Configuração'!$C$51,'🌱 Configuração'!$B$51+179&lt;'🌱 Configuração'!$D$51,INT(('🌱 Configuração'!$B$51+179-'🌱 Configuração'!$C$51)/7)+1=2,MOD('🌱 Configuração'!$B$51+179-'🌱 Configuração'!$C$51,7)=0),"🐛 Beauveria bassiana foliar",IF(AND('🌱 Configuração'!$B$51+179&gt;='🌱 Configuração'!$C$51,'🌱 Configuração'!$B$51+179&lt;'🌱 Configuração'!$D$51,INT(('🌱 Configuração'!$B$51+179-'🌱 Configuração'!$C$51)/7)+1=3,MOD('🌱 Configuração'!$B$51+179-'🌱 Configuração'!$C$51,7)=0),"🐛 Nim + Calda Sulfocálcica 1%",IF(AND('🌱 Configuração'!$B$51+179&gt;='🌱 Configuração'!$C$51,'🌱 Configuração'!$B$51+179&lt;'🌱 Configuração'!$D$51,INT(('🌱 Configuração'!$B$51+179-'🌱 Configuração'!$C$51)/7)+1=4,MOD('🌱 Configuração'!$B$51+179-'🌱 Configuração'!$C$51,7)=0),"🐛 Trichoderma solo + Beauveria",IF(AND('🌱 Configuração'!$B$51+179&gt;='🌱 Configuração'!$C$51,'🌱 Configuração'!$B$51+179&lt;'🌱 Configuração'!$D$51,INT(('🌱 Configuração'!$B$51+179-'🌱 Configuração'!$C$51)/7)+1=5,MOD('🌱 Configuração'!$B$51+179-'🌱 Configuração'!$C$51,7)=0),"🐛 Calda Bordalesa 0.5% foliar",IF(AND('🌱 Configuração'!$B$51+179&gt;='🌱 Configuração'!$C$51,'🌱 Configuração'!$B$51+179&lt;'🌱 Configuração'!$D$51,INT(('🌱 Configuração'!$B$51+179-'🌱 Configuração'!$C$51)/7)+1=6,MOD('🌱 Configuração'!$B$51+179-'🌱 Configuração'!$C$51,7)=0),"🐛 Nim 2mL/L — ÚLTIMA foliar",IF(AND('🌱 Configuração'!$B$51+179&gt;='🌱 Configuração'!$D$51,'🌱 Configuração'!$B$51+179&lt;'🌱 Configuração'!$E$51,INT(('🌱 Configuração'!$B$51+179-'🌱 Configuração'!$D$51)/7)+1=1,MOD('🌱 Configuração'!$B$51+179-'🌱 Configuração'!$D$51,7)=0),"🐛 Beauveria bassiana solo (sem foliar)",IF(AND('🌱 Configuração'!$B$51+179&gt;='🌱 Configuração'!$D$51,'🌱 Configuração'!$B$51+179&lt;'🌱 Configuração'!$E$51,INT(('🌱 Configuração'!$B$51+179-'🌱 Configuração'!$D$51)/7)+1=2,MOD('🌱 Configuração'!$B$51+179-'🌱 Configuração'!$D$51,7)=0),"🐛 Trichoderma solo",IF(AND('🌱 Configuração'!$B$51+179&gt;='🌱 Configuração'!$D$51,'🌱 Configuração'!$B$51+179&lt;'🌱 Configuração'!$E$51,INT(('🌱 Configuração'!$B$51+179-'🌱 Configuração'!$D$51)/7)+1=3,MOD('🌱 Configuração'!$B$51+179-'🌱 Configuração'!$D$51,7)=0),"🐛 Beauveria bassiana solo",IF(AND('🌱 Configuração'!$B$51+179&gt;='🌱 Configuração'!$D$51,'🌱 Configuração'!$B$51+179&lt;'🌱 Configuração'!$E$51,INT(('🌱 Configuração'!$B$51+179-'🌱 Configuração'!$D$51)/7)+1=4,MOD('🌱 Configuração'!$B$51+179-'🌱 Configuração'!$D$51,7)=0),"🐛 Trichoderma solo",IF(AND('🌱 Configuração'!$B$51+179&gt;='🌱 Configuração'!$E$51,INT(('🌱 Configuração'!$B$51+179-'🌱 Configuração'!$E$51)/7)+1=1,MOD('🌱 Configuração'!$B$51+179-'🌱 Configuração'!$E$51,7)=0),"🐛 Inspeção final — sem aplicação",""))))))))))))))</f>
        <v/>
      </c>
      <c r="H185" s="22" t="str">
        <f>IF(180&gt;'🌱 Configuração'!$F$50,"",IF('🌱 Configuração'!$B$51+179='🌱 Configuração'!$C$51,"🌿 INÍCIO VEGA — ajustar espaço, luz 18h/dia — EC 0.8",IF('🌱 Configuração'!$B$51+179='🌱 Configuração'!$D$51,"🌸 INÍCIO FLORAÇÃO — mudar para 12h/12h — 🔴 atenção ao fotoperíodo",IF('🌱 Configuração'!$B$51+179='🌱 Configuração'!$E$51,"🚿 INÍCIO FLUSH — PARAR nutrição, somente água pura",IF('🌱 Configuração'!$B$51+179='🌱 Configuração'!$F$51-1,"🔬 Véspera da colheita — analisar tricomas âmbar",IF('🌱 Configuração'!$B$51+179='🌱 Configuração'!$F$51,"✂️ COLHEITA! Parabéns! 🎉",""))))))</f>
        <v/>
      </c>
    </row>
    <row r="186" spans="2:8" ht="18.75" customHeight="1" x14ac:dyDescent="0.3">
      <c r="B186" s="25" t="str">
        <f>IF(181&lt;='🌱 Configuração'!$F$50,181,"")</f>
        <v/>
      </c>
      <c r="C186" s="26" t="str">
        <f>IF(181&lt;='🌱 Configuração'!$F$50,'🌱 Configuração'!$B$51+180,"")</f>
        <v/>
      </c>
      <c r="D186" s="27" t="str">
        <f>IF(181&gt;'🌱 Configuração'!$F$50,"",IF('🌱 Configuração'!$B$51+180&lt;'🌱 Configuração'!$C$51,"🌱 Clone",IF('🌱 Configuração'!$B$51+180&lt;'🌱 Configuração'!$D$51,"🌿 Vegetativo",IF('🌱 Configuração'!$B$51+180&lt;'🌱 Configuração'!$E$51,"🌸 Floração","🚿 Flush"))))</f>
        <v/>
      </c>
      <c r="E186" s="28" t="str">
        <f>IF(181&gt;'🌱 Configuração'!$F$50,"",IF('🌱 Configuração'!$B$51+180&lt;'🌱 Configuração'!$C$51,"Clone S"&amp;INT((181-1)/7)+1,IF('🌱 Configuração'!$B$51+180&lt;'🌱 Configuração'!$D$51,"Vega S"&amp;INT(('🌱 Configuração'!$B$51+180-'🌱 Configuração'!$C$51)/7)+1,IF('🌱 Configuração'!$B$51+180&lt;'🌱 Configuração'!$E$51,"Flora S"&amp;INT(('🌱 Configuração'!$B$51+180-'🌱 Configuração'!$D$51)/7)+1,"Flush S"&amp;INT(('🌱 Configuração'!$B$51+180-'🌱 Configuração'!$E$51)/7)+1))))</f>
        <v/>
      </c>
      <c r="F186" s="29" t="str">
        <f>IF(181&gt;'🌱 Configuração'!$F$50,"",IF(AND('🌱 Configuração'!$B$51+180&lt;'🌱 Configuração'!$C$51,INT((181-1)/7)+1=1,MOD(181-1,7)=0),"🌱 Enraizador (0.5 mL/L)",IF(AND('🌱 Configuração'!$B$51+180&lt;'🌱 Configuração'!$C$51,INT((181-1)/7)+1=2,MOD(181-1,7)=0),"🌱 Enraizador + Vitamina B1",IF(AND('🌱 Configuração'!$B$51+180&gt;='🌱 Configuração'!$C$51,'🌱 Configuração'!$B$51+180&lt;'🌱 Configuração'!$D$51,INT(('🌱 Configuração'!$B$51+180-'🌱 Configuração'!$C$51)/7)+1=1,MOD('🌱 Configuração'!$B$51+180-'🌱 Configuração'!$C$51,7)=0),"🌿 Grow A+B início — EC 0.8",IF(AND('🌱 Configuração'!$B$51+180&gt;='🌱 Configuração'!$C$51,'🌱 Configuração'!$B$51+180&lt;'🌱 Configuração'!$D$51,INT(('🌱 Configuração'!$B$51+180-'🌱 Configuração'!$C$51)/7)+1=2,MOD('🌱 Configuração'!$B$51+180-'🌱 Configuração'!$C$51,7)=0),"🌿 Grow A+B + CalMag — EC 1.0",IF(AND('🌱 Configuração'!$B$51+180&gt;='🌱 Configuração'!$C$51,'🌱 Configuração'!$B$51+180&lt;'🌱 Configuração'!$D$51,INT(('🌱 Configuração'!$B$51+180-'🌱 Configuração'!$C$51)/7)+1=3,MOD('🌱 Configuração'!$B$51+180-'🌱 Configuração'!$C$51,7)=0),"🌿 Grow A+B + CalMag — EC 1.2",IF(AND('🌱 Configuração'!$B$51+180&gt;='🌱 Configuração'!$C$51,'🌱 Configuração'!$B$51+180&lt;'🌱 Configuração'!$D$51,INT(('🌱 Configuração'!$B$51+180-'🌱 Configuração'!$C$51)/7)+1=4,MOD('🌱 Configuração'!$B$51+180-'🌱 Configuração'!$C$51,7)=0),"🌿 Grow A+B + Enzimas — EC 1.4",IF(AND('🌱 Configuração'!$B$51+180&gt;='🌱 Configuração'!$C$51,'🌱 Configuração'!$B$51+180&lt;'🌱 Configuração'!$D$51,INT(('🌱 Configuração'!$B$51+180-'🌱 Configuração'!$C$51)/7)+1=5,MOD('🌱 Configuração'!$B$51+180-'🌱 Configuração'!$C$51,7)=0),"🌿 Grow A+B + Biorrizas — EC 1.5",IF(AND('🌱 Configuração'!$B$51+180&gt;='🌱 Configuração'!$C$51,'🌱 Configuração'!$B$51+180&lt;'🌱 Configuração'!$D$51,INT(('🌱 Configuração'!$B$51+180-'🌱 Configuração'!$C$51)/7)+1=6,MOD('🌱 Configuração'!$B$51+180-'🌱 Configuração'!$C$51,7)=0),"🌿 Transição Bloom — EC 1.4",IF(AND('🌱 Configuração'!$B$51+180&gt;='🌱 Configuração'!$C$51,'🌱 Configuração'!$B$51+180&lt;'🌱 Configuração'!$D$51,INT(('🌱 Configuração'!$B$51+180-'🌱 Configuração'!$C$51)/7)+1=7,MOD('🌱 Configuração'!$B$51+180-'🌱 Configuração'!$C$51,7)=0),"🌿 Bloom A+B transição — EC 1.4",IF(AND('🌱 Configuração'!$B$51+180&gt;='🌱 Configuração'!$C$51,'🌱 Configuração'!$B$51+180&lt;'🌱 Configuração'!$D$51,INT(('🌱 Configuração'!$B$51+180-'🌱 Configuração'!$C$51)/7)+1=8,MOD('🌱 Configuração'!$B$51+180-'🌱 Configuração'!$C$51,7)=0),"🌿 Bloom A+B — EC 1.4",IF(AND('🌱 Configuração'!$B$51+180&gt;='🌱 Configuração'!$D$51,'🌱 Configuração'!$B$51+180&lt;'🌱 Configuração'!$E$51,INT(('🌱 Configuração'!$B$51+180-'🌱 Configuração'!$D$51)/7)+1=1,MOD('🌱 Configuração'!$B$51+180-'🌱 Configuração'!$D$51,7)=0),"🌸 Bloom A+B — EC 1.6",IF(AND('🌱 Configuração'!$B$51+180&gt;='🌱 Configuração'!$D$51,'🌱 Configuração'!$B$51+180&lt;'🌱 Configuração'!$E$51,INT(('🌱 Configuração'!$B$51+180-'🌱 Configuração'!$D$51)/7)+1=2,MOD('🌱 Configuração'!$B$51+180-'🌱 Configuração'!$D$51,7)=0),"🌸 Bloom + PK 13/14 início",IF(AND('🌱 Configuração'!$B$51+180&gt;='🌱 Configuração'!$D$51,'🌱 Configuração'!$B$51+180&lt;'🌱 Configuração'!$E$51,INT(('🌱 Configuração'!$B$51+180-'🌱 Configuração'!$D$51)/7)+1=3,MOD('🌱 Configuração'!$B$51+180-'🌱 Configuração'!$D$51,7)=0),"🌸 Bloom + PK + CalMag — EC 1.8",IF(AND('🌱 Configuração'!$B$51+180&gt;='🌱 Configuração'!$D$51,'🌱 Configuração'!$B$51+180&lt;'🌱 Configuração'!$E$51,INT(('🌱 Configuração'!$B$51+180-'🌱 Configuração'!$D$51)/7)+1=4,MOD('🌱 Configuração'!$B$51+180-'🌱 Configuração'!$D$51,7)=0),"🌸 Bloom + PK + Boost Floral — EC 2.0",IF(AND('🌱 Configuração'!$B$51+180&gt;='🌱 Configuração'!$D$51,'🌱 Configuração'!$B$51+180&lt;'🌱 Configuração'!$E$51,INT(('🌱 Configuração'!$B$51+180-'🌱 Configuração'!$D$51)/7)+1=5,MOD('🌱 Configuração'!$B$51+180-'🌱 Configuração'!$D$51,7)=0),"🌸 Bloom + Boost + Amino",IF(AND('🌱 Configuração'!$B$51+180&gt;='🌱 Configuração'!$D$51,'🌱 Configuração'!$B$51+180&lt;'🌱 Configuração'!$E$51,INT(('🌱 Configuração'!$B$51+180-'🌱 Configuração'!$D$51)/7)+1=6,MOD('🌱 Configuração'!$B$51+180-'🌱 Configuração'!$D$51,7)=0),"🌸 Bloom + Enzimas + Amino",IF(AND('🌱 Configuração'!$B$51+180&gt;='🌱 Configuração'!$D$51,'🌱 Configuração'!$B$51+180&lt;'🌱 Configuração'!$E$51,INT(('🌱 Configuração'!$B$51+180-'🌱 Configuração'!$D$51)/7)+1=7,MOD('🌱 Configuração'!$B$51+180-'🌱 Configuração'!$D$51,7)=0),"🌸 Reduzir N — Bloom puro — EC 1.6",IF(AND('🌱 Configuração'!$B$51+180&gt;='🌱 Configuração'!$D$51,'🌱 Configuração'!$B$51+180&lt;'🌱 Configuração'!$E$51,INT(('🌱 Configuração'!$B$51+180-'🌱 Configuração'!$D$51)/7)+1=8,MOD('🌱 Configuração'!$B$51+180-'🌱 Configuração'!$D$51,7)=0),"🌸 Bloom puro — EC 1.4  (pré-flush)",IF(AND('🌱 Configuração'!$B$51+180&gt;='🌱 Configuração'!$D$51,'🌱 Configuração'!$B$51+180&lt;'🌱 Configuração'!$E$51,INT(('🌱 Configuração'!$B$51+180-'🌱 Configuração'!$D$51)/7)+1=9,MOD('🌱 Configuração'!$B$51+180-'🌱 Configuração'!$D$51,7)=0),"🌸 Último Bloom — EC 0.8",IF(AND('🌱 Configuração'!$B$51+180&gt;='🌱 Configuração'!$E$51,INT(('🌱 Configuração'!$B$51+180-'🌱 Configuração'!$E$51)/7)+1=1,MOD('🌱 Configuração'!$B$51+180-'🌱 Configuração'!$E$51,7)=0),"🚿 Água pura + Enzimas (EC &lt; 0.3)",IF(AND('🌱 Configuração'!$B$51+180&gt;='🌱 Configuração'!$E$51,INT(('🌱 Configuração'!$B$51+180-'🌱 Configuração'!$E$51)/7)+1=2,MOD('🌱 Configuração'!$B$51+180-'🌱 Configuração'!$E$51,7)=0),"🚿 Água pura (EC &lt; 0.2)",""))))))))))))))))))))))</f>
        <v/>
      </c>
      <c r="G186" s="30" t="str">
        <f>IF(181&gt;'🌱 Configuração'!$F$50,"",IF(AND('🌱 Configuração'!$B$51+180&lt;'🌱 Configuração'!$C$51,INT((181-1)/7)+1=1,MOD(181-1,7)=0),"🐛 Nim 2mL/L foliar — preventivo",IF(AND('🌱 Configuração'!$B$51+180&lt;'🌱 Configuração'!$C$51,INT((181-1)/7)+1=2,MOD(181-1,7)=0),"🐛 Beauveria bassiana foliar + solo",IF(AND('🌱 Configuração'!$B$51+180&gt;='🌱 Configuração'!$C$51,'🌱 Configuração'!$B$51+180&lt;'🌱 Configuração'!$D$51,INT(('🌱 Configuração'!$B$51+180-'🌱 Configuração'!$C$51)/7)+1=1,MOD('🌱 Configuração'!$B$51+180-'🌱 Configuração'!$C$51,7)=0),"🐛 Nim 2mL/L foliar",IF(AND('🌱 Configuração'!$B$51+180&gt;='🌱 Configuração'!$C$51,'🌱 Configuração'!$B$51+180&lt;'🌱 Configuração'!$D$51,INT(('🌱 Configuração'!$B$51+180-'🌱 Configuração'!$C$51)/7)+1=2,MOD('🌱 Configuração'!$B$51+180-'🌱 Configuração'!$C$51,7)=0),"🐛 Beauveria bassiana foliar",IF(AND('🌱 Configuração'!$B$51+180&gt;='🌱 Configuração'!$C$51,'🌱 Configuração'!$B$51+180&lt;'🌱 Configuração'!$D$51,INT(('🌱 Configuração'!$B$51+180-'🌱 Configuração'!$C$51)/7)+1=3,MOD('🌱 Configuração'!$B$51+180-'🌱 Configuração'!$C$51,7)=0),"🐛 Nim + Calda Sulfocálcica 1%",IF(AND('🌱 Configuração'!$B$51+180&gt;='🌱 Configuração'!$C$51,'🌱 Configuração'!$B$51+180&lt;'🌱 Configuração'!$D$51,INT(('🌱 Configuração'!$B$51+180-'🌱 Configuração'!$C$51)/7)+1=4,MOD('🌱 Configuração'!$B$51+180-'🌱 Configuração'!$C$51,7)=0),"🐛 Trichoderma solo + Beauveria",IF(AND('🌱 Configuração'!$B$51+180&gt;='🌱 Configuração'!$C$51,'🌱 Configuração'!$B$51+180&lt;'🌱 Configuração'!$D$51,INT(('🌱 Configuração'!$B$51+180-'🌱 Configuração'!$C$51)/7)+1=5,MOD('🌱 Configuração'!$B$51+180-'🌱 Configuração'!$C$51,7)=0),"🐛 Calda Bordalesa 0.5% foliar",IF(AND('🌱 Configuração'!$B$51+180&gt;='🌱 Configuração'!$C$51,'🌱 Configuração'!$B$51+180&lt;'🌱 Configuração'!$D$51,INT(('🌱 Configuração'!$B$51+180-'🌱 Configuração'!$C$51)/7)+1=6,MOD('🌱 Configuração'!$B$51+180-'🌱 Configuração'!$C$51,7)=0),"🐛 Nim 2mL/L — ÚLTIMA foliar",IF(AND('🌱 Configuração'!$B$51+180&gt;='🌱 Configuração'!$D$51,'🌱 Configuração'!$B$51+180&lt;'🌱 Configuração'!$E$51,INT(('🌱 Configuração'!$B$51+180-'🌱 Configuração'!$D$51)/7)+1=1,MOD('🌱 Configuração'!$B$51+180-'🌱 Configuração'!$D$51,7)=0),"🐛 Beauveria bassiana solo (sem foliar)",IF(AND('🌱 Configuração'!$B$51+180&gt;='🌱 Configuração'!$D$51,'🌱 Configuração'!$B$51+180&lt;'🌱 Configuração'!$E$51,INT(('🌱 Configuração'!$B$51+180-'🌱 Configuração'!$D$51)/7)+1=2,MOD('🌱 Configuração'!$B$51+180-'🌱 Configuração'!$D$51,7)=0),"🐛 Trichoderma solo",IF(AND('🌱 Configuração'!$B$51+180&gt;='🌱 Configuração'!$D$51,'🌱 Configuração'!$B$51+180&lt;'🌱 Configuração'!$E$51,INT(('🌱 Configuração'!$B$51+180-'🌱 Configuração'!$D$51)/7)+1=3,MOD('🌱 Configuração'!$B$51+180-'🌱 Configuração'!$D$51,7)=0),"🐛 Beauveria bassiana solo",IF(AND('🌱 Configuração'!$B$51+180&gt;='🌱 Configuração'!$D$51,'🌱 Configuração'!$B$51+180&lt;'🌱 Configuração'!$E$51,INT(('🌱 Configuração'!$B$51+180-'🌱 Configuração'!$D$51)/7)+1=4,MOD('🌱 Configuração'!$B$51+180-'🌱 Configuração'!$D$51,7)=0),"🐛 Trichoderma solo",IF(AND('🌱 Configuração'!$B$51+180&gt;='🌱 Configuração'!$E$51,INT(('🌱 Configuração'!$B$51+180-'🌱 Configuração'!$E$51)/7)+1=1,MOD('🌱 Configuração'!$B$51+180-'🌱 Configuração'!$E$51,7)=0),"🐛 Inspeção final — sem aplicação",""))))))))))))))</f>
        <v/>
      </c>
      <c r="H186" s="22" t="str">
        <f>IF(181&gt;'🌱 Configuração'!$F$50,"",IF('🌱 Configuração'!$B$51+180='🌱 Configuração'!$C$51,"🌿 INÍCIO VEGA — ajustar espaço, luz 18h/dia — EC 0.8",IF('🌱 Configuração'!$B$51+180='🌱 Configuração'!$D$51,"🌸 INÍCIO FLORAÇÃO — mudar para 12h/12h — 🔴 atenção ao fotoperíodo",IF('🌱 Configuração'!$B$51+180='🌱 Configuração'!$E$51,"🚿 INÍCIO FLUSH — PARAR nutrição, somente água pura",IF('🌱 Configuração'!$B$51+180='🌱 Configuração'!$F$51-1,"🔬 Véspera da colheita — analisar tricomas âmbar",IF('🌱 Configuração'!$B$51+180='🌱 Configuração'!$F$51,"✂️ COLHEITA! Parabéns! 🎉",""))))))</f>
        <v/>
      </c>
    </row>
    <row r="187" spans="2:8" ht="18.75" customHeight="1" x14ac:dyDescent="0.3">
      <c r="B187" s="25" t="str">
        <f>IF(182&lt;='🌱 Configuração'!$F$50,182,"")</f>
        <v/>
      </c>
      <c r="C187" s="26" t="str">
        <f>IF(182&lt;='🌱 Configuração'!$F$50,'🌱 Configuração'!$B$51+181,"")</f>
        <v/>
      </c>
      <c r="D187" s="27" t="str">
        <f>IF(182&gt;'🌱 Configuração'!$F$50,"",IF('🌱 Configuração'!$B$51+181&lt;'🌱 Configuração'!$C$51,"🌱 Clone",IF('🌱 Configuração'!$B$51+181&lt;'🌱 Configuração'!$D$51,"🌿 Vegetativo",IF('🌱 Configuração'!$B$51+181&lt;'🌱 Configuração'!$E$51,"🌸 Floração","🚿 Flush"))))</f>
        <v/>
      </c>
      <c r="E187" s="28" t="str">
        <f>IF(182&gt;'🌱 Configuração'!$F$50,"",IF('🌱 Configuração'!$B$51+181&lt;'🌱 Configuração'!$C$51,"Clone S"&amp;INT((182-1)/7)+1,IF('🌱 Configuração'!$B$51+181&lt;'🌱 Configuração'!$D$51,"Vega S"&amp;INT(('🌱 Configuração'!$B$51+181-'🌱 Configuração'!$C$51)/7)+1,IF('🌱 Configuração'!$B$51+181&lt;'🌱 Configuração'!$E$51,"Flora S"&amp;INT(('🌱 Configuração'!$B$51+181-'🌱 Configuração'!$D$51)/7)+1,"Flush S"&amp;INT(('🌱 Configuração'!$B$51+181-'🌱 Configuração'!$E$51)/7)+1))))</f>
        <v/>
      </c>
      <c r="F187" s="29" t="str">
        <f>IF(182&gt;'🌱 Configuração'!$F$50,"",IF(AND('🌱 Configuração'!$B$51+181&lt;'🌱 Configuração'!$C$51,INT((182-1)/7)+1=1,MOD(182-1,7)=0),"🌱 Enraizador (0.5 mL/L)",IF(AND('🌱 Configuração'!$B$51+181&lt;'🌱 Configuração'!$C$51,INT((182-1)/7)+1=2,MOD(182-1,7)=0),"🌱 Enraizador + Vitamina B1",IF(AND('🌱 Configuração'!$B$51+181&gt;='🌱 Configuração'!$C$51,'🌱 Configuração'!$B$51+181&lt;'🌱 Configuração'!$D$51,INT(('🌱 Configuração'!$B$51+181-'🌱 Configuração'!$C$51)/7)+1=1,MOD('🌱 Configuração'!$B$51+181-'🌱 Configuração'!$C$51,7)=0),"🌿 Grow A+B início — EC 0.8",IF(AND('🌱 Configuração'!$B$51+181&gt;='🌱 Configuração'!$C$51,'🌱 Configuração'!$B$51+181&lt;'🌱 Configuração'!$D$51,INT(('🌱 Configuração'!$B$51+181-'🌱 Configuração'!$C$51)/7)+1=2,MOD('🌱 Configuração'!$B$51+181-'🌱 Configuração'!$C$51,7)=0),"🌿 Grow A+B + CalMag — EC 1.0",IF(AND('🌱 Configuração'!$B$51+181&gt;='🌱 Configuração'!$C$51,'🌱 Configuração'!$B$51+181&lt;'🌱 Configuração'!$D$51,INT(('🌱 Configuração'!$B$51+181-'🌱 Configuração'!$C$51)/7)+1=3,MOD('🌱 Configuração'!$B$51+181-'🌱 Configuração'!$C$51,7)=0),"🌿 Grow A+B + CalMag — EC 1.2",IF(AND('🌱 Configuração'!$B$51+181&gt;='🌱 Configuração'!$C$51,'🌱 Configuração'!$B$51+181&lt;'🌱 Configuração'!$D$51,INT(('🌱 Configuração'!$B$51+181-'🌱 Configuração'!$C$51)/7)+1=4,MOD('🌱 Configuração'!$B$51+181-'🌱 Configuração'!$C$51,7)=0),"🌿 Grow A+B + Enzimas — EC 1.4",IF(AND('🌱 Configuração'!$B$51+181&gt;='🌱 Configuração'!$C$51,'🌱 Configuração'!$B$51+181&lt;'🌱 Configuração'!$D$51,INT(('🌱 Configuração'!$B$51+181-'🌱 Configuração'!$C$51)/7)+1=5,MOD('🌱 Configuração'!$B$51+181-'🌱 Configuração'!$C$51,7)=0),"🌿 Grow A+B + Biorrizas — EC 1.5",IF(AND('🌱 Configuração'!$B$51+181&gt;='🌱 Configuração'!$C$51,'🌱 Configuração'!$B$51+181&lt;'🌱 Configuração'!$D$51,INT(('🌱 Configuração'!$B$51+181-'🌱 Configuração'!$C$51)/7)+1=6,MOD('🌱 Configuração'!$B$51+181-'🌱 Configuração'!$C$51,7)=0),"🌿 Transição Bloom — EC 1.4",IF(AND('🌱 Configuração'!$B$51+181&gt;='🌱 Configuração'!$C$51,'🌱 Configuração'!$B$51+181&lt;'🌱 Configuração'!$D$51,INT(('🌱 Configuração'!$B$51+181-'🌱 Configuração'!$C$51)/7)+1=7,MOD('🌱 Configuração'!$B$51+181-'🌱 Configuração'!$C$51,7)=0),"🌿 Bloom A+B transição — EC 1.4",IF(AND('🌱 Configuração'!$B$51+181&gt;='🌱 Configuração'!$C$51,'🌱 Configuração'!$B$51+181&lt;'🌱 Configuração'!$D$51,INT(('🌱 Configuração'!$B$51+181-'🌱 Configuração'!$C$51)/7)+1=8,MOD('🌱 Configuração'!$B$51+181-'🌱 Configuração'!$C$51,7)=0),"🌿 Bloom A+B — EC 1.4",IF(AND('🌱 Configuração'!$B$51+181&gt;='🌱 Configuração'!$D$51,'🌱 Configuração'!$B$51+181&lt;'🌱 Configuração'!$E$51,INT(('🌱 Configuração'!$B$51+181-'🌱 Configuração'!$D$51)/7)+1=1,MOD('🌱 Configuração'!$B$51+181-'🌱 Configuração'!$D$51,7)=0),"🌸 Bloom A+B — EC 1.6",IF(AND('🌱 Configuração'!$B$51+181&gt;='🌱 Configuração'!$D$51,'🌱 Configuração'!$B$51+181&lt;'🌱 Configuração'!$E$51,INT(('🌱 Configuração'!$B$51+181-'🌱 Configuração'!$D$51)/7)+1=2,MOD('🌱 Configuração'!$B$51+181-'🌱 Configuração'!$D$51,7)=0),"🌸 Bloom + PK 13/14 início",IF(AND('🌱 Configuração'!$B$51+181&gt;='🌱 Configuração'!$D$51,'🌱 Configuração'!$B$51+181&lt;'🌱 Configuração'!$E$51,INT(('🌱 Configuração'!$B$51+181-'🌱 Configuração'!$D$51)/7)+1=3,MOD('🌱 Configuração'!$B$51+181-'🌱 Configuração'!$D$51,7)=0),"🌸 Bloom + PK + CalMag — EC 1.8",IF(AND('🌱 Configuração'!$B$51+181&gt;='🌱 Configuração'!$D$51,'🌱 Configuração'!$B$51+181&lt;'🌱 Configuração'!$E$51,INT(('🌱 Configuração'!$B$51+181-'🌱 Configuração'!$D$51)/7)+1=4,MOD('🌱 Configuração'!$B$51+181-'🌱 Configuração'!$D$51,7)=0),"🌸 Bloom + PK + Boost Floral — EC 2.0",IF(AND('🌱 Configuração'!$B$51+181&gt;='🌱 Configuração'!$D$51,'🌱 Configuração'!$B$51+181&lt;'🌱 Configuração'!$E$51,INT(('🌱 Configuração'!$B$51+181-'🌱 Configuração'!$D$51)/7)+1=5,MOD('🌱 Configuração'!$B$51+181-'🌱 Configuração'!$D$51,7)=0),"🌸 Bloom + Boost + Amino",IF(AND('🌱 Configuração'!$B$51+181&gt;='🌱 Configuração'!$D$51,'🌱 Configuração'!$B$51+181&lt;'🌱 Configuração'!$E$51,INT(('🌱 Configuração'!$B$51+181-'🌱 Configuração'!$D$51)/7)+1=6,MOD('🌱 Configuração'!$B$51+181-'🌱 Configuração'!$D$51,7)=0),"🌸 Bloom + Enzimas + Amino",IF(AND('🌱 Configuração'!$B$51+181&gt;='🌱 Configuração'!$D$51,'🌱 Configuração'!$B$51+181&lt;'🌱 Configuração'!$E$51,INT(('🌱 Configuração'!$B$51+181-'🌱 Configuração'!$D$51)/7)+1=7,MOD('🌱 Configuração'!$B$51+181-'🌱 Configuração'!$D$51,7)=0),"🌸 Reduzir N — Bloom puro — EC 1.6",IF(AND('🌱 Configuração'!$B$51+181&gt;='🌱 Configuração'!$D$51,'🌱 Configuração'!$B$51+181&lt;'🌱 Configuração'!$E$51,INT(('🌱 Configuração'!$B$51+181-'🌱 Configuração'!$D$51)/7)+1=8,MOD('🌱 Configuração'!$B$51+181-'🌱 Configuração'!$D$51,7)=0),"🌸 Bloom puro — EC 1.4  (pré-flush)",IF(AND('🌱 Configuração'!$B$51+181&gt;='🌱 Configuração'!$D$51,'🌱 Configuração'!$B$51+181&lt;'🌱 Configuração'!$E$51,INT(('🌱 Configuração'!$B$51+181-'🌱 Configuração'!$D$51)/7)+1=9,MOD('🌱 Configuração'!$B$51+181-'🌱 Configuração'!$D$51,7)=0),"🌸 Último Bloom — EC 0.8",IF(AND('🌱 Configuração'!$B$51+181&gt;='🌱 Configuração'!$E$51,INT(('🌱 Configuração'!$B$51+181-'🌱 Configuração'!$E$51)/7)+1=1,MOD('🌱 Configuração'!$B$51+181-'🌱 Configuração'!$E$51,7)=0),"🚿 Água pura + Enzimas (EC &lt; 0.3)",IF(AND('🌱 Configuração'!$B$51+181&gt;='🌱 Configuração'!$E$51,INT(('🌱 Configuração'!$B$51+181-'🌱 Configuração'!$E$51)/7)+1=2,MOD('🌱 Configuração'!$B$51+181-'🌱 Configuração'!$E$51,7)=0),"🚿 Água pura (EC &lt; 0.2)",""))))))))))))))))))))))</f>
        <v/>
      </c>
      <c r="G187" s="30" t="str">
        <f>IF(182&gt;'🌱 Configuração'!$F$50,"",IF(AND('🌱 Configuração'!$B$51+181&lt;'🌱 Configuração'!$C$51,INT((182-1)/7)+1=1,MOD(182-1,7)=0),"🐛 Nim 2mL/L foliar — preventivo",IF(AND('🌱 Configuração'!$B$51+181&lt;'🌱 Configuração'!$C$51,INT((182-1)/7)+1=2,MOD(182-1,7)=0),"🐛 Beauveria bassiana foliar + solo",IF(AND('🌱 Configuração'!$B$51+181&gt;='🌱 Configuração'!$C$51,'🌱 Configuração'!$B$51+181&lt;'🌱 Configuração'!$D$51,INT(('🌱 Configuração'!$B$51+181-'🌱 Configuração'!$C$51)/7)+1=1,MOD('🌱 Configuração'!$B$51+181-'🌱 Configuração'!$C$51,7)=0),"🐛 Nim 2mL/L foliar",IF(AND('🌱 Configuração'!$B$51+181&gt;='🌱 Configuração'!$C$51,'🌱 Configuração'!$B$51+181&lt;'🌱 Configuração'!$D$51,INT(('🌱 Configuração'!$B$51+181-'🌱 Configuração'!$C$51)/7)+1=2,MOD('🌱 Configuração'!$B$51+181-'🌱 Configuração'!$C$51,7)=0),"🐛 Beauveria bassiana foliar",IF(AND('🌱 Configuração'!$B$51+181&gt;='🌱 Configuração'!$C$51,'🌱 Configuração'!$B$51+181&lt;'🌱 Configuração'!$D$51,INT(('🌱 Configuração'!$B$51+181-'🌱 Configuração'!$C$51)/7)+1=3,MOD('🌱 Configuração'!$B$51+181-'🌱 Configuração'!$C$51,7)=0),"🐛 Nim + Calda Sulfocálcica 1%",IF(AND('🌱 Configuração'!$B$51+181&gt;='🌱 Configuração'!$C$51,'🌱 Configuração'!$B$51+181&lt;'🌱 Configuração'!$D$51,INT(('🌱 Configuração'!$B$51+181-'🌱 Configuração'!$C$51)/7)+1=4,MOD('🌱 Configuração'!$B$51+181-'🌱 Configuração'!$C$51,7)=0),"🐛 Trichoderma solo + Beauveria",IF(AND('🌱 Configuração'!$B$51+181&gt;='🌱 Configuração'!$C$51,'🌱 Configuração'!$B$51+181&lt;'🌱 Configuração'!$D$51,INT(('🌱 Configuração'!$B$51+181-'🌱 Configuração'!$C$51)/7)+1=5,MOD('🌱 Configuração'!$B$51+181-'🌱 Configuração'!$C$51,7)=0),"🐛 Calda Bordalesa 0.5% foliar",IF(AND('🌱 Configuração'!$B$51+181&gt;='🌱 Configuração'!$C$51,'🌱 Configuração'!$B$51+181&lt;'🌱 Configuração'!$D$51,INT(('🌱 Configuração'!$B$51+181-'🌱 Configuração'!$C$51)/7)+1=6,MOD('🌱 Configuração'!$B$51+181-'🌱 Configuração'!$C$51,7)=0),"🐛 Nim 2mL/L — ÚLTIMA foliar",IF(AND('🌱 Configuração'!$B$51+181&gt;='🌱 Configuração'!$D$51,'🌱 Configuração'!$B$51+181&lt;'🌱 Configuração'!$E$51,INT(('🌱 Configuração'!$B$51+181-'🌱 Configuração'!$D$51)/7)+1=1,MOD('🌱 Configuração'!$B$51+181-'🌱 Configuração'!$D$51,7)=0),"🐛 Beauveria bassiana solo (sem foliar)",IF(AND('🌱 Configuração'!$B$51+181&gt;='🌱 Configuração'!$D$51,'🌱 Configuração'!$B$51+181&lt;'🌱 Configuração'!$E$51,INT(('🌱 Configuração'!$B$51+181-'🌱 Configuração'!$D$51)/7)+1=2,MOD('🌱 Configuração'!$B$51+181-'🌱 Configuração'!$D$51,7)=0),"🐛 Trichoderma solo",IF(AND('🌱 Configuração'!$B$51+181&gt;='🌱 Configuração'!$D$51,'🌱 Configuração'!$B$51+181&lt;'🌱 Configuração'!$E$51,INT(('🌱 Configuração'!$B$51+181-'🌱 Configuração'!$D$51)/7)+1=3,MOD('🌱 Configuração'!$B$51+181-'🌱 Configuração'!$D$51,7)=0),"🐛 Beauveria bassiana solo",IF(AND('🌱 Configuração'!$B$51+181&gt;='🌱 Configuração'!$D$51,'🌱 Configuração'!$B$51+181&lt;'🌱 Configuração'!$E$51,INT(('🌱 Configuração'!$B$51+181-'🌱 Configuração'!$D$51)/7)+1=4,MOD('🌱 Configuração'!$B$51+181-'🌱 Configuração'!$D$51,7)=0),"🐛 Trichoderma solo",IF(AND('🌱 Configuração'!$B$51+181&gt;='🌱 Configuração'!$E$51,INT(('🌱 Configuração'!$B$51+181-'🌱 Configuração'!$E$51)/7)+1=1,MOD('🌱 Configuração'!$B$51+181-'🌱 Configuração'!$E$51,7)=0),"🐛 Inspeção final — sem aplicação",""))))))))))))))</f>
        <v/>
      </c>
      <c r="H187" s="22" t="str">
        <f>IF(182&gt;'🌱 Configuração'!$F$50,"",IF('🌱 Configuração'!$B$51+181='🌱 Configuração'!$C$51,"🌿 INÍCIO VEGA — ajustar espaço, luz 18h/dia — EC 0.8",IF('🌱 Configuração'!$B$51+181='🌱 Configuração'!$D$51,"🌸 INÍCIO FLORAÇÃO — mudar para 12h/12h — 🔴 atenção ao fotoperíodo",IF('🌱 Configuração'!$B$51+181='🌱 Configuração'!$E$51,"🚿 INÍCIO FLUSH — PARAR nutrição, somente água pura",IF('🌱 Configuração'!$B$51+181='🌱 Configuração'!$F$51-1,"🔬 Véspera da colheita — analisar tricomas âmbar",IF('🌱 Configuração'!$B$51+181='🌱 Configuração'!$F$51,"✂️ COLHEITA! Parabéns! 🎉",""))))))</f>
        <v/>
      </c>
    </row>
    <row r="188" spans="2:8" ht="18.75" customHeight="1" x14ac:dyDescent="0.3">
      <c r="B188" s="25" t="str">
        <f>IF(183&lt;='🌱 Configuração'!$F$50,183,"")</f>
        <v/>
      </c>
      <c r="C188" s="26" t="str">
        <f>IF(183&lt;='🌱 Configuração'!$F$50,'🌱 Configuração'!$B$51+182,"")</f>
        <v/>
      </c>
      <c r="D188" s="27" t="str">
        <f>IF(183&gt;'🌱 Configuração'!$F$50,"",IF('🌱 Configuração'!$B$51+182&lt;'🌱 Configuração'!$C$51,"🌱 Clone",IF('🌱 Configuração'!$B$51+182&lt;'🌱 Configuração'!$D$51,"🌿 Vegetativo",IF('🌱 Configuração'!$B$51+182&lt;'🌱 Configuração'!$E$51,"🌸 Floração","🚿 Flush"))))</f>
        <v/>
      </c>
      <c r="E188" s="28" t="str">
        <f>IF(183&gt;'🌱 Configuração'!$F$50,"",IF('🌱 Configuração'!$B$51+182&lt;'🌱 Configuração'!$C$51,"Clone S"&amp;INT((183-1)/7)+1,IF('🌱 Configuração'!$B$51+182&lt;'🌱 Configuração'!$D$51,"Vega S"&amp;INT(('🌱 Configuração'!$B$51+182-'🌱 Configuração'!$C$51)/7)+1,IF('🌱 Configuração'!$B$51+182&lt;'🌱 Configuração'!$E$51,"Flora S"&amp;INT(('🌱 Configuração'!$B$51+182-'🌱 Configuração'!$D$51)/7)+1,"Flush S"&amp;INT(('🌱 Configuração'!$B$51+182-'🌱 Configuração'!$E$51)/7)+1))))</f>
        <v/>
      </c>
      <c r="F188" s="29" t="str">
        <f>IF(183&gt;'🌱 Configuração'!$F$50,"",IF(AND('🌱 Configuração'!$B$51+182&lt;'🌱 Configuração'!$C$51,INT((183-1)/7)+1=1,MOD(183-1,7)=0),"🌱 Enraizador (0.5 mL/L)",IF(AND('🌱 Configuração'!$B$51+182&lt;'🌱 Configuração'!$C$51,INT((183-1)/7)+1=2,MOD(183-1,7)=0),"🌱 Enraizador + Vitamina B1",IF(AND('🌱 Configuração'!$B$51+182&gt;='🌱 Configuração'!$C$51,'🌱 Configuração'!$B$51+182&lt;'🌱 Configuração'!$D$51,INT(('🌱 Configuração'!$B$51+182-'🌱 Configuração'!$C$51)/7)+1=1,MOD('🌱 Configuração'!$B$51+182-'🌱 Configuração'!$C$51,7)=0),"🌿 Grow A+B início — EC 0.8",IF(AND('🌱 Configuração'!$B$51+182&gt;='🌱 Configuração'!$C$51,'🌱 Configuração'!$B$51+182&lt;'🌱 Configuração'!$D$51,INT(('🌱 Configuração'!$B$51+182-'🌱 Configuração'!$C$51)/7)+1=2,MOD('🌱 Configuração'!$B$51+182-'🌱 Configuração'!$C$51,7)=0),"🌿 Grow A+B + CalMag — EC 1.0",IF(AND('🌱 Configuração'!$B$51+182&gt;='🌱 Configuração'!$C$51,'🌱 Configuração'!$B$51+182&lt;'🌱 Configuração'!$D$51,INT(('🌱 Configuração'!$B$51+182-'🌱 Configuração'!$C$51)/7)+1=3,MOD('🌱 Configuração'!$B$51+182-'🌱 Configuração'!$C$51,7)=0),"🌿 Grow A+B + CalMag — EC 1.2",IF(AND('🌱 Configuração'!$B$51+182&gt;='🌱 Configuração'!$C$51,'🌱 Configuração'!$B$51+182&lt;'🌱 Configuração'!$D$51,INT(('🌱 Configuração'!$B$51+182-'🌱 Configuração'!$C$51)/7)+1=4,MOD('🌱 Configuração'!$B$51+182-'🌱 Configuração'!$C$51,7)=0),"🌿 Grow A+B + Enzimas — EC 1.4",IF(AND('🌱 Configuração'!$B$51+182&gt;='🌱 Configuração'!$C$51,'🌱 Configuração'!$B$51+182&lt;'🌱 Configuração'!$D$51,INT(('🌱 Configuração'!$B$51+182-'🌱 Configuração'!$C$51)/7)+1=5,MOD('🌱 Configuração'!$B$51+182-'🌱 Configuração'!$C$51,7)=0),"🌿 Grow A+B + Biorrizas — EC 1.5",IF(AND('🌱 Configuração'!$B$51+182&gt;='🌱 Configuração'!$C$51,'🌱 Configuração'!$B$51+182&lt;'🌱 Configuração'!$D$51,INT(('🌱 Configuração'!$B$51+182-'🌱 Configuração'!$C$51)/7)+1=6,MOD('🌱 Configuração'!$B$51+182-'🌱 Configuração'!$C$51,7)=0),"🌿 Transição Bloom — EC 1.4",IF(AND('🌱 Configuração'!$B$51+182&gt;='🌱 Configuração'!$C$51,'🌱 Configuração'!$B$51+182&lt;'🌱 Configuração'!$D$51,INT(('🌱 Configuração'!$B$51+182-'🌱 Configuração'!$C$51)/7)+1=7,MOD('🌱 Configuração'!$B$51+182-'🌱 Configuração'!$C$51,7)=0),"🌿 Bloom A+B transição — EC 1.4",IF(AND('🌱 Configuração'!$B$51+182&gt;='🌱 Configuração'!$C$51,'🌱 Configuração'!$B$51+182&lt;'🌱 Configuração'!$D$51,INT(('🌱 Configuração'!$B$51+182-'🌱 Configuração'!$C$51)/7)+1=8,MOD('🌱 Configuração'!$B$51+182-'🌱 Configuração'!$C$51,7)=0),"🌿 Bloom A+B — EC 1.4",IF(AND('🌱 Configuração'!$B$51+182&gt;='🌱 Configuração'!$D$51,'🌱 Configuração'!$B$51+182&lt;'🌱 Configuração'!$E$51,INT(('🌱 Configuração'!$B$51+182-'🌱 Configuração'!$D$51)/7)+1=1,MOD('🌱 Configuração'!$B$51+182-'🌱 Configuração'!$D$51,7)=0),"🌸 Bloom A+B — EC 1.6",IF(AND('🌱 Configuração'!$B$51+182&gt;='🌱 Configuração'!$D$51,'🌱 Configuração'!$B$51+182&lt;'🌱 Configuração'!$E$51,INT(('🌱 Configuração'!$B$51+182-'🌱 Configuração'!$D$51)/7)+1=2,MOD('🌱 Configuração'!$B$51+182-'🌱 Configuração'!$D$51,7)=0),"🌸 Bloom + PK 13/14 início",IF(AND('🌱 Configuração'!$B$51+182&gt;='🌱 Configuração'!$D$51,'🌱 Configuração'!$B$51+182&lt;'🌱 Configuração'!$E$51,INT(('🌱 Configuração'!$B$51+182-'🌱 Configuração'!$D$51)/7)+1=3,MOD('🌱 Configuração'!$B$51+182-'🌱 Configuração'!$D$51,7)=0),"🌸 Bloom + PK + CalMag — EC 1.8",IF(AND('🌱 Configuração'!$B$51+182&gt;='🌱 Configuração'!$D$51,'🌱 Configuração'!$B$51+182&lt;'🌱 Configuração'!$E$51,INT(('🌱 Configuração'!$B$51+182-'🌱 Configuração'!$D$51)/7)+1=4,MOD('🌱 Configuração'!$B$51+182-'🌱 Configuração'!$D$51,7)=0),"🌸 Bloom + PK + Boost Floral — EC 2.0",IF(AND('🌱 Configuração'!$B$51+182&gt;='🌱 Configuração'!$D$51,'🌱 Configuração'!$B$51+182&lt;'🌱 Configuração'!$E$51,INT(('🌱 Configuração'!$B$51+182-'🌱 Configuração'!$D$51)/7)+1=5,MOD('🌱 Configuração'!$B$51+182-'🌱 Configuração'!$D$51,7)=0),"🌸 Bloom + Boost + Amino",IF(AND('🌱 Configuração'!$B$51+182&gt;='🌱 Configuração'!$D$51,'🌱 Configuração'!$B$51+182&lt;'🌱 Configuração'!$E$51,INT(('🌱 Configuração'!$B$51+182-'🌱 Configuração'!$D$51)/7)+1=6,MOD('🌱 Configuração'!$B$51+182-'🌱 Configuração'!$D$51,7)=0),"🌸 Bloom + Enzimas + Amino",IF(AND('🌱 Configuração'!$B$51+182&gt;='🌱 Configuração'!$D$51,'🌱 Configuração'!$B$51+182&lt;'🌱 Configuração'!$E$51,INT(('🌱 Configuração'!$B$51+182-'🌱 Configuração'!$D$51)/7)+1=7,MOD('🌱 Configuração'!$B$51+182-'🌱 Configuração'!$D$51,7)=0),"🌸 Reduzir N — Bloom puro — EC 1.6",IF(AND('🌱 Configuração'!$B$51+182&gt;='🌱 Configuração'!$D$51,'🌱 Configuração'!$B$51+182&lt;'🌱 Configuração'!$E$51,INT(('🌱 Configuração'!$B$51+182-'🌱 Configuração'!$D$51)/7)+1=8,MOD('🌱 Configuração'!$B$51+182-'🌱 Configuração'!$D$51,7)=0),"🌸 Bloom puro — EC 1.4  (pré-flush)",IF(AND('🌱 Configuração'!$B$51+182&gt;='🌱 Configuração'!$D$51,'🌱 Configuração'!$B$51+182&lt;'🌱 Configuração'!$E$51,INT(('🌱 Configuração'!$B$51+182-'🌱 Configuração'!$D$51)/7)+1=9,MOD('🌱 Configuração'!$B$51+182-'🌱 Configuração'!$D$51,7)=0),"🌸 Último Bloom — EC 0.8",IF(AND('🌱 Configuração'!$B$51+182&gt;='🌱 Configuração'!$E$51,INT(('🌱 Configuração'!$B$51+182-'🌱 Configuração'!$E$51)/7)+1=1,MOD('🌱 Configuração'!$B$51+182-'🌱 Configuração'!$E$51,7)=0),"🚿 Água pura + Enzimas (EC &lt; 0.3)",IF(AND('🌱 Configuração'!$B$51+182&gt;='🌱 Configuração'!$E$51,INT(('🌱 Configuração'!$B$51+182-'🌱 Configuração'!$E$51)/7)+1=2,MOD('🌱 Configuração'!$B$51+182-'🌱 Configuração'!$E$51,7)=0),"🚿 Água pura (EC &lt; 0.2)",""))))))))))))))))))))))</f>
        <v/>
      </c>
      <c r="G188" s="30" t="str">
        <f>IF(183&gt;'🌱 Configuração'!$F$50,"",IF(AND('🌱 Configuração'!$B$51+182&lt;'🌱 Configuração'!$C$51,INT((183-1)/7)+1=1,MOD(183-1,7)=0),"🐛 Nim 2mL/L foliar — preventivo",IF(AND('🌱 Configuração'!$B$51+182&lt;'🌱 Configuração'!$C$51,INT((183-1)/7)+1=2,MOD(183-1,7)=0),"🐛 Beauveria bassiana foliar + solo",IF(AND('🌱 Configuração'!$B$51+182&gt;='🌱 Configuração'!$C$51,'🌱 Configuração'!$B$51+182&lt;'🌱 Configuração'!$D$51,INT(('🌱 Configuração'!$B$51+182-'🌱 Configuração'!$C$51)/7)+1=1,MOD('🌱 Configuração'!$B$51+182-'🌱 Configuração'!$C$51,7)=0),"🐛 Nim 2mL/L foliar",IF(AND('🌱 Configuração'!$B$51+182&gt;='🌱 Configuração'!$C$51,'🌱 Configuração'!$B$51+182&lt;'🌱 Configuração'!$D$51,INT(('🌱 Configuração'!$B$51+182-'🌱 Configuração'!$C$51)/7)+1=2,MOD('🌱 Configuração'!$B$51+182-'🌱 Configuração'!$C$51,7)=0),"🐛 Beauveria bassiana foliar",IF(AND('🌱 Configuração'!$B$51+182&gt;='🌱 Configuração'!$C$51,'🌱 Configuração'!$B$51+182&lt;'🌱 Configuração'!$D$51,INT(('🌱 Configuração'!$B$51+182-'🌱 Configuração'!$C$51)/7)+1=3,MOD('🌱 Configuração'!$B$51+182-'🌱 Configuração'!$C$51,7)=0),"🐛 Nim + Calda Sulfocálcica 1%",IF(AND('🌱 Configuração'!$B$51+182&gt;='🌱 Configuração'!$C$51,'🌱 Configuração'!$B$51+182&lt;'🌱 Configuração'!$D$51,INT(('🌱 Configuração'!$B$51+182-'🌱 Configuração'!$C$51)/7)+1=4,MOD('🌱 Configuração'!$B$51+182-'🌱 Configuração'!$C$51,7)=0),"🐛 Trichoderma solo + Beauveria",IF(AND('🌱 Configuração'!$B$51+182&gt;='🌱 Configuração'!$C$51,'🌱 Configuração'!$B$51+182&lt;'🌱 Configuração'!$D$51,INT(('🌱 Configuração'!$B$51+182-'🌱 Configuração'!$C$51)/7)+1=5,MOD('🌱 Configuração'!$B$51+182-'🌱 Configuração'!$C$51,7)=0),"🐛 Calda Bordalesa 0.5% foliar",IF(AND('🌱 Configuração'!$B$51+182&gt;='🌱 Configuração'!$C$51,'🌱 Configuração'!$B$51+182&lt;'🌱 Configuração'!$D$51,INT(('🌱 Configuração'!$B$51+182-'🌱 Configuração'!$C$51)/7)+1=6,MOD('🌱 Configuração'!$B$51+182-'🌱 Configuração'!$C$51,7)=0),"🐛 Nim 2mL/L — ÚLTIMA foliar",IF(AND('🌱 Configuração'!$B$51+182&gt;='🌱 Configuração'!$D$51,'🌱 Configuração'!$B$51+182&lt;'🌱 Configuração'!$E$51,INT(('🌱 Configuração'!$B$51+182-'🌱 Configuração'!$D$51)/7)+1=1,MOD('🌱 Configuração'!$B$51+182-'🌱 Configuração'!$D$51,7)=0),"🐛 Beauveria bassiana solo (sem foliar)",IF(AND('🌱 Configuração'!$B$51+182&gt;='🌱 Configuração'!$D$51,'🌱 Configuração'!$B$51+182&lt;'🌱 Configuração'!$E$51,INT(('🌱 Configuração'!$B$51+182-'🌱 Configuração'!$D$51)/7)+1=2,MOD('🌱 Configuração'!$B$51+182-'🌱 Configuração'!$D$51,7)=0),"🐛 Trichoderma solo",IF(AND('🌱 Configuração'!$B$51+182&gt;='🌱 Configuração'!$D$51,'🌱 Configuração'!$B$51+182&lt;'🌱 Configuração'!$E$51,INT(('🌱 Configuração'!$B$51+182-'🌱 Configuração'!$D$51)/7)+1=3,MOD('🌱 Configuração'!$B$51+182-'🌱 Configuração'!$D$51,7)=0),"🐛 Beauveria bassiana solo",IF(AND('🌱 Configuração'!$B$51+182&gt;='🌱 Configuração'!$D$51,'🌱 Configuração'!$B$51+182&lt;'🌱 Configuração'!$E$51,INT(('🌱 Configuração'!$B$51+182-'🌱 Configuração'!$D$51)/7)+1=4,MOD('🌱 Configuração'!$B$51+182-'🌱 Configuração'!$D$51,7)=0),"🐛 Trichoderma solo",IF(AND('🌱 Configuração'!$B$51+182&gt;='🌱 Configuração'!$E$51,INT(('🌱 Configuração'!$B$51+182-'🌱 Configuração'!$E$51)/7)+1=1,MOD('🌱 Configuração'!$B$51+182-'🌱 Configuração'!$E$51,7)=0),"🐛 Inspeção final — sem aplicação",""))))))))))))))</f>
        <v/>
      </c>
      <c r="H188" s="22" t="str">
        <f>IF(183&gt;'🌱 Configuração'!$F$50,"",IF('🌱 Configuração'!$B$51+182='🌱 Configuração'!$C$51,"🌿 INÍCIO VEGA — ajustar espaço, luz 18h/dia — EC 0.8",IF('🌱 Configuração'!$B$51+182='🌱 Configuração'!$D$51,"🌸 INÍCIO FLORAÇÃO — mudar para 12h/12h — 🔴 atenção ao fotoperíodo",IF('🌱 Configuração'!$B$51+182='🌱 Configuração'!$E$51,"🚿 INÍCIO FLUSH — PARAR nutrição, somente água pura",IF('🌱 Configuração'!$B$51+182='🌱 Configuração'!$F$51-1,"🔬 Véspera da colheita — analisar tricomas âmbar",IF('🌱 Configuração'!$B$51+182='🌱 Configuração'!$F$51,"✂️ COLHEITA! Parabéns! 🎉",""))))))</f>
        <v/>
      </c>
    </row>
    <row r="189" spans="2:8" ht="18.75" customHeight="1" x14ac:dyDescent="0.3">
      <c r="B189" s="25" t="str">
        <f>IF(184&lt;='🌱 Configuração'!$F$50,184,"")</f>
        <v/>
      </c>
      <c r="C189" s="26" t="str">
        <f>IF(184&lt;='🌱 Configuração'!$F$50,'🌱 Configuração'!$B$51+183,"")</f>
        <v/>
      </c>
      <c r="D189" s="27" t="str">
        <f>IF(184&gt;'🌱 Configuração'!$F$50,"",IF('🌱 Configuração'!$B$51+183&lt;'🌱 Configuração'!$C$51,"🌱 Clone",IF('🌱 Configuração'!$B$51+183&lt;'🌱 Configuração'!$D$51,"🌿 Vegetativo",IF('🌱 Configuração'!$B$51+183&lt;'🌱 Configuração'!$E$51,"🌸 Floração","🚿 Flush"))))</f>
        <v/>
      </c>
      <c r="E189" s="28" t="str">
        <f>IF(184&gt;'🌱 Configuração'!$F$50,"",IF('🌱 Configuração'!$B$51+183&lt;'🌱 Configuração'!$C$51,"Clone S"&amp;INT((184-1)/7)+1,IF('🌱 Configuração'!$B$51+183&lt;'🌱 Configuração'!$D$51,"Vega S"&amp;INT(('🌱 Configuração'!$B$51+183-'🌱 Configuração'!$C$51)/7)+1,IF('🌱 Configuração'!$B$51+183&lt;'🌱 Configuração'!$E$51,"Flora S"&amp;INT(('🌱 Configuração'!$B$51+183-'🌱 Configuração'!$D$51)/7)+1,"Flush S"&amp;INT(('🌱 Configuração'!$B$51+183-'🌱 Configuração'!$E$51)/7)+1))))</f>
        <v/>
      </c>
      <c r="F189" s="29" t="str">
        <f>IF(184&gt;'🌱 Configuração'!$F$50,"",IF(AND('🌱 Configuração'!$B$51+183&lt;'🌱 Configuração'!$C$51,INT((184-1)/7)+1=1,MOD(184-1,7)=0),"🌱 Enraizador (0.5 mL/L)",IF(AND('🌱 Configuração'!$B$51+183&lt;'🌱 Configuração'!$C$51,INT((184-1)/7)+1=2,MOD(184-1,7)=0),"🌱 Enraizador + Vitamina B1",IF(AND('🌱 Configuração'!$B$51+183&gt;='🌱 Configuração'!$C$51,'🌱 Configuração'!$B$51+183&lt;'🌱 Configuração'!$D$51,INT(('🌱 Configuração'!$B$51+183-'🌱 Configuração'!$C$51)/7)+1=1,MOD('🌱 Configuração'!$B$51+183-'🌱 Configuração'!$C$51,7)=0),"🌿 Grow A+B início — EC 0.8",IF(AND('🌱 Configuração'!$B$51+183&gt;='🌱 Configuração'!$C$51,'🌱 Configuração'!$B$51+183&lt;'🌱 Configuração'!$D$51,INT(('🌱 Configuração'!$B$51+183-'🌱 Configuração'!$C$51)/7)+1=2,MOD('🌱 Configuração'!$B$51+183-'🌱 Configuração'!$C$51,7)=0),"🌿 Grow A+B + CalMag — EC 1.0",IF(AND('🌱 Configuração'!$B$51+183&gt;='🌱 Configuração'!$C$51,'🌱 Configuração'!$B$51+183&lt;'🌱 Configuração'!$D$51,INT(('🌱 Configuração'!$B$51+183-'🌱 Configuração'!$C$51)/7)+1=3,MOD('🌱 Configuração'!$B$51+183-'🌱 Configuração'!$C$51,7)=0),"🌿 Grow A+B + CalMag — EC 1.2",IF(AND('🌱 Configuração'!$B$51+183&gt;='🌱 Configuração'!$C$51,'🌱 Configuração'!$B$51+183&lt;'🌱 Configuração'!$D$51,INT(('🌱 Configuração'!$B$51+183-'🌱 Configuração'!$C$51)/7)+1=4,MOD('🌱 Configuração'!$B$51+183-'🌱 Configuração'!$C$51,7)=0),"🌿 Grow A+B + Enzimas — EC 1.4",IF(AND('🌱 Configuração'!$B$51+183&gt;='🌱 Configuração'!$C$51,'🌱 Configuração'!$B$51+183&lt;'🌱 Configuração'!$D$51,INT(('🌱 Configuração'!$B$51+183-'🌱 Configuração'!$C$51)/7)+1=5,MOD('🌱 Configuração'!$B$51+183-'🌱 Configuração'!$C$51,7)=0),"🌿 Grow A+B + Biorrizas — EC 1.5",IF(AND('🌱 Configuração'!$B$51+183&gt;='🌱 Configuração'!$C$51,'🌱 Configuração'!$B$51+183&lt;'🌱 Configuração'!$D$51,INT(('🌱 Configuração'!$B$51+183-'🌱 Configuração'!$C$51)/7)+1=6,MOD('🌱 Configuração'!$B$51+183-'🌱 Configuração'!$C$51,7)=0),"🌿 Transição Bloom — EC 1.4",IF(AND('🌱 Configuração'!$B$51+183&gt;='🌱 Configuração'!$C$51,'🌱 Configuração'!$B$51+183&lt;'🌱 Configuração'!$D$51,INT(('🌱 Configuração'!$B$51+183-'🌱 Configuração'!$C$51)/7)+1=7,MOD('🌱 Configuração'!$B$51+183-'🌱 Configuração'!$C$51,7)=0),"🌿 Bloom A+B transição — EC 1.4",IF(AND('🌱 Configuração'!$B$51+183&gt;='🌱 Configuração'!$C$51,'🌱 Configuração'!$B$51+183&lt;'🌱 Configuração'!$D$51,INT(('🌱 Configuração'!$B$51+183-'🌱 Configuração'!$C$51)/7)+1=8,MOD('🌱 Configuração'!$B$51+183-'🌱 Configuração'!$C$51,7)=0),"🌿 Bloom A+B — EC 1.4",IF(AND('🌱 Configuração'!$B$51+183&gt;='🌱 Configuração'!$D$51,'🌱 Configuração'!$B$51+183&lt;'🌱 Configuração'!$E$51,INT(('🌱 Configuração'!$B$51+183-'🌱 Configuração'!$D$51)/7)+1=1,MOD('🌱 Configuração'!$B$51+183-'🌱 Configuração'!$D$51,7)=0),"🌸 Bloom A+B — EC 1.6",IF(AND('🌱 Configuração'!$B$51+183&gt;='🌱 Configuração'!$D$51,'🌱 Configuração'!$B$51+183&lt;'🌱 Configuração'!$E$51,INT(('🌱 Configuração'!$B$51+183-'🌱 Configuração'!$D$51)/7)+1=2,MOD('🌱 Configuração'!$B$51+183-'🌱 Configuração'!$D$51,7)=0),"🌸 Bloom + PK 13/14 início",IF(AND('🌱 Configuração'!$B$51+183&gt;='🌱 Configuração'!$D$51,'🌱 Configuração'!$B$51+183&lt;'🌱 Configuração'!$E$51,INT(('🌱 Configuração'!$B$51+183-'🌱 Configuração'!$D$51)/7)+1=3,MOD('🌱 Configuração'!$B$51+183-'🌱 Configuração'!$D$51,7)=0),"🌸 Bloom + PK + CalMag — EC 1.8",IF(AND('🌱 Configuração'!$B$51+183&gt;='🌱 Configuração'!$D$51,'🌱 Configuração'!$B$51+183&lt;'🌱 Configuração'!$E$51,INT(('🌱 Configuração'!$B$51+183-'🌱 Configuração'!$D$51)/7)+1=4,MOD('🌱 Configuração'!$B$51+183-'🌱 Configuração'!$D$51,7)=0),"🌸 Bloom + PK + Boost Floral — EC 2.0",IF(AND('🌱 Configuração'!$B$51+183&gt;='🌱 Configuração'!$D$51,'🌱 Configuração'!$B$51+183&lt;'🌱 Configuração'!$E$51,INT(('🌱 Configuração'!$B$51+183-'🌱 Configuração'!$D$51)/7)+1=5,MOD('🌱 Configuração'!$B$51+183-'🌱 Configuração'!$D$51,7)=0),"🌸 Bloom + Boost + Amino",IF(AND('🌱 Configuração'!$B$51+183&gt;='🌱 Configuração'!$D$51,'🌱 Configuração'!$B$51+183&lt;'🌱 Configuração'!$E$51,INT(('🌱 Configuração'!$B$51+183-'🌱 Configuração'!$D$51)/7)+1=6,MOD('🌱 Configuração'!$B$51+183-'🌱 Configuração'!$D$51,7)=0),"🌸 Bloom + Enzimas + Amino",IF(AND('🌱 Configuração'!$B$51+183&gt;='🌱 Configuração'!$D$51,'🌱 Configuração'!$B$51+183&lt;'🌱 Configuração'!$E$51,INT(('🌱 Configuração'!$B$51+183-'🌱 Configuração'!$D$51)/7)+1=7,MOD('🌱 Configuração'!$B$51+183-'🌱 Configuração'!$D$51,7)=0),"🌸 Reduzir N — Bloom puro — EC 1.6",IF(AND('🌱 Configuração'!$B$51+183&gt;='🌱 Configuração'!$D$51,'🌱 Configuração'!$B$51+183&lt;'🌱 Configuração'!$E$51,INT(('🌱 Configuração'!$B$51+183-'🌱 Configuração'!$D$51)/7)+1=8,MOD('🌱 Configuração'!$B$51+183-'🌱 Configuração'!$D$51,7)=0),"🌸 Bloom puro — EC 1.4  (pré-flush)",IF(AND('🌱 Configuração'!$B$51+183&gt;='🌱 Configuração'!$D$51,'🌱 Configuração'!$B$51+183&lt;'🌱 Configuração'!$E$51,INT(('🌱 Configuração'!$B$51+183-'🌱 Configuração'!$D$51)/7)+1=9,MOD('🌱 Configuração'!$B$51+183-'🌱 Configuração'!$D$51,7)=0),"🌸 Último Bloom — EC 0.8",IF(AND('🌱 Configuração'!$B$51+183&gt;='🌱 Configuração'!$E$51,INT(('🌱 Configuração'!$B$51+183-'🌱 Configuração'!$E$51)/7)+1=1,MOD('🌱 Configuração'!$B$51+183-'🌱 Configuração'!$E$51,7)=0),"🚿 Água pura + Enzimas (EC &lt; 0.3)",IF(AND('🌱 Configuração'!$B$51+183&gt;='🌱 Configuração'!$E$51,INT(('🌱 Configuração'!$B$51+183-'🌱 Configuração'!$E$51)/7)+1=2,MOD('🌱 Configuração'!$B$51+183-'🌱 Configuração'!$E$51,7)=0),"🚿 Água pura (EC &lt; 0.2)",""))))))))))))))))))))))</f>
        <v/>
      </c>
      <c r="G189" s="30" t="str">
        <f>IF(184&gt;'🌱 Configuração'!$F$50,"",IF(AND('🌱 Configuração'!$B$51+183&lt;'🌱 Configuração'!$C$51,INT((184-1)/7)+1=1,MOD(184-1,7)=0),"🐛 Nim 2mL/L foliar — preventivo",IF(AND('🌱 Configuração'!$B$51+183&lt;'🌱 Configuração'!$C$51,INT((184-1)/7)+1=2,MOD(184-1,7)=0),"🐛 Beauveria bassiana foliar + solo",IF(AND('🌱 Configuração'!$B$51+183&gt;='🌱 Configuração'!$C$51,'🌱 Configuração'!$B$51+183&lt;'🌱 Configuração'!$D$51,INT(('🌱 Configuração'!$B$51+183-'🌱 Configuração'!$C$51)/7)+1=1,MOD('🌱 Configuração'!$B$51+183-'🌱 Configuração'!$C$51,7)=0),"🐛 Nim 2mL/L foliar",IF(AND('🌱 Configuração'!$B$51+183&gt;='🌱 Configuração'!$C$51,'🌱 Configuração'!$B$51+183&lt;'🌱 Configuração'!$D$51,INT(('🌱 Configuração'!$B$51+183-'🌱 Configuração'!$C$51)/7)+1=2,MOD('🌱 Configuração'!$B$51+183-'🌱 Configuração'!$C$51,7)=0),"🐛 Beauveria bassiana foliar",IF(AND('🌱 Configuração'!$B$51+183&gt;='🌱 Configuração'!$C$51,'🌱 Configuração'!$B$51+183&lt;'🌱 Configuração'!$D$51,INT(('🌱 Configuração'!$B$51+183-'🌱 Configuração'!$C$51)/7)+1=3,MOD('🌱 Configuração'!$B$51+183-'🌱 Configuração'!$C$51,7)=0),"🐛 Nim + Calda Sulfocálcica 1%",IF(AND('🌱 Configuração'!$B$51+183&gt;='🌱 Configuração'!$C$51,'🌱 Configuração'!$B$51+183&lt;'🌱 Configuração'!$D$51,INT(('🌱 Configuração'!$B$51+183-'🌱 Configuração'!$C$51)/7)+1=4,MOD('🌱 Configuração'!$B$51+183-'🌱 Configuração'!$C$51,7)=0),"🐛 Trichoderma solo + Beauveria",IF(AND('🌱 Configuração'!$B$51+183&gt;='🌱 Configuração'!$C$51,'🌱 Configuração'!$B$51+183&lt;'🌱 Configuração'!$D$51,INT(('🌱 Configuração'!$B$51+183-'🌱 Configuração'!$C$51)/7)+1=5,MOD('🌱 Configuração'!$B$51+183-'🌱 Configuração'!$C$51,7)=0),"🐛 Calda Bordalesa 0.5% foliar",IF(AND('🌱 Configuração'!$B$51+183&gt;='🌱 Configuração'!$C$51,'🌱 Configuração'!$B$51+183&lt;'🌱 Configuração'!$D$51,INT(('🌱 Configuração'!$B$51+183-'🌱 Configuração'!$C$51)/7)+1=6,MOD('🌱 Configuração'!$B$51+183-'🌱 Configuração'!$C$51,7)=0),"🐛 Nim 2mL/L — ÚLTIMA foliar",IF(AND('🌱 Configuração'!$B$51+183&gt;='🌱 Configuração'!$D$51,'🌱 Configuração'!$B$51+183&lt;'🌱 Configuração'!$E$51,INT(('🌱 Configuração'!$B$51+183-'🌱 Configuração'!$D$51)/7)+1=1,MOD('🌱 Configuração'!$B$51+183-'🌱 Configuração'!$D$51,7)=0),"🐛 Beauveria bassiana solo (sem foliar)",IF(AND('🌱 Configuração'!$B$51+183&gt;='🌱 Configuração'!$D$51,'🌱 Configuração'!$B$51+183&lt;'🌱 Configuração'!$E$51,INT(('🌱 Configuração'!$B$51+183-'🌱 Configuração'!$D$51)/7)+1=2,MOD('🌱 Configuração'!$B$51+183-'🌱 Configuração'!$D$51,7)=0),"🐛 Trichoderma solo",IF(AND('🌱 Configuração'!$B$51+183&gt;='🌱 Configuração'!$D$51,'🌱 Configuração'!$B$51+183&lt;'🌱 Configuração'!$E$51,INT(('🌱 Configuração'!$B$51+183-'🌱 Configuração'!$D$51)/7)+1=3,MOD('🌱 Configuração'!$B$51+183-'🌱 Configuração'!$D$51,7)=0),"🐛 Beauveria bassiana solo",IF(AND('🌱 Configuração'!$B$51+183&gt;='🌱 Configuração'!$D$51,'🌱 Configuração'!$B$51+183&lt;'🌱 Configuração'!$E$51,INT(('🌱 Configuração'!$B$51+183-'🌱 Configuração'!$D$51)/7)+1=4,MOD('🌱 Configuração'!$B$51+183-'🌱 Configuração'!$D$51,7)=0),"🐛 Trichoderma solo",IF(AND('🌱 Configuração'!$B$51+183&gt;='🌱 Configuração'!$E$51,INT(('🌱 Configuração'!$B$51+183-'🌱 Configuração'!$E$51)/7)+1=1,MOD('🌱 Configuração'!$B$51+183-'🌱 Configuração'!$E$51,7)=0),"🐛 Inspeção final — sem aplicação",""))))))))))))))</f>
        <v/>
      </c>
      <c r="H189" s="22" t="str">
        <f>IF(184&gt;'🌱 Configuração'!$F$50,"",IF('🌱 Configuração'!$B$51+183='🌱 Configuração'!$C$51,"🌿 INÍCIO VEGA — ajustar espaço, luz 18h/dia — EC 0.8",IF('🌱 Configuração'!$B$51+183='🌱 Configuração'!$D$51,"🌸 INÍCIO FLORAÇÃO — mudar para 12h/12h — 🔴 atenção ao fotoperíodo",IF('🌱 Configuração'!$B$51+183='🌱 Configuração'!$E$51,"🚿 INÍCIO FLUSH — PARAR nutrição, somente água pura",IF('🌱 Configuração'!$B$51+183='🌱 Configuração'!$F$51-1,"🔬 Véspera da colheita — analisar tricomas âmbar",IF('🌱 Configuração'!$B$51+183='🌱 Configuração'!$F$51,"✂️ COLHEITA! Parabéns! 🎉",""))))))</f>
        <v/>
      </c>
    </row>
    <row r="190" spans="2:8" ht="18.75" customHeight="1" x14ac:dyDescent="0.3">
      <c r="B190" s="25" t="str">
        <f>IF(185&lt;='🌱 Configuração'!$F$50,185,"")</f>
        <v/>
      </c>
      <c r="C190" s="26" t="str">
        <f>IF(185&lt;='🌱 Configuração'!$F$50,'🌱 Configuração'!$B$51+184,"")</f>
        <v/>
      </c>
      <c r="D190" s="27" t="str">
        <f>IF(185&gt;'🌱 Configuração'!$F$50,"",IF('🌱 Configuração'!$B$51+184&lt;'🌱 Configuração'!$C$51,"🌱 Clone",IF('🌱 Configuração'!$B$51+184&lt;'🌱 Configuração'!$D$51,"🌿 Vegetativo",IF('🌱 Configuração'!$B$51+184&lt;'🌱 Configuração'!$E$51,"🌸 Floração","🚿 Flush"))))</f>
        <v/>
      </c>
      <c r="E190" s="28" t="str">
        <f>IF(185&gt;'🌱 Configuração'!$F$50,"",IF('🌱 Configuração'!$B$51+184&lt;'🌱 Configuração'!$C$51,"Clone S"&amp;INT((185-1)/7)+1,IF('🌱 Configuração'!$B$51+184&lt;'🌱 Configuração'!$D$51,"Vega S"&amp;INT(('🌱 Configuração'!$B$51+184-'🌱 Configuração'!$C$51)/7)+1,IF('🌱 Configuração'!$B$51+184&lt;'🌱 Configuração'!$E$51,"Flora S"&amp;INT(('🌱 Configuração'!$B$51+184-'🌱 Configuração'!$D$51)/7)+1,"Flush S"&amp;INT(('🌱 Configuração'!$B$51+184-'🌱 Configuração'!$E$51)/7)+1))))</f>
        <v/>
      </c>
      <c r="F190" s="29" t="str">
        <f>IF(185&gt;'🌱 Configuração'!$F$50,"",IF(AND('🌱 Configuração'!$B$51+184&lt;'🌱 Configuração'!$C$51,INT((185-1)/7)+1=1,MOD(185-1,7)=0),"🌱 Enraizador (0.5 mL/L)",IF(AND('🌱 Configuração'!$B$51+184&lt;'🌱 Configuração'!$C$51,INT((185-1)/7)+1=2,MOD(185-1,7)=0),"🌱 Enraizador + Vitamina B1",IF(AND('🌱 Configuração'!$B$51+184&gt;='🌱 Configuração'!$C$51,'🌱 Configuração'!$B$51+184&lt;'🌱 Configuração'!$D$51,INT(('🌱 Configuração'!$B$51+184-'🌱 Configuração'!$C$51)/7)+1=1,MOD('🌱 Configuração'!$B$51+184-'🌱 Configuração'!$C$51,7)=0),"🌿 Grow A+B início — EC 0.8",IF(AND('🌱 Configuração'!$B$51+184&gt;='🌱 Configuração'!$C$51,'🌱 Configuração'!$B$51+184&lt;'🌱 Configuração'!$D$51,INT(('🌱 Configuração'!$B$51+184-'🌱 Configuração'!$C$51)/7)+1=2,MOD('🌱 Configuração'!$B$51+184-'🌱 Configuração'!$C$51,7)=0),"🌿 Grow A+B + CalMag — EC 1.0",IF(AND('🌱 Configuração'!$B$51+184&gt;='🌱 Configuração'!$C$51,'🌱 Configuração'!$B$51+184&lt;'🌱 Configuração'!$D$51,INT(('🌱 Configuração'!$B$51+184-'🌱 Configuração'!$C$51)/7)+1=3,MOD('🌱 Configuração'!$B$51+184-'🌱 Configuração'!$C$51,7)=0),"🌿 Grow A+B + CalMag — EC 1.2",IF(AND('🌱 Configuração'!$B$51+184&gt;='🌱 Configuração'!$C$51,'🌱 Configuração'!$B$51+184&lt;'🌱 Configuração'!$D$51,INT(('🌱 Configuração'!$B$51+184-'🌱 Configuração'!$C$51)/7)+1=4,MOD('🌱 Configuração'!$B$51+184-'🌱 Configuração'!$C$51,7)=0),"🌿 Grow A+B + Enzimas — EC 1.4",IF(AND('🌱 Configuração'!$B$51+184&gt;='🌱 Configuração'!$C$51,'🌱 Configuração'!$B$51+184&lt;'🌱 Configuração'!$D$51,INT(('🌱 Configuração'!$B$51+184-'🌱 Configuração'!$C$51)/7)+1=5,MOD('🌱 Configuração'!$B$51+184-'🌱 Configuração'!$C$51,7)=0),"🌿 Grow A+B + Biorrizas — EC 1.5",IF(AND('🌱 Configuração'!$B$51+184&gt;='🌱 Configuração'!$C$51,'🌱 Configuração'!$B$51+184&lt;'🌱 Configuração'!$D$51,INT(('🌱 Configuração'!$B$51+184-'🌱 Configuração'!$C$51)/7)+1=6,MOD('🌱 Configuração'!$B$51+184-'🌱 Configuração'!$C$51,7)=0),"🌿 Transição Bloom — EC 1.4",IF(AND('🌱 Configuração'!$B$51+184&gt;='🌱 Configuração'!$C$51,'🌱 Configuração'!$B$51+184&lt;'🌱 Configuração'!$D$51,INT(('🌱 Configuração'!$B$51+184-'🌱 Configuração'!$C$51)/7)+1=7,MOD('🌱 Configuração'!$B$51+184-'🌱 Configuração'!$C$51,7)=0),"🌿 Bloom A+B transição — EC 1.4",IF(AND('🌱 Configuração'!$B$51+184&gt;='🌱 Configuração'!$C$51,'🌱 Configuração'!$B$51+184&lt;'🌱 Configuração'!$D$51,INT(('🌱 Configuração'!$B$51+184-'🌱 Configuração'!$C$51)/7)+1=8,MOD('🌱 Configuração'!$B$51+184-'🌱 Configuração'!$C$51,7)=0),"🌿 Bloom A+B — EC 1.4",IF(AND('🌱 Configuração'!$B$51+184&gt;='🌱 Configuração'!$D$51,'🌱 Configuração'!$B$51+184&lt;'🌱 Configuração'!$E$51,INT(('🌱 Configuração'!$B$51+184-'🌱 Configuração'!$D$51)/7)+1=1,MOD('🌱 Configuração'!$B$51+184-'🌱 Configuração'!$D$51,7)=0),"🌸 Bloom A+B — EC 1.6",IF(AND('🌱 Configuração'!$B$51+184&gt;='🌱 Configuração'!$D$51,'🌱 Configuração'!$B$51+184&lt;'🌱 Configuração'!$E$51,INT(('🌱 Configuração'!$B$51+184-'🌱 Configuração'!$D$51)/7)+1=2,MOD('🌱 Configuração'!$B$51+184-'🌱 Configuração'!$D$51,7)=0),"🌸 Bloom + PK 13/14 início",IF(AND('🌱 Configuração'!$B$51+184&gt;='🌱 Configuração'!$D$51,'🌱 Configuração'!$B$51+184&lt;'🌱 Configuração'!$E$51,INT(('🌱 Configuração'!$B$51+184-'🌱 Configuração'!$D$51)/7)+1=3,MOD('🌱 Configuração'!$B$51+184-'🌱 Configuração'!$D$51,7)=0),"🌸 Bloom + PK + CalMag — EC 1.8",IF(AND('🌱 Configuração'!$B$51+184&gt;='🌱 Configuração'!$D$51,'🌱 Configuração'!$B$51+184&lt;'🌱 Configuração'!$E$51,INT(('🌱 Configuração'!$B$51+184-'🌱 Configuração'!$D$51)/7)+1=4,MOD('🌱 Configuração'!$B$51+184-'🌱 Configuração'!$D$51,7)=0),"🌸 Bloom + PK + Boost Floral — EC 2.0",IF(AND('🌱 Configuração'!$B$51+184&gt;='🌱 Configuração'!$D$51,'🌱 Configuração'!$B$51+184&lt;'🌱 Configuração'!$E$51,INT(('🌱 Configuração'!$B$51+184-'🌱 Configuração'!$D$51)/7)+1=5,MOD('🌱 Configuração'!$B$51+184-'🌱 Configuração'!$D$51,7)=0),"🌸 Bloom + Boost + Amino",IF(AND('🌱 Configuração'!$B$51+184&gt;='🌱 Configuração'!$D$51,'🌱 Configuração'!$B$51+184&lt;'🌱 Configuração'!$E$51,INT(('🌱 Configuração'!$B$51+184-'🌱 Configuração'!$D$51)/7)+1=6,MOD('🌱 Configuração'!$B$51+184-'🌱 Configuração'!$D$51,7)=0),"🌸 Bloom + Enzimas + Amino",IF(AND('🌱 Configuração'!$B$51+184&gt;='🌱 Configuração'!$D$51,'🌱 Configuração'!$B$51+184&lt;'🌱 Configuração'!$E$51,INT(('🌱 Configuração'!$B$51+184-'🌱 Configuração'!$D$51)/7)+1=7,MOD('🌱 Configuração'!$B$51+184-'🌱 Configuração'!$D$51,7)=0),"🌸 Reduzir N — Bloom puro — EC 1.6",IF(AND('🌱 Configuração'!$B$51+184&gt;='🌱 Configuração'!$D$51,'🌱 Configuração'!$B$51+184&lt;'🌱 Configuração'!$E$51,INT(('🌱 Configuração'!$B$51+184-'🌱 Configuração'!$D$51)/7)+1=8,MOD('🌱 Configuração'!$B$51+184-'🌱 Configuração'!$D$51,7)=0),"🌸 Bloom puro — EC 1.4  (pré-flush)",IF(AND('🌱 Configuração'!$B$51+184&gt;='🌱 Configuração'!$D$51,'🌱 Configuração'!$B$51+184&lt;'🌱 Configuração'!$E$51,INT(('🌱 Configuração'!$B$51+184-'🌱 Configuração'!$D$51)/7)+1=9,MOD('🌱 Configuração'!$B$51+184-'🌱 Configuração'!$D$51,7)=0),"🌸 Último Bloom — EC 0.8",IF(AND('🌱 Configuração'!$B$51+184&gt;='🌱 Configuração'!$E$51,INT(('🌱 Configuração'!$B$51+184-'🌱 Configuração'!$E$51)/7)+1=1,MOD('🌱 Configuração'!$B$51+184-'🌱 Configuração'!$E$51,7)=0),"🚿 Água pura + Enzimas (EC &lt; 0.3)",IF(AND('🌱 Configuração'!$B$51+184&gt;='🌱 Configuração'!$E$51,INT(('🌱 Configuração'!$B$51+184-'🌱 Configuração'!$E$51)/7)+1=2,MOD('🌱 Configuração'!$B$51+184-'🌱 Configuração'!$E$51,7)=0),"🚿 Água pura (EC &lt; 0.2)",""))))))))))))))))))))))</f>
        <v/>
      </c>
      <c r="G190" s="30" t="str">
        <f>IF(185&gt;'🌱 Configuração'!$F$50,"",IF(AND('🌱 Configuração'!$B$51+184&lt;'🌱 Configuração'!$C$51,INT((185-1)/7)+1=1,MOD(185-1,7)=0),"🐛 Nim 2mL/L foliar — preventivo",IF(AND('🌱 Configuração'!$B$51+184&lt;'🌱 Configuração'!$C$51,INT((185-1)/7)+1=2,MOD(185-1,7)=0),"🐛 Beauveria bassiana foliar + solo",IF(AND('🌱 Configuração'!$B$51+184&gt;='🌱 Configuração'!$C$51,'🌱 Configuração'!$B$51+184&lt;'🌱 Configuração'!$D$51,INT(('🌱 Configuração'!$B$51+184-'🌱 Configuração'!$C$51)/7)+1=1,MOD('🌱 Configuração'!$B$51+184-'🌱 Configuração'!$C$51,7)=0),"🐛 Nim 2mL/L foliar",IF(AND('🌱 Configuração'!$B$51+184&gt;='🌱 Configuração'!$C$51,'🌱 Configuração'!$B$51+184&lt;'🌱 Configuração'!$D$51,INT(('🌱 Configuração'!$B$51+184-'🌱 Configuração'!$C$51)/7)+1=2,MOD('🌱 Configuração'!$B$51+184-'🌱 Configuração'!$C$51,7)=0),"🐛 Beauveria bassiana foliar",IF(AND('🌱 Configuração'!$B$51+184&gt;='🌱 Configuração'!$C$51,'🌱 Configuração'!$B$51+184&lt;'🌱 Configuração'!$D$51,INT(('🌱 Configuração'!$B$51+184-'🌱 Configuração'!$C$51)/7)+1=3,MOD('🌱 Configuração'!$B$51+184-'🌱 Configuração'!$C$51,7)=0),"🐛 Nim + Calda Sulfocálcica 1%",IF(AND('🌱 Configuração'!$B$51+184&gt;='🌱 Configuração'!$C$51,'🌱 Configuração'!$B$51+184&lt;'🌱 Configuração'!$D$51,INT(('🌱 Configuração'!$B$51+184-'🌱 Configuração'!$C$51)/7)+1=4,MOD('🌱 Configuração'!$B$51+184-'🌱 Configuração'!$C$51,7)=0),"🐛 Trichoderma solo + Beauveria",IF(AND('🌱 Configuração'!$B$51+184&gt;='🌱 Configuração'!$C$51,'🌱 Configuração'!$B$51+184&lt;'🌱 Configuração'!$D$51,INT(('🌱 Configuração'!$B$51+184-'🌱 Configuração'!$C$51)/7)+1=5,MOD('🌱 Configuração'!$B$51+184-'🌱 Configuração'!$C$51,7)=0),"🐛 Calda Bordalesa 0.5% foliar",IF(AND('🌱 Configuração'!$B$51+184&gt;='🌱 Configuração'!$C$51,'🌱 Configuração'!$B$51+184&lt;'🌱 Configuração'!$D$51,INT(('🌱 Configuração'!$B$51+184-'🌱 Configuração'!$C$51)/7)+1=6,MOD('🌱 Configuração'!$B$51+184-'🌱 Configuração'!$C$51,7)=0),"🐛 Nim 2mL/L — ÚLTIMA foliar",IF(AND('🌱 Configuração'!$B$51+184&gt;='🌱 Configuração'!$D$51,'🌱 Configuração'!$B$51+184&lt;'🌱 Configuração'!$E$51,INT(('🌱 Configuração'!$B$51+184-'🌱 Configuração'!$D$51)/7)+1=1,MOD('🌱 Configuração'!$B$51+184-'🌱 Configuração'!$D$51,7)=0),"🐛 Beauveria bassiana solo (sem foliar)",IF(AND('🌱 Configuração'!$B$51+184&gt;='🌱 Configuração'!$D$51,'🌱 Configuração'!$B$51+184&lt;'🌱 Configuração'!$E$51,INT(('🌱 Configuração'!$B$51+184-'🌱 Configuração'!$D$51)/7)+1=2,MOD('🌱 Configuração'!$B$51+184-'🌱 Configuração'!$D$51,7)=0),"🐛 Trichoderma solo",IF(AND('🌱 Configuração'!$B$51+184&gt;='🌱 Configuração'!$D$51,'🌱 Configuração'!$B$51+184&lt;'🌱 Configuração'!$E$51,INT(('🌱 Configuração'!$B$51+184-'🌱 Configuração'!$D$51)/7)+1=3,MOD('🌱 Configuração'!$B$51+184-'🌱 Configuração'!$D$51,7)=0),"🐛 Beauveria bassiana solo",IF(AND('🌱 Configuração'!$B$51+184&gt;='🌱 Configuração'!$D$51,'🌱 Configuração'!$B$51+184&lt;'🌱 Configuração'!$E$51,INT(('🌱 Configuração'!$B$51+184-'🌱 Configuração'!$D$51)/7)+1=4,MOD('🌱 Configuração'!$B$51+184-'🌱 Configuração'!$D$51,7)=0),"🐛 Trichoderma solo",IF(AND('🌱 Configuração'!$B$51+184&gt;='🌱 Configuração'!$E$51,INT(('🌱 Configuração'!$B$51+184-'🌱 Configuração'!$E$51)/7)+1=1,MOD('🌱 Configuração'!$B$51+184-'🌱 Configuração'!$E$51,7)=0),"🐛 Inspeção final — sem aplicação",""))))))))))))))</f>
        <v/>
      </c>
      <c r="H190" s="22" t="str">
        <f>IF(185&gt;'🌱 Configuração'!$F$50,"",IF('🌱 Configuração'!$B$51+184='🌱 Configuração'!$C$51,"🌿 INÍCIO VEGA — ajustar espaço, luz 18h/dia — EC 0.8",IF('🌱 Configuração'!$B$51+184='🌱 Configuração'!$D$51,"🌸 INÍCIO FLORAÇÃO — mudar para 12h/12h — 🔴 atenção ao fotoperíodo",IF('🌱 Configuração'!$B$51+184='🌱 Configuração'!$E$51,"🚿 INÍCIO FLUSH — PARAR nutrição, somente água pura",IF('🌱 Configuração'!$B$51+184='🌱 Configuração'!$F$51-1,"🔬 Véspera da colheita — analisar tricomas âmbar",IF('🌱 Configuração'!$B$51+184='🌱 Configuração'!$F$51,"✂️ COLHEITA! Parabéns! 🎉",""))))))</f>
        <v/>
      </c>
    </row>
    <row r="191" spans="2:8" ht="18.75" customHeight="1" x14ac:dyDescent="0.3">
      <c r="B191" s="25" t="str">
        <f>IF(186&lt;='🌱 Configuração'!$F$50,186,"")</f>
        <v/>
      </c>
      <c r="C191" s="26" t="str">
        <f>IF(186&lt;='🌱 Configuração'!$F$50,'🌱 Configuração'!$B$51+185,"")</f>
        <v/>
      </c>
      <c r="D191" s="27" t="str">
        <f>IF(186&gt;'🌱 Configuração'!$F$50,"",IF('🌱 Configuração'!$B$51+185&lt;'🌱 Configuração'!$C$51,"🌱 Clone",IF('🌱 Configuração'!$B$51+185&lt;'🌱 Configuração'!$D$51,"🌿 Vegetativo",IF('🌱 Configuração'!$B$51+185&lt;'🌱 Configuração'!$E$51,"🌸 Floração","🚿 Flush"))))</f>
        <v/>
      </c>
      <c r="E191" s="28" t="str">
        <f>IF(186&gt;'🌱 Configuração'!$F$50,"",IF('🌱 Configuração'!$B$51+185&lt;'🌱 Configuração'!$C$51,"Clone S"&amp;INT((186-1)/7)+1,IF('🌱 Configuração'!$B$51+185&lt;'🌱 Configuração'!$D$51,"Vega S"&amp;INT(('🌱 Configuração'!$B$51+185-'🌱 Configuração'!$C$51)/7)+1,IF('🌱 Configuração'!$B$51+185&lt;'🌱 Configuração'!$E$51,"Flora S"&amp;INT(('🌱 Configuração'!$B$51+185-'🌱 Configuração'!$D$51)/7)+1,"Flush S"&amp;INT(('🌱 Configuração'!$B$51+185-'🌱 Configuração'!$E$51)/7)+1))))</f>
        <v/>
      </c>
      <c r="F191" s="29" t="str">
        <f>IF(186&gt;'🌱 Configuração'!$F$50,"",IF(AND('🌱 Configuração'!$B$51+185&lt;'🌱 Configuração'!$C$51,INT((186-1)/7)+1=1,MOD(186-1,7)=0),"🌱 Enraizador (0.5 mL/L)",IF(AND('🌱 Configuração'!$B$51+185&lt;'🌱 Configuração'!$C$51,INT((186-1)/7)+1=2,MOD(186-1,7)=0),"🌱 Enraizador + Vitamina B1",IF(AND('🌱 Configuração'!$B$51+185&gt;='🌱 Configuração'!$C$51,'🌱 Configuração'!$B$51+185&lt;'🌱 Configuração'!$D$51,INT(('🌱 Configuração'!$B$51+185-'🌱 Configuração'!$C$51)/7)+1=1,MOD('🌱 Configuração'!$B$51+185-'🌱 Configuração'!$C$51,7)=0),"🌿 Grow A+B início — EC 0.8",IF(AND('🌱 Configuração'!$B$51+185&gt;='🌱 Configuração'!$C$51,'🌱 Configuração'!$B$51+185&lt;'🌱 Configuração'!$D$51,INT(('🌱 Configuração'!$B$51+185-'🌱 Configuração'!$C$51)/7)+1=2,MOD('🌱 Configuração'!$B$51+185-'🌱 Configuração'!$C$51,7)=0),"🌿 Grow A+B + CalMag — EC 1.0",IF(AND('🌱 Configuração'!$B$51+185&gt;='🌱 Configuração'!$C$51,'🌱 Configuração'!$B$51+185&lt;'🌱 Configuração'!$D$51,INT(('🌱 Configuração'!$B$51+185-'🌱 Configuração'!$C$51)/7)+1=3,MOD('🌱 Configuração'!$B$51+185-'🌱 Configuração'!$C$51,7)=0),"🌿 Grow A+B + CalMag — EC 1.2",IF(AND('🌱 Configuração'!$B$51+185&gt;='🌱 Configuração'!$C$51,'🌱 Configuração'!$B$51+185&lt;'🌱 Configuração'!$D$51,INT(('🌱 Configuração'!$B$51+185-'🌱 Configuração'!$C$51)/7)+1=4,MOD('🌱 Configuração'!$B$51+185-'🌱 Configuração'!$C$51,7)=0),"🌿 Grow A+B + Enzimas — EC 1.4",IF(AND('🌱 Configuração'!$B$51+185&gt;='🌱 Configuração'!$C$51,'🌱 Configuração'!$B$51+185&lt;'🌱 Configuração'!$D$51,INT(('🌱 Configuração'!$B$51+185-'🌱 Configuração'!$C$51)/7)+1=5,MOD('🌱 Configuração'!$B$51+185-'🌱 Configuração'!$C$51,7)=0),"🌿 Grow A+B + Biorrizas — EC 1.5",IF(AND('🌱 Configuração'!$B$51+185&gt;='🌱 Configuração'!$C$51,'🌱 Configuração'!$B$51+185&lt;'🌱 Configuração'!$D$51,INT(('🌱 Configuração'!$B$51+185-'🌱 Configuração'!$C$51)/7)+1=6,MOD('🌱 Configuração'!$B$51+185-'🌱 Configuração'!$C$51,7)=0),"🌿 Transição Bloom — EC 1.4",IF(AND('🌱 Configuração'!$B$51+185&gt;='🌱 Configuração'!$C$51,'🌱 Configuração'!$B$51+185&lt;'🌱 Configuração'!$D$51,INT(('🌱 Configuração'!$B$51+185-'🌱 Configuração'!$C$51)/7)+1=7,MOD('🌱 Configuração'!$B$51+185-'🌱 Configuração'!$C$51,7)=0),"🌿 Bloom A+B transição — EC 1.4",IF(AND('🌱 Configuração'!$B$51+185&gt;='🌱 Configuração'!$C$51,'🌱 Configuração'!$B$51+185&lt;'🌱 Configuração'!$D$51,INT(('🌱 Configuração'!$B$51+185-'🌱 Configuração'!$C$51)/7)+1=8,MOD('🌱 Configuração'!$B$51+185-'🌱 Configuração'!$C$51,7)=0),"🌿 Bloom A+B — EC 1.4",IF(AND('🌱 Configuração'!$B$51+185&gt;='🌱 Configuração'!$D$51,'🌱 Configuração'!$B$51+185&lt;'🌱 Configuração'!$E$51,INT(('🌱 Configuração'!$B$51+185-'🌱 Configuração'!$D$51)/7)+1=1,MOD('🌱 Configuração'!$B$51+185-'🌱 Configuração'!$D$51,7)=0),"🌸 Bloom A+B — EC 1.6",IF(AND('🌱 Configuração'!$B$51+185&gt;='🌱 Configuração'!$D$51,'🌱 Configuração'!$B$51+185&lt;'🌱 Configuração'!$E$51,INT(('🌱 Configuração'!$B$51+185-'🌱 Configuração'!$D$51)/7)+1=2,MOD('🌱 Configuração'!$B$51+185-'🌱 Configuração'!$D$51,7)=0),"🌸 Bloom + PK 13/14 início",IF(AND('🌱 Configuração'!$B$51+185&gt;='🌱 Configuração'!$D$51,'🌱 Configuração'!$B$51+185&lt;'🌱 Configuração'!$E$51,INT(('🌱 Configuração'!$B$51+185-'🌱 Configuração'!$D$51)/7)+1=3,MOD('🌱 Configuração'!$B$51+185-'🌱 Configuração'!$D$51,7)=0),"🌸 Bloom + PK + CalMag — EC 1.8",IF(AND('🌱 Configuração'!$B$51+185&gt;='🌱 Configuração'!$D$51,'🌱 Configuração'!$B$51+185&lt;'🌱 Configuração'!$E$51,INT(('🌱 Configuração'!$B$51+185-'🌱 Configuração'!$D$51)/7)+1=4,MOD('🌱 Configuração'!$B$51+185-'🌱 Configuração'!$D$51,7)=0),"🌸 Bloom + PK + Boost Floral — EC 2.0",IF(AND('🌱 Configuração'!$B$51+185&gt;='🌱 Configuração'!$D$51,'🌱 Configuração'!$B$51+185&lt;'🌱 Configuração'!$E$51,INT(('🌱 Configuração'!$B$51+185-'🌱 Configuração'!$D$51)/7)+1=5,MOD('🌱 Configuração'!$B$51+185-'🌱 Configuração'!$D$51,7)=0),"🌸 Bloom + Boost + Amino",IF(AND('🌱 Configuração'!$B$51+185&gt;='🌱 Configuração'!$D$51,'🌱 Configuração'!$B$51+185&lt;'🌱 Configuração'!$E$51,INT(('🌱 Configuração'!$B$51+185-'🌱 Configuração'!$D$51)/7)+1=6,MOD('🌱 Configuração'!$B$51+185-'🌱 Configuração'!$D$51,7)=0),"🌸 Bloom + Enzimas + Amino",IF(AND('🌱 Configuração'!$B$51+185&gt;='🌱 Configuração'!$D$51,'🌱 Configuração'!$B$51+185&lt;'🌱 Configuração'!$E$51,INT(('🌱 Configuração'!$B$51+185-'🌱 Configuração'!$D$51)/7)+1=7,MOD('🌱 Configuração'!$B$51+185-'🌱 Configuração'!$D$51,7)=0),"🌸 Reduzir N — Bloom puro — EC 1.6",IF(AND('🌱 Configuração'!$B$51+185&gt;='🌱 Configuração'!$D$51,'🌱 Configuração'!$B$51+185&lt;'🌱 Configuração'!$E$51,INT(('🌱 Configuração'!$B$51+185-'🌱 Configuração'!$D$51)/7)+1=8,MOD('🌱 Configuração'!$B$51+185-'🌱 Configuração'!$D$51,7)=0),"🌸 Bloom puro — EC 1.4  (pré-flush)",IF(AND('🌱 Configuração'!$B$51+185&gt;='🌱 Configuração'!$D$51,'🌱 Configuração'!$B$51+185&lt;'🌱 Configuração'!$E$51,INT(('🌱 Configuração'!$B$51+185-'🌱 Configuração'!$D$51)/7)+1=9,MOD('🌱 Configuração'!$B$51+185-'🌱 Configuração'!$D$51,7)=0),"🌸 Último Bloom — EC 0.8",IF(AND('🌱 Configuração'!$B$51+185&gt;='🌱 Configuração'!$E$51,INT(('🌱 Configuração'!$B$51+185-'🌱 Configuração'!$E$51)/7)+1=1,MOD('🌱 Configuração'!$B$51+185-'🌱 Configuração'!$E$51,7)=0),"🚿 Água pura + Enzimas (EC &lt; 0.3)",IF(AND('🌱 Configuração'!$B$51+185&gt;='🌱 Configuração'!$E$51,INT(('🌱 Configuração'!$B$51+185-'🌱 Configuração'!$E$51)/7)+1=2,MOD('🌱 Configuração'!$B$51+185-'🌱 Configuração'!$E$51,7)=0),"🚿 Água pura (EC &lt; 0.2)",""))))))))))))))))))))))</f>
        <v/>
      </c>
      <c r="G191" s="30" t="str">
        <f>IF(186&gt;'🌱 Configuração'!$F$50,"",IF(AND('🌱 Configuração'!$B$51+185&lt;'🌱 Configuração'!$C$51,INT((186-1)/7)+1=1,MOD(186-1,7)=0),"🐛 Nim 2mL/L foliar — preventivo",IF(AND('🌱 Configuração'!$B$51+185&lt;'🌱 Configuração'!$C$51,INT((186-1)/7)+1=2,MOD(186-1,7)=0),"🐛 Beauveria bassiana foliar + solo",IF(AND('🌱 Configuração'!$B$51+185&gt;='🌱 Configuração'!$C$51,'🌱 Configuração'!$B$51+185&lt;'🌱 Configuração'!$D$51,INT(('🌱 Configuração'!$B$51+185-'🌱 Configuração'!$C$51)/7)+1=1,MOD('🌱 Configuração'!$B$51+185-'🌱 Configuração'!$C$51,7)=0),"🐛 Nim 2mL/L foliar",IF(AND('🌱 Configuração'!$B$51+185&gt;='🌱 Configuração'!$C$51,'🌱 Configuração'!$B$51+185&lt;'🌱 Configuração'!$D$51,INT(('🌱 Configuração'!$B$51+185-'🌱 Configuração'!$C$51)/7)+1=2,MOD('🌱 Configuração'!$B$51+185-'🌱 Configuração'!$C$51,7)=0),"🐛 Beauveria bassiana foliar",IF(AND('🌱 Configuração'!$B$51+185&gt;='🌱 Configuração'!$C$51,'🌱 Configuração'!$B$51+185&lt;'🌱 Configuração'!$D$51,INT(('🌱 Configuração'!$B$51+185-'🌱 Configuração'!$C$51)/7)+1=3,MOD('🌱 Configuração'!$B$51+185-'🌱 Configuração'!$C$51,7)=0),"🐛 Nim + Calda Sulfocálcica 1%",IF(AND('🌱 Configuração'!$B$51+185&gt;='🌱 Configuração'!$C$51,'🌱 Configuração'!$B$51+185&lt;'🌱 Configuração'!$D$51,INT(('🌱 Configuração'!$B$51+185-'🌱 Configuração'!$C$51)/7)+1=4,MOD('🌱 Configuração'!$B$51+185-'🌱 Configuração'!$C$51,7)=0),"🐛 Trichoderma solo + Beauveria",IF(AND('🌱 Configuração'!$B$51+185&gt;='🌱 Configuração'!$C$51,'🌱 Configuração'!$B$51+185&lt;'🌱 Configuração'!$D$51,INT(('🌱 Configuração'!$B$51+185-'🌱 Configuração'!$C$51)/7)+1=5,MOD('🌱 Configuração'!$B$51+185-'🌱 Configuração'!$C$51,7)=0),"🐛 Calda Bordalesa 0.5% foliar",IF(AND('🌱 Configuração'!$B$51+185&gt;='🌱 Configuração'!$C$51,'🌱 Configuração'!$B$51+185&lt;'🌱 Configuração'!$D$51,INT(('🌱 Configuração'!$B$51+185-'🌱 Configuração'!$C$51)/7)+1=6,MOD('🌱 Configuração'!$B$51+185-'🌱 Configuração'!$C$51,7)=0),"🐛 Nim 2mL/L — ÚLTIMA foliar",IF(AND('🌱 Configuração'!$B$51+185&gt;='🌱 Configuração'!$D$51,'🌱 Configuração'!$B$51+185&lt;'🌱 Configuração'!$E$51,INT(('🌱 Configuração'!$B$51+185-'🌱 Configuração'!$D$51)/7)+1=1,MOD('🌱 Configuração'!$B$51+185-'🌱 Configuração'!$D$51,7)=0),"🐛 Beauveria bassiana solo (sem foliar)",IF(AND('🌱 Configuração'!$B$51+185&gt;='🌱 Configuração'!$D$51,'🌱 Configuração'!$B$51+185&lt;'🌱 Configuração'!$E$51,INT(('🌱 Configuração'!$B$51+185-'🌱 Configuração'!$D$51)/7)+1=2,MOD('🌱 Configuração'!$B$51+185-'🌱 Configuração'!$D$51,7)=0),"🐛 Trichoderma solo",IF(AND('🌱 Configuração'!$B$51+185&gt;='🌱 Configuração'!$D$51,'🌱 Configuração'!$B$51+185&lt;'🌱 Configuração'!$E$51,INT(('🌱 Configuração'!$B$51+185-'🌱 Configuração'!$D$51)/7)+1=3,MOD('🌱 Configuração'!$B$51+185-'🌱 Configuração'!$D$51,7)=0),"🐛 Beauveria bassiana solo",IF(AND('🌱 Configuração'!$B$51+185&gt;='🌱 Configuração'!$D$51,'🌱 Configuração'!$B$51+185&lt;'🌱 Configuração'!$E$51,INT(('🌱 Configuração'!$B$51+185-'🌱 Configuração'!$D$51)/7)+1=4,MOD('🌱 Configuração'!$B$51+185-'🌱 Configuração'!$D$51,7)=0),"🐛 Trichoderma solo",IF(AND('🌱 Configuração'!$B$51+185&gt;='🌱 Configuração'!$E$51,INT(('🌱 Configuração'!$B$51+185-'🌱 Configuração'!$E$51)/7)+1=1,MOD('🌱 Configuração'!$B$51+185-'🌱 Configuração'!$E$51,7)=0),"🐛 Inspeção final — sem aplicação",""))))))))))))))</f>
        <v/>
      </c>
      <c r="H191" s="22" t="str">
        <f>IF(186&gt;'🌱 Configuração'!$F$50,"",IF('🌱 Configuração'!$B$51+185='🌱 Configuração'!$C$51,"🌿 INÍCIO VEGA — ajustar espaço, luz 18h/dia — EC 0.8",IF('🌱 Configuração'!$B$51+185='🌱 Configuração'!$D$51,"🌸 INÍCIO FLORAÇÃO — mudar para 12h/12h — 🔴 atenção ao fotoperíodo",IF('🌱 Configuração'!$B$51+185='🌱 Configuração'!$E$51,"🚿 INÍCIO FLUSH — PARAR nutrição, somente água pura",IF('🌱 Configuração'!$B$51+185='🌱 Configuração'!$F$51-1,"🔬 Véspera da colheita — analisar tricomas âmbar",IF('🌱 Configuração'!$B$51+185='🌱 Configuração'!$F$51,"✂️ COLHEITA! Parabéns! 🎉",""))))))</f>
        <v/>
      </c>
    </row>
    <row r="192" spans="2:8" ht="18.75" customHeight="1" x14ac:dyDescent="0.3">
      <c r="B192" s="25" t="str">
        <f>IF(187&lt;='🌱 Configuração'!$F$50,187,"")</f>
        <v/>
      </c>
      <c r="C192" s="26" t="str">
        <f>IF(187&lt;='🌱 Configuração'!$F$50,'🌱 Configuração'!$B$51+186,"")</f>
        <v/>
      </c>
      <c r="D192" s="27" t="str">
        <f>IF(187&gt;'🌱 Configuração'!$F$50,"",IF('🌱 Configuração'!$B$51+186&lt;'🌱 Configuração'!$C$51,"🌱 Clone",IF('🌱 Configuração'!$B$51+186&lt;'🌱 Configuração'!$D$51,"🌿 Vegetativo",IF('🌱 Configuração'!$B$51+186&lt;'🌱 Configuração'!$E$51,"🌸 Floração","🚿 Flush"))))</f>
        <v/>
      </c>
      <c r="E192" s="28" t="str">
        <f>IF(187&gt;'🌱 Configuração'!$F$50,"",IF('🌱 Configuração'!$B$51+186&lt;'🌱 Configuração'!$C$51,"Clone S"&amp;INT((187-1)/7)+1,IF('🌱 Configuração'!$B$51+186&lt;'🌱 Configuração'!$D$51,"Vega S"&amp;INT(('🌱 Configuração'!$B$51+186-'🌱 Configuração'!$C$51)/7)+1,IF('🌱 Configuração'!$B$51+186&lt;'🌱 Configuração'!$E$51,"Flora S"&amp;INT(('🌱 Configuração'!$B$51+186-'🌱 Configuração'!$D$51)/7)+1,"Flush S"&amp;INT(('🌱 Configuração'!$B$51+186-'🌱 Configuração'!$E$51)/7)+1))))</f>
        <v/>
      </c>
      <c r="F192" s="29" t="str">
        <f>IF(187&gt;'🌱 Configuração'!$F$50,"",IF(AND('🌱 Configuração'!$B$51+186&lt;'🌱 Configuração'!$C$51,INT((187-1)/7)+1=1,MOD(187-1,7)=0),"🌱 Enraizador (0.5 mL/L)",IF(AND('🌱 Configuração'!$B$51+186&lt;'🌱 Configuração'!$C$51,INT((187-1)/7)+1=2,MOD(187-1,7)=0),"🌱 Enraizador + Vitamina B1",IF(AND('🌱 Configuração'!$B$51+186&gt;='🌱 Configuração'!$C$51,'🌱 Configuração'!$B$51+186&lt;'🌱 Configuração'!$D$51,INT(('🌱 Configuração'!$B$51+186-'🌱 Configuração'!$C$51)/7)+1=1,MOD('🌱 Configuração'!$B$51+186-'🌱 Configuração'!$C$51,7)=0),"🌿 Grow A+B início — EC 0.8",IF(AND('🌱 Configuração'!$B$51+186&gt;='🌱 Configuração'!$C$51,'🌱 Configuração'!$B$51+186&lt;'🌱 Configuração'!$D$51,INT(('🌱 Configuração'!$B$51+186-'🌱 Configuração'!$C$51)/7)+1=2,MOD('🌱 Configuração'!$B$51+186-'🌱 Configuração'!$C$51,7)=0),"🌿 Grow A+B + CalMag — EC 1.0",IF(AND('🌱 Configuração'!$B$51+186&gt;='🌱 Configuração'!$C$51,'🌱 Configuração'!$B$51+186&lt;'🌱 Configuração'!$D$51,INT(('🌱 Configuração'!$B$51+186-'🌱 Configuração'!$C$51)/7)+1=3,MOD('🌱 Configuração'!$B$51+186-'🌱 Configuração'!$C$51,7)=0),"🌿 Grow A+B + CalMag — EC 1.2",IF(AND('🌱 Configuração'!$B$51+186&gt;='🌱 Configuração'!$C$51,'🌱 Configuração'!$B$51+186&lt;'🌱 Configuração'!$D$51,INT(('🌱 Configuração'!$B$51+186-'🌱 Configuração'!$C$51)/7)+1=4,MOD('🌱 Configuração'!$B$51+186-'🌱 Configuração'!$C$51,7)=0),"🌿 Grow A+B + Enzimas — EC 1.4",IF(AND('🌱 Configuração'!$B$51+186&gt;='🌱 Configuração'!$C$51,'🌱 Configuração'!$B$51+186&lt;'🌱 Configuração'!$D$51,INT(('🌱 Configuração'!$B$51+186-'🌱 Configuração'!$C$51)/7)+1=5,MOD('🌱 Configuração'!$B$51+186-'🌱 Configuração'!$C$51,7)=0),"🌿 Grow A+B + Biorrizas — EC 1.5",IF(AND('🌱 Configuração'!$B$51+186&gt;='🌱 Configuração'!$C$51,'🌱 Configuração'!$B$51+186&lt;'🌱 Configuração'!$D$51,INT(('🌱 Configuração'!$B$51+186-'🌱 Configuração'!$C$51)/7)+1=6,MOD('🌱 Configuração'!$B$51+186-'🌱 Configuração'!$C$51,7)=0),"🌿 Transição Bloom — EC 1.4",IF(AND('🌱 Configuração'!$B$51+186&gt;='🌱 Configuração'!$C$51,'🌱 Configuração'!$B$51+186&lt;'🌱 Configuração'!$D$51,INT(('🌱 Configuração'!$B$51+186-'🌱 Configuração'!$C$51)/7)+1=7,MOD('🌱 Configuração'!$B$51+186-'🌱 Configuração'!$C$51,7)=0),"🌿 Bloom A+B transição — EC 1.4",IF(AND('🌱 Configuração'!$B$51+186&gt;='🌱 Configuração'!$C$51,'🌱 Configuração'!$B$51+186&lt;'🌱 Configuração'!$D$51,INT(('🌱 Configuração'!$B$51+186-'🌱 Configuração'!$C$51)/7)+1=8,MOD('🌱 Configuração'!$B$51+186-'🌱 Configuração'!$C$51,7)=0),"🌿 Bloom A+B — EC 1.4",IF(AND('🌱 Configuração'!$B$51+186&gt;='🌱 Configuração'!$D$51,'🌱 Configuração'!$B$51+186&lt;'🌱 Configuração'!$E$51,INT(('🌱 Configuração'!$B$51+186-'🌱 Configuração'!$D$51)/7)+1=1,MOD('🌱 Configuração'!$B$51+186-'🌱 Configuração'!$D$51,7)=0),"🌸 Bloom A+B — EC 1.6",IF(AND('🌱 Configuração'!$B$51+186&gt;='🌱 Configuração'!$D$51,'🌱 Configuração'!$B$51+186&lt;'🌱 Configuração'!$E$51,INT(('🌱 Configuração'!$B$51+186-'🌱 Configuração'!$D$51)/7)+1=2,MOD('🌱 Configuração'!$B$51+186-'🌱 Configuração'!$D$51,7)=0),"🌸 Bloom + PK 13/14 início",IF(AND('🌱 Configuração'!$B$51+186&gt;='🌱 Configuração'!$D$51,'🌱 Configuração'!$B$51+186&lt;'🌱 Configuração'!$E$51,INT(('🌱 Configuração'!$B$51+186-'🌱 Configuração'!$D$51)/7)+1=3,MOD('🌱 Configuração'!$B$51+186-'🌱 Configuração'!$D$51,7)=0),"🌸 Bloom + PK + CalMag — EC 1.8",IF(AND('🌱 Configuração'!$B$51+186&gt;='🌱 Configuração'!$D$51,'🌱 Configuração'!$B$51+186&lt;'🌱 Configuração'!$E$51,INT(('🌱 Configuração'!$B$51+186-'🌱 Configuração'!$D$51)/7)+1=4,MOD('🌱 Configuração'!$B$51+186-'🌱 Configuração'!$D$51,7)=0),"🌸 Bloom + PK + Boost Floral — EC 2.0",IF(AND('🌱 Configuração'!$B$51+186&gt;='🌱 Configuração'!$D$51,'🌱 Configuração'!$B$51+186&lt;'🌱 Configuração'!$E$51,INT(('🌱 Configuração'!$B$51+186-'🌱 Configuração'!$D$51)/7)+1=5,MOD('🌱 Configuração'!$B$51+186-'🌱 Configuração'!$D$51,7)=0),"🌸 Bloom + Boost + Amino",IF(AND('🌱 Configuração'!$B$51+186&gt;='🌱 Configuração'!$D$51,'🌱 Configuração'!$B$51+186&lt;'🌱 Configuração'!$E$51,INT(('🌱 Configuração'!$B$51+186-'🌱 Configuração'!$D$51)/7)+1=6,MOD('🌱 Configuração'!$B$51+186-'🌱 Configuração'!$D$51,7)=0),"🌸 Bloom + Enzimas + Amino",IF(AND('🌱 Configuração'!$B$51+186&gt;='🌱 Configuração'!$D$51,'🌱 Configuração'!$B$51+186&lt;'🌱 Configuração'!$E$51,INT(('🌱 Configuração'!$B$51+186-'🌱 Configuração'!$D$51)/7)+1=7,MOD('🌱 Configuração'!$B$51+186-'🌱 Configuração'!$D$51,7)=0),"🌸 Reduzir N — Bloom puro — EC 1.6",IF(AND('🌱 Configuração'!$B$51+186&gt;='🌱 Configuração'!$D$51,'🌱 Configuração'!$B$51+186&lt;'🌱 Configuração'!$E$51,INT(('🌱 Configuração'!$B$51+186-'🌱 Configuração'!$D$51)/7)+1=8,MOD('🌱 Configuração'!$B$51+186-'🌱 Configuração'!$D$51,7)=0),"🌸 Bloom puro — EC 1.4  (pré-flush)",IF(AND('🌱 Configuração'!$B$51+186&gt;='🌱 Configuração'!$D$51,'🌱 Configuração'!$B$51+186&lt;'🌱 Configuração'!$E$51,INT(('🌱 Configuração'!$B$51+186-'🌱 Configuração'!$D$51)/7)+1=9,MOD('🌱 Configuração'!$B$51+186-'🌱 Configuração'!$D$51,7)=0),"🌸 Último Bloom — EC 0.8",IF(AND('🌱 Configuração'!$B$51+186&gt;='🌱 Configuração'!$E$51,INT(('🌱 Configuração'!$B$51+186-'🌱 Configuração'!$E$51)/7)+1=1,MOD('🌱 Configuração'!$B$51+186-'🌱 Configuração'!$E$51,7)=0),"🚿 Água pura + Enzimas (EC &lt; 0.3)",IF(AND('🌱 Configuração'!$B$51+186&gt;='🌱 Configuração'!$E$51,INT(('🌱 Configuração'!$B$51+186-'🌱 Configuração'!$E$51)/7)+1=2,MOD('🌱 Configuração'!$B$51+186-'🌱 Configuração'!$E$51,7)=0),"🚿 Água pura (EC &lt; 0.2)",""))))))))))))))))))))))</f>
        <v/>
      </c>
      <c r="G192" s="30" t="str">
        <f>IF(187&gt;'🌱 Configuração'!$F$50,"",IF(AND('🌱 Configuração'!$B$51+186&lt;'🌱 Configuração'!$C$51,INT((187-1)/7)+1=1,MOD(187-1,7)=0),"🐛 Nim 2mL/L foliar — preventivo",IF(AND('🌱 Configuração'!$B$51+186&lt;'🌱 Configuração'!$C$51,INT((187-1)/7)+1=2,MOD(187-1,7)=0),"🐛 Beauveria bassiana foliar + solo",IF(AND('🌱 Configuração'!$B$51+186&gt;='🌱 Configuração'!$C$51,'🌱 Configuração'!$B$51+186&lt;'🌱 Configuração'!$D$51,INT(('🌱 Configuração'!$B$51+186-'🌱 Configuração'!$C$51)/7)+1=1,MOD('🌱 Configuração'!$B$51+186-'🌱 Configuração'!$C$51,7)=0),"🐛 Nim 2mL/L foliar",IF(AND('🌱 Configuração'!$B$51+186&gt;='🌱 Configuração'!$C$51,'🌱 Configuração'!$B$51+186&lt;'🌱 Configuração'!$D$51,INT(('🌱 Configuração'!$B$51+186-'🌱 Configuração'!$C$51)/7)+1=2,MOD('🌱 Configuração'!$B$51+186-'🌱 Configuração'!$C$51,7)=0),"🐛 Beauveria bassiana foliar",IF(AND('🌱 Configuração'!$B$51+186&gt;='🌱 Configuração'!$C$51,'🌱 Configuração'!$B$51+186&lt;'🌱 Configuração'!$D$51,INT(('🌱 Configuração'!$B$51+186-'🌱 Configuração'!$C$51)/7)+1=3,MOD('🌱 Configuração'!$B$51+186-'🌱 Configuração'!$C$51,7)=0),"🐛 Nim + Calda Sulfocálcica 1%",IF(AND('🌱 Configuração'!$B$51+186&gt;='🌱 Configuração'!$C$51,'🌱 Configuração'!$B$51+186&lt;'🌱 Configuração'!$D$51,INT(('🌱 Configuração'!$B$51+186-'🌱 Configuração'!$C$51)/7)+1=4,MOD('🌱 Configuração'!$B$51+186-'🌱 Configuração'!$C$51,7)=0),"🐛 Trichoderma solo + Beauveria",IF(AND('🌱 Configuração'!$B$51+186&gt;='🌱 Configuração'!$C$51,'🌱 Configuração'!$B$51+186&lt;'🌱 Configuração'!$D$51,INT(('🌱 Configuração'!$B$51+186-'🌱 Configuração'!$C$51)/7)+1=5,MOD('🌱 Configuração'!$B$51+186-'🌱 Configuração'!$C$51,7)=0),"🐛 Calda Bordalesa 0.5% foliar",IF(AND('🌱 Configuração'!$B$51+186&gt;='🌱 Configuração'!$C$51,'🌱 Configuração'!$B$51+186&lt;'🌱 Configuração'!$D$51,INT(('🌱 Configuração'!$B$51+186-'🌱 Configuração'!$C$51)/7)+1=6,MOD('🌱 Configuração'!$B$51+186-'🌱 Configuração'!$C$51,7)=0),"🐛 Nim 2mL/L — ÚLTIMA foliar",IF(AND('🌱 Configuração'!$B$51+186&gt;='🌱 Configuração'!$D$51,'🌱 Configuração'!$B$51+186&lt;'🌱 Configuração'!$E$51,INT(('🌱 Configuração'!$B$51+186-'🌱 Configuração'!$D$51)/7)+1=1,MOD('🌱 Configuração'!$B$51+186-'🌱 Configuração'!$D$51,7)=0),"🐛 Beauveria bassiana solo (sem foliar)",IF(AND('🌱 Configuração'!$B$51+186&gt;='🌱 Configuração'!$D$51,'🌱 Configuração'!$B$51+186&lt;'🌱 Configuração'!$E$51,INT(('🌱 Configuração'!$B$51+186-'🌱 Configuração'!$D$51)/7)+1=2,MOD('🌱 Configuração'!$B$51+186-'🌱 Configuração'!$D$51,7)=0),"🐛 Trichoderma solo",IF(AND('🌱 Configuração'!$B$51+186&gt;='🌱 Configuração'!$D$51,'🌱 Configuração'!$B$51+186&lt;'🌱 Configuração'!$E$51,INT(('🌱 Configuração'!$B$51+186-'🌱 Configuração'!$D$51)/7)+1=3,MOD('🌱 Configuração'!$B$51+186-'🌱 Configuração'!$D$51,7)=0),"🐛 Beauveria bassiana solo",IF(AND('🌱 Configuração'!$B$51+186&gt;='🌱 Configuração'!$D$51,'🌱 Configuração'!$B$51+186&lt;'🌱 Configuração'!$E$51,INT(('🌱 Configuração'!$B$51+186-'🌱 Configuração'!$D$51)/7)+1=4,MOD('🌱 Configuração'!$B$51+186-'🌱 Configuração'!$D$51,7)=0),"🐛 Trichoderma solo",IF(AND('🌱 Configuração'!$B$51+186&gt;='🌱 Configuração'!$E$51,INT(('🌱 Configuração'!$B$51+186-'🌱 Configuração'!$E$51)/7)+1=1,MOD('🌱 Configuração'!$B$51+186-'🌱 Configuração'!$E$51,7)=0),"🐛 Inspeção final — sem aplicação",""))))))))))))))</f>
        <v/>
      </c>
      <c r="H192" s="22" t="str">
        <f>IF(187&gt;'🌱 Configuração'!$F$50,"",IF('🌱 Configuração'!$B$51+186='🌱 Configuração'!$C$51,"🌿 INÍCIO VEGA — ajustar espaço, luz 18h/dia — EC 0.8",IF('🌱 Configuração'!$B$51+186='🌱 Configuração'!$D$51,"🌸 INÍCIO FLORAÇÃO — mudar para 12h/12h — 🔴 atenção ao fotoperíodo",IF('🌱 Configuração'!$B$51+186='🌱 Configuração'!$E$51,"🚿 INÍCIO FLUSH — PARAR nutrição, somente água pura",IF('🌱 Configuração'!$B$51+186='🌱 Configuração'!$F$51-1,"🔬 Véspera da colheita — analisar tricomas âmbar",IF('🌱 Configuração'!$B$51+186='🌱 Configuração'!$F$51,"✂️ COLHEITA! Parabéns! 🎉",""))))))</f>
        <v/>
      </c>
    </row>
    <row r="193" spans="2:8" ht="18.75" customHeight="1" x14ac:dyDescent="0.3">
      <c r="B193" s="25" t="str">
        <f>IF(188&lt;='🌱 Configuração'!$F$50,188,"")</f>
        <v/>
      </c>
      <c r="C193" s="26" t="str">
        <f>IF(188&lt;='🌱 Configuração'!$F$50,'🌱 Configuração'!$B$51+187,"")</f>
        <v/>
      </c>
      <c r="D193" s="27" t="str">
        <f>IF(188&gt;'🌱 Configuração'!$F$50,"",IF('🌱 Configuração'!$B$51+187&lt;'🌱 Configuração'!$C$51,"🌱 Clone",IF('🌱 Configuração'!$B$51+187&lt;'🌱 Configuração'!$D$51,"🌿 Vegetativo",IF('🌱 Configuração'!$B$51+187&lt;'🌱 Configuração'!$E$51,"🌸 Floração","🚿 Flush"))))</f>
        <v/>
      </c>
      <c r="E193" s="28" t="str">
        <f>IF(188&gt;'🌱 Configuração'!$F$50,"",IF('🌱 Configuração'!$B$51+187&lt;'🌱 Configuração'!$C$51,"Clone S"&amp;INT((188-1)/7)+1,IF('🌱 Configuração'!$B$51+187&lt;'🌱 Configuração'!$D$51,"Vega S"&amp;INT(('🌱 Configuração'!$B$51+187-'🌱 Configuração'!$C$51)/7)+1,IF('🌱 Configuração'!$B$51+187&lt;'🌱 Configuração'!$E$51,"Flora S"&amp;INT(('🌱 Configuração'!$B$51+187-'🌱 Configuração'!$D$51)/7)+1,"Flush S"&amp;INT(('🌱 Configuração'!$B$51+187-'🌱 Configuração'!$E$51)/7)+1))))</f>
        <v/>
      </c>
      <c r="F193" s="29" t="str">
        <f>IF(188&gt;'🌱 Configuração'!$F$50,"",IF(AND('🌱 Configuração'!$B$51+187&lt;'🌱 Configuração'!$C$51,INT((188-1)/7)+1=1,MOD(188-1,7)=0),"🌱 Enraizador (0.5 mL/L)",IF(AND('🌱 Configuração'!$B$51+187&lt;'🌱 Configuração'!$C$51,INT((188-1)/7)+1=2,MOD(188-1,7)=0),"🌱 Enraizador + Vitamina B1",IF(AND('🌱 Configuração'!$B$51+187&gt;='🌱 Configuração'!$C$51,'🌱 Configuração'!$B$51+187&lt;'🌱 Configuração'!$D$51,INT(('🌱 Configuração'!$B$51+187-'🌱 Configuração'!$C$51)/7)+1=1,MOD('🌱 Configuração'!$B$51+187-'🌱 Configuração'!$C$51,7)=0),"🌿 Grow A+B início — EC 0.8",IF(AND('🌱 Configuração'!$B$51+187&gt;='🌱 Configuração'!$C$51,'🌱 Configuração'!$B$51+187&lt;'🌱 Configuração'!$D$51,INT(('🌱 Configuração'!$B$51+187-'🌱 Configuração'!$C$51)/7)+1=2,MOD('🌱 Configuração'!$B$51+187-'🌱 Configuração'!$C$51,7)=0),"🌿 Grow A+B + CalMag — EC 1.0",IF(AND('🌱 Configuração'!$B$51+187&gt;='🌱 Configuração'!$C$51,'🌱 Configuração'!$B$51+187&lt;'🌱 Configuração'!$D$51,INT(('🌱 Configuração'!$B$51+187-'🌱 Configuração'!$C$51)/7)+1=3,MOD('🌱 Configuração'!$B$51+187-'🌱 Configuração'!$C$51,7)=0),"🌿 Grow A+B + CalMag — EC 1.2",IF(AND('🌱 Configuração'!$B$51+187&gt;='🌱 Configuração'!$C$51,'🌱 Configuração'!$B$51+187&lt;'🌱 Configuração'!$D$51,INT(('🌱 Configuração'!$B$51+187-'🌱 Configuração'!$C$51)/7)+1=4,MOD('🌱 Configuração'!$B$51+187-'🌱 Configuração'!$C$51,7)=0),"🌿 Grow A+B + Enzimas — EC 1.4",IF(AND('🌱 Configuração'!$B$51+187&gt;='🌱 Configuração'!$C$51,'🌱 Configuração'!$B$51+187&lt;'🌱 Configuração'!$D$51,INT(('🌱 Configuração'!$B$51+187-'🌱 Configuração'!$C$51)/7)+1=5,MOD('🌱 Configuração'!$B$51+187-'🌱 Configuração'!$C$51,7)=0),"🌿 Grow A+B + Biorrizas — EC 1.5",IF(AND('🌱 Configuração'!$B$51+187&gt;='🌱 Configuração'!$C$51,'🌱 Configuração'!$B$51+187&lt;'🌱 Configuração'!$D$51,INT(('🌱 Configuração'!$B$51+187-'🌱 Configuração'!$C$51)/7)+1=6,MOD('🌱 Configuração'!$B$51+187-'🌱 Configuração'!$C$51,7)=0),"🌿 Transição Bloom — EC 1.4",IF(AND('🌱 Configuração'!$B$51+187&gt;='🌱 Configuração'!$C$51,'🌱 Configuração'!$B$51+187&lt;'🌱 Configuração'!$D$51,INT(('🌱 Configuração'!$B$51+187-'🌱 Configuração'!$C$51)/7)+1=7,MOD('🌱 Configuração'!$B$51+187-'🌱 Configuração'!$C$51,7)=0),"🌿 Bloom A+B transição — EC 1.4",IF(AND('🌱 Configuração'!$B$51+187&gt;='🌱 Configuração'!$C$51,'🌱 Configuração'!$B$51+187&lt;'🌱 Configuração'!$D$51,INT(('🌱 Configuração'!$B$51+187-'🌱 Configuração'!$C$51)/7)+1=8,MOD('🌱 Configuração'!$B$51+187-'🌱 Configuração'!$C$51,7)=0),"🌿 Bloom A+B — EC 1.4",IF(AND('🌱 Configuração'!$B$51+187&gt;='🌱 Configuração'!$D$51,'🌱 Configuração'!$B$51+187&lt;'🌱 Configuração'!$E$51,INT(('🌱 Configuração'!$B$51+187-'🌱 Configuração'!$D$51)/7)+1=1,MOD('🌱 Configuração'!$B$51+187-'🌱 Configuração'!$D$51,7)=0),"🌸 Bloom A+B — EC 1.6",IF(AND('🌱 Configuração'!$B$51+187&gt;='🌱 Configuração'!$D$51,'🌱 Configuração'!$B$51+187&lt;'🌱 Configuração'!$E$51,INT(('🌱 Configuração'!$B$51+187-'🌱 Configuração'!$D$51)/7)+1=2,MOD('🌱 Configuração'!$B$51+187-'🌱 Configuração'!$D$51,7)=0),"🌸 Bloom + PK 13/14 início",IF(AND('🌱 Configuração'!$B$51+187&gt;='🌱 Configuração'!$D$51,'🌱 Configuração'!$B$51+187&lt;'🌱 Configuração'!$E$51,INT(('🌱 Configuração'!$B$51+187-'🌱 Configuração'!$D$51)/7)+1=3,MOD('🌱 Configuração'!$B$51+187-'🌱 Configuração'!$D$51,7)=0),"🌸 Bloom + PK + CalMag — EC 1.8",IF(AND('🌱 Configuração'!$B$51+187&gt;='🌱 Configuração'!$D$51,'🌱 Configuração'!$B$51+187&lt;'🌱 Configuração'!$E$51,INT(('🌱 Configuração'!$B$51+187-'🌱 Configuração'!$D$51)/7)+1=4,MOD('🌱 Configuração'!$B$51+187-'🌱 Configuração'!$D$51,7)=0),"🌸 Bloom + PK + Boost Floral — EC 2.0",IF(AND('🌱 Configuração'!$B$51+187&gt;='🌱 Configuração'!$D$51,'🌱 Configuração'!$B$51+187&lt;'🌱 Configuração'!$E$51,INT(('🌱 Configuração'!$B$51+187-'🌱 Configuração'!$D$51)/7)+1=5,MOD('🌱 Configuração'!$B$51+187-'🌱 Configuração'!$D$51,7)=0),"🌸 Bloom + Boost + Amino",IF(AND('🌱 Configuração'!$B$51+187&gt;='🌱 Configuração'!$D$51,'🌱 Configuração'!$B$51+187&lt;'🌱 Configuração'!$E$51,INT(('🌱 Configuração'!$B$51+187-'🌱 Configuração'!$D$51)/7)+1=6,MOD('🌱 Configuração'!$B$51+187-'🌱 Configuração'!$D$51,7)=0),"🌸 Bloom + Enzimas + Amino",IF(AND('🌱 Configuração'!$B$51+187&gt;='🌱 Configuração'!$D$51,'🌱 Configuração'!$B$51+187&lt;'🌱 Configuração'!$E$51,INT(('🌱 Configuração'!$B$51+187-'🌱 Configuração'!$D$51)/7)+1=7,MOD('🌱 Configuração'!$B$51+187-'🌱 Configuração'!$D$51,7)=0),"🌸 Reduzir N — Bloom puro — EC 1.6",IF(AND('🌱 Configuração'!$B$51+187&gt;='🌱 Configuração'!$D$51,'🌱 Configuração'!$B$51+187&lt;'🌱 Configuração'!$E$51,INT(('🌱 Configuração'!$B$51+187-'🌱 Configuração'!$D$51)/7)+1=8,MOD('🌱 Configuração'!$B$51+187-'🌱 Configuração'!$D$51,7)=0),"🌸 Bloom puro — EC 1.4  (pré-flush)",IF(AND('🌱 Configuração'!$B$51+187&gt;='🌱 Configuração'!$D$51,'🌱 Configuração'!$B$51+187&lt;'🌱 Configuração'!$E$51,INT(('🌱 Configuração'!$B$51+187-'🌱 Configuração'!$D$51)/7)+1=9,MOD('🌱 Configuração'!$B$51+187-'🌱 Configuração'!$D$51,7)=0),"🌸 Último Bloom — EC 0.8",IF(AND('🌱 Configuração'!$B$51+187&gt;='🌱 Configuração'!$E$51,INT(('🌱 Configuração'!$B$51+187-'🌱 Configuração'!$E$51)/7)+1=1,MOD('🌱 Configuração'!$B$51+187-'🌱 Configuração'!$E$51,7)=0),"🚿 Água pura + Enzimas (EC &lt; 0.3)",IF(AND('🌱 Configuração'!$B$51+187&gt;='🌱 Configuração'!$E$51,INT(('🌱 Configuração'!$B$51+187-'🌱 Configuração'!$E$51)/7)+1=2,MOD('🌱 Configuração'!$B$51+187-'🌱 Configuração'!$E$51,7)=0),"🚿 Água pura (EC &lt; 0.2)",""))))))))))))))))))))))</f>
        <v/>
      </c>
      <c r="G193" s="30" t="str">
        <f>IF(188&gt;'🌱 Configuração'!$F$50,"",IF(AND('🌱 Configuração'!$B$51+187&lt;'🌱 Configuração'!$C$51,INT((188-1)/7)+1=1,MOD(188-1,7)=0),"🐛 Nim 2mL/L foliar — preventivo",IF(AND('🌱 Configuração'!$B$51+187&lt;'🌱 Configuração'!$C$51,INT((188-1)/7)+1=2,MOD(188-1,7)=0),"🐛 Beauveria bassiana foliar + solo",IF(AND('🌱 Configuração'!$B$51+187&gt;='🌱 Configuração'!$C$51,'🌱 Configuração'!$B$51+187&lt;'🌱 Configuração'!$D$51,INT(('🌱 Configuração'!$B$51+187-'🌱 Configuração'!$C$51)/7)+1=1,MOD('🌱 Configuração'!$B$51+187-'🌱 Configuração'!$C$51,7)=0),"🐛 Nim 2mL/L foliar",IF(AND('🌱 Configuração'!$B$51+187&gt;='🌱 Configuração'!$C$51,'🌱 Configuração'!$B$51+187&lt;'🌱 Configuração'!$D$51,INT(('🌱 Configuração'!$B$51+187-'🌱 Configuração'!$C$51)/7)+1=2,MOD('🌱 Configuração'!$B$51+187-'🌱 Configuração'!$C$51,7)=0),"🐛 Beauveria bassiana foliar",IF(AND('🌱 Configuração'!$B$51+187&gt;='🌱 Configuração'!$C$51,'🌱 Configuração'!$B$51+187&lt;'🌱 Configuração'!$D$51,INT(('🌱 Configuração'!$B$51+187-'🌱 Configuração'!$C$51)/7)+1=3,MOD('🌱 Configuração'!$B$51+187-'🌱 Configuração'!$C$51,7)=0),"🐛 Nim + Calda Sulfocálcica 1%",IF(AND('🌱 Configuração'!$B$51+187&gt;='🌱 Configuração'!$C$51,'🌱 Configuração'!$B$51+187&lt;'🌱 Configuração'!$D$51,INT(('🌱 Configuração'!$B$51+187-'🌱 Configuração'!$C$51)/7)+1=4,MOD('🌱 Configuração'!$B$51+187-'🌱 Configuração'!$C$51,7)=0),"🐛 Trichoderma solo + Beauveria",IF(AND('🌱 Configuração'!$B$51+187&gt;='🌱 Configuração'!$C$51,'🌱 Configuração'!$B$51+187&lt;'🌱 Configuração'!$D$51,INT(('🌱 Configuração'!$B$51+187-'🌱 Configuração'!$C$51)/7)+1=5,MOD('🌱 Configuração'!$B$51+187-'🌱 Configuração'!$C$51,7)=0),"🐛 Calda Bordalesa 0.5% foliar",IF(AND('🌱 Configuração'!$B$51+187&gt;='🌱 Configuração'!$C$51,'🌱 Configuração'!$B$51+187&lt;'🌱 Configuração'!$D$51,INT(('🌱 Configuração'!$B$51+187-'🌱 Configuração'!$C$51)/7)+1=6,MOD('🌱 Configuração'!$B$51+187-'🌱 Configuração'!$C$51,7)=0),"🐛 Nim 2mL/L — ÚLTIMA foliar",IF(AND('🌱 Configuração'!$B$51+187&gt;='🌱 Configuração'!$D$51,'🌱 Configuração'!$B$51+187&lt;'🌱 Configuração'!$E$51,INT(('🌱 Configuração'!$B$51+187-'🌱 Configuração'!$D$51)/7)+1=1,MOD('🌱 Configuração'!$B$51+187-'🌱 Configuração'!$D$51,7)=0),"🐛 Beauveria bassiana solo (sem foliar)",IF(AND('🌱 Configuração'!$B$51+187&gt;='🌱 Configuração'!$D$51,'🌱 Configuração'!$B$51+187&lt;'🌱 Configuração'!$E$51,INT(('🌱 Configuração'!$B$51+187-'🌱 Configuração'!$D$51)/7)+1=2,MOD('🌱 Configuração'!$B$51+187-'🌱 Configuração'!$D$51,7)=0),"🐛 Trichoderma solo",IF(AND('🌱 Configuração'!$B$51+187&gt;='🌱 Configuração'!$D$51,'🌱 Configuração'!$B$51+187&lt;'🌱 Configuração'!$E$51,INT(('🌱 Configuração'!$B$51+187-'🌱 Configuração'!$D$51)/7)+1=3,MOD('🌱 Configuração'!$B$51+187-'🌱 Configuração'!$D$51,7)=0),"🐛 Beauveria bassiana solo",IF(AND('🌱 Configuração'!$B$51+187&gt;='🌱 Configuração'!$D$51,'🌱 Configuração'!$B$51+187&lt;'🌱 Configuração'!$E$51,INT(('🌱 Configuração'!$B$51+187-'🌱 Configuração'!$D$51)/7)+1=4,MOD('🌱 Configuração'!$B$51+187-'🌱 Configuração'!$D$51,7)=0),"🐛 Trichoderma solo",IF(AND('🌱 Configuração'!$B$51+187&gt;='🌱 Configuração'!$E$51,INT(('🌱 Configuração'!$B$51+187-'🌱 Configuração'!$E$51)/7)+1=1,MOD('🌱 Configuração'!$B$51+187-'🌱 Configuração'!$E$51,7)=0),"🐛 Inspeção final — sem aplicação",""))))))))))))))</f>
        <v/>
      </c>
      <c r="H193" s="22" t="str">
        <f>IF(188&gt;'🌱 Configuração'!$F$50,"",IF('🌱 Configuração'!$B$51+187='🌱 Configuração'!$C$51,"🌿 INÍCIO VEGA — ajustar espaço, luz 18h/dia — EC 0.8",IF('🌱 Configuração'!$B$51+187='🌱 Configuração'!$D$51,"🌸 INÍCIO FLORAÇÃO — mudar para 12h/12h — 🔴 atenção ao fotoperíodo",IF('🌱 Configuração'!$B$51+187='🌱 Configuração'!$E$51,"🚿 INÍCIO FLUSH — PARAR nutrição, somente água pura",IF('🌱 Configuração'!$B$51+187='🌱 Configuração'!$F$51-1,"🔬 Véspera da colheita — analisar tricomas âmbar",IF('🌱 Configuração'!$B$51+187='🌱 Configuração'!$F$51,"✂️ COLHEITA! Parabéns! 🎉",""))))))</f>
        <v/>
      </c>
    </row>
    <row r="194" spans="2:8" ht="18.75" customHeight="1" x14ac:dyDescent="0.3">
      <c r="B194" s="25" t="str">
        <f>IF(189&lt;='🌱 Configuração'!$F$50,189,"")</f>
        <v/>
      </c>
      <c r="C194" s="26" t="str">
        <f>IF(189&lt;='🌱 Configuração'!$F$50,'🌱 Configuração'!$B$51+188,"")</f>
        <v/>
      </c>
      <c r="D194" s="27" t="str">
        <f>IF(189&gt;'🌱 Configuração'!$F$50,"",IF('🌱 Configuração'!$B$51+188&lt;'🌱 Configuração'!$C$51,"🌱 Clone",IF('🌱 Configuração'!$B$51+188&lt;'🌱 Configuração'!$D$51,"🌿 Vegetativo",IF('🌱 Configuração'!$B$51+188&lt;'🌱 Configuração'!$E$51,"🌸 Floração","🚿 Flush"))))</f>
        <v/>
      </c>
      <c r="E194" s="28" t="str">
        <f>IF(189&gt;'🌱 Configuração'!$F$50,"",IF('🌱 Configuração'!$B$51+188&lt;'🌱 Configuração'!$C$51,"Clone S"&amp;INT((189-1)/7)+1,IF('🌱 Configuração'!$B$51+188&lt;'🌱 Configuração'!$D$51,"Vega S"&amp;INT(('🌱 Configuração'!$B$51+188-'🌱 Configuração'!$C$51)/7)+1,IF('🌱 Configuração'!$B$51+188&lt;'🌱 Configuração'!$E$51,"Flora S"&amp;INT(('🌱 Configuração'!$B$51+188-'🌱 Configuração'!$D$51)/7)+1,"Flush S"&amp;INT(('🌱 Configuração'!$B$51+188-'🌱 Configuração'!$E$51)/7)+1))))</f>
        <v/>
      </c>
      <c r="F194" s="29" t="str">
        <f>IF(189&gt;'🌱 Configuração'!$F$50,"",IF(AND('🌱 Configuração'!$B$51+188&lt;'🌱 Configuração'!$C$51,INT((189-1)/7)+1=1,MOD(189-1,7)=0),"🌱 Enraizador (0.5 mL/L)",IF(AND('🌱 Configuração'!$B$51+188&lt;'🌱 Configuração'!$C$51,INT((189-1)/7)+1=2,MOD(189-1,7)=0),"🌱 Enraizador + Vitamina B1",IF(AND('🌱 Configuração'!$B$51+188&gt;='🌱 Configuração'!$C$51,'🌱 Configuração'!$B$51+188&lt;'🌱 Configuração'!$D$51,INT(('🌱 Configuração'!$B$51+188-'🌱 Configuração'!$C$51)/7)+1=1,MOD('🌱 Configuração'!$B$51+188-'🌱 Configuração'!$C$51,7)=0),"🌿 Grow A+B início — EC 0.8",IF(AND('🌱 Configuração'!$B$51+188&gt;='🌱 Configuração'!$C$51,'🌱 Configuração'!$B$51+188&lt;'🌱 Configuração'!$D$51,INT(('🌱 Configuração'!$B$51+188-'🌱 Configuração'!$C$51)/7)+1=2,MOD('🌱 Configuração'!$B$51+188-'🌱 Configuração'!$C$51,7)=0),"🌿 Grow A+B + CalMag — EC 1.0",IF(AND('🌱 Configuração'!$B$51+188&gt;='🌱 Configuração'!$C$51,'🌱 Configuração'!$B$51+188&lt;'🌱 Configuração'!$D$51,INT(('🌱 Configuração'!$B$51+188-'🌱 Configuração'!$C$51)/7)+1=3,MOD('🌱 Configuração'!$B$51+188-'🌱 Configuração'!$C$51,7)=0),"🌿 Grow A+B + CalMag — EC 1.2",IF(AND('🌱 Configuração'!$B$51+188&gt;='🌱 Configuração'!$C$51,'🌱 Configuração'!$B$51+188&lt;'🌱 Configuração'!$D$51,INT(('🌱 Configuração'!$B$51+188-'🌱 Configuração'!$C$51)/7)+1=4,MOD('🌱 Configuração'!$B$51+188-'🌱 Configuração'!$C$51,7)=0),"🌿 Grow A+B + Enzimas — EC 1.4",IF(AND('🌱 Configuração'!$B$51+188&gt;='🌱 Configuração'!$C$51,'🌱 Configuração'!$B$51+188&lt;'🌱 Configuração'!$D$51,INT(('🌱 Configuração'!$B$51+188-'🌱 Configuração'!$C$51)/7)+1=5,MOD('🌱 Configuração'!$B$51+188-'🌱 Configuração'!$C$51,7)=0),"🌿 Grow A+B + Biorrizas — EC 1.5",IF(AND('🌱 Configuração'!$B$51+188&gt;='🌱 Configuração'!$C$51,'🌱 Configuração'!$B$51+188&lt;'🌱 Configuração'!$D$51,INT(('🌱 Configuração'!$B$51+188-'🌱 Configuração'!$C$51)/7)+1=6,MOD('🌱 Configuração'!$B$51+188-'🌱 Configuração'!$C$51,7)=0),"🌿 Transição Bloom — EC 1.4",IF(AND('🌱 Configuração'!$B$51+188&gt;='🌱 Configuração'!$C$51,'🌱 Configuração'!$B$51+188&lt;'🌱 Configuração'!$D$51,INT(('🌱 Configuração'!$B$51+188-'🌱 Configuração'!$C$51)/7)+1=7,MOD('🌱 Configuração'!$B$51+188-'🌱 Configuração'!$C$51,7)=0),"🌿 Bloom A+B transição — EC 1.4",IF(AND('🌱 Configuração'!$B$51+188&gt;='🌱 Configuração'!$C$51,'🌱 Configuração'!$B$51+188&lt;'🌱 Configuração'!$D$51,INT(('🌱 Configuração'!$B$51+188-'🌱 Configuração'!$C$51)/7)+1=8,MOD('🌱 Configuração'!$B$51+188-'🌱 Configuração'!$C$51,7)=0),"🌿 Bloom A+B — EC 1.4",IF(AND('🌱 Configuração'!$B$51+188&gt;='🌱 Configuração'!$D$51,'🌱 Configuração'!$B$51+188&lt;'🌱 Configuração'!$E$51,INT(('🌱 Configuração'!$B$51+188-'🌱 Configuração'!$D$51)/7)+1=1,MOD('🌱 Configuração'!$B$51+188-'🌱 Configuração'!$D$51,7)=0),"🌸 Bloom A+B — EC 1.6",IF(AND('🌱 Configuração'!$B$51+188&gt;='🌱 Configuração'!$D$51,'🌱 Configuração'!$B$51+188&lt;'🌱 Configuração'!$E$51,INT(('🌱 Configuração'!$B$51+188-'🌱 Configuração'!$D$51)/7)+1=2,MOD('🌱 Configuração'!$B$51+188-'🌱 Configuração'!$D$51,7)=0),"🌸 Bloom + PK 13/14 início",IF(AND('🌱 Configuração'!$B$51+188&gt;='🌱 Configuração'!$D$51,'🌱 Configuração'!$B$51+188&lt;'🌱 Configuração'!$E$51,INT(('🌱 Configuração'!$B$51+188-'🌱 Configuração'!$D$51)/7)+1=3,MOD('🌱 Configuração'!$B$51+188-'🌱 Configuração'!$D$51,7)=0),"🌸 Bloom + PK + CalMag — EC 1.8",IF(AND('🌱 Configuração'!$B$51+188&gt;='🌱 Configuração'!$D$51,'🌱 Configuração'!$B$51+188&lt;'🌱 Configuração'!$E$51,INT(('🌱 Configuração'!$B$51+188-'🌱 Configuração'!$D$51)/7)+1=4,MOD('🌱 Configuração'!$B$51+188-'🌱 Configuração'!$D$51,7)=0),"🌸 Bloom + PK + Boost Floral — EC 2.0",IF(AND('🌱 Configuração'!$B$51+188&gt;='🌱 Configuração'!$D$51,'🌱 Configuração'!$B$51+188&lt;'🌱 Configuração'!$E$51,INT(('🌱 Configuração'!$B$51+188-'🌱 Configuração'!$D$51)/7)+1=5,MOD('🌱 Configuração'!$B$51+188-'🌱 Configuração'!$D$51,7)=0),"🌸 Bloom + Boost + Amino",IF(AND('🌱 Configuração'!$B$51+188&gt;='🌱 Configuração'!$D$51,'🌱 Configuração'!$B$51+188&lt;'🌱 Configuração'!$E$51,INT(('🌱 Configuração'!$B$51+188-'🌱 Configuração'!$D$51)/7)+1=6,MOD('🌱 Configuração'!$B$51+188-'🌱 Configuração'!$D$51,7)=0),"🌸 Bloom + Enzimas + Amino",IF(AND('🌱 Configuração'!$B$51+188&gt;='🌱 Configuração'!$D$51,'🌱 Configuração'!$B$51+188&lt;'🌱 Configuração'!$E$51,INT(('🌱 Configuração'!$B$51+188-'🌱 Configuração'!$D$51)/7)+1=7,MOD('🌱 Configuração'!$B$51+188-'🌱 Configuração'!$D$51,7)=0),"🌸 Reduzir N — Bloom puro — EC 1.6",IF(AND('🌱 Configuração'!$B$51+188&gt;='🌱 Configuração'!$D$51,'🌱 Configuração'!$B$51+188&lt;'🌱 Configuração'!$E$51,INT(('🌱 Configuração'!$B$51+188-'🌱 Configuração'!$D$51)/7)+1=8,MOD('🌱 Configuração'!$B$51+188-'🌱 Configuração'!$D$51,7)=0),"🌸 Bloom puro — EC 1.4  (pré-flush)",IF(AND('🌱 Configuração'!$B$51+188&gt;='🌱 Configuração'!$D$51,'🌱 Configuração'!$B$51+188&lt;'🌱 Configuração'!$E$51,INT(('🌱 Configuração'!$B$51+188-'🌱 Configuração'!$D$51)/7)+1=9,MOD('🌱 Configuração'!$B$51+188-'🌱 Configuração'!$D$51,7)=0),"🌸 Último Bloom — EC 0.8",IF(AND('🌱 Configuração'!$B$51+188&gt;='🌱 Configuração'!$E$51,INT(('🌱 Configuração'!$B$51+188-'🌱 Configuração'!$E$51)/7)+1=1,MOD('🌱 Configuração'!$B$51+188-'🌱 Configuração'!$E$51,7)=0),"🚿 Água pura + Enzimas (EC &lt; 0.3)",IF(AND('🌱 Configuração'!$B$51+188&gt;='🌱 Configuração'!$E$51,INT(('🌱 Configuração'!$B$51+188-'🌱 Configuração'!$E$51)/7)+1=2,MOD('🌱 Configuração'!$B$51+188-'🌱 Configuração'!$E$51,7)=0),"🚿 Água pura (EC &lt; 0.2)",""))))))))))))))))))))))</f>
        <v/>
      </c>
      <c r="G194" s="30" t="str">
        <f>IF(189&gt;'🌱 Configuração'!$F$50,"",IF(AND('🌱 Configuração'!$B$51+188&lt;'🌱 Configuração'!$C$51,INT((189-1)/7)+1=1,MOD(189-1,7)=0),"🐛 Nim 2mL/L foliar — preventivo",IF(AND('🌱 Configuração'!$B$51+188&lt;'🌱 Configuração'!$C$51,INT((189-1)/7)+1=2,MOD(189-1,7)=0),"🐛 Beauveria bassiana foliar + solo",IF(AND('🌱 Configuração'!$B$51+188&gt;='🌱 Configuração'!$C$51,'🌱 Configuração'!$B$51+188&lt;'🌱 Configuração'!$D$51,INT(('🌱 Configuração'!$B$51+188-'🌱 Configuração'!$C$51)/7)+1=1,MOD('🌱 Configuração'!$B$51+188-'🌱 Configuração'!$C$51,7)=0),"🐛 Nim 2mL/L foliar",IF(AND('🌱 Configuração'!$B$51+188&gt;='🌱 Configuração'!$C$51,'🌱 Configuração'!$B$51+188&lt;'🌱 Configuração'!$D$51,INT(('🌱 Configuração'!$B$51+188-'🌱 Configuração'!$C$51)/7)+1=2,MOD('🌱 Configuração'!$B$51+188-'🌱 Configuração'!$C$51,7)=0),"🐛 Beauveria bassiana foliar",IF(AND('🌱 Configuração'!$B$51+188&gt;='🌱 Configuração'!$C$51,'🌱 Configuração'!$B$51+188&lt;'🌱 Configuração'!$D$51,INT(('🌱 Configuração'!$B$51+188-'🌱 Configuração'!$C$51)/7)+1=3,MOD('🌱 Configuração'!$B$51+188-'🌱 Configuração'!$C$51,7)=0),"🐛 Nim + Calda Sulfocálcica 1%",IF(AND('🌱 Configuração'!$B$51+188&gt;='🌱 Configuração'!$C$51,'🌱 Configuração'!$B$51+188&lt;'🌱 Configuração'!$D$51,INT(('🌱 Configuração'!$B$51+188-'🌱 Configuração'!$C$51)/7)+1=4,MOD('🌱 Configuração'!$B$51+188-'🌱 Configuração'!$C$51,7)=0),"🐛 Trichoderma solo + Beauveria",IF(AND('🌱 Configuração'!$B$51+188&gt;='🌱 Configuração'!$C$51,'🌱 Configuração'!$B$51+188&lt;'🌱 Configuração'!$D$51,INT(('🌱 Configuração'!$B$51+188-'🌱 Configuração'!$C$51)/7)+1=5,MOD('🌱 Configuração'!$B$51+188-'🌱 Configuração'!$C$51,7)=0),"🐛 Calda Bordalesa 0.5% foliar",IF(AND('🌱 Configuração'!$B$51+188&gt;='🌱 Configuração'!$C$51,'🌱 Configuração'!$B$51+188&lt;'🌱 Configuração'!$D$51,INT(('🌱 Configuração'!$B$51+188-'🌱 Configuração'!$C$51)/7)+1=6,MOD('🌱 Configuração'!$B$51+188-'🌱 Configuração'!$C$51,7)=0),"🐛 Nim 2mL/L — ÚLTIMA foliar",IF(AND('🌱 Configuração'!$B$51+188&gt;='🌱 Configuração'!$D$51,'🌱 Configuração'!$B$51+188&lt;'🌱 Configuração'!$E$51,INT(('🌱 Configuração'!$B$51+188-'🌱 Configuração'!$D$51)/7)+1=1,MOD('🌱 Configuração'!$B$51+188-'🌱 Configuração'!$D$51,7)=0),"🐛 Beauveria bassiana solo (sem foliar)",IF(AND('🌱 Configuração'!$B$51+188&gt;='🌱 Configuração'!$D$51,'🌱 Configuração'!$B$51+188&lt;'🌱 Configuração'!$E$51,INT(('🌱 Configuração'!$B$51+188-'🌱 Configuração'!$D$51)/7)+1=2,MOD('🌱 Configuração'!$B$51+188-'🌱 Configuração'!$D$51,7)=0),"🐛 Trichoderma solo",IF(AND('🌱 Configuração'!$B$51+188&gt;='🌱 Configuração'!$D$51,'🌱 Configuração'!$B$51+188&lt;'🌱 Configuração'!$E$51,INT(('🌱 Configuração'!$B$51+188-'🌱 Configuração'!$D$51)/7)+1=3,MOD('🌱 Configuração'!$B$51+188-'🌱 Configuração'!$D$51,7)=0),"🐛 Beauveria bassiana solo",IF(AND('🌱 Configuração'!$B$51+188&gt;='🌱 Configuração'!$D$51,'🌱 Configuração'!$B$51+188&lt;'🌱 Configuração'!$E$51,INT(('🌱 Configuração'!$B$51+188-'🌱 Configuração'!$D$51)/7)+1=4,MOD('🌱 Configuração'!$B$51+188-'🌱 Configuração'!$D$51,7)=0),"🐛 Trichoderma solo",IF(AND('🌱 Configuração'!$B$51+188&gt;='🌱 Configuração'!$E$51,INT(('🌱 Configuração'!$B$51+188-'🌱 Configuração'!$E$51)/7)+1=1,MOD('🌱 Configuração'!$B$51+188-'🌱 Configuração'!$E$51,7)=0),"🐛 Inspeção final — sem aplicação",""))))))))))))))</f>
        <v/>
      </c>
      <c r="H194" s="22" t="str">
        <f>IF(189&gt;'🌱 Configuração'!$F$50,"",IF('🌱 Configuração'!$B$51+188='🌱 Configuração'!$C$51,"🌿 INÍCIO VEGA — ajustar espaço, luz 18h/dia — EC 0.8",IF('🌱 Configuração'!$B$51+188='🌱 Configuração'!$D$51,"🌸 INÍCIO FLORAÇÃO — mudar para 12h/12h — 🔴 atenção ao fotoperíodo",IF('🌱 Configuração'!$B$51+188='🌱 Configuração'!$E$51,"🚿 INÍCIO FLUSH — PARAR nutrição, somente água pura",IF('🌱 Configuração'!$B$51+188='🌱 Configuração'!$F$51-1,"🔬 Véspera da colheita — analisar tricomas âmbar",IF('🌱 Configuração'!$B$51+188='🌱 Configuração'!$F$51,"✂️ COLHEITA! Parabéns! 🎉",""))))))</f>
        <v/>
      </c>
    </row>
    <row r="195" spans="2:8" ht="18.75" customHeight="1" x14ac:dyDescent="0.3">
      <c r="B195" s="25" t="str">
        <f>IF(190&lt;='🌱 Configuração'!$F$50,190,"")</f>
        <v/>
      </c>
      <c r="C195" s="26" t="str">
        <f>IF(190&lt;='🌱 Configuração'!$F$50,'🌱 Configuração'!$B$51+189,"")</f>
        <v/>
      </c>
      <c r="D195" s="27" t="str">
        <f>IF(190&gt;'🌱 Configuração'!$F$50,"",IF('🌱 Configuração'!$B$51+189&lt;'🌱 Configuração'!$C$51,"🌱 Clone",IF('🌱 Configuração'!$B$51+189&lt;'🌱 Configuração'!$D$51,"🌿 Vegetativo",IF('🌱 Configuração'!$B$51+189&lt;'🌱 Configuração'!$E$51,"🌸 Floração","🚿 Flush"))))</f>
        <v/>
      </c>
      <c r="E195" s="28" t="str">
        <f>IF(190&gt;'🌱 Configuração'!$F$50,"",IF('🌱 Configuração'!$B$51+189&lt;'🌱 Configuração'!$C$51,"Clone S"&amp;INT((190-1)/7)+1,IF('🌱 Configuração'!$B$51+189&lt;'🌱 Configuração'!$D$51,"Vega S"&amp;INT(('🌱 Configuração'!$B$51+189-'🌱 Configuração'!$C$51)/7)+1,IF('🌱 Configuração'!$B$51+189&lt;'🌱 Configuração'!$E$51,"Flora S"&amp;INT(('🌱 Configuração'!$B$51+189-'🌱 Configuração'!$D$51)/7)+1,"Flush S"&amp;INT(('🌱 Configuração'!$B$51+189-'🌱 Configuração'!$E$51)/7)+1))))</f>
        <v/>
      </c>
      <c r="F195" s="29" t="str">
        <f>IF(190&gt;'🌱 Configuração'!$F$50,"",IF(AND('🌱 Configuração'!$B$51+189&lt;'🌱 Configuração'!$C$51,INT((190-1)/7)+1=1,MOD(190-1,7)=0),"🌱 Enraizador (0.5 mL/L)",IF(AND('🌱 Configuração'!$B$51+189&lt;'🌱 Configuração'!$C$51,INT((190-1)/7)+1=2,MOD(190-1,7)=0),"🌱 Enraizador + Vitamina B1",IF(AND('🌱 Configuração'!$B$51+189&gt;='🌱 Configuração'!$C$51,'🌱 Configuração'!$B$51+189&lt;'🌱 Configuração'!$D$51,INT(('🌱 Configuração'!$B$51+189-'🌱 Configuração'!$C$51)/7)+1=1,MOD('🌱 Configuração'!$B$51+189-'🌱 Configuração'!$C$51,7)=0),"🌿 Grow A+B início — EC 0.8",IF(AND('🌱 Configuração'!$B$51+189&gt;='🌱 Configuração'!$C$51,'🌱 Configuração'!$B$51+189&lt;'🌱 Configuração'!$D$51,INT(('🌱 Configuração'!$B$51+189-'🌱 Configuração'!$C$51)/7)+1=2,MOD('🌱 Configuração'!$B$51+189-'🌱 Configuração'!$C$51,7)=0),"🌿 Grow A+B + CalMag — EC 1.0",IF(AND('🌱 Configuração'!$B$51+189&gt;='🌱 Configuração'!$C$51,'🌱 Configuração'!$B$51+189&lt;'🌱 Configuração'!$D$51,INT(('🌱 Configuração'!$B$51+189-'🌱 Configuração'!$C$51)/7)+1=3,MOD('🌱 Configuração'!$B$51+189-'🌱 Configuração'!$C$51,7)=0),"🌿 Grow A+B + CalMag — EC 1.2",IF(AND('🌱 Configuração'!$B$51+189&gt;='🌱 Configuração'!$C$51,'🌱 Configuração'!$B$51+189&lt;'🌱 Configuração'!$D$51,INT(('🌱 Configuração'!$B$51+189-'🌱 Configuração'!$C$51)/7)+1=4,MOD('🌱 Configuração'!$B$51+189-'🌱 Configuração'!$C$51,7)=0),"🌿 Grow A+B + Enzimas — EC 1.4",IF(AND('🌱 Configuração'!$B$51+189&gt;='🌱 Configuração'!$C$51,'🌱 Configuração'!$B$51+189&lt;'🌱 Configuração'!$D$51,INT(('🌱 Configuração'!$B$51+189-'🌱 Configuração'!$C$51)/7)+1=5,MOD('🌱 Configuração'!$B$51+189-'🌱 Configuração'!$C$51,7)=0),"🌿 Grow A+B + Biorrizas — EC 1.5",IF(AND('🌱 Configuração'!$B$51+189&gt;='🌱 Configuração'!$C$51,'🌱 Configuração'!$B$51+189&lt;'🌱 Configuração'!$D$51,INT(('🌱 Configuração'!$B$51+189-'🌱 Configuração'!$C$51)/7)+1=6,MOD('🌱 Configuração'!$B$51+189-'🌱 Configuração'!$C$51,7)=0),"🌿 Transição Bloom — EC 1.4",IF(AND('🌱 Configuração'!$B$51+189&gt;='🌱 Configuração'!$C$51,'🌱 Configuração'!$B$51+189&lt;'🌱 Configuração'!$D$51,INT(('🌱 Configuração'!$B$51+189-'🌱 Configuração'!$C$51)/7)+1=7,MOD('🌱 Configuração'!$B$51+189-'🌱 Configuração'!$C$51,7)=0),"🌿 Bloom A+B transição — EC 1.4",IF(AND('🌱 Configuração'!$B$51+189&gt;='🌱 Configuração'!$C$51,'🌱 Configuração'!$B$51+189&lt;'🌱 Configuração'!$D$51,INT(('🌱 Configuração'!$B$51+189-'🌱 Configuração'!$C$51)/7)+1=8,MOD('🌱 Configuração'!$B$51+189-'🌱 Configuração'!$C$51,7)=0),"🌿 Bloom A+B — EC 1.4",IF(AND('🌱 Configuração'!$B$51+189&gt;='🌱 Configuração'!$D$51,'🌱 Configuração'!$B$51+189&lt;'🌱 Configuração'!$E$51,INT(('🌱 Configuração'!$B$51+189-'🌱 Configuração'!$D$51)/7)+1=1,MOD('🌱 Configuração'!$B$51+189-'🌱 Configuração'!$D$51,7)=0),"🌸 Bloom A+B — EC 1.6",IF(AND('🌱 Configuração'!$B$51+189&gt;='🌱 Configuração'!$D$51,'🌱 Configuração'!$B$51+189&lt;'🌱 Configuração'!$E$51,INT(('🌱 Configuração'!$B$51+189-'🌱 Configuração'!$D$51)/7)+1=2,MOD('🌱 Configuração'!$B$51+189-'🌱 Configuração'!$D$51,7)=0),"🌸 Bloom + PK 13/14 início",IF(AND('🌱 Configuração'!$B$51+189&gt;='🌱 Configuração'!$D$51,'🌱 Configuração'!$B$51+189&lt;'🌱 Configuração'!$E$51,INT(('🌱 Configuração'!$B$51+189-'🌱 Configuração'!$D$51)/7)+1=3,MOD('🌱 Configuração'!$B$51+189-'🌱 Configuração'!$D$51,7)=0),"🌸 Bloom + PK + CalMag — EC 1.8",IF(AND('🌱 Configuração'!$B$51+189&gt;='🌱 Configuração'!$D$51,'🌱 Configuração'!$B$51+189&lt;'🌱 Configuração'!$E$51,INT(('🌱 Configuração'!$B$51+189-'🌱 Configuração'!$D$51)/7)+1=4,MOD('🌱 Configuração'!$B$51+189-'🌱 Configuração'!$D$51,7)=0),"🌸 Bloom + PK + Boost Floral — EC 2.0",IF(AND('🌱 Configuração'!$B$51+189&gt;='🌱 Configuração'!$D$51,'🌱 Configuração'!$B$51+189&lt;'🌱 Configuração'!$E$51,INT(('🌱 Configuração'!$B$51+189-'🌱 Configuração'!$D$51)/7)+1=5,MOD('🌱 Configuração'!$B$51+189-'🌱 Configuração'!$D$51,7)=0),"🌸 Bloom + Boost + Amino",IF(AND('🌱 Configuração'!$B$51+189&gt;='🌱 Configuração'!$D$51,'🌱 Configuração'!$B$51+189&lt;'🌱 Configuração'!$E$51,INT(('🌱 Configuração'!$B$51+189-'🌱 Configuração'!$D$51)/7)+1=6,MOD('🌱 Configuração'!$B$51+189-'🌱 Configuração'!$D$51,7)=0),"🌸 Bloom + Enzimas + Amino",IF(AND('🌱 Configuração'!$B$51+189&gt;='🌱 Configuração'!$D$51,'🌱 Configuração'!$B$51+189&lt;'🌱 Configuração'!$E$51,INT(('🌱 Configuração'!$B$51+189-'🌱 Configuração'!$D$51)/7)+1=7,MOD('🌱 Configuração'!$B$51+189-'🌱 Configuração'!$D$51,7)=0),"🌸 Reduzir N — Bloom puro — EC 1.6",IF(AND('🌱 Configuração'!$B$51+189&gt;='🌱 Configuração'!$D$51,'🌱 Configuração'!$B$51+189&lt;'🌱 Configuração'!$E$51,INT(('🌱 Configuração'!$B$51+189-'🌱 Configuração'!$D$51)/7)+1=8,MOD('🌱 Configuração'!$B$51+189-'🌱 Configuração'!$D$51,7)=0),"🌸 Bloom puro — EC 1.4  (pré-flush)",IF(AND('🌱 Configuração'!$B$51+189&gt;='🌱 Configuração'!$D$51,'🌱 Configuração'!$B$51+189&lt;'🌱 Configuração'!$E$51,INT(('🌱 Configuração'!$B$51+189-'🌱 Configuração'!$D$51)/7)+1=9,MOD('🌱 Configuração'!$B$51+189-'🌱 Configuração'!$D$51,7)=0),"🌸 Último Bloom — EC 0.8",IF(AND('🌱 Configuração'!$B$51+189&gt;='🌱 Configuração'!$E$51,INT(('🌱 Configuração'!$B$51+189-'🌱 Configuração'!$E$51)/7)+1=1,MOD('🌱 Configuração'!$B$51+189-'🌱 Configuração'!$E$51,7)=0),"🚿 Água pura + Enzimas (EC &lt; 0.3)",IF(AND('🌱 Configuração'!$B$51+189&gt;='🌱 Configuração'!$E$51,INT(('🌱 Configuração'!$B$51+189-'🌱 Configuração'!$E$51)/7)+1=2,MOD('🌱 Configuração'!$B$51+189-'🌱 Configuração'!$E$51,7)=0),"🚿 Água pura (EC &lt; 0.2)",""))))))))))))))))))))))</f>
        <v/>
      </c>
      <c r="G195" s="30" t="str">
        <f>IF(190&gt;'🌱 Configuração'!$F$50,"",IF(AND('🌱 Configuração'!$B$51+189&lt;'🌱 Configuração'!$C$51,INT((190-1)/7)+1=1,MOD(190-1,7)=0),"🐛 Nim 2mL/L foliar — preventivo",IF(AND('🌱 Configuração'!$B$51+189&lt;'🌱 Configuração'!$C$51,INT((190-1)/7)+1=2,MOD(190-1,7)=0),"🐛 Beauveria bassiana foliar + solo",IF(AND('🌱 Configuração'!$B$51+189&gt;='🌱 Configuração'!$C$51,'🌱 Configuração'!$B$51+189&lt;'🌱 Configuração'!$D$51,INT(('🌱 Configuração'!$B$51+189-'🌱 Configuração'!$C$51)/7)+1=1,MOD('🌱 Configuração'!$B$51+189-'🌱 Configuração'!$C$51,7)=0),"🐛 Nim 2mL/L foliar",IF(AND('🌱 Configuração'!$B$51+189&gt;='🌱 Configuração'!$C$51,'🌱 Configuração'!$B$51+189&lt;'🌱 Configuração'!$D$51,INT(('🌱 Configuração'!$B$51+189-'🌱 Configuração'!$C$51)/7)+1=2,MOD('🌱 Configuração'!$B$51+189-'🌱 Configuração'!$C$51,7)=0),"🐛 Beauveria bassiana foliar",IF(AND('🌱 Configuração'!$B$51+189&gt;='🌱 Configuração'!$C$51,'🌱 Configuração'!$B$51+189&lt;'🌱 Configuração'!$D$51,INT(('🌱 Configuração'!$B$51+189-'🌱 Configuração'!$C$51)/7)+1=3,MOD('🌱 Configuração'!$B$51+189-'🌱 Configuração'!$C$51,7)=0),"🐛 Nim + Calda Sulfocálcica 1%",IF(AND('🌱 Configuração'!$B$51+189&gt;='🌱 Configuração'!$C$51,'🌱 Configuração'!$B$51+189&lt;'🌱 Configuração'!$D$51,INT(('🌱 Configuração'!$B$51+189-'🌱 Configuração'!$C$51)/7)+1=4,MOD('🌱 Configuração'!$B$51+189-'🌱 Configuração'!$C$51,7)=0),"🐛 Trichoderma solo + Beauveria",IF(AND('🌱 Configuração'!$B$51+189&gt;='🌱 Configuração'!$C$51,'🌱 Configuração'!$B$51+189&lt;'🌱 Configuração'!$D$51,INT(('🌱 Configuração'!$B$51+189-'🌱 Configuração'!$C$51)/7)+1=5,MOD('🌱 Configuração'!$B$51+189-'🌱 Configuração'!$C$51,7)=0),"🐛 Calda Bordalesa 0.5% foliar",IF(AND('🌱 Configuração'!$B$51+189&gt;='🌱 Configuração'!$C$51,'🌱 Configuração'!$B$51+189&lt;'🌱 Configuração'!$D$51,INT(('🌱 Configuração'!$B$51+189-'🌱 Configuração'!$C$51)/7)+1=6,MOD('🌱 Configuração'!$B$51+189-'🌱 Configuração'!$C$51,7)=0),"🐛 Nim 2mL/L — ÚLTIMA foliar",IF(AND('🌱 Configuração'!$B$51+189&gt;='🌱 Configuração'!$D$51,'🌱 Configuração'!$B$51+189&lt;'🌱 Configuração'!$E$51,INT(('🌱 Configuração'!$B$51+189-'🌱 Configuração'!$D$51)/7)+1=1,MOD('🌱 Configuração'!$B$51+189-'🌱 Configuração'!$D$51,7)=0),"🐛 Beauveria bassiana solo (sem foliar)",IF(AND('🌱 Configuração'!$B$51+189&gt;='🌱 Configuração'!$D$51,'🌱 Configuração'!$B$51+189&lt;'🌱 Configuração'!$E$51,INT(('🌱 Configuração'!$B$51+189-'🌱 Configuração'!$D$51)/7)+1=2,MOD('🌱 Configuração'!$B$51+189-'🌱 Configuração'!$D$51,7)=0),"🐛 Trichoderma solo",IF(AND('🌱 Configuração'!$B$51+189&gt;='🌱 Configuração'!$D$51,'🌱 Configuração'!$B$51+189&lt;'🌱 Configuração'!$E$51,INT(('🌱 Configuração'!$B$51+189-'🌱 Configuração'!$D$51)/7)+1=3,MOD('🌱 Configuração'!$B$51+189-'🌱 Configuração'!$D$51,7)=0),"🐛 Beauveria bassiana solo",IF(AND('🌱 Configuração'!$B$51+189&gt;='🌱 Configuração'!$D$51,'🌱 Configuração'!$B$51+189&lt;'🌱 Configuração'!$E$51,INT(('🌱 Configuração'!$B$51+189-'🌱 Configuração'!$D$51)/7)+1=4,MOD('🌱 Configuração'!$B$51+189-'🌱 Configuração'!$D$51,7)=0),"🐛 Trichoderma solo",IF(AND('🌱 Configuração'!$B$51+189&gt;='🌱 Configuração'!$E$51,INT(('🌱 Configuração'!$B$51+189-'🌱 Configuração'!$E$51)/7)+1=1,MOD('🌱 Configuração'!$B$51+189-'🌱 Configuração'!$E$51,7)=0),"🐛 Inspeção final — sem aplicação",""))))))))))))))</f>
        <v/>
      </c>
      <c r="H195" s="22" t="str">
        <f>IF(190&gt;'🌱 Configuração'!$F$50,"",IF('🌱 Configuração'!$B$51+189='🌱 Configuração'!$C$51,"🌿 INÍCIO VEGA — ajustar espaço, luz 18h/dia — EC 0.8",IF('🌱 Configuração'!$B$51+189='🌱 Configuração'!$D$51,"🌸 INÍCIO FLORAÇÃO — mudar para 12h/12h — 🔴 atenção ao fotoperíodo",IF('🌱 Configuração'!$B$51+189='🌱 Configuração'!$E$51,"🚿 INÍCIO FLUSH — PARAR nutrição, somente água pura",IF('🌱 Configuração'!$B$51+189='🌱 Configuração'!$F$51-1,"🔬 Véspera da colheita — analisar tricomas âmbar",IF('🌱 Configuração'!$B$51+189='🌱 Configuração'!$F$51,"✂️ COLHEITA! Parabéns! 🎉",""))))))</f>
        <v/>
      </c>
    </row>
    <row r="196" spans="2:8" ht="18.75" customHeight="1" x14ac:dyDescent="0.3">
      <c r="B196" s="25" t="str">
        <f>IF(191&lt;='🌱 Configuração'!$F$50,191,"")</f>
        <v/>
      </c>
      <c r="C196" s="26" t="str">
        <f>IF(191&lt;='🌱 Configuração'!$F$50,'🌱 Configuração'!$B$51+190,"")</f>
        <v/>
      </c>
      <c r="D196" s="27" t="str">
        <f>IF(191&gt;'🌱 Configuração'!$F$50,"",IF('🌱 Configuração'!$B$51+190&lt;'🌱 Configuração'!$C$51,"🌱 Clone",IF('🌱 Configuração'!$B$51+190&lt;'🌱 Configuração'!$D$51,"🌿 Vegetativo",IF('🌱 Configuração'!$B$51+190&lt;'🌱 Configuração'!$E$51,"🌸 Floração","🚿 Flush"))))</f>
        <v/>
      </c>
      <c r="E196" s="28" t="str">
        <f>IF(191&gt;'🌱 Configuração'!$F$50,"",IF('🌱 Configuração'!$B$51+190&lt;'🌱 Configuração'!$C$51,"Clone S"&amp;INT((191-1)/7)+1,IF('🌱 Configuração'!$B$51+190&lt;'🌱 Configuração'!$D$51,"Vega S"&amp;INT(('🌱 Configuração'!$B$51+190-'🌱 Configuração'!$C$51)/7)+1,IF('🌱 Configuração'!$B$51+190&lt;'🌱 Configuração'!$E$51,"Flora S"&amp;INT(('🌱 Configuração'!$B$51+190-'🌱 Configuração'!$D$51)/7)+1,"Flush S"&amp;INT(('🌱 Configuração'!$B$51+190-'🌱 Configuração'!$E$51)/7)+1))))</f>
        <v/>
      </c>
      <c r="F196" s="29" t="str">
        <f>IF(191&gt;'🌱 Configuração'!$F$50,"",IF(AND('🌱 Configuração'!$B$51+190&lt;'🌱 Configuração'!$C$51,INT((191-1)/7)+1=1,MOD(191-1,7)=0),"🌱 Enraizador (0.5 mL/L)",IF(AND('🌱 Configuração'!$B$51+190&lt;'🌱 Configuração'!$C$51,INT((191-1)/7)+1=2,MOD(191-1,7)=0),"🌱 Enraizador + Vitamina B1",IF(AND('🌱 Configuração'!$B$51+190&gt;='🌱 Configuração'!$C$51,'🌱 Configuração'!$B$51+190&lt;'🌱 Configuração'!$D$51,INT(('🌱 Configuração'!$B$51+190-'🌱 Configuração'!$C$51)/7)+1=1,MOD('🌱 Configuração'!$B$51+190-'🌱 Configuração'!$C$51,7)=0),"🌿 Grow A+B início — EC 0.8",IF(AND('🌱 Configuração'!$B$51+190&gt;='🌱 Configuração'!$C$51,'🌱 Configuração'!$B$51+190&lt;'🌱 Configuração'!$D$51,INT(('🌱 Configuração'!$B$51+190-'🌱 Configuração'!$C$51)/7)+1=2,MOD('🌱 Configuração'!$B$51+190-'🌱 Configuração'!$C$51,7)=0),"🌿 Grow A+B + CalMag — EC 1.0",IF(AND('🌱 Configuração'!$B$51+190&gt;='🌱 Configuração'!$C$51,'🌱 Configuração'!$B$51+190&lt;'🌱 Configuração'!$D$51,INT(('🌱 Configuração'!$B$51+190-'🌱 Configuração'!$C$51)/7)+1=3,MOD('🌱 Configuração'!$B$51+190-'🌱 Configuração'!$C$51,7)=0),"🌿 Grow A+B + CalMag — EC 1.2",IF(AND('🌱 Configuração'!$B$51+190&gt;='🌱 Configuração'!$C$51,'🌱 Configuração'!$B$51+190&lt;'🌱 Configuração'!$D$51,INT(('🌱 Configuração'!$B$51+190-'🌱 Configuração'!$C$51)/7)+1=4,MOD('🌱 Configuração'!$B$51+190-'🌱 Configuração'!$C$51,7)=0),"🌿 Grow A+B + Enzimas — EC 1.4",IF(AND('🌱 Configuração'!$B$51+190&gt;='🌱 Configuração'!$C$51,'🌱 Configuração'!$B$51+190&lt;'🌱 Configuração'!$D$51,INT(('🌱 Configuração'!$B$51+190-'🌱 Configuração'!$C$51)/7)+1=5,MOD('🌱 Configuração'!$B$51+190-'🌱 Configuração'!$C$51,7)=0),"🌿 Grow A+B + Biorrizas — EC 1.5",IF(AND('🌱 Configuração'!$B$51+190&gt;='🌱 Configuração'!$C$51,'🌱 Configuração'!$B$51+190&lt;'🌱 Configuração'!$D$51,INT(('🌱 Configuração'!$B$51+190-'🌱 Configuração'!$C$51)/7)+1=6,MOD('🌱 Configuração'!$B$51+190-'🌱 Configuração'!$C$51,7)=0),"🌿 Transição Bloom — EC 1.4",IF(AND('🌱 Configuração'!$B$51+190&gt;='🌱 Configuração'!$C$51,'🌱 Configuração'!$B$51+190&lt;'🌱 Configuração'!$D$51,INT(('🌱 Configuração'!$B$51+190-'🌱 Configuração'!$C$51)/7)+1=7,MOD('🌱 Configuração'!$B$51+190-'🌱 Configuração'!$C$51,7)=0),"🌿 Bloom A+B transição — EC 1.4",IF(AND('🌱 Configuração'!$B$51+190&gt;='🌱 Configuração'!$C$51,'🌱 Configuração'!$B$51+190&lt;'🌱 Configuração'!$D$51,INT(('🌱 Configuração'!$B$51+190-'🌱 Configuração'!$C$51)/7)+1=8,MOD('🌱 Configuração'!$B$51+190-'🌱 Configuração'!$C$51,7)=0),"🌿 Bloom A+B — EC 1.4",IF(AND('🌱 Configuração'!$B$51+190&gt;='🌱 Configuração'!$D$51,'🌱 Configuração'!$B$51+190&lt;'🌱 Configuração'!$E$51,INT(('🌱 Configuração'!$B$51+190-'🌱 Configuração'!$D$51)/7)+1=1,MOD('🌱 Configuração'!$B$51+190-'🌱 Configuração'!$D$51,7)=0),"🌸 Bloom A+B — EC 1.6",IF(AND('🌱 Configuração'!$B$51+190&gt;='🌱 Configuração'!$D$51,'🌱 Configuração'!$B$51+190&lt;'🌱 Configuração'!$E$51,INT(('🌱 Configuração'!$B$51+190-'🌱 Configuração'!$D$51)/7)+1=2,MOD('🌱 Configuração'!$B$51+190-'🌱 Configuração'!$D$51,7)=0),"🌸 Bloom + PK 13/14 início",IF(AND('🌱 Configuração'!$B$51+190&gt;='🌱 Configuração'!$D$51,'🌱 Configuração'!$B$51+190&lt;'🌱 Configuração'!$E$51,INT(('🌱 Configuração'!$B$51+190-'🌱 Configuração'!$D$51)/7)+1=3,MOD('🌱 Configuração'!$B$51+190-'🌱 Configuração'!$D$51,7)=0),"🌸 Bloom + PK + CalMag — EC 1.8",IF(AND('🌱 Configuração'!$B$51+190&gt;='🌱 Configuração'!$D$51,'🌱 Configuração'!$B$51+190&lt;'🌱 Configuração'!$E$51,INT(('🌱 Configuração'!$B$51+190-'🌱 Configuração'!$D$51)/7)+1=4,MOD('🌱 Configuração'!$B$51+190-'🌱 Configuração'!$D$51,7)=0),"🌸 Bloom + PK + Boost Floral — EC 2.0",IF(AND('🌱 Configuração'!$B$51+190&gt;='🌱 Configuração'!$D$51,'🌱 Configuração'!$B$51+190&lt;'🌱 Configuração'!$E$51,INT(('🌱 Configuração'!$B$51+190-'🌱 Configuração'!$D$51)/7)+1=5,MOD('🌱 Configuração'!$B$51+190-'🌱 Configuração'!$D$51,7)=0),"🌸 Bloom + Boost + Amino",IF(AND('🌱 Configuração'!$B$51+190&gt;='🌱 Configuração'!$D$51,'🌱 Configuração'!$B$51+190&lt;'🌱 Configuração'!$E$51,INT(('🌱 Configuração'!$B$51+190-'🌱 Configuração'!$D$51)/7)+1=6,MOD('🌱 Configuração'!$B$51+190-'🌱 Configuração'!$D$51,7)=0),"🌸 Bloom + Enzimas + Amino",IF(AND('🌱 Configuração'!$B$51+190&gt;='🌱 Configuração'!$D$51,'🌱 Configuração'!$B$51+190&lt;'🌱 Configuração'!$E$51,INT(('🌱 Configuração'!$B$51+190-'🌱 Configuração'!$D$51)/7)+1=7,MOD('🌱 Configuração'!$B$51+190-'🌱 Configuração'!$D$51,7)=0),"🌸 Reduzir N — Bloom puro — EC 1.6",IF(AND('🌱 Configuração'!$B$51+190&gt;='🌱 Configuração'!$D$51,'🌱 Configuração'!$B$51+190&lt;'🌱 Configuração'!$E$51,INT(('🌱 Configuração'!$B$51+190-'🌱 Configuração'!$D$51)/7)+1=8,MOD('🌱 Configuração'!$B$51+190-'🌱 Configuração'!$D$51,7)=0),"🌸 Bloom puro — EC 1.4  (pré-flush)",IF(AND('🌱 Configuração'!$B$51+190&gt;='🌱 Configuração'!$D$51,'🌱 Configuração'!$B$51+190&lt;'🌱 Configuração'!$E$51,INT(('🌱 Configuração'!$B$51+190-'🌱 Configuração'!$D$51)/7)+1=9,MOD('🌱 Configuração'!$B$51+190-'🌱 Configuração'!$D$51,7)=0),"🌸 Último Bloom — EC 0.8",IF(AND('🌱 Configuração'!$B$51+190&gt;='🌱 Configuração'!$E$51,INT(('🌱 Configuração'!$B$51+190-'🌱 Configuração'!$E$51)/7)+1=1,MOD('🌱 Configuração'!$B$51+190-'🌱 Configuração'!$E$51,7)=0),"🚿 Água pura + Enzimas (EC &lt; 0.3)",IF(AND('🌱 Configuração'!$B$51+190&gt;='🌱 Configuração'!$E$51,INT(('🌱 Configuração'!$B$51+190-'🌱 Configuração'!$E$51)/7)+1=2,MOD('🌱 Configuração'!$B$51+190-'🌱 Configuração'!$E$51,7)=0),"🚿 Água pura (EC &lt; 0.2)",""))))))))))))))))))))))</f>
        <v/>
      </c>
      <c r="G196" s="30" t="str">
        <f>IF(191&gt;'🌱 Configuração'!$F$50,"",IF(AND('🌱 Configuração'!$B$51+190&lt;'🌱 Configuração'!$C$51,INT((191-1)/7)+1=1,MOD(191-1,7)=0),"🐛 Nim 2mL/L foliar — preventivo",IF(AND('🌱 Configuração'!$B$51+190&lt;'🌱 Configuração'!$C$51,INT((191-1)/7)+1=2,MOD(191-1,7)=0),"🐛 Beauveria bassiana foliar + solo",IF(AND('🌱 Configuração'!$B$51+190&gt;='🌱 Configuração'!$C$51,'🌱 Configuração'!$B$51+190&lt;'🌱 Configuração'!$D$51,INT(('🌱 Configuração'!$B$51+190-'🌱 Configuração'!$C$51)/7)+1=1,MOD('🌱 Configuração'!$B$51+190-'🌱 Configuração'!$C$51,7)=0),"🐛 Nim 2mL/L foliar",IF(AND('🌱 Configuração'!$B$51+190&gt;='🌱 Configuração'!$C$51,'🌱 Configuração'!$B$51+190&lt;'🌱 Configuração'!$D$51,INT(('🌱 Configuração'!$B$51+190-'🌱 Configuração'!$C$51)/7)+1=2,MOD('🌱 Configuração'!$B$51+190-'🌱 Configuração'!$C$51,7)=0),"🐛 Beauveria bassiana foliar",IF(AND('🌱 Configuração'!$B$51+190&gt;='🌱 Configuração'!$C$51,'🌱 Configuração'!$B$51+190&lt;'🌱 Configuração'!$D$51,INT(('🌱 Configuração'!$B$51+190-'🌱 Configuração'!$C$51)/7)+1=3,MOD('🌱 Configuração'!$B$51+190-'🌱 Configuração'!$C$51,7)=0),"🐛 Nim + Calda Sulfocálcica 1%",IF(AND('🌱 Configuração'!$B$51+190&gt;='🌱 Configuração'!$C$51,'🌱 Configuração'!$B$51+190&lt;'🌱 Configuração'!$D$51,INT(('🌱 Configuração'!$B$51+190-'🌱 Configuração'!$C$51)/7)+1=4,MOD('🌱 Configuração'!$B$51+190-'🌱 Configuração'!$C$51,7)=0),"🐛 Trichoderma solo + Beauveria",IF(AND('🌱 Configuração'!$B$51+190&gt;='🌱 Configuração'!$C$51,'🌱 Configuração'!$B$51+190&lt;'🌱 Configuração'!$D$51,INT(('🌱 Configuração'!$B$51+190-'🌱 Configuração'!$C$51)/7)+1=5,MOD('🌱 Configuração'!$B$51+190-'🌱 Configuração'!$C$51,7)=0),"🐛 Calda Bordalesa 0.5% foliar",IF(AND('🌱 Configuração'!$B$51+190&gt;='🌱 Configuração'!$C$51,'🌱 Configuração'!$B$51+190&lt;'🌱 Configuração'!$D$51,INT(('🌱 Configuração'!$B$51+190-'🌱 Configuração'!$C$51)/7)+1=6,MOD('🌱 Configuração'!$B$51+190-'🌱 Configuração'!$C$51,7)=0),"🐛 Nim 2mL/L — ÚLTIMA foliar",IF(AND('🌱 Configuração'!$B$51+190&gt;='🌱 Configuração'!$D$51,'🌱 Configuração'!$B$51+190&lt;'🌱 Configuração'!$E$51,INT(('🌱 Configuração'!$B$51+190-'🌱 Configuração'!$D$51)/7)+1=1,MOD('🌱 Configuração'!$B$51+190-'🌱 Configuração'!$D$51,7)=0),"🐛 Beauveria bassiana solo (sem foliar)",IF(AND('🌱 Configuração'!$B$51+190&gt;='🌱 Configuração'!$D$51,'🌱 Configuração'!$B$51+190&lt;'🌱 Configuração'!$E$51,INT(('🌱 Configuração'!$B$51+190-'🌱 Configuração'!$D$51)/7)+1=2,MOD('🌱 Configuração'!$B$51+190-'🌱 Configuração'!$D$51,7)=0),"🐛 Trichoderma solo",IF(AND('🌱 Configuração'!$B$51+190&gt;='🌱 Configuração'!$D$51,'🌱 Configuração'!$B$51+190&lt;'🌱 Configuração'!$E$51,INT(('🌱 Configuração'!$B$51+190-'🌱 Configuração'!$D$51)/7)+1=3,MOD('🌱 Configuração'!$B$51+190-'🌱 Configuração'!$D$51,7)=0),"🐛 Beauveria bassiana solo",IF(AND('🌱 Configuração'!$B$51+190&gt;='🌱 Configuração'!$D$51,'🌱 Configuração'!$B$51+190&lt;'🌱 Configuração'!$E$51,INT(('🌱 Configuração'!$B$51+190-'🌱 Configuração'!$D$51)/7)+1=4,MOD('🌱 Configuração'!$B$51+190-'🌱 Configuração'!$D$51,7)=0),"🐛 Trichoderma solo",IF(AND('🌱 Configuração'!$B$51+190&gt;='🌱 Configuração'!$E$51,INT(('🌱 Configuração'!$B$51+190-'🌱 Configuração'!$E$51)/7)+1=1,MOD('🌱 Configuração'!$B$51+190-'🌱 Configuração'!$E$51,7)=0),"🐛 Inspeção final — sem aplicação",""))))))))))))))</f>
        <v/>
      </c>
      <c r="H196" s="22" t="str">
        <f>IF(191&gt;'🌱 Configuração'!$F$50,"",IF('🌱 Configuração'!$B$51+190='🌱 Configuração'!$C$51,"🌿 INÍCIO VEGA — ajustar espaço, luz 18h/dia — EC 0.8",IF('🌱 Configuração'!$B$51+190='🌱 Configuração'!$D$51,"🌸 INÍCIO FLORAÇÃO — mudar para 12h/12h — 🔴 atenção ao fotoperíodo",IF('🌱 Configuração'!$B$51+190='🌱 Configuração'!$E$51,"🚿 INÍCIO FLUSH — PARAR nutrição, somente água pura",IF('🌱 Configuração'!$B$51+190='🌱 Configuração'!$F$51-1,"🔬 Véspera da colheita — analisar tricomas âmbar",IF('🌱 Configuração'!$B$51+190='🌱 Configuração'!$F$51,"✂️ COLHEITA! Parabéns! 🎉",""))))))</f>
        <v/>
      </c>
    </row>
    <row r="197" spans="2:8" ht="18.75" customHeight="1" x14ac:dyDescent="0.3">
      <c r="B197" s="25" t="str">
        <f>IF(192&lt;='🌱 Configuração'!$F$50,192,"")</f>
        <v/>
      </c>
      <c r="C197" s="26" t="str">
        <f>IF(192&lt;='🌱 Configuração'!$F$50,'🌱 Configuração'!$B$51+191,"")</f>
        <v/>
      </c>
      <c r="D197" s="27" t="str">
        <f>IF(192&gt;'🌱 Configuração'!$F$50,"",IF('🌱 Configuração'!$B$51+191&lt;'🌱 Configuração'!$C$51,"🌱 Clone",IF('🌱 Configuração'!$B$51+191&lt;'🌱 Configuração'!$D$51,"🌿 Vegetativo",IF('🌱 Configuração'!$B$51+191&lt;'🌱 Configuração'!$E$51,"🌸 Floração","🚿 Flush"))))</f>
        <v/>
      </c>
      <c r="E197" s="28" t="str">
        <f>IF(192&gt;'🌱 Configuração'!$F$50,"",IF('🌱 Configuração'!$B$51+191&lt;'🌱 Configuração'!$C$51,"Clone S"&amp;INT((192-1)/7)+1,IF('🌱 Configuração'!$B$51+191&lt;'🌱 Configuração'!$D$51,"Vega S"&amp;INT(('🌱 Configuração'!$B$51+191-'🌱 Configuração'!$C$51)/7)+1,IF('🌱 Configuração'!$B$51+191&lt;'🌱 Configuração'!$E$51,"Flora S"&amp;INT(('🌱 Configuração'!$B$51+191-'🌱 Configuração'!$D$51)/7)+1,"Flush S"&amp;INT(('🌱 Configuração'!$B$51+191-'🌱 Configuração'!$E$51)/7)+1))))</f>
        <v/>
      </c>
      <c r="F197" s="29" t="str">
        <f>IF(192&gt;'🌱 Configuração'!$F$50,"",IF(AND('🌱 Configuração'!$B$51+191&lt;'🌱 Configuração'!$C$51,INT((192-1)/7)+1=1,MOD(192-1,7)=0),"🌱 Enraizador (0.5 mL/L)",IF(AND('🌱 Configuração'!$B$51+191&lt;'🌱 Configuração'!$C$51,INT((192-1)/7)+1=2,MOD(192-1,7)=0),"🌱 Enraizador + Vitamina B1",IF(AND('🌱 Configuração'!$B$51+191&gt;='🌱 Configuração'!$C$51,'🌱 Configuração'!$B$51+191&lt;'🌱 Configuração'!$D$51,INT(('🌱 Configuração'!$B$51+191-'🌱 Configuração'!$C$51)/7)+1=1,MOD('🌱 Configuração'!$B$51+191-'🌱 Configuração'!$C$51,7)=0),"🌿 Grow A+B início — EC 0.8",IF(AND('🌱 Configuração'!$B$51+191&gt;='🌱 Configuração'!$C$51,'🌱 Configuração'!$B$51+191&lt;'🌱 Configuração'!$D$51,INT(('🌱 Configuração'!$B$51+191-'🌱 Configuração'!$C$51)/7)+1=2,MOD('🌱 Configuração'!$B$51+191-'🌱 Configuração'!$C$51,7)=0),"🌿 Grow A+B + CalMag — EC 1.0",IF(AND('🌱 Configuração'!$B$51+191&gt;='🌱 Configuração'!$C$51,'🌱 Configuração'!$B$51+191&lt;'🌱 Configuração'!$D$51,INT(('🌱 Configuração'!$B$51+191-'🌱 Configuração'!$C$51)/7)+1=3,MOD('🌱 Configuração'!$B$51+191-'🌱 Configuração'!$C$51,7)=0),"🌿 Grow A+B + CalMag — EC 1.2",IF(AND('🌱 Configuração'!$B$51+191&gt;='🌱 Configuração'!$C$51,'🌱 Configuração'!$B$51+191&lt;'🌱 Configuração'!$D$51,INT(('🌱 Configuração'!$B$51+191-'🌱 Configuração'!$C$51)/7)+1=4,MOD('🌱 Configuração'!$B$51+191-'🌱 Configuração'!$C$51,7)=0),"🌿 Grow A+B + Enzimas — EC 1.4",IF(AND('🌱 Configuração'!$B$51+191&gt;='🌱 Configuração'!$C$51,'🌱 Configuração'!$B$51+191&lt;'🌱 Configuração'!$D$51,INT(('🌱 Configuração'!$B$51+191-'🌱 Configuração'!$C$51)/7)+1=5,MOD('🌱 Configuração'!$B$51+191-'🌱 Configuração'!$C$51,7)=0),"🌿 Grow A+B + Biorrizas — EC 1.5",IF(AND('🌱 Configuração'!$B$51+191&gt;='🌱 Configuração'!$C$51,'🌱 Configuração'!$B$51+191&lt;'🌱 Configuração'!$D$51,INT(('🌱 Configuração'!$B$51+191-'🌱 Configuração'!$C$51)/7)+1=6,MOD('🌱 Configuração'!$B$51+191-'🌱 Configuração'!$C$51,7)=0),"🌿 Transição Bloom — EC 1.4",IF(AND('🌱 Configuração'!$B$51+191&gt;='🌱 Configuração'!$C$51,'🌱 Configuração'!$B$51+191&lt;'🌱 Configuração'!$D$51,INT(('🌱 Configuração'!$B$51+191-'🌱 Configuração'!$C$51)/7)+1=7,MOD('🌱 Configuração'!$B$51+191-'🌱 Configuração'!$C$51,7)=0),"🌿 Bloom A+B transição — EC 1.4",IF(AND('🌱 Configuração'!$B$51+191&gt;='🌱 Configuração'!$C$51,'🌱 Configuração'!$B$51+191&lt;'🌱 Configuração'!$D$51,INT(('🌱 Configuração'!$B$51+191-'🌱 Configuração'!$C$51)/7)+1=8,MOD('🌱 Configuração'!$B$51+191-'🌱 Configuração'!$C$51,7)=0),"🌿 Bloom A+B — EC 1.4",IF(AND('🌱 Configuração'!$B$51+191&gt;='🌱 Configuração'!$D$51,'🌱 Configuração'!$B$51+191&lt;'🌱 Configuração'!$E$51,INT(('🌱 Configuração'!$B$51+191-'🌱 Configuração'!$D$51)/7)+1=1,MOD('🌱 Configuração'!$B$51+191-'🌱 Configuração'!$D$51,7)=0),"🌸 Bloom A+B — EC 1.6",IF(AND('🌱 Configuração'!$B$51+191&gt;='🌱 Configuração'!$D$51,'🌱 Configuração'!$B$51+191&lt;'🌱 Configuração'!$E$51,INT(('🌱 Configuração'!$B$51+191-'🌱 Configuração'!$D$51)/7)+1=2,MOD('🌱 Configuração'!$B$51+191-'🌱 Configuração'!$D$51,7)=0),"🌸 Bloom + PK 13/14 início",IF(AND('🌱 Configuração'!$B$51+191&gt;='🌱 Configuração'!$D$51,'🌱 Configuração'!$B$51+191&lt;'🌱 Configuração'!$E$51,INT(('🌱 Configuração'!$B$51+191-'🌱 Configuração'!$D$51)/7)+1=3,MOD('🌱 Configuração'!$B$51+191-'🌱 Configuração'!$D$51,7)=0),"🌸 Bloom + PK + CalMag — EC 1.8",IF(AND('🌱 Configuração'!$B$51+191&gt;='🌱 Configuração'!$D$51,'🌱 Configuração'!$B$51+191&lt;'🌱 Configuração'!$E$51,INT(('🌱 Configuração'!$B$51+191-'🌱 Configuração'!$D$51)/7)+1=4,MOD('🌱 Configuração'!$B$51+191-'🌱 Configuração'!$D$51,7)=0),"🌸 Bloom + PK + Boost Floral — EC 2.0",IF(AND('🌱 Configuração'!$B$51+191&gt;='🌱 Configuração'!$D$51,'🌱 Configuração'!$B$51+191&lt;'🌱 Configuração'!$E$51,INT(('🌱 Configuração'!$B$51+191-'🌱 Configuração'!$D$51)/7)+1=5,MOD('🌱 Configuração'!$B$51+191-'🌱 Configuração'!$D$51,7)=0),"🌸 Bloom + Boost + Amino",IF(AND('🌱 Configuração'!$B$51+191&gt;='🌱 Configuração'!$D$51,'🌱 Configuração'!$B$51+191&lt;'🌱 Configuração'!$E$51,INT(('🌱 Configuração'!$B$51+191-'🌱 Configuração'!$D$51)/7)+1=6,MOD('🌱 Configuração'!$B$51+191-'🌱 Configuração'!$D$51,7)=0),"🌸 Bloom + Enzimas + Amino",IF(AND('🌱 Configuração'!$B$51+191&gt;='🌱 Configuração'!$D$51,'🌱 Configuração'!$B$51+191&lt;'🌱 Configuração'!$E$51,INT(('🌱 Configuração'!$B$51+191-'🌱 Configuração'!$D$51)/7)+1=7,MOD('🌱 Configuração'!$B$51+191-'🌱 Configuração'!$D$51,7)=0),"🌸 Reduzir N — Bloom puro — EC 1.6",IF(AND('🌱 Configuração'!$B$51+191&gt;='🌱 Configuração'!$D$51,'🌱 Configuração'!$B$51+191&lt;'🌱 Configuração'!$E$51,INT(('🌱 Configuração'!$B$51+191-'🌱 Configuração'!$D$51)/7)+1=8,MOD('🌱 Configuração'!$B$51+191-'🌱 Configuração'!$D$51,7)=0),"🌸 Bloom puro — EC 1.4  (pré-flush)",IF(AND('🌱 Configuração'!$B$51+191&gt;='🌱 Configuração'!$D$51,'🌱 Configuração'!$B$51+191&lt;'🌱 Configuração'!$E$51,INT(('🌱 Configuração'!$B$51+191-'🌱 Configuração'!$D$51)/7)+1=9,MOD('🌱 Configuração'!$B$51+191-'🌱 Configuração'!$D$51,7)=0),"🌸 Último Bloom — EC 0.8",IF(AND('🌱 Configuração'!$B$51+191&gt;='🌱 Configuração'!$E$51,INT(('🌱 Configuração'!$B$51+191-'🌱 Configuração'!$E$51)/7)+1=1,MOD('🌱 Configuração'!$B$51+191-'🌱 Configuração'!$E$51,7)=0),"🚿 Água pura + Enzimas (EC &lt; 0.3)",IF(AND('🌱 Configuração'!$B$51+191&gt;='🌱 Configuração'!$E$51,INT(('🌱 Configuração'!$B$51+191-'🌱 Configuração'!$E$51)/7)+1=2,MOD('🌱 Configuração'!$B$51+191-'🌱 Configuração'!$E$51,7)=0),"🚿 Água pura (EC &lt; 0.2)",""))))))))))))))))))))))</f>
        <v/>
      </c>
      <c r="G197" s="30" t="str">
        <f>IF(192&gt;'🌱 Configuração'!$F$50,"",IF(AND('🌱 Configuração'!$B$51+191&lt;'🌱 Configuração'!$C$51,INT((192-1)/7)+1=1,MOD(192-1,7)=0),"🐛 Nim 2mL/L foliar — preventivo",IF(AND('🌱 Configuração'!$B$51+191&lt;'🌱 Configuração'!$C$51,INT((192-1)/7)+1=2,MOD(192-1,7)=0),"🐛 Beauveria bassiana foliar + solo",IF(AND('🌱 Configuração'!$B$51+191&gt;='🌱 Configuração'!$C$51,'🌱 Configuração'!$B$51+191&lt;'🌱 Configuração'!$D$51,INT(('🌱 Configuração'!$B$51+191-'🌱 Configuração'!$C$51)/7)+1=1,MOD('🌱 Configuração'!$B$51+191-'🌱 Configuração'!$C$51,7)=0),"🐛 Nim 2mL/L foliar",IF(AND('🌱 Configuração'!$B$51+191&gt;='🌱 Configuração'!$C$51,'🌱 Configuração'!$B$51+191&lt;'🌱 Configuração'!$D$51,INT(('🌱 Configuração'!$B$51+191-'🌱 Configuração'!$C$51)/7)+1=2,MOD('🌱 Configuração'!$B$51+191-'🌱 Configuração'!$C$51,7)=0),"🐛 Beauveria bassiana foliar",IF(AND('🌱 Configuração'!$B$51+191&gt;='🌱 Configuração'!$C$51,'🌱 Configuração'!$B$51+191&lt;'🌱 Configuração'!$D$51,INT(('🌱 Configuração'!$B$51+191-'🌱 Configuração'!$C$51)/7)+1=3,MOD('🌱 Configuração'!$B$51+191-'🌱 Configuração'!$C$51,7)=0),"🐛 Nim + Calda Sulfocálcica 1%",IF(AND('🌱 Configuração'!$B$51+191&gt;='🌱 Configuração'!$C$51,'🌱 Configuração'!$B$51+191&lt;'🌱 Configuração'!$D$51,INT(('🌱 Configuração'!$B$51+191-'🌱 Configuração'!$C$51)/7)+1=4,MOD('🌱 Configuração'!$B$51+191-'🌱 Configuração'!$C$51,7)=0),"🐛 Trichoderma solo + Beauveria",IF(AND('🌱 Configuração'!$B$51+191&gt;='🌱 Configuração'!$C$51,'🌱 Configuração'!$B$51+191&lt;'🌱 Configuração'!$D$51,INT(('🌱 Configuração'!$B$51+191-'🌱 Configuração'!$C$51)/7)+1=5,MOD('🌱 Configuração'!$B$51+191-'🌱 Configuração'!$C$51,7)=0),"🐛 Calda Bordalesa 0.5% foliar",IF(AND('🌱 Configuração'!$B$51+191&gt;='🌱 Configuração'!$C$51,'🌱 Configuração'!$B$51+191&lt;'🌱 Configuração'!$D$51,INT(('🌱 Configuração'!$B$51+191-'🌱 Configuração'!$C$51)/7)+1=6,MOD('🌱 Configuração'!$B$51+191-'🌱 Configuração'!$C$51,7)=0),"🐛 Nim 2mL/L — ÚLTIMA foliar",IF(AND('🌱 Configuração'!$B$51+191&gt;='🌱 Configuração'!$D$51,'🌱 Configuração'!$B$51+191&lt;'🌱 Configuração'!$E$51,INT(('🌱 Configuração'!$B$51+191-'🌱 Configuração'!$D$51)/7)+1=1,MOD('🌱 Configuração'!$B$51+191-'🌱 Configuração'!$D$51,7)=0),"🐛 Beauveria bassiana solo (sem foliar)",IF(AND('🌱 Configuração'!$B$51+191&gt;='🌱 Configuração'!$D$51,'🌱 Configuração'!$B$51+191&lt;'🌱 Configuração'!$E$51,INT(('🌱 Configuração'!$B$51+191-'🌱 Configuração'!$D$51)/7)+1=2,MOD('🌱 Configuração'!$B$51+191-'🌱 Configuração'!$D$51,7)=0),"🐛 Trichoderma solo",IF(AND('🌱 Configuração'!$B$51+191&gt;='🌱 Configuração'!$D$51,'🌱 Configuração'!$B$51+191&lt;'🌱 Configuração'!$E$51,INT(('🌱 Configuração'!$B$51+191-'🌱 Configuração'!$D$51)/7)+1=3,MOD('🌱 Configuração'!$B$51+191-'🌱 Configuração'!$D$51,7)=0),"🐛 Beauveria bassiana solo",IF(AND('🌱 Configuração'!$B$51+191&gt;='🌱 Configuração'!$D$51,'🌱 Configuração'!$B$51+191&lt;'🌱 Configuração'!$E$51,INT(('🌱 Configuração'!$B$51+191-'🌱 Configuração'!$D$51)/7)+1=4,MOD('🌱 Configuração'!$B$51+191-'🌱 Configuração'!$D$51,7)=0),"🐛 Trichoderma solo",IF(AND('🌱 Configuração'!$B$51+191&gt;='🌱 Configuração'!$E$51,INT(('🌱 Configuração'!$B$51+191-'🌱 Configuração'!$E$51)/7)+1=1,MOD('🌱 Configuração'!$B$51+191-'🌱 Configuração'!$E$51,7)=0),"🐛 Inspeção final — sem aplicação",""))))))))))))))</f>
        <v/>
      </c>
      <c r="H197" s="22" t="str">
        <f>IF(192&gt;'🌱 Configuração'!$F$50,"",IF('🌱 Configuração'!$B$51+191='🌱 Configuração'!$C$51,"🌿 INÍCIO VEGA — ajustar espaço, luz 18h/dia — EC 0.8",IF('🌱 Configuração'!$B$51+191='🌱 Configuração'!$D$51,"🌸 INÍCIO FLORAÇÃO — mudar para 12h/12h — 🔴 atenção ao fotoperíodo",IF('🌱 Configuração'!$B$51+191='🌱 Configuração'!$E$51,"🚿 INÍCIO FLUSH — PARAR nutrição, somente água pura",IF('🌱 Configuração'!$B$51+191='🌱 Configuração'!$F$51-1,"🔬 Véspera da colheita — analisar tricomas âmbar",IF('🌱 Configuração'!$B$51+191='🌱 Configuração'!$F$51,"✂️ COLHEITA! Parabéns! 🎉",""))))))</f>
        <v/>
      </c>
    </row>
    <row r="198" spans="2:8" ht="18.75" customHeight="1" x14ac:dyDescent="0.3">
      <c r="B198" s="25" t="str">
        <f>IF(193&lt;='🌱 Configuração'!$F$50,193,"")</f>
        <v/>
      </c>
      <c r="C198" s="26" t="str">
        <f>IF(193&lt;='🌱 Configuração'!$F$50,'🌱 Configuração'!$B$51+192,"")</f>
        <v/>
      </c>
      <c r="D198" s="27" t="str">
        <f>IF(193&gt;'🌱 Configuração'!$F$50,"",IF('🌱 Configuração'!$B$51+192&lt;'🌱 Configuração'!$C$51,"🌱 Clone",IF('🌱 Configuração'!$B$51+192&lt;'🌱 Configuração'!$D$51,"🌿 Vegetativo",IF('🌱 Configuração'!$B$51+192&lt;'🌱 Configuração'!$E$51,"🌸 Floração","🚿 Flush"))))</f>
        <v/>
      </c>
      <c r="E198" s="28" t="str">
        <f>IF(193&gt;'🌱 Configuração'!$F$50,"",IF('🌱 Configuração'!$B$51+192&lt;'🌱 Configuração'!$C$51,"Clone S"&amp;INT((193-1)/7)+1,IF('🌱 Configuração'!$B$51+192&lt;'🌱 Configuração'!$D$51,"Vega S"&amp;INT(('🌱 Configuração'!$B$51+192-'🌱 Configuração'!$C$51)/7)+1,IF('🌱 Configuração'!$B$51+192&lt;'🌱 Configuração'!$E$51,"Flora S"&amp;INT(('🌱 Configuração'!$B$51+192-'🌱 Configuração'!$D$51)/7)+1,"Flush S"&amp;INT(('🌱 Configuração'!$B$51+192-'🌱 Configuração'!$E$51)/7)+1))))</f>
        <v/>
      </c>
      <c r="F198" s="29" t="str">
        <f>IF(193&gt;'🌱 Configuração'!$F$50,"",IF(AND('🌱 Configuração'!$B$51+192&lt;'🌱 Configuração'!$C$51,INT((193-1)/7)+1=1,MOD(193-1,7)=0),"🌱 Enraizador (0.5 mL/L)",IF(AND('🌱 Configuração'!$B$51+192&lt;'🌱 Configuração'!$C$51,INT((193-1)/7)+1=2,MOD(193-1,7)=0),"🌱 Enraizador + Vitamina B1",IF(AND('🌱 Configuração'!$B$51+192&gt;='🌱 Configuração'!$C$51,'🌱 Configuração'!$B$51+192&lt;'🌱 Configuração'!$D$51,INT(('🌱 Configuração'!$B$51+192-'🌱 Configuração'!$C$51)/7)+1=1,MOD('🌱 Configuração'!$B$51+192-'🌱 Configuração'!$C$51,7)=0),"🌿 Grow A+B início — EC 0.8",IF(AND('🌱 Configuração'!$B$51+192&gt;='🌱 Configuração'!$C$51,'🌱 Configuração'!$B$51+192&lt;'🌱 Configuração'!$D$51,INT(('🌱 Configuração'!$B$51+192-'🌱 Configuração'!$C$51)/7)+1=2,MOD('🌱 Configuração'!$B$51+192-'🌱 Configuração'!$C$51,7)=0),"🌿 Grow A+B + CalMag — EC 1.0",IF(AND('🌱 Configuração'!$B$51+192&gt;='🌱 Configuração'!$C$51,'🌱 Configuração'!$B$51+192&lt;'🌱 Configuração'!$D$51,INT(('🌱 Configuração'!$B$51+192-'🌱 Configuração'!$C$51)/7)+1=3,MOD('🌱 Configuração'!$B$51+192-'🌱 Configuração'!$C$51,7)=0),"🌿 Grow A+B + CalMag — EC 1.2",IF(AND('🌱 Configuração'!$B$51+192&gt;='🌱 Configuração'!$C$51,'🌱 Configuração'!$B$51+192&lt;'🌱 Configuração'!$D$51,INT(('🌱 Configuração'!$B$51+192-'🌱 Configuração'!$C$51)/7)+1=4,MOD('🌱 Configuração'!$B$51+192-'🌱 Configuração'!$C$51,7)=0),"🌿 Grow A+B + Enzimas — EC 1.4",IF(AND('🌱 Configuração'!$B$51+192&gt;='🌱 Configuração'!$C$51,'🌱 Configuração'!$B$51+192&lt;'🌱 Configuração'!$D$51,INT(('🌱 Configuração'!$B$51+192-'🌱 Configuração'!$C$51)/7)+1=5,MOD('🌱 Configuração'!$B$51+192-'🌱 Configuração'!$C$51,7)=0),"🌿 Grow A+B + Biorrizas — EC 1.5",IF(AND('🌱 Configuração'!$B$51+192&gt;='🌱 Configuração'!$C$51,'🌱 Configuração'!$B$51+192&lt;'🌱 Configuração'!$D$51,INT(('🌱 Configuração'!$B$51+192-'🌱 Configuração'!$C$51)/7)+1=6,MOD('🌱 Configuração'!$B$51+192-'🌱 Configuração'!$C$51,7)=0),"🌿 Transição Bloom — EC 1.4",IF(AND('🌱 Configuração'!$B$51+192&gt;='🌱 Configuração'!$C$51,'🌱 Configuração'!$B$51+192&lt;'🌱 Configuração'!$D$51,INT(('🌱 Configuração'!$B$51+192-'🌱 Configuração'!$C$51)/7)+1=7,MOD('🌱 Configuração'!$B$51+192-'🌱 Configuração'!$C$51,7)=0),"🌿 Bloom A+B transição — EC 1.4",IF(AND('🌱 Configuração'!$B$51+192&gt;='🌱 Configuração'!$C$51,'🌱 Configuração'!$B$51+192&lt;'🌱 Configuração'!$D$51,INT(('🌱 Configuração'!$B$51+192-'🌱 Configuração'!$C$51)/7)+1=8,MOD('🌱 Configuração'!$B$51+192-'🌱 Configuração'!$C$51,7)=0),"🌿 Bloom A+B — EC 1.4",IF(AND('🌱 Configuração'!$B$51+192&gt;='🌱 Configuração'!$D$51,'🌱 Configuração'!$B$51+192&lt;'🌱 Configuração'!$E$51,INT(('🌱 Configuração'!$B$51+192-'🌱 Configuração'!$D$51)/7)+1=1,MOD('🌱 Configuração'!$B$51+192-'🌱 Configuração'!$D$51,7)=0),"🌸 Bloom A+B — EC 1.6",IF(AND('🌱 Configuração'!$B$51+192&gt;='🌱 Configuração'!$D$51,'🌱 Configuração'!$B$51+192&lt;'🌱 Configuração'!$E$51,INT(('🌱 Configuração'!$B$51+192-'🌱 Configuração'!$D$51)/7)+1=2,MOD('🌱 Configuração'!$B$51+192-'🌱 Configuração'!$D$51,7)=0),"🌸 Bloom + PK 13/14 início",IF(AND('🌱 Configuração'!$B$51+192&gt;='🌱 Configuração'!$D$51,'🌱 Configuração'!$B$51+192&lt;'🌱 Configuração'!$E$51,INT(('🌱 Configuração'!$B$51+192-'🌱 Configuração'!$D$51)/7)+1=3,MOD('🌱 Configuração'!$B$51+192-'🌱 Configuração'!$D$51,7)=0),"🌸 Bloom + PK + CalMag — EC 1.8",IF(AND('🌱 Configuração'!$B$51+192&gt;='🌱 Configuração'!$D$51,'🌱 Configuração'!$B$51+192&lt;'🌱 Configuração'!$E$51,INT(('🌱 Configuração'!$B$51+192-'🌱 Configuração'!$D$51)/7)+1=4,MOD('🌱 Configuração'!$B$51+192-'🌱 Configuração'!$D$51,7)=0),"🌸 Bloom + PK + Boost Floral — EC 2.0",IF(AND('🌱 Configuração'!$B$51+192&gt;='🌱 Configuração'!$D$51,'🌱 Configuração'!$B$51+192&lt;'🌱 Configuração'!$E$51,INT(('🌱 Configuração'!$B$51+192-'🌱 Configuração'!$D$51)/7)+1=5,MOD('🌱 Configuração'!$B$51+192-'🌱 Configuração'!$D$51,7)=0),"🌸 Bloom + Boost + Amino",IF(AND('🌱 Configuração'!$B$51+192&gt;='🌱 Configuração'!$D$51,'🌱 Configuração'!$B$51+192&lt;'🌱 Configuração'!$E$51,INT(('🌱 Configuração'!$B$51+192-'🌱 Configuração'!$D$51)/7)+1=6,MOD('🌱 Configuração'!$B$51+192-'🌱 Configuração'!$D$51,7)=0),"🌸 Bloom + Enzimas + Amino",IF(AND('🌱 Configuração'!$B$51+192&gt;='🌱 Configuração'!$D$51,'🌱 Configuração'!$B$51+192&lt;'🌱 Configuração'!$E$51,INT(('🌱 Configuração'!$B$51+192-'🌱 Configuração'!$D$51)/7)+1=7,MOD('🌱 Configuração'!$B$51+192-'🌱 Configuração'!$D$51,7)=0),"🌸 Reduzir N — Bloom puro — EC 1.6",IF(AND('🌱 Configuração'!$B$51+192&gt;='🌱 Configuração'!$D$51,'🌱 Configuração'!$B$51+192&lt;'🌱 Configuração'!$E$51,INT(('🌱 Configuração'!$B$51+192-'🌱 Configuração'!$D$51)/7)+1=8,MOD('🌱 Configuração'!$B$51+192-'🌱 Configuração'!$D$51,7)=0),"🌸 Bloom puro — EC 1.4  (pré-flush)",IF(AND('🌱 Configuração'!$B$51+192&gt;='🌱 Configuração'!$D$51,'🌱 Configuração'!$B$51+192&lt;'🌱 Configuração'!$E$51,INT(('🌱 Configuração'!$B$51+192-'🌱 Configuração'!$D$51)/7)+1=9,MOD('🌱 Configuração'!$B$51+192-'🌱 Configuração'!$D$51,7)=0),"🌸 Último Bloom — EC 0.8",IF(AND('🌱 Configuração'!$B$51+192&gt;='🌱 Configuração'!$E$51,INT(('🌱 Configuração'!$B$51+192-'🌱 Configuração'!$E$51)/7)+1=1,MOD('🌱 Configuração'!$B$51+192-'🌱 Configuração'!$E$51,7)=0),"🚿 Água pura + Enzimas (EC &lt; 0.3)",IF(AND('🌱 Configuração'!$B$51+192&gt;='🌱 Configuração'!$E$51,INT(('🌱 Configuração'!$B$51+192-'🌱 Configuração'!$E$51)/7)+1=2,MOD('🌱 Configuração'!$B$51+192-'🌱 Configuração'!$E$51,7)=0),"🚿 Água pura (EC &lt; 0.2)",""))))))))))))))))))))))</f>
        <v/>
      </c>
      <c r="G198" s="30" t="str">
        <f>IF(193&gt;'🌱 Configuração'!$F$50,"",IF(AND('🌱 Configuração'!$B$51+192&lt;'🌱 Configuração'!$C$51,INT((193-1)/7)+1=1,MOD(193-1,7)=0),"🐛 Nim 2mL/L foliar — preventivo",IF(AND('🌱 Configuração'!$B$51+192&lt;'🌱 Configuração'!$C$51,INT((193-1)/7)+1=2,MOD(193-1,7)=0),"🐛 Beauveria bassiana foliar + solo",IF(AND('🌱 Configuração'!$B$51+192&gt;='🌱 Configuração'!$C$51,'🌱 Configuração'!$B$51+192&lt;'🌱 Configuração'!$D$51,INT(('🌱 Configuração'!$B$51+192-'🌱 Configuração'!$C$51)/7)+1=1,MOD('🌱 Configuração'!$B$51+192-'🌱 Configuração'!$C$51,7)=0),"🐛 Nim 2mL/L foliar",IF(AND('🌱 Configuração'!$B$51+192&gt;='🌱 Configuração'!$C$51,'🌱 Configuração'!$B$51+192&lt;'🌱 Configuração'!$D$51,INT(('🌱 Configuração'!$B$51+192-'🌱 Configuração'!$C$51)/7)+1=2,MOD('🌱 Configuração'!$B$51+192-'🌱 Configuração'!$C$51,7)=0),"🐛 Beauveria bassiana foliar",IF(AND('🌱 Configuração'!$B$51+192&gt;='🌱 Configuração'!$C$51,'🌱 Configuração'!$B$51+192&lt;'🌱 Configuração'!$D$51,INT(('🌱 Configuração'!$B$51+192-'🌱 Configuração'!$C$51)/7)+1=3,MOD('🌱 Configuração'!$B$51+192-'🌱 Configuração'!$C$51,7)=0),"🐛 Nim + Calda Sulfocálcica 1%",IF(AND('🌱 Configuração'!$B$51+192&gt;='🌱 Configuração'!$C$51,'🌱 Configuração'!$B$51+192&lt;'🌱 Configuração'!$D$51,INT(('🌱 Configuração'!$B$51+192-'🌱 Configuração'!$C$51)/7)+1=4,MOD('🌱 Configuração'!$B$51+192-'🌱 Configuração'!$C$51,7)=0),"🐛 Trichoderma solo + Beauveria",IF(AND('🌱 Configuração'!$B$51+192&gt;='🌱 Configuração'!$C$51,'🌱 Configuração'!$B$51+192&lt;'🌱 Configuração'!$D$51,INT(('🌱 Configuração'!$B$51+192-'🌱 Configuração'!$C$51)/7)+1=5,MOD('🌱 Configuração'!$B$51+192-'🌱 Configuração'!$C$51,7)=0),"🐛 Calda Bordalesa 0.5% foliar",IF(AND('🌱 Configuração'!$B$51+192&gt;='🌱 Configuração'!$C$51,'🌱 Configuração'!$B$51+192&lt;'🌱 Configuração'!$D$51,INT(('🌱 Configuração'!$B$51+192-'🌱 Configuração'!$C$51)/7)+1=6,MOD('🌱 Configuração'!$B$51+192-'🌱 Configuração'!$C$51,7)=0),"🐛 Nim 2mL/L — ÚLTIMA foliar",IF(AND('🌱 Configuração'!$B$51+192&gt;='🌱 Configuração'!$D$51,'🌱 Configuração'!$B$51+192&lt;'🌱 Configuração'!$E$51,INT(('🌱 Configuração'!$B$51+192-'🌱 Configuração'!$D$51)/7)+1=1,MOD('🌱 Configuração'!$B$51+192-'🌱 Configuração'!$D$51,7)=0),"🐛 Beauveria bassiana solo (sem foliar)",IF(AND('🌱 Configuração'!$B$51+192&gt;='🌱 Configuração'!$D$51,'🌱 Configuração'!$B$51+192&lt;'🌱 Configuração'!$E$51,INT(('🌱 Configuração'!$B$51+192-'🌱 Configuração'!$D$51)/7)+1=2,MOD('🌱 Configuração'!$B$51+192-'🌱 Configuração'!$D$51,7)=0),"🐛 Trichoderma solo",IF(AND('🌱 Configuração'!$B$51+192&gt;='🌱 Configuração'!$D$51,'🌱 Configuração'!$B$51+192&lt;'🌱 Configuração'!$E$51,INT(('🌱 Configuração'!$B$51+192-'🌱 Configuração'!$D$51)/7)+1=3,MOD('🌱 Configuração'!$B$51+192-'🌱 Configuração'!$D$51,7)=0),"🐛 Beauveria bassiana solo",IF(AND('🌱 Configuração'!$B$51+192&gt;='🌱 Configuração'!$D$51,'🌱 Configuração'!$B$51+192&lt;'🌱 Configuração'!$E$51,INT(('🌱 Configuração'!$B$51+192-'🌱 Configuração'!$D$51)/7)+1=4,MOD('🌱 Configuração'!$B$51+192-'🌱 Configuração'!$D$51,7)=0),"🐛 Trichoderma solo",IF(AND('🌱 Configuração'!$B$51+192&gt;='🌱 Configuração'!$E$51,INT(('🌱 Configuração'!$B$51+192-'🌱 Configuração'!$E$51)/7)+1=1,MOD('🌱 Configuração'!$B$51+192-'🌱 Configuração'!$E$51,7)=0),"🐛 Inspeção final — sem aplicação",""))))))))))))))</f>
        <v/>
      </c>
      <c r="H198" s="22" t="str">
        <f>IF(193&gt;'🌱 Configuração'!$F$50,"",IF('🌱 Configuração'!$B$51+192='🌱 Configuração'!$C$51,"🌿 INÍCIO VEGA — ajustar espaço, luz 18h/dia — EC 0.8",IF('🌱 Configuração'!$B$51+192='🌱 Configuração'!$D$51,"🌸 INÍCIO FLORAÇÃO — mudar para 12h/12h — 🔴 atenção ao fotoperíodo",IF('🌱 Configuração'!$B$51+192='🌱 Configuração'!$E$51,"🚿 INÍCIO FLUSH — PARAR nutrição, somente água pura",IF('🌱 Configuração'!$B$51+192='🌱 Configuração'!$F$51-1,"🔬 Véspera da colheita — analisar tricomas âmbar",IF('🌱 Configuração'!$B$51+192='🌱 Configuração'!$F$51,"✂️ COLHEITA! Parabéns! 🎉",""))))))</f>
        <v/>
      </c>
    </row>
    <row r="199" spans="2:8" ht="18.75" customHeight="1" x14ac:dyDescent="0.3">
      <c r="B199" s="25" t="str">
        <f>IF(194&lt;='🌱 Configuração'!$F$50,194,"")</f>
        <v/>
      </c>
      <c r="C199" s="26" t="str">
        <f>IF(194&lt;='🌱 Configuração'!$F$50,'🌱 Configuração'!$B$51+193,"")</f>
        <v/>
      </c>
      <c r="D199" s="27" t="str">
        <f>IF(194&gt;'🌱 Configuração'!$F$50,"",IF('🌱 Configuração'!$B$51+193&lt;'🌱 Configuração'!$C$51,"🌱 Clone",IF('🌱 Configuração'!$B$51+193&lt;'🌱 Configuração'!$D$51,"🌿 Vegetativo",IF('🌱 Configuração'!$B$51+193&lt;'🌱 Configuração'!$E$51,"🌸 Floração","🚿 Flush"))))</f>
        <v/>
      </c>
      <c r="E199" s="28" t="str">
        <f>IF(194&gt;'🌱 Configuração'!$F$50,"",IF('🌱 Configuração'!$B$51+193&lt;'🌱 Configuração'!$C$51,"Clone S"&amp;INT((194-1)/7)+1,IF('🌱 Configuração'!$B$51+193&lt;'🌱 Configuração'!$D$51,"Vega S"&amp;INT(('🌱 Configuração'!$B$51+193-'🌱 Configuração'!$C$51)/7)+1,IF('🌱 Configuração'!$B$51+193&lt;'🌱 Configuração'!$E$51,"Flora S"&amp;INT(('🌱 Configuração'!$B$51+193-'🌱 Configuração'!$D$51)/7)+1,"Flush S"&amp;INT(('🌱 Configuração'!$B$51+193-'🌱 Configuração'!$E$51)/7)+1))))</f>
        <v/>
      </c>
      <c r="F199" s="29" t="str">
        <f>IF(194&gt;'🌱 Configuração'!$F$50,"",IF(AND('🌱 Configuração'!$B$51+193&lt;'🌱 Configuração'!$C$51,INT((194-1)/7)+1=1,MOD(194-1,7)=0),"🌱 Enraizador (0.5 mL/L)",IF(AND('🌱 Configuração'!$B$51+193&lt;'🌱 Configuração'!$C$51,INT((194-1)/7)+1=2,MOD(194-1,7)=0),"🌱 Enraizador + Vitamina B1",IF(AND('🌱 Configuração'!$B$51+193&gt;='🌱 Configuração'!$C$51,'🌱 Configuração'!$B$51+193&lt;'🌱 Configuração'!$D$51,INT(('🌱 Configuração'!$B$51+193-'🌱 Configuração'!$C$51)/7)+1=1,MOD('🌱 Configuração'!$B$51+193-'🌱 Configuração'!$C$51,7)=0),"🌿 Grow A+B início — EC 0.8",IF(AND('🌱 Configuração'!$B$51+193&gt;='🌱 Configuração'!$C$51,'🌱 Configuração'!$B$51+193&lt;'🌱 Configuração'!$D$51,INT(('🌱 Configuração'!$B$51+193-'🌱 Configuração'!$C$51)/7)+1=2,MOD('🌱 Configuração'!$B$51+193-'🌱 Configuração'!$C$51,7)=0),"🌿 Grow A+B + CalMag — EC 1.0",IF(AND('🌱 Configuração'!$B$51+193&gt;='🌱 Configuração'!$C$51,'🌱 Configuração'!$B$51+193&lt;'🌱 Configuração'!$D$51,INT(('🌱 Configuração'!$B$51+193-'🌱 Configuração'!$C$51)/7)+1=3,MOD('🌱 Configuração'!$B$51+193-'🌱 Configuração'!$C$51,7)=0),"🌿 Grow A+B + CalMag — EC 1.2",IF(AND('🌱 Configuração'!$B$51+193&gt;='🌱 Configuração'!$C$51,'🌱 Configuração'!$B$51+193&lt;'🌱 Configuração'!$D$51,INT(('🌱 Configuração'!$B$51+193-'🌱 Configuração'!$C$51)/7)+1=4,MOD('🌱 Configuração'!$B$51+193-'🌱 Configuração'!$C$51,7)=0),"🌿 Grow A+B + Enzimas — EC 1.4",IF(AND('🌱 Configuração'!$B$51+193&gt;='🌱 Configuração'!$C$51,'🌱 Configuração'!$B$51+193&lt;'🌱 Configuração'!$D$51,INT(('🌱 Configuração'!$B$51+193-'🌱 Configuração'!$C$51)/7)+1=5,MOD('🌱 Configuração'!$B$51+193-'🌱 Configuração'!$C$51,7)=0),"🌿 Grow A+B + Biorrizas — EC 1.5",IF(AND('🌱 Configuração'!$B$51+193&gt;='🌱 Configuração'!$C$51,'🌱 Configuração'!$B$51+193&lt;'🌱 Configuração'!$D$51,INT(('🌱 Configuração'!$B$51+193-'🌱 Configuração'!$C$51)/7)+1=6,MOD('🌱 Configuração'!$B$51+193-'🌱 Configuração'!$C$51,7)=0),"🌿 Transição Bloom — EC 1.4",IF(AND('🌱 Configuração'!$B$51+193&gt;='🌱 Configuração'!$C$51,'🌱 Configuração'!$B$51+193&lt;'🌱 Configuração'!$D$51,INT(('🌱 Configuração'!$B$51+193-'🌱 Configuração'!$C$51)/7)+1=7,MOD('🌱 Configuração'!$B$51+193-'🌱 Configuração'!$C$51,7)=0),"🌿 Bloom A+B transição — EC 1.4",IF(AND('🌱 Configuração'!$B$51+193&gt;='🌱 Configuração'!$C$51,'🌱 Configuração'!$B$51+193&lt;'🌱 Configuração'!$D$51,INT(('🌱 Configuração'!$B$51+193-'🌱 Configuração'!$C$51)/7)+1=8,MOD('🌱 Configuração'!$B$51+193-'🌱 Configuração'!$C$51,7)=0),"🌿 Bloom A+B — EC 1.4",IF(AND('🌱 Configuração'!$B$51+193&gt;='🌱 Configuração'!$D$51,'🌱 Configuração'!$B$51+193&lt;'🌱 Configuração'!$E$51,INT(('🌱 Configuração'!$B$51+193-'🌱 Configuração'!$D$51)/7)+1=1,MOD('🌱 Configuração'!$B$51+193-'🌱 Configuração'!$D$51,7)=0),"🌸 Bloom A+B — EC 1.6",IF(AND('🌱 Configuração'!$B$51+193&gt;='🌱 Configuração'!$D$51,'🌱 Configuração'!$B$51+193&lt;'🌱 Configuração'!$E$51,INT(('🌱 Configuração'!$B$51+193-'🌱 Configuração'!$D$51)/7)+1=2,MOD('🌱 Configuração'!$B$51+193-'🌱 Configuração'!$D$51,7)=0),"🌸 Bloom + PK 13/14 início",IF(AND('🌱 Configuração'!$B$51+193&gt;='🌱 Configuração'!$D$51,'🌱 Configuração'!$B$51+193&lt;'🌱 Configuração'!$E$51,INT(('🌱 Configuração'!$B$51+193-'🌱 Configuração'!$D$51)/7)+1=3,MOD('🌱 Configuração'!$B$51+193-'🌱 Configuração'!$D$51,7)=0),"🌸 Bloom + PK + CalMag — EC 1.8",IF(AND('🌱 Configuração'!$B$51+193&gt;='🌱 Configuração'!$D$51,'🌱 Configuração'!$B$51+193&lt;'🌱 Configuração'!$E$51,INT(('🌱 Configuração'!$B$51+193-'🌱 Configuração'!$D$51)/7)+1=4,MOD('🌱 Configuração'!$B$51+193-'🌱 Configuração'!$D$51,7)=0),"🌸 Bloom + PK + Boost Floral — EC 2.0",IF(AND('🌱 Configuração'!$B$51+193&gt;='🌱 Configuração'!$D$51,'🌱 Configuração'!$B$51+193&lt;'🌱 Configuração'!$E$51,INT(('🌱 Configuração'!$B$51+193-'🌱 Configuração'!$D$51)/7)+1=5,MOD('🌱 Configuração'!$B$51+193-'🌱 Configuração'!$D$51,7)=0),"🌸 Bloom + Boost + Amino",IF(AND('🌱 Configuração'!$B$51+193&gt;='🌱 Configuração'!$D$51,'🌱 Configuração'!$B$51+193&lt;'🌱 Configuração'!$E$51,INT(('🌱 Configuração'!$B$51+193-'🌱 Configuração'!$D$51)/7)+1=6,MOD('🌱 Configuração'!$B$51+193-'🌱 Configuração'!$D$51,7)=0),"🌸 Bloom + Enzimas + Amino",IF(AND('🌱 Configuração'!$B$51+193&gt;='🌱 Configuração'!$D$51,'🌱 Configuração'!$B$51+193&lt;'🌱 Configuração'!$E$51,INT(('🌱 Configuração'!$B$51+193-'🌱 Configuração'!$D$51)/7)+1=7,MOD('🌱 Configuração'!$B$51+193-'🌱 Configuração'!$D$51,7)=0),"🌸 Reduzir N — Bloom puro — EC 1.6",IF(AND('🌱 Configuração'!$B$51+193&gt;='🌱 Configuração'!$D$51,'🌱 Configuração'!$B$51+193&lt;'🌱 Configuração'!$E$51,INT(('🌱 Configuração'!$B$51+193-'🌱 Configuração'!$D$51)/7)+1=8,MOD('🌱 Configuração'!$B$51+193-'🌱 Configuração'!$D$51,7)=0),"🌸 Bloom puro — EC 1.4  (pré-flush)",IF(AND('🌱 Configuração'!$B$51+193&gt;='🌱 Configuração'!$D$51,'🌱 Configuração'!$B$51+193&lt;'🌱 Configuração'!$E$51,INT(('🌱 Configuração'!$B$51+193-'🌱 Configuração'!$D$51)/7)+1=9,MOD('🌱 Configuração'!$B$51+193-'🌱 Configuração'!$D$51,7)=0),"🌸 Último Bloom — EC 0.8",IF(AND('🌱 Configuração'!$B$51+193&gt;='🌱 Configuração'!$E$51,INT(('🌱 Configuração'!$B$51+193-'🌱 Configuração'!$E$51)/7)+1=1,MOD('🌱 Configuração'!$B$51+193-'🌱 Configuração'!$E$51,7)=0),"🚿 Água pura + Enzimas (EC &lt; 0.3)",IF(AND('🌱 Configuração'!$B$51+193&gt;='🌱 Configuração'!$E$51,INT(('🌱 Configuração'!$B$51+193-'🌱 Configuração'!$E$51)/7)+1=2,MOD('🌱 Configuração'!$B$51+193-'🌱 Configuração'!$E$51,7)=0),"🚿 Água pura (EC &lt; 0.2)",""))))))))))))))))))))))</f>
        <v/>
      </c>
      <c r="G199" s="30" t="str">
        <f>IF(194&gt;'🌱 Configuração'!$F$50,"",IF(AND('🌱 Configuração'!$B$51+193&lt;'🌱 Configuração'!$C$51,INT((194-1)/7)+1=1,MOD(194-1,7)=0),"🐛 Nim 2mL/L foliar — preventivo",IF(AND('🌱 Configuração'!$B$51+193&lt;'🌱 Configuração'!$C$51,INT((194-1)/7)+1=2,MOD(194-1,7)=0),"🐛 Beauveria bassiana foliar + solo",IF(AND('🌱 Configuração'!$B$51+193&gt;='🌱 Configuração'!$C$51,'🌱 Configuração'!$B$51+193&lt;'🌱 Configuração'!$D$51,INT(('🌱 Configuração'!$B$51+193-'🌱 Configuração'!$C$51)/7)+1=1,MOD('🌱 Configuração'!$B$51+193-'🌱 Configuração'!$C$51,7)=0),"🐛 Nim 2mL/L foliar",IF(AND('🌱 Configuração'!$B$51+193&gt;='🌱 Configuração'!$C$51,'🌱 Configuração'!$B$51+193&lt;'🌱 Configuração'!$D$51,INT(('🌱 Configuração'!$B$51+193-'🌱 Configuração'!$C$51)/7)+1=2,MOD('🌱 Configuração'!$B$51+193-'🌱 Configuração'!$C$51,7)=0),"🐛 Beauveria bassiana foliar",IF(AND('🌱 Configuração'!$B$51+193&gt;='🌱 Configuração'!$C$51,'🌱 Configuração'!$B$51+193&lt;'🌱 Configuração'!$D$51,INT(('🌱 Configuração'!$B$51+193-'🌱 Configuração'!$C$51)/7)+1=3,MOD('🌱 Configuração'!$B$51+193-'🌱 Configuração'!$C$51,7)=0),"🐛 Nim + Calda Sulfocálcica 1%",IF(AND('🌱 Configuração'!$B$51+193&gt;='🌱 Configuração'!$C$51,'🌱 Configuração'!$B$51+193&lt;'🌱 Configuração'!$D$51,INT(('🌱 Configuração'!$B$51+193-'🌱 Configuração'!$C$51)/7)+1=4,MOD('🌱 Configuração'!$B$51+193-'🌱 Configuração'!$C$51,7)=0),"🐛 Trichoderma solo + Beauveria",IF(AND('🌱 Configuração'!$B$51+193&gt;='🌱 Configuração'!$C$51,'🌱 Configuração'!$B$51+193&lt;'🌱 Configuração'!$D$51,INT(('🌱 Configuração'!$B$51+193-'🌱 Configuração'!$C$51)/7)+1=5,MOD('🌱 Configuração'!$B$51+193-'🌱 Configuração'!$C$51,7)=0),"🐛 Calda Bordalesa 0.5% foliar",IF(AND('🌱 Configuração'!$B$51+193&gt;='🌱 Configuração'!$C$51,'🌱 Configuração'!$B$51+193&lt;'🌱 Configuração'!$D$51,INT(('🌱 Configuração'!$B$51+193-'🌱 Configuração'!$C$51)/7)+1=6,MOD('🌱 Configuração'!$B$51+193-'🌱 Configuração'!$C$51,7)=0),"🐛 Nim 2mL/L — ÚLTIMA foliar",IF(AND('🌱 Configuração'!$B$51+193&gt;='🌱 Configuração'!$D$51,'🌱 Configuração'!$B$51+193&lt;'🌱 Configuração'!$E$51,INT(('🌱 Configuração'!$B$51+193-'🌱 Configuração'!$D$51)/7)+1=1,MOD('🌱 Configuração'!$B$51+193-'🌱 Configuração'!$D$51,7)=0),"🐛 Beauveria bassiana solo (sem foliar)",IF(AND('🌱 Configuração'!$B$51+193&gt;='🌱 Configuração'!$D$51,'🌱 Configuração'!$B$51+193&lt;'🌱 Configuração'!$E$51,INT(('🌱 Configuração'!$B$51+193-'🌱 Configuração'!$D$51)/7)+1=2,MOD('🌱 Configuração'!$B$51+193-'🌱 Configuração'!$D$51,7)=0),"🐛 Trichoderma solo",IF(AND('🌱 Configuração'!$B$51+193&gt;='🌱 Configuração'!$D$51,'🌱 Configuração'!$B$51+193&lt;'🌱 Configuração'!$E$51,INT(('🌱 Configuração'!$B$51+193-'🌱 Configuração'!$D$51)/7)+1=3,MOD('🌱 Configuração'!$B$51+193-'🌱 Configuração'!$D$51,7)=0),"🐛 Beauveria bassiana solo",IF(AND('🌱 Configuração'!$B$51+193&gt;='🌱 Configuração'!$D$51,'🌱 Configuração'!$B$51+193&lt;'🌱 Configuração'!$E$51,INT(('🌱 Configuração'!$B$51+193-'🌱 Configuração'!$D$51)/7)+1=4,MOD('🌱 Configuração'!$B$51+193-'🌱 Configuração'!$D$51,7)=0),"🐛 Trichoderma solo",IF(AND('🌱 Configuração'!$B$51+193&gt;='🌱 Configuração'!$E$51,INT(('🌱 Configuração'!$B$51+193-'🌱 Configuração'!$E$51)/7)+1=1,MOD('🌱 Configuração'!$B$51+193-'🌱 Configuração'!$E$51,7)=0),"🐛 Inspeção final — sem aplicação",""))))))))))))))</f>
        <v/>
      </c>
      <c r="H199" s="22" t="str">
        <f>IF(194&gt;'🌱 Configuração'!$F$50,"",IF('🌱 Configuração'!$B$51+193='🌱 Configuração'!$C$51,"🌿 INÍCIO VEGA — ajustar espaço, luz 18h/dia — EC 0.8",IF('🌱 Configuração'!$B$51+193='🌱 Configuração'!$D$51,"🌸 INÍCIO FLORAÇÃO — mudar para 12h/12h — 🔴 atenção ao fotoperíodo",IF('🌱 Configuração'!$B$51+193='🌱 Configuração'!$E$51,"🚿 INÍCIO FLUSH — PARAR nutrição, somente água pura",IF('🌱 Configuração'!$B$51+193='🌱 Configuração'!$F$51-1,"🔬 Véspera da colheita — analisar tricomas âmbar",IF('🌱 Configuração'!$B$51+193='🌱 Configuração'!$F$51,"✂️ COLHEITA! Parabéns! 🎉",""))))))</f>
        <v/>
      </c>
    </row>
    <row r="200" spans="2:8" ht="18.75" customHeight="1" x14ac:dyDescent="0.3">
      <c r="B200" s="25" t="str">
        <f>IF(195&lt;='🌱 Configuração'!$F$50,195,"")</f>
        <v/>
      </c>
      <c r="C200" s="26" t="str">
        <f>IF(195&lt;='🌱 Configuração'!$F$50,'🌱 Configuração'!$B$51+194,"")</f>
        <v/>
      </c>
      <c r="D200" s="27" t="str">
        <f>IF(195&gt;'🌱 Configuração'!$F$50,"",IF('🌱 Configuração'!$B$51+194&lt;'🌱 Configuração'!$C$51,"🌱 Clone",IF('🌱 Configuração'!$B$51+194&lt;'🌱 Configuração'!$D$51,"🌿 Vegetativo",IF('🌱 Configuração'!$B$51+194&lt;'🌱 Configuração'!$E$51,"🌸 Floração","🚿 Flush"))))</f>
        <v/>
      </c>
      <c r="E200" s="28" t="str">
        <f>IF(195&gt;'🌱 Configuração'!$F$50,"",IF('🌱 Configuração'!$B$51+194&lt;'🌱 Configuração'!$C$51,"Clone S"&amp;INT((195-1)/7)+1,IF('🌱 Configuração'!$B$51+194&lt;'🌱 Configuração'!$D$51,"Vega S"&amp;INT(('🌱 Configuração'!$B$51+194-'🌱 Configuração'!$C$51)/7)+1,IF('🌱 Configuração'!$B$51+194&lt;'🌱 Configuração'!$E$51,"Flora S"&amp;INT(('🌱 Configuração'!$B$51+194-'🌱 Configuração'!$D$51)/7)+1,"Flush S"&amp;INT(('🌱 Configuração'!$B$51+194-'🌱 Configuração'!$E$51)/7)+1))))</f>
        <v/>
      </c>
      <c r="F200" s="29" t="str">
        <f>IF(195&gt;'🌱 Configuração'!$F$50,"",IF(AND('🌱 Configuração'!$B$51+194&lt;'🌱 Configuração'!$C$51,INT((195-1)/7)+1=1,MOD(195-1,7)=0),"🌱 Enraizador (0.5 mL/L)",IF(AND('🌱 Configuração'!$B$51+194&lt;'🌱 Configuração'!$C$51,INT((195-1)/7)+1=2,MOD(195-1,7)=0),"🌱 Enraizador + Vitamina B1",IF(AND('🌱 Configuração'!$B$51+194&gt;='🌱 Configuração'!$C$51,'🌱 Configuração'!$B$51+194&lt;'🌱 Configuração'!$D$51,INT(('🌱 Configuração'!$B$51+194-'🌱 Configuração'!$C$51)/7)+1=1,MOD('🌱 Configuração'!$B$51+194-'🌱 Configuração'!$C$51,7)=0),"🌿 Grow A+B início — EC 0.8",IF(AND('🌱 Configuração'!$B$51+194&gt;='🌱 Configuração'!$C$51,'🌱 Configuração'!$B$51+194&lt;'🌱 Configuração'!$D$51,INT(('🌱 Configuração'!$B$51+194-'🌱 Configuração'!$C$51)/7)+1=2,MOD('🌱 Configuração'!$B$51+194-'🌱 Configuração'!$C$51,7)=0),"🌿 Grow A+B + CalMag — EC 1.0",IF(AND('🌱 Configuração'!$B$51+194&gt;='🌱 Configuração'!$C$51,'🌱 Configuração'!$B$51+194&lt;'🌱 Configuração'!$D$51,INT(('🌱 Configuração'!$B$51+194-'🌱 Configuração'!$C$51)/7)+1=3,MOD('🌱 Configuração'!$B$51+194-'🌱 Configuração'!$C$51,7)=0),"🌿 Grow A+B + CalMag — EC 1.2",IF(AND('🌱 Configuração'!$B$51+194&gt;='🌱 Configuração'!$C$51,'🌱 Configuração'!$B$51+194&lt;'🌱 Configuração'!$D$51,INT(('🌱 Configuração'!$B$51+194-'🌱 Configuração'!$C$51)/7)+1=4,MOD('🌱 Configuração'!$B$51+194-'🌱 Configuração'!$C$51,7)=0),"🌿 Grow A+B + Enzimas — EC 1.4",IF(AND('🌱 Configuração'!$B$51+194&gt;='🌱 Configuração'!$C$51,'🌱 Configuração'!$B$51+194&lt;'🌱 Configuração'!$D$51,INT(('🌱 Configuração'!$B$51+194-'🌱 Configuração'!$C$51)/7)+1=5,MOD('🌱 Configuração'!$B$51+194-'🌱 Configuração'!$C$51,7)=0),"🌿 Grow A+B + Biorrizas — EC 1.5",IF(AND('🌱 Configuração'!$B$51+194&gt;='🌱 Configuração'!$C$51,'🌱 Configuração'!$B$51+194&lt;'🌱 Configuração'!$D$51,INT(('🌱 Configuração'!$B$51+194-'🌱 Configuração'!$C$51)/7)+1=6,MOD('🌱 Configuração'!$B$51+194-'🌱 Configuração'!$C$51,7)=0),"🌿 Transição Bloom — EC 1.4",IF(AND('🌱 Configuração'!$B$51+194&gt;='🌱 Configuração'!$C$51,'🌱 Configuração'!$B$51+194&lt;'🌱 Configuração'!$D$51,INT(('🌱 Configuração'!$B$51+194-'🌱 Configuração'!$C$51)/7)+1=7,MOD('🌱 Configuração'!$B$51+194-'🌱 Configuração'!$C$51,7)=0),"🌿 Bloom A+B transição — EC 1.4",IF(AND('🌱 Configuração'!$B$51+194&gt;='🌱 Configuração'!$C$51,'🌱 Configuração'!$B$51+194&lt;'🌱 Configuração'!$D$51,INT(('🌱 Configuração'!$B$51+194-'🌱 Configuração'!$C$51)/7)+1=8,MOD('🌱 Configuração'!$B$51+194-'🌱 Configuração'!$C$51,7)=0),"🌿 Bloom A+B — EC 1.4",IF(AND('🌱 Configuração'!$B$51+194&gt;='🌱 Configuração'!$D$51,'🌱 Configuração'!$B$51+194&lt;'🌱 Configuração'!$E$51,INT(('🌱 Configuração'!$B$51+194-'🌱 Configuração'!$D$51)/7)+1=1,MOD('🌱 Configuração'!$B$51+194-'🌱 Configuração'!$D$51,7)=0),"🌸 Bloom A+B — EC 1.6",IF(AND('🌱 Configuração'!$B$51+194&gt;='🌱 Configuração'!$D$51,'🌱 Configuração'!$B$51+194&lt;'🌱 Configuração'!$E$51,INT(('🌱 Configuração'!$B$51+194-'🌱 Configuração'!$D$51)/7)+1=2,MOD('🌱 Configuração'!$B$51+194-'🌱 Configuração'!$D$51,7)=0),"🌸 Bloom + PK 13/14 início",IF(AND('🌱 Configuração'!$B$51+194&gt;='🌱 Configuração'!$D$51,'🌱 Configuração'!$B$51+194&lt;'🌱 Configuração'!$E$51,INT(('🌱 Configuração'!$B$51+194-'🌱 Configuração'!$D$51)/7)+1=3,MOD('🌱 Configuração'!$B$51+194-'🌱 Configuração'!$D$51,7)=0),"🌸 Bloom + PK + CalMag — EC 1.8",IF(AND('🌱 Configuração'!$B$51+194&gt;='🌱 Configuração'!$D$51,'🌱 Configuração'!$B$51+194&lt;'🌱 Configuração'!$E$51,INT(('🌱 Configuração'!$B$51+194-'🌱 Configuração'!$D$51)/7)+1=4,MOD('🌱 Configuração'!$B$51+194-'🌱 Configuração'!$D$51,7)=0),"🌸 Bloom + PK + Boost Floral — EC 2.0",IF(AND('🌱 Configuração'!$B$51+194&gt;='🌱 Configuração'!$D$51,'🌱 Configuração'!$B$51+194&lt;'🌱 Configuração'!$E$51,INT(('🌱 Configuração'!$B$51+194-'🌱 Configuração'!$D$51)/7)+1=5,MOD('🌱 Configuração'!$B$51+194-'🌱 Configuração'!$D$51,7)=0),"🌸 Bloom + Boost + Amino",IF(AND('🌱 Configuração'!$B$51+194&gt;='🌱 Configuração'!$D$51,'🌱 Configuração'!$B$51+194&lt;'🌱 Configuração'!$E$51,INT(('🌱 Configuração'!$B$51+194-'🌱 Configuração'!$D$51)/7)+1=6,MOD('🌱 Configuração'!$B$51+194-'🌱 Configuração'!$D$51,7)=0),"🌸 Bloom + Enzimas + Amino",IF(AND('🌱 Configuração'!$B$51+194&gt;='🌱 Configuração'!$D$51,'🌱 Configuração'!$B$51+194&lt;'🌱 Configuração'!$E$51,INT(('🌱 Configuração'!$B$51+194-'🌱 Configuração'!$D$51)/7)+1=7,MOD('🌱 Configuração'!$B$51+194-'🌱 Configuração'!$D$51,7)=0),"🌸 Reduzir N — Bloom puro — EC 1.6",IF(AND('🌱 Configuração'!$B$51+194&gt;='🌱 Configuração'!$D$51,'🌱 Configuração'!$B$51+194&lt;'🌱 Configuração'!$E$51,INT(('🌱 Configuração'!$B$51+194-'🌱 Configuração'!$D$51)/7)+1=8,MOD('🌱 Configuração'!$B$51+194-'🌱 Configuração'!$D$51,7)=0),"🌸 Bloom puro — EC 1.4  (pré-flush)",IF(AND('🌱 Configuração'!$B$51+194&gt;='🌱 Configuração'!$D$51,'🌱 Configuração'!$B$51+194&lt;'🌱 Configuração'!$E$51,INT(('🌱 Configuração'!$B$51+194-'🌱 Configuração'!$D$51)/7)+1=9,MOD('🌱 Configuração'!$B$51+194-'🌱 Configuração'!$D$51,7)=0),"🌸 Último Bloom — EC 0.8",IF(AND('🌱 Configuração'!$B$51+194&gt;='🌱 Configuração'!$E$51,INT(('🌱 Configuração'!$B$51+194-'🌱 Configuração'!$E$51)/7)+1=1,MOD('🌱 Configuração'!$B$51+194-'🌱 Configuração'!$E$51,7)=0),"🚿 Água pura + Enzimas (EC &lt; 0.3)",IF(AND('🌱 Configuração'!$B$51+194&gt;='🌱 Configuração'!$E$51,INT(('🌱 Configuração'!$B$51+194-'🌱 Configuração'!$E$51)/7)+1=2,MOD('🌱 Configuração'!$B$51+194-'🌱 Configuração'!$E$51,7)=0),"🚿 Água pura (EC &lt; 0.2)",""))))))))))))))))))))))</f>
        <v/>
      </c>
      <c r="G200" s="30" t="str">
        <f>IF(195&gt;'🌱 Configuração'!$F$50,"",IF(AND('🌱 Configuração'!$B$51+194&lt;'🌱 Configuração'!$C$51,INT((195-1)/7)+1=1,MOD(195-1,7)=0),"🐛 Nim 2mL/L foliar — preventivo",IF(AND('🌱 Configuração'!$B$51+194&lt;'🌱 Configuração'!$C$51,INT((195-1)/7)+1=2,MOD(195-1,7)=0),"🐛 Beauveria bassiana foliar + solo",IF(AND('🌱 Configuração'!$B$51+194&gt;='🌱 Configuração'!$C$51,'🌱 Configuração'!$B$51+194&lt;'🌱 Configuração'!$D$51,INT(('🌱 Configuração'!$B$51+194-'🌱 Configuração'!$C$51)/7)+1=1,MOD('🌱 Configuração'!$B$51+194-'🌱 Configuração'!$C$51,7)=0),"🐛 Nim 2mL/L foliar",IF(AND('🌱 Configuração'!$B$51+194&gt;='🌱 Configuração'!$C$51,'🌱 Configuração'!$B$51+194&lt;'🌱 Configuração'!$D$51,INT(('🌱 Configuração'!$B$51+194-'🌱 Configuração'!$C$51)/7)+1=2,MOD('🌱 Configuração'!$B$51+194-'🌱 Configuração'!$C$51,7)=0),"🐛 Beauveria bassiana foliar",IF(AND('🌱 Configuração'!$B$51+194&gt;='🌱 Configuração'!$C$51,'🌱 Configuração'!$B$51+194&lt;'🌱 Configuração'!$D$51,INT(('🌱 Configuração'!$B$51+194-'🌱 Configuração'!$C$51)/7)+1=3,MOD('🌱 Configuração'!$B$51+194-'🌱 Configuração'!$C$51,7)=0),"🐛 Nim + Calda Sulfocálcica 1%",IF(AND('🌱 Configuração'!$B$51+194&gt;='🌱 Configuração'!$C$51,'🌱 Configuração'!$B$51+194&lt;'🌱 Configuração'!$D$51,INT(('🌱 Configuração'!$B$51+194-'🌱 Configuração'!$C$51)/7)+1=4,MOD('🌱 Configuração'!$B$51+194-'🌱 Configuração'!$C$51,7)=0),"🐛 Trichoderma solo + Beauveria",IF(AND('🌱 Configuração'!$B$51+194&gt;='🌱 Configuração'!$C$51,'🌱 Configuração'!$B$51+194&lt;'🌱 Configuração'!$D$51,INT(('🌱 Configuração'!$B$51+194-'🌱 Configuração'!$C$51)/7)+1=5,MOD('🌱 Configuração'!$B$51+194-'🌱 Configuração'!$C$51,7)=0),"🐛 Calda Bordalesa 0.5% foliar",IF(AND('🌱 Configuração'!$B$51+194&gt;='🌱 Configuração'!$C$51,'🌱 Configuração'!$B$51+194&lt;'🌱 Configuração'!$D$51,INT(('🌱 Configuração'!$B$51+194-'🌱 Configuração'!$C$51)/7)+1=6,MOD('🌱 Configuração'!$B$51+194-'🌱 Configuração'!$C$51,7)=0),"🐛 Nim 2mL/L — ÚLTIMA foliar",IF(AND('🌱 Configuração'!$B$51+194&gt;='🌱 Configuração'!$D$51,'🌱 Configuração'!$B$51+194&lt;'🌱 Configuração'!$E$51,INT(('🌱 Configuração'!$B$51+194-'🌱 Configuração'!$D$51)/7)+1=1,MOD('🌱 Configuração'!$B$51+194-'🌱 Configuração'!$D$51,7)=0),"🐛 Beauveria bassiana solo (sem foliar)",IF(AND('🌱 Configuração'!$B$51+194&gt;='🌱 Configuração'!$D$51,'🌱 Configuração'!$B$51+194&lt;'🌱 Configuração'!$E$51,INT(('🌱 Configuração'!$B$51+194-'🌱 Configuração'!$D$51)/7)+1=2,MOD('🌱 Configuração'!$B$51+194-'🌱 Configuração'!$D$51,7)=0),"🐛 Trichoderma solo",IF(AND('🌱 Configuração'!$B$51+194&gt;='🌱 Configuração'!$D$51,'🌱 Configuração'!$B$51+194&lt;'🌱 Configuração'!$E$51,INT(('🌱 Configuração'!$B$51+194-'🌱 Configuração'!$D$51)/7)+1=3,MOD('🌱 Configuração'!$B$51+194-'🌱 Configuração'!$D$51,7)=0),"🐛 Beauveria bassiana solo",IF(AND('🌱 Configuração'!$B$51+194&gt;='🌱 Configuração'!$D$51,'🌱 Configuração'!$B$51+194&lt;'🌱 Configuração'!$E$51,INT(('🌱 Configuração'!$B$51+194-'🌱 Configuração'!$D$51)/7)+1=4,MOD('🌱 Configuração'!$B$51+194-'🌱 Configuração'!$D$51,7)=0),"🐛 Trichoderma solo",IF(AND('🌱 Configuração'!$B$51+194&gt;='🌱 Configuração'!$E$51,INT(('🌱 Configuração'!$B$51+194-'🌱 Configuração'!$E$51)/7)+1=1,MOD('🌱 Configuração'!$B$51+194-'🌱 Configuração'!$E$51,7)=0),"🐛 Inspeção final — sem aplicação",""))))))))))))))</f>
        <v/>
      </c>
      <c r="H200" s="22" t="str">
        <f>IF(195&gt;'🌱 Configuração'!$F$50,"",IF('🌱 Configuração'!$B$51+194='🌱 Configuração'!$C$51,"🌿 INÍCIO VEGA — ajustar espaço, luz 18h/dia — EC 0.8",IF('🌱 Configuração'!$B$51+194='🌱 Configuração'!$D$51,"🌸 INÍCIO FLORAÇÃO — mudar para 12h/12h — 🔴 atenção ao fotoperíodo",IF('🌱 Configuração'!$B$51+194='🌱 Configuração'!$E$51,"🚿 INÍCIO FLUSH — PARAR nutrição, somente água pura",IF('🌱 Configuração'!$B$51+194='🌱 Configuração'!$F$51-1,"🔬 Véspera da colheita — analisar tricomas âmbar",IF('🌱 Configuração'!$B$51+194='🌱 Configuração'!$F$51,"✂️ COLHEITA! Parabéns! 🎉",""))))))</f>
        <v/>
      </c>
    </row>
    <row r="201" spans="2:8" ht="18.75" customHeight="1" x14ac:dyDescent="0.3">
      <c r="B201" s="25" t="str">
        <f>IF(196&lt;='🌱 Configuração'!$F$50,196,"")</f>
        <v/>
      </c>
      <c r="C201" s="26" t="str">
        <f>IF(196&lt;='🌱 Configuração'!$F$50,'🌱 Configuração'!$B$51+195,"")</f>
        <v/>
      </c>
      <c r="D201" s="27" t="str">
        <f>IF(196&gt;'🌱 Configuração'!$F$50,"",IF('🌱 Configuração'!$B$51+195&lt;'🌱 Configuração'!$C$51,"🌱 Clone",IF('🌱 Configuração'!$B$51+195&lt;'🌱 Configuração'!$D$51,"🌿 Vegetativo",IF('🌱 Configuração'!$B$51+195&lt;'🌱 Configuração'!$E$51,"🌸 Floração","🚿 Flush"))))</f>
        <v/>
      </c>
      <c r="E201" s="28" t="str">
        <f>IF(196&gt;'🌱 Configuração'!$F$50,"",IF('🌱 Configuração'!$B$51+195&lt;'🌱 Configuração'!$C$51,"Clone S"&amp;INT((196-1)/7)+1,IF('🌱 Configuração'!$B$51+195&lt;'🌱 Configuração'!$D$51,"Vega S"&amp;INT(('🌱 Configuração'!$B$51+195-'🌱 Configuração'!$C$51)/7)+1,IF('🌱 Configuração'!$B$51+195&lt;'🌱 Configuração'!$E$51,"Flora S"&amp;INT(('🌱 Configuração'!$B$51+195-'🌱 Configuração'!$D$51)/7)+1,"Flush S"&amp;INT(('🌱 Configuração'!$B$51+195-'🌱 Configuração'!$E$51)/7)+1))))</f>
        <v/>
      </c>
      <c r="F201" s="29" t="str">
        <f>IF(196&gt;'🌱 Configuração'!$F$50,"",IF(AND('🌱 Configuração'!$B$51+195&lt;'🌱 Configuração'!$C$51,INT((196-1)/7)+1=1,MOD(196-1,7)=0),"🌱 Enraizador (0.5 mL/L)",IF(AND('🌱 Configuração'!$B$51+195&lt;'🌱 Configuração'!$C$51,INT((196-1)/7)+1=2,MOD(196-1,7)=0),"🌱 Enraizador + Vitamina B1",IF(AND('🌱 Configuração'!$B$51+195&gt;='🌱 Configuração'!$C$51,'🌱 Configuração'!$B$51+195&lt;'🌱 Configuração'!$D$51,INT(('🌱 Configuração'!$B$51+195-'🌱 Configuração'!$C$51)/7)+1=1,MOD('🌱 Configuração'!$B$51+195-'🌱 Configuração'!$C$51,7)=0),"🌿 Grow A+B início — EC 0.8",IF(AND('🌱 Configuração'!$B$51+195&gt;='🌱 Configuração'!$C$51,'🌱 Configuração'!$B$51+195&lt;'🌱 Configuração'!$D$51,INT(('🌱 Configuração'!$B$51+195-'🌱 Configuração'!$C$51)/7)+1=2,MOD('🌱 Configuração'!$B$51+195-'🌱 Configuração'!$C$51,7)=0),"🌿 Grow A+B + CalMag — EC 1.0",IF(AND('🌱 Configuração'!$B$51+195&gt;='🌱 Configuração'!$C$51,'🌱 Configuração'!$B$51+195&lt;'🌱 Configuração'!$D$51,INT(('🌱 Configuração'!$B$51+195-'🌱 Configuração'!$C$51)/7)+1=3,MOD('🌱 Configuração'!$B$51+195-'🌱 Configuração'!$C$51,7)=0),"🌿 Grow A+B + CalMag — EC 1.2",IF(AND('🌱 Configuração'!$B$51+195&gt;='🌱 Configuração'!$C$51,'🌱 Configuração'!$B$51+195&lt;'🌱 Configuração'!$D$51,INT(('🌱 Configuração'!$B$51+195-'🌱 Configuração'!$C$51)/7)+1=4,MOD('🌱 Configuração'!$B$51+195-'🌱 Configuração'!$C$51,7)=0),"🌿 Grow A+B + Enzimas — EC 1.4",IF(AND('🌱 Configuração'!$B$51+195&gt;='🌱 Configuração'!$C$51,'🌱 Configuração'!$B$51+195&lt;'🌱 Configuração'!$D$51,INT(('🌱 Configuração'!$B$51+195-'🌱 Configuração'!$C$51)/7)+1=5,MOD('🌱 Configuração'!$B$51+195-'🌱 Configuração'!$C$51,7)=0),"🌿 Grow A+B + Biorrizas — EC 1.5",IF(AND('🌱 Configuração'!$B$51+195&gt;='🌱 Configuração'!$C$51,'🌱 Configuração'!$B$51+195&lt;'🌱 Configuração'!$D$51,INT(('🌱 Configuração'!$B$51+195-'🌱 Configuração'!$C$51)/7)+1=6,MOD('🌱 Configuração'!$B$51+195-'🌱 Configuração'!$C$51,7)=0),"🌿 Transição Bloom — EC 1.4",IF(AND('🌱 Configuração'!$B$51+195&gt;='🌱 Configuração'!$C$51,'🌱 Configuração'!$B$51+195&lt;'🌱 Configuração'!$D$51,INT(('🌱 Configuração'!$B$51+195-'🌱 Configuração'!$C$51)/7)+1=7,MOD('🌱 Configuração'!$B$51+195-'🌱 Configuração'!$C$51,7)=0),"🌿 Bloom A+B transição — EC 1.4",IF(AND('🌱 Configuração'!$B$51+195&gt;='🌱 Configuração'!$C$51,'🌱 Configuração'!$B$51+195&lt;'🌱 Configuração'!$D$51,INT(('🌱 Configuração'!$B$51+195-'🌱 Configuração'!$C$51)/7)+1=8,MOD('🌱 Configuração'!$B$51+195-'🌱 Configuração'!$C$51,7)=0),"🌿 Bloom A+B — EC 1.4",IF(AND('🌱 Configuração'!$B$51+195&gt;='🌱 Configuração'!$D$51,'🌱 Configuração'!$B$51+195&lt;'🌱 Configuração'!$E$51,INT(('🌱 Configuração'!$B$51+195-'🌱 Configuração'!$D$51)/7)+1=1,MOD('🌱 Configuração'!$B$51+195-'🌱 Configuração'!$D$51,7)=0),"🌸 Bloom A+B — EC 1.6",IF(AND('🌱 Configuração'!$B$51+195&gt;='🌱 Configuração'!$D$51,'🌱 Configuração'!$B$51+195&lt;'🌱 Configuração'!$E$51,INT(('🌱 Configuração'!$B$51+195-'🌱 Configuração'!$D$51)/7)+1=2,MOD('🌱 Configuração'!$B$51+195-'🌱 Configuração'!$D$51,7)=0),"🌸 Bloom + PK 13/14 início",IF(AND('🌱 Configuração'!$B$51+195&gt;='🌱 Configuração'!$D$51,'🌱 Configuração'!$B$51+195&lt;'🌱 Configuração'!$E$51,INT(('🌱 Configuração'!$B$51+195-'🌱 Configuração'!$D$51)/7)+1=3,MOD('🌱 Configuração'!$B$51+195-'🌱 Configuração'!$D$51,7)=0),"🌸 Bloom + PK + CalMag — EC 1.8",IF(AND('🌱 Configuração'!$B$51+195&gt;='🌱 Configuração'!$D$51,'🌱 Configuração'!$B$51+195&lt;'🌱 Configuração'!$E$51,INT(('🌱 Configuração'!$B$51+195-'🌱 Configuração'!$D$51)/7)+1=4,MOD('🌱 Configuração'!$B$51+195-'🌱 Configuração'!$D$51,7)=0),"🌸 Bloom + PK + Boost Floral — EC 2.0",IF(AND('🌱 Configuração'!$B$51+195&gt;='🌱 Configuração'!$D$51,'🌱 Configuração'!$B$51+195&lt;'🌱 Configuração'!$E$51,INT(('🌱 Configuração'!$B$51+195-'🌱 Configuração'!$D$51)/7)+1=5,MOD('🌱 Configuração'!$B$51+195-'🌱 Configuração'!$D$51,7)=0),"🌸 Bloom + Boost + Amino",IF(AND('🌱 Configuração'!$B$51+195&gt;='🌱 Configuração'!$D$51,'🌱 Configuração'!$B$51+195&lt;'🌱 Configuração'!$E$51,INT(('🌱 Configuração'!$B$51+195-'🌱 Configuração'!$D$51)/7)+1=6,MOD('🌱 Configuração'!$B$51+195-'🌱 Configuração'!$D$51,7)=0),"🌸 Bloom + Enzimas + Amino",IF(AND('🌱 Configuração'!$B$51+195&gt;='🌱 Configuração'!$D$51,'🌱 Configuração'!$B$51+195&lt;'🌱 Configuração'!$E$51,INT(('🌱 Configuração'!$B$51+195-'🌱 Configuração'!$D$51)/7)+1=7,MOD('🌱 Configuração'!$B$51+195-'🌱 Configuração'!$D$51,7)=0),"🌸 Reduzir N — Bloom puro — EC 1.6",IF(AND('🌱 Configuração'!$B$51+195&gt;='🌱 Configuração'!$D$51,'🌱 Configuração'!$B$51+195&lt;'🌱 Configuração'!$E$51,INT(('🌱 Configuração'!$B$51+195-'🌱 Configuração'!$D$51)/7)+1=8,MOD('🌱 Configuração'!$B$51+195-'🌱 Configuração'!$D$51,7)=0),"🌸 Bloom puro — EC 1.4  (pré-flush)",IF(AND('🌱 Configuração'!$B$51+195&gt;='🌱 Configuração'!$D$51,'🌱 Configuração'!$B$51+195&lt;'🌱 Configuração'!$E$51,INT(('🌱 Configuração'!$B$51+195-'🌱 Configuração'!$D$51)/7)+1=9,MOD('🌱 Configuração'!$B$51+195-'🌱 Configuração'!$D$51,7)=0),"🌸 Último Bloom — EC 0.8",IF(AND('🌱 Configuração'!$B$51+195&gt;='🌱 Configuração'!$E$51,INT(('🌱 Configuração'!$B$51+195-'🌱 Configuração'!$E$51)/7)+1=1,MOD('🌱 Configuração'!$B$51+195-'🌱 Configuração'!$E$51,7)=0),"🚿 Água pura + Enzimas (EC &lt; 0.3)",IF(AND('🌱 Configuração'!$B$51+195&gt;='🌱 Configuração'!$E$51,INT(('🌱 Configuração'!$B$51+195-'🌱 Configuração'!$E$51)/7)+1=2,MOD('🌱 Configuração'!$B$51+195-'🌱 Configuração'!$E$51,7)=0),"🚿 Água pura (EC &lt; 0.2)",""))))))))))))))))))))))</f>
        <v/>
      </c>
      <c r="G201" s="30" t="str">
        <f>IF(196&gt;'🌱 Configuração'!$F$50,"",IF(AND('🌱 Configuração'!$B$51+195&lt;'🌱 Configuração'!$C$51,INT((196-1)/7)+1=1,MOD(196-1,7)=0),"🐛 Nim 2mL/L foliar — preventivo",IF(AND('🌱 Configuração'!$B$51+195&lt;'🌱 Configuração'!$C$51,INT((196-1)/7)+1=2,MOD(196-1,7)=0),"🐛 Beauveria bassiana foliar + solo",IF(AND('🌱 Configuração'!$B$51+195&gt;='🌱 Configuração'!$C$51,'🌱 Configuração'!$B$51+195&lt;'🌱 Configuração'!$D$51,INT(('🌱 Configuração'!$B$51+195-'🌱 Configuração'!$C$51)/7)+1=1,MOD('🌱 Configuração'!$B$51+195-'🌱 Configuração'!$C$51,7)=0),"🐛 Nim 2mL/L foliar",IF(AND('🌱 Configuração'!$B$51+195&gt;='🌱 Configuração'!$C$51,'🌱 Configuração'!$B$51+195&lt;'🌱 Configuração'!$D$51,INT(('🌱 Configuração'!$B$51+195-'🌱 Configuração'!$C$51)/7)+1=2,MOD('🌱 Configuração'!$B$51+195-'🌱 Configuração'!$C$51,7)=0),"🐛 Beauveria bassiana foliar",IF(AND('🌱 Configuração'!$B$51+195&gt;='🌱 Configuração'!$C$51,'🌱 Configuração'!$B$51+195&lt;'🌱 Configuração'!$D$51,INT(('🌱 Configuração'!$B$51+195-'🌱 Configuração'!$C$51)/7)+1=3,MOD('🌱 Configuração'!$B$51+195-'🌱 Configuração'!$C$51,7)=0),"🐛 Nim + Calda Sulfocálcica 1%",IF(AND('🌱 Configuração'!$B$51+195&gt;='🌱 Configuração'!$C$51,'🌱 Configuração'!$B$51+195&lt;'🌱 Configuração'!$D$51,INT(('🌱 Configuração'!$B$51+195-'🌱 Configuração'!$C$51)/7)+1=4,MOD('🌱 Configuração'!$B$51+195-'🌱 Configuração'!$C$51,7)=0),"🐛 Trichoderma solo + Beauveria",IF(AND('🌱 Configuração'!$B$51+195&gt;='🌱 Configuração'!$C$51,'🌱 Configuração'!$B$51+195&lt;'🌱 Configuração'!$D$51,INT(('🌱 Configuração'!$B$51+195-'🌱 Configuração'!$C$51)/7)+1=5,MOD('🌱 Configuração'!$B$51+195-'🌱 Configuração'!$C$51,7)=0),"🐛 Calda Bordalesa 0.5% foliar",IF(AND('🌱 Configuração'!$B$51+195&gt;='🌱 Configuração'!$C$51,'🌱 Configuração'!$B$51+195&lt;'🌱 Configuração'!$D$51,INT(('🌱 Configuração'!$B$51+195-'🌱 Configuração'!$C$51)/7)+1=6,MOD('🌱 Configuração'!$B$51+195-'🌱 Configuração'!$C$51,7)=0),"🐛 Nim 2mL/L — ÚLTIMA foliar",IF(AND('🌱 Configuração'!$B$51+195&gt;='🌱 Configuração'!$D$51,'🌱 Configuração'!$B$51+195&lt;'🌱 Configuração'!$E$51,INT(('🌱 Configuração'!$B$51+195-'🌱 Configuração'!$D$51)/7)+1=1,MOD('🌱 Configuração'!$B$51+195-'🌱 Configuração'!$D$51,7)=0),"🐛 Beauveria bassiana solo (sem foliar)",IF(AND('🌱 Configuração'!$B$51+195&gt;='🌱 Configuração'!$D$51,'🌱 Configuração'!$B$51+195&lt;'🌱 Configuração'!$E$51,INT(('🌱 Configuração'!$B$51+195-'🌱 Configuração'!$D$51)/7)+1=2,MOD('🌱 Configuração'!$B$51+195-'🌱 Configuração'!$D$51,7)=0),"🐛 Trichoderma solo",IF(AND('🌱 Configuração'!$B$51+195&gt;='🌱 Configuração'!$D$51,'🌱 Configuração'!$B$51+195&lt;'🌱 Configuração'!$E$51,INT(('🌱 Configuração'!$B$51+195-'🌱 Configuração'!$D$51)/7)+1=3,MOD('🌱 Configuração'!$B$51+195-'🌱 Configuração'!$D$51,7)=0),"🐛 Beauveria bassiana solo",IF(AND('🌱 Configuração'!$B$51+195&gt;='🌱 Configuração'!$D$51,'🌱 Configuração'!$B$51+195&lt;'🌱 Configuração'!$E$51,INT(('🌱 Configuração'!$B$51+195-'🌱 Configuração'!$D$51)/7)+1=4,MOD('🌱 Configuração'!$B$51+195-'🌱 Configuração'!$D$51,7)=0),"🐛 Trichoderma solo",IF(AND('🌱 Configuração'!$B$51+195&gt;='🌱 Configuração'!$E$51,INT(('🌱 Configuração'!$B$51+195-'🌱 Configuração'!$E$51)/7)+1=1,MOD('🌱 Configuração'!$B$51+195-'🌱 Configuração'!$E$51,7)=0),"🐛 Inspeção final — sem aplicação",""))))))))))))))</f>
        <v/>
      </c>
      <c r="H201" s="22" t="str">
        <f>IF(196&gt;'🌱 Configuração'!$F$50,"",IF('🌱 Configuração'!$B$51+195='🌱 Configuração'!$C$51,"🌿 INÍCIO VEGA — ajustar espaço, luz 18h/dia — EC 0.8",IF('🌱 Configuração'!$B$51+195='🌱 Configuração'!$D$51,"🌸 INÍCIO FLORAÇÃO — mudar para 12h/12h — 🔴 atenção ao fotoperíodo",IF('🌱 Configuração'!$B$51+195='🌱 Configuração'!$E$51,"🚿 INÍCIO FLUSH — PARAR nutrição, somente água pura",IF('🌱 Configuração'!$B$51+195='🌱 Configuração'!$F$51-1,"🔬 Véspera da colheita — analisar tricomas âmbar",IF('🌱 Configuração'!$B$51+195='🌱 Configuração'!$F$51,"✂️ COLHEITA! Parabéns! 🎉",""))))))</f>
        <v/>
      </c>
    </row>
    <row r="202" spans="2:8" ht="18.75" customHeight="1" x14ac:dyDescent="0.3">
      <c r="B202" s="25" t="str">
        <f>IF(197&lt;='🌱 Configuração'!$F$50,197,"")</f>
        <v/>
      </c>
      <c r="C202" s="26" t="str">
        <f>IF(197&lt;='🌱 Configuração'!$F$50,'🌱 Configuração'!$B$51+196,"")</f>
        <v/>
      </c>
      <c r="D202" s="27" t="str">
        <f>IF(197&gt;'🌱 Configuração'!$F$50,"",IF('🌱 Configuração'!$B$51+196&lt;'🌱 Configuração'!$C$51,"🌱 Clone",IF('🌱 Configuração'!$B$51+196&lt;'🌱 Configuração'!$D$51,"🌿 Vegetativo",IF('🌱 Configuração'!$B$51+196&lt;'🌱 Configuração'!$E$51,"🌸 Floração","🚿 Flush"))))</f>
        <v/>
      </c>
      <c r="E202" s="28" t="str">
        <f>IF(197&gt;'🌱 Configuração'!$F$50,"",IF('🌱 Configuração'!$B$51+196&lt;'🌱 Configuração'!$C$51,"Clone S"&amp;INT((197-1)/7)+1,IF('🌱 Configuração'!$B$51+196&lt;'🌱 Configuração'!$D$51,"Vega S"&amp;INT(('🌱 Configuração'!$B$51+196-'🌱 Configuração'!$C$51)/7)+1,IF('🌱 Configuração'!$B$51+196&lt;'🌱 Configuração'!$E$51,"Flora S"&amp;INT(('🌱 Configuração'!$B$51+196-'🌱 Configuração'!$D$51)/7)+1,"Flush S"&amp;INT(('🌱 Configuração'!$B$51+196-'🌱 Configuração'!$E$51)/7)+1))))</f>
        <v/>
      </c>
      <c r="F202" s="29" t="str">
        <f>IF(197&gt;'🌱 Configuração'!$F$50,"",IF(AND('🌱 Configuração'!$B$51+196&lt;'🌱 Configuração'!$C$51,INT((197-1)/7)+1=1,MOD(197-1,7)=0),"🌱 Enraizador (0.5 mL/L)",IF(AND('🌱 Configuração'!$B$51+196&lt;'🌱 Configuração'!$C$51,INT((197-1)/7)+1=2,MOD(197-1,7)=0),"🌱 Enraizador + Vitamina B1",IF(AND('🌱 Configuração'!$B$51+196&gt;='🌱 Configuração'!$C$51,'🌱 Configuração'!$B$51+196&lt;'🌱 Configuração'!$D$51,INT(('🌱 Configuração'!$B$51+196-'🌱 Configuração'!$C$51)/7)+1=1,MOD('🌱 Configuração'!$B$51+196-'🌱 Configuração'!$C$51,7)=0),"🌿 Grow A+B início — EC 0.8",IF(AND('🌱 Configuração'!$B$51+196&gt;='🌱 Configuração'!$C$51,'🌱 Configuração'!$B$51+196&lt;'🌱 Configuração'!$D$51,INT(('🌱 Configuração'!$B$51+196-'🌱 Configuração'!$C$51)/7)+1=2,MOD('🌱 Configuração'!$B$51+196-'🌱 Configuração'!$C$51,7)=0),"🌿 Grow A+B + CalMag — EC 1.0",IF(AND('🌱 Configuração'!$B$51+196&gt;='🌱 Configuração'!$C$51,'🌱 Configuração'!$B$51+196&lt;'🌱 Configuração'!$D$51,INT(('🌱 Configuração'!$B$51+196-'🌱 Configuração'!$C$51)/7)+1=3,MOD('🌱 Configuração'!$B$51+196-'🌱 Configuração'!$C$51,7)=0),"🌿 Grow A+B + CalMag — EC 1.2",IF(AND('🌱 Configuração'!$B$51+196&gt;='🌱 Configuração'!$C$51,'🌱 Configuração'!$B$51+196&lt;'🌱 Configuração'!$D$51,INT(('🌱 Configuração'!$B$51+196-'🌱 Configuração'!$C$51)/7)+1=4,MOD('🌱 Configuração'!$B$51+196-'🌱 Configuração'!$C$51,7)=0),"🌿 Grow A+B + Enzimas — EC 1.4",IF(AND('🌱 Configuração'!$B$51+196&gt;='🌱 Configuração'!$C$51,'🌱 Configuração'!$B$51+196&lt;'🌱 Configuração'!$D$51,INT(('🌱 Configuração'!$B$51+196-'🌱 Configuração'!$C$51)/7)+1=5,MOD('🌱 Configuração'!$B$51+196-'🌱 Configuração'!$C$51,7)=0),"🌿 Grow A+B + Biorrizas — EC 1.5",IF(AND('🌱 Configuração'!$B$51+196&gt;='🌱 Configuração'!$C$51,'🌱 Configuração'!$B$51+196&lt;'🌱 Configuração'!$D$51,INT(('🌱 Configuração'!$B$51+196-'🌱 Configuração'!$C$51)/7)+1=6,MOD('🌱 Configuração'!$B$51+196-'🌱 Configuração'!$C$51,7)=0),"🌿 Transição Bloom — EC 1.4",IF(AND('🌱 Configuração'!$B$51+196&gt;='🌱 Configuração'!$C$51,'🌱 Configuração'!$B$51+196&lt;'🌱 Configuração'!$D$51,INT(('🌱 Configuração'!$B$51+196-'🌱 Configuração'!$C$51)/7)+1=7,MOD('🌱 Configuração'!$B$51+196-'🌱 Configuração'!$C$51,7)=0),"🌿 Bloom A+B transição — EC 1.4",IF(AND('🌱 Configuração'!$B$51+196&gt;='🌱 Configuração'!$C$51,'🌱 Configuração'!$B$51+196&lt;'🌱 Configuração'!$D$51,INT(('🌱 Configuração'!$B$51+196-'🌱 Configuração'!$C$51)/7)+1=8,MOD('🌱 Configuração'!$B$51+196-'🌱 Configuração'!$C$51,7)=0),"🌿 Bloom A+B — EC 1.4",IF(AND('🌱 Configuração'!$B$51+196&gt;='🌱 Configuração'!$D$51,'🌱 Configuração'!$B$51+196&lt;'🌱 Configuração'!$E$51,INT(('🌱 Configuração'!$B$51+196-'🌱 Configuração'!$D$51)/7)+1=1,MOD('🌱 Configuração'!$B$51+196-'🌱 Configuração'!$D$51,7)=0),"🌸 Bloom A+B — EC 1.6",IF(AND('🌱 Configuração'!$B$51+196&gt;='🌱 Configuração'!$D$51,'🌱 Configuração'!$B$51+196&lt;'🌱 Configuração'!$E$51,INT(('🌱 Configuração'!$B$51+196-'🌱 Configuração'!$D$51)/7)+1=2,MOD('🌱 Configuração'!$B$51+196-'🌱 Configuração'!$D$51,7)=0),"🌸 Bloom + PK 13/14 início",IF(AND('🌱 Configuração'!$B$51+196&gt;='🌱 Configuração'!$D$51,'🌱 Configuração'!$B$51+196&lt;'🌱 Configuração'!$E$51,INT(('🌱 Configuração'!$B$51+196-'🌱 Configuração'!$D$51)/7)+1=3,MOD('🌱 Configuração'!$B$51+196-'🌱 Configuração'!$D$51,7)=0),"🌸 Bloom + PK + CalMag — EC 1.8",IF(AND('🌱 Configuração'!$B$51+196&gt;='🌱 Configuração'!$D$51,'🌱 Configuração'!$B$51+196&lt;'🌱 Configuração'!$E$51,INT(('🌱 Configuração'!$B$51+196-'🌱 Configuração'!$D$51)/7)+1=4,MOD('🌱 Configuração'!$B$51+196-'🌱 Configuração'!$D$51,7)=0),"🌸 Bloom + PK + Boost Floral — EC 2.0",IF(AND('🌱 Configuração'!$B$51+196&gt;='🌱 Configuração'!$D$51,'🌱 Configuração'!$B$51+196&lt;'🌱 Configuração'!$E$51,INT(('🌱 Configuração'!$B$51+196-'🌱 Configuração'!$D$51)/7)+1=5,MOD('🌱 Configuração'!$B$51+196-'🌱 Configuração'!$D$51,7)=0),"🌸 Bloom + Boost + Amino",IF(AND('🌱 Configuração'!$B$51+196&gt;='🌱 Configuração'!$D$51,'🌱 Configuração'!$B$51+196&lt;'🌱 Configuração'!$E$51,INT(('🌱 Configuração'!$B$51+196-'🌱 Configuração'!$D$51)/7)+1=6,MOD('🌱 Configuração'!$B$51+196-'🌱 Configuração'!$D$51,7)=0),"🌸 Bloom + Enzimas + Amino",IF(AND('🌱 Configuração'!$B$51+196&gt;='🌱 Configuração'!$D$51,'🌱 Configuração'!$B$51+196&lt;'🌱 Configuração'!$E$51,INT(('🌱 Configuração'!$B$51+196-'🌱 Configuração'!$D$51)/7)+1=7,MOD('🌱 Configuração'!$B$51+196-'🌱 Configuração'!$D$51,7)=0),"🌸 Reduzir N — Bloom puro — EC 1.6",IF(AND('🌱 Configuração'!$B$51+196&gt;='🌱 Configuração'!$D$51,'🌱 Configuração'!$B$51+196&lt;'🌱 Configuração'!$E$51,INT(('🌱 Configuração'!$B$51+196-'🌱 Configuração'!$D$51)/7)+1=8,MOD('🌱 Configuração'!$B$51+196-'🌱 Configuração'!$D$51,7)=0),"🌸 Bloom puro — EC 1.4  (pré-flush)",IF(AND('🌱 Configuração'!$B$51+196&gt;='🌱 Configuração'!$D$51,'🌱 Configuração'!$B$51+196&lt;'🌱 Configuração'!$E$51,INT(('🌱 Configuração'!$B$51+196-'🌱 Configuração'!$D$51)/7)+1=9,MOD('🌱 Configuração'!$B$51+196-'🌱 Configuração'!$D$51,7)=0),"🌸 Último Bloom — EC 0.8",IF(AND('🌱 Configuração'!$B$51+196&gt;='🌱 Configuração'!$E$51,INT(('🌱 Configuração'!$B$51+196-'🌱 Configuração'!$E$51)/7)+1=1,MOD('🌱 Configuração'!$B$51+196-'🌱 Configuração'!$E$51,7)=0),"🚿 Água pura + Enzimas (EC &lt; 0.3)",IF(AND('🌱 Configuração'!$B$51+196&gt;='🌱 Configuração'!$E$51,INT(('🌱 Configuração'!$B$51+196-'🌱 Configuração'!$E$51)/7)+1=2,MOD('🌱 Configuração'!$B$51+196-'🌱 Configuração'!$E$51,7)=0),"🚿 Água pura (EC &lt; 0.2)",""))))))))))))))))))))))</f>
        <v/>
      </c>
      <c r="G202" s="30" t="str">
        <f>IF(197&gt;'🌱 Configuração'!$F$50,"",IF(AND('🌱 Configuração'!$B$51+196&lt;'🌱 Configuração'!$C$51,INT((197-1)/7)+1=1,MOD(197-1,7)=0),"🐛 Nim 2mL/L foliar — preventivo",IF(AND('🌱 Configuração'!$B$51+196&lt;'🌱 Configuração'!$C$51,INT((197-1)/7)+1=2,MOD(197-1,7)=0),"🐛 Beauveria bassiana foliar + solo",IF(AND('🌱 Configuração'!$B$51+196&gt;='🌱 Configuração'!$C$51,'🌱 Configuração'!$B$51+196&lt;'🌱 Configuração'!$D$51,INT(('🌱 Configuração'!$B$51+196-'🌱 Configuração'!$C$51)/7)+1=1,MOD('🌱 Configuração'!$B$51+196-'🌱 Configuração'!$C$51,7)=0),"🐛 Nim 2mL/L foliar",IF(AND('🌱 Configuração'!$B$51+196&gt;='🌱 Configuração'!$C$51,'🌱 Configuração'!$B$51+196&lt;'🌱 Configuração'!$D$51,INT(('🌱 Configuração'!$B$51+196-'🌱 Configuração'!$C$51)/7)+1=2,MOD('🌱 Configuração'!$B$51+196-'🌱 Configuração'!$C$51,7)=0),"🐛 Beauveria bassiana foliar",IF(AND('🌱 Configuração'!$B$51+196&gt;='🌱 Configuração'!$C$51,'🌱 Configuração'!$B$51+196&lt;'🌱 Configuração'!$D$51,INT(('🌱 Configuração'!$B$51+196-'🌱 Configuração'!$C$51)/7)+1=3,MOD('🌱 Configuração'!$B$51+196-'🌱 Configuração'!$C$51,7)=0),"🐛 Nim + Calda Sulfocálcica 1%",IF(AND('🌱 Configuração'!$B$51+196&gt;='🌱 Configuração'!$C$51,'🌱 Configuração'!$B$51+196&lt;'🌱 Configuração'!$D$51,INT(('🌱 Configuração'!$B$51+196-'🌱 Configuração'!$C$51)/7)+1=4,MOD('🌱 Configuração'!$B$51+196-'🌱 Configuração'!$C$51,7)=0),"🐛 Trichoderma solo + Beauveria",IF(AND('🌱 Configuração'!$B$51+196&gt;='🌱 Configuração'!$C$51,'🌱 Configuração'!$B$51+196&lt;'🌱 Configuração'!$D$51,INT(('🌱 Configuração'!$B$51+196-'🌱 Configuração'!$C$51)/7)+1=5,MOD('🌱 Configuração'!$B$51+196-'🌱 Configuração'!$C$51,7)=0),"🐛 Calda Bordalesa 0.5% foliar",IF(AND('🌱 Configuração'!$B$51+196&gt;='🌱 Configuração'!$C$51,'🌱 Configuração'!$B$51+196&lt;'🌱 Configuração'!$D$51,INT(('🌱 Configuração'!$B$51+196-'🌱 Configuração'!$C$51)/7)+1=6,MOD('🌱 Configuração'!$B$51+196-'🌱 Configuração'!$C$51,7)=0),"🐛 Nim 2mL/L — ÚLTIMA foliar",IF(AND('🌱 Configuração'!$B$51+196&gt;='🌱 Configuração'!$D$51,'🌱 Configuração'!$B$51+196&lt;'🌱 Configuração'!$E$51,INT(('🌱 Configuração'!$B$51+196-'🌱 Configuração'!$D$51)/7)+1=1,MOD('🌱 Configuração'!$B$51+196-'🌱 Configuração'!$D$51,7)=0),"🐛 Beauveria bassiana solo (sem foliar)",IF(AND('🌱 Configuração'!$B$51+196&gt;='🌱 Configuração'!$D$51,'🌱 Configuração'!$B$51+196&lt;'🌱 Configuração'!$E$51,INT(('🌱 Configuração'!$B$51+196-'🌱 Configuração'!$D$51)/7)+1=2,MOD('🌱 Configuração'!$B$51+196-'🌱 Configuração'!$D$51,7)=0),"🐛 Trichoderma solo",IF(AND('🌱 Configuração'!$B$51+196&gt;='🌱 Configuração'!$D$51,'🌱 Configuração'!$B$51+196&lt;'🌱 Configuração'!$E$51,INT(('🌱 Configuração'!$B$51+196-'🌱 Configuração'!$D$51)/7)+1=3,MOD('🌱 Configuração'!$B$51+196-'🌱 Configuração'!$D$51,7)=0),"🐛 Beauveria bassiana solo",IF(AND('🌱 Configuração'!$B$51+196&gt;='🌱 Configuração'!$D$51,'🌱 Configuração'!$B$51+196&lt;'🌱 Configuração'!$E$51,INT(('🌱 Configuração'!$B$51+196-'🌱 Configuração'!$D$51)/7)+1=4,MOD('🌱 Configuração'!$B$51+196-'🌱 Configuração'!$D$51,7)=0),"🐛 Trichoderma solo",IF(AND('🌱 Configuração'!$B$51+196&gt;='🌱 Configuração'!$E$51,INT(('🌱 Configuração'!$B$51+196-'🌱 Configuração'!$E$51)/7)+1=1,MOD('🌱 Configuração'!$B$51+196-'🌱 Configuração'!$E$51,7)=0),"🐛 Inspeção final — sem aplicação",""))))))))))))))</f>
        <v/>
      </c>
      <c r="H202" s="22" t="str">
        <f>IF(197&gt;'🌱 Configuração'!$F$50,"",IF('🌱 Configuração'!$B$51+196='🌱 Configuração'!$C$51,"🌿 INÍCIO VEGA — ajustar espaço, luz 18h/dia — EC 0.8",IF('🌱 Configuração'!$B$51+196='🌱 Configuração'!$D$51,"🌸 INÍCIO FLORAÇÃO — mudar para 12h/12h — 🔴 atenção ao fotoperíodo",IF('🌱 Configuração'!$B$51+196='🌱 Configuração'!$E$51,"🚿 INÍCIO FLUSH — PARAR nutrição, somente água pura",IF('🌱 Configuração'!$B$51+196='🌱 Configuração'!$F$51-1,"🔬 Véspera da colheita — analisar tricomas âmbar",IF('🌱 Configuração'!$B$51+196='🌱 Configuração'!$F$51,"✂️ COLHEITA! Parabéns! 🎉",""))))))</f>
        <v/>
      </c>
    </row>
    <row r="203" spans="2:8" ht="18.75" customHeight="1" x14ac:dyDescent="0.3">
      <c r="B203" s="25" t="str">
        <f>IF(198&lt;='🌱 Configuração'!$F$50,198,"")</f>
        <v/>
      </c>
      <c r="C203" s="26" t="str">
        <f>IF(198&lt;='🌱 Configuração'!$F$50,'🌱 Configuração'!$B$51+197,"")</f>
        <v/>
      </c>
      <c r="D203" s="27" t="str">
        <f>IF(198&gt;'🌱 Configuração'!$F$50,"",IF('🌱 Configuração'!$B$51+197&lt;'🌱 Configuração'!$C$51,"🌱 Clone",IF('🌱 Configuração'!$B$51+197&lt;'🌱 Configuração'!$D$51,"🌿 Vegetativo",IF('🌱 Configuração'!$B$51+197&lt;'🌱 Configuração'!$E$51,"🌸 Floração","🚿 Flush"))))</f>
        <v/>
      </c>
      <c r="E203" s="28" t="str">
        <f>IF(198&gt;'🌱 Configuração'!$F$50,"",IF('🌱 Configuração'!$B$51+197&lt;'🌱 Configuração'!$C$51,"Clone S"&amp;INT((198-1)/7)+1,IF('🌱 Configuração'!$B$51+197&lt;'🌱 Configuração'!$D$51,"Vega S"&amp;INT(('🌱 Configuração'!$B$51+197-'🌱 Configuração'!$C$51)/7)+1,IF('🌱 Configuração'!$B$51+197&lt;'🌱 Configuração'!$E$51,"Flora S"&amp;INT(('🌱 Configuração'!$B$51+197-'🌱 Configuração'!$D$51)/7)+1,"Flush S"&amp;INT(('🌱 Configuração'!$B$51+197-'🌱 Configuração'!$E$51)/7)+1))))</f>
        <v/>
      </c>
      <c r="F203" s="29" t="str">
        <f>IF(198&gt;'🌱 Configuração'!$F$50,"",IF(AND('🌱 Configuração'!$B$51+197&lt;'🌱 Configuração'!$C$51,INT((198-1)/7)+1=1,MOD(198-1,7)=0),"🌱 Enraizador (0.5 mL/L)",IF(AND('🌱 Configuração'!$B$51+197&lt;'🌱 Configuração'!$C$51,INT((198-1)/7)+1=2,MOD(198-1,7)=0),"🌱 Enraizador + Vitamina B1",IF(AND('🌱 Configuração'!$B$51+197&gt;='🌱 Configuração'!$C$51,'🌱 Configuração'!$B$51+197&lt;'🌱 Configuração'!$D$51,INT(('🌱 Configuração'!$B$51+197-'🌱 Configuração'!$C$51)/7)+1=1,MOD('🌱 Configuração'!$B$51+197-'🌱 Configuração'!$C$51,7)=0),"🌿 Grow A+B início — EC 0.8",IF(AND('🌱 Configuração'!$B$51+197&gt;='🌱 Configuração'!$C$51,'🌱 Configuração'!$B$51+197&lt;'🌱 Configuração'!$D$51,INT(('🌱 Configuração'!$B$51+197-'🌱 Configuração'!$C$51)/7)+1=2,MOD('🌱 Configuração'!$B$51+197-'🌱 Configuração'!$C$51,7)=0),"🌿 Grow A+B + CalMag — EC 1.0",IF(AND('🌱 Configuração'!$B$51+197&gt;='🌱 Configuração'!$C$51,'🌱 Configuração'!$B$51+197&lt;'🌱 Configuração'!$D$51,INT(('🌱 Configuração'!$B$51+197-'🌱 Configuração'!$C$51)/7)+1=3,MOD('🌱 Configuração'!$B$51+197-'🌱 Configuração'!$C$51,7)=0),"🌿 Grow A+B + CalMag — EC 1.2",IF(AND('🌱 Configuração'!$B$51+197&gt;='🌱 Configuração'!$C$51,'🌱 Configuração'!$B$51+197&lt;'🌱 Configuração'!$D$51,INT(('🌱 Configuração'!$B$51+197-'🌱 Configuração'!$C$51)/7)+1=4,MOD('🌱 Configuração'!$B$51+197-'🌱 Configuração'!$C$51,7)=0),"🌿 Grow A+B + Enzimas — EC 1.4",IF(AND('🌱 Configuração'!$B$51+197&gt;='🌱 Configuração'!$C$51,'🌱 Configuração'!$B$51+197&lt;'🌱 Configuração'!$D$51,INT(('🌱 Configuração'!$B$51+197-'🌱 Configuração'!$C$51)/7)+1=5,MOD('🌱 Configuração'!$B$51+197-'🌱 Configuração'!$C$51,7)=0),"🌿 Grow A+B + Biorrizas — EC 1.5",IF(AND('🌱 Configuração'!$B$51+197&gt;='🌱 Configuração'!$C$51,'🌱 Configuração'!$B$51+197&lt;'🌱 Configuração'!$D$51,INT(('🌱 Configuração'!$B$51+197-'🌱 Configuração'!$C$51)/7)+1=6,MOD('🌱 Configuração'!$B$51+197-'🌱 Configuração'!$C$51,7)=0),"🌿 Transição Bloom — EC 1.4",IF(AND('🌱 Configuração'!$B$51+197&gt;='🌱 Configuração'!$C$51,'🌱 Configuração'!$B$51+197&lt;'🌱 Configuração'!$D$51,INT(('🌱 Configuração'!$B$51+197-'🌱 Configuração'!$C$51)/7)+1=7,MOD('🌱 Configuração'!$B$51+197-'🌱 Configuração'!$C$51,7)=0),"🌿 Bloom A+B transição — EC 1.4",IF(AND('🌱 Configuração'!$B$51+197&gt;='🌱 Configuração'!$C$51,'🌱 Configuração'!$B$51+197&lt;'🌱 Configuração'!$D$51,INT(('🌱 Configuração'!$B$51+197-'🌱 Configuração'!$C$51)/7)+1=8,MOD('🌱 Configuração'!$B$51+197-'🌱 Configuração'!$C$51,7)=0),"🌿 Bloom A+B — EC 1.4",IF(AND('🌱 Configuração'!$B$51+197&gt;='🌱 Configuração'!$D$51,'🌱 Configuração'!$B$51+197&lt;'🌱 Configuração'!$E$51,INT(('🌱 Configuração'!$B$51+197-'🌱 Configuração'!$D$51)/7)+1=1,MOD('🌱 Configuração'!$B$51+197-'🌱 Configuração'!$D$51,7)=0),"🌸 Bloom A+B — EC 1.6",IF(AND('🌱 Configuração'!$B$51+197&gt;='🌱 Configuração'!$D$51,'🌱 Configuração'!$B$51+197&lt;'🌱 Configuração'!$E$51,INT(('🌱 Configuração'!$B$51+197-'🌱 Configuração'!$D$51)/7)+1=2,MOD('🌱 Configuração'!$B$51+197-'🌱 Configuração'!$D$51,7)=0),"🌸 Bloom + PK 13/14 início",IF(AND('🌱 Configuração'!$B$51+197&gt;='🌱 Configuração'!$D$51,'🌱 Configuração'!$B$51+197&lt;'🌱 Configuração'!$E$51,INT(('🌱 Configuração'!$B$51+197-'🌱 Configuração'!$D$51)/7)+1=3,MOD('🌱 Configuração'!$B$51+197-'🌱 Configuração'!$D$51,7)=0),"🌸 Bloom + PK + CalMag — EC 1.8",IF(AND('🌱 Configuração'!$B$51+197&gt;='🌱 Configuração'!$D$51,'🌱 Configuração'!$B$51+197&lt;'🌱 Configuração'!$E$51,INT(('🌱 Configuração'!$B$51+197-'🌱 Configuração'!$D$51)/7)+1=4,MOD('🌱 Configuração'!$B$51+197-'🌱 Configuração'!$D$51,7)=0),"🌸 Bloom + PK + Boost Floral — EC 2.0",IF(AND('🌱 Configuração'!$B$51+197&gt;='🌱 Configuração'!$D$51,'🌱 Configuração'!$B$51+197&lt;'🌱 Configuração'!$E$51,INT(('🌱 Configuração'!$B$51+197-'🌱 Configuração'!$D$51)/7)+1=5,MOD('🌱 Configuração'!$B$51+197-'🌱 Configuração'!$D$51,7)=0),"🌸 Bloom + Boost + Amino",IF(AND('🌱 Configuração'!$B$51+197&gt;='🌱 Configuração'!$D$51,'🌱 Configuração'!$B$51+197&lt;'🌱 Configuração'!$E$51,INT(('🌱 Configuração'!$B$51+197-'🌱 Configuração'!$D$51)/7)+1=6,MOD('🌱 Configuração'!$B$51+197-'🌱 Configuração'!$D$51,7)=0),"🌸 Bloom + Enzimas + Amino",IF(AND('🌱 Configuração'!$B$51+197&gt;='🌱 Configuração'!$D$51,'🌱 Configuração'!$B$51+197&lt;'🌱 Configuração'!$E$51,INT(('🌱 Configuração'!$B$51+197-'🌱 Configuração'!$D$51)/7)+1=7,MOD('🌱 Configuração'!$B$51+197-'🌱 Configuração'!$D$51,7)=0),"🌸 Reduzir N — Bloom puro — EC 1.6",IF(AND('🌱 Configuração'!$B$51+197&gt;='🌱 Configuração'!$D$51,'🌱 Configuração'!$B$51+197&lt;'🌱 Configuração'!$E$51,INT(('🌱 Configuração'!$B$51+197-'🌱 Configuração'!$D$51)/7)+1=8,MOD('🌱 Configuração'!$B$51+197-'🌱 Configuração'!$D$51,7)=0),"🌸 Bloom puro — EC 1.4  (pré-flush)",IF(AND('🌱 Configuração'!$B$51+197&gt;='🌱 Configuração'!$D$51,'🌱 Configuração'!$B$51+197&lt;'🌱 Configuração'!$E$51,INT(('🌱 Configuração'!$B$51+197-'🌱 Configuração'!$D$51)/7)+1=9,MOD('🌱 Configuração'!$B$51+197-'🌱 Configuração'!$D$51,7)=0),"🌸 Último Bloom — EC 0.8",IF(AND('🌱 Configuração'!$B$51+197&gt;='🌱 Configuração'!$E$51,INT(('🌱 Configuração'!$B$51+197-'🌱 Configuração'!$E$51)/7)+1=1,MOD('🌱 Configuração'!$B$51+197-'🌱 Configuração'!$E$51,7)=0),"🚿 Água pura + Enzimas (EC &lt; 0.3)",IF(AND('🌱 Configuração'!$B$51+197&gt;='🌱 Configuração'!$E$51,INT(('🌱 Configuração'!$B$51+197-'🌱 Configuração'!$E$51)/7)+1=2,MOD('🌱 Configuração'!$B$51+197-'🌱 Configuração'!$E$51,7)=0),"🚿 Água pura (EC &lt; 0.2)",""))))))))))))))))))))))</f>
        <v/>
      </c>
      <c r="G203" s="30" t="str">
        <f>IF(198&gt;'🌱 Configuração'!$F$50,"",IF(AND('🌱 Configuração'!$B$51+197&lt;'🌱 Configuração'!$C$51,INT((198-1)/7)+1=1,MOD(198-1,7)=0),"🐛 Nim 2mL/L foliar — preventivo",IF(AND('🌱 Configuração'!$B$51+197&lt;'🌱 Configuração'!$C$51,INT((198-1)/7)+1=2,MOD(198-1,7)=0),"🐛 Beauveria bassiana foliar + solo",IF(AND('🌱 Configuração'!$B$51+197&gt;='🌱 Configuração'!$C$51,'🌱 Configuração'!$B$51+197&lt;'🌱 Configuração'!$D$51,INT(('🌱 Configuração'!$B$51+197-'🌱 Configuração'!$C$51)/7)+1=1,MOD('🌱 Configuração'!$B$51+197-'🌱 Configuração'!$C$51,7)=0),"🐛 Nim 2mL/L foliar",IF(AND('🌱 Configuração'!$B$51+197&gt;='🌱 Configuração'!$C$51,'🌱 Configuração'!$B$51+197&lt;'🌱 Configuração'!$D$51,INT(('🌱 Configuração'!$B$51+197-'🌱 Configuração'!$C$51)/7)+1=2,MOD('🌱 Configuração'!$B$51+197-'🌱 Configuração'!$C$51,7)=0),"🐛 Beauveria bassiana foliar",IF(AND('🌱 Configuração'!$B$51+197&gt;='🌱 Configuração'!$C$51,'🌱 Configuração'!$B$51+197&lt;'🌱 Configuração'!$D$51,INT(('🌱 Configuração'!$B$51+197-'🌱 Configuração'!$C$51)/7)+1=3,MOD('🌱 Configuração'!$B$51+197-'🌱 Configuração'!$C$51,7)=0),"🐛 Nim + Calda Sulfocálcica 1%",IF(AND('🌱 Configuração'!$B$51+197&gt;='🌱 Configuração'!$C$51,'🌱 Configuração'!$B$51+197&lt;'🌱 Configuração'!$D$51,INT(('🌱 Configuração'!$B$51+197-'🌱 Configuração'!$C$51)/7)+1=4,MOD('🌱 Configuração'!$B$51+197-'🌱 Configuração'!$C$51,7)=0),"🐛 Trichoderma solo + Beauveria",IF(AND('🌱 Configuração'!$B$51+197&gt;='🌱 Configuração'!$C$51,'🌱 Configuração'!$B$51+197&lt;'🌱 Configuração'!$D$51,INT(('🌱 Configuração'!$B$51+197-'🌱 Configuração'!$C$51)/7)+1=5,MOD('🌱 Configuração'!$B$51+197-'🌱 Configuração'!$C$51,7)=0),"🐛 Calda Bordalesa 0.5% foliar",IF(AND('🌱 Configuração'!$B$51+197&gt;='🌱 Configuração'!$C$51,'🌱 Configuração'!$B$51+197&lt;'🌱 Configuração'!$D$51,INT(('🌱 Configuração'!$B$51+197-'🌱 Configuração'!$C$51)/7)+1=6,MOD('🌱 Configuração'!$B$51+197-'🌱 Configuração'!$C$51,7)=0),"🐛 Nim 2mL/L — ÚLTIMA foliar",IF(AND('🌱 Configuração'!$B$51+197&gt;='🌱 Configuração'!$D$51,'🌱 Configuração'!$B$51+197&lt;'🌱 Configuração'!$E$51,INT(('🌱 Configuração'!$B$51+197-'🌱 Configuração'!$D$51)/7)+1=1,MOD('🌱 Configuração'!$B$51+197-'🌱 Configuração'!$D$51,7)=0),"🐛 Beauveria bassiana solo (sem foliar)",IF(AND('🌱 Configuração'!$B$51+197&gt;='🌱 Configuração'!$D$51,'🌱 Configuração'!$B$51+197&lt;'🌱 Configuração'!$E$51,INT(('🌱 Configuração'!$B$51+197-'🌱 Configuração'!$D$51)/7)+1=2,MOD('🌱 Configuração'!$B$51+197-'🌱 Configuração'!$D$51,7)=0),"🐛 Trichoderma solo",IF(AND('🌱 Configuração'!$B$51+197&gt;='🌱 Configuração'!$D$51,'🌱 Configuração'!$B$51+197&lt;'🌱 Configuração'!$E$51,INT(('🌱 Configuração'!$B$51+197-'🌱 Configuração'!$D$51)/7)+1=3,MOD('🌱 Configuração'!$B$51+197-'🌱 Configuração'!$D$51,7)=0),"🐛 Beauveria bassiana solo",IF(AND('🌱 Configuração'!$B$51+197&gt;='🌱 Configuração'!$D$51,'🌱 Configuração'!$B$51+197&lt;'🌱 Configuração'!$E$51,INT(('🌱 Configuração'!$B$51+197-'🌱 Configuração'!$D$51)/7)+1=4,MOD('🌱 Configuração'!$B$51+197-'🌱 Configuração'!$D$51,7)=0),"🐛 Trichoderma solo",IF(AND('🌱 Configuração'!$B$51+197&gt;='🌱 Configuração'!$E$51,INT(('🌱 Configuração'!$B$51+197-'🌱 Configuração'!$E$51)/7)+1=1,MOD('🌱 Configuração'!$B$51+197-'🌱 Configuração'!$E$51,7)=0),"🐛 Inspeção final — sem aplicação",""))))))))))))))</f>
        <v/>
      </c>
      <c r="H203" s="22" t="str">
        <f>IF(198&gt;'🌱 Configuração'!$F$50,"",IF('🌱 Configuração'!$B$51+197='🌱 Configuração'!$C$51,"🌿 INÍCIO VEGA — ajustar espaço, luz 18h/dia — EC 0.8",IF('🌱 Configuração'!$B$51+197='🌱 Configuração'!$D$51,"🌸 INÍCIO FLORAÇÃO — mudar para 12h/12h — 🔴 atenção ao fotoperíodo",IF('🌱 Configuração'!$B$51+197='🌱 Configuração'!$E$51,"🚿 INÍCIO FLUSH — PARAR nutrição, somente água pura",IF('🌱 Configuração'!$B$51+197='🌱 Configuração'!$F$51-1,"🔬 Véspera da colheita — analisar tricomas âmbar",IF('🌱 Configuração'!$B$51+197='🌱 Configuração'!$F$51,"✂️ COLHEITA! Parabéns! 🎉",""))))))</f>
        <v/>
      </c>
    </row>
    <row r="204" spans="2:8" ht="18.75" customHeight="1" x14ac:dyDescent="0.3">
      <c r="B204" s="25" t="str">
        <f>IF(199&lt;='🌱 Configuração'!$F$50,199,"")</f>
        <v/>
      </c>
      <c r="C204" s="26" t="str">
        <f>IF(199&lt;='🌱 Configuração'!$F$50,'🌱 Configuração'!$B$51+198,"")</f>
        <v/>
      </c>
      <c r="D204" s="27" t="str">
        <f>IF(199&gt;'🌱 Configuração'!$F$50,"",IF('🌱 Configuração'!$B$51+198&lt;'🌱 Configuração'!$C$51,"🌱 Clone",IF('🌱 Configuração'!$B$51+198&lt;'🌱 Configuração'!$D$51,"🌿 Vegetativo",IF('🌱 Configuração'!$B$51+198&lt;'🌱 Configuração'!$E$51,"🌸 Floração","🚿 Flush"))))</f>
        <v/>
      </c>
      <c r="E204" s="28" t="str">
        <f>IF(199&gt;'🌱 Configuração'!$F$50,"",IF('🌱 Configuração'!$B$51+198&lt;'🌱 Configuração'!$C$51,"Clone S"&amp;INT((199-1)/7)+1,IF('🌱 Configuração'!$B$51+198&lt;'🌱 Configuração'!$D$51,"Vega S"&amp;INT(('🌱 Configuração'!$B$51+198-'🌱 Configuração'!$C$51)/7)+1,IF('🌱 Configuração'!$B$51+198&lt;'🌱 Configuração'!$E$51,"Flora S"&amp;INT(('🌱 Configuração'!$B$51+198-'🌱 Configuração'!$D$51)/7)+1,"Flush S"&amp;INT(('🌱 Configuração'!$B$51+198-'🌱 Configuração'!$E$51)/7)+1))))</f>
        <v/>
      </c>
      <c r="F204" s="29" t="str">
        <f>IF(199&gt;'🌱 Configuração'!$F$50,"",IF(AND('🌱 Configuração'!$B$51+198&lt;'🌱 Configuração'!$C$51,INT((199-1)/7)+1=1,MOD(199-1,7)=0),"🌱 Enraizador (0.5 mL/L)",IF(AND('🌱 Configuração'!$B$51+198&lt;'🌱 Configuração'!$C$51,INT((199-1)/7)+1=2,MOD(199-1,7)=0),"🌱 Enraizador + Vitamina B1",IF(AND('🌱 Configuração'!$B$51+198&gt;='🌱 Configuração'!$C$51,'🌱 Configuração'!$B$51+198&lt;'🌱 Configuração'!$D$51,INT(('🌱 Configuração'!$B$51+198-'🌱 Configuração'!$C$51)/7)+1=1,MOD('🌱 Configuração'!$B$51+198-'🌱 Configuração'!$C$51,7)=0),"🌿 Grow A+B início — EC 0.8",IF(AND('🌱 Configuração'!$B$51+198&gt;='🌱 Configuração'!$C$51,'🌱 Configuração'!$B$51+198&lt;'🌱 Configuração'!$D$51,INT(('🌱 Configuração'!$B$51+198-'🌱 Configuração'!$C$51)/7)+1=2,MOD('🌱 Configuração'!$B$51+198-'🌱 Configuração'!$C$51,7)=0),"🌿 Grow A+B + CalMag — EC 1.0",IF(AND('🌱 Configuração'!$B$51+198&gt;='🌱 Configuração'!$C$51,'🌱 Configuração'!$B$51+198&lt;'🌱 Configuração'!$D$51,INT(('🌱 Configuração'!$B$51+198-'🌱 Configuração'!$C$51)/7)+1=3,MOD('🌱 Configuração'!$B$51+198-'🌱 Configuração'!$C$51,7)=0),"🌿 Grow A+B + CalMag — EC 1.2",IF(AND('🌱 Configuração'!$B$51+198&gt;='🌱 Configuração'!$C$51,'🌱 Configuração'!$B$51+198&lt;'🌱 Configuração'!$D$51,INT(('🌱 Configuração'!$B$51+198-'🌱 Configuração'!$C$51)/7)+1=4,MOD('🌱 Configuração'!$B$51+198-'🌱 Configuração'!$C$51,7)=0),"🌿 Grow A+B + Enzimas — EC 1.4",IF(AND('🌱 Configuração'!$B$51+198&gt;='🌱 Configuração'!$C$51,'🌱 Configuração'!$B$51+198&lt;'🌱 Configuração'!$D$51,INT(('🌱 Configuração'!$B$51+198-'🌱 Configuração'!$C$51)/7)+1=5,MOD('🌱 Configuração'!$B$51+198-'🌱 Configuração'!$C$51,7)=0),"🌿 Grow A+B + Biorrizas — EC 1.5",IF(AND('🌱 Configuração'!$B$51+198&gt;='🌱 Configuração'!$C$51,'🌱 Configuração'!$B$51+198&lt;'🌱 Configuração'!$D$51,INT(('🌱 Configuração'!$B$51+198-'🌱 Configuração'!$C$51)/7)+1=6,MOD('🌱 Configuração'!$B$51+198-'🌱 Configuração'!$C$51,7)=0),"🌿 Transição Bloom — EC 1.4",IF(AND('🌱 Configuração'!$B$51+198&gt;='🌱 Configuração'!$C$51,'🌱 Configuração'!$B$51+198&lt;'🌱 Configuração'!$D$51,INT(('🌱 Configuração'!$B$51+198-'🌱 Configuração'!$C$51)/7)+1=7,MOD('🌱 Configuração'!$B$51+198-'🌱 Configuração'!$C$51,7)=0),"🌿 Bloom A+B transição — EC 1.4",IF(AND('🌱 Configuração'!$B$51+198&gt;='🌱 Configuração'!$C$51,'🌱 Configuração'!$B$51+198&lt;'🌱 Configuração'!$D$51,INT(('🌱 Configuração'!$B$51+198-'🌱 Configuração'!$C$51)/7)+1=8,MOD('🌱 Configuração'!$B$51+198-'🌱 Configuração'!$C$51,7)=0),"🌿 Bloom A+B — EC 1.4",IF(AND('🌱 Configuração'!$B$51+198&gt;='🌱 Configuração'!$D$51,'🌱 Configuração'!$B$51+198&lt;'🌱 Configuração'!$E$51,INT(('🌱 Configuração'!$B$51+198-'🌱 Configuração'!$D$51)/7)+1=1,MOD('🌱 Configuração'!$B$51+198-'🌱 Configuração'!$D$51,7)=0),"🌸 Bloom A+B — EC 1.6",IF(AND('🌱 Configuração'!$B$51+198&gt;='🌱 Configuração'!$D$51,'🌱 Configuração'!$B$51+198&lt;'🌱 Configuração'!$E$51,INT(('🌱 Configuração'!$B$51+198-'🌱 Configuração'!$D$51)/7)+1=2,MOD('🌱 Configuração'!$B$51+198-'🌱 Configuração'!$D$51,7)=0),"🌸 Bloom + PK 13/14 início",IF(AND('🌱 Configuração'!$B$51+198&gt;='🌱 Configuração'!$D$51,'🌱 Configuração'!$B$51+198&lt;'🌱 Configuração'!$E$51,INT(('🌱 Configuração'!$B$51+198-'🌱 Configuração'!$D$51)/7)+1=3,MOD('🌱 Configuração'!$B$51+198-'🌱 Configuração'!$D$51,7)=0),"🌸 Bloom + PK + CalMag — EC 1.8",IF(AND('🌱 Configuração'!$B$51+198&gt;='🌱 Configuração'!$D$51,'🌱 Configuração'!$B$51+198&lt;'🌱 Configuração'!$E$51,INT(('🌱 Configuração'!$B$51+198-'🌱 Configuração'!$D$51)/7)+1=4,MOD('🌱 Configuração'!$B$51+198-'🌱 Configuração'!$D$51,7)=0),"🌸 Bloom + PK + Boost Floral — EC 2.0",IF(AND('🌱 Configuração'!$B$51+198&gt;='🌱 Configuração'!$D$51,'🌱 Configuração'!$B$51+198&lt;'🌱 Configuração'!$E$51,INT(('🌱 Configuração'!$B$51+198-'🌱 Configuração'!$D$51)/7)+1=5,MOD('🌱 Configuração'!$B$51+198-'🌱 Configuração'!$D$51,7)=0),"🌸 Bloom + Boost + Amino",IF(AND('🌱 Configuração'!$B$51+198&gt;='🌱 Configuração'!$D$51,'🌱 Configuração'!$B$51+198&lt;'🌱 Configuração'!$E$51,INT(('🌱 Configuração'!$B$51+198-'🌱 Configuração'!$D$51)/7)+1=6,MOD('🌱 Configuração'!$B$51+198-'🌱 Configuração'!$D$51,7)=0),"🌸 Bloom + Enzimas + Amino",IF(AND('🌱 Configuração'!$B$51+198&gt;='🌱 Configuração'!$D$51,'🌱 Configuração'!$B$51+198&lt;'🌱 Configuração'!$E$51,INT(('🌱 Configuração'!$B$51+198-'🌱 Configuração'!$D$51)/7)+1=7,MOD('🌱 Configuração'!$B$51+198-'🌱 Configuração'!$D$51,7)=0),"🌸 Reduzir N — Bloom puro — EC 1.6",IF(AND('🌱 Configuração'!$B$51+198&gt;='🌱 Configuração'!$D$51,'🌱 Configuração'!$B$51+198&lt;'🌱 Configuração'!$E$51,INT(('🌱 Configuração'!$B$51+198-'🌱 Configuração'!$D$51)/7)+1=8,MOD('🌱 Configuração'!$B$51+198-'🌱 Configuração'!$D$51,7)=0),"🌸 Bloom puro — EC 1.4  (pré-flush)",IF(AND('🌱 Configuração'!$B$51+198&gt;='🌱 Configuração'!$D$51,'🌱 Configuração'!$B$51+198&lt;'🌱 Configuração'!$E$51,INT(('🌱 Configuração'!$B$51+198-'🌱 Configuração'!$D$51)/7)+1=9,MOD('🌱 Configuração'!$B$51+198-'🌱 Configuração'!$D$51,7)=0),"🌸 Último Bloom — EC 0.8",IF(AND('🌱 Configuração'!$B$51+198&gt;='🌱 Configuração'!$E$51,INT(('🌱 Configuração'!$B$51+198-'🌱 Configuração'!$E$51)/7)+1=1,MOD('🌱 Configuração'!$B$51+198-'🌱 Configuração'!$E$51,7)=0),"🚿 Água pura + Enzimas (EC &lt; 0.3)",IF(AND('🌱 Configuração'!$B$51+198&gt;='🌱 Configuração'!$E$51,INT(('🌱 Configuração'!$B$51+198-'🌱 Configuração'!$E$51)/7)+1=2,MOD('🌱 Configuração'!$B$51+198-'🌱 Configuração'!$E$51,7)=0),"🚿 Água pura (EC &lt; 0.2)",""))))))))))))))))))))))</f>
        <v/>
      </c>
      <c r="G204" s="30" t="str">
        <f>IF(199&gt;'🌱 Configuração'!$F$50,"",IF(AND('🌱 Configuração'!$B$51+198&lt;'🌱 Configuração'!$C$51,INT((199-1)/7)+1=1,MOD(199-1,7)=0),"🐛 Nim 2mL/L foliar — preventivo",IF(AND('🌱 Configuração'!$B$51+198&lt;'🌱 Configuração'!$C$51,INT((199-1)/7)+1=2,MOD(199-1,7)=0),"🐛 Beauveria bassiana foliar + solo",IF(AND('🌱 Configuração'!$B$51+198&gt;='🌱 Configuração'!$C$51,'🌱 Configuração'!$B$51+198&lt;'🌱 Configuração'!$D$51,INT(('🌱 Configuração'!$B$51+198-'🌱 Configuração'!$C$51)/7)+1=1,MOD('🌱 Configuração'!$B$51+198-'🌱 Configuração'!$C$51,7)=0),"🐛 Nim 2mL/L foliar",IF(AND('🌱 Configuração'!$B$51+198&gt;='🌱 Configuração'!$C$51,'🌱 Configuração'!$B$51+198&lt;'🌱 Configuração'!$D$51,INT(('🌱 Configuração'!$B$51+198-'🌱 Configuração'!$C$51)/7)+1=2,MOD('🌱 Configuração'!$B$51+198-'🌱 Configuração'!$C$51,7)=0),"🐛 Beauveria bassiana foliar",IF(AND('🌱 Configuração'!$B$51+198&gt;='🌱 Configuração'!$C$51,'🌱 Configuração'!$B$51+198&lt;'🌱 Configuração'!$D$51,INT(('🌱 Configuração'!$B$51+198-'🌱 Configuração'!$C$51)/7)+1=3,MOD('🌱 Configuração'!$B$51+198-'🌱 Configuração'!$C$51,7)=0),"🐛 Nim + Calda Sulfocálcica 1%",IF(AND('🌱 Configuração'!$B$51+198&gt;='🌱 Configuração'!$C$51,'🌱 Configuração'!$B$51+198&lt;'🌱 Configuração'!$D$51,INT(('🌱 Configuração'!$B$51+198-'🌱 Configuração'!$C$51)/7)+1=4,MOD('🌱 Configuração'!$B$51+198-'🌱 Configuração'!$C$51,7)=0),"🐛 Trichoderma solo + Beauveria",IF(AND('🌱 Configuração'!$B$51+198&gt;='🌱 Configuração'!$C$51,'🌱 Configuração'!$B$51+198&lt;'🌱 Configuração'!$D$51,INT(('🌱 Configuração'!$B$51+198-'🌱 Configuração'!$C$51)/7)+1=5,MOD('🌱 Configuração'!$B$51+198-'🌱 Configuração'!$C$51,7)=0),"🐛 Calda Bordalesa 0.5% foliar",IF(AND('🌱 Configuração'!$B$51+198&gt;='🌱 Configuração'!$C$51,'🌱 Configuração'!$B$51+198&lt;'🌱 Configuração'!$D$51,INT(('🌱 Configuração'!$B$51+198-'🌱 Configuração'!$C$51)/7)+1=6,MOD('🌱 Configuração'!$B$51+198-'🌱 Configuração'!$C$51,7)=0),"🐛 Nim 2mL/L — ÚLTIMA foliar",IF(AND('🌱 Configuração'!$B$51+198&gt;='🌱 Configuração'!$D$51,'🌱 Configuração'!$B$51+198&lt;'🌱 Configuração'!$E$51,INT(('🌱 Configuração'!$B$51+198-'🌱 Configuração'!$D$51)/7)+1=1,MOD('🌱 Configuração'!$B$51+198-'🌱 Configuração'!$D$51,7)=0),"🐛 Beauveria bassiana solo (sem foliar)",IF(AND('🌱 Configuração'!$B$51+198&gt;='🌱 Configuração'!$D$51,'🌱 Configuração'!$B$51+198&lt;'🌱 Configuração'!$E$51,INT(('🌱 Configuração'!$B$51+198-'🌱 Configuração'!$D$51)/7)+1=2,MOD('🌱 Configuração'!$B$51+198-'🌱 Configuração'!$D$51,7)=0),"🐛 Trichoderma solo",IF(AND('🌱 Configuração'!$B$51+198&gt;='🌱 Configuração'!$D$51,'🌱 Configuração'!$B$51+198&lt;'🌱 Configuração'!$E$51,INT(('🌱 Configuração'!$B$51+198-'🌱 Configuração'!$D$51)/7)+1=3,MOD('🌱 Configuração'!$B$51+198-'🌱 Configuração'!$D$51,7)=0),"🐛 Beauveria bassiana solo",IF(AND('🌱 Configuração'!$B$51+198&gt;='🌱 Configuração'!$D$51,'🌱 Configuração'!$B$51+198&lt;'🌱 Configuração'!$E$51,INT(('🌱 Configuração'!$B$51+198-'🌱 Configuração'!$D$51)/7)+1=4,MOD('🌱 Configuração'!$B$51+198-'🌱 Configuração'!$D$51,7)=0),"🐛 Trichoderma solo",IF(AND('🌱 Configuração'!$B$51+198&gt;='🌱 Configuração'!$E$51,INT(('🌱 Configuração'!$B$51+198-'🌱 Configuração'!$E$51)/7)+1=1,MOD('🌱 Configuração'!$B$51+198-'🌱 Configuração'!$E$51,7)=0),"🐛 Inspeção final — sem aplicação",""))))))))))))))</f>
        <v/>
      </c>
      <c r="H204" s="22" t="str">
        <f>IF(199&gt;'🌱 Configuração'!$F$50,"",IF('🌱 Configuração'!$B$51+198='🌱 Configuração'!$C$51,"🌿 INÍCIO VEGA — ajustar espaço, luz 18h/dia — EC 0.8",IF('🌱 Configuração'!$B$51+198='🌱 Configuração'!$D$51,"🌸 INÍCIO FLORAÇÃO — mudar para 12h/12h — 🔴 atenção ao fotoperíodo",IF('🌱 Configuração'!$B$51+198='🌱 Configuração'!$E$51,"🚿 INÍCIO FLUSH — PARAR nutrição, somente água pura",IF('🌱 Configuração'!$B$51+198='🌱 Configuração'!$F$51-1,"🔬 Véspera da colheita — analisar tricomas âmbar",IF('🌱 Configuração'!$B$51+198='🌱 Configuração'!$F$51,"✂️ COLHEITA! Parabéns! 🎉",""))))))</f>
        <v/>
      </c>
    </row>
    <row r="205" spans="2:8" ht="18.75" customHeight="1" x14ac:dyDescent="0.3">
      <c r="B205" s="25" t="str">
        <f>IF(200&lt;='🌱 Configuração'!$F$50,200,"")</f>
        <v/>
      </c>
      <c r="C205" s="26" t="str">
        <f>IF(200&lt;='🌱 Configuração'!$F$50,'🌱 Configuração'!$B$51+199,"")</f>
        <v/>
      </c>
      <c r="D205" s="27" t="str">
        <f>IF(200&gt;'🌱 Configuração'!$F$50,"",IF('🌱 Configuração'!$B$51+199&lt;'🌱 Configuração'!$C$51,"🌱 Clone",IF('🌱 Configuração'!$B$51+199&lt;'🌱 Configuração'!$D$51,"🌿 Vegetativo",IF('🌱 Configuração'!$B$51+199&lt;'🌱 Configuração'!$E$51,"🌸 Floração","🚿 Flush"))))</f>
        <v/>
      </c>
      <c r="E205" s="28" t="str">
        <f>IF(200&gt;'🌱 Configuração'!$F$50,"",IF('🌱 Configuração'!$B$51+199&lt;'🌱 Configuração'!$C$51,"Clone S"&amp;INT((200-1)/7)+1,IF('🌱 Configuração'!$B$51+199&lt;'🌱 Configuração'!$D$51,"Vega S"&amp;INT(('🌱 Configuração'!$B$51+199-'🌱 Configuração'!$C$51)/7)+1,IF('🌱 Configuração'!$B$51+199&lt;'🌱 Configuração'!$E$51,"Flora S"&amp;INT(('🌱 Configuração'!$B$51+199-'🌱 Configuração'!$D$51)/7)+1,"Flush S"&amp;INT(('🌱 Configuração'!$B$51+199-'🌱 Configuração'!$E$51)/7)+1))))</f>
        <v/>
      </c>
      <c r="F205" s="29" t="str">
        <f>IF(200&gt;'🌱 Configuração'!$F$50,"",IF(AND('🌱 Configuração'!$B$51+199&lt;'🌱 Configuração'!$C$51,INT((200-1)/7)+1=1,MOD(200-1,7)=0),"🌱 Enraizador (0.5 mL/L)",IF(AND('🌱 Configuração'!$B$51+199&lt;'🌱 Configuração'!$C$51,INT((200-1)/7)+1=2,MOD(200-1,7)=0),"🌱 Enraizador + Vitamina B1",IF(AND('🌱 Configuração'!$B$51+199&gt;='🌱 Configuração'!$C$51,'🌱 Configuração'!$B$51+199&lt;'🌱 Configuração'!$D$51,INT(('🌱 Configuração'!$B$51+199-'🌱 Configuração'!$C$51)/7)+1=1,MOD('🌱 Configuração'!$B$51+199-'🌱 Configuração'!$C$51,7)=0),"🌿 Grow A+B início — EC 0.8",IF(AND('🌱 Configuração'!$B$51+199&gt;='🌱 Configuração'!$C$51,'🌱 Configuração'!$B$51+199&lt;'🌱 Configuração'!$D$51,INT(('🌱 Configuração'!$B$51+199-'🌱 Configuração'!$C$51)/7)+1=2,MOD('🌱 Configuração'!$B$51+199-'🌱 Configuração'!$C$51,7)=0),"🌿 Grow A+B + CalMag — EC 1.0",IF(AND('🌱 Configuração'!$B$51+199&gt;='🌱 Configuração'!$C$51,'🌱 Configuração'!$B$51+199&lt;'🌱 Configuração'!$D$51,INT(('🌱 Configuração'!$B$51+199-'🌱 Configuração'!$C$51)/7)+1=3,MOD('🌱 Configuração'!$B$51+199-'🌱 Configuração'!$C$51,7)=0),"🌿 Grow A+B + CalMag — EC 1.2",IF(AND('🌱 Configuração'!$B$51+199&gt;='🌱 Configuração'!$C$51,'🌱 Configuração'!$B$51+199&lt;'🌱 Configuração'!$D$51,INT(('🌱 Configuração'!$B$51+199-'🌱 Configuração'!$C$51)/7)+1=4,MOD('🌱 Configuração'!$B$51+199-'🌱 Configuração'!$C$51,7)=0),"🌿 Grow A+B + Enzimas — EC 1.4",IF(AND('🌱 Configuração'!$B$51+199&gt;='🌱 Configuração'!$C$51,'🌱 Configuração'!$B$51+199&lt;'🌱 Configuração'!$D$51,INT(('🌱 Configuração'!$B$51+199-'🌱 Configuração'!$C$51)/7)+1=5,MOD('🌱 Configuração'!$B$51+199-'🌱 Configuração'!$C$51,7)=0),"🌿 Grow A+B + Biorrizas — EC 1.5",IF(AND('🌱 Configuração'!$B$51+199&gt;='🌱 Configuração'!$C$51,'🌱 Configuração'!$B$51+199&lt;'🌱 Configuração'!$D$51,INT(('🌱 Configuração'!$B$51+199-'🌱 Configuração'!$C$51)/7)+1=6,MOD('🌱 Configuração'!$B$51+199-'🌱 Configuração'!$C$51,7)=0),"🌿 Transição Bloom — EC 1.4",IF(AND('🌱 Configuração'!$B$51+199&gt;='🌱 Configuração'!$C$51,'🌱 Configuração'!$B$51+199&lt;'🌱 Configuração'!$D$51,INT(('🌱 Configuração'!$B$51+199-'🌱 Configuração'!$C$51)/7)+1=7,MOD('🌱 Configuração'!$B$51+199-'🌱 Configuração'!$C$51,7)=0),"🌿 Bloom A+B transição — EC 1.4",IF(AND('🌱 Configuração'!$B$51+199&gt;='🌱 Configuração'!$C$51,'🌱 Configuração'!$B$51+199&lt;'🌱 Configuração'!$D$51,INT(('🌱 Configuração'!$B$51+199-'🌱 Configuração'!$C$51)/7)+1=8,MOD('🌱 Configuração'!$B$51+199-'🌱 Configuração'!$C$51,7)=0),"🌿 Bloom A+B — EC 1.4",IF(AND('🌱 Configuração'!$B$51+199&gt;='🌱 Configuração'!$D$51,'🌱 Configuração'!$B$51+199&lt;'🌱 Configuração'!$E$51,INT(('🌱 Configuração'!$B$51+199-'🌱 Configuração'!$D$51)/7)+1=1,MOD('🌱 Configuração'!$B$51+199-'🌱 Configuração'!$D$51,7)=0),"🌸 Bloom A+B — EC 1.6",IF(AND('🌱 Configuração'!$B$51+199&gt;='🌱 Configuração'!$D$51,'🌱 Configuração'!$B$51+199&lt;'🌱 Configuração'!$E$51,INT(('🌱 Configuração'!$B$51+199-'🌱 Configuração'!$D$51)/7)+1=2,MOD('🌱 Configuração'!$B$51+199-'🌱 Configuração'!$D$51,7)=0),"🌸 Bloom + PK 13/14 início",IF(AND('🌱 Configuração'!$B$51+199&gt;='🌱 Configuração'!$D$51,'🌱 Configuração'!$B$51+199&lt;'🌱 Configuração'!$E$51,INT(('🌱 Configuração'!$B$51+199-'🌱 Configuração'!$D$51)/7)+1=3,MOD('🌱 Configuração'!$B$51+199-'🌱 Configuração'!$D$51,7)=0),"🌸 Bloom + PK + CalMag — EC 1.8",IF(AND('🌱 Configuração'!$B$51+199&gt;='🌱 Configuração'!$D$51,'🌱 Configuração'!$B$51+199&lt;'🌱 Configuração'!$E$51,INT(('🌱 Configuração'!$B$51+199-'🌱 Configuração'!$D$51)/7)+1=4,MOD('🌱 Configuração'!$B$51+199-'🌱 Configuração'!$D$51,7)=0),"🌸 Bloom + PK + Boost Floral — EC 2.0",IF(AND('🌱 Configuração'!$B$51+199&gt;='🌱 Configuração'!$D$51,'🌱 Configuração'!$B$51+199&lt;'🌱 Configuração'!$E$51,INT(('🌱 Configuração'!$B$51+199-'🌱 Configuração'!$D$51)/7)+1=5,MOD('🌱 Configuração'!$B$51+199-'🌱 Configuração'!$D$51,7)=0),"🌸 Bloom + Boost + Amino",IF(AND('🌱 Configuração'!$B$51+199&gt;='🌱 Configuração'!$D$51,'🌱 Configuração'!$B$51+199&lt;'🌱 Configuração'!$E$51,INT(('🌱 Configuração'!$B$51+199-'🌱 Configuração'!$D$51)/7)+1=6,MOD('🌱 Configuração'!$B$51+199-'🌱 Configuração'!$D$51,7)=0),"🌸 Bloom + Enzimas + Amino",IF(AND('🌱 Configuração'!$B$51+199&gt;='🌱 Configuração'!$D$51,'🌱 Configuração'!$B$51+199&lt;'🌱 Configuração'!$E$51,INT(('🌱 Configuração'!$B$51+199-'🌱 Configuração'!$D$51)/7)+1=7,MOD('🌱 Configuração'!$B$51+199-'🌱 Configuração'!$D$51,7)=0),"🌸 Reduzir N — Bloom puro — EC 1.6",IF(AND('🌱 Configuração'!$B$51+199&gt;='🌱 Configuração'!$D$51,'🌱 Configuração'!$B$51+199&lt;'🌱 Configuração'!$E$51,INT(('🌱 Configuração'!$B$51+199-'🌱 Configuração'!$D$51)/7)+1=8,MOD('🌱 Configuração'!$B$51+199-'🌱 Configuração'!$D$51,7)=0),"🌸 Bloom puro — EC 1.4  (pré-flush)",IF(AND('🌱 Configuração'!$B$51+199&gt;='🌱 Configuração'!$D$51,'🌱 Configuração'!$B$51+199&lt;'🌱 Configuração'!$E$51,INT(('🌱 Configuração'!$B$51+199-'🌱 Configuração'!$D$51)/7)+1=9,MOD('🌱 Configuração'!$B$51+199-'🌱 Configuração'!$D$51,7)=0),"🌸 Último Bloom — EC 0.8",IF(AND('🌱 Configuração'!$B$51+199&gt;='🌱 Configuração'!$E$51,INT(('🌱 Configuração'!$B$51+199-'🌱 Configuração'!$E$51)/7)+1=1,MOD('🌱 Configuração'!$B$51+199-'🌱 Configuração'!$E$51,7)=0),"🚿 Água pura + Enzimas (EC &lt; 0.3)",IF(AND('🌱 Configuração'!$B$51+199&gt;='🌱 Configuração'!$E$51,INT(('🌱 Configuração'!$B$51+199-'🌱 Configuração'!$E$51)/7)+1=2,MOD('🌱 Configuração'!$B$51+199-'🌱 Configuração'!$E$51,7)=0),"🚿 Água pura (EC &lt; 0.2)",""))))))))))))))))))))))</f>
        <v/>
      </c>
      <c r="G205" s="30" t="str">
        <f>IF(200&gt;'🌱 Configuração'!$F$50,"",IF(AND('🌱 Configuração'!$B$51+199&lt;'🌱 Configuração'!$C$51,INT((200-1)/7)+1=1,MOD(200-1,7)=0),"🐛 Nim 2mL/L foliar — preventivo",IF(AND('🌱 Configuração'!$B$51+199&lt;'🌱 Configuração'!$C$51,INT((200-1)/7)+1=2,MOD(200-1,7)=0),"🐛 Beauveria bassiana foliar + solo",IF(AND('🌱 Configuração'!$B$51+199&gt;='🌱 Configuração'!$C$51,'🌱 Configuração'!$B$51+199&lt;'🌱 Configuração'!$D$51,INT(('🌱 Configuração'!$B$51+199-'🌱 Configuração'!$C$51)/7)+1=1,MOD('🌱 Configuração'!$B$51+199-'🌱 Configuração'!$C$51,7)=0),"🐛 Nim 2mL/L foliar",IF(AND('🌱 Configuração'!$B$51+199&gt;='🌱 Configuração'!$C$51,'🌱 Configuração'!$B$51+199&lt;'🌱 Configuração'!$D$51,INT(('🌱 Configuração'!$B$51+199-'🌱 Configuração'!$C$51)/7)+1=2,MOD('🌱 Configuração'!$B$51+199-'🌱 Configuração'!$C$51,7)=0),"🐛 Beauveria bassiana foliar",IF(AND('🌱 Configuração'!$B$51+199&gt;='🌱 Configuração'!$C$51,'🌱 Configuração'!$B$51+199&lt;'🌱 Configuração'!$D$51,INT(('🌱 Configuração'!$B$51+199-'🌱 Configuração'!$C$51)/7)+1=3,MOD('🌱 Configuração'!$B$51+199-'🌱 Configuração'!$C$51,7)=0),"🐛 Nim + Calda Sulfocálcica 1%",IF(AND('🌱 Configuração'!$B$51+199&gt;='🌱 Configuração'!$C$51,'🌱 Configuração'!$B$51+199&lt;'🌱 Configuração'!$D$51,INT(('🌱 Configuração'!$B$51+199-'🌱 Configuração'!$C$51)/7)+1=4,MOD('🌱 Configuração'!$B$51+199-'🌱 Configuração'!$C$51,7)=0),"🐛 Trichoderma solo + Beauveria",IF(AND('🌱 Configuração'!$B$51+199&gt;='🌱 Configuração'!$C$51,'🌱 Configuração'!$B$51+199&lt;'🌱 Configuração'!$D$51,INT(('🌱 Configuração'!$B$51+199-'🌱 Configuração'!$C$51)/7)+1=5,MOD('🌱 Configuração'!$B$51+199-'🌱 Configuração'!$C$51,7)=0),"🐛 Calda Bordalesa 0.5% foliar",IF(AND('🌱 Configuração'!$B$51+199&gt;='🌱 Configuração'!$C$51,'🌱 Configuração'!$B$51+199&lt;'🌱 Configuração'!$D$51,INT(('🌱 Configuração'!$B$51+199-'🌱 Configuração'!$C$51)/7)+1=6,MOD('🌱 Configuração'!$B$51+199-'🌱 Configuração'!$C$51,7)=0),"🐛 Nim 2mL/L — ÚLTIMA foliar",IF(AND('🌱 Configuração'!$B$51+199&gt;='🌱 Configuração'!$D$51,'🌱 Configuração'!$B$51+199&lt;'🌱 Configuração'!$E$51,INT(('🌱 Configuração'!$B$51+199-'🌱 Configuração'!$D$51)/7)+1=1,MOD('🌱 Configuração'!$B$51+199-'🌱 Configuração'!$D$51,7)=0),"🐛 Beauveria bassiana solo (sem foliar)",IF(AND('🌱 Configuração'!$B$51+199&gt;='🌱 Configuração'!$D$51,'🌱 Configuração'!$B$51+199&lt;'🌱 Configuração'!$E$51,INT(('🌱 Configuração'!$B$51+199-'🌱 Configuração'!$D$51)/7)+1=2,MOD('🌱 Configuração'!$B$51+199-'🌱 Configuração'!$D$51,7)=0),"🐛 Trichoderma solo",IF(AND('🌱 Configuração'!$B$51+199&gt;='🌱 Configuração'!$D$51,'🌱 Configuração'!$B$51+199&lt;'🌱 Configuração'!$E$51,INT(('🌱 Configuração'!$B$51+199-'🌱 Configuração'!$D$51)/7)+1=3,MOD('🌱 Configuração'!$B$51+199-'🌱 Configuração'!$D$51,7)=0),"🐛 Beauveria bassiana solo",IF(AND('🌱 Configuração'!$B$51+199&gt;='🌱 Configuração'!$D$51,'🌱 Configuração'!$B$51+199&lt;'🌱 Configuração'!$E$51,INT(('🌱 Configuração'!$B$51+199-'🌱 Configuração'!$D$51)/7)+1=4,MOD('🌱 Configuração'!$B$51+199-'🌱 Configuração'!$D$51,7)=0),"🐛 Trichoderma solo",IF(AND('🌱 Configuração'!$B$51+199&gt;='🌱 Configuração'!$E$51,INT(('🌱 Configuração'!$B$51+199-'🌱 Configuração'!$E$51)/7)+1=1,MOD('🌱 Configuração'!$B$51+199-'🌱 Configuração'!$E$51,7)=0),"🐛 Inspeção final — sem aplicação",""))))))))))))))</f>
        <v/>
      </c>
      <c r="H205" s="22" t="str">
        <f>IF(200&gt;'🌱 Configuração'!$F$50,"",IF('🌱 Configuração'!$B$51+199='🌱 Configuração'!$C$51,"🌿 INÍCIO VEGA — ajustar espaço, luz 18h/dia — EC 0.8",IF('🌱 Configuração'!$B$51+199='🌱 Configuração'!$D$51,"🌸 INÍCIO FLORAÇÃO — mudar para 12h/12h — 🔴 atenção ao fotoperíodo",IF('🌱 Configuração'!$B$51+199='🌱 Configuração'!$E$51,"🚿 INÍCIO FLUSH — PARAR nutrição, somente água pura",IF('🌱 Configuração'!$B$51+199='🌱 Configuração'!$F$51-1,"🔬 Véspera da colheita — analisar tricomas âmbar",IF('🌱 Configuração'!$B$51+199='🌱 Configuração'!$F$51,"✂️ COLHEITA! Parabéns! 🎉",""))))))</f>
        <v/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2B788"/>
  </sheetPr>
  <dimension ref="B2:J4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18" customWidth="1"/>
    <col min="4" max="4" width="20" customWidth="1"/>
    <col min="5" max="5" width="16" customWidth="1"/>
    <col min="6" max="7" width="14" customWidth="1"/>
    <col min="8" max="8" width="16" customWidth="1"/>
    <col min="9" max="9" width="18" customWidth="1"/>
    <col min="10" max="10" width="3" customWidth="1"/>
  </cols>
  <sheetData>
    <row r="2" spans="2:10" ht="45" customHeight="1" x14ac:dyDescent="0.3">
      <c r="B2" s="87" t="s">
        <v>67</v>
      </c>
      <c r="C2" s="87"/>
      <c r="D2" s="87"/>
      <c r="E2" s="87"/>
      <c r="F2" s="87"/>
      <c r="G2" s="87"/>
      <c r="H2" s="87"/>
      <c r="I2" s="87"/>
    </row>
    <row r="3" spans="2:10" ht="18" customHeight="1" x14ac:dyDescent="0.3">
      <c r="B3" s="88" t="s">
        <v>68</v>
      </c>
      <c r="C3" s="88"/>
      <c r="D3" s="88"/>
      <c r="E3" s="88"/>
      <c r="F3" s="88"/>
      <c r="G3" s="88"/>
      <c r="H3" s="88"/>
      <c r="I3" s="88"/>
    </row>
    <row r="5" spans="2:10" ht="27.75" customHeight="1" x14ac:dyDescent="0.3">
      <c r="B5" s="89" t="s">
        <v>39</v>
      </c>
      <c r="C5" s="89"/>
      <c r="D5" s="89"/>
      <c r="E5" s="89"/>
      <c r="F5" s="89"/>
      <c r="G5" s="89"/>
      <c r="H5" s="89"/>
      <c r="I5" s="89"/>
    </row>
    <row r="6" spans="2:10" ht="24" customHeight="1" x14ac:dyDescent="0.3">
      <c r="B6" s="25" t="s">
        <v>63</v>
      </c>
      <c r="C6" s="25" t="s">
        <v>69</v>
      </c>
      <c r="D6" s="25" t="s">
        <v>70</v>
      </c>
      <c r="E6" s="25" t="s">
        <v>71</v>
      </c>
      <c r="F6" s="25" t="s">
        <v>72</v>
      </c>
      <c r="G6" s="25" t="s">
        <v>73</v>
      </c>
      <c r="H6" s="25" t="s">
        <v>74</v>
      </c>
      <c r="I6" s="25" t="s">
        <v>75</v>
      </c>
      <c r="J6" s="25" t="s">
        <v>76</v>
      </c>
    </row>
    <row r="7" spans="2:10" ht="21.75" customHeight="1" x14ac:dyDescent="0.3">
      <c r="B7" s="27" t="s">
        <v>77</v>
      </c>
      <c r="C7" s="31">
        <f>IF('🌱 Configuração'!$B$51="","",IF(1&lt;='🌱 Configuração'!$H$6,'🌱 Configuração'!$B$51+0,"—"))</f>
        <v>46023</v>
      </c>
      <c r="D7" s="32" t="s">
        <v>78</v>
      </c>
      <c r="E7" s="33" t="s">
        <v>79</v>
      </c>
      <c r="F7" s="33" t="s">
        <v>80</v>
      </c>
      <c r="G7" s="33" t="s">
        <v>80</v>
      </c>
      <c r="H7" s="34" t="s">
        <v>81</v>
      </c>
      <c r="I7" s="35" t="s">
        <v>82</v>
      </c>
      <c r="J7" s="32" t="s">
        <v>83</v>
      </c>
    </row>
    <row r="8" spans="2:10" ht="21.75" customHeight="1" x14ac:dyDescent="0.3">
      <c r="B8" s="27" t="s">
        <v>84</v>
      </c>
      <c r="C8" s="36">
        <f>IF('🌱 Configuração'!$B$51="","",IF(2&lt;='🌱 Configuração'!$H$6,'🌱 Configuração'!$B$51+7,"—"))</f>
        <v>46030</v>
      </c>
      <c r="D8" s="37" t="s">
        <v>78</v>
      </c>
      <c r="E8" s="38" t="s">
        <v>79</v>
      </c>
      <c r="F8" s="38" t="s">
        <v>80</v>
      </c>
      <c r="G8" s="38" t="s">
        <v>85</v>
      </c>
      <c r="H8" s="39" t="s">
        <v>81</v>
      </c>
      <c r="I8" s="40" t="s">
        <v>86</v>
      </c>
      <c r="J8" s="37" t="s">
        <v>87</v>
      </c>
    </row>
    <row r="9" spans="2:10" ht="21.75" customHeight="1" x14ac:dyDescent="0.3">
      <c r="B9" s="27" t="s">
        <v>88</v>
      </c>
      <c r="C9" s="31" t="str">
        <f>IF('🌱 Configuração'!$B$51="","",IF(3&lt;='🌱 Configuração'!$H$6,'🌱 Configuração'!$B$51+14,"—"))</f>
        <v>—</v>
      </c>
      <c r="D9" s="32" t="s">
        <v>78</v>
      </c>
      <c r="E9" s="33" t="s">
        <v>79</v>
      </c>
      <c r="F9" s="33" t="s">
        <v>80</v>
      </c>
      <c r="G9" s="33" t="s">
        <v>80</v>
      </c>
      <c r="H9" s="34" t="s">
        <v>89</v>
      </c>
      <c r="I9" s="35" t="s">
        <v>86</v>
      </c>
      <c r="J9" s="32" t="s">
        <v>90</v>
      </c>
    </row>
    <row r="10" spans="2:10" ht="21.75" customHeight="1" x14ac:dyDescent="0.3">
      <c r="B10" s="27" t="s">
        <v>91</v>
      </c>
      <c r="C10" s="36" t="str">
        <f>IF('🌱 Configuração'!$B$51="","",IF(4&lt;='🌱 Configuração'!$H$6,'🌱 Configuração'!$B$51+21,"—"))</f>
        <v>—</v>
      </c>
      <c r="D10" s="37" t="s">
        <v>92</v>
      </c>
      <c r="E10" s="38" t="s">
        <v>79</v>
      </c>
      <c r="F10" s="38" t="s">
        <v>72</v>
      </c>
      <c r="G10" s="38" t="s">
        <v>80</v>
      </c>
      <c r="H10" s="39" t="s">
        <v>89</v>
      </c>
      <c r="I10" s="40" t="s">
        <v>93</v>
      </c>
      <c r="J10" s="37" t="s">
        <v>94</v>
      </c>
    </row>
    <row r="12" spans="2:10" ht="27.75" customHeight="1" x14ac:dyDescent="0.3">
      <c r="B12" s="90" t="s">
        <v>40</v>
      </c>
      <c r="C12" s="90"/>
      <c r="D12" s="90"/>
      <c r="E12" s="90"/>
      <c r="F12" s="90"/>
      <c r="G12" s="90"/>
      <c r="H12" s="90"/>
      <c r="I12" s="90"/>
    </row>
    <row r="13" spans="2:10" ht="24" customHeight="1" x14ac:dyDescent="0.3">
      <c r="B13" s="25" t="s">
        <v>63</v>
      </c>
      <c r="C13" s="25" t="s">
        <v>69</v>
      </c>
      <c r="D13" s="25" t="s">
        <v>70</v>
      </c>
      <c r="E13" s="25" t="s">
        <v>71</v>
      </c>
      <c r="F13" s="25" t="s">
        <v>72</v>
      </c>
      <c r="G13" s="25" t="s">
        <v>73</v>
      </c>
      <c r="H13" s="25" t="s">
        <v>74</v>
      </c>
      <c r="I13" s="25" t="s">
        <v>75</v>
      </c>
      <c r="J13" s="25" t="s">
        <v>76</v>
      </c>
    </row>
    <row r="14" spans="2:10" ht="21.75" customHeight="1" x14ac:dyDescent="0.3">
      <c r="B14" s="41" t="s">
        <v>77</v>
      </c>
      <c r="C14" s="42">
        <f>IF('🌱 Configuração'!$C$51="","",IF(1&lt;='🌱 Configuração'!$H$7,'🌱 Configuração'!$C$51+0,"—"))</f>
        <v>46037</v>
      </c>
      <c r="D14" s="43" t="s">
        <v>95</v>
      </c>
      <c r="E14" s="44" t="s">
        <v>96</v>
      </c>
      <c r="F14" s="44" t="s">
        <v>97</v>
      </c>
      <c r="G14" s="44" t="s">
        <v>80</v>
      </c>
      <c r="H14" s="45" t="s">
        <v>89</v>
      </c>
      <c r="I14" s="41" t="s">
        <v>98</v>
      </c>
      <c r="J14" s="43" t="s">
        <v>99</v>
      </c>
    </row>
    <row r="15" spans="2:10" ht="21.75" customHeight="1" x14ac:dyDescent="0.3">
      <c r="B15" s="41" t="s">
        <v>84</v>
      </c>
      <c r="C15" s="31">
        <f>IF('🌱 Configuração'!$C$51="","",IF(2&lt;='🌱 Configuração'!$H$7,'🌱 Configuração'!$C$51+7,"—"))</f>
        <v>46044</v>
      </c>
      <c r="D15" s="32" t="s">
        <v>95</v>
      </c>
      <c r="E15" s="33" t="s">
        <v>100</v>
      </c>
      <c r="F15" s="33" t="s">
        <v>101</v>
      </c>
      <c r="G15" s="33" t="s">
        <v>80</v>
      </c>
      <c r="H15" s="34" t="s">
        <v>102</v>
      </c>
      <c r="I15" s="35" t="s">
        <v>103</v>
      </c>
      <c r="J15" s="32" t="s">
        <v>104</v>
      </c>
    </row>
    <row r="16" spans="2:10" ht="21.75" customHeight="1" x14ac:dyDescent="0.3">
      <c r="B16" s="41" t="s">
        <v>88</v>
      </c>
      <c r="C16" s="42">
        <f>IF('🌱 Configuração'!$C$51="","",IF(3&lt;='🌱 Configuração'!$H$7,'🌱 Configuração'!$C$51+14,"—"))</f>
        <v>46051</v>
      </c>
      <c r="D16" s="43" t="s">
        <v>95</v>
      </c>
      <c r="E16" s="44" t="s">
        <v>105</v>
      </c>
      <c r="F16" s="44" t="s">
        <v>101</v>
      </c>
      <c r="G16" s="44" t="s">
        <v>80</v>
      </c>
      <c r="H16" s="45" t="s">
        <v>102</v>
      </c>
      <c r="I16" s="41" t="s">
        <v>15</v>
      </c>
      <c r="J16" s="43" t="s">
        <v>106</v>
      </c>
    </row>
    <row r="17" spans="2:10" ht="21.75" customHeight="1" x14ac:dyDescent="0.3">
      <c r="B17" s="41" t="s">
        <v>91</v>
      </c>
      <c r="C17" s="31">
        <f>IF('🌱 Configuração'!$C$51="","",IF(4&lt;='🌱 Configuração'!$H$7,'🌱 Configuração'!$C$51+21,"—"))</f>
        <v>46058</v>
      </c>
      <c r="D17" s="32" t="s">
        <v>95</v>
      </c>
      <c r="E17" s="33" t="s">
        <v>105</v>
      </c>
      <c r="F17" s="33" t="s">
        <v>101</v>
      </c>
      <c r="G17" s="33" t="s">
        <v>107</v>
      </c>
      <c r="H17" s="34" t="s">
        <v>108</v>
      </c>
      <c r="I17" s="35" t="s">
        <v>109</v>
      </c>
      <c r="J17" s="32" t="s">
        <v>110</v>
      </c>
    </row>
    <row r="18" spans="2:10" ht="21.75" customHeight="1" x14ac:dyDescent="0.3">
      <c r="B18" s="41" t="s">
        <v>111</v>
      </c>
      <c r="C18" s="42">
        <f>IF('🌱 Configuração'!$C$51="","",IF(5&lt;='🌱 Configuração'!$H$7,'🌱 Configuração'!$C$51+28,"—"))</f>
        <v>46065</v>
      </c>
      <c r="D18" s="43" t="s">
        <v>95</v>
      </c>
      <c r="E18" s="44" t="s">
        <v>105</v>
      </c>
      <c r="F18" s="44" t="s">
        <v>112</v>
      </c>
      <c r="G18" s="44" t="s">
        <v>113</v>
      </c>
      <c r="H18" s="45" t="s">
        <v>108</v>
      </c>
      <c r="I18" s="41" t="s">
        <v>114</v>
      </c>
      <c r="J18" s="43" t="s">
        <v>115</v>
      </c>
    </row>
    <row r="19" spans="2:10" ht="21.75" customHeight="1" x14ac:dyDescent="0.3">
      <c r="B19" s="41" t="s">
        <v>116</v>
      </c>
      <c r="C19" s="31">
        <f>IF('🌱 Configuração'!$C$51="","",IF(6&lt;='🌱 Configuração'!$H$7,'🌱 Configuração'!$C$51+35,"—"))</f>
        <v>46072</v>
      </c>
      <c r="D19" s="32" t="s">
        <v>95</v>
      </c>
      <c r="E19" s="33" t="s">
        <v>105</v>
      </c>
      <c r="F19" s="33" t="s">
        <v>112</v>
      </c>
      <c r="G19" s="33" t="s">
        <v>80</v>
      </c>
      <c r="H19" s="34" t="s">
        <v>108</v>
      </c>
      <c r="I19" s="35" t="s">
        <v>114</v>
      </c>
      <c r="J19" s="32" t="s">
        <v>117</v>
      </c>
    </row>
    <row r="20" spans="2:10" ht="21.75" customHeight="1" x14ac:dyDescent="0.3">
      <c r="B20" s="41" t="s">
        <v>118</v>
      </c>
      <c r="C20" s="42" t="str">
        <f>IF('🌱 Configuração'!$C$51="","",IF(7&lt;='🌱 Configuração'!$H$7,'🌱 Configuração'!$C$51+42,"—"))</f>
        <v>—</v>
      </c>
      <c r="D20" s="43" t="s">
        <v>119</v>
      </c>
      <c r="E20" s="44" t="s">
        <v>96</v>
      </c>
      <c r="F20" s="44" t="s">
        <v>101</v>
      </c>
      <c r="G20" s="44" t="s">
        <v>120</v>
      </c>
      <c r="H20" s="45" t="s">
        <v>89</v>
      </c>
      <c r="I20" s="41" t="s">
        <v>109</v>
      </c>
      <c r="J20" s="43" t="s">
        <v>121</v>
      </c>
    </row>
    <row r="21" spans="2:10" ht="21.75" customHeight="1" x14ac:dyDescent="0.3">
      <c r="B21" s="41" t="s">
        <v>122</v>
      </c>
      <c r="C21" s="31" t="str">
        <f>IF('🌱 Configuração'!$C$51="","",IF(8&lt;='🌱 Configuração'!$H$7,'🌱 Configuração'!$C$51+49,"—"))</f>
        <v>—</v>
      </c>
      <c r="D21" s="32" t="s">
        <v>119</v>
      </c>
      <c r="E21" s="33" t="s">
        <v>100</v>
      </c>
      <c r="F21" s="33" t="s">
        <v>101</v>
      </c>
      <c r="G21" s="33" t="s">
        <v>120</v>
      </c>
      <c r="H21" s="34" t="s">
        <v>89</v>
      </c>
      <c r="I21" s="35" t="s">
        <v>109</v>
      </c>
      <c r="J21" s="32" t="s">
        <v>123</v>
      </c>
    </row>
    <row r="23" spans="2:10" ht="27.75" customHeight="1" x14ac:dyDescent="0.3">
      <c r="B23" s="91" t="s">
        <v>41</v>
      </c>
      <c r="C23" s="91"/>
      <c r="D23" s="91"/>
      <c r="E23" s="91"/>
      <c r="F23" s="91"/>
      <c r="G23" s="91"/>
      <c r="H23" s="91"/>
      <c r="I23" s="91"/>
    </row>
    <row r="24" spans="2:10" ht="24" customHeight="1" x14ac:dyDescent="0.3">
      <c r="B24" s="25" t="s">
        <v>63</v>
      </c>
      <c r="C24" s="25" t="s">
        <v>69</v>
      </c>
      <c r="D24" s="25" t="s">
        <v>70</v>
      </c>
      <c r="E24" s="25" t="s">
        <v>71</v>
      </c>
      <c r="F24" s="25" t="s">
        <v>72</v>
      </c>
      <c r="G24" s="25" t="s">
        <v>73</v>
      </c>
      <c r="H24" s="25" t="s">
        <v>74</v>
      </c>
      <c r="I24" s="25" t="s">
        <v>75</v>
      </c>
      <c r="J24" s="25" t="s">
        <v>76</v>
      </c>
    </row>
    <row r="25" spans="2:10" ht="21.75" customHeight="1" x14ac:dyDescent="0.3">
      <c r="B25" s="46" t="s">
        <v>77</v>
      </c>
      <c r="C25" s="31">
        <f>IF('🌱 Configuração'!$D$51="","",IF(1&lt;='🌱 Configuração'!$H$8,'🌱 Configuração'!$D$51+0,"—"))</f>
        <v>46079</v>
      </c>
      <c r="D25" s="32" t="s">
        <v>119</v>
      </c>
      <c r="E25" s="33" t="s">
        <v>105</v>
      </c>
      <c r="F25" s="33" t="s">
        <v>101</v>
      </c>
      <c r="G25" s="33" t="s">
        <v>80</v>
      </c>
      <c r="H25" s="34" t="s">
        <v>89</v>
      </c>
      <c r="I25" s="35" t="s">
        <v>124</v>
      </c>
      <c r="J25" s="32" t="s">
        <v>125</v>
      </c>
    </row>
    <row r="26" spans="2:10" ht="21.75" customHeight="1" x14ac:dyDescent="0.3">
      <c r="B26" s="46" t="s">
        <v>84</v>
      </c>
      <c r="C26" s="47">
        <f>IF('🌱 Configuração'!$D$51="","",IF(2&lt;='🌱 Configuração'!$H$8,'🌱 Configuração'!$D$51+7,"—"))</f>
        <v>46086</v>
      </c>
      <c r="D26" s="48" t="s">
        <v>119</v>
      </c>
      <c r="E26" s="49" t="s">
        <v>105</v>
      </c>
      <c r="F26" s="49" t="s">
        <v>101</v>
      </c>
      <c r="G26" s="49" t="s">
        <v>120</v>
      </c>
      <c r="H26" s="50" t="s">
        <v>89</v>
      </c>
      <c r="I26" s="51" t="s">
        <v>126</v>
      </c>
      <c r="J26" s="48" t="s">
        <v>127</v>
      </c>
    </row>
    <row r="27" spans="2:10" ht="21.75" customHeight="1" x14ac:dyDescent="0.3">
      <c r="B27" s="46" t="s">
        <v>88</v>
      </c>
      <c r="C27" s="31">
        <f>IF('🌱 Configuração'!$D$51="","",IF(3&lt;='🌱 Configuração'!$H$8,'🌱 Configuração'!$D$51+14,"—"))</f>
        <v>46093</v>
      </c>
      <c r="D27" s="32" t="s">
        <v>119</v>
      </c>
      <c r="E27" s="33" t="s">
        <v>128</v>
      </c>
      <c r="F27" s="33" t="s">
        <v>101</v>
      </c>
      <c r="G27" s="33" t="s">
        <v>129</v>
      </c>
      <c r="H27" s="34" t="s">
        <v>102</v>
      </c>
      <c r="I27" s="35" t="s">
        <v>130</v>
      </c>
      <c r="J27" s="32" t="s">
        <v>131</v>
      </c>
    </row>
    <row r="28" spans="2:10" ht="21.75" customHeight="1" x14ac:dyDescent="0.3">
      <c r="B28" s="46" t="s">
        <v>91</v>
      </c>
      <c r="C28" s="47">
        <f>IF('🌱 Configuração'!$D$51="","",IF(4&lt;='🌱 Configuração'!$H$8,'🌱 Configuração'!$D$51+21,"—"))</f>
        <v>46100</v>
      </c>
      <c r="D28" s="48" t="s">
        <v>119</v>
      </c>
      <c r="E28" s="49" t="s">
        <v>128</v>
      </c>
      <c r="F28" s="49" t="s">
        <v>101</v>
      </c>
      <c r="G28" s="49" t="s">
        <v>132</v>
      </c>
      <c r="H28" s="50" t="s">
        <v>102</v>
      </c>
      <c r="I28" s="51" t="s">
        <v>133</v>
      </c>
      <c r="J28" s="48" t="s">
        <v>134</v>
      </c>
    </row>
    <row r="29" spans="2:10" ht="21.75" customHeight="1" x14ac:dyDescent="0.3">
      <c r="B29" s="46" t="s">
        <v>111</v>
      </c>
      <c r="C29" s="31">
        <f>IF('🌱 Configuração'!$D$51="","",IF(5&lt;='🌱 Configuração'!$H$8,'🌱 Configuração'!$D$51+28,"—"))</f>
        <v>46107</v>
      </c>
      <c r="D29" s="32" t="s">
        <v>119</v>
      </c>
      <c r="E29" s="33" t="s">
        <v>128</v>
      </c>
      <c r="F29" s="33" t="s">
        <v>101</v>
      </c>
      <c r="G29" s="33" t="s">
        <v>129</v>
      </c>
      <c r="H29" s="34" t="s">
        <v>102</v>
      </c>
      <c r="I29" s="35" t="s">
        <v>135</v>
      </c>
      <c r="J29" s="32" t="s">
        <v>136</v>
      </c>
    </row>
    <row r="30" spans="2:10" ht="21.75" customHeight="1" x14ac:dyDescent="0.3">
      <c r="B30" s="46" t="s">
        <v>116</v>
      </c>
      <c r="C30" s="47">
        <f>IF('🌱 Configuração'!$D$51="","",IF(6&lt;='🌱 Configuração'!$H$8,'🌱 Configuração'!$D$51+35,"—"))</f>
        <v>46114</v>
      </c>
      <c r="D30" s="48" t="s">
        <v>119</v>
      </c>
      <c r="E30" s="49" t="s">
        <v>105</v>
      </c>
      <c r="F30" s="49" t="s">
        <v>97</v>
      </c>
      <c r="G30" s="49" t="s">
        <v>137</v>
      </c>
      <c r="H30" s="50" t="s">
        <v>89</v>
      </c>
      <c r="I30" s="51" t="s">
        <v>130</v>
      </c>
      <c r="J30" s="48" t="s">
        <v>138</v>
      </c>
    </row>
    <row r="31" spans="2:10" ht="21.75" customHeight="1" x14ac:dyDescent="0.3">
      <c r="B31" s="46" t="s">
        <v>118</v>
      </c>
      <c r="C31" s="31">
        <f>IF('🌱 Configuração'!$D$51="","",IF(7&lt;='🌱 Configuração'!$H$8,'🌱 Configuração'!$D$51+42,"—"))</f>
        <v>46121</v>
      </c>
      <c r="D31" s="32" t="s">
        <v>119</v>
      </c>
      <c r="E31" s="33" t="s">
        <v>105</v>
      </c>
      <c r="F31" s="33" t="s">
        <v>80</v>
      </c>
      <c r="G31" s="33" t="s">
        <v>139</v>
      </c>
      <c r="H31" s="34" t="s">
        <v>89</v>
      </c>
      <c r="I31" s="35" t="s">
        <v>124</v>
      </c>
      <c r="J31" s="32" t="s">
        <v>140</v>
      </c>
    </row>
    <row r="32" spans="2:10" ht="21.75" customHeight="1" x14ac:dyDescent="0.3">
      <c r="B32" s="46" t="s">
        <v>122</v>
      </c>
      <c r="C32" s="47">
        <f>IF('🌱 Configuração'!$D$51="","",IF(8&lt;='🌱 Configuração'!$H$8,'🌱 Configuração'!$D$51+49,"—"))</f>
        <v>46128</v>
      </c>
      <c r="D32" s="48" t="s">
        <v>119</v>
      </c>
      <c r="E32" s="49" t="s">
        <v>100</v>
      </c>
      <c r="F32" s="49" t="s">
        <v>80</v>
      </c>
      <c r="G32" s="49" t="s">
        <v>107</v>
      </c>
      <c r="H32" s="50" t="s">
        <v>89</v>
      </c>
      <c r="I32" s="51" t="s">
        <v>109</v>
      </c>
      <c r="J32" s="48" t="s">
        <v>141</v>
      </c>
    </row>
    <row r="33" spans="2:10" ht="21.75" customHeight="1" x14ac:dyDescent="0.3">
      <c r="B33" s="46" t="s">
        <v>142</v>
      </c>
      <c r="C33" s="31">
        <f>IF('🌱 Configuração'!$D$51="","",IF(9&lt;='🌱 Configuração'!$H$8,'🌱 Configuração'!$D$51+56,"—"))</f>
        <v>46135</v>
      </c>
      <c r="D33" s="32" t="s">
        <v>119</v>
      </c>
      <c r="E33" s="33" t="s">
        <v>96</v>
      </c>
      <c r="F33" s="33" t="s">
        <v>80</v>
      </c>
      <c r="G33" s="33" t="s">
        <v>80</v>
      </c>
      <c r="H33" s="34" t="s">
        <v>89</v>
      </c>
      <c r="I33" s="35" t="s">
        <v>98</v>
      </c>
      <c r="J33" s="32" t="s">
        <v>143</v>
      </c>
    </row>
    <row r="34" spans="2:10" ht="21.75" customHeight="1" x14ac:dyDescent="0.3">
      <c r="B34" s="46" t="s">
        <v>144</v>
      </c>
      <c r="C34" s="47" t="str">
        <f>IF('🌱 Configuração'!$D$51="","",IF(10&lt;='🌱 Configuração'!$H$8,'🌱 Configuração'!$D$51+63,"—"))</f>
        <v>—</v>
      </c>
      <c r="D34" s="48" t="s">
        <v>119</v>
      </c>
      <c r="E34" s="49" t="s">
        <v>96</v>
      </c>
      <c r="F34" s="49" t="s">
        <v>80</v>
      </c>
      <c r="G34" s="49" t="s">
        <v>80</v>
      </c>
      <c r="H34" s="50" t="s">
        <v>89</v>
      </c>
      <c r="I34" s="51" t="s">
        <v>98</v>
      </c>
      <c r="J34" s="48" t="s">
        <v>145</v>
      </c>
    </row>
    <row r="35" spans="2:10" ht="21.75" customHeight="1" x14ac:dyDescent="0.3">
      <c r="B35" s="46" t="s">
        <v>146</v>
      </c>
      <c r="C35" s="31" t="str">
        <f>IF('🌱 Configuração'!$D$51="","",IF(11&lt;='🌱 Configuração'!$H$8,'🌱 Configuração'!$D$51+70,"—"))</f>
        <v>—</v>
      </c>
      <c r="D35" s="32" t="s">
        <v>119</v>
      </c>
      <c r="E35" s="33" t="s">
        <v>96</v>
      </c>
      <c r="F35" s="33" t="s">
        <v>80</v>
      </c>
      <c r="G35" s="33" t="s">
        <v>80</v>
      </c>
      <c r="H35" s="34" t="s">
        <v>89</v>
      </c>
      <c r="I35" s="35" t="s">
        <v>98</v>
      </c>
      <c r="J35" s="32" t="s">
        <v>147</v>
      </c>
    </row>
    <row r="36" spans="2:10" ht="21.75" customHeight="1" x14ac:dyDescent="0.3">
      <c r="B36" s="46" t="s">
        <v>148</v>
      </c>
      <c r="C36" s="47" t="str">
        <f>IF('🌱 Configuração'!$D$51="","",IF(12&lt;='🌱 Configuração'!$H$8,'🌱 Configuração'!$D$51+77,"—"))</f>
        <v>—</v>
      </c>
      <c r="D36" s="48" t="s">
        <v>119</v>
      </c>
      <c r="E36" s="49" t="s">
        <v>96</v>
      </c>
      <c r="F36" s="49" t="s">
        <v>80</v>
      </c>
      <c r="G36" s="49" t="s">
        <v>80</v>
      </c>
      <c r="H36" s="50" t="s">
        <v>89</v>
      </c>
      <c r="I36" s="51" t="s">
        <v>98</v>
      </c>
      <c r="J36" s="48" t="s">
        <v>147</v>
      </c>
    </row>
    <row r="38" spans="2:10" ht="27.75" customHeight="1" x14ac:dyDescent="0.3">
      <c r="B38" s="92" t="s">
        <v>42</v>
      </c>
      <c r="C38" s="92"/>
      <c r="D38" s="92"/>
      <c r="E38" s="92"/>
      <c r="F38" s="92"/>
      <c r="G38" s="92"/>
      <c r="H38" s="92"/>
      <c r="I38" s="92"/>
    </row>
    <row r="39" spans="2:10" ht="24" customHeight="1" x14ac:dyDescent="0.3">
      <c r="B39" s="25" t="s">
        <v>63</v>
      </c>
      <c r="C39" s="25" t="s">
        <v>69</v>
      </c>
      <c r="D39" s="25" t="s">
        <v>70</v>
      </c>
      <c r="E39" s="25" t="s">
        <v>71</v>
      </c>
      <c r="F39" s="25" t="s">
        <v>72</v>
      </c>
      <c r="G39" s="25" t="s">
        <v>73</v>
      </c>
      <c r="H39" s="25" t="s">
        <v>74</v>
      </c>
      <c r="I39" s="25" t="s">
        <v>75</v>
      </c>
      <c r="J39" s="25" t="s">
        <v>76</v>
      </c>
    </row>
    <row r="40" spans="2:10" ht="21.75" customHeight="1" x14ac:dyDescent="0.3">
      <c r="B40" s="52" t="s">
        <v>77</v>
      </c>
      <c r="C40" s="53">
        <f>IF('🌱 Configuração'!$E$51="","",IF(1&lt;='🌱 Configuração'!$H$9,'🌱 Configuração'!$E$51+0,"—"))</f>
        <v>46142</v>
      </c>
      <c r="D40" s="54" t="s">
        <v>149</v>
      </c>
      <c r="E40" s="55" t="s">
        <v>80</v>
      </c>
      <c r="F40" s="55" t="s">
        <v>80</v>
      </c>
      <c r="G40" s="55" t="s">
        <v>150</v>
      </c>
      <c r="H40" s="56" t="s">
        <v>89</v>
      </c>
      <c r="I40" s="57" t="s">
        <v>151</v>
      </c>
      <c r="J40" s="54" t="s">
        <v>152</v>
      </c>
    </row>
    <row r="41" spans="2:10" ht="21.75" customHeight="1" x14ac:dyDescent="0.3">
      <c r="B41" s="52" t="s">
        <v>84</v>
      </c>
      <c r="C41" s="31" t="str">
        <f>IF('🌱 Configuração'!$E$51="","",IF(2&lt;='🌱 Configuração'!$H$9,'🌱 Configuração'!$E$51+7,"—"))</f>
        <v>—</v>
      </c>
      <c r="D41" s="32" t="s">
        <v>149</v>
      </c>
      <c r="E41" s="33" t="s">
        <v>80</v>
      </c>
      <c r="F41" s="33" t="s">
        <v>80</v>
      </c>
      <c r="G41" s="33" t="s">
        <v>80</v>
      </c>
      <c r="H41" s="34" t="s">
        <v>89</v>
      </c>
      <c r="I41" s="35" t="s">
        <v>153</v>
      </c>
      <c r="J41" s="32" t="s">
        <v>154</v>
      </c>
    </row>
  </sheetData>
  <mergeCells count="6">
    <mergeCell ref="B38:I38"/>
    <mergeCell ref="B2:I2"/>
    <mergeCell ref="B3:I3"/>
    <mergeCell ref="B5:I5"/>
    <mergeCell ref="B12:I12"/>
    <mergeCell ref="B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3946"/>
  </sheetPr>
  <dimension ref="B2:G42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16" customWidth="1"/>
    <col min="4" max="4" width="22" customWidth="1"/>
    <col min="5" max="5" width="18" customWidth="1"/>
    <col min="6" max="6" width="20" customWidth="1"/>
    <col min="7" max="7" width="18" customWidth="1"/>
    <col min="8" max="8" width="3" customWidth="1"/>
  </cols>
  <sheetData>
    <row r="2" spans="2:7" ht="45" customHeight="1" x14ac:dyDescent="0.3">
      <c r="B2" s="87" t="s">
        <v>155</v>
      </c>
      <c r="C2" s="87"/>
      <c r="D2" s="87"/>
      <c r="E2" s="87"/>
      <c r="F2" s="87"/>
      <c r="G2" s="87"/>
    </row>
    <row r="3" spans="2:7" ht="18" customHeight="1" x14ac:dyDescent="0.3">
      <c r="B3" s="93" t="s">
        <v>156</v>
      </c>
      <c r="C3" s="93"/>
      <c r="D3" s="93"/>
      <c r="E3" s="93"/>
      <c r="F3" s="93"/>
      <c r="G3" s="93"/>
    </row>
    <row r="5" spans="2:7" ht="15" customHeight="1" x14ac:dyDescent="0.3">
      <c r="B5" s="10" t="s">
        <v>157</v>
      </c>
      <c r="C5" s="10"/>
      <c r="D5" s="10"/>
      <c r="E5" s="10"/>
      <c r="F5" s="10"/>
      <c r="G5" s="10"/>
    </row>
    <row r="6" spans="2:7" ht="21.75" customHeight="1" x14ac:dyDescent="0.3">
      <c r="B6" s="25" t="s">
        <v>158</v>
      </c>
      <c r="C6" s="25" t="s">
        <v>71</v>
      </c>
      <c r="D6" s="25" t="s">
        <v>159</v>
      </c>
      <c r="E6" s="25" t="s">
        <v>160</v>
      </c>
      <c r="F6" s="25" t="s">
        <v>161</v>
      </c>
      <c r="G6" s="25" t="s">
        <v>76</v>
      </c>
    </row>
    <row r="7" spans="2:7" ht="27.75" customHeight="1" x14ac:dyDescent="0.3">
      <c r="B7" s="58" t="s">
        <v>162</v>
      </c>
      <c r="C7" s="22" t="s">
        <v>163</v>
      </c>
      <c r="D7" s="22" t="s">
        <v>164</v>
      </c>
      <c r="E7" s="22" t="s">
        <v>165</v>
      </c>
      <c r="F7" s="22" t="s">
        <v>166</v>
      </c>
      <c r="G7" s="22" t="s">
        <v>167</v>
      </c>
    </row>
    <row r="8" spans="2:7" ht="27.75" customHeight="1" x14ac:dyDescent="0.3">
      <c r="B8" s="59" t="s">
        <v>168</v>
      </c>
      <c r="C8" s="32" t="s">
        <v>169</v>
      </c>
      <c r="D8" s="32" t="s">
        <v>170</v>
      </c>
      <c r="E8" s="32" t="s">
        <v>171</v>
      </c>
      <c r="F8" s="32" t="s">
        <v>172</v>
      </c>
      <c r="G8" s="32" t="s">
        <v>173</v>
      </c>
    </row>
    <row r="9" spans="2:7" ht="27.75" customHeight="1" x14ac:dyDescent="0.3">
      <c r="B9" s="58" t="s">
        <v>174</v>
      </c>
      <c r="C9" s="22" t="s">
        <v>175</v>
      </c>
      <c r="D9" s="22" t="s">
        <v>176</v>
      </c>
      <c r="E9" s="22" t="s">
        <v>177</v>
      </c>
      <c r="F9" s="22" t="s">
        <v>178</v>
      </c>
      <c r="G9" s="22" t="s">
        <v>179</v>
      </c>
    </row>
    <row r="10" spans="2:7" ht="27.75" customHeight="1" x14ac:dyDescent="0.3">
      <c r="B10" s="59" t="s">
        <v>180</v>
      </c>
      <c r="C10" s="32" t="s">
        <v>105</v>
      </c>
      <c r="D10" s="32" t="s">
        <v>181</v>
      </c>
      <c r="E10" s="32" t="s">
        <v>182</v>
      </c>
      <c r="F10" s="32" t="s">
        <v>183</v>
      </c>
      <c r="G10" s="32" t="s">
        <v>184</v>
      </c>
    </row>
    <row r="11" spans="2:7" ht="27.75" customHeight="1" x14ac:dyDescent="0.3">
      <c r="B11" s="58" t="s">
        <v>185</v>
      </c>
      <c r="C11" s="22" t="s">
        <v>186</v>
      </c>
      <c r="D11" s="22" t="s">
        <v>181</v>
      </c>
      <c r="E11" s="22" t="s">
        <v>187</v>
      </c>
      <c r="F11" s="22" t="s">
        <v>188</v>
      </c>
      <c r="G11" s="22" t="s">
        <v>189</v>
      </c>
    </row>
    <row r="12" spans="2:7" ht="27.75" customHeight="1" x14ac:dyDescent="0.3">
      <c r="B12" s="59" t="s">
        <v>190</v>
      </c>
      <c r="C12" s="32" t="s">
        <v>191</v>
      </c>
      <c r="D12" s="32" t="s">
        <v>192</v>
      </c>
      <c r="E12" s="32" t="s">
        <v>193</v>
      </c>
      <c r="F12" s="32" t="s">
        <v>194</v>
      </c>
      <c r="G12" s="32" t="s">
        <v>195</v>
      </c>
    </row>
    <row r="13" spans="2:7" ht="27.75" customHeight="1" x14ac:dyDescent="0.3">
      <c r="B13" s="58" t="s">
        <v>196</v>
      </c>
      <c r="C13" s="22" t="s">
        <v>197</v>
      </c>
      <c r="D13" s="22" t="s">
        <v>198</v>
      </c>
      <c r="E13" s="22" t="s">
        <v>199</v>
      </c>
      <c r="F13" s="22" t="s">
        <v>200</v>
      </c>
      <c r="G13" s="22" t="s">
        <v>201</v>
      </c>
    </row>
    <row r="15" spans="2:7" ht="15" customHeight="1" x14ac:dyDescent="0.3">
      <c r="B15" s="12" t="s">
        <v>202</v>
      </c>
      <c r="C15" s="12"/>
      <c r="D15" s="12"/>
      <c r="E15" s="12"/>
      <c r="F15" s="12"/>
      <c r="G15" s="12"/>
    </row>
    <row r="16" spans="2:7" ht="21.75" customHeight="1" x14ac:dyDescent="0.3">
      <c r="B16" s="21" t="s">
        <v>63</v>
      </c>
      <c r="C16" s="21" t="s">
        <v>203</v>
      </c>
      <c r="D16" s="21" t="s">
        <v>34</v>
      </c>
      <c r="E16" s="21" t="s">
        <v>158</v>
      </c>
      <c r="F16" s="21" t="s">
        <v>204</v>
      </c>
      <c r="G16" s="21" t="s">
        <v>76</v>
      </c>
    </row>
    <row r="17" spans="2:7" ht="21.75" customHeight="1" x14ac:dyDescent="0.3">
      <c r="B17" s="27" t="s">
        <v>205</v>
      </c>
      <c r="C17" s="36">
        <f>IF('🌱 Configuração'!$B$51="","",'🌱 Configuração'!$B$51+0)</f>
        <v>46023</v>
      </c>
      <c r="D17" s="60" t="s">
        <v>206</v>
      </c>
      <c r="E17" s="61" t="s">
        <v>207</v>
      </c>
      <c r="F17" s="38" t="s">
        <v>208</v>
      </c>
      <c r="G17" s="37" t="s">
        <v>209</v>
      </c>
    </row>
    <row r="18" spans="2:7" ht="21.75" customHeight="1" x14ac:dyDescent="0.3">
      <c r="B18" s="27" t="s">
        <v>210</v>
      </c>
      <c r="C18" s="31">
        <f>IF('🌱 Configuração'!$B$51="","",'🌱 Configuração'!$B$51+7)</f>
        <v>46030</v>
      </c>
      <c r="D18" s="60" t="s">
        <v>206</v>
      </c>
      <c r="E18" s="59" t="s">
        <v>211</v>
      </c>
      <c r="F18" s="33" t="s">
        <v>212</v>
      </c>
      <c r="G18" s="32" t="s">
        <v>213</v>
      </c>
    </row>
    <row r="19" spans="2:7" ht="21.75" customHeight="1" x14ac:dyDescent="0.3">
      <c r="B19" s="41" t="s">
        <v>214</v>
      </c>
      <c r="C19" s="42">
        <f>IF('🌱 Configuração'!$C$51="","",'🌱 Configuração'!$C$51+0)</f>
        <v>46037</v>
      </c>
      <c r="D19" s="62" t="s">
        <v>215</v>
      </c>
      <c r="E19" s="63" t="s">
        <v>207</v>
      </c>
      <c r="F19" s="44" t="s">
        <v>181</v>
      </c>
      <c r="G19" s="43" t="s">
        <v>216</v>
      </c>
    </row>
    <row r="20" spans="2:7" ht="21.75" customHeight="1" x14ac:dyDescent="0.3">
      <c r="B20" s="41" t="s">
        <v>217</v>
      </c>
      <c r="C20" s="31">
        <f>IF('🌱 Configuração'!$C$51="","",'🌱 Configuração'!$C$51+7)</f>
        <v>46044</v>
      </c>
      <c r="D20" s="62" t="s">
        <v>215</v>
      </c>
      <c r="E20" s="59" t="s">
        <v>211</v>
      </c>
      <c r="F20" s="33" t="s">
        <v>181</v>
      </c>
      <c r="G20" s="32"/>
    </row>
    <row r="21" spans="2:7" ht="21.75" customHeight="1" x14ac:dyDescent="0.3">
      <c r="B21" s="41" t="s">
        <v>218</v>
      </c>
      <c r="C21" s="42">
        <f>IF('🌱 Configuração'!$C$51="","",'🌱 Configuração'!$C$51+14)</f>
        <v>46051</v>
      </c>
      <c r="D21" s="62" t="s">
        <v>215</v>
      </c>
      <c r="E21" s="63" t="s">
        <v>219</v>
      </c>
      <c r="F21" s="44" t="s">
        <v>181</v>
      </c>
      <c r="G21" s="43" t="s">
        <v>220</v>
      </c>
    </row>
    <row r="22" spans="2:7" ht="21.75" customHeight="1" x14ac:dyDescent="0.3">
      <c r="B22" s="41" t="s">
        <v>221</v>
      </c>
      <c r="C22" s="31">
        <f>IF('🌱 Configuração'!$C$51="","",'🌱 Configuração'!$C$51+21)</f>
        <v>46058</v>
      </c>
      <c r="D22" s="62" t="s">
        <v>215</v>
      </c>
      <c r="E22" s="59" t="s">
        <v>222</v>
      </c>
      <c r="F22" s="33" t="s">
        <v>223</v>
      </c>
      <c r="G22" s="32" t="s">
        <v>224</v>
      </c>
    </row>
    <row r="23" spans="2:7" ht="21.75" customHeight="1" x14ac:dyDescent="0.3">
      <c r="B23" s="41" t="s">
        <v>225</v>
      </c>
      <c r="C23" s="42">
        <f>IF('🌱 Configuração'!$C$51="","",'🌱 Configuração'!$C$51+28)</f>
        <v>46065</v>
      </c>
      <c r="D23" s="62" t="s">
        <v>215</v>
      </c>
      <c r="E23" s="63" t="s">
        <v>226</v>
      </c>
      <c r="F23" s="44" t="s">
        <v>181</v>
      </c>
      <c r="G23" s="43" t="s">
        <v>227</v>
      </c>
    </row>
    <row r="24" spans="2:7" ht="21.75" customHeight="1" x14ac:dyDescent="0.3">
      <c r="B24" s="41" t="s">
        <v>228</v>
      </c>
      <c r="C24" s="31">
        <f>IF('🌱 Configuração'!$C$51="","",'🌱 Configuração'!$C$51+35)</f>
        <v>46072</v>
      </c>
      <c r="D24" s="62" t="s">
        <v>215</v>
      </c>
      <c r="E24" s="59" t="s">
        <v>207</v>
      </c>
      <c r="F24" s="33" t="s">
        <v>181</v>
      </c>
      <c r="G24" s="32" t="s">
        <v>229</v>
      </c>
    </row>
    <row r="25" spans="2:7" ht="21.75" customHeight="1" x14ac:dyDescent="0.3">
      <c r="B25" s="46" t="s">
        <v>230</v>
      </c>
      <c r="C25" s="47">
        <f>IF('🌱 Configuração'!$D$51="","",'🌱 Configuração'!$D$51+0)</f>
        <v>46079</v>
      </c>
      <c r="D25" s="64" t="s">
        <v>231</v>
      </c>
      <c r="E25" s="65" t="s">
        <v>211</v>
      </c>
      <c r="F25" s="49" t="s">
        <v>232</v>
      </c>
      <c r="G25" s="48" t="s">
        <v>233</v>
      </c>
    </row>
    <row r="26" spans="2:7" ht="21.75" customHeight="1" x14ac:dyDescent="0.3">
      <c r="B26" s="46" t="s">
        <v>234</v>
      </c>
      <c r="C26" s="31">
        <f>IF('🌱 Configuração'!$D$51="","",'🌱 Configuração'!$D$51+7)</f>
        <v>46086</v>
      </c>
      <c r="D26" s="64" t="s">
        <v>231</v>
      </c>
      <c r="E26" s="59" t="s">
        <v>222</v>
      </c>
      <c r="F26" s="33" t="s">
        <v>223</v>
      </c>
      <c r="G26" s="32"/>
    </row>
    <row r="27" spans="2:7" ht="21.75" customHeight="1" x14ac:dyDescent="0.3">
      <c r="B27" s="46" t="s">
        <v>235</v>
      </c>
      <c r="C27" s="47">
        <f>IF('🌱 Configuração'!$D$51="","",'🌱 Configuração'!$D$51+14)</f>
        <v>46093</v>
      </c>
      <c r="D27" s="64" t="s">
        <v>231</v>
      </c>
      <c r="E27" s="65" t="s">
        <v>211</v>
      </c>
      <c r="F27" s="49" t="s">
        <v>232</v>
      </c>
      <c r="G27" s="48" t="s">
        <v>236</v>
      </c>
    </row>
    <row r="28" spans="2:7" ht="21.75" customHeight="1" x14ac:dyDescent="0.3">
      <c r="B28" s="46" t="s">
        <v>237</v>
      </c>
      <c r="C28" s="31">
        <f>IF('🌱 Configuração'!$D$51="","",'🌱 Configuração'!$D$51+21)</f>
        <v>46100</v>
      </c>
      <c r="D28" s="64" t="s">
        <v>231</v>
      </c>
      <c r="E28" s="59" t="s">
        <v>222</v>
      </c>
      <c r="F28" s="33" t="s">
        <v>223</v>
      </c>
      <c r="G28" s="32" t="s">
        <v>238</v>
      </c>
    </row>
    <row r="29" spans="2:7" ht="21.75" customHeight="1" x14ac:dyDescent="0.3">
      <c r="B29" s="46" t="s">
        <v>239</v>
      </c>
      <c r="C29" s="47">
        <f>IF('🌱 Configuração'!$D$51="","",'🌱 Configuração'!$D$51+28)</f>
        <v>46107</v>
      </c>
      <c r="D29" s="64" t="s">
        <v>231</v>
      </c>
      <c r="E29" s="65" t="s">
        <v>211</v>
      </c>
      <c r="F29" s="49" t="s">
        <v>232</v>
      </c>
      <c r="G29" s="48" t="s">
        <v>240</v>
      </c>
    </row>
    <row r="30" spans="2:7" ht="21.75" customHeight="1" x14ac:dyDescent="0.3">
      <c r="B30" s="46" t="s">
        <v>241</v>
      </c>
      <c r="C30" s="31">
        <f>IF('🌱 Configuração'!$D$51="","",'🌱 Configuração'!$D$51+35)</f>
        <v>46114</v>
      </c>
      <c r="D30" s="64" t="s">
        <v>231</v>
      </c>
      <c r="E30" s="59" t="s">
        <v>242</v>
      </c>
      <c r="F30" s="33" t="s">
        <v>223</v>
      </c>
      <c r="G30" s="32" t="s">
        <v>243</v>
      </c>
    </row>
    <row r="31" spans="2:7" ht="21.75" customHeight="1" x14ac:dyDescent="0.3">
      <c r="B31" s="52" t="s">
        <v>244</v>
      </c>
      <c r="C31" s="53">
        <f>IF('🌱 Configuração'!$E$51="","",'🌱 Configuração'!$E$51+0)</f>
        <v>46142</v>
      </c>
      <c r="D31" s="66" t="s">
        <v>245</v>
      </c>
      <c r="E31" s="67" t="s">
        <v>246</v>
      </c>
      <c r="F31" s="55" t="s">
        <v>247</v>
      </c>
      <c r="G31" s="54" t="s">
        <v>248</v>
      </c>
    </row>
    <row r="33" spans="2:7" ht="15" customHeight="1" x14ac:dyDescent="0.3">
      <c r="B33" s="12" t="s">
        <v>249</v>
      </c>
      <c r="C33" s="12"/>
      <c r="D33" s="12"/>
      <c r="E33" s="12"/>
      <c r="F33" s="12"/>
      <c r="G33" s="12"/>
    </row>
    <row r="34" spans="2:7" ht="21.75" customHeight="1" x14ac:dyDescent="0.3">
      <c r="B34" s="94" t="s">
        <v>250</v>
      </c>
      <c r="C34" s="94"/>
      <c r="D34" s="94" t="s">
        <v>251</v>
      </c>
      <c r="E34" s="94"/>
      <c r="F34" s="94"/>
      <c r="G34" s="94"/>
    </row>
    <row r="35" spans="2:7" ht="19.5" customHeight="1" x14ac:dyDescent="0.3">
      <c r="B35" s="95" t="s">
        <v>252</v>
      </c>
      <c r="C35" s="95"/>
      <c r="D35" s="96" t="s">
        <v>253</v>
      </c>
      <c r="E35" s="96"/>
      <c r="F35" s="96"/>
      <c r="G35" s="96"/>
    </row>
    <row r="36" spans="2:7" ht="19.5" customHeight="1" x14ac:dyDescent="0.3">
      <c r="B36" s="95" t="s">
        <v>252</v>
      </c>
      <c r="C36" s="95"/>
      <c r="D36" s="96" t="s">
        <v>254</v>
      </c>
      <c r="E36" s="96"/>
      <c r="F36" s="96"/>
      <c r="G36" s="96"/>
    </row>
    <row r="37" spans="2:7" ht="19.5" customHeight="1" x14ac:dyDescent="0.3">
      <c r="B37" s="95" t="s">
        <v>255</v>
      </c>
      <c r="C37" s="95"/>
      <c r="D37" s="96" t="s">
        <v>256</v>
      </c>
      <c r="E37" s="96"/>
      <c r="F37" s="96"/>
      <c r="G37" s="96"/>
    </row>
    <row r="38" spans="2:7" ht="19.5" customHeight="1" x14ac:dyDescent="0.3">
      <c r="B38" s="97" t="s">
        <v>257</v>
      </c>
      <c r="C38" s="97"/>
      <c r="D38" s="98" t="s">
        <v>258</v>
      </c>
      <c r="E38" s="98"/>
      <c r="F38" s="98"/>
      <c r="G38" s="98"/>
    </row>
    <row r="39" spans="2:7" ht="19.5" customHeight="1" x14ac:dyDescent="0.3">
      <c r="B39" s="99" t="s">
        <v>259</v>
      </c>
      <c r="C39" s="99"/>
      <c r="D39" s="100" t="s">
        <v>260</v>
      </c>
      <c r="E39" s="100"/>
      <c r="F39" s="100"/>
      <c r="G39" s="100"/>
    </row>
    <row r="40" spans="2:7" ht="19.5" customHeight="1" x14ac:dyDescent="0.3">
      <c r="B40" s="97" t="s">
        <v>261</v>
      </c>
      <c r="C40" s="97"/>
      <c r="D40" s="98" t="s">
        <v>262</v>
      </c>
      <c r="E40" s="98"/>
      <c r="F40" s="98"/>
      <c r="G40" s="98"/>
    </row>
    <row r="41" spans="2:7" ht="19.5" customHeight="1" x14ac:dyDescent="0.3">
      <c r="B41" s="101" t="s">
        <v>263</v>
      </c>
      <c r="C41" s="101"/>
      <c r="D41" s="102" t="s">
        <v>264</v>
      </c>
      <c r="E41" s="102"/>
      <c r="F41" s="102"/>
      <c r="G41" s="102"/>
    </row>
    <row r="42" spans="2:7" ht="19.5" customHeight="1" x14ac:dyDescent="0.3">
      <c r="B42" s="101" t="s">
        <v>263</v>
      </c>
      <c r="C42" s="101"/>
      <c r="D42" s="102" t="s">
        <v>265</v>
      </c>
      <c r="E42" s="102"/>
      <c r="F42" s="102"/>
      <c r="G42" s="102"/>
    </row>
  </sheetData>
  <mergeCells count="23">
    <mergeCell ref="B40:C40"/>
    <mergeCell ref="D40:G40"/>
    <mergeCell ref="B41:C41"/>
    <mergeCell ref="D41:G41"/>
    <mergeCell ref="B42:C42"/>
    <mergeCell ref="D42:G42"/>
    <mergeCell ref="B37:C37"/>
    <mergeCell ref="D37:G37"/>
    <mergeCell ref="B38:C38"/>
    <mergeCell ref="D38:G38"/>
    <mergeCell ref="B39:C39"/>
    <mergeCell ref="D39:G39"/>
    <mergeCell ref="B34:C34"/>
    <mergeCell ref="D34:G34"/>
    <mergeCell ref="B35:C35"/>
    <mergeCell ref="D35:G35"/>
    <mergeCell ref="B36:C36"/>
    <mergeCell ref="D36:G36"/>
    <mergeCell ref="B2:G2"/>
    <mergeCell ref="B3:G3"/>
    <mergeCell ref="B5:G5"/>
    <mergeCell ref="B15:G15"/>
    <mergeCell ref="B33:G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2D8B"/>
  </sheetPr>
  <dimension ref="B2:L205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5" customWidth="1"/>
    <col min="3" max="3" width="13" customWidth="1"/>
    <col min="4" max="9" width="11" customWidth="1"/>
    <col min="10" max="11" width="20" customWidth="1"/>
    <col min="12" max="12" width="3" customWidth="1"/>
  </cols>
  <sheetData>
    <row r="2" spans="2:12" ht="45" customHeight="1" x14ac:dyDescent="0.3">
      <c r="B2" s="87" t="s">
        <v>266</v>
      </c>
      <c r="C2" s="87"/>
      <c r="D2" s="87"/>
      <c r="E2" s="87"/>
      <c r="F2" s="87"/>
      <c r="G2" s="87"/>
      <c r="H2" s="87"/>
      <c r="I2" s="87"/>
      <c r="J2" s="87"/>
      <c r="K2" s="87"/>
    </row>
    <row r="3" spans="2:12" ht="18" customHeight="1" x14ac:dyDescent="0.3">
      <c r="B3" s="103" t="s">
        <v>267</v>
      </c>
      <c r="C3" s="103"/>
      <c r="D3" s="103"/>
      <c r="E3" s="103"/>
      <c r="F3" s="103"/>
      <c r="G3" s="103"/>
      <c r="H3" s="103"/>
      <c r="I3" s="103"/>
      <c r="J3" s="103"/>
      <c r="K3" s="103"/>
    </row>
    <row r="5" spans="2:12" ht="27.75" customHeight="1" x14ac:dyDescent="0.3">
      <c r="B5" s="25" t="s">
        <v>61</v>
      </c>
      <c r="C5" s="25" t="s">
        <v>62</v>
      </c>
      <c r="D5" s="25" t="s">
        <v>34</v>
      </c>
      <c r="E5" s="25" t="s">
        <v>268</v>
      </c>
      <c r="F5" s="25" t="s">
        <v>269</v>
      </c>
      <c r="G5" s="25" t="s">
        <v>270</v>
      </c>
      <c r="H5" s="25" t="s">
        <v>271</v>
      </c>
      <c r="I5" s="25" t="s">
        <v>272</v>
      </c>
      <c r="J5" s="25" t="s">
        <v>273</v>
      </c>
      <c r="K5" s="25" t="s">
        <v>274</v>
      </c>
      <c r="L5" s="25" t="s">
        <v>275</v>
      </c>
    </row>
    <row r="6" spans="2:12" ht="18" customHeight="1" x14ac:dyDescent="0.3">
      <c r="B6" s="68">
        <f>IF(1&lt;='🌱 Configuração'!$F$50,1,"")</f>
        <v>1</v>
      </c>
      <c r="C6" s="69">
        <f>IF(1&lt;='🌱 Configuração'!$F$50,'🌱 Configuração'!$B$51+0,"")</f>
        <v>46023</v>
      </c>
      <c r="D6" s="68" t="str">
        <f>IF(1&gt;'🌱 Configuração'!$F$50,"",IF('🌱 Configuração'!$B$51+0&lt;'🌱 Configuração'!$C$51,"🌱 Clone",IF('🌱 Configuração'!$B$51+0&lt;'🌱 Configuração'!$D$51,"🌿 Vega",IF('🌱 Configuração'!$B$51+0&lt;'🌱 Configuração'!$E$51,"🌸 Flora","🚿 Flush"))))</f>
        <v>🌱 Clone</v>
      </c>
      <c r="E6" s="68"/>
      <c r="F6" s="68"/>
      <c r="G6" s="68"/>
      <c r="H6" s="68"/>
      <c r="I6" s="68"/>
      <c r="J6" s="68"/>
      <c r="K6" s="68"/>
      <c r="L6" t="str">
        <f>IF(1&gt;'🌱 Configuração'!$F$50,"",IF(F6="","—",IF(F6&lt;22,"⚠️ Temp baixa",IF(F6&gt;29,"⚠️ Temp ALTA",IF(H6="","✅ OK",IF(H6&lt;5.5,"⚠️ pH muito baixo",IF(H6&gt;6.9,"⚠️ pH alto",IF(I6&gt;2.5,"⚠️ CE alta","✅ OK"))))))))</f>
        <v>—</v>
      </c>
    </row>
    <row r="7" spans="2:12" ht="18" customHeight="1" x14ac:dyDescent="0.3">
      <c r="B7" s="70">
        <f>IF(2&lt;='🌱 Configuração'!$F$50,2,"")</f>
        <v>2</v>
      </c>
      <c r="C7" s="71">
        <f>IF(2&lt;='🌱 Configuração'!$F$50,'🌱 Configuração'!$B$51+1,"")</f>
        <v>46024</v>
      </c>
      <c r="D7" s="70" t="str">
        <f>IF(2&gt;'🌱 Configuração'!$F$50,"",IF('🌱 Configuração'!$B$51+1&lt;'🌱 Configuração'!$C$51,"🌱 Clone",IF('🌱 Configuração'!$B$51+1&lt;'🌱 Configuração'!$D$51,"🌿 Vega",IF('🌱 Configuração'!$B$51+1&lt;'🌱 Configuração'!$E$51,"🌸 Flora","🚿 Flush"))))</f>
        <v>🌱 Clone</v>
      </c>
      <c r="E7" s="70"/>
      <c r="F7" s="70"/>
      <c r="G7" s="70"/>
      <c r="H7" s="70"/>
      <c r="I7" s="70"/>
      <c r="J7" s="70"/>
      <c r="K7" s="70"/>
      <c r="L7" t="str">
        <f>IF(2&gt;'🌱 Configuração'!$F$50,"",IF(F7="","—",IF(F7&lt;22,"⚠️ Temp baixa",IF(F7&gt;29,"⚠️ Temp ALTA",IF(H7="","✅ OK",IF(H7&lt;5.5,"⚠️ pH muito baixo",IF(H7&gt;6.9,"⚠️ pH alto",IF(I7&gt;2.5,"⚠️ CE alta","✅ OK"))))))))</f>
        <v>—</v>
      </c>
    </row>
    <row r="8" spans="2:12" ht="18" customHeight="1" x14ac:dyDescent="0.3">
      <c r="B8" s="68">
        <f>IF(3&lt;='🌱 Configuração'!$F$50,3,"")</f>
        <v>3</v>
      </c>
      <c r="C8" s="69">
        <f>IF(3&lt;='🌱 Configuração'!$F$50,'🌱 Configuração'!$B$51+2,"")</f>
        <v>46025</v>
      </c>
      <c r="D8" s="68" t="str">
        <f>IF(3&gt;'🌱 Configuração'!$F$50,"",IF('🌱 Configuração'!$B$51+2&lt;'🌱 Configuração'!$C$51,"🌱 Clone",IF('🌱 Configuração'!$B$51+2&lt;'🌱 Configuração'!$D$51,"🌿 Vega",IF('🌱 Configuração'!$B$51+2&lt;'🌱 Configuração'!$E$51,"🌸 Flora","🚿 Flush"))))</f>
        <v>🌱 Clone</v>
      </c>
      <c r="E8" s="68"/>
      <c r="F8" s="68"/>
      <c r="G8" s="68"/>
      <c r="H8" s="68"/>
      <c r="I8" s="68"/>
      <c r="J8" s="68"/>
      <c r="K8" s="68"/>
      <c r="L8" t="str">
        <f>IF(3&gt;'🌱 Configuração'!$F$50,"",IF(F8="","—",IF(F8&lt;22,"⚠️ Temp baixa",IF(F8&gt;29,"⚠️ Temp ALTA",IF(H8="","✅ OK",IF(H8&lt;5.5,"⚠️ pH muito baixo",IF(H8&gt;6.9,"⚠️ pH alto",IF(I8&gt;2.5,"⚠️ CE alta","✅ OK"))))))))</f>
        <v>—</v>
      </c>
    </row>
    <row r="9" spans="2:12" ht="18" customHeight="1" x14ac:dyDescent="0.3">
      <c r="B9" s="70">
        <f>IF(4&lt;='🌱 Configuração'!$F$50,4,"")</f>
        <v>4</v>
      </c>
      <c r="C9" s="71">
        <f>IF(4&lt;='🌱 Configuração'!$F$50,'🌱 Configuração'!$B$51+3,"")</f>
        <v>46026</v>
      </c>
      <c r="D9" s="70" t="str">
        <f>IF(4&gt;'🌱 Configuração'!$F$50,"",IF('🌱 Configuração'!$B$51+3&lt;'🌱 Configuração'!$C$51,"🌱 Clone",IF('🌱 Configuração'!$B$51+3&lt;'🌱 Configuração'!$D$51,"🌿 Vega",IF('🌱 Configuração'!$B$51+3&lt;'🌱 Configuração'!$E$51,"🌸 Flora","🚿 Flush"))))</f>
        <v>🌱 Clone</v>
      </c>
      <c r="E9" s="70"/>
      <c r="F9" s="70"/>
      <c r="G9" s="70"/>
      <c r="H9" s="70"/>
      <c r="I9" s="70"/>
      <c r="J9" s="70"/>
      <c r="K9" s="70"/>
      <c r="L9" t="str">
        <f>IF(4&gt;'🌱 Configuração'!$F$50,"",IF(F9="","—",IF(F9&lt;22,"⚠️ Temp baixa",IF(F9&gt;29,"⚠️ Temp ALTA",IF(H9="","✅ OK",IF(H9&lt;5.5,"⚠️ pH muito baixo",IF(H9&gt;6.9,"⚠️ pH alto",IF(I9&gt;2.5,"⚠️ CE alta","✅ OK"))))))))</f>
        <v>—</v>
      </c>
    </row>
    <row r="10" spans="2:12" ht="18" customHeight="1" x14ac:dyDescent="0.3">
      <c r="B10" s="68">
        <f>IF(5&lt;='🌱 Configuração'!$F$50,5,"")</f>
        <v>5</v>
      </c>
      <c r="C10" s="69">
        <f>IF(5&lt;='🌱 Configuração'!$F$50,'🌱 Configuração'!$B$51+4,"")</f>
        <v>46027</v>
      </c>
      <c r="D10" s="68" t="str">
        <f>IF(5&gt;'🌱 Configuração'!$F$50,"",IF('🌱 Configuração'!$B$51+4&lt;'🌱 Configuração'!$C$51,"🌱 Clone",IF('🌱 Configuração'!$B$51+4&lt;'🌱 Configuração'!$D$51,"🌿 Vega",IF('🌱 Configuração'!$B$51+4&lt;'🌱 Configuração'!$E$51,"🌸 Flora","🚿 Flush"))))</f>
        <v>🌱 Clone</v>
      </c>
      <c r="E10" s="68"/>
      <c r="F10" s="68"/>
      <c r="G10" s="68"/>
      <c r="H10" s="68"/>
      <c r="I10" s="68"/>
      <c r="J10" s="68"/>
      <c r="K10" s="68"/>
      <c r="L10" t="str">
        <f>IF(5&gt;'🌱 Configuração'!$F$50,"",IF(F10="","—",IF(F10&lt;22,"⚠️ Temp baixa",IF(F10&gt;29,"⚠️ Temp ALTA",IF(H10="","✅ OK",IF(H10&lt;5.5,"⚠️ pH muito baixo",IF(H10&gt;6.9,"⚠️ pH alto",IF(I10&gt;2.5,"⚠️ CE alta","✅ OK"))))))))</f>
        <v>—</v>
      </c>
    </row>
    <row r="11" spans="2:12" ht="18" customHeight="1" x14ac:dyDescent="0.3">
      <c r="B11" s="70">
        <f>IF(6&lt;='🌱 Configuração'!$F$50,6,"")</f>
        <v>6</v>
      </c>
      <c r="C11" s="71">
        <f>IF(6&lt;='🌱 Configuração'!$F$50,'🌱 Configuração'!$B$51+5,"")</f>
        <v>46028</v>
      </c>
      <c r="D11" s="70" t="str">
        <f>IF(6&gt;'🌱 Configuração'!$F$50,"",IF('🌱 Configuração'!$B$51+5&lt;'🌱 Configuração'!$C$51,"🌱 Clone",IF('🌱 Configuração'!$B$51+5&lt;'🌱 Configuração'!$D$51,"🌿 Vega",IF('🌱 Configuração'!$B$51+5&lt;'🌱 Configuração'!$E$51,"🌸 Flora","🚿 Flush"))))</f>
        <v>🌱 Clone</v>
      </c>
      <c r="E11" s="70"/>
      <c r="F11" s="70"/>
      <c r="G11" s="70"/>
      <c r="H11" s="70"/>
      <c r="I11" s="70"/>
      <c r="J11" s="70"/>
      <c r="K11" s="70"/>
      <c r="L11" t="str">
        <f>IF(6&gt;'🌱 Configuração'!$F$50,"",IF(F11="","—",IF(F11&lt;22,"⚠️ Temp baixa",IF(F11&gt;29,"⚠️ Temp ALTA",IF(H11="","✅ OK",IF(H11&lt;5.5,"⚠️ pH muito baixo",IF(H11&gt;6.9,"⚠️ pH alto",IF(I11&gt;2.5,"⚠️ CE alta","✅ OK"))))))))</f>
        <v>—</v>
      </c>
    </row>
    <row r="12" spans="2:12" ht="18" customHeight="1" x14ac:dyDescent="0.3">
      <c r="B12" s="68">
        <f>IF(7&lt;='🌱 Configuração'!$F$50,7,"")</f>
        <v>7</v>
      </c>
      <c r="C12" s="69">
        <f>IF(7&lt;='🌱 Configuração'!$F$50,'🌱 Configuração'!$B$51+6,"")</f>
        <v>46029</v>
      </c>
      <c r="D12" s="68" t="str">
        <f>IF(7&gt;'🌱 Configuração'!$F$50,"",IF('🌱 Configuração'!$B$51+6&lt;'🌱 Configuração'!$C$51,"🌱 Clone",IF('🌱 Configuração'!$B$51+6&lt;'🌱 Configuração'!$D$51,"🌿 Vega",IF('🌱 Configuração'!$B$51+6&lt;'🌱 Configuração'!$E$51,"🌸 Flora","🚿 Flush"))))</f>
        <v>🌱 Clone</v>
      </c>
      <c r="E12" s="68"/>
      <c r="F12" s="68"/>
      <c r="G12" s="68"/>
      <c r="H12" s="68"/>
      <c r="I12" s="68"/>
      <c r="J12" s="68"/>
      <c r="K12" s="68"/>
      <c r="L12" t="str">
        <f>IF(7&gt;'🌱 Configuração'!$F$50,"",IF(F12="","—",IF(F12&lt;22,"⚠️ Temp baixa",IF(F12&gt;29,"⚠️ Temp ALTA",IF(H12="","✅ OK",IF(H12&lt;5.5,"⚠️ pH muito baixo",IF(H12&gt;6.9,"⚠️ pH alto",IF(I12&gt;2.5,"⚠️ CE alta","✅ OK"))))))))</f>
        <v>—</v>
      </c>
    </row>
    <row r="13" spans="2:12" ht="18" customHeight="1" x14ac:dyDescent="0.3">
      <c r="B13" s="70">
        <f>IF(8&lt;='🌱 Configuração'!$F$50,8,"")</f>
        <v>8</v>
      </c>
      <c r="C13" s="71">
        <f>IF(8&lt;='🌱 Configuração'!$F$50,'🌱 Configuração'!$B$51+7,"")</f>
        <v>46030</v>
      </c>
      <c r="D13" s="70" t="str">
        <f>IF(8&gt;'🌱 Configuração'!$F$50,"",IF('🌱 Configuração'!$B$51+7&lt;'🌱 Configuração'!$C$51,"🌱 Clone",IF('🌱 Configuração'!$B$51+7&lt;'🌱 Configuração'!$D$51,"🌿 Vega",IF('🌱 Configuração'!$B$51+7&lt;'🌱 Configuração'!$E$51,"🌸 Flora","🚿 Flush"))))</f>
        <v>🌱 Clone</v>
      </c>
      <c r="E13" s="70"/>
      <c r="F13" s="70"/>
      <c r="G13" s="70"/>
      <c r="H13" s="70"/>
      <c r="I13" s="70"/>
      <c r="J13" s="70"/>
      <c r="K13" s="70"/>
      <c r="L13" t="str">
        <f>IF(8&gt;'🌱 Configuração'!$F$50,"",IF(F13="","—",IF(F13&lt;22,"⚠️ Temp baixa",IF(F13&gt;29,"⚠️ Temp ALTA",IF(H13="","✅ OK",IF(H13&lt;5.5,"⚠️ pH muito baixo",IF(H13&gt;6.9,"⚠️ pH alto",IF(I13&gt;2.5,"⚠️ CE alta","✅ OK"))))))))</f>
        <v>—</v>
      </c>
    </row>
    <row r="14" spans="2:12" ht="18" customHeight="1" x14ac:dyDescent="0.3">
      <c r="B14" s="68">
        <f>IF(9&lt;='🌱 Configuração'!$F$50,9,"")</f>
        <v>9</v>
      </c>
      <c r="C14" s="69">
        <f>IF(9&lt;='🌱 Configuração'!$F$50,'🌱 Configuração'!$B$51+8,"")</f>
        <v>46031</v>
      </c>
      <c r="D14" s="68" t="str">
        <f>IF(9&gt;'🌱 Configuração'!$F$50,"",IF('🌱 Configuração'!$B$51+8&lt;'🌱 Configuração'!$C$51,"🌱 Clone",IF('🌱 Configuração'!$B$51+8&lt;'🌱 Configuração'!$D$51,"🌿 Vega",IF('🌱 Configuração'!$B$51+8&lt;'🌱 Configuração'!$E$51,"🌸 Flora","🚿 Flush"))))</f>
        <v>🌱 Clone</v>
      </c>
      <c r="E14" s="68"/>
      <c r="F14" s="68"/>
      <c r="G14" s="68"/>
      <c r="H14" s="68"/>
      <c r="I14" s="68"/>
      <c r="J14" s="68"/>
      <c r="K14" s="68"/>
      <c r="L14" t="str">
        <f>IF(9&gt;'🌱 Configuração'!$F$50,"",IF(F14="","—",IF(F14&lt;22,"⚠️ Temp baixa",IF(F14&gt;29,"⚠️ Temp ALTA",IF(H14="","✅ OK",IF(H14&lt;5.5,"⚠️ pH muito baixo",IF(H14&gt;6.9,"⚠️ pH alto",IF(I14&gt;2.5,"⚠️ CE alta","✅ OK"))))))))</f>
        <v>—</v>
      </c>
    </row>
    <row r="15" spans="2:12" ht="18" customHeight="1" x14ac:dyDescent="0.3">
      <c r="B15" s="70">
        <f>IF(10&lt;='🌱 Configuração'!$F$50,10,"")</f>
        <v>10</v>
      </c>
      <c r="C15" s="71">
        <f>IF(10&lt;='🌱 Configuração'!$F$50,'🌱 Configuração'!$B$51+9,"")</f>
        <v>46032</v>
      </c>
      <c r="D15" s="70" t="str">
        <f>IF(10&gt;'🌱 Configuração'!$F$50,"",IF('🌱 Configuração'!$B$51+9&lt;'🌱 Configuração'!$C$51,"🌱 Clone",IF('🌱 Configuração'!$B$51+9&lt;'🌱 Configuração'!$D$51,"🌿 Vega",IF('🌱 Configuração'!$B$51+9&lt;'🌱 Configuração'!$E$51,"🌸 Flora","🚿 Flush"))))</f>
        <v>🌱 Clone</v>
      </c>
      <c r="E15" s="70"/>
      <c r="F15" s="70"/>
      <c r="G15" s="70"/>
      <c r="H15" s="70"/>
      <c r="I15" s="70"/>
      <c r="J15" s="70"/>
      <c r="K15" s="70"/>
      <c r="L15" t="str">
        <f>IF(10&gt;'🌱 Configuração'!$F$50,"",IF(F15="","—",IF(F15&lt;22,"⚠️ Temp baixa",IF(F15&gt;29,"⚠️ Temp ALTA",IF(H15="","✅ OK",IF(H15&lt;5.5,"⚠️ pH muito baixo",IF(H15&gt;6.9,"⚠️ pH alto",IF(I15&gt;2.5,"⚠️ CE alta","✅ OK"))))))))</f>
        <v>—</v>
      </c>
    </row>
    <row r="16" spans="2:12" ht="18" customHeight="1" x14ac:dyDescent="0.3">
      <c r="B16" s="68">
        <f>IF(11&lt;='🌱 Configuração'!$F$50,11,"")</f>
        <v>11</v>
      </c>
      <c r="C16" s="69">
        <f>IF(11&lt;='🌱 Configuração'!$F$50,'🌱 Configuração'!$B$51+10,"")</f>
        <v>46033</v>
      </c>
      <c r="D16" s="68" t="str">
        <f>IF(11&gt;'🌱 Configuração'!$F$50,"",IF('🌱 Configuração'!$B$51+10&lt;'🌱 Configuração'!$C$51,"🌱 Clone",IF('🌱 Configuração'!$B$51+10&lt;'🌱 Configuração'!$D$51,"🌿 Vega",IF('🌱 Configuração'!$B$51+10&lt;'🌱 Configuração'!$E$51,"🌸 Flora","🚿 Flush"))))</f>
        <v>🌱 Clone</v>
      </c>
      <c r="E16" s="68"/>
      <c r="F16" s="68"/>
      <c r="G16" s="68"/>
      <c r="H16" s="68"/>
      <c r="I16" s="68"/>
      <c r="J16" s="68"/>
      <c r="K16" s="68"/>
      <c r="L16" t="str">
        <f>IF(11&gt;'🌱 Configuração'!$F$50,"",IF(F16="","—",IF(F16&lt;22,"⚠️ Temp baixa",IF(F16&gt;29,"⚠️ Temp ALTA",IF(H16="","✅ OK",IF(H16&lt;5.5,"⚠️ pH muito baixo",IF(H16&gt;6.9,"⚠️ pH alto",IF(I16&gt;2.5,"⚠️ CE alta","✅ OK"))))))))</f>
        <v>—</v>
      </c>
    </row>
    <row r="17" spans="2:12" ht="18" customHeight="1" x14ac:dyDescent="0.3">
      <c r="B17" s="70">
        <f>IF(12&lt;='🌱 Configuração'!$F$50,12,"")</f>
        <v>12</v>
      </c>
      <c r="C17" s="71">
        <f>IF(12&lt;='🌱 Configuração'!$F$50,'🌱 Configuração'!$B$51+11,"")</f>
        <v>46034</v>
      </c>
      <c r="D17" s="70" t="str">
        <f>IF(12&gt;'🌱 Configuração'!$F$50,"",IF('🌱 Configuração'!$B$51+11&lt;'🌱 Configuração'!$C$51,"🌱 Clone",IF('🌱 Configuração'!$B$51+11&lt;'🌱 Configuração'!$D$51,"🌿 Vega",IF('🌱 Configuração'!$B$51+11&lt;'🌱 Configuração'!$E$51,"🌸 Flora","🚿 Flush"))))</f>
        <v>🌱 Clone</v>
      </c>
      <c r="E17" s="70"/>
      <c r="F17" s="70"/>
      <c r="G17" s="70"/>
      <c r="H17" s="70"/>
      <c r="I17" s="70"/>
      <c r="J17" s="70"/>
      <c r="K17" s="70"/>
      <c r="L17" t="str">
        <f>IF(12&gt;'🌱 Configuração'!$F$50,"",IF(F17="","—",IF(F17&lt;22,"⚠️ Temp baixa",IF(F17&gt;29,"⚠️ Temp ALTA",IF(H17="","✅ OK",IF(H17&lt;5.5,"⚠️ pH muito baixo",IF(H17&gt;6.9,"⚠️ pH alto",IF(I17&gt;2.5,"⚠️ CE alta","✅ OK"))))))))</f>
        <v>—</v>
      </c>
    </row>
    <row r="18" spans="2:12" ht="18" customHeight="1" x14ac:dyDescent="0.3">
      <c r="B18" s="68">
        <f>IF(13&lt;='🌱 Configuração'!$F$50,13,"")</f>
        <v>13</v>
      </c>
      <c r="C18" s="69">
        <f>IF(13&lt;='🌱 Configuração'!$F$50,'🌱 Configuração'!$B$51+12,"")</f>
        <v>46035</v>
      </c>
      <c r="D18" s="68" t="str">
        <f>IF(13&gt;'🌱 Configuração'!$F$50,"",IF('🌱 Configuração'!$B$51+12&lt;'🌱 Configuração'!$C$51,"🌱 Clone",IF('🌱 Configuração'!$B$51+12&lt;'🌱 Configuração'!$D$51,"🌿 Vega",IF('🌱 Configuração'!$B$51+12&lt;'🌱 Configuração'!$E$51,"🌸 Flora","🚿 Flush"))))</f>
        <v>🌱 Clone</v>
      </c>
      <c r="E18" s="68"/>
      <c r="F18" s="68"/>
      <c r="G18" s="68"/>
      <c r="H18" s="68"/>
      <c r="I18" s="68"/>
      <c r="J18" s="68"/>
      <c r="K18" s="68"/>
      <c r="L18" t="str">
        <f>IF(13&gt;'🌱 Configuração'!$F$50,"",IF(F18="","—",IF(F18&lt;22,"⚠️ Temp baixa",IF(F18&gt;29,"⚠️ Temp ALTA",IF(H18="","✅ OK",IF(H18&lt;5.5,"⚠️ pH muito baixo",IF(H18&gt;6.9,"⚠️ pH alto",IF(I18&gt;2.5,"⚠️ CE alta","✅ OK"))))))))</f>
        <v>—</v>
      </c>
    </row>
    <row r="19" spans="2:12" ht="18" customHeight="1" x14ac:dyDescent="0.3">
      <c r="B19" s="70">
        <f>IF(14&lt;='🌱 Configuração'!$F$50,14,"")</f>
        <v>14</v>
      </c>
      <c r="C19" s="71">
        <f>IF(14&lt;='🌱 Configuração'!$F$50,'🌱 Configuração'!$B$51+13,"")</f>
        <v>46036</v>
      </c>
      <c r="D19" s="70" t="str">
        <f>IF(14&gt;'🌱 Configuração'!$F$50,"",IF('🌱 Configuração'!$B$51+13&lt;'🌱 Configuração'!$C$51,"🌱 Clone",IF('🌱 Configuração'!$B$51+13&lt;'🌱 Configuração'!$D$51,"🌿 Vega",IF('🌱 Configuração'!$B$51+13&lt;'🌱 Configuração'!$E$51,"🌸 Flora","🚿 Flush"))))</f>
        <v>🌱 Clone</v>
      </c>
      <c r="E19" s="70"/>
      <c r="F19" s="70"/>
      <c r="G19" s="70"/>
      <c r="H19" s="70"/>
      <c r="I19" s="70"/>
      <c r="J19" s="70"/>
      <c r="K19" s="70"/>
      <c r="L19" t="str">
        <f>IF(14&gt;'🌱 Configuração'!$F$50,"",IF(F19="","—",IF(F19&lt;22,"⚠️ Temp baixa",IF(F19&gt;29,"⚠️ Temp ALTA",IF(H19="","✅ OK",IF(H19&lt;5.5,"⚠️ pH muito baixo",IF(H19&gt;6.9,"⚠️ pH alto",IF(I19&gt;2.5,"⚠️ CE alta","✅ OK"))))))))</f>
        <v>—</v>
      </c>
    </row>
    <row r="20" spans="2:12" ht="18" customHeight="1" x14ac:dyDescent="0.3">
      <c r="B20" s="68">
        <f>IF(15&lt;='🌱 Configuração'!$F$50,15,"")</f>
        <v>15</v>
      </c>
      <c r="C20" s="69">
        <f>IF(15&lt;='🌱 Configuração'!$F$50,'🌱 Configuração'!$B$51+14,"")</f>
        <v>46037</v>
      </c>
      <c r="D20" s="68" t="str">
        <f>IF(15&gt;'🌱 Configuração'!$F$50,"",IF('🌱 Configuração'!$B$51+14&lt;'🌱 Configuração'!$C$51,"🌱 Clone",IF('🌱 Configuração'!$B$51+14&lt;'🌱 Configuração'!$D$51,"🌿 Vega",IF('🌱 Configuração'!$B$51+14&lt;'🌱 Configuração'!$E$51,"🌸 Flora","🚿 Flush"))))</f>
        <v>🌿 Vega</v>
      </c>
      <c r="E20" s="68"/>
      <c r="F20" s="68"/>
      <c r="G20" s="68"/>
      <c r="H20" s="68"/>
      <c r="I20" s="68"/>
      <c r="J20" s="68"/>
      <c r="K20" s="68"/>
      <c r="L20" t="str">
        <f>IF(15&gt;'🌱 Configuração'!$F$50,"",IF(F20="","—",IF(F20&lt;22,"⚠️ Temp baixa",IF(F20&gt;29,"⚠️ Temp ALTA",IF(H20="","✅ OK",IF(H20&lt;5.5,"⚠️ pH muito baixo",IF(H20&gt;6.9,"⚠️ pH alto",IF(I20&gt;2.5,"⚠️ CE alta","✅ OK"))))))))</f>
        <v>—</v>
      </c>
    </row>
    <row r="21" spans="2:12" ht="18" customHeight="1" x14ac:dyDescent="0.3">
      <c r="B21" s="70">
        <f>IF(16&lt;='🌱 Configuração'!$F$50,16,"")</f>
        <v>16</v>
      </c>
      <c r="C21" s="71">
        <f>IF(16&lt;='🌱 Configuração'!$F$50,'🌱 Configuração'!$B$51+15,"")</f>
        <v>46038</v>
      </c>
      <c r="D21" s="70" t="str">
        <f>IF(16&gt;'🌱 Configuração'!$F$50,"",IF('🌱 Configuração'!$B$51+15&lt;'🌱 Configuração'!$C$51,"🌱 Clone",IF('🌱 Configuração'!$B$51+15&lt;'🌱 Configuração'!$D$51,"🌿 Vega",IF('🌱 Configuração'!$B$51+15&lt;'🌱 Configuração'!$E$51,"🌸 Flora","🚿 Flush"))))</f>
        <v>🌿 Vega</v>
      </c>
      <c r="E21" s="70"/>
      <c r="F21" s="70"/>
      <c r="G21" s="70"/>
      <c r="H21" s="70"/>
      <c r="I21" s="70"/>
      <c r="J21" s="70"/>
      <c r="K21" s="70"/>
      <c r="L21" t="str">
        <f>IF(16&gt;'🌱 Configuração'!$F$50,"",IF(F21="","—",IF(F21&lt;22,"⚠️ Temp baixa",IF(F21&gt;29,"⚠️ Temp ALTA",IF(H21="","✅ OK",IF(H21&lt;5.5,"⚠️ pH muito baixo",IF(H21&gt;6.9,"⚠️ pH alto",IF(I21&gt;2.5,"⚠️ CE alta","✅ OK"))))))))</f>
        <v>—</v>
      </c>
    </row>
    <row r="22" spans="2:12" ht="18" customHeight="1" x14ac:dyDescent="0.3">
      <c r="B22" s="68">
        <f>IF(17&lt;='🌱 Configuração'!$F$50,17,"")</f>
        <v>17</v>
      </c>
      <c r="C22" s="69">
        <f>IF(17&lt;='🌱 Configuração'!$F$50,'🌱 Configuração'!$B$51+16,"")</f>
        <v>46039</v>
      </c>
      <c r="D22" s="68" t="str">
        <f>IF(17&gt;'🌱 Configuração'!$F$50,"",IF('🌱 Configuração'!$B$51+16&lt;'🌱 Configuração'!$C$51,"🌱 Clone",IF('🌱 Configuração'!$B$51+16&lt;'🌱 Configuração'!$D$51,"🌿 Vega",IF('🌱 Configuração'!$B$51+16&lt;'🌱 Configuração'!$E$51,"🌸 Flora","🚿 Flush"))))</f>
        <v>🌿 Vega</v>
      </c>
      <c r="E22" s="68"/>
      <c r="F22" s="68"/>
      <c r="G22" s="68"/>
      <c r="H22" s="68"/>
      <c r="I22" s="68"/>
      <c r="J22" s="68"/>
      <c r="K22" s="68"/>
      <c r="L22" t="str">
        <f>IF(17&gt;'🌱 Configuração'!$F$50,"",IF(F22="","—",IF(F22&lt;22,"⚠️ Temp baixa",IF(F22&gt;29,"⚠️ Temp ALTA",IF(H22="","✅ OK",IF(H22&lt;5.5,"⚠️ pH muito baixo",IF(H22&gt;6.9,"⚠️ pH alto",IF(I22&gt;2.5,"⚠️ CE alta","✅ OK"))))))))</f>
        <v>—</v>
      </c>
    </row>
    <row r="23" spans="2:12" ht="18" customHeight="1" x14ac:dyDescent="0.3">
      <c r="B23" s="70">
        <f>IF(18&lt;='🌱 Configuração'!$F$50,18,"")</f>
        <v>18</v>
      </c>
      <c r="C23" s="71">
        <f>IF(18&lt;='🌱 Configuração'!$F$50,'🌱 Configuração'!$B$51+17,"")</f>
        <v>46040</v>
      </c>
      <c r="D23" s="70" t="str">
        <f>IF(18&gt;'🌱 Configuração'!$F$50,"",IF('🌱 Configuração'!$B$51+17&lt;'🌱 Configuração'!$C$51,"🌱 Clone",IF('🌱 Configuração'!$B$51+17&lt;'🌱 Configuração'!$D$51,"🌿 Vega",IF('🌱 Configuração'!$B$51+17&lt;'🌱 Configuração'!$E$51,"🌸 Flora","🚿 Flush"))))</f>
        <v>🌿 Vega</v>
      </c>
      <c r="E23" s="70"/>
      <c r="F23" s="70"/>
      <c r="G23" s="70"/>
      <c r="H23" s="70"/>
      <c r="I23" s="70"/>
      <c r="J23" s="70"/>
      <c r="K23" s="70"/>
      <c r="L23" t="str">
        <f>IF(18&gt;'🌱 Configuração'!$F$50,"",IF(F23="","—",IF(F23&lt;22,"⚠️ Temp baixa",IF(F23&gt;29,"⚠️ Temp ALTA",IF(H23="","✅ OK",IF(H23&lt;5.5,"⚠️ pH muito baixo",IF(H23&gt;6.9,"⚠️ pH alto",IF(I23&gt;2.5,"⚠️ CE alta","✅ OK"))))))))</f>
        <v>—</v>
      </c>
    </row>
    <row r="24" spans="2:12" ht="18" customHeight="1" x14ac:dyDescent="0.3">
      <c r="B24" s="68">
        <f>IF(19&lt;='🌱 Configuração'!$F$50,19,"")</f>
        <v>19</v>
      </c>
      <c r="C24" s="69">
        <f>IF(19&lt;='🌱 Configuração'!$F$50,'🌱 Configuração'!$B$51+18,"")</f>
        <v>46041</v>
      </c>
      <c r="D24" s="68" t="str">
        <f>IF(19&gt;'🌱 Configuração'!$F$50,"",IF('🌱 Configuração'!$B$51+18&lt;'🌱 Configuração'!$C$51,"🌱 Clone",IF('🌱 Configuração'!$B$51+18&lt;'🌱 Configuração'!$D$51,"🌿 Vega",IF('🌱 Configuração'!$B$51+18&lt;'🌱 Configuração'!$E$51,"🌸 Flora","🚿 Flush"))))</f>
        <v>🌿 Vega</v>
      </c>
      <c r="E24" s="68"/>
      <c r="F24" s="68"/>
      <c r="G24" s="68"/>
      <c r="H24" s="68"/>
      <c r="I24" s="68"/>
      <c r="J24" s="68"/>
      <c r="K24" s="68"/>
      <c r="L24" t="str">
        <f>IF(19&gt;'🌱 Configuração'!$F$50,"",IF(F24="","—",IF(F24&lt;22,"⚠️ Temp baixa",IF(F24&gt;29,"⚠️ Temp ALTA",IF(H24="","✅ OK",IF(H24&lt;5.5,"⚠️ pH muito baixo",IF(H24&gt;6.9,"⚠️ pH alto",IF(I24&gt;2.5,"⚠️ CE alta","✅ OK"))))))))</f>
        <v>—</v>
      </c>
    </row>
    <row r="25" spans="2:12" ht="18" customHeight="1" x14ac:dyDescent="0.3">
      <c r="B25" s="70">
        <f>IF(20&lt;='🌱 Configuração'!$F$50,20,"")</f>
        <v>20</v>
      </c>
      <c r="C25" s="71">
        <f>IF(20&lt;='🌱 Configuração'!$F$50,'🌱 Configuração'!$B$51+19,"")</f>
        <v>46042</v>
      </c>
      <c r="D25" s="70" t="str">
        <f>IF(20&gt;'🌱 Configuração'!$F$50,"",IF('🌱 Configuração'!$B$51+19&lt;'🌱 Configuração'!$C$51,"🌱 Clone",IF('🌱 Configuração'!$B$51+19&lt;'🌱 Configuração'!$D$51,"🌿 Vega",IF('🌱 Configuração'!$B$51+19&lt;'🌱 Configuração'!$E$51,"🌸 Flora","🚿 Flush"))))</f>
        <v>🌿 Vega</v>
      </c>
      <c r="E25" s="70"/>
      <c r="F25" s="70"/>
      <c r="G25" s="70"/>
      <c r="H25" s="70"/>
      <c r="I25" s="70"/>
      <c r="J25" s="70"/>
      <c r="K25" s="70"/>
      <c r="L25" t="str">
        <f>IF(20&gt;'🌱 Configuração'!$F$50,"",IF(F25="","—",IF(F25&lt;22,"⚠️ Temp baixa",IF(F25&gt;29,"⚠️ Temp ALTA",IF(H25="","✅ OK",IF(H25&lt;5.5,"⚠️ pH muito baixo",IF(H25&gt;6.9,"⚠️ pH alto",IF(I25&gt;2.5,"⚠️ CE alta","✅ OK"))))))))</f>
        <v>—</v>
      </c>
    </row>
    <row r="26" spans="2:12" ht="18" customHeight="1" x14ac:dyDescent="0.3">
      <c r="B26" s="68">
        <f>IF(21&lt;='🌱 Configuração'!$F$50,21,"")</f>
        <v>21</v>
      </c>
      <c r="C26" s="69">
        <f>IF(21&lt;='🌱 Configuração'!$F$50,'🌱 Configuração'!$B$51+20,"")</f>
        <v>46043</v>
      </c>
      <c r="D26" s="68" t="str">
        <f>IF(21&gt;'🌱 Configuração'!$F$50,"",IF('🌱 Configuração'!$B$51+20&lt;'🌱 Configuração'!$C$51,"🌱 Clone",IF('🌱 Configuração'!$B$51+20&lt;'🌱 Configuração'!$D$51,"🌿 Vega",IF('🌱 Configuração'!$B$51+20&lt;'🌱 Configuração'!$E$51,"🌸 Flora","🚿 Flush"))))</f>
        <v>🌿 Vega</v>
      </c>
      <c r="E26" s="68"/>
      <c r="F26" s="68"/>
      <c r="G26" s="68"/>
      <c r="H26" s="68"/>
      <c r="I26" s="68"/>
      <c r="J26" s="68"/>
      <c r="K26" s="68"/>
      <c r="L26" t="str">
        <f>IF(21&gt;'🌱 Configuração'!$F$50,"",IF(F26="","—",IF(F26&lt;22,"⚠️ Temp baixa",IF(F26&gt;29,"⚠️ Temp ALTA",IF(H26="","✅ OK",IF(H26&lt;5.5,"⚠️ pH muito baixo",IF(H26&gt;6.9,"⚠️ pH alto",IF(I26&gt;2.5,"⚠️ CE alta","✅ OK"))))))))</f>
        <v>—</v>
      </c>
    </row>
    <row r="27" spans="2:12" ht="18" customHeight="1" x14ac:dyDescent="0.3">
      <c r="B27" s="70">
        <f>IF(22&lt;='🌱 Configuração'!$F$50,22,"")</f>
        <v>22</v>
      </c>
      <c r="C27" s="71">
        <f>IF(22&lt;='🌱 Configuração'!$F$50,'🌱 Configuração'!$B$51+21,"")</f>
        <v>46044</v>
      </c>
      <c r="D27" s="70" t="str">
        <f>IF(22&gt;'🌱 Configuração'!$F$50,"",IF('🌱 Configuração'!$B$51+21&lt;'🌱 Configuração'!$C$51,"🌱 Clone",IF('🌱 Configuração'!$B$51+21&lt;'🌱 Configuração'!$D$51,"🌿 Vega",IF('🌱 Configuração'!$B$51+21&lt;'🌱 Configuração'!$E$51,"🌸 Flora","🚿 Flush"))))</f>
        <v>🌿 Vega</v>
      </c>
      <c r="E27" s="70"/>
      <c r="F27" s="70"/>
      <c r="G27" s="70"/>
      <c r="H27" s="70"/>
      <c r="I27" s="70"/>
      <c r="J27" s="70"/>
      <c r="K27" s="70"/>
      <c r="L27" t="str">
        <f>IF(22&gt;'🌱 Configuração'!$F$50,"",IF(F27="","—",IF(F27&lt;22,"⚠️ Temp baixa",IF(F27&gt;29,"⚠️ Temp ALTA",IF(H27="","✅ OK",IF(H27&lt;5.5,"⚠️ pH muito baixo",IF(H27&gt;6.9,"⚠️ pH alto",IF(I27&gt;2.5,"⚠️ CE alta","✅ OK"))))))))</f>
        <v>—</v>
      </c>
    </row>
    <row r="28" spans="2:12" ht="18" customHeight="1" x14ac:dyDescent="0.3">
      <c r="B28" s="68">
        <f>IF(23&lt;='🌱 Configuração'!$F$50,23,"")</f>
        <v>23</v>
      </c>
      <c r="C28" s="69">
        <f>IF(23&lt;='🌱 Configuração'!$F$50,'🌱 Configuração'!$B$51+22,"")</f>
        <v>46045</v>
      </c>
      <c r="D28" s="68" t="str">
        <f>IF(23&gt;'🌱 Configuração'!$F$50,"",IF('🌱 Configuração'!$B$51+22&lt;'🌱 Configuração'!$C$51,"🌱 Clone",IF('🌱 Configuração'!$B$51+22&lt;'🌱 Configuração'!$D$51,"🌿 Vega",IF('🌱 Configuração'!$B$51+22&lt;'🌱 Configuração'!$E$51,"🌸 Flora","🚿 Flush"))))</f>
        <v>🌿 Vega</v>
      </c>
      <c r="E28" s="68"/>
      <c r="F28" s="68"/>
      <c r="G28" s="68"/>
      <c r="H28" s="68"/>
      <c r="I28" s="68"/>
      <c r="J28" s="68"/>
      <c r="K28" s="68"/>
      <c r="L28" t="str">
        <f>IF(23&gt;'🌱 Configuração'!$F$50,"",IF(F28="","—",IF(F28&lt;22,"⚠️ Temp baixa",IF(F28&gt;29,"⚠️ Temp ALTA",IF(H28="","✅ OK",IF(H28&lt;5.5,"⚠️ pH muito baixo",IF(H28&gt;6.9,"⚠️ pH alto",IF(I28&gt;2.5,"⚠️ CE alta","✅ OK"))))))))</f>
        <v>—</v>
      </c>
    </row>
    <row r="29" spans="2:12" ht="18" customHeight="1" x14ac:dyDescent="0.3">
      <c r="B29" s="70">
        <f>IF(24&lt;='🌱 Configuração'!$F$50,24,"")</f>
        <v>24</v>
      </c>
      <c r="C29" s="71">
        <f>IF(24&lt;='🌱 Configuração'!$F$50,'🌱 Configuração'!$B$51+23,"")</f>
        <v>46046</v>
      </c>
      <c r="D29" s="70" t="str">
        <f>IF(24&gt;'🌱 Configuração'!$F$50,"",IF('🌱 Configuração'!$B$51+23&lt;'🌱 Configuração'!$C$51,"🌱 Clone",IF('🌱 Configuração'!$B$51+23&lt;'🌱 Configuração'!$D$51,"🌿 Vega",IF('🌱 Configuração'!$B$51+23&lt;'🌱 Configuração'!$E$51,"🌸 Flora","🚿 Flush"))))</f>
        <v>🌿 Vega</v>
      </c>
      <c r="E29" s="70"/>
      <c r="F29" s="70"/>
      <c r="G29" s="70"/>
      <c r="H29" s="70"/>
      <c r="I29" s="70"/>
      <c r="J29" s="70"/>
      <c r="K29" s="70"/>
      <c r="L29" t="str">
        <f>IF(24&gt;'🌱 Configuração'!$F$50,"",IF(F29="","—",IF(F29&lt;22,"⚠️ Temp baixa",IF(F29&gt;29,"⚠️ Temp ALTA",IF(H29="","✅ OK",IF(H29&lt;5.5,"⚠️ pH muito baixo",IF(H29&gt;6.9,"⚠️ pH alto",IF(I29&gt;2.5,"⚠️ CE alta","✅ OK"))))))))</f>
        <v>—</v>
      </c>
    </row>
    <row r="30" spans="2:12" ht="18" customHeight="1" x14ac:dyDescent="0.3">
      <c r="B30" s="68">
        <f>IF(25&lt;='🌱 Configuração'!$F$50,25,"")</f>
        <v>25</v>
      </c>
      <c r="C30" s="69">
        <f>IF(25&lt;='🌱 Configuração'!$F$50,'🌱 Configuração'!$B$51+24,"")</f>
        <v>46047</v>
      </c>
      <c r="D30" s="68" t="str">
        <f>IF(25&gt;'🌱 Configuração'!$F$50,"",IF('🌱 Configuração'!$B$51+24&lt;'🌱 Configuração'!$C$51,"🌱 Clone",IF('🌱 Configuração'!$B$51+24&lt;'🌱 Configuração'!$D$51,"🌿 Vega",IF('🌱 Configuração'!$B$51+24&lt;'🌱 Configuração'!$E$51,"🌸 Flora","🚿 Flush"))))</f>
        <v>🌿 Vega</v>
      </c>
      <c r="E30" s="68"/>
      <c r="F30" s="68"/>
      <c r="G30" s="68"/>
      <c r="H30" s="68"/>
      <c r="I30" s="68"/>
      <c r="J30" s="68"/>
      <c r="K30" s="68"/>
      <c r="L30" t="str">
        <f>IF(25&gt;'🌱 Configuração'!$F$50,"",IF(F30="","—",IF(F30&lt;22,"⚠️ Temp baixa",IF(F30&gt;29,"⚠️ Temp ALTA",IF(H30="","✅ OK",IF(H30&lt;5.5,"⚠️ pH muito baixo",IF(H30&gt;6.9,"⚠️ pH alto",IF(I30&gt;2.5,"⚠️ CE alta","✅ OK"))))))))</f>
        <v>—</v>
      </c>
    </row>
    <row r="31" spans="2:12" ht="18" customHeight="1" x14ac:dyDescent="0.3">
      <c r="B31" s="70">
        <f>IF(26&lt;='🌱 Configuração'!$F$50,26,"")</f>
        <v>26</v>
      </c>
      <c r="C31" s="71">
        <f>IF(26&lt;='🌱 Configuração'!$F$50,'🌱 Configuração'!$B$51+25,"")</f>
        <v>46048</v>
      </c>
      <c r="D31" s="70" t="str">
        <f>IF(26&gt;'🌱 Configuração'!$F$50,"",IF('🌱 Configuração'!$B$51+25&lt;'🌱 Configuração'!$C$51,"🌱 Clone",IF('🌱 Configuração'!$B$51+25&lt;'🌱 Configuração'!$D$51,"🌿 Vega",IF('🌱 Configuração'!$B$51+25&lt;'🌱 Configuração'!$E$51,"🌸 Flora","🚿 Flush"))))</f>
        <v>🌿 Vega</v>
      </c>
      <c r="E31" s="70"/>
      <c r="F31" s="70"/>
      <c r="G31" s="70"/>
      <c r="H31" s="70"/>
      <c r="I31" s="70"/>
      <c r="J31" s="70"/>
      <c r="K31" s="70"/>
      <c r="L31" t="str">
        <f>IF(26&gt;'🌱 Configuração'!$F$50,"",IF(F31="","—",IF(F31&lt;22,"⚠️ Temp baixa",IF(F31&gt;29,"⚠️ Temp ALTA",IF(H31="","✅ OK",IF(H31&lt;5.5,"⚠️ pH muito baixo",IF(H31&gt;6.9,"⚠️ pH alto",IF(I31&gt;2.5,"⚠️ CE alta","✅ OK"))))))))</f>
        <v>—</v>
      </c>
    </row>
    <row r="32" spans="2:12" ht="18" customHeight="1" x14ac:dyDescent="0.3">
      <c r="B32" s="68">
        <f>IF(27&lt;='🌱 Configuração'!$F$50,27,"")</f>
        <v>27</v>
      </c>
      <c r="C32" s="69">
        <f>IF(27&lt;='🌱 Configuração'!$F$50,'🌱 Configuração'!$B$51+26,"")</f>
        <v>46049</v>
      </c>
      <c r="D32" s="68" t="str">
        <f>IF(27&gt;'🌱 Configuração'!$F$50,"",IF('🌱 Configuração'!$B$51+26&lt;'🌱 Configuração'!$C$51,"🌱 Clone",IF('🌱 Configuração'!$B$51+26&lt;'🌱 Configuração'!$D$51,"🌿 Vega",IF('🌱 Configuração'!$B$51+26&lt;'🌱 Configuração'!$E$51,"🌸 Flora","🚿 Flush"))))</f>
        <v>🌿 Vega</v>
      </c>
      <c r="E32" s="68"/>
      <c r="F32" s="68"/>
      <c r="G32" s="68"/>
      <c r="H32" s="68"/>
      <c r="I32" s="68"/>
      <c r="J32" s="68"/>
      <c r="K32" s="68"/>
      <c r="L32" t="str">
        <f>IF(27&gt;'🌱 Configuração'!$F$50,"",IF(F32="","—",IF(F32&lt;22,"⚠️ Temp baixa",IF(F32&gt;29,"⚠️ Temp ALTA",IF(H32="","✅ OK",IF(H32&lt;5.5,"⚠️ pH muito baixo",IF(H32&gt;6.9,"⚠️ pH alto",IF(I32&gt;2.5,"⚠️ CE alta","✅ OK"))))))))</f>
        <v>—</v>
      </c>
    </row>
    <row r="33" spans="2:12" ht="18" customHeight="1" x14ac:dyDescent="0.3">
      <c r="B33" s="70">
        <f>IF(28&lt;='🌱 Configuração'!$F$50,28,"")</f>
        <v>28</v>
      </c>
      <c r="C33" s="71">
        <f>IF(28&lt;='🌱 Configuração'!$F$50,'🌱 Configuração'!$B$51+27,"")</f>
        <v>46050</v>
      </c>
      <c r="D33" s="70" t="str">
        <f>IF(28&gt;'🌱 Configuração'!$F$50,"",IF('🌱 Configuração'!$B$51+27&lt;'🌱 Configuração'!$C$51,"🌱 Clone",IF('🌱 Configuração'!$B$51+27&lt;'🌱 Configuração'!$D$51,"🌿 Vega",IF('🌱 Configuração'!$B$51+27&lt;'🌱 Configuração'!$E$51,"🌸 Flora","🚿 Flush"))))</f>
        <v>🌿 Vega</v>
      </c>
      <c r="E33" s="70"/>
      <c r="F33" s="70"/>
      <c r="G33" s="70"/>
      <c r="H33" s="70"/>
      <c r="I33" s="70"/>
      <c r="J33" s="70"/>
      <c r="K33" s="70"/>
      <c r="L33" t="str">
        <f>IF(28&gt;'🌱 Configuração'!$F$50,"",IF(F33="","—",IF(F33&lt;22,"⚠️ Temp baixa",IF(F33&gt;29,"⚠️ Temp ALTA",IF(H33="","✅ OK",IF(H33&lt;5.5,"⚠️ pH muito baixo",IF(H33&gt;6.9,"⚠️ pH alto",IF(I33&gt;2.5,"⚠️ CE alta","✅ OK"))))))))</f>
        <v>—</v>
      </c>
    </row>
    <row r="34" spans="2:12" ht="18" customHeight="1" x14ac:dyDescent="0.3">
      <c r="B34" s="68">
        <f>IF(29&lt;='🌱 Configuração'!$F$50,29,"")</f>
        <v>29</v>
      </c>
      <c r="C34" s="69">
        <f>IF(29&lt;='🌱 Configuração'!$F$50,'🌱 Configuração'!$B$51+28,"")</f>
        <v>46051</v>
      </c>
      <c r="D34" s="68" t="str">
        <f>IF(29&gt;'🌱 Configuração'!$F$50,"",IF('🌱 Configuração'!$B$51+28&lt;'🌱 Configuração'!$C$51,"🌱 Clone",IF('🌱 Configuração'!$B$51+28&lt;'🌱 Configuração'!$D$51,"🌿 Vega",IF('🌱 Configuração'!$B$51+28&lt;'🌱 Configuração'!$E$51,"🌸 Flora","🚿 Flush"))))</f>
        <v>🌿 Vega</v>
      </c>
      <c r="E34" s="68"/>
      <c r="F34" s="68"/>
      <c r="G34" s="68"/>
      <c r="H34" s="68"/>
      <c r="I34" s="68"/>
      <c r="J34" s="68"/>
      <c r="K34" s="68"/>
      <c r="L34" t="str">
        <f>IF(29&gt;'🌱 Configuração'!$F$50,"",IF(F34="","—",IF(F34&lt;22,"⚠️ Temp baixa",IF(F34&gt;29,"⚠️ Temp ALTA",IF(H34="","✅ OK",IF(H34&lt;5.5,"⚠️ pH muito baixo",IF(H34&gt;6.9,"⚠️ pH alto",IF(I34&gt;2.5,"⚠️ CE alta","✅ OK"))))))))</f>
        <v>—</v>
      </c>
    </row>
    <row r="35" spans="2:12" ht="18" customHeight="1" x14ac:dyDescent="0.3">
      <c r="B35" s="70">
        <f>IF(30&lt;='🌱 Configuração'!$F$50,30,"")</f>
        <v>30</v>
      </c>
      <c r="C35" s="71">
        <f>IF(30&lt;='🌱 Configuração'!$F$50,'🌱 Configuração'!$B$51+29,"")</f>
        <v>46052</v>
      </c>
      <c r="D35" s="70" t="str">
        <f>IF(30&gt;'🌱 Configuração'!$F$50,"",IF('🌱 Configuração'!$B$51+29&lt;'🌱 Configuração'!$C$51,"🌱 Clone",IF('🌱 Configuração'!$B$51+29&lt;'🌱 Configuração'!$D$51,"🌿 Vega",IF('🌱 Configuração'!$B$51+29&lt;'🌱 Configuração'!$E$51,"🌸 Flora","🚿 Flush"))))</f>
        <v>🌿 Vega</v>
      </c>
      <c r="E35" s="70"/>
      <c r="F35" s="70"/>
      <c r="G35" s="70"/>
      <c r="H35" s="70"/>
      <c r="I35" s="70"/>
      <c r="J35" s="70"/>
      <c r="K35" s="70"/>
      <c r="L35" t="str">
        <f>IF(30&gt;'🌱 Configuração'!$F$50,"",IF(F35="","—",IF(F35&lt;22,"⚠️ Temp baixa",IF(F35&gt;29,"⚠️ Temp ALTA",IF(H35="","✅ OK",IF(H35&lt;5.5,"⚠️ pH muito baixo",IF(H35&gt;6.9,"⚠️ pH alto",IF(I35&gt;2.5,"⚠️ CE alta","✅ OK"))))))))</f>
        <v>—</v>
      </c>
    </row>
    <row r="36" spans="2:12" ht="18" customHeight="1" x14ac:dyDescent="0.3">
      <c r="B36" s="68">
        <f>IF(31&lt;='🌱 Configuração'!$F$50,31,"")</f>
        <v>31</v>
      </c>
      <c r="C36" s="69">
        <f>IF(31&lt;='🌱 Configuração'!$F$50,'🌱 Configuração'!$B$51+30,"")</f>
        <v>46053</v>
      </c>
      <c r="D36" s="68" t="str">
        <f>IF(31&gt;'🌱 Configuração'!$F$50,"",IF('🌱 Configuração'!$B$51+30&lt;'🌱 Configuração'!$C$51,"🌱 Clone",IF('🌱 Configuração'!$B$51+30&lt;'🌱 Configuração'!$D$51,"🌿 Vega",IF('🌱 Configuração'!$B$51+30&lt;'🌱 Configuração'!$E$51,"🌸 Flora","🚿 Flush"))))</f>
        <v>🌿 Vega</v>
      </c>
      <c r="E36" s="68"/>
      <c r="F36" s="68"/>
      <c r="G36" s="68"/>
      <c r="H36" s="68"/>
      <c r="I36" s="68"/>
      <c r="J36" s="68"/>
      <c r="K36" s="68"/>
      <c r="L36" t="str">
        <f>IF(31&gt;'🌱 Configuração'!$F$50,"",IF(F36="","—",IF(F36&lt;22,"⚠️ Temp baixa",IF(F36&gt;29,"⚠️ Temp ALTA",IF(H36="","✅ OK",IF(H36&lt;5.5,"⚠️ pH muito baixo",IF(H36&gt;6.9,"⚠️ pH alto",IF(I36&gt;2.5,"⚠️ CE alta","✅ OK"))))))))</f>
        <v>—</v>
      </c>
    </row>
    <row r="37" spans="2:12" ht="18" customHeight="1" x14ac:dyDescent="0.3">
      <c r="B37" s="70">
        <f>IF(32&lt;='🌱 Configuração'!$F$50,32,"")</f>
        <v>32</v>
      </c>
      <c r="C37" s="71">
        <f>IF(32&lt;='🌱 Configuração'!$F$50,'🌱 Configuração'!$B$51+31,"")</f>
        <v>46054</v>
      </c>
      <c r="D37" s="70" t="str">
        <f>IF(32&gt;'🌱 Configuração'!$F$50,"",IF('🌱 Configuração'!$B$51+31&lt;'🌱 Configuração'!$C$51,"🌱 Clone",IF('🌱 Configuração'!$B$51+31&lt;'🌱 Configuração'!$D$51,"🌿 Vega",IF('🌱 Configuração'!$B$51+31&lt;'🌱 Configuração'!$E$51,"🌸 Flora","🚿 Flush"))))</f>
        <v>🌿 Vega</v>
      </c>
      <c r="E37" s="70"/>
      <c r="F37" s="70"/>
      <c r="G37" s="70"/>
      <c r="H37" s="70"/>
      <c r="I37" s="70"/>
      <c r="J37" s="70"/>
      <c r="K37" s="70"/>
      <c r="L37" t="str">
        <f>IF(32&gt;'🌱 Configuração'!$F$50,"",IF(F37="","—",IF(F37&lt;22,"⚠️ Temp baixa",IF(F37&gt;29,"⚠️ Temp ALTA",IF(H37="","✅ OK",IF(H37&lt;5.5,"⚠️ pH muito baixo",IF(H37&gt;6.9,"⚠️ pH alto",IF(I37&gt;2.5,"⚠️ CE alta","✅ OK"))))))))</f>
        <v>—</v>
      </c>
    </row>
    <row r="38" spans="2:12" ht="18" customHeight="1" x14ac:dyDescent="0.3">
      <c r="B38" s="68">
        <f>IF(33&lt;='🌱 Configuração'!$F$50,33,"")</f>
        <v>33</v>
      </c>
      <c r="C38" s="69">
        <f>IF(33&lt;='🌱 Configuração'!$F$50,'🌱 Configuração'!$B$51+32,"")</f>
        <v>46055</v>
      </c>
      <c r="D38" s="68" t="str">
        <f>IF(33&gt;'🌱 Configuração'!$F$50,"",IF('🌱 Configuração'!$B$51+32&lt;'🌱 Configuração'!$C$51,"🌱 Clone",IF('🌱 Configuração'!$B$51+32&lt;'🌱 Configuração'!$D$51,"🌿 Vega",IF('🌱 Configuração'!$B$51+32&lt;'🌱 Configuração'!$E$51,"🌸 Flora","🚿 Flush"))))</f>
        <v>🌿 Vega</v>
      </c>
      <c r="E38" s="68"/>
      <c r="F38" s="68"/>
      <c r="G38" s="68"/>
      <c r="H38" s="68"/>
      <c r="I38" s="68"/>
      <c r="J38" s="68"/>
      <c r="K38" s="68"/>
      <c r="L38" t="str">
        <f>IF(33&gt;'🌱 Configuração'!$F$50,"",IF(F38="","—",IF(F38&lt;22,"⚠️ Temp baixa",IF(F38&gt;29,"⚠️ Temp ALTA",IF(H38="","✅ OK",IF(H38&lt;5.5,"⚠️ pH muito baixo",IF(H38&gt;6.9,"⚠️ pH alto",IF(I38&gt;2.5,"⚠️ CE alta","✅ OK"))))))))</f>
        <v>—</v>
      </c>
    </row>
    <row r="39" spans="2:12" ht="18" customHeight="1" x14ac:dyDescent="0.3">
      <c r="B39" s="70">
        <f>IF(34&lt;='🌱 Configuração'!$F$50,34,"")</f>
        <v>34</v>
      </c>
      <c r="C39" s="71">
        <f>IF(34&lt;='🌱 Configuração'!$F$50,'🌱 Configuração'!$B$51+33,"")</f>
        <v>46056</v>
      </c>
      <c r="D39" s="70" t="str">
        <f>IF(34&gt;'🌱 Configuração'!$F$50,"",IF('🌱 Configuração'!$B$51+33&lt;'🌱 Configuração'!$C$51,"🌱 Clone",IF('🌱 Configuração'!$B$51+33&lt;'🌱 Configuração'!$D$51,"🌿 Vega",IF('🌱 Configuração'!$B$51+33&lt;'🌱 Configuração'!$E$51,"🌸 Flora","🚿 Flush"))))</f>
        <v>🌿 Vega</v>
      </c>
      <c r="E39" s="70"/>
      <c r="F39" s="70"/>
      <c r="G39" s="70"/>
      <c r="H39" s="70"/>
      <c r="I39" s="70"/>
      <c r="J39" s="70"/>
      <c r="K39" s="70"/>
      <c r="L39" t="str">
        <f>IF(34&gt;'🌱 Configuração'!$F$50,"",IF(F39="","—",IF(F39&lt;22,"⚠️ Temp baixa",IF(F39&gt;29,"⚠️ Temp ALTA",IF(H39="","✅ OK",IF(H39&lt;5.5,"⚠️ pH muito baixo",IF(H39&gt;6.9,"⚠️ pH alto",IF(I39&gt;2.5,"⚠️ CE alta","✅ OK"))))))))</f>
        <v>—</v>
      </c>
    </row>
    <row r="40" spans="2:12" ht="18" customHeight="1" x14ac:dyDescent="0.3">
      <c r="B40" s="68">
        <f>IF(35&lt;='🌱 Configuração'!$F$50,35,"")</f>
        <v>35</v>
      </c>
      <c r="C40" s="69">
        <f>IF(35&lt;='🌱 Configuração'!$F$50,'🌱 Configuração'!$B$51+34,"")</f>
        <v>46057</v>
      </c>
      <c r="D40" s="68" t="str">
        <f>IF(35&gt;'🌱 Configuração'!$F$50,"",IF('🌱 Configuração'!$B$51+34&lt;'🌱 Configuração'!$C$51,"🌱 Clone",IF('🌱 Configuração'!$B$51+34&lt;'🌱 Configuração'!$D$51,"🌿 Vega",IF('🌱 Configuração'!$B$51+34&lt;'🌱 Configuração'!$E$51,"🌸 Flora","🚿 Flush"))))</f>
        <v>🌿 Vega</v>
      </c>
      <c r="E40" s="68"/>
      <c r="F40" s="68"/>
      <c r="G40" s="68"/>
      <c r="H40" s="68"/>
      <c r="I40" s="68"/>
      <c r="J40" s="68"/>
      <c r="K40" s="68"/>
      <c r="L40" t="str">
        <f>IF(35&gt;'🌱 Configuração'!$F$50,"",IF(F40="","—",IF(F40&lt;22,"⚠️ Temp baixa",IF(F40&gt;29,"⚠️ Temp ALTA",IF(H40="","✅ OK",IF(H40&lt;5.5,"⚠️ pH muito baixo",IF(H40&gt;6.9,"⚠️ pH alto",IF(I40&gt;2.5,"⚠️ CE alta","✅ OK"))))))))</f>
        <v>—</v>
      </c>
    </row>
    <row r="41" spans="2:12" ht="18" customHeight="1" x14ac:dyDescent="0.3">
      <c r="B41" s="70">
        <f>IF(36&lt;='🌱 Configuração'!$F$50,36,"")</f>
        <v>36</v>
      </c>
      <c r="C41" s="71">
        <f>IF(36&lt;='🌱 Configuração'!$F$50,'🌱 Configuração'!$B$51+35,"")</f>
        <v>46058</v>
      </c>
      <c r="D41" s="70" t="str">
        <f>IF(36&gt;'🌱 Configuração'!$F$50,"",IF('🌱 Configuração'!$B$51+35&lt;'🌱 Configuração'!$C$51,"🌱 Clone",IF('🌱 Configuração'!$B$51+35&lt;'🌱 Configuração'!$D$51,"🌿 Vega",IF('🌱 Configuração'!$B$51+35&lt;'🌱 Configuração'!$E$51,"🌸 Flora","🚿 Flush"))))</f>
        <v>🌿 Vega</v>
      </c>
      <c r="E41" s="70"/>
      <c r="F41" s="70"/>
      <c r="G41" s="70"/>
      <c r="H41" s="70"/>
      <c r="I41" s="70"/>
      <c r="J41" s="70"/>
      <c r="K41" s="70"/>
      <c r="L41" t="str">
        <f>IF(36&gt;'🌱 Configuração'!$F$50,"",IF(F41="","—",IF(F41&lt;22,"⚠️ Temp baixa",IF(F41&gt;29,"⚠️ Temp ALTA",IF(H41="","✅ OK",IF(H41&lt;5.5,"⚠️ pH muito baixo",IF(H41&gt;6.9,"⚠️ pH alto",IF(I41&gt;2.5,"⚠️ CE alta","✅ OK"))))))))</f>
        <v>—</v>
      </c>
    </row>
    <row r="42" spans="2:12" ht="18" customHeight="1" x14ac:dyDescent="0.3">
      <c r="B42" s="68">
        <f>IF(37&lt;='🌱 Configuração'!$F$50,37,"")</f>
        <v>37</v>
      </c>
      <c r="C42" s="69">
        <f>IF(37&lt;='🌱 Configuração'!$F$50,'🌱 Configuração'!$B$51+36,"")</f>
        <v>46059</v>
      </c>
      <c r="D42" s="68" t="str">
        <f>IF(37&gt;'🌱 Configuração'!$F$50,"",IF('🌱 Configuração'!$B$51+36&lt;'🌱 Configuração'!$C$51,"🌱 Clone",IF('🌱 Configuração'!$B$51+36&lt;'🌱 Configuração'!$D$51,"🌿 Vega",IF('🌱 Configuração'!$B$51+36&lt;'🌱 Configuração'!$E$51,"🌸 Flora","🚿 Flush"))))</f>
        <v>🌿 Vega</v>
      </c>
      <c r="E42" s="68"/>
      <c r="F42" s="68"/>
      <c r="G42" s="68"/>
      <c r="H42" s="68"/>
      <c r="I42" s="68"/>
      <c r="J42" s="68"/>
      <c r="K42" s="68"/>
      <c r="L42" t="str">
        <f>IF(37&gt;'🌱 Configuração'!$F$50,"",IF(F42="","—",IF(F42&lt;22,"⚠️ Temp baixa",IF(F42&gt;29,"⚠️ Temp ALTA",IF(H42="","✅ OK",IF(H42&lt;5.5,"⚠️ pH muito baixo",IF(H42&gt;6.9,"⚠️ pH alto",IF(I42&gt;2.5,"⚠️ CE alta","✅ OK"))))))))</f>
        <v>—</v>
      </c>
    </row>
    <row r="43" spans="2:12" ht="18" customHeight="1" x14ac:dyDescent="0.3">
      <c r="B43" s="70">
        <f>IF(38&lt;='🌱 Configuração'!$F$50,38,"")</f>
        <v>38</v>
      </c>
      <c r="C43" s="71">
        <f>IF(38&lt;='🌱 Configuração'!$F$50,'🌱 Configuração'!$B$51+37,"")</f>
        <v>46060</v>
      </c>
      <c r="D43" s="70" t="str">
        <f>IF(38&gt;'🌱 Configuração'!$F$50,"",IF('🌱 Configuração'!$B$51+37&lt;'🌱 Configuração'!$C$51,"🌱 Clone",IF('🌱 Configuração'!$B$51+37&lt;'🌱 Configuração'!$D$51,"🌿 Vega",IF('🌱 Configuração'!$B$51+37&lt;'🌱 Configuração'!$E$51,"🌸 Flora","🚿 Flush"))))</f>
        <v>🌿 Vega</v>
      </c>
      <c r="E43" s="70"/>
      <c r="F43" s="70"/>
      <c r="G43" s="70"/>
      <c r="H43" s="70"/>
      <c r="I43" s="70"/>
      <c r="J43" s="70"/>
      <c r="K43" s="70"/>
      <c r="L43" t="str">
        <f>IF(38&gt;'🌱 Configuração'!$F$50,"",IF(F43="","—",IF(F43&lt;22,"⚠️ Temp baixa",IF(F43&gt;29,"⚠️ Temp ALTA",IF(H43="","✅ OK",IF(H43&lt;5.5,"⚠️ pH muito baixo",IF(H43&gt;6.9,"⚠️ pH alto",IF(I43&gt;2.5,"⚠️ CE alta","✅ OK"))))))))</f>
        <v>—</v>
      </c>
    </row>
    <row r="44" spans="2:12" ht="18" customHeight="1" x14ac:dyDescent="0.3">
      <c r="B44" s="68">
        <f>IF(39&lt;='🌱 Configuração'!$F$50,39,"")</f>
        <v>39</v>
      </c>
      <c r="C44" s="69">
        <f>IF(39&lt;='🌱 Configuração'!$F$50,'🌱 Configuração'!$B$51+38,"")</f>
        <v>46061</v>
      </c>
      <c r="D44" s="68" t="str">
        <f>IF(39&gt;'🌱 Configuração'!$F$50,"",IF('🌱 Configuração'!$B$51+38&lt;'🌱 Configuração'!$C$51,"🌱 Clone",IF('🌱 Configuração'!$B$51+38&lt;'🌱 Configuração'!$D$51,"🌿 Vega",IF('🌱 Configuração'!$B$51+38&lt;'🌱 Configuração'!$E$51,"🌸 Flora","🚿 Flush"))))</f>
        <v>🌿 Vega</v>
      </c>
      <c r="E44" s="68"/>
      <c r="F44" s="68"/>
      <c r="G44" s="68"/>
      <c r="H44" s="68"/>
      <c r="I44" s="68"/>
      <c r="J44" s="68"/>
      <c r="K44" s="68"/>
      <c r="L44" t="str">
        <f>IF(39&gt;'🌱 Configuração'!$F$50,"",IF(F44="","—",IF(F44&lt;22,"⚠️ Temp baixa",IF(F44&gt;29,"⚠️ Temp ALTA",IF(H44="","✅ OK",IF(H44&lt;5.5,"⚠️ pH muito baixo",IF(H44&gt;6.9,"⚠️ pH alto",IF(I44&gt;2.5,"⚠️ CE alta","✅ OK"))))))))</f>
        <v>—</v>
      </c>
    </row>
    <row r="45" spans="2:12" ht="18" customHeight="1" x14ac:dyDescent="0.3">
      <c r="B45" s="70">
        <f>IF(40&lt;='🌱 Configuração'!$F$50,40,"")</f>
        <v>40</v>
      </c>
      <c r="C45" s="71">
        <f>IF(40&lt;='🌱 Configuração'!$F$50,'🌱 Configuração'!$B$51+39,"")</f>
        <v>46062</v>
      </c>
      <c r="D45" s="70" t="str">
        <f>IF(40&gt;'🌱 Configuração'!$F$50,"",IF('🌱 Configuração'!$B$51+39&lt;'🌱 Configuração'!$C$51,"🌱 Clone",IF('🌱 Configuração'!$B$51+39&lt;'🌱 Configuração'!$D$51,"🌿 Vega",IF('🌱 Configuração'!$B$51+39&lt;'🌱 Configuração'!$E$51,"🌸 Flora","🚿 Flush"))))</f>
        <v>🌿 Vega</v>
      </c>
      <c r="E45" s="70"/>
      <c r="F45" s="70"/>
      <c r="G45" s="70"/>
      <c r="H45" s="70"/>
      <c r="I45" s="70"/>
      <c r="J45" s="70"/>
      <c r="K45" s="70"/>
      <c r="L45" t="str">
        <f>IF(40&gt;'🌱 Configuração'!$F$50,"",IF(F45="","—",IF(F45&lt;22,"⚠️ Temp baixa",IF(F45&gt;29,"⚠️ Temp ALTA",IF(H45="","✅ OK",IF(H45&lt;5.5,"⚠️ pH muito baixo",IF(H45&gt;6.9,"⚠️ pH alto",IF(I45&gt;2.5,"⚠️ CE alta","✅ OK"))))))))</f>
        <v>—</v>
      </c>
    </row>
    <row r="46" spans="2:12" ht="18" customHeight="1" x14ac:dyDescent="0.3">
      <c r="B46" s="68">
        <f>IF(41&lt;='🌱 Configuração'!$F$50,41,"")</f>
        <v>41</v>
      </c>
      <c r="C46" s="69">
        <f>IF(41&lt;='🌱 Configuração'!$F$50,'🌱 Configuração'!$B$51+40,"")</f>
        <v>46063</v>
      </c>
      <c r="D46" s="68" t="str">
        <f>IF(41&gt;'🌱 Configuração'!$F$50,"",IF('🌱 Configuração'!$B$51+40&lt;'🌱 Configuração'!$C$51,"🌱 Clone",IF('🌱 Configuração'!$B$51+40&lt;'🌱 Configuração'!$D$51,"🌿 Vega",IF('🌱 Configuração'!$B$51+40&lt;'🌱 Configuração'!$E$51,"🌸 Flora","🚿 Flush"))))</f>
        <v>🌿 Vega</v>
      </c>
      <c r="E46" s="68"/>
      <c r="F46" s="68"/>
      <c r="G46" s="68"/>
      <c r="H46" s="68"/>
      <c r="I46" s="68"/>
      <c r="J46" s="68"/>
      <c r="K46" s="68"/>
      <c r="L46" t="str">
        <f>IF(41&gt;'🌱 Configuração'!$F$50,"",IF(F46="","—",IF(F46&lt;22,"⚠️ Temp baixa",IF(F46&gt;29,"⚠️ Temp ALTA",IF(H46="","✅ OK",IF(H46&lt;5.5,"⚠️ pH muito baixo",IF(H46&gt;6.9,"⚠️ pH alto",IF(I46&gt;2.5,"⚠️ CE alta","✅ OK"))))))))</f>
        <v>—</v>
      </c>
    </row>
    <row r="47" spans="2:12" ht="18" customHeight="1" x14ac:dyDescent="0.3">
      <c r="B47" s="70">
        <f>IF(42&lt;='🌱 Configuração'!$F$50,42,"")</f>
        <v>42</v>
      </c>
      <c r="C47" s="71">
        <f>IF(42&lt;='🌱 Configuração'!$F$50,'🌱 Configuração'!$B$51+41,"")</f>
        <v>46064</v>
      </c>
      <c r="D47" s="70" t="str">
        <f>IF(42&gt;'🌱 Configuração'!$F$50,"",IF('🌱 Configuração'!$B$51+41&lt;'🌱 Configuração'!$C$51,"🌱 Clone",IF('🌱 Configuração'!$B$51+41&lt;'🌱 Configuração'!$D$51,"🌿 Vega",IF('🌱 Configuração'!$B$51+41&lt;'🌱 Configuração'!$E$51,"🌸 Flora","🚿 Flush"))))</f>
        <v>🌿 Vega</v>
      </c>
      <c r="E47" s="70"/>
      <c r="F47" s="70"/>
      <c r="G47" s="70"/>
      <c r="H47" s="70"/>
      <c r="I47" s="70"/>
      <c r="J47" s="70"/>
      <c r="K47" s="70"/>
      <c r="L47" t="str">
        <f>IF(42&gt;'🌱 Configuração'!$F$50,"",IF(F47="","—",IF(F47&lt;22,"⚠️ Temp baixa",IF(F47&gt;29,"⚠️ Temp ALTA",IF(H47="","✅ OK",IF(H47&lt;5.5,"⚠️ pH muito baixo",IF(H47&gt;6.9,"⚠️ pH alto",IF(I47&gt;2.5,"⚠️ CE alta","✅ OK"))))))))</f>
        <v>—</v>
      </c>
    </row>
    <row r="48" spans="2:12" ht="18" customHeight="1" x14ac:dyDescent="0.3">
      <c r="B48" s="68">
        <f>IF(43&lt;='🌱 Configuração'!$F$50,43,"")</f>
        <v>43</v>
      </c>
      <c r="C48" s="69">
        <f>IF(43&lt;='🌱 Configuração'!$F$50,'🌱 Configuração'!$B$51+42,"")</f>
        <v>46065</v>
      </c>
      <c r="D48" s="68" t="str">
        <f>IF(43&gt;'🌱 Configuração'!$F$50,"",IF('🌱 Configuração'!$B$51+42&lt;'🌱 Configuração'!$C$51,"🌱 Clone",IF('🌱 Configuração'!$B$51+42&lt;'🌱 Configuração'!$D$51,"🌿 Vega",IF('🌱 Configuração'!$B$51+42&lt;'🌱 Configuração'!$E$51,"🌸 Flora","🚿 Flush"))))</f>
        <v>🌿 Vega</v>
      </c>
      <c r="E48" s="68"/>
      <c r="F48" s="68"/>
      <c r="G48" s="68"/>
      <c r="H48" s="68"/>
      <c r="I48" s="68"/>
      <c r="J48" s="68"/>
      <c r="K48" s="68"/>
      <c r="L48" t="str">
        <f>IF(43&gt;'🌱 Configuração'!$F$50,"",IF(F48="","—",IF(F48&lt;22,"⚠️ Temp baixa",IF(F48&gt;29,"⚠️ Temp ALTA",IF(H48="","✅ OK",IF(H48&lt;5.5,"⚠️ pH muito baixo",IF(H48&gt;6.9,"⚠️ pH alto",IF(I48&gt;2.5,"⚠️ CE alta","✅ OK"))))))))</f>
        <v>—</v>
      </c>
    </row>
    <row r="49" spans="2:12" ht="18" customHeight="1" x14ac:dyDescent="0.3">
      <c r="B49" s="70">
        <f>IF(44&lt;='🌱 Configuração'!$F$50,44,"")</f>
        <v>44</v>
      </c>
      <c r="C49" s="71">
        <f>IF(44&lt;='🌱 Configuração'!$F$50,'🌱 Configuração'!$B$51+43,"")</f>
        <v>46066</v>
      </c>
      <c r="D49" s="70" t="str">
        <f>IF(44&gt;'🌱 Configuração'!$F$50,"",IF('🌱 Configuração'!$B$51+43&lt;'🌱 Configuração'!$C$51,"🌱 Clone",IF('🌱 Configuração'!$B$51+43&lt;'🌱 Configuração'!$D$51,"🌿 Vega",IF('🌱 Configuração'!$B$51+43&lt;'🌱 Configuração'!$E$51,"🌸 Flora","🚿 Flush"))))</f>
        <v>🌿 Vega</v>
      </c>
      <c r="E49" s="70"/>
      <c r="F49" s="70"/>
      <c r="G49" s="70"/>
      <c r="H49" s="70"/>
      <c r="I49" s="70"/>
      <c r="J49" s="70"/>
      <c r="K49" s="70"/>
      <c r="L49" t="str">
        <f>IF(44&gt;'🌱 Configuração'!$F$50,"",IF(F49="","—",IF(F49&lt;22,"⚠️ Temp baixa",IF(F49&gt;29,"⚠️ Temp ALTA",IF(H49="","✅ OK",IF(H49&lt;5.5,"⚠️ pH muito baixo",IF(H49&gt;6.9,"⚠️ pH alto",IF(I49&gt;2.5,"⚠️ CE alta","✅ OK"))))))))</f>
        <v>—</v>
      </c>
    </row>
    <row r="50" spans="2:12" ht="18" customHeight="1" x14ac:dyDescent="0.3">
      <c r="B50" s="68">
        <f>IF(45&lt;='🌱 Configuração'!$F$50,45,"")</f>
        <v>45</v>
      </c>
      <c r="C50" s="69">
        <f>IF(45&lt;='🌱 Configuração'!$F$50,'🌱 Configuração'!$B$51+44,"")</f>
        <v>46067</v>
      </c>
      <c r="D50" s="68" t="str">
        <f>IF(45&gt;'🌱 Configuração'!$F$50,"",IF('🌱 Configuração'!$B$51+44&lt;'🌱 Configuração'!$C$51,"🌱 Clone",IF('🌱 Configuração'!$B$51+44&lt;'🌱 Configuração'!$D$51,"🌿 Vega",IF('🌱 Configuração'!$B$51+44&lt;'🌱 Configuração'!$E$51,"🌸 Flora","🚿 Flush"))))</f>
        <v>🌿 Vega</v>
      </c>
      <c r="E50" s="68"/>
      <c r="F50" s="68"/>
      <c r="G50" s="68"/>
      <c r="H50" s="68"/>
      <c r="I50" s="68"/>
      <c r="J50" s="68"/>
      <c r="K50" s="68"/>
      <c r="L50" t="str">
        <f>IF(45&gt;'🌱 Configuração'!$F$50,"",IF(F50="","—",IF(F50&lt;22,"⚠️ Temp baixa",IF(F50&gt;29,"⚠️ Temp ALTA",IF(H50="","✅ OK",IF(H50&lt;5.5,"⚠️ pH muito baixo",IF(H50&gt;6.9,"⚠️ pH alto",IF(I50&gt;2.5,"⚠️ CE alta","✅ OK"))))))))</f>
        <v>—</v>
      </c>
    </row>
    <row r="51" spans="2:12" ht="18" customHeight="1" x14ac:dyDescent="0.3">
      <c r="B51" s="70">
        <f>IF(46&lt;='🌱 Configuração'!$F$50,46,"")</f>
        <v>46</v>
      </c>
      <c r="C51" s="71">
        <f>IF(46&lt;='🌱 Configuração'!$F$50,'🌱 Configuração'!$B$51+45,"")</f>
        <v>46068</v>
      </c>
      <c r="D51" s="70" t="str">
        <f>IF(46&gt;'🌱 Configuração'!$F$50,"",IF('🌱 Configuração'!$B$51+45&lt;'🌱 Configuração'!$C$51,"🌱 Clone",IF('🌱 Configuração'!$B$51+45&lt;'🌱 Configuração'!$D$51,"🌿 Vega",IF('🌱 Configuração'!$B$51+45&lt;'🌱 Configuração'!$E$51,"🌸 Flora","🚿 Flush"))))</f>
        <v>🌿 Vega</v>
      </c>
      <c r="E51" s="70"/>
      <c r="F51" s="70"/>
      <c r="G51" s="70"/>
      <c r="H51" s="70"/>
      <c r="I51" s="70"/>
      <c r="J51" s="70"/>
      <c r="K51" s="70"/>
      <c r="L51" t="str">
        <f>IF(46&gt;'🌱 Configuração'!$F$50,"",IF(F51="","—",IF(F51&lt;22,"⚠️ Temp baixa",IF(F51&gt;29,"⚠️ Temp ALTA",IF(H51="","✅ OK",IF(H51&lt;5.5,"⚠️ pH muito baixo",IF(H51&gt;6.9,"⚠️ pH alto",IF(I51&gt;2.5,"⚠️ CE alta","✅ OK"))))))))</f>
        <v>—</v>
      </c>
    </row>
    <row r="52" spans="2:12" ht="18" customHeight="1" x14ac:dyDescent="0.3">
      <c r="B52" s="68">
        <f>IF(47&lt;='🌱 Configuração'!$F$50,47,"")</f>
        <v>47</v>
      </c>
      <c r="C52" s="69">
        <f>IF(47&lt;='🌱 Configuração'!$F$50,'🌱 Configuração'!$B$51+46,"")</f>
        <v>46069</v>
      </c>
      <c r="D52" s="68" t="str">
        <f>IF(47&gt;'🌱 Configuração'!$F$50,"",IF('🌱 Configuração'!$B$51+46&lt;'🌱 Configuração'!$C$51,"🌱 Clone",IF('🌱 Configuração'!$B$51+46&lt;'🌱 Configuração'!$D$51,"🌿 Vega",IF('🌱 Configuração'!$B$51+46&lt;'🌱 Configuração'!$E$51,"🌸 Flora","🚿 Flush"))))</f>
        <v>🌿 Vega</v>
      </c>
      <c r="E52" s="68"/>
      <c r="F52" s="68"/>
      <c r="G52" s="68"/>
      <c r="H52" s="68"/>
      <c r="I52" s="68"/>
      <c r="J52" s="68"/>
      <c r="K52" s="68"/>
      <c r="L52" t="str">
        <f>IF(47&gt;'🌱 Configuração'!$F$50,"",IF(F52="","—",IF(F52&lt;22,"⚠️ Temp baixa",IF(F52&gt;29,"⚠️ Temp ALTA",IF(H52="","✅ OK",IF(H52&lt;5.5,"⚠️ pH muito baixo",IF(H52&gt;6.9,"⚠️ pH alto",IF(I52&gt;2.5,"⚠️ CE alta","✅ OK"))))))))</f>
        <v>—</v>
      </c>
    </row>
    <row r="53" spans="2:12" ht="18" customHeight="1" x14ac:dyDescent="0.3">
      <c r="B53" s="70">
        <f>IF(48&lt;='🌱 Configuração'!$F$50,48,"")</f>
        <v>48</v>
      </c>
      <c r="C53" s="71">
        <f>IF(48&lt;='🌱 Configuração'!$F$50,'🌱 Configuração'!$B$51+47,"")</f>
        <v>46070</v>
      </c>
      <c r="D53" s="70" t="str">
        <f>IF(48&gt;'🌱 Configuração'!$F$50,"",IF('🌱 Configuração'!$B$51+47&lt;'🌱 Configuração'!$C$51,"🌱 Clone",IF('🌱 Configuração'!$B$51+47&lt;'🌱 Configuração'!$D$51,"🌿 Vega",IF('🌱 Configuração'!$B$51+47&lt;'🌱 Configuração'!$E$51,"🌸 Flora","🚿 Flush"))))</f>
        <v>🌿 Vega</v>
      </c>
      <c r="E53" s="70"/>
      <c r="F53" s="70"/>
      <c r="G53" s="70"/>
      <c r="H53" s="70"/>
      <c r="I53" s="70"/>
      <c r="J53" s="70"/>
      <c r="K53" s="70"/>
      <c r="L53" t="str">
        <f>IF(48&gt;'🌱 Configuração'!$F$50,"",IF(F53="","—",IF(F53&lt;22,"⚠️ Temp baixa",IF(F53&gt;29,"⚠️ Temp ALTA",IF(H53="","✅ OK",IF(H53&lt;5.5,"⚠️ pH muito baixo",IF(H53&gt;6.9,"⚠️ pH alto",IF(I53&gt;2.5,"⚠️ CE alta","✅ OK"))))))))</f>
        <v>—</v>
      </c>
    </row>
    <row r="54" spans="2:12" ht="18" customHeight="1" x14ac:dyDescent="0.3">
      <c r="B54" s="68">
        <f>IF(49&lt;='🌱 Configuração'!$F$50,49,"")</f>
        <v>49</v>
      </c>
      <c r="C54" s="69">
        <f>IF(49&lt;='🌱 Configuração'!$F$50,'🌱 Configuração'!$B$51+48,"")</f>
        <v>46071</v>
      </c>
      <c r="D54" s="68" t="str">
        <f>IF(49&gt;'🌱 Configuração'!$F$50,"",IF('🌱 Configuração'!$B$51+48&lt;'🌱 Configuração'!$C$51,"🌱 Clone",IF('🌱 Configuração'!$B$51+48&lt;'🌱 Configuração'!$D$51,"🌿 Vega",IF('🌱 Configuração'!$B$51+48&lt;'🌱 Configuração'!$E$51,"🌸 Flora","🚿 Flush"))))</f>
        <v>🌿 Vega</v>
      </c>
      <c r="E54" s="68"/>
      <c r="F54" s="68"/>
      <c r="G54" s="68"/>
      <c r="H54" s="68"/>
      <c r="I54" s="68"/>
      <c r="J54" s="68"/>
      <c r="K54" s="68"/>
      <c r="L54" t="str">
        <f>IF(49&gt;'🌱 Configuração'!$F$50,"",IF(F54="","—",IF(F54&lt;22,"⚠️ Temp baixa",IF(F54&gt;29,"⚠️ Temp ALTA",IF(H54="","✅ OK",IF(H54&lt;5.5,"⚠️ pH muito baixo",IF(H54&gt;6.9,"⚠️ pH alto",IF(I54&gt;2.5,"⚠️ CE alta","✅ OK"))))))))</f>
        <v>—</v>
      </c>
    </row>
    <row r="55" spans="2:12" ht="18" customHeight="1" x14ac:dyDescent="0.3">
      <c r="B55" s="70">
        <f>IF(50&lt;='🌱 Configuração'!$F$50,50,"")</f>
        <v>50</v>
      </c>
      <c r="C55" s="71">
        <f>IF(50&lt;='🌱 Configuração'!$F$50,'🌱 Configuração'!$B$51+49,"")</f>
        <v>46072</v>
      </c>
      <c r="D55" s="70" t="str">
        <f>IF(50&gt;'🌱 Configuração'!$F$50,"",IF('🌱 Configuração'!$B$51+49&lt;'🌱 Configuração'!$C$51,"🌱 Clone",IF('🌱 Configuração'!$B$51+49&lt;'🌱 Configuração'!$D$51,"🌿 Vega",IF('🌱 Configuração'!$B$51+49&lt;'🌱 Configuração'!$E$51,"🌸 Flora","🚿 Flush"))))</f>
        <v>🌿 Vega</v>
      </c>
      <c r="E55" s="70"/>
      <c r="F55" s="70"/>
      <c r="G55" s="70"/>
      <c r="H55" s="70"/>
      <c r="I55" s="70"/>
      <c r="J55" s="70"/>
      <c r="K55" s="70"/>
      <c r="L55" t="str">
        <f>IF(50&gt;'🌱 Configuração'!$F$50,"",IF(F55="","—",IF(F55&lt;22,"⚠️ Temp baixa",IF(F55&gt;29,"⚠️ Temp ALTA",IF(H55="","✅ OK",IF(H55&lt;5.5,"⚠️ pH muito baixo",IF(H55&gt;6.9,"⚠️ pH alto",IF(I55&gt;2.5,"⚠️ CE alta","✅ OK"))))))))</f>
        <v>—</v>
      </c>
    </row>
    <row r="56" spans="2:12" ht="18" customHeight="1" x14ac:dyDescent="0.3">
      <c r="B56" s="68">
        <f>IF(51&lt;='🌱 Configuração'!$F$50,51,"")</f>
        <v>51</v>
      </c>
      <c r="C56" s="69">
        <f>IF(51&lt;='🌱 Configuração'!$F$50,'🌱 Configuração'!$B$51+50,"")</f>
        <v>46073</v>
      </c>
      <c r="D56" s="68" t="str">
        <f>IF(51&gt;'🌱 Configuração'!$F$50,"",IF('🌱 Configuração'!$B$51+50&lt;'🌱 Configuração'!$C$51,"🌱 Clone",IF('🌱 Configuração'!$B$51+50&lt;'🌱 Configuração'!$D$51,"🌿 Vega",IF('🌱 Configuração'!$B$51+50&lt;'🌱 Configuração'!$E$51,"🌸 Flora","🚿 Flush"))))</f>
        <v>🌿 Vega</v>
      </c>
      <c r="E56" s="68"/>
      <c r="F56" s="68"/>
      <c r="G56" s="68"/>
      <c r="H56" s="68"/>
      <c r="I56" s="68"/>
      <c r="J56" s="68"/>
      <c r="K56" s="68"/>
      <c r="L56" t="str">
        <f>IF(51&gt;'🌱 Configuração'!$F$50,"",IF(F56="","—",IF(F56&lt;22,"⚠️ Temp baixa",IF(F56&gt;29,"⚠️ Temp ALTA",IF(H56="","✅ OK",IF(H56&lt;5.5,"⚠️ pH muito baixo",IF(H56&gt;6.9,"⚠️ pH alto",IF(I56&gt;2.5,"⚠️ CE alta","✅ OK"))))))))</f>
        <v>—</v>
      </c>
    </row>
    <row r="57" spans="2:12" ht="18" customHeight="1" x14ac:dyDescent="0.3">
      <c r="B57" s="70">
        <f>IF(52&lt;='🌱 Configuração'!$F$50,52,"")</f>
        <v>52</v>
      </c>
      <c r="C57" s="71">
        <f>IF(52&lt;='🌱 Configuração'!$F$50,'🌱 Configuração'!$B$51+51,"")</f>
        <v>46074</v>
      </c>
      <c r="D57" s="70" t="str">
        <f>IF(52&gt;'🌱 Configuração'!$F$50,"",IF('🌱 Configuração'!$B$51+51&lt;'🌱 Configuração'!$C$51,"🌱 Clone",IF('🌱 Configuração'!$B$51+51&lt;'🌱 Configuração'!$D$51,"🌿 Vega",IF('🌱 Configuração'!$B$51+51&lt;'🌱 Configuração'!$E$51,"🌸 Flora","🚿 Flush"))))</f>
        <v>🌿 Vega</v>
      </c>
      <c r="E57" s="70"/>
      <c r="F57" s="70"/>
      <c r="G57" s="70"/>
      <c r="H57" s="70"/>
      <c r="I57" s="70"/>
      <c r="J57" s="70"/>
      <c r="K57" s="70"/>
      <c r="L57" t="str">
        <f>IF(52&gt;'🌱 Configuração'!$F$50,"",IF(F57="","—",IF(F57&lt;22,"⚠️ Temp baixa",IF(F57&gt;29,"⚠️ Temp ALTA",IF(H57="","✅ OK",IF(H57&lt;5.5,"⚠️ pH muito baixo",IF(H57&gt;6.9,"⚠️ pH alto",IF(I57&gt;2.5,"⚠️ CE alta","✅ OK"))))))))</f>
        <v>—</v>
      </c>
    </row>
    <row r="58" spans="2:12" ht="18" customHeight="1" x14ac:dyDescent="0.3">
      <c r="B58" s="68">
        <f>IF(53&lt;='🌱 Configuração'!$F$50,53,"")</f>
        <v>53</v>
      </c>
      <c r="C58" s="69">
        <f>IF(53&lt;='🌱 Configuração'!$F$50,'🌱 Configuração'!$B$51+52,"")</f>
        <v>46075</v>
      </c>
      <c r="D58" s="68" t="str">
        <f>IF(53&gt;'🌱 Configuração'!$F$50,"",IF('🌱 Configuração'!$B$51+52&lt;'🌱 Configuração'!$C$51,"🌱 Clone",IF('🌱 Configuração'!$B$51+52&lt;'🌱 Configuração'!$D$51,"🌿 Vega",IF('🌱 Configuração'!$B$51+52&lt;'🌱 Configuração'!$E$51,"🌸 Flora","🚿 Flush"))))</f>
        <v>🌿 Vega</v>
      </c>
      <c r="E58" s="68"/>
      <c r="F58" s="68"/>
      <c r="G58" s="68"/>
      <c r="H58" s="68"/>
      <c r="I58" s="68"/>
      <c r="J58" s="68"/>
      <c r="K58" s="68"/>
      <c r="L58" t="str">
        <f>IF(53&gt;'🌱 Configuração'!$F$50,"",IF(F58="","—",IF(F58&lt;22,"⚠️ Temp baixa",IF(F58&gt;29,"⚠️ Temp ALTA",IF(H58="","✅ OK",IF(H58&lt;5.5,"⚠️ pH muito baixo",IF(H58&gt;6.9,"⚠️ pH alto",IF(I58&gt;2.5,"⚠️ CE alta","✅ OK"))))))))</f>
        <v>—</v>
      </c>
    </row>
    <row r="59" spans="2:12" ht="18" customHeight="1" x14ac:dyDescent="0.3">
      <c r="B59" s="70">
        <f>IF(54&lt;='🌱 Configuração'!$F$50,54,"")</f>
        <v>54</v>
      </c>
      <c r="C59" s="71">
        <f>IF(54&lt;='🌱 Configuração'!$F$50,'🌱 Configuração'!$B$51+53,"")</f>
        <v>46076</v>
      </c>
      <c r="D59" s="70" t="str">
        <f>IF(54&gt;'🌱 Configuração'!$F$50,"",IF('🌱 Configuração'!$B$51+53&lt;'🌱 Configuração'!$C$51,"🌱 Clone",IF('🌱 Configuração'!$B$51+53&lt;'🌱 Configuração'!$D$51,"🌿 Vega",IF('🌱 Configuração'!$B$51+53&lt;'🌱 Configuração'!$E$51,"🌸 Flora","🚿 Flush"))))</f>
        <v>🌿 Vega</v>
      </c>
      <c r="E59" s="70"/>
      <c r="F59" s="70"/>
      <c r="G59" s="70"/>
      <c r="H59" s="70"/>
      <c r="I59" s="70"/>
      <c r="J59" s="70"/>
      <c r="K59" s="70"/>
      <c r="L59" t="str">
        <f>IF(54&gt;'🌱 Configuração'!$F$50,"",IF(F59="","—",IF(F59&lt;22,"⚠️ Temp baixa",IF(F59&gt;29,"⚠️ Temp ALTA",IF(H59="","✅ OK",IF(H59&lt;5.5,"⚠️ pH muito baixo",IF(H59&gt;6.9,"⚠️ pH alto",IF(I59&gt;2.5,"⚠️ CE alta","✅ OK"))))))))</f>
        <v>—</v>
      </c>
    </row>
    <row r="60" spans="2:12" ht="18" customHeight="1" x14ac:dyDescent="0.3">
      <c r="B60" s="68">
        <f>IF(55&lt;='🌱 Configuração'!$F$50,55,"")</f>
        <v>55</v>
      </c>
      <c r="C60" s="69">
        <f>IF(55&lt;='🌱 Configuração'!$F$50,'🌱 Configuração'!$B$51+54,"")</f>
        <v>46077</v>
      </c>
      <c r="D60" s="68" t="str">
        <f>IF(55&gt;'🌱 Configuração'!$F$50,"",IF('🌱 Configuração'!$B$51+54&lt;'🌱 Configuração'!$C$51,"🌱 Clone",IF('🌱 Configuração'!$B$51+54&lt;'🌱 Configuração'!$D$51,"🌿 Vega",IF('🌱 Configuração'!$B$51+54&lt;'🌱 Configuração'!$E$51,"🌸 Flora","🚿 Flush"))))</f>
        <v>🌿 Vega</v>
      </c>
      <c r="E60" s="68"/>
      <c r="F60" s="68"/>
      <c r="G60" s="68"/>
      <c r="H60" s="68"/>
      <c r="I60" s="68"/>
      <c r="J60" s="68"/>
      <c r="K60" s="68"/>
      <c r="L60" t="str">
        <f>IF(55&gt;'🌱 Configuração'!$F$50,"",IF(F60="","—",IF(F60&lt;22,"⚠️ Temp baixa",IF(F60&gt;29,"⚠️ Temp ALTA",IF(H60="","✅ OK",IF(H60&lt;5.5,"⚠️ pH muito baixo",IF(H60&gt;6.9,"⚠️ pH alto",IF(I60&gt;2.5,"⚠️ CE alta","✅ OK"))))))))</f>
        <v>—</v>
      </c>
    </row>
    <row r="61" spans="2:12" ht="18" customHeight="1" x14ac:dyDescent="0.3">
      <c r="B61" s="70">
        <f>IF(56&lt;='🌱 Configuração'!$F$50,56,"")</f>
        <v>56</v>
      </c>
      <c r="C61" s="71">
        <f>IF(56&lt;='🌱 Configuração'!$F$50,'🌱 Configuração'!$B$51+55,"")</f>
        <v>46078</v>
      </c>
      <c r="D61" s="70" t="str">
        <f>IF(56&gt;'🌱 Configuração'!$F$50,"",IF('🌱 Configuração'!$B$51+55&lt;'🌱 Configuração'!$C$51,"🌱 Clone",IF('🌱 Configuração'!$B$51+55&lt;'🌱 Configuração'!$D$51,"🌿 Vega",IF('🌱 Configuração'!$B$51+55&lt;'🌱 Configuração'!$E$51,"🌸 Flora","🚿 Flush"))))</f>
        <v>🌿 Vega</v>
      </c>
      <c r="E61" s="70"/>
      <c r="F61" s="70"/>
      <c r="G61" s="70"/>
      <c r="H61" s="70"/>
      <c r="I61" s="70"/>
      <c r="J61" s="70"/>
      <c r="K61" s="70"/>
      <c r="L61" t="str">
        <f>IF(56&gt;'🌱 Configuração'!$F$50,"",IF(F61="","—",IF(F61&lt;22,"⚠️ Temp baixa",IF(F61&gt;29,"⚠️ Temp ALTA",IF(H61="","✅ OK",IF(H61&lt;5.5,"⚠️ pH muito baixo",IF(H61&gt;6.9,"⚠️ pH alto",IF(I61&gt;2.5,"⚠️ CE alta","✅ OK"))))))))</f>
        <v>—</v>
      </c>
    </row>
    <row r="62" spans="2:12" ht="18" customHeight="1" x14ac:dyDescent="0.3">
      <c r="B62" s="68">
        <f>IF(57&lt;='🌱 Configuração'!$F$50,57,"")</f>
        <v>57</v>
      </c>
      <c r="C62" s="69">
        <f>IF(57&lt;='🌱 Configuração'!$F$50,'🌱 Configuração'!$B$51+56,"")</f>
        <v>46079</v>
      </c>
      <c r="D62" s="68" t="str">
        <f>IF(57&gt;'🌱 Configuração'!$F$50,"",IF('🌱 Configuração'!$B$51+56&lt;'🌱 Configuração'!$C$51,"🌱 Clone",IF('🌱 Configuração'!$B$51+56&lt;'🌱 Configuração'!$D$51,"🌿 Vega",IF('🌱 Configuração'!$B$51+56&lt;'🌱 Configuração'!$E$51,"🌸 Flora","🚿 Flush"))))</f>
        <v>🌸 Flora</v>
      </c>
      <c r="E62" s="68"/>
      <c r="F62" s="68"/>
      <c r="G62" s="68"/>
      <c r="H62" s="68"/>
      <c r="I62" s="68"/>
      <c r="J62" s="68"/>
      <c r="K62" s="68"/>
      <c r="L62" t="str">
        <f>IF(57&gt;'🌱 Configuração'!$F$50,"",IF(F62="","—",IF(F62&lt;22,"⚠️ Temp baixa",IF(F62&gt;29,"⚠️ Temp ALTA",IF(H62="","✅ OK",IF(H62&lt;5.5,"⚠️ pH muito baixo",IF(H62&gt;6.9,"⚠️ pH alto",IF(I62&gt;2.5,"⚠️ CE alta","✅ OK"))))))))</f>
        <v>—</v>
      </c>
    </row>
    <row r="63" spans="2:12" ht="18" customHeight="1" x14ac:dyDescent="0.3">
      <c r="B63" s="70">
        <f>IF(58&lt;='🌱 Configuração'!$F$50,58,"")</f>
        <v>58</v>
      </c>
      <c r="C63" s="71">
        <f>IF(58&lt;='🌱 Configuração'!$F$50,'🌱 Configuração'!$B$51+57,"")</f>
        <v>46080</v>
      </c>
      <c r="D63" s="70" t="str">
        <f>IF(58&gt;'🌱 Configuração'!$F$50,"",IF('🌱 Configuração'!$B$51+57&lt;'🌱 Configuração'!$C$51,"🌱 Clone",IF('🌱 Configuração'!$B$51+57&lt;'🌱 Configuração'!$D$51,"🌿 Vega",IF('🌱 Configuração'!$B$51+57&lt;'🌱 Configuração'!$E$51,"🌸 Flora","🚿 Flush"))))</f>
        <v>🌸 Flora</v>
      </c>
      <c r="E63" s="70"/>
      <c r="F63" s="70"/>
      <c r="G63" s="70"/>
      <c r="H63" s="70"/>
      <c r="I63" s="70"/>
      <c r="J63" s="70"/>
      <c r="K63" s="70"/>
      <c r="L63" t="str">
        <f>IF(58&gt;'🌱 Configuração'!$F$50,"",IF(F63="","—",IF(F63&lt;22,"⚠️ Temp baixa",IF(F63&gt;29,"⚠️ Temp ALTA",IF(H63="","✅ OK",IF(H63&lt;5.5,"⚠️ pH muito baixo",IF(H63&gt;6.9,"⚠️ pH alto",IF(I63&gt;2.5,"⚠️ CE alta","✅ OK"))))))))</f>
        <v>—</v>
      </c>
    </row>
    <row r="64" spans="2:12" ht="18" customHeight="1" x14ac:dyDescent="0.3">
      <c r="B64" s="68">
        <f>IF(59&lt;='🌱 Configuração'!$F$50,59,"")</f>
        <v>59</v>
      </c>
      <c r="C64" s="69">
        <f>IF(59&lt;='🌱 Configuração'!$F$50,'🌱 Configuração'!$B$51+58,"")</f>
        <v>46081</v>
      </c>
      <c r="D64" s="68" t="str">
        <f>IF(59&gt;'🌱 Configuração'!$F$50,"",IF('🌱 Configuração'!$B$51+58&lt;'🌱 Configuração'!$C$51,"🌱 Clone",IF('🌱 Configuração'!$B$51+58&lt;'🌱 Configuração'!$D$51,"🌿 Vega",IF('🌱 Configuração'!$B$51+58&lt;'🌱 Configuração'!$E$51,"🌸 Flora","🚿 Flush"))))</f>
        <v>🌸 Flora</v>
      </c>
      <c r="E64" s="68"/>
      <c r="F64" s="68"/>
      <c r="G64" s="68"/>
      <c r="H64" s="68"/>
      <c r="I64" s="68"/>
      <c r="J64" s="68"/>
      <c r="K64" s="68"/>
      <c r="L64" t="str">
        <f>IF(59&gt;'🌱 Configuração'!$F$50,"",IF(F64="","—",IF(F64&lt;22,"⚠️ Temp baixa",IF(F64&gt;29,"⚠️ Temp ALTA",IF(H64="","✅ OK",IF(H64&lt;5.5,"⚠️ pH muito baixo",IF(H64&gt;6.9,"⚠️ pH alto",IF(I64&gt;2.5,"⚠️ CE alta","✅ OK"))))))))</f>
        <v>—</v>
      </c>
    </row>
    <row r="65" spans="2:12" ht="18" customHeight="1" x14ac:dyDescent="0.3">
      <c r="B65" s="70">
        <f>IF(60&lt;='🌱 Configuração'!$F$50,60,"")</f>
        <v>60</v>
      </c>
      <c r="C65" s="71">
        <f>IF(60&lt;='🌱 Configuração'!$F$50,'🌱 Configuração'!$B$51+59,"")</f>
        <v>46082</v>
      </c>
      <c r="D65" s="70" t="str">
        <f>IF(60&gt;'🌱 Configuração'!$F$50,"",IF('🌱 Configuração'!$B$51+59&lt;'🌱 Configuração'!$C$51,"🌱 Clone",IF('🌱 Configuração'!$B$51+59&lt;'🌱 Configuração'!$D$51,"🌿 Vega",IF('🌱 Configuração'!$B$51+59&lt;'🌱 Configuração'!$E$51,"🌸 Flora","🚿 Flush"))))</f>
        <v>🌸 Flora</v>
      </c>
      <c r="E65" s="70"/>
      <c r="F65" s="70"/>
      <c r="G65" s="70"/>
      <c r="H65" s="70"/>
      <c r="I65" s="70"/>
      <c r="J65" s="70"/>
      <c r="K65" s="70"/>
      <c r="L65" t="str">
        <f>IF(60&gt;'🌱 Configuração'!$F$50,"",IF(F65="","—",IF(F65&lt;22,"⚠️ Temp baixa",IF(F65&gt;29,"⚠️ Temp ALTA",IF(H65="","✅ OK",IF(H65&lt;5.5,"⚠️ pH muito baixo",IF(H65&gt;6.9,"⚠️ pH alto",IF(I65&gt;2.5,"⚠️ CE alta","✅ OK"))))))))</f>
        <v>—</v>
      </c>
    </row>
    <row r="66" spans="2:12" ht="18" customHeight="1" x14ac:dyDescent="0.3">
      <c r="B66" s="68">
        <f>IF(61&lt;='🌱 Configuração'!$F$50,61,"")</f>
        <v>61</v>
      </c>
      <c r="C66" s="69">
        <f>IF(61&lt;='🌱 Configuração'!$F$50,'🌱 Configuração'!$B$51+60,"")</f>
        <v>46083</v>
      </c>
      <c r="D66" s="68" t="str">
        <f>IF(61&gt;'🌱 Configuração'!$F$50,"",IF('🌱 Configuração'!$B$51+60&lt;'🌱 Configuração'!$C$51,"🌱 Clone",IF('🌱 Configuração'!$B$51+60&lt;'🌱 Configuração'!$D$51,"🌿 Vega",IF('🌱 Configuração'!$B$51+60&lt;'🌱 Configuração'!$E$51,"🌸 Flora","🚿 Flush"))))</f>
        <v>🌸 Flora</v>
      </c>
      <c r="E66" s="68"/>
      <c r="F66" s="68"/>
      <c r="G66" s="68"/>
      <c r="H66" s="68"/>
      <c r="I66" s="68"/>
      <c r="J66" s="68"/>
      <c r="K66" s="68"/>
      <c r="L66" t="str">
        <f>IF(61&gt;'🌱 Configuração'!$F$50,"",IF(F66="","—",IF(F66&lt;22,"⚠️ Temp baixa",IF(F66&gt;29,"⚠️ Temp ALTA",IF(H66="","✅ OK",IF(H66&lt;5.5,"⚠️ pH muito baixo",IF(H66&gt;6.9,"⚠️ pH alto",IF(I66&gt;2.5,"⚠️ CE alta","✅ OK"))))))))</f>
        <v>—</v>
      </c>
    </row>
    <row r="67" spans="2:12" ht="18" customHeight="1" x14ac:dyDescent="0.3">
      <c r="B67" s="70">
        <f>IF(62&lt;='🌱 Configuração'!$F$50,62,"")</f>
        <v>62</v>
      </c>
      <c r="C67" s="71">
        <f>IF(62&lt;='🌱 Configuração'!$F$50,'🌱 Configuração'!$B$51+61,"")</f>
        <v>46084</v>
      </c>
      <c r="D67" s="70" t="str">
        <f>IF(62&gt;'🌱 Configuração'!$F$50,"",IF('🌱 Configuração'!$B$51+61&lt;'🌱 Configuração'!$C$51,"🌱 Clone",IF('🌱 Configuração'!$B$51+61&lt;'🌱 Configuração'!$D$51,"🌿 Vega",IF('🌱 Configuração'!$B$51+61&lt;'🌱 Configuração'!$E$51,"🌸 Flora","🚿 Flush"))))</f>
        <v>🌸 Flora</v>
      </c>
      <c r="E67" s="70"/>
      <c r="F67" s="70"/>
      <c r="G67" s="70"/>
      <c r="H67" s="70"/>
      <c r="I67" s="70"/>
      <c r="J67" s="70"/>
      <c r="K67" s="70"/>
      <c r="L67" t="str">
        <f>IF(62&gt;'🌱 Configuração'!$F$50,"",IF(F67="","—",IF(F67&lt;22,"⚠️ Temp baixa",IF(F67&gt;29,"⚠️ Temp ALTA",IF(H67="","✅ OK",IF(H67&lt;5.5,"⚠️ pH muito baixo",IF(H67&gt;6.9,"⚠️ pH alto",IF(I67&gt;2.5,"⚠️ CE alta","✅ OK"))))))))</f>
        <v>—</v>
      </c>
    </row>
    <row r="68" spans="2:12" ht="18" customHeight="1" x14ac:dyDescent="0.3">
      <c r="B68" s="68">
        <f>IF(63&lt;='🌱 Configuração'!$F$50,63,"")</f>
        <v>63</v>
      </c>
      <c r="C68" s="69">
        <f>IF(63&lt;='🌱 Configuração'!$F$50,'🌱 Configuração'!$B$51+62,"")</f>
        <v>46085</v>
      </c>
      <c r="D68" s="68" t="str">
        <f>IF(63&gt;'🌱 Configuração'!$F$50,"",IF('🌱 Configuração'!$B$51+62&lt;'🌱 Configuração'!$C$51,"🌱 Clone",IF('🌱 Configuração'!$B$51+62&lt;'🌱 Configuração'!$D$51,"🌿 Vega",IF('🌱 Configuração'!$B$51+62&lt;'🌱 Configuração'!$E$51,"🌸 Flora","🚿 Flush"))))</f>
        <v>🌸 Flora</v>
      </c>
      <c r="E68" s="68"/>
      <c r="F68" s="68"/>
      <c r="G68" s="68"/>
      <c r="H68" s="68"/>
      <c r="I68" s="68"/>
      <c r="J68" s="68"/>
      <c r="K68" s="68"/>
      <c r="L68" t="str">
        <f>IF(63&gt;'🌱 Configuração'!$F$50,"",IF(F68="","—",IF(F68&lt;22,"⚠️ Temp baixa",IF(F68&gt;29,"⚠️ Temp ALTA",IF(H68="","✅ OK",IF(H68&lt;5.5,"⚠️ pH muito baixo",IF(H68&gt;6.9,"⚠️ pH alto",IF(I68&gt;2.5,"⚠️ CE alta","✅ OK"))))))))</f>
        <v>—</v>
      </c>
    </row>
    <row r="69" spans="2:12" ht="18" customHeight="1" x14ac:dyDescent="0.3">
      <c r="B69" s="70">
        <f>IF(64&lt;='🌱 Configuração'!$F$50,64,"")</f>
        <v>64</v>
      </c>
      <c r="C69" s="71">
        <f>IF(64&lt;='🌱 Configuração'!$F$50,'🌱 Configuração'!$B$51+63,"")</f>
        <v>46086</v>
      </c>
      <c r="D69" s="70" t="str">
        <f>IF(64&gt;'🌱 Configuração'!$F$50,"",IF('🌱 Configuração'!$B$51+63&lt;'🌱 Configuração'!$C$51,"🌱 Clone",IF('🌱 Configuração'!$B$51+63&lt;'🌱 Configuração'!$D$51,"🌿 Vega",IF('🌱 Configuração'!$B$51+63&lt;'🌱 Configuração'!$E$51,"🌸 Flora","🚿 Flush"))))</f>
        <v>🌸 Flora</v>
      </c>
      <c r="E69" s="70"/>
      <c r="F69" s="70"/>
      <c r="G69" s="70"/>
      <c r="H69" s="70"/>
      <c r="I69" s="70"/>
      <c r="J69" s="70"/>
      <c r="K69" s="70"/>
      <c r="L69" t="str">
        <f>IF(64&gt;'🌱 Configuração'!$F$50,"",IF(F69="","—",IF(F69&lt;22,"⚠️ Temp baixa",IF(F69&gt;29,"⚠️ Temp ALTA",IF(H69="","✅ OK",IF(H69&lt;5.5,"⚠️ pH muito baixo",IF(H69&gt;6.9,"⚠️ pH alto",IF(I69&gt;2.5,"⚠️ CE alta","✅ OK"))))))))</f>
        <v>—</v>
      </c>
    </row>
    <row r="70" spans="2:12" ht="18" customHeight="1" x14ac:dyDescent="0.3">
      <c r="B70" s="68">
        <f>IF(65&lt;='🌱 Configuração'!$F$50,65,"")</f>
        <v>65</v>
      </c>
      <c r="C70" s="69">
        <f>IF(65&lt;='🌱 Configuração'!$F$50,'🌱 Configuração'!$B$51+64,"")</f>
        <v>46087</v>
      </c>
      <c r="D70" s="68" t="str">
        <f>IF(65&gt;'🌱 Configuração'!$F$50,"",IF('🌱 Configuração'!$B$51+64&lt;'🌱 Configuração'!$C$51,"🌱 Clone",IF('🌱 Configuração'!$B$51+64&lt;'🌱 Configuração'!$D$51,"🌿 Vega",IF('🌱 Configuração'!$B$51+64&lt;'🌱 Configuração'!$E$51,"🌸 Flora","🚿 Flush"))))</f>
        <v>🌸 Flora</v>
      </c>
      <c r="E70" s="68"/>
      <c r="F70" s="68"/>
      <c r="G70" s="68"/>
      <c r="H70" s="68"/>
      <c r="I70" s="68"/>
      <c r="J70" s="68"/>
      <c r="K70" s="68"/>
      <c r="L70" t="str">
        <f>IF(65&gt;'🌱 Configuração'!$F$50,"",IF(F70="","—",IF(F70&lt;22,"⚠️ Temp baixa",IF(F70&gt;29,"⚠️ Temp ALTA",IF(H70="","✅ OK",IF(H70&lt;5.5,"⚠️ pH muito baixo",IF(H70&gt;6.9,"⚠️ pH alto",IF(I70&gt;2.5,"⚠️ CE alta","✅ OK"))))))))</f>
        <v>—</v>
      </c>
    </row>
    <row r="71" spans="2:12" ht="18" customHeight="1" x14ac:dyDescent="0.3">
      <c r="B71" s="70">
        <f>IF(66&lt;='🌱 Configuração'!$F$50,66,"")</f>
        <v>66</v>
      </c>
      <c r="C71" s="71">
        <f>IF(66&lt;='🌱 Configuração'!$F$50,'🌱 Configuração'!$B$51+65,"")</f>
        <v>46088</v>
      </c>
      <c r="D71" s="70" t="str">
        <f>IF(66&gt;'🌱 Configuração'!$F$50,"",IF('🌱 Configuração'!$B$51+65&lt;'🌱 Configuração'!$C$51,"🌱 Clone",IF('🌱 Configuração'!$B$51+65&lt;'🌱 Configuração'!$D$51,"🌿 Vega",IF('🌱 Configuração'!$B$51+65&lt;'🌱 Configuração'!$E$51,"🌸 Flora","🚿 Flush"))))</f>
        <v>🌸 Flora</v>
      </c>
      <c r="E71" s="70"/>
      <c r="F71" s="70"/>
      <c r="G71" s="70"/>
      <c r="H71" s="70"/>
      <c r="I71" s="70"/>
      <c r="J71" s="70"/>
      <c r="K71" s="70"/>
      <c r="L71" t="str">
        <f>IF(66&gt;'🌱 Configuração'!$F$50,"",IF(F71="","—",IF(F71&lt;22,"⚠️ Temp baixa",IF(F71&gt;29,"⚠️ Temp ALTA",IF(H71="","✅ OK",IF(H71&lt;5.5,"⚠️ pH muito baixo",IF(H71&gt;6.9,"⚠️ pH alto",IF(I71&gt;2.5,"⚠️ CE alta","✅ OK"))))))))</f>
        <v>—</v>
      </c>
    </row>
    <row r="72" spans="2:12" ht="18" customHeight="1" x14ac:dyDescent="0.3">
      <c r="B72" s="68">
        <f>IF(67&lt;='🌱 Configuração'!$F$50,67,"")</f>
        <v>67</v>
      </c>
      <c r="C72" s="69">
        <f>IF(67&lt;='🌱 Configuração'!$F$50,'🌱 Configuração'!$B$51+66,"")</f>
        <v>46089</v>
      </c>
      <c r="D72" s="68" t="str">
        <f>IF(67&gt;'🌱 Configuração'!$F$50,"",IF('🌱 Configuração'!$B$51+66&lt;'🌱 Configuração'!$C$51,"🌱 Clone",IF('🌱 Configuração'!$B$51+66&lt;'🌱 Configuração'!$D$51,"🌿 Vega",IF('🌱 Configuração'!$B$51+66&lt;'🌱 Configuração'!$E$51,"🌸 Flora","🚿 Flush"))))</f>
        <v>🌸 Flora</v>
      </c>
      <c r="E72" s="68"/>
      <c r="F72" s="68"/>
      <c r="G72" s="68"/>
      <c r="H72" s="68"/>
      <c r="I72" s="68"/>
      <c r="J72" s="68"/>
      <c r="K72" s="68"/>
      <c r="L72" t="str">
        <f>IF(67&gt;'🌱 Configuração'!$F$50,"",IF(F72="","—",IF(F72&lt;22,"⚠️ Temp baixa",IF(F72&gt;29,"⚠️ Temp ALTA",IF(H72="","✅ OK",IF(H72&lt;5.5,"⚠️ pH muito baixo",IF(H72&gt;6.9,"⚠️ pH alto",IF(I72&gt;2.5,"⚠️ CE alta","✅ OK"))))))))</f>
        <v>—</v>
      </c>
    </row>
    <row r="73" spans="2:12" ht="18" customHeight="1" x14ac:dyDescent="0.3">
      <c r="B73" s="70">
        <f>IF(68&lt;='🌱 Configuração'!$F$50,68,"")</f>
        <v>68</v>
      </c>
      <c r="C73" s="71">
        <f>IF(68&lt;='🌱 Configuração'!$F$50,'🌱 Configuração'!$B$51+67,"")</f>
        <v>46090</v>
      </c>
      <c r="D73" s="70" t="str">
        <f>IF(68&gt;'🌱 Configuração'!$F$50,"",IF('🌱 Configuração'!$B$51+67&lt;'🌱 Configuração'!$C$51,"🌱 Clone",IF('🌱 Configuração'!$B$51+67&lt;'🌱 Configuração'!$D$51,"🌿 Vega",IF('🌱 Configuração'!$B$51+67&lt;'🌱 Configuração'!$E$51,"🌸 Flora","🚿 Flush"))))</f>
        <v>🌸 Flora</v>
      </c>
      <c r="E73" s="70"/>
      <c r="F73" s="70"/>
      <c r="G73" s="70"/>
      <c r="H73" s="70"/>
      <c r="I73" s="70"/>
      <c r="J73" s="70"/>
      <c r="K73" s="70"/>
      <c r="L73" t="str">
        <f>IF(68&gt;'🌱 Configuração'!$F$50,"",IF(F73="","—",IF(F73&lt;22,"⚠️ Temp baixa",IF(F73&gt;29,"⚠️ Temp ALTA",IF(H73="","✅ OK",IF(H73&lt;5.5,"⚠️ pH muito baixo",IF(H73&gt;6.9,"⚠️ pH alto",IF(I73&gt;2.5,"⚠️ CE alta","✅ OK"))))))))</f>
        <v>—</v>
      </c>
    </row>
    <row r="74" spans="2:12" ht="18" customHeight="1" x14ac:dyDescent="0.3">
      <c r="B74" s="68">
        <f>IF(69&lt;='🌱 Configuração'!$F$50,69,"")</f>
        <v>69</v>
      </c>
      <c r="C74" s="69">
        <f>IF(69&lt;='🌱 Configuração'!$F$50,'🌱 Configuração'!$B$51+68,"")</f>
        <v>46091</v>
      </c>
      <c r="D74" s="68" t="str">
        <f>IF(69&gt;'🌱 Configuração'!$F$50,"",IF('🌱 Configuração'!$B$51+68&lt;'🌱 Configuração'!$C$51,"🌱 Clone",IF('🌱 Configuração'!$B$51+68&lt;'🌱 Configuração'!$D$51,"🌿 Vega",IF('🌱 Configuração'!$B$51+68&lt;'🌱 Configuração'!$E$51,"🌸 Flora","🚿 Flush"))))</f>
        <v>🌸 Flora</v>
      </c>
      <c r="E74" s="68"/>
      <c r="F74" s="68"/>
      <c r="G74" s="68"/>
      <c r="H74" s="68"/>
      <c r="I74" s="68"/>
      <c r="J74" s="68"/>
      <c r="K74" s="68"/>
      <c r="L74" t="str">
        <f>IF(69&gt;'🌱 Configuração'!$F$50,"",IF(F74="","—",IF(F74&lt;22,"⚠️ Temp baixa",IF(F74&gt;29,"⚠️ Temp ALTA",IF(H74="","✅ OK",IF(H74&lt;5.5,"⚠️ pH muito baixo",IF(H74&gt;6.9,"⚠️ pH alto",IF(I74&gt;2.5,"⚠️ CE alta","✅ OK"))))))))</f>
        <v>—</v>
      </c>
    </row>
    <row r="75" spans="2:12" ht="18" customHeight="1" x14ac:dyDescent="0.3">
      <c r="B75" s="70">
        <f>IF(70&lt;='🌱 Configuração'!$F$50,70,"")</f>
        <v>70</v>
      </c>
      <c r="C75" s="71">
        <f>IF(70&lt;='🌱 Configuração'!$F$50,'🌱 Configuração'!$B$51+69,"")</f>
        <v>46092</v>
      </c>
      <c r="D75" s="70" t="str">
        <f>IF(70&gt;'🌱 Configuração'!$F$50,"",IF('🌱 Configuração'!$B$51+69&lt;'🌱 Configuração'!$C$51,"🌱 Clone",IF('🌱 Configuração'!$B$51+69&lt;'🌱 Configuração'!$D$51,"🌿 Vega",IF('🌱 Configuração'!$B$51+69&lt;'🌱 Configuração'!$E$51,"🌸 Flora","🚿 Flush"))))</f>
        <v>🌸 Flora</v>
      </c>
      <c r="E75" s="70"/>
      <c r="F75" s="70"/>
      <c r="G75" s="70"/>
      <c r="H75" s="70"/>
      <c r="I75" s="70"/>
      <c r="J75" s="70"/>
      <c r="K75" s="70"/>
      <c r="L75" t="str">
        <f>IF(70&gt;'🌱 Configuração'!$F$50,"",IF(F75="","—",IF(F75&lt;22,"⚠️ Temp baixa",IF(F75&gt;29,"⚠️ Temp ALTA",IF(H75="","✅ OK",IF(H75&lt;5.5,"⚠️ pH muito baixo",IF(H75&gt;6.9,"⚠️ pH alto",IF(I75&gt;2.5,"⚠️ CE alta","✅ OK"))))))))</f>
        <v>—</v>
      </c>
    </row>
    <row r="76" spans="2:12" ht="18" customHeight="1" x14ac:dyDescent="0.3">
      <c r="B76" s="68">
        <f>IF(71&lt;='🌱 Configuração'!$F$50,71,"")</f>
        <v>71</v>
      </c>
      <c r="C76" s="69">
        <f>IF(71&lt;='🌱 Configuração'!$F$50,'🌱 Configuração'!$B$51+70,"")</f>
        <v>46093</v>
      </c>
      <c r="D76" s="68" t="str">
        <f>IF(71&gt;'🌱 Configuração'!$F$50,"",IF('🌱 Configuração'!$B$51+70&lt;'🌱 Configuração'!$C$51,"🌱 Clone",IF('🌱 Configuração'!$B$51+70&lt;'🌱 Configuração'!$D$51,"🌿 Vega",IF('🌱 Configuração'!$B$51+70&lt;'🌱 Configuração'!$E$51,"🌸 Flora","🚿 Flush"))))</f>
        <v>🌸 Flora</v>
      </c>
      <c r="E76" s="68"/>
      <c r="F76" s="68"/>
      <c r="G76" s="68"/>
      <c r="H76" s="68"/>
      <c r="I76" s="68"/>
      <c r="J76" s="68"/>
      <c r="K76" s="68"/>
      <c r="L76" t="str">
        <f>IF(71&gt;'🌱 Configuração'!$F$50,"",IF(F76="","—",IF(F76&lt;22,"⚠️ Temp baixa",IF(F76&gt;29,"⚠️ Temp ALTA",IF(H76="","✅ OK",IF(H76&lt;5.5,"⚠️ pH muito baixo",IF(H76&gt;6.9,"⚠️ pH alto",IF(I76&gt;2.5,"⚠️ CE alta","✅ OK"))))))))</f>
        <v>—</v>
      </c>
    </row>
    <row r="77" spans="2:12" ht="18" customHeight="1" x14ac:dyDescent="0.3">
      <c r="B77" s="70">
        <f>IF(72&lt;='🌱 Configuração'!$F$50,72,"")</f>
        <v>72</v>
      </c>
      <c r="C77" s="71">
        <f>IF(72&lt;='🌱 Configuração'!$F$50,'🌱 Configuração'!$B$51+71,"")</f>
        <v>46094</v>
      </c>
      <c r="D77" s="70" t="str">
        <f>IF(72&gt;'🌱 Configuração'!$F$50,"",IF('🌱 Configuração'!$B$51+71&lt;'🌱 Configuração'!$C$51,"🌱 Clone",IF('🌱 Configuração'!$B$51+71&lt;'🌱 Configuração'!$D$51,"🌿 Vega",IF('🌱 Configuração'!$B$51+71&lt;'🌱 Configuração'!$E$51,"🌸 Flora","🚿 Flush"))))</f>
        <v>🌸 Flora</v>
      </c>
      <c r="E77" s="70"/>
      <c r="F77" s="70"/>
      <c r="G77" s="70"/>
      <c r="H77" s="70"/>
      <c r="I77" s="70"/>
      <c r="J77" s="70"/>
      <c r="K77" s="70"/>
      <c r="L77" t="str">
        <f>IF(72&gt;'🌱 Configuração'!$F$50,"",IF(F77="","—",IF(F77&lt;22,"⚠️ Temp baixa",IF(F77&gt;29,"⚠️ Temp ALTA",IF(H77="","✅ OK",IF(H77&lt;5.5,"⚠️ pH muito baixo",IF(H77&gt;6.9,"⚠️ pH alto",IF(I77&gt;2.5,"⚠️ CE alta","✅ OK"))))))))</f>
        <v>—</v>
      </c>
    </row>
    <row r="78" spans="2:12" ht="18" customHeight="1" x14ac:dyDescent="0.3">
      <c r="B78" s="68">
        <f>IF(73&lt;='🌱 Configuração'!$F$50,73,"")</f>
        <v>73</v>
      </c>
      <c r="C78" s="69">
        <f>IF(73&lt;='🌱 Configuração'!$F$50,'🌱 Configuração'!$B$51+72,"")</f>
        <v>46095</v>
      </c>
      <c r="D78" s="68" t="str">
        <f>IF(73&gt;'🌱 Configuração'!$F$50,"",IF('🌱 Configuração'!$B$51+72&lt;'🌱 Configuração'!$C$51,"🌱 Clone",IF('🌱 Configuração'!$B$51+72&lt;'🌱 Configuração'!$D$51,"🌿 Vega",IF('🌱 Configuração'!$B$51+72&lt;'🌱 Configuração'!$E$51,"🌸 Flora","🚿 Flush"))))</f>
        <v>🌸 Flora</v>
      </c>
      <c r="E78" s="68"/>
      <c r="F78" s="68"/>
      <c r="G78" s="68"/>
      <c r="H78" s="68"/>
      <c r="I78" s="68"/>
      <c r="J78" s="68"/>
      <c r="K78" s="68"/>
      <c r="L78" t="str">
        <f>IF(73&gt;'🌱 Configuração'!$F$50,"",IF(F78="","—",IF(F78&lt;22,"⚠️ Temp baixa",IF(F78&gt;29,"⚠️ Temp ALTA",IF(H78="","✅ OK",IF(H78&lt;5.5,"⚠️ pH muito baixo",IF(H78&gt;6.9,"⚠️ pH alto",IF(I78&gt;2.5,"⚠️ CE alta","✅ OK"))))))))</f>
        <v>—</v>
      </c>
    </row>
    <row r="79" spans="2:12" ht="18" customHeight="1" x14ac:dyDescent="0.3">
      <c r="B79" s="70">
        <f>IF(74&lt;='🌱 Configuração'!$F$50,74,"")</f>
        <v>74</v>
      </c>
      <c r="C79" s="71">
        <f>IF(74&lt;='🌱 Configuração'!$F$50,'🌱 Configuração'!$B$51+73,"")</f>
        <v>46096</v>
      </c>
      <c r="D79" s="70" t="str">
        <f>IF(74&gt;'🌱 Configuração'!$F$50,"",IF('🌱 Configuração'!$B$51+73&lt;'🌱 Configuração'!$C$51,"🌱 Clone",IF('🌱 Configuração'!$B$51+73&lt;'🌱 Configuração'!$D$51,"🌿 Vega",IF('🌱 Configuração'!$B$51+73&lt;'🌱 Configuração'!$E$51,"🌸 Flora","🚿 Flush"))))</f>
        <v>🌸 Flora</v>
      </c>
      <c r="E79" s="70"/>
      <c r="F79" s="70"/>
      <c r="G79" s="70"/>
      <c r="H79" s="70"/>
      <c r="I79" s="70"/>
      <c r="J79" s="70"/>
      <c r="K79" s="70"/>
      <c r="L79" t="str">
        <f>IF(74&gt;'🌱 Configuração'!$F$50,"",IF(F79="","—",IF(F79&lt;22,"⚠️ Temp baixa",IF(F79&gt;29,"⚠️ Temp ALTA",IF(H79="","✅ OK",IF(H79&lt;5.5,"⚠️ pH muito baixo",IF(H79&gt;6.9,"⚠️ pH alto",IF(I79&gt;2.5,"⚠️ CE alta","✅ OK"))))))))</f>
        <v>—</v>
      </c>
    </row>
    <row r="80" spans="2:12" ht="18" customHeight="1" x14ac:dyDescent="0.3">
      <c r="B80" s="68">
        <f>IF(75&lt;='🌱 Configuração'!$F$50,75,"")</f>
        <v>75</v>
      </c>
      <c r="C80" s="69">
        <f>IF(75&lt;='🌱 Configuração'!$F$50,'🌱 Configuração'!$B$51+74,"")</f>
        <v>46097</v>
      </c>
      <c r="D80" s="68" t="str">
        <f>IF(75&gt;'🌱 Configuração'!$F$50,"",IF('🌱 Configuração'!$B$51+74&lt;'🌱 Configuração'!$C$51,"🌱 Clone",IF('🌱 Configuração'!$B$51+74&lt;'🌱 Configuração'!$D$51,"🌿 Vega",IF('🌱 Configuração'!$B$51+74&lt;'🌱 Configuração'!$E$51,"🌸 Flora","🚿 Flush"))))</f>
        <v>🌸 Flora</v>
      </c>
      <c r="E80" s="68"/>
      <c r="F80" s="68"/>
      <c r="G80" s="68"/>
      <c r="H80" s="68"/>
      <c r="I80" s="68"/>
      <c r="J80" s="68"/>
      <c r="K80" s="68"/>
      <c r="L80" t="str">
        <f>IF(75&gt;'🌱 Configuração'!$F$50,"",IF(F80="","—",IF(F80&lt;22,"⚠️ Temp baixa",IF(F80&gt;29,"⚠️ Temp ALTA",IF(H80="","✅ OK",IF(H80&lt;5.5,"⚠️ pH muito baixo",IF(H80&gt;6.9,"⚠️ pH alto",IF(I80&gt;2.5,"⚠️ CE alta","✅ OK"))))))))</f>
        <v>—</v>
      </c>
    </row>
    <row r="81" spans="2:12" ht="18" customHeight="1" x14ac:dyDescent="0.3">
      <c r="B81" s="70">
        <f>IF(76&lt;='🌱 Configuração'!$F$50,76,"")</f>
        <v>76</v>
      </c>
      <c r="C81" s="71">
        <f>IF(76&lt;='🌱 Configuração'!$F$50,'🌱 Configuração'!$B$51+75,"")</f>
        <v>46098</v>
      </c>
      <c r="D81" s="70" t="str">
        <f>IF(76&gt;'🌱 Configuração'!$F$50,"",IF('🌱 Configuração'!$B$51+75&lt;'🌱 Configuração'!$C$51,"🌱 Clone",IF('🌱 Configuração'!$B$51+75&lt;'🌱 Configuração'!$D$51,"🌿 Vega",IF('🌱 Configuração'!$B$51+75&lt;'🌱 Configuração'!$E$51,"🌸 Flora","🚿 Flush"))))</f>
        <v>🌸 Flora</v>
      </c>
      <c r="E81" s="70"/>
      <c r="F81" s="70"/>
      <c r="G81" s="70"/>
      <c r="H81" s="70"/>
      <c r="I81" s="70"/>
      <c r="J81" s="70"/>
      <c r="K81" s="70"/>
      <c r="L81" t="str">
        <f>IF(76&gt;'🌱 Configuração'!$F$50,"",IF(F81="","—",IF(F81&lt;22,"⚠️ Temp baixa",IF(F81&gt;29,"⚠️ Temp ALTA",IF(H81="","✅ OK",IF(H81&lt;5.5,"⚠️ pH muito baixo",IF(H81&gt;6.9,"⚠️ pH alto",IF(I81&gt;2.5,"⚠️ CE alta","✅ OK"))))))))</f>
        <v>—</v>
      </c>
    </row>
    <row r="82" spans="2:12" ht="18" customHeight="1" x14ac:dyDescent="0.3">
      <c r="B82" s="68">
        <f>IF(77&lt;='🌱 Configuração'!$F$50,77,"")</f>
        <v>77</v>
      </c>
      <c r="C82" s="69">
        <f>IF(77&lt;='🌱 Configuração'!$F$50,'🌱 Configuração'!$B$51+76,"")</f>
        <v>46099</v>
      </c>
      <c r="D82" s="68" t="str">
        <f>IF(77&gt;'🌱 Configuração'!$F$50,"",IF('🌱 Configuração'!$B$51+76&lt;'🌱 Configuração'!$C$51,"🌱 Clone",IF('🌱 Configuração'!$B$51+76&lt;'🌱 Configuração'!$D$51,"🌿 Vega",IF('🌱 Configuração'!$B$51+76&lt;'🌱 Configuração'!$E$51,"🌸 Flora","🚿 Flush"))))</f>
        <v>🌸 Flora</v>
      </c>
      <c r="E82" s="68"/>
      <c r="F82" s="68"/>
      <c r="G82" s="68"/>
      <c r="H82" s="68"/>
      <c r="I82" s="68"/>
      <c r="J82" s="68"/>
      <c r="K82" s="68"/>
      <c r="L82" t="str">
        <f>IF(77&gt;'🌱 Configuração'!$F$50,"",IF(F82="","—",IF(F82&lt;22,"⚠️ Temp baixa",IF(F82&gt;29,"⚠️ Temp ALTA",IF(H82="","✅ OK",IF(H82&lt;5.5,"⚠️ pH muito baixo",IF(H82&gt;6.9,"⚠️ pH alto",IF(I82&gt;2.5,"⚠️ CE alta","✅ OK"))))))))</f>
        <v>—</v>
      </c>
    </row>
    <row r="83" spans="2:12" ht="18" customHeight="1" x14ac:dyDescent="0.3">
      <c r="B83" s="70">
        <f>IF(78&lt;='🌱 Configuração'!$F$50,78,"")</f>
        <v>78</v>
      </c>
      <c r="C83" s="71">
        <f>IF(78&lt;='🌱 Configuração'!$F$50,'🌱 Configuração'!$B$51+77,"")</f>
        <v>46100</v>
      </c>
      <c r="D83" s="70" t="str">
        <f>IF(78&gt;'🌱 Configuração'!$F$50,"",IF('🌱 Configuração'!$B$51+77&lt;'🌱 Configuração'!$C$51,"🌱 Clone",IF('🌱 Configuração'!$B$51+77&lt;'🌱 Configuração'!$D$51,"🌿 Vega",IF('🌱 Configuração'!$B$51+77&lt;'🌱 Configuração'!$E$51,"🌸 Flora","🚿 Flush"))))</f>
        <v>🌸 Flora</v>
      </c>
      <c r="E83" s="70"/>
      <c r="F83" s="70"/>
      <c r="G83" s="70"/>
      <c r="H83" s="70"/>
      <c r="I83" s="70"/>
      <c r="J83" s="70"/>
      <c r="K83" s="70"/>
      <c r="L83" t="str">
        <f>IF(78&gt;'🌱 Configuração'!$F$50,"",IF(F83="","—",IF(F83&lt;22,"⚠️ Temp baixa",IF(F83&gt;29,"⚠️ Temp ALTA",IF(H83="","✅ OK",IF(H83&lt;5.5,"⚠️ pH muito baixo",IF(H83&gt;6.9,"⚠️ pH alto",IF(I83&gt;2.5,"⚠️ CE alta","✅ OK"))))))))</f>
        <v>—</v>
      </c>
    </row>
    <row r="84" spans="2:12" ht="18" customHeight="1" x14ac:dyDescent="0.3">
      <c r="B84" s="68">
        <f>IF(79&lt;='🌱 Configuração'!$F$50,79,"")</f>
        <v>79</v>
      </c>
      <c r="C84" s="69">
        <f>IF(79&lt;='🌱 Configuração'!$F$50,'🌱 Configuração'!$B$51+78,"")</f>
        <v>46101</v>
      </c>
      <c r="D84" s="68" t="str">
        <f>IF(79&gt;'🌱 Configuração'!$F$50,"",IF('🌱 Configuração'!$B$51+78&lt;'🌱 Configuração'!$C$51,"🌱 Clone",IF('🌱 Configuração'!$B$51+78&lt;'🌱 Configuração'!$D$51,"🌿 Vega",IF('🌱 Configuração'!$B$51+78&lt;'🌱 Configuração'!$E$51,"🌸 Flora","🚿 Flush"))))</f>
        <v>🌸 Flora</v>
      </c>
      <c r="E84" s="68"/>
      <c r="F84" s="68"/>
      <c r="G84" s="68"/>
      <c r="H84" s="68"/>
      <c r="I84" s="68"/>
      <c r="J84" s="68"/>
      <c r="K84" s="68"/>
      <c r="L84" t="str">
        <f>IF(79&gt;'🌱 Configuração'!$F$50,"",IF(F84="","—",IF(F84&lt;22,"⚠️ Temp baixa",IF(F84&gt;29,"⚠️ Temp ALTA",IF(H84="","✅ OK",IF(H84&lt;5.5,"⚠️ pH muito baixo",IF(H84&gt;6.9,"⚠️ pH alto",IF(I84&gt;2.5,"⚠️ CE alta","✅ OK"))))))))</f>
        <v>—</v>
      </c>
    </row>
    <row r="85" spans="2:12" ht="18" customHeight="1" x14ac:dyDescent="0.3">
      <c r="B85" s="70">
        <f>IF(80&lt;='🌱 Configuração'!$F$50,80,"")</f>
        <v>80</v>
      </c>
      <c r="C85" s="71">
        <f>IF(80&lt;='🌱 Configuração'!$F$50,'🌱 Configuração'!$B$51+79,"")</f>
        <v>46102</v>
      </c>
      <c r="D85" s="70" t="str">
        <f>IF(80&gt;'🌱 Configuração'!$F$50,"",IF('🌱 Configuração'!$B$51+79&lt;'🌱 Configuração'!$C$51,"🌱 Clone",IF('🌱 Configuração'!$B$51+79&lt;'🌱 Configuração'!$D$51,"🌿 Vega",IF('🌱 Configuração'!$B$51+79&lt;'🌱 Configuração'!$E$51,"🌸 Flora","🚿 Flush"))))</f>
        <v>🌸 Flora</v>
      </c>
      <c r="E85" s="70"/>
      <c r="F85" s="70"/>
      <c r="G85" s="70"/>
      <c r="H85" s="70"/>
      <c r="I85" s="70"/>
      <c r="J85" s="70"/>
      <c r="K85" s="70"/>
      <c r="L85" t="str">
        <f>IF(80&gt;'🌱 Configuração'!$F$50,"",IF(F85="","—",IF(F85&lt;22,"⚠️ Temp baixa",IF(F85&gt;29,"⚠️ Temp ALTA",IF(H85="","✅ OK",IF(H85&lt;5.5,"⚠️ pH muito baixo",IF(H85&gt;6.9,"⚠️ pH alto",IF(I85&gt;2.5,"⚠️ CE alta","✅ OK"))))))))</f>
        <v>—</v>
      </c>
    </row>
    <row r="86" spans="2:12" ht="18" customHeight="1" x14ac:dyDescent="0.3">
      <c r="B86" s="68">
        <f>IF(81&lt;='🌱 Configuração'!$F$50,81,"")</f>
        <v>81</v>
      </c>
      <c r="C86" s="69">
        <f>IF(81&lt;='🌱 Configuração'!$F$50,'🌱 Configuração'!$B$51+80,"")</f>
        <v>46103</v>
      </c>
      <c r="D86" s="68" t="str">
        <f>IF(81&gt;'🌱 Configuração'!$F$50,"",IF('🌱 Configuração'!$B$51+80&lt;'🌱 Configuração'!$C$51,"🌱 Clone",IF('🌱 Configuração'!$B$51+80&lt;'🌱 Configuração'!$D$51,"🌿 Vega",IF('🌱 Configuração'!$B$51+80&lt;'🌱 Configuração'!$E$51,"🌸 Flora","🚿 Flush"))))</f>
        <v>🌸 Flora</v>
      </c>
      <c r="E86" s="68"/>
      <c r="F86" s="68"/>
      <c r="G86" s="68"/>
      <c r="H86" s="68"/>
      <c r="I86" s="68"/>
      <c r="J86" s="68"/>
      <c r="K86" s="68"/>
      <c r="L86" t="str">
        <f>IF(81&gt;'🌱 Configuração'!$F$50,"",IF(F86="","—",IF(F86&lt;22,"⚠️ Temp baixa",IF(F86&gt;29,"⚠️ Temp ALTA",IF(H86="","✅ OK",IF(H86&lt;5.5,"⚠️ pH muito baixo",IF(H86&gt;6.9,"⚠️ pH alto",IF(I86&gt;2.5,"⚠️ CE alta","✅ OK"))))))))</f>
        <v>—</v>
      </c>
    </row>
    <row r="87" spans="2:12" ht="18" customHeight="1" x14ac:dyDescent="0.3">
      <c r="B87" s="70">
        <f>IF(82&lt;='🌱 Configuração'!$F$50,82,"")</f>
        <v>82</v>
      </c>
      <c r="C87" s="71">
        <f>IF(82&lt;='🌱 Configuração'!$F$50,'🌱 Configuração'!$B$51+81,"")</f>
        <v>46104</v>
      </c>
      <c r="D87" s="70" t="str">
        <f>IF(82&gt;'🌱 Configuração'!$F$50,"",IF('🌱 Configuração'!$B$51+81&lt;'🌱 Configuração'!$C$51,"🌱 Clone",IF('🌱 Configuração'!$B$51+81&lt;'🌱 Configuração'!$D$51,"🌿 Vega",IF('🌱 Configuração'!$B$51+81&lt;'🌱 Configuração'!$E$51,"🌸 Flora","🚿 Flush"))))</f>
        <v>🌸 Flora</v>
      </c>
      <c r="E87" s="70"/>
      <c r="F87" s="70"/>
      <c r="G87" s="70"/>
      <c r="H87" s="70"/>
      <c r="I87" s="70"/>
      <c r="J87" s="70"/>
      <c r="K87" s="70"/>
      <c r="L87" t="str">
        <f>IF(82&gt;'🌱 Configuração'!$F$50,"",IF(F87="","—",IF(F87&lt;22,"⚠️ Temp baixa",IF(F87&gt;29,"⚠️ Temp ALTA",IF(H87="","✅ OK",IF(H87&lt;5.5,"⚠️ pH muito baixo",IF(H87&gt;6.9,"⚠️ pH alto",IF(I87&gt;2.5,"⚠️ CE alta","✅ OK"))))))))</f>
        <v>—</v>
      </c>
    </row>
    <row r="88" spans="2:12" ht="18" customHeight="1" x14ac:dyDescent="0.3">
      <c r="B88" s="68">
        <f>IF(83&lt;='🌱 Configuração'!$F$50,83,"")</f>
        <v>83</v>
      </c>
      <c r="C88" s="69">
        <f>IF(83&lt;='🌱 Configuração'!$F$50,'🌱 Configuração'!$B$51+82,"")</f>
        <v>46105</v>
      </c>
      <c r="D88" s="68" t="str">
        <f>IF(83&gt;'🌱 Configuração'!$F$50,"",IF('🌱 Configuração'!$B$51+82&lt;'🌱 Configuração'!$C$51,"🌱 Clone",IF('🌱 Configuração'!$B$51+82&lt;'🌱 Configuração'!$D$51,"🌿 Vega",IF('🌱 Configuração'!$B$51+82&lt;'🌱 Configuração'!$E$51,"🌸 Flora","🚿 Flush"))))</f>
        <v>🌸 Flora</v>
      </c>
      <c r="E88" s="68"/>
      <c r="F88" s="68"/>
      <c r="G88" s="68"/>
      <c r="H88" s="68"/>
      <c r="I88" s="68"/>
      <c r="J88" s="68"/>
      <c r="K88" s="68"/>
      <c r="L88" t="str">
        <f>IF(83&gt;'🌱 Configuração'!$F$50,"",IF(F88="","—",IF(F88&lt;22,"⚠️ Temp baixa",IF(F88&gt;29,"⚠️ Temp ALTA",IF(H88="","✅ OK",IF(H88&lt;5.5,"⚠️ pH muito baixo",IF(H88&gt;6.9,"⚠️ pH alto",IF(I88&gt;2.5,"⚠️ CE alta","✅ OK"))))))))</f>
        <v>—</v>
      </c>
    </row>
    <row r="89" spans="2:12" ht="18" customHeight="1" x14ac:dyDescent="0.3">
      <c r="B89" s="70">
        <f>IF(84&lt;='🌱 Configuração'!$F$50,84,"")</f>
        <v>84</v>
      </c>
      <c r="C89" s="71">
        <f>IF(84&lt;='🌱 Configuração'!$F$50,'🌱 Configuração'!$B$51+83,"")</f>
        <v>46106</v>
      </c>
      <c r="D89" s="70" t="str">
        <f>IF(84&gt;'🌱 Configuração'!$F$50,"",IF('🌱 Configuração'!$B$51+83&lt;'🌱 Configuração'!$C$51,"🌱 Clone",IF('🌱 Configuração'!$B$51+83&lt;'🌱 Configuração'!$D$51,"🌿 Vega",IF('🌱 Configuração'!$B$51+83&lt;'🌱 Configuração'!$E$51,"🌸 Flora","🚿 Flush"))))</f>
        <v>🌸 Flora</v>
      </c>
      <c r="E89" s="70"/>
      <c r="F89" s="70"/>
      <c r="G89" s="70"/>
      <c r="H89" s="70"/>
      <c r="I89" s="70"/>
      <c r="J89" s="70"/>
      <c r="K89" s="70"/>
      <c r="L89" t="str">
        <f>IF(84&gt;'🌱 Configuração'!$F$50,"",IF(F89="","—",IF(F89&lt;22,"⚠️ Temp baixa",IF(F89&gt;29,"⚠️ Temp ALTA",IF(H89="","✅ OK",IF(H89&lt;5.5,"⚠️ pH muito baixo",IF(H89&gt;6.9,"⚠️ pH alto",IF(I89&gt;2.5,"⚠️ CE alta","✅ OK"))))))))</f>
        <v>—</v>
      </c>
    </row>
    <row r="90" spans="2:12" ht="18" customHeight="1" x14ac:dyDescent="0.3">
      <c r="B90" s="68">
        <f>IF(85&lt;='🌱 Configuração'!$F$50,85,"")</f>
        <v>85</v>
      </c>
      <c r="C90" s="69">
        <f>IF(85&lt;='🌱 Configuração'!$F$50,'🌱 Configuração'!$B$51+84,"")</f>
        <v>46107</v>
      </c>
      <c r="D90" s="68" t="str">
        <f>IF(85&gt;'🌱 Configuração'!$F$50,"",IF('🌱 Configuração'!$B$51+84&lt;'🌱 Configuração'!$C$51,"🌱 Clone",IF('🌱 Configuração'!$B$51+84&lt;'🌱 Configuração'!$D$51,"🌿 Vega",IF('🌱 Configuração'!$B$51+84&lt;'🌱 Configuração'!$E$51,"🌸 Flora","🚿 Flush"))))</f>
        <v>🌸 Flora</v>
      </c>
      <c r="E90" s="68"/>
      <c r="F90" s="68"/>
      <c r="G90" s="68"/>
      <c r="H90" s="68"/>
      <c r="I90" s="68"/>
      <c r="J90" s="68"/>
      <c r="K90" s="68"/>
      <c r="L90" t="str">
        <f>IF(85&gt;'🌱 Configuração'!$F$50,"",IF(F90="","—",IF(F90&lt;22,"⚠️ Temp baixa",IF(F90&gt;29,"⚠️ Temp ALTA",IF(H90="","✅ OK",IF(H90&lt;5.5,"⚠️ pH muito baixo",IF(H90&gt;6.9,"⚠️ pH alto",IF(I90&gt;2.5,"⚠️ CE alta","✅ OK"))))))))</f>
        <v>—</v>
      </c>
    </row>
    <row r="91" spans="2:12" ht="18" customHeight="1" x14ac:dyDescent="0.3">
      <c r="B91" s="70">
        <f>IF(86&lt;='🌱 Configuração'!$F$50,86,"")</f>
        <v>86</v>
      </c>
      <c r="C91" s="71">
        <f>IF(86&lt;='🌱 Configuração'!$F$50,'🌱 Configuração'!$B$51+85,"")</f>
        <v>46108</v>
      </c>
      <c r="D91" s="70" t="str">
        <f>IF(86&gt;'🌱 Configuração'!$F$50,"",IF('🌱 Configuração'!$B$51+85&lt;'🌱 Configuração'!$C$51,"🌱 Clone",IF('🌱 Configuração'!$B$51+85&lt;'🌱 Configuração'!$D$51,"🌿 Vega",IF('🌱 Configuração'!$B$51+85&lt;'🌱 Configuração'!$E$51,"🌸 Flora","🚿 Flush"))))</f>
        <v>🌸 Flora</v>
      </c>
      <c r="E91" s="70"/>
      <c r="F91" s="70"/>
      <c r="G91" s="70"/>
      <c r="H91" s="70"/>
      <c r="I91" s="70"/>
      <c r="J91" s="70"/>
      <c r="K91" s="70"/>
      <c r="L91" t="str">
        <f>IF(86&gt;'🌱 Configuração'!$F$50,"",IF(F91="","—",IF(F91&lt;22,"⚠️ Temp baixa",IF(F91&gt;29,"⚠️ Temp ALTA",IF(H91="","✅ OK",IF(H91&lt;5.5,"⚠️ pH muito baixo",IF(H91&gt;6.9,"⚠️ pH alto",IF(I91&gt;2.5,"⚠️ CE alta","✅ OK"))))))))</f>
        <v>—</v>
      </c>
    </row>
    <row r="92" spans="2:12" ht="18" customHeight="1" x14ac:dyDescent="0.3">
      <c r="B92" s="68">
        <f>IF(87&lt;='🌱 Configuração'!$F$50,87,"")</f>
        <v>87</v>
      </c>
      <c r="C92" s="69">
        <f>IF(87&lt;='🌱 Configuração'!$F$50,'🌱 Configuração'!$B$51+86,"")</f>
        <v>46109</v>
      </c>
      <c r="D92" s="68" t="str">
        <f>IF(87&gt;'🌱 Configuração'!$F$50,"",IF('🌱 Configuração'!$B$51+86&lt;'🌱 Configuração'!$C$51,"🌱 Clone",IF('🌱 Configuração'!$B$51+86&lt;'🌱 Configuração'!$D$51,"🌿 Vega",IF('🌱 Configuração'!$B$51+86&lt;'🌱 Configuração'!$E$51,"🌸 Flora","🚿 Flush"))))</f>
        <v>🌸 Flora</v>
      </c>
      <c r="E92" s="68"/>
      <c r="F92" s="68"/>
      <c r="G92" s="68"/>
      <c r="H92" s="68"/>
      <c r="I92" s="68"/>
      <c r="J92" s="68"/>
      <c r="K92" s="68"/>
      <c r="L92" t="str">
        <f>IF(87&gt;'🌱 Configuração'!$F$50,"",IF(F92="","—",IF(F92&lt;22,"⚠️ Temp baixa",IF(F92&gt;29,"⚠️ Temp ALTA",IF(H92="","✅ OK",IF(H92&lt;5.5,"⚠️ pH muito baixo",IF(H92&gt;6.9,"⚠️ pH alto",IF(I92&gt;2.5,"⚠️ CE alta","✅ OK"))))))))</f>
        <v>—</v>
      </c>
    </row>
    <row r="93" spans="2:12" ht="18" customHeight="1" x14ac:dyDescent="0.3">
      <c r="B93" s="70">
        <f>IF(88&lt;='🌱 Configuração'!$F$50,88,"")</f>
        <v>88</v>
      </c>
      <c r="C93" s="71">
        <f>IF(88&lt;='🌱 Configuração'!$F$50,'🌱 Configuração'!$B$51+87,"")</f>
        <v>46110</v>
      </c>
      <c r="D93" s="70" t="str">
        <f>IF(88&gt;'🌱 Configuração'!$F$50,"",IF('🌱 Configuração'!$B$51+87&lt;'🌱 Configuração'!$C$51,"🌱 Clone",IF('🌱 Configuração'!$B$51+87&lt;'🌱 Configuração'!$D$51,"🌿 Vega",IF('🌱 Configuração'!$B$51+87&lt;'🌱 Configuração'!$E$51,"🌸 Flora","🚿 Flush"))))</f>
        <v>🌸 Flora</v>
      </c>
      <c r="E93" s="70"/>
      <c r="F93" s="70"/>
      <c r="G93" s="70"/>
      <c r="H93" s="70"/>
      <c r="I93" s="70"/>
      <c r="J93" s="70"/>
      <c r="K93" s="70"/>
      <c r="L93" t="str">
        <f>IF(88&gt;'🌱 Configuração'!$F$50,"",IF(F93="","—",IF(F93&lt;22,"⚠️ Temp baixa",IF(F93&gt;29,"⚠️ Temp ALTA",IF(H93="","✅ OK",IF(H93&lt;5.5,"⚠️ pH muito baixo",IF(H93&gt;6.9,"⚠️ pH alto",IF(I93&gt;2.5,"⚠️ CE alta","✅ OK"))))))))</f>
        <v>—</v>
      </c>
    </row>
    <row r="94" spans="2:12" ht="18" customHeight="1" x14ac:dyDescent="0.3">
      <c r="B94" s="68">
        <f>IF(89&lt;='🌱 Configuração'!$F$50,89,"")</f>
        <v>89</v>
      </c>
      <c r="C94" s="69">
        <f>IF(89&lt;='🌱 Configuração'!$F$50,'🌱 Configuração'!$B$51+88,"")</f>
        <v>46111</v>
      </c>
      <c r="D94" s="68" t="str">
        <f>IF(89&gt;'🌱 Configuração'!$F$50,"",IF('🌱 Configuração'!$B$51+88&lt;'🌱 Configuração'!$C$51,"🌱 Clone",IF('🌱 Configuração'!$B$51+88&lt;'🌱 Configuração'!$D$51,"🌿 Vega",IF('🌱 Configuração'!$B$51+88&lt;'🌱 Configuração'!$E$51,"🌸 Flora","🚿 Flush"))))</f>
        <v>🌸 Flora</v>
      </c>
      <c r="E94" s="68"/>
      <c r="F94" s="68"/>
      <c r="G94" s="68"/>
      <c r="H94" s="68"/>
      <c r="I94" s="68"/>
      <c r="J94" s="68"/>
      <c r="K94" s="68"/>
      <c r="L94" t="str">
        <f>IF(89&gt;'🌱 Configuração'!$F$50,"",IF(F94="","—",IF(F94&lt;22,"⚠️ Temp baixa",IF(F94&gt;29,"⚠️ Temp ALTA",IF(H94="","✅ OK",IF(H94&lt;5.5,"⚠️ pH muito baixo",IF(H94&gt;6.9,"⚠️ pH alto",IF(I94&gt;2.5,"⚠️ CE alta","✅ OK"))))))))</f>
        <v>—</v>
      </c>
    </row>
    <row r="95" spans="2:12" ht="18" customHeight="1" x14ac:dyDescent="0.3">
      <c r="B95" s="70">
        <f>IF(90&lt;='🌱 Configuração'!$F$50,90,"")</f>
        <v>90</v>
      </c>
      <c r="C95" s="71">
        <f>IF(90&lt;='🌱 Configuração'!$F$50,'🌱 Configuração'!$B$51+89,"")</f>
        <v>46112</v>
      </c>
      <c r="D95" s="70" t="str">
        <f>IF(90&gt;'🌱 Configuração'!$F$50,"",IF('🌱 Configuração'!$B$51+89&lt;'🌱 Configuração'!$C$51,"🌱 Clone",IF('🌱 Configuração'!$B$51+89&lt;'🌱 Configuração'!$D$51,"🌿 Vega",IF('🌱 Configuração'!$B$51+89&lt;'🌱 Configuração'!$E$51,"🌸 Flora","🚿 Flush"))))</f>
        <v>🌸 Flora</v>
      </c>
      <c r="E95" s="70"/>
      <c r="F95" s="70"/>
      <c r="G95" s="70"/>
      <c r="H95" s="70"/>
      <c r="I95" s="70"/>
      <c r="J95" s="70"/>
      <c r="K95" s="70"/>
      <c r="L95" t="str">
        <f>IF(90&gt;'🌱 Configuração'!$F$50,"",IF(F95="","—",IF(F95&lt;22,"⚠️ Temp baixa",IF(F95&gt;29,"⚠️ Temp ALTA",IF(H95="","✅ OK",IF(H95&lt;5.5,"⚠️ pH muito baixo",IF(H95&gt;6.9,"⚠️ pH alto",IF(I95&gt;2.5,"⚠️ CE alta","✅ OK"))))))))</f>
        <v>—</v>
      </c>
    </row>
    <row r="96" spans="2:12" ht="18" customHeight="1" x14ac:dyDescent="0.3">
      <c r="B96" s="68">
        <f>IF(91&lt;='🌱 Configuração'!$F$50,91,"")</f>
        <v>91</v>
      </c>
      <c r="C96" s="69">
        <f>IF(91&lt;='🌱 Configuração'!$F$50,'🌱 Configuração'!$B$51+90,"")</f>
        <v>46113</v>
      </c>
      <c r="D96" s="68" t="str">
        <f>IF(91&gt;'🌱 Configuração'!$F$50,"",IF('🌱 Configuração'!$B$51+90&lt;'🌱 Configuração'!$C$51,"🌱 Clone",IF('🌱 Configuração'!$B$51+90&lt;'🌱 Configuração'!$D$51,"🌿 Vega",IF('🌱 Configuração'!$B$51+90&lt;'🌱 Configuração'!$E$51,"🌸 Flora","🚿 Flush"))))</f>
        <v>🌸 Flora</v>
      </c>
      <c r="E96" s="68"/>
      <c r="F96" s="68"/>
      <c r="G96" s="68"/>
      <c r="H96" s="68"/>
      <c r="I96" s="68"/>
      <c r="J96" s="68"/>
      <c r="K96" s="68"/>
      <c r="L96" t="str">
        <f>IF(91&gt;'🌱 Configuração'!$F$50,"",IF(F96="","—",IF(F96&lt;22,"⚠️ Temp baixa",IF(F96&gt;29,"⚠️ Temp ALTA",IF(H96="","✅ OK",IF(H96&lt;5.5,"⚠️ pH muito baixo",IF(H96&gt;6.9,"⚠️ pH alto",IF(I96&gt;2.5,"⚠️ CE alta","✅ OK"))))))))</f>
        <v>—</v>
      </c>
    </row>
    <row r="97" spans="2:12" ht="18" customHeight="1" x14ac:dyDescent="0.3">
      <c r="B97" s="70">
        <f>IF(92&lt;='🌱 Configuração'!$F$50,92,"")</f>
        <v>92</v>
      </c>
      <c r="C97" s="71">
        <f>IF(92&lt;='🌱 Configuração'!$F$50,'🌱 Configuração'!$B$51+91,"")</f>
        <v>46114</v>
      </c>
      <c r="D97" s="70" t="str">
        <f>IF(92&gt;'🌱 Configuração'!$F$50,"",IF('🌱 Configuração'!$B$51+91&lt;'🌱 Configuração'!$C$51,"🌱 Clone",IF('🌱 Configuração'!$B$51+91&lt;'🌱 Configuração'!$D$51,"🌿 Vega",IF('🌱 Configuração'!$B$51+91&lt;'🌱 Configuração'!$E$51,"🌸 Flora","🚿 Flush"))))</f>
        <v>🌸 Flora</v>
      </c>
      <c r="E97" s="70"/>
      <c r="F97" s="70"/>
      <c r="G97" s="70"/>
      <c r="H97" s="70"/>
      <c r="I97" s="70"/>
      <c r="J97" s="70"/>
      <c r="K97" s="70"/>
      <c r="L97" t="str">
        <f>IF(92&gt;'🌱 Configuração'!$F$50,"",IF(F97="","—",IF(F97&lt;22,"⚠️ Temp baixa",IF(F97&gt;29,"⚠️ Temp ALTA",IF(H97="","✅ OK",IF(H97&lt;5.5,"⚠️ pH muito baixo",IF(H97&gt;6.9,"⚠️ pH alto",IF(I97&gt;2.5,"⚠️ CE alta","✅ OK"))))))))</f>
        <v>—</v>
      </c>
    </row>
    <row r="98" spans="2:12" ht="18" customHeight="1" x14ac:dyDescent="0.3">
      <c r="B98" s="68">
        <f>IF(93&lt;='🌱 Configuração'!$F$50,93,"")</f>
        <v>93</v>
      </c>
      <c r="C98" s="69">
        <f>IF(93&lt;='🌱 Configuração'!$F$50,'🌱 Configuração'!$B$51+92,"")</f>
        <v>46115</v>
      </c>
      <c r="D98" s="68" t="str">
        <f>IF(93&gt;'🌱 Configuração'!$F$50,"",IF('🌱 Configuração'!$B$51+92&lt;'🌱 Configuração'!$C$51,"🌱 Clone",IF('🌱 Configuração'!$B$51+92&lt;'🌱 Configuração'!$D$51,"🌿 Vega",IF('🌱 Configuração'!$B$51+92&lt;'🌱 Configuração'!$E$51,"🌸 Flora","🚿 Flush"))))</f>
        <v>🌸 Flora</v>
      </c>
      <c r="E98" s="68"/>
      <c r="F98" s="68"/>
      <c r="G98" s="68"/>
      <c r="H98" s="68"/>
      <c r="I98" s="68"/>
      <c r="J98" s="68"/>
      <c r="K98" s="68"/>
      <c r="L98" t="str">
        <f>IF(93&gt;'🌱 Configuração'!$F$50,"",IF(F98="","—",IF(F98&lt;22,"⚠️ Temp baixa",IF(F98&gt;29,"⚠️ Temp ALTA",IF(H98="","✅ OK",IF(H98&lt;5.5,"⚠️ pH muito baixo",IF(H98&gt;6.9,"⚠️ pH alto",IF(I98&gt;2.5,"⚠️ CE alta","✅ OK"))))))))</f>
        <v>—</v>
      </c>
    </row>
    <row r="99" spans="2:12" ht="18" customHeight="1" x14ac:dyDescent="0.3">
      <c r="B99" s="70">
        <f>IF(94&lt;='🌱 Configuração'!$F$50,94,"")</f>
        <v>94</v>
      </c>
      <c r="C99" s="71">
        <f>IF(94&lt;='🌱 Configuração'!$F$50,'🌱 Configuração'!$B$51+93,"")</f>
        <v>46116</v>
      </c>
      <c r="D99" s="70" t="str">
        <f>IF(94&gt;'🌱 Configuração'!$F$50,"",IF('🌱 Configuração'!$B$51+93&lt;'🌱 Configuração'!$C$51,"🌱 Clone",IF('🌱 Configuração'!$B$51+93&lt;'🌱 Configuração'!$D$51,"🌿 Vega",IF('🌱 Configuração'!$B$51+93&lt;'🌱 Configuração'!$E$51,"🌸 Flora","🚿 Flush"))))</f>
        <v>🌸 Flora</v>
      </c>
      <c r="E99" s="70"/>
      <c r="F99" s="70"/>
      <c r="G99" s="70"/>
      <c r="H99" s="70"/>
      <c r="I99" s="70"/>
      <c r="J99" s="70"/>
      <c r="K99" s="70"/>
      <c r="L99" t="str">
        <f>IF(94&gt;'🌱 Configuração'!$F$50,"",IF(F99="","—",IF(F99&lt;22,"⚠️ Temp baixa",IF(F99&gt;29,"⚠️ Temp ALTA",IF(H99="","✅ OK",IF(H99&lt;5.5,"⚠️ pH muito baixo",IF(H99&gt;6.9,"⚠️ pH alto",IF(I99&gt;2.5,"⚠️ CE alta","✅ OK"))))))))</f>
        <v>—</v>
      </c>
    </row>
    <row r="100" spans="2:12" ht="18" customHeight="1" x14ac:dyDescent="0.3">
      <c r="B100" s="68">
        <f>IF(95&lt;='🌱 Configuração'!$F$50,95,"")</f>
        <v>95</v>
      </c>
      <c r="C100" s="69">
        <f>IF(95&lt;='🌱 Configuração'!$F$50,'🌱 Configuração'!$B$51+94,"")</f>
        <v>46117</v>
      </c>
      <c r="D100" s="68" t="str">
        <f>IF(95&gt;'🌱 Configuração'!$F$50,"",IF('🌱 Configuração'!$B$51+94&lt;'🌱 Configuração'!$C$51,"🌱 Clone",IF('🌱 Configuração'!$B$51+94&lt;'🌱 Configuração'!$D$51,"🌿 Vega",IF('🌱 Configuração'!$B$51+94&lt;'🌱 Configuração'!$E$51,"🌸 Flora","🚿 Flush"))))</f>
        <v>🌸 Flora</v>
      </c>
      <c r="E100" s="68"/>
      <c r="F100" s="68"/>
      <c r="G100" s="68"/>
      <c r="H100" s="68"/>
      <c r="I100" s="68"/>
      <c r="J100" s="68"/>
      <c r="K100" s="68"/>
      <c r="L100" t="str">
        <f>IF(95&gt;'🌱 Configuração'!$F$50,"",IF(F100="","—",IF(F100&lt;22,"⚠️ Temp baixa",IF(F100&gt;29,"⚠️ Temp ALTA",IF(H100="","✅ OK",IF(H100&lt;5.5,"⚠️ pH muito baixo",IF(H100&gt;6.9,"⚠️ pH alto",IF(I100&gt;2.5,"⚠️ CE alta","✅ OK"))))))))</f>
        <v>—</v>
      </c>
    </row>
    <row r="101" spans="2:12" ht="18" customHeight="1" x14ac:dyDescent="0.3">
      <c r="B101" s="70">
        <f>IF(96&lt;='🌱 Configuração'!$F$50,96,"")</f>
        <v>96</v>
      </c>
      <c r="C101" s="71">
        <f>IF(96&lt;='🌱 Configuração'!$F$50,'🌱 Configuração'!$B$51+95,"")</f>
        <v>46118</v>
      </c>
      <c r="D101" s="70" t="str">
        <f>IF(96&gt;'🌱 Configuração'!$F$50,"",IF('🌱 Configuração'!$B$51+95&lt;'🌱 Configuração'!$C$51,"🌱 Clone",IF('🌱 Configuração'!$B$51+95&lt;'🌱 Configuração'!$D$51,"🌿 Vega",IF('🌱 Configuração'!$B$51+95&lt;'🌱 Configuração'!$E$51,"🌸 Flora","🚿 Flush"))))</f>
        <v>🌸 Flora</v>
      </c>
      <c r="E101" s="70"/>
      <c r="F101" s="70"/>
      <c r="G101" s="70"/>
      <c r="H101" s="70"/>
      <c r="I101" s="70"/>
      <c r="J101" s="70"/>
      <c r="K101" s="70"/>
      <c r="L101" t="str">
        <f>IF(96&gt;'🌱 Configuração'!$F$50,"",IF(F101="","—",IF(F101&lt;22,"⚠️ Temp baixa",IF(F101&gt;29,"⚠️ Temp ALTA",IF(H101="","✅ OK",IF(H101&lt;5.5,"⚠️ pH muito baixo",IF(H101&gt;6.9,"⚠️ pH alto",IF(I101&gt;2.5,"⚠️ CE alta","✅ OK"))))))))</f>
        <v>—</v>
      </c>
    </row>
    <row r="102" spans="2:12" ht="18" customHeight="1" x14ac:dyDescent="0.3">
      <c r="B102" s="68">
        <f>IF(97&lt;='🌱 Configuração'!$F$50,97,"")</f>
        <v>97</v>
      </c>
      <c r="C102" s="69">
        <f>IF(97&lt;='🌱 Configuração'!$F$50,'🌱 Configuração'!$B$51+96,"")</f>
        <v>46119</v>
      </c>
      <c r="D102" s="68" t="str">
        <f>IF(97&gt;'🌱 Configuração'!$F$50,"",IF('🌱 Configuração'!$B$51+96&lt;'🌱 Configuração'!$C$51,"🌱 Clone",IF('🌱 Configuração'!$B$51+96&lt;'🌱 Configuração'!$D$51,"🌿 Vega",IF('🌱 Configuração'!$B$51+96&lt;'🌱 Configuração'!$E$51,"🌸 Flora","🚿 Flush"))))</f>
        <v>🌸 Flora</v>
      </c>
      <c r="E102" s="68"/>
      <c r="F102" s="68"/>
      <c r="G102" s="68"/>
      <c r="H102" s="68"/>
      <c r="I102" s="68"/>
      <c r="J102" s="68"/>
      <c r="K102" s="68"/>
      <c r="L102" t="str">
        <f>IF(97&gt;'🌱 Configuração'!$F$50,"",IF(F102="","—",IF(F102&lt;22,"⚠️ Temp baixa",IF(F102&gt;29,"⚠️ Temp ALTA",IF(H102="","✅ OK",IF(H102&lt;5.5,"⚠️ pH muito baixo",IF(H102&gt;6.9,"⚠️ pH alto",IF(I102&gt;2.5,"⚠️ CE alta","✅ OK"))))))))</f>
        <v>—</v>
      </c>
    </row>
    <row r="103" spans="2:12" ht="18" customHeight="1" x14ac:dyDescent="0.3">
      <c r="B103" s="70">
        <f>IF(98&lt;='🌱 Configuração'!$F$50,98,"")</f>
        <v>98</v>
      </c>
      <c r="C103" s="71">
        <f>IF(98&lt;='🌱 Configuração'!$F$50,'🌱 Configuração'!$B$51+97,"")</f>
        <v>46120</v>
      </c>
      <c r="D103" s="70" t="str">
        <f>IF(98&gt;'🌱 Configuração'!$F$50,"",IF('🌱 Configuração'!$B$51+97&lt;'🌱 Configuração'!$C$51,"🌱 Clone",IF('🌱 Configuração'!$B$51+97&lt;'🌱 Configuração'!$D$51,"🌿 Vega",IF('🌱 Configuração'!$B$51+97&lt;'🌱 Configuração'!$E$51,"🌸 Flora","🚿 Flush"))))</f>
        <v>🌸 Flora</v>
      </c>
      <c r="E103" s="70"/>
      <c r="F103" s="70"/>
      <c r="G103" s="70"/>
      <c r="H103" s="70"/>
      <c r="I103" s="70"/>
      <c r="J103" s="70"/>
      <c r="K103" s="70"/>
      <c r="L103" t="str">
        <f>IF(98&gt;'🌱 Configuração'!$F$50,"",IF(F103="","—",IF(F103&lt;22,"⚠️ Temp baixa",IF(F103&gt;29,"⚠️ Temp ALTA",IF(H103="","✅ OK",IF(H103&lt;5.5,"⚠️ pH muito baixo",IF(H103&gt;6.9,"⚠️ pH alto",IF(I103&gt;2.5,"⚠️ CE alta","✅ OK"))))))))</f>
        <v>—</v>
      </c>
    </row>
    <row r="104" spans="2:12" ht="18" customHeight="1" x14ac:dyDescent="0.3">
      <c r="B104" s="68">
        <f>IF(99&lt;='🌱 Configuração'!$F$50,99,"")</f>
        <v>99</v>
      </c>
      <c r="C104" s="69">
        <f>IF(99&lt;='🌱 Configuração'!$F$50,'🌱 Configuração'!$B$51+98,"")</f>
        <v>46121</v>
      </c>
      <c r="D104" s="68" t="str">
        <f>IF(99&gt;'🌱 Configuração'!$F$50,"",IF('🌱 Configuração'!$B$51+98&lt;'🌱 Configuração'!$C$51,"🌱 Clone",IF('🌱 Configuração'!$B$51+98&lt;'🌱 Configuração'!$D$51,"🌿 Vega",IF('🌱 Configuração'!$B$51+98&lt;'🌱 Configuração'!$E$51,"🌸 Flora","🚿 Flush"))))</f>
        <v>🌸 Flora</v>
      </c>
      <c r="E104" s="68"/>
      <c r="F104" s="68"/>
      <c r="G104" s="68"/>
      <c r="H104" s="68"/>
      <c r="I104" s="68"/>
      <c r="J104" s="68"/>
      <c r="K104" s="68"/>
      <c r="L104" t="str">
        <f>IF(99&gt;'🌱 Configuração'!$F$50,"",IF(F104="","—",IF(F104&lt;22,"⚠️ Temp baixa",IF(F104&gt;29,"⚠️ Temp ALTA",IF(H104="","✅ OK",IF(H104&lt;5.5,"⚠️ pH muito baixo",IF(H104&gt;6.9,"⚠️ pH alto",IF(I104&gt;2.5,"⚠️ CE alta","✅ OK"))))))))</f>
        <v>—</v>
      </c>
    </row>
    <row r="105" spans="2:12" ht="18" customHeight="1" x14ac:dyDescent="0.3">
      <c r="B105" s="70">
        <f>IF(100&lt;='🌱 Configuração'!$F$50,100,"")</f>
        <v>100</v>
      </c>
      <c r="C105" s="71">
        <f>IF(100&lt;='🌱 Configuração'!$F$50,'🌱 Configuração'!$B$51+99,"")</f>
        <v>46122</v>
      </c>
      <c r="D105" s="70" t="str">
        <f>IF(100&gt;'🌱 Configuração'!$F$50,"",IF('🌱 Configuração'!$B$51+99&lt;'🌱 Configuração'!$C$51,"🌱 Clone",IF('🌱 Configuração'!$B$51+99&lt;'🌱 Configuração'!$D$51,"🌿 Vega",IF('🌱 Configuração'!$B$51+99&lt;'🌱 Configuração'!$E$51,"🌸 Flora","🚿 Flush"))))</f>
        <v>🌸 Flora</v>
      </c>
      <c r="E105" s="70"/>
      <c r="F105" s="70"/>
      <c r="G105" s="70"/>
      <c r="H105" s="70"/>
      <c r="I105" s="70"/>
      <c r="J105" s="70"/>
      <c r="K105" s="70"/>
      <c r="L105" t="str">
        <f>IF(100&gt;'🌱 Configuração'!$F$50,"",IF(F105="","—",IF(F105&lt;22,"⚠️ Temp baixa",IF(F105&gt;29,"⚠️ Temp ALTA",IF(H105="","✅ OK",IF(H105&lt;5.5,"⚠️ pH muito baixo",IF(H105&gt;6.9,"⚠️ pH alto",IF(I105&gt;2.5,"⚠️ CE alta","✅ OK"))))))))</f>
        <v>—</v>
      </c>
    </row>
    <row r="106" spans="2:12" ht="18" customHeight="1" x14ac:dyDescent="0.3">
      <c r="B106" s="68">
        <f>IF(101&lt;='🌱 Configuração'!$F$50,101,"")</f>
        <v>101</v>
      </c>
      <c r="C106" s="69">
        <f>IF(101&lt;='🌱 Configuração'!$F$50,'🌱 Configuração'!$B$51+100,"")</f>
        <v>46123</v>
      </c>
      <c r="D106" s="68" t="str">
        <f>IF(101&gt;'🌱 Configuração'!$F$50,"",IF('🌱 Configuração'!$B$51+100&lt;'🌱 Configuração'!$C$51,"🌱 Clone",IF('🌱 Configuração'!$B$51+100&lt;'🌱 Configuração'!$D$51,"🌿 Vega",IF('🌱 Configuração'!$B$51+100&lt;'🌱 Configuração'!$E$51,"🌸 Flora","🚿 Flush"))))</f>
        <v>🌸 Flora</v>
      </c>
      <c r="E106" s="68"/>
      <c r="F106" s="68"/>
      <c r="G106" s="68"/>
      <c r="H106" s="68"/>
      <c r="I106" s="68"/>
      <c r="J106" s="68"/>
      <c r="K106" s="68"/>
      <c r="L106" t="str">
        <f>IF(101&gt;'🌱 Configuração'!$F$50,"",IF(F106="","—",IF(F106&lt;22,"⚠️ Temp baixa",IF(F106&gt;29,"⚠️ Temp ALTA",IF(H106="","✅ OK",IF(H106&lt;5.5,"⚠️ pH muito baixo",IF(H106&gt;6.9,"⚠️ pH alto",IF(I106&gt;2.5,"⚠️ CE alta","✅ OK"))))))))</f>
        <v>—</v>
      </c>
    </row>
    <row r="107" spans="2:12" ht="18" customHeight="1" x14ac:dyDescent="0.3">
      <c r="B107" s="70">
        <f>IF(102&lt;='🌱 Configuração'!$F$50,102,"")</f>
        <v>102</v>
      </c>
      <c r="C107" s="71">
        <f>IF(102&lt;='🌱 Configuração'!$F$50,'🌱 Configuração'!$B$51+101,"")</f>
        <v>46124</v>
      </c>
      <c r="D107" s="70" t="str">
        <f>IF(102&gt;'🌱 Configuração'!$F$50,"",IF('🌱 Configuração'!$B$51+101&lt;'🌱 Configuração'!$C$51,"🌱 Clone",IF('🌱 Configuração'!$B$51+101&lt;'🌱 Configuração'!$D$51,"🌿 Vega",IF('🌱 Configuração'!$B$51+101&lt;'🌱 Configuração'!$E$51,"🌸 Flora","🚿 Flush"))))</f>
        <v>🌸 Flora</v>
      </c>
      <c r="E107" s="70"/>
      <c r="F107" s="70"/>
      <c r="G107" s="70"/>
      <c r="H107" s="70"/>
      <c r="I107" s="70"/>
      <c r="J107" s="70"/>
      <c r="K107" s="70"/>
      <c r="L107" t="str">
        <f>IF(102&gt;'🌱 Configuração'!$F$50,"",IF(F107="","—",IF(F107&lt;22,"⚠️ Temp baixa",IF(F107&gt;29,"⚠️ Temp ALTA",IF(H107="","✅ OK",IF(H107&lt;5.5,"⚠️ pH muito baixo",IF(H107&gt;6.9,"⚠️ pH alto",IF(I107&gt;2.5,"⚠️ CE alta","✅ OK"))))))))</f>
        <v>—</v>
      </c>
    </row>
    <row r="108" spans="2:12" ht="18" customHeight="1" x14ac:dyDescent="0.3">
      <c r="B108" s="68">
        <f>IF(103&lt;='🌱 Configuração'!$F$50,103,"")</f>
        <v>103</v>
      </c>
      <c r="C108" s="69">
        <f>IF(103&lt;='🌱 Configuração'!$F$50,'🌱 Configuração'!$B$51+102,"")</f>
        <v>46125</v>
      </c>
      <c r="D108" s="68" t="str">
        <f>IF(103&gt;'🌱 Configuração'!$F$50,"",IF('🌱 Configuração'!$B$51+102&lt;'🌱 Configuração'!$C$51,"🌱 Clone",IF('🌱 Configuração'!$B$51+102&lt;'🌱 Configuração'!$D$51,"🌿 Vega",IF('🌱 Configuração'!$B$51+102&lt;'🌱 Configuração'!$E$51,"🌸 Flora","🚿 Flush"))))</f>
        <v>🌸 Flora</v>
      </c>
      <c r="E108" s="68"/>
      <c r="F108" s="68"/>
      <c r="G108" s="68"/>
      <c r="H108" s="68"/>
      <c r="I108" s="68"/>
      <c r="J108" s="68"/>
      <c r="K108" s="68"/>
      <c r="L108" t="str">
        <f>IF(103&gt;'🌱 Configuração'!$F$50,"",IF(F108="","—",IF(F108&lt;22,"⚠️ Temp baixa",IF(F108&gt;29,"⚠️ Temp ALTA",IF(H108="","✅ OK",IF(H108&lt;5.5,"⚠️ pH muito baixo",IF(H108&gt;6.9,"⚠️ pH alto",IF(I108&gt;2.5,"⚠️ CE alta","✅ OK"))))))))</f>
        <v>—</v>
      </c>
    </row>
    <row r="109" spans="2:12" ht="18" customHeight="1" x14ac:dyDescent="0.3">
      <c r="B109" s="70">
        <f>IF(104&lt;='🌱 Configuração'!$F$50,104,"")</f>
        <v>104</v>
      </c>
      <c r="C109" s="71">
        <f>IF(104&lt;='🌱 Configuração'!$F$50,'🌱 Configuração'!$B$51+103,"")</f>
        <v>46126</v>
      </c>
      <c r="D109" s="70" t="str">
        <f>IF(104&gt;'🌱 Configuração'!$F$50,"",IF('🌱 Configuração'!$B$51+103&lt;'🌱 Configuração'!$C$51,"🌱 Clone",IF('🌱 Configuração'!$B$51+103&lt;'🌱 Configuração'!$D$51,"🌿 Vega",IF('🌱 Configuração'!$B$51+103&lt;'🌱 Configuração'!$E$51,"🌸 Flora","🚿 Flush"))))</f>
        <v>🌸 Flora</v>
      </c>
      <c r="E109" s="70"/>
      <c r="F109" s="70"/>
      <c r="G109" s="70"/>
      <c r="H109" s="70"/>
      <c r="I109" s="70"/>
      <c r="J109" s="70"/>
      <c r="K109" s="70"/>
      <c r="L109" t="str">
        <f>IF(104&gt;'🌱 Configuração'!$F$50,"",IF(F109="","—",IF(F109&lt;22,"⚠️ Temp baixa",IF(F109&gt;29,"⚠️ Temp ALTA",IF(H109="","✅ OK",IF(H109&lt;5.5,"⚠️ pH muito baixo",IF(H109&gt;6.9,"⚠️ pH alto",IF(I109&gt;2.5,"⚠️ CE alta","✅ OK"))))))))</f>
        <v>—</v>
      </c>
    </row>
    <row r="110" spans="2:12" ht="18" customHeight="1" x14ac:dyDescent="0.3">
      <c r="B110" s="68">
        <f>IF(105&lt;='🌱 Configuração'!$F$50,105,"")</f>
        <v>105</v>
      </c>
      <c r="C110" s="69">
        <f>IF(105&lt;='🌱 Configuração'!$F$50,'🌱 Configuração'!$B$51+104,"")</f>
        <v>46127</v>
      </c>
      <c r="D110" s="68" t="str">
        <f>IF(105&gt;'🌱 Configuração'!$F$50,"",IF('🌱 Configuração'!$B$51+104&lt;'🌱 Configuração'!$C$51,"🌱 Clone",IF('🌱 Configuração'!$B$51+104&lt;'🌱 Configuração'!$D$51,"🌿 Vega",IF('🌱 Configuração'!$B$51+104&lt;'🌱 Configuração'!$E$51,"🌸 Flora","🚿 Flush"))))</f>
        <v>🌸 Flora</v>
      </c>
      <c r="E110" s="68"/>
      <c r="F110" s="68"/>
      <c r="G110" s="68"/>
      <c r="H110" s="68"/>
      <c r="I110" s="68"/>
      <c r="J110" s="68"/>
      <c r="K110" s="68"/>
      <c r="L110" t="str">
        <f>IF(105&gt;'🌱 Configuração'!$F$50,"",IF(F110="","—",IF(F110&lt;22,"⚠️ Temp baixa",IF(F110&gt;29,"⚠️ Temp ALTA",IF(H110="","✅ OK",IF(H110&lt;5.5,"⚠️ pH muito baixo",IF(H110&gt;6.9,"⚠️ pH alto",IF(I110&gt;2.5,"⚠️ CE alta","✅ OK"))))))))</f>
        <v>—</v>
      </c>
    </row>
    <row r="111" spans="2:12" ht="18" customHeight="1" x14ac:dyDescent="0.3">
      <c r="B111" s="70">
        <f>IF(106&lt;='🌱 Configuração'!$F$50,106,"")</f>
        <v>106</v>
      </c>
      <c r="C111" s="71">
        <f>IF(106&lt;='🌱 Configuração'!$F$50,'🌱 Configuração'!$B$51+105,"")</f>
        <v>46128</v>
      </c>
      <c r="D111" s="70" t="str">
        <f>IF(106&gt;'🌱 Configuração'!$F$50,"",IF('🌱 Configuração'!$B$51+105&lt;'🌱 Configuração'!$C$51,"🌱 Clone",IF('🌱 Configuração'!$B$51+105&lt;'🌱 Configuração'!$D$51,"🌿 Vega",IF('🌱 Configuração'!$B$51+105&lt;'🌱 Configuração'!$E$51,"🌸 Flora","🚿 Flush"))))</f>
        <v>🌸 Flora</v>
      </c>
      <c r="E111" s="70"/>
      <c r="F111" s="70"/>
      <c r="G111" s="70"/>
      <c r="H111" s="70"/>
      <c r="I111" s="70"/>
      <c r="J111" s="70"/>
      <c r="K111" s="70"/>
      <c r="L111" t="str">
        <f>IF(106&gt;'🌱 Configuração'!$F$50,"",IF(F111="","—",IF(F111&lt;22,"⚠️ Temp baixa",IF(F111&gt;29,"⚠️ Temp ALTA",IF(H111="","✅ OK",IF(H111&lt;5.5,"⚠️ pH muito baixo",IF(H111&gt;6.9,"⚠️ pH alto",IF(I111&gt;2.5,"⚠️ CE alta","✅ OK"))))))))</f>
        <v>—</v>
      </c>
    </row>
    <row r="112" spans="2:12" ht="18" customHeight="1" x14ac:dyDescent="0.3">
      <c r="B112" s="68">
        <f>IF(107&lt;='🌱 Configuração'!$F$50,107,"")</f>
        <v>107</v>
      </c>
      <c r="C112" s="69">
        <f>IF(107&lt;='🌱 Configuração'!$F$50,'🌱 Configuração'!$B$51+106,"")</f>
        <v>46129</v>
      </c>
      <c r="D112" s="68" t="str">
        <f>IF(107&gt;'🌱 Configuração'!$F$50,"",IF('🌱 Configuração'!$B$51+106&lt;'🌱 Configuração'!$C$51,"🌱 Clone",IF('🌱 Configuração'!$B$51+106&lt;'🌱 Configuração'!$D$51,"🌿 Vega",IF('🌱 Configuração'!$B$51+106&lt;'🌱 Configuração'!$E$51,"🌸 Flora","🚿 Flush"))))</f>
        <v>🌸 Flora</v>
      </c>
      <c r="E112" s="68"/>
      <c r="F112" s="68"/>
      <c r="G112" s="68"/>
      <c r="H112" s="68"/>
      <c r="I112" s="68"/>
      <c r="J112" s="68"/>
      <c r="K112" s="68"/>
      <c r="L112" t="str">
        <f>IF(107&gt;'🌱 Configuração'!$F$50,"",IF(F112="","—",IF(F112&lt;22,"⚠️ Temp baixa",IF(F112&gt;29,"⚠️ Temp ALTA",IF(H112="","✅ OK",IF(H112&lt;5.5,"⚠️ pH muito baixo",IF(H112&gt;6.9,"⚠️ pH alto",IF(I112&gt;2.5,"⚠️ CE alta","✅ OK"))))))))</f>
        <v>—</v>
      </c>
    </row>
    <row r="113" spans="2:12" ht="18" customHeight="1" x14ac:dyDescent="0.3">
      <c r="B113" s="70">
        <f>IF(108&lt;='🌱 Configuração'!$F$50,108,"")</f>
        <v>108</v>
      </c>
      <c r="C113" s="71">
        <f>IF(108&lt;='🌱 Configuração'!$F$50,'🌱 Configuração'!$B$51+107,"")</f>
        <v>46130</v>
      </c>
      <c r="D113" s="70" t="str">
        <f>IF(108&gt;'🌱 Configuração'!$F$50,"",IF('🌱 Configuração'!$B$51+107&lt;'🌱 Configuração'!$C$51,"🌱 Clone",IF('🌱 Configuração'!$B$51+107&lt;'🌱 Configuração'!$D$51,"🌿 Vega",IF('🌱 Configuração'!$B$51+107&lt;'🌱 Configuração'!$E$51,"🌸 Flora","🚿 Flush"))))</f>
        <v>🌸 Flora</v>
      </c>
      <c r="E113" s="70"/>
      <c r="F113" s="70"/>
      <c r="G113" s="70"/>
      <c r="H113" s="70"/>
      <c r="I113" s="70"/>
      <c r="J113" s="70"/>
      <c r="K113" s="70"/>
      <c r="L113" t="str">
        <f>IF(108&gt;'🌱 Configuração'!$F$50,"",IF(F113="","—",IF(F113&lt;22,"⚠️ Temp baixa",IF(F113&gt;29,"⚠️ Temp ALTA",IF(H113="","✅ OK",IF(H113&lt;5.5,"⚠️ pH muito baixo",IF(H113&gt;6.9,"⚠️ pH alto",IF(I113&gt;2.5,"⚠️ CE alta","✅ OK"))))))))</f>
        <v>—</v>
      </c>
    </row>
    <row r="114" spans="2:12" ht="18" customHeight="1" x14ac:dyDescent="0.3">
      <c r="B114" s="68">
        <f>IF(109&lt;='🌱 Configuração'!$F$50,109,"")</f>
        <v>109</v>
      </c>
      <c r="C114" s="69">
        <f>IF(109&lt;='🌱 Configuração'!$F$50,'🌱 Configuração'!$B$51+108,"")</f>
        <v>46131</v>
      </c>
      <c r="D114" s="68" t="str">
        <f>IF(109&gt;'🌱 Configuração'!$F$50,"",IF('🌱 Configuração'!$B$51+108&lt;'🌱 Configuração'!$C$51,"🌱 Clone",IF('🌱 Configuração'!$B$51+108&lt;'🌱 Configuração'!$D$51,"🌿 Vega",IF('🌱 Configuração'!$B$51+108&lt;'🌱 Configuração'!$E$51,"🌸 Flora","🚿 Flush"))))</f>
        <v>🌸 Flora</v>
      </c>
      <c r="E114" s="68"/>
      <c r="F114" s="68"/>
      <c r="G114" s="68"/>
      <c r="H114" s="68"/>
      <c r="I114" s="68"/>
      <c r="J114" s="68"/>
      <c r="K114" s="68"/>
      <c r="L114" t="str">
        <f>IF(109&gt;'🌱 Configuração'!$F$50,"",IF(F114="","—",IF(F114&lt;22,"⚠️ Temp baixa",IF(F114&gt;29,"⚠️ Temp ALTA",IF(H114="","✅ OK",IF(H114&lt;5.5,"⚠️ pH muito baixo",IF(H114&gt;6.9,"⚠️ pH alto",IF(I114&gt;2.5,"⚠️ CE alta","✅ OK"))))))))</f>
        <v>—</v>
      </c>
    </row>
    <row r="115" spans="2:12" ht="18" customHeight="1" x14ac:dyDescent="0.3">
      <c r="B115" s="70">
        <f>IF(110&lt;='🌱 Configuração'!$F$50,110,"")</f>
        <v>110</v>
      </c>
      <c r="C115" s="71">
        <f>IF(110&lt;='🌱 Configuração'!$F$50,'🌱 Configuração'!$B$51+109,"")</f>
        <v>46132</v>
      </c>
      <c r="D115" s="70" t="str">
        <f>IF(110&gt;'🌱 Configuração'!$F$50,"",IF('🌱 Configuração'!$B$51+109&lt;'🌱 Configuração'!$C$51,"🌱 Clone",IF('🌱 Configuração'!$B$51+109&lt;'🌱 Configuração'!$D$51,"🌿 Vega",IF('🌱 Configuração'!$B$51+109&lt;'🌱 Configuração'!$E$51,"🌸 Flora","🚿 Flush"))))</f>
        <v>🌸 Flora</v>
      </c>
      <c r="E115" s="70"/>
      <c r="F115" s="70"/>
      <c r="G115" s="70"/>
      <c r="H115" s="70"/>
      <c r="I115" s="70"/>
      <c r="J115" s="70"/>
      <c r="K115" s="70"/>
      <c r="L115" t="str">
        <f>IF(110&gt;'🌱 Configuração'!$F$50,"",IF(F115="","—",IF(F115&lt;22,"⚠️ Temp baixa",IF(F115&gt;29,"⚠️ Temp ALTA",IF(H115="","✅ OK",IF(H115&lt;5.5,"⚠️ pH muito baixo",IF(H115&gt;6.9,"⚠️ pH alto",IF(I115&gt;2.5,"⚠️ CE alta","✅ OK"))))))))</f>
        <v>—</v>
      </c>
    </row>
    <row r="116" spans="2:12" ht="18" customHeight="1" x14ac:dyDescent="0.3">
      <c r="B116" s="68">
        <f>IF(111&lt;='🌱 Configuração'!$F$50,111,"")</f>
        <v>111</v>
      </c>
      <c r="C116" s="69">
        <f>IF(111&lt;='🌱 Configuração'!$F$50,'🌱 Configuração'!$B$51+110,"")</f>
        <v>46133</v>
      </c>
      <c r="D116" s="68" t="str">
        <f>IF(111&gt;'🌱 Configuração'!$F$50,"",IF('🌱 Configuração'!$B$51+110&lt;'🌱 Configuração'!$C$51,"🌱 Clone",IF('🌱 Configuração'!$B$51+110&lt;'🌱 Configuração'!$D$51,"🌿 Vega",IF('🌱 Configuração'!$B$51+110&lt;'🌱 Configuração'!$E$51,"🌸 Flora","🚿 Flush"))))</f>
        <v>🌸 Flora</v>
      </c>
      <c r="E116" s="68"/>
      <c r="F116" s="68"/>
      <c r="G116" s="68"/>
      <c r="H116" s="68"/>
      <c r="I116" s="68"/>
      <c r="J116" s="68"/>
      <c r="K116" s="68"/>
      <c r="L116" t="str">
        <f>IF(111&gt;'🌱 Configuração'!$F$50,"",IF(F116="","—",IF(F116&lt;22,"⚠️ Temp baixa",IF(F116&gt;29,"⚠️ Temp ALTA",IF(H116="","✅ OK",IF(H116&lt;5.5,"⚠️ pH muito baixo",IF(H116&gt;6.9,"⚠️ pH alto",IF(I116&gt;2.5,"⚠️ CE alta","✅ OK"))))))))</f>
        <v>—</v>
      </c>
    </row>
    <row r="117" spans="2:12" ht="18" customHeight="1" x14ac:dyDescent="0.3">
      <c r="B117" s="70">
        <f>IF(112&lt;='🌱 Configuração'!$F$50,112,"")</f>
        <v>112</v>
      </c>
      <c r="C117" s="71">
        <f>IF(112&lt;='🌱 Configuração'!$F$50,'🌱 Configuração'!$B$51+111,"")</f>
        <v>46134</v>
      </c>
      <c r="D117" s="70" t="str">
        <f>IF(112&gt;'🌱 Configuração'!$F$50,"",IF('🌱 Configuração'!$B$51+111&lt;'🌱 Configuração'!$C$51,"🌱 Clone",IF('🌱 Configuração'!$B$51+111&lt;'🌱 Configuração'!$D$51,"🌿 Vega",IF('🌱 Configuração'!$B$51+111&lt;'🌱 Configuração'!$E$51,"🌸 Flora","🚿 Flush"))))</f>
        <v>🌸 Flora</v>
      </c>
      <c r="E117" s="70"/>
      <c r="F117" s="70"/>
      <c r="G117" s="70"/>
      <c r="H117" s="70"/>
      <c r="I117" s="70"/>
      <c r="J117" s="70"/>
      <c r="K117" s="70"/>
      <c r="L117" t="str">
        <f>IF(112&gt;'🌱 Configuração'!$F$50,"",IF(F117="","—",IF(F117&lt;22,"⚠️ Temp baixa",IF(F117&gt;29,"⚠️ Temp ALTA",IF(H117="","✅ OK",IF(H117&lt;5.5,"⚠️ pH muito baixo",IF(H117&gt;6.9,"⚠️ pH alto",IF(I117&gt;2.5,"⚠️ CE alta","✅ OK"))))))))</f>
        <v>—</v>
      </c>
    </row>
    <row r="118" spans="2:12" ht="18" customHeight="1" x14ac:dyDescent="0.3">
      <c r="B118" s="68">
        <f>IF(113&lt;='🌱 Configuração'!$F$50,113,"")</f>
        <v>113</v>
      </c>
      <c r="C118" s="69">
        <f>IF(113&lt;='🌱 Configuração'!$F$50,'🌱 Configuração'!$B$51+112,"")</f>
        <v>46135</v>
      </c>
      <c r="D118" s="68" t="str">
        <f>IF(113&gt;'🌱 Configuração'!$F$50,"",IF('🌱 Configuração'!$B$51+112&lt;'🌱 Configuração'!$C$51,"🌱 Clone",IF('🌱 Configuração'!$B$51+112&lt;'🌱 Configuração'!$D$51,"🌿 Vega",IF('🌱 Configuração'!$B$51+112&lt;'🌱 Configuração'!$E$51,"🌸 Flora","🚿 Flush"))))</f>
        <v>🌸 Flora</v>
      </c>
      <c r="E118" s="68"/>
      <c r="F118" s="68"/>
      <c r="G118" s="68"/>
      <c r="H118" s="68"/>
      <c r="I118" s="68"/>
      <c r="J118" s="68"/>
      <c r="K118" s="68"/>
      <c r="L118" t="str">
        <f>IF(113&gt;'🌱 Configuração'!$F$50,"",IF(F118="","—",IF(F118&lt;22,"⚠️ Temp baixa",IF(F118&gt;29,"⚠️ Temp ALTA",IF(H118="","✅ OK",IF(H118&lt;5.5,"⚠️ pH muito baixo",IF(H118&gt;6.9,"⚠️ pH alto",IF(I118&gt;2.5,"⚠️ CE alta","✅ OK"))))))))</f>
        <v>—</v>
      </c>
    </row>
    <row r="119" spans="2:12" ht="18" customHeight="1" x14ac:dyDescent="0.3">
      <c r="B119" s="70">
        <f>IF(114&lt;='🌱 Configuração'!$F$50,114,"")</f>
        <v>114</v>
      </c>
      <c r="C119" s="71">
        <f>IF(114&lt;='🌱 Configuração'!$F$50,'🌱 Configuração'!$B$51+113,"")</f>
        <v>46136</v>
      </c>
      <c r="D119" s="70" t="str">
        <f>IF(114&gt;'🌱 Configuração'!$F$50,"",IF('🌱 Configuração'!$B$51+113&lt;'🌱 Configuração'!$C$51,"🌱 Clone",IF('🌱 Configuração'!$B$51+113&lt;'🌱 Configuração'!$D$51,"🌿 Vega",IF('🌱 Configuração'!$B$51+113&lt;'🌱 Configuração'!$E$51,"🌸 Flora","🚿 Flush"))))</f>
        <v>🌸 Flora</v>
      </c>
      <c r="E119" s="70"/>
      <c r="F119" s="70"/>
      <c r="G119" s="70"/>
      <c r="H119" s="70"/>
      <c r="I119" s="70"/>
      <c r="J119" s="70"/>
      <c r="K119" s="70"/>
      <c r="L119" t="str">
        <f>IF(114&gt;'🌱 Configuração'!$F$50,"",IF(F119="","—",IF(F119&lt;22,"⚠️ Temp baixa",IF(F119&gt;29,"⚠️ Temp ALTA",IF(H119="","✅ OK",IF(H119&lt;5.5,"⚠️ pH muito baixo",IF(H119&gt;6.9,"⚠️ pH alto",IF(I119&gt;2.5,"⚠️ CE alta","✅ OK"))))))))</f>
        <v>—</v>
      </c>
    </row>
    <row r="120" spans="2:12" ht="18" customHeight="1" x14ac:dyDescent="0.3">
      <c r="B120" s="68">
        <f>IF(115&lt;='🌱 Configuração'!$F$50,115,"")</f>
        <v>115</v>
      </c>
      <c r="C120" s="69">
        <f>IF(115&lt;='🌱 Configuração'!$F$50,'🌱 Configuração'!$B$51+114,"")</f>
        <v>46137</v>
      </c>
      <c r="D120" s="68" t="str">
        <f>IF(115&gt;'🌱 Configuração'!$F$50,"",IF('🌱 Configuração'!$B$51+114&lt;'🌱 Configuração'!$C$51,"🌱 Clone",IF('🌱 Configuração'!$B$51+114&lt;'🌱 Configuração'!$D$51,"🌿 Vega",IF('🌱 Configuração'!$B$51+114&lt;'🌱 Configuração'!$E$51,"🌸 Flora","🚿 Flush"))))</f>
        <v>🌸 Flora</v>
      </c>
      <c r="E120" s="68"/>
      <c r="F120" s="68"/>
      <c r="G120" s="68"/>
      <c r="H120" s="68"/>
      <c r="I120" s="68"/>
      <c r="J120" s="68"/>
      <c r="K120" s="68"/>
      <c r="L120" t="str">
        <f>IF(115&gt;'🌱 Configuração'!$F$50,"",IF(F120="","—",IF(F120&lt;22,"⚠️ Temp baixa",IF(F120&gt;29,"⚠️ Temp ALTA",IF(H120="","✅ OK",IF(H120&lt;5.5,"⚠️ pH muito baixo",IF(H120&gt;6.9,"⚠️ pH alto",IF(I120&gt;2.5,"⚠️ CE alta","✅ OK"))))))))</f>
        <v>—</v>
      </c>
    </row>
    <row r="121" spans="2:12" ht="18" customHeight="1" x14ac:dyDescent="0.3">
      <c r="B121" s="70">
        <f>IF(116&lt;='🌱 Configuração'!$F$50,116,"")</f>
        <v>116</v>
      </c>
      <c r="C121" s="71">
        <f>IF(116&lt;='🌱 Configuração'!$F$50,'🌱 Configuração'!$B$51+115,"")</f>
        <v>46138</v>
      </c>
      <c r="D121" s="70" t="str">
        <f>IF(116&gt;'🌱 Configuração'!$F$50,"",IF('🌱 Configuração'!$B$51+115&lt;'🌱 Configuração'!$C$51,"🌱 Clone",IF('🌱 Configuração'!$B$51+115&lt;'🌱 Configuração'!$D$51,"🌿 Vega",IF('🌱 Configuração'!$B$51+115&lt;'🌱 Configuração'!$E$51,"🌸 Flora","🚿 Flush"))))</f>
        <v>🌸 Flora</v>
      </c>
      <c r="E121" s="70"/>
      <c r="F121" s="70"/>
      <c r="G121" s="70"/>
      <c r="H121" s="70"/>
      <c r="I121" s="70"/>
      <c r="J121" s="70"/>
      <c r="K121" s="70"/>
      <c r="L121" t="str">
        <f>IF(116&gt;'🌱 Configuração'!$F$50,"",IF(F121="","—",IF(F121&lt;22,"⚠️ Temp baixa",IF(F121&gt;29,"⚠️ Temp ALTA",IF(H121="","✅ OK",IF(H121&lt;5.5,"⚠️ pH muito baixo",IF(H121&gt;6.9,"⚠️ pH alto",IF(I121&gt;2.5,"⚠️ CE alta","✅ OK"))))))))</f>
        <v>—</v>
      </c>
    </row>
    <row r="122" spans="2:12" ht="18" customHeight="1" x14ac:dyDescent="0.3">
      <c r="B122" s="68">
        <f>IF(117&lt;='🌱 Configuração'!$F$50,117,"")</f>
        <v>117</v>
      </c>
      <c r="C122" s="69">
        <f>IF(117&lt;='🌱 Configuração'!$F$50,'🌱 Configuração'!$B$51+116,"")</f>
        <v>46139</v>
      </c>
      <c r="D122" s="68" t="str">
        <f>IF(117&gt;'🌱 Configuração'!$F$50,"",IF('🌱 Configuração'!$B$51+116&lt;'🌱 Configuração'!$C$51,"🌱 Clone",IF('🌱 Configuração'!$B$51+116&lt;'🌱 Configuração'!$D$51,"🌿 Vega",IF('🌱 Configuração'!$B$51+116&lt;'🌱 Configuração'!$E$51,"🌸 Flora","🚿 Flush"))))</f>
        <v>🌸 Flora</v>
      </c>
      <c r="E122" s="68"/>
      <c r="F122" s="68"/>
      <c r="G122" s="68"/>
      <c r="H122" s="68"/>
      <c r="I122" s="68"/>
      <c r="J122" s="68"/>
      <c r="K122" s="68"/>
      <c r="L122" t="str">
        <f>IF(117&gt;'🌱 Configuração'!$F$50,"",IF(F122="","—",IF(F122&lt;22,"⚠️ Temp baixa",IF(F122&gt;29,"⚠️ Temp ALTA",IF(H122="","✅ OK",IF(H122&lt;5.5,"⚠️ pH muito baixo",IF(H122&gt;6.9,"⚠️ pH alto",IF(I122&gt;2.5,"⚠️ CE alta","✅ OK"))))))))</f>
        <v>—</v>
      </c>
    </row>
    <row r="123" spans="2:12" ht="18" customHeight="1" x14ac:dyDescent="0.3">
      <c r="B123" s="70">
        <f>IF(118&lt;='🌱 Configuração'!$F$50,118,"")</f>
        <v>118</v>
      </c>
      <c r="C123" s="71">
        <f>IF(118&lt;='🌱 Configuração'!$F$50,'🌱 Configuração'!$B$51+117,"")</f>
        <v>46140</v>
      </c>
      <c r="D123" s="70" t="str">
        <f>IF(118&gt;'🌱 Configuração'!$F$50,"",IF('🌱 Configuração'!$B$51+117&lt;'🌱 Configuração'!$C$51,"🌱 Clone",IF('🌱 Configuração'!$B$51+117&lt;'🌱 Configuração'!$D$51,"🌿 Vega",IF('🌱 Configuração'!$B$51+117&lt;'🌱 Configuração'!$E$51,"🌸 Flora","🚿 Flush"))))</f>
        <v>🌸 Flora</v>
      </c>
      <c r="E123" s="70"/>
      <c r="F123" s="70"/>
      <c r="G123" s="70"/>
      <c r="H123" s="70"/>
      <c r="I123" s="70"/>
      <c r="J123" s="70"/>
      <c r="K123" s="70"/>
      <c r="L123" t="str">
        <f>IF(118&gt;'🌱 Configuração'!$F$50,"",IF(F123="","—",IF(F123&lt;22,"⚠️ Temp baixa",IF(F123&gt;29,"⚠️ Temp ALTA",IF(H123="","✅ OK",IF(H123&lt;5.5,"⚠️ pH muito baixo",IF(H123&gt;6.9,"⚠️ pH alto",IF(I123&gt;2.5,"⚠️ CE alta","✅ OK"))))))))</f>
        <v>—</v>
      </c>
    </row>
    <row r="124" spans="2:12" ht="18" customHeight="1" x14ac:dyDescent="0.3">
      <c r="B124" s="68">
        <f>IF(119&lt;='🌱 Configuração'!$F$50,119,"")</f>
        <v>119</v>
      </c>
      <c r="C124" s="69">
        <f>IF(119&lt;='🌱 Configuração'!$F$50,'🌱 Configuração'!$B$51+118,"")</f>
        <v>46141</v>
      </c>
      <c r="D124" s="68" t="str">
        <f>IF(119&gt;'🌱 Configuração'!$F$50,"",IF('🌱 Configuração'!$B$51+118&lt;'🌱 Configuração'!$C$51,"🌱 Clone",IF('🌱 Configuração'!$B$51+118&lt;'🌱 Configuração'!$D$51,"🌿 Vega",IF('🌱 Configuração'!$B$51+118&lt;'🌱 Configuração'!$E$51,"🌸 Flora","🚿 Flush"))))</f>
        <v>🌸 Flora</v>
      </c>
      <c r="E124" s="68"/>
      <c r="F124" s="68"/>
      <c r="G124" s="68"/>
      <c r="H124" s="68"/>
      <c r="I124" s="68"/>
      <c r="J124" s="68"/>
      <c r="K124" s="68"/>
      <c r="L124" t="str">
        <f>IF(119&gt;'🌱 Configuração'!$F$50,"",IF(F124="","—",IF(F124&lt;22,"⚠️ Temp baixa",IF(F124&gt;29,"⚠️ Temp ALTA",IF(H124="","✅ OK",IF(H124&lt;5.5,"⚠️ pH muito baixo",IF(H124&gt;6.9,"⚠️ pH alto",IF(I124&gt;2.5,"⚠️ CE alta","✅ OK"))))))))</f>
        <v>—</v>
      </c>
    </row>
    <row r="125" spans="2:12" ht="18" customHeight="1" x14ac:dyDescent="0.3">
      <c r="B125" s="70">
        <f>IF(120&lt;='🌱 Configuração'!$F$50,120,"")</f>
        <v>120</v>
      </c>
      <c r="C125" s="71">
        <f>IF(120&lt;='🌱 Configuração'!$F$50,'🌱 Configuração'!$B$51+119,"")</f>
        <v>46142</v>
      </c>
      <c r="D125" s="70" t="str">
        <f>IF(120&gt;'🌱 Configuração'!$F$50,"",IF('🌱 Configuração'!$B$51+119&lt;'🌱 Configuração'!$C$51,"🌱 Clone",IF('🌱 Configuração'!$B$51+119&lt;'🌱 Configuração'!$D$51,"🌿 Vega",IF('🌱 Configuração'!$B$51+119&lt;'🌱 Configuração'!$E$51,"🌸 Flora","🚿 Flush"))))</f>
        <v>🚿 Flush</v>
      </c>
      <c r="E125" s="70"/>
      <c r="F125" s="70"/>
      <c r="G125" s="70"/>
      <c r="H125" s="70"/>
      <c r="I125" s="70"/>
      <c r="J125" s="70"/>
      <c r="K125" s="70"/>
      <c r="L125" t="str">
        <f>IF(120&gt;'🌱 Configuração'!$F$50,"",IF(F125="","—",IF(F125&lt;22,"⚠️ Temp baixa",IF(F125&gt;29,"⚠️ Temp ALTA",IF(H125="","✅ OK",IF(H125&lt;5.5,"⚠️ pH muito baixo",IF(H125&gt;6.9,"⚠️ pH alto",IF(I125&gt;2.5,"⚠️ CE alta","✅ OK"))))))))</f>
        <v>—</v>
      </c>
    </row>
    <row r="126" spans="2:12" ht="18" customHeight="1" x14ac:dyDescent="0.3">
      <c r="B126" s="68">
        <f>IF(121&lt;='🌱 Configuração'!$F$50,121,"")</f>
        <v>121</v>
      </c>
      <c r="C126" s="69">
        <f>IF(121&lt;='🌱 Configuração'!$F$50,'🌱 Configuração'!$B$51+120,"")</f>
        <v>46143</v>
      </c>
      <c r="D126" s="68" t="str">
        <f>IF(121&gt;'🌱 Configuração'!$F$50,"",IF('🌱 Configuração'!$B$51+120&lt;'🌱 Configuração'!$C$51,"🌱 Clone",IF('🌱 Configuração'!$B$51+120&lt;'🌱 Configuração'!$D$51,"🌿 Vega",IF('🌱 Configuração'!$B$51+120&lt;'🌱 Configuração'!$E$51,"🌸 Flora","🚿 Flush"))))</f>
        <v>🚿 Flush</v>
      </c>
      <c r="E126" s="68"/>
      <c r="F126" s="68"/>
      <c r="G126" s="68"/>
      <c r="H126" s="68"/>
      <c r="I126" s="68"/>
      <c r="J126" s="68"/>
      <c r="K126" s="68"/>
      <c r="L126" t="str">
        <f>IF(121&gt;'🌱 Configuração'!$F$50,"",IF(F126="","—",IF(F126&lt;22,"⚠️ Temp baixa",IF(F126&gt;29,"⚠️ Temp ALTA",IF(H126="","✅ OK",IF(H126&lt;5.5,"⚠️ pH muito baixo",IF(H126&gt;6.9,"⚠️ pH alto",IF(I126&gt;2.5,"⚠️ CE alta","✅ OK"))))))))</f>
        <v>—</v>
      </c>
    </row>
    <row r="127" spans="2:12" ht="18" customHeight="1" x14ac:dyDescent="0.3">
      <c r="B127" s="70">
        <f>IF(122&lt;='🌱 Configuração'!$F$50,122,"")</f>
        <v>122</v>
      </c>
      <c r="C127" s="71">
        <f>IF(122&lt;='🌱 Configuração'!$F$50,'🌱 Configuração'!$B$51+121,"")</f>
        <v>46144</v>
      </c>
      <c r="D127" s="70" t="str">
        <f>IF(122&gt;'🌱 Configuração'!$F$50,"",IF('🌱 Configuração'!$B$51+121&lt;'🌱 Configuração'!$C$51,"🌱 Clone",IF('🌱 Configuração'!$B$51+121&lt;'🌱 Configuração'!$D$51,"🌿 Vega",IF('🌱 Configuração'!$B$51+121&lt;'🌱 Configuração'!$E$51,"🌸 Flora","🚿 Flush"))))</f>
        <v>🚿 Flush</v>
      </c>
      <c r="E127" s="70"/>
      <c r="F127" s="70"/>
      <c r="G127" s="70"/>
      <c r="H127" s="70"/>
      <c r="I127" s="70"/>
      <c r="J127" s="70"/>
      <c r="K127" s="70"/>
      <c r="L127" t="str">
        <f>IF(122&gt;'🌱 Configuração'!$F$50,"",IF(F127="","—",IF(F127&lt;22,"⚠️ Temp baixa",IF(F127&gt;29,"⚠️ Temp ALTA",IF(H127="","✅ OK",IF(H127&lt;5.5,"⚠️ pH muito baixo",IF(H127&gt;6.9,"⚠️ pH alto",IF(I127&gt;2.5,"⚠️ CE alta","✅ OK"))))))))</f>
        <v>—</v>
      </c>
    </row>
    <row r="128" spans="2:12" ht="18" customHeight="1" x14ac:dyDescent="0.3">
      <c r="B128" s="68">
        <f>IF(123&lt;='🌱 Configuração'!$F$50,123,"")</f>
        <v>123</v>
      </c>
      <c r="C128" s="69">
        <f>IF(123&lt;='🌱 Configuração'!$F$50,'🌱 Configuração'!$B$51+122,"")</f>
        <v>46145</v>
      </c>
      <c r="D128" s="68" t="str">
        <f>IF(123&gt;'🌱 Configuração'!$F$50,"",IF('🌱 Configuração'!$B$51+122&lt;'🌱 Configuração'!$C$51,"🌱 Clone",IF('🌱 Configuração'!$B$51+122&lt;'🌱 Configuração'!$D$51,"🌿 Vega",IF('🌱 Configuração'!$B$51+122&lt;'🌱 Configuração'!$E$51,"🌸 Flora","🚿 Flush"))))</f>
        <v>🚿 Flush</v>
      </c>
      <c r="E128" s="68"/>
      <c r="F128" s="68"/>
      <c r="G128" s="68"/>
      <c r="H128" s="68"/>
      <c r="I128" s="68"/>
      <c r="J128" s="68"/>
      <c r="K128" s="68"/>
      <c r="L128" t="str">
        <f>IF(123&gt;'🌱 Configuração'!$F$50,"",IF(F128="","—",IF(F128&lt;22,"⚠️ Temp baixa",IF(F128&gt;29,"⚠️ Temp ALTA",IF(H128="","✅ OK",IF(H128&lt;5.5,"⚠️ pH muito baixo",IF(H128&gt;6.9,"⚠️ pH alto",IF(I128&gt;2.5,"⚠️ CE alta","✅ OK"))))))))</f>
        <v>—</v>
      </c>
    </row>
    <row r="129" spans="2:12" ht="18" customHeight="1" x14ac:dyDescent="0.3">
      <c r="B129" s="70">
        <f>IF(124&lt;='🌱 Configuração'!$F$50,124,"")</f>
        <v>124</v>
      </c>
      <c r="C129" s="71">
        <f>IF(124&lt;='🌱 Configuração'!$F$50,'🌱 Configuração'!$B$51+123,"")</f>
        <v>46146</v>
      </c>
      <c r="D129" s="70" t="str">
        <f>IF(124&gt;'🌱 Configuração'!$F$50,"",IF('🌱 Configuração'!$B$51+123&lt;'🌱 Configuração'!$C$51,"🌱 Clone",IF('🌱 Configuração'!$B$51+123&lt;'🌱 Configuração'!$D$51,"🌿 Vega",IF('🌱 Configuração'!$B$51+123&lt;'🌱 Configuração'!$E$51,"🌸 Flora","🚿 Flush"))))</f>
        <v>🚿 Flush</v>
      </c>
      <c r="E129" s="70"/>
      <c r="F129" s="70"/>
      <c r="G129" s="70"/>
      <c r="H129" s="70"/>
      <c r="I129" s="70"/>
      <c r="J129" s="70"/>
      <c r="K129" s="70"/>
      <c r="L129" t="str">
        <f>IF(124&gt;'🌱 Configuração'!$F$50,"",IF(F129="","—",IF(F129&lt;22,"⚠️ Temp baixa",IF(F129&gt;29,"⚠️ Temp ALTA",IF(H129="","✅ OK",IF(H129&lt;5.5,"⚠️ pH muito baixo",IF(H129&gt;6.9,"⚠️ pH alto",IF(I129&gt;2.5,"⚠️ CE alta","✅ OK"))))))))</f>
        <v>—</v>
      </c>
    </row>
    <row r="130" spans="2:12" ht="18" customHeight="1" x14ac:dyDescent="0.3">
      <c r="B130" s="68">
        <f>IF(125&lt;='🌱 Configuração'!$F$50,125,"")</f>
        <v>125</v>
      </c>
      <c r="C130" s="69">
        <f>IF(125&lt;='🌱 Configuração'!$F$50,'🌱 Configuração'!$B$51+124,"")</f>
        <v>46147</v>
      </c>
      <c r="D130" s="68" t="str">
        <f>IF(125&gt;'🌱 Configuração'!$F$50,"",IF('🌱 Configuração'!$B$51+124&lt;'🌱 Configuração'!$C$51,"🌱 Clone",IF('🌱 Configuração'!$B$51+124&lt;'🌱 Configuração'!$D$51,"🌿 Vega",IF('🌱 Configuração'!$B$51+124&lt;'🌱 Configuração'!$E$51,"🌸 Flora","🚿 Flush"))))</f>
        <v>🚿 Flush</v>
      </c>
      <c r="E130" s="68"/>
      <c r="F130" s="68"/>
      <c r="G130" s="68"/>
      <c r="H130" s="68"/>
      <c r="I130" s="68"/>
      <c r="J130" s="68"/>
      <c r="K130" s="68"/>
      <c r="L130" t="str">
        <f>IF(125&gt;'🌱 Configuração'!$F$50,"",IF(F130="","—",IF(F130&lt;22,"⚠️ Temp baixa",IF(F130&gt;29,"⚠️ Temp ALTA",IF(H130="","✅ OK",IF(H130&lt;5.5,"⚠️ pH muito baixo",IF(H130&gt;6.9,"⚠️ pH alto",IF(I130&gt;2.5,"⚠️ CE alta","✅ OK"))))))))</f>
        <v>—</v>
      </c>
    </row>
    <row r="131" spans="2:12" ht="18" customHeight="1" x14ac:dyDescent="0.3">
      <c r="B131" s="70">
        <f>IF(126&lt;='🌱 Configuração'!$F$50,126,"")</f>
        <v>126</v>
      </c>
      <c r="C131" s="71">
        <f>IF(126&lt;='🌱 Configuração'!$F$50,'🌱 Configuração'!$B$51+125,"")</f>
        <v>46148</v>
      </c>
      <c r="D131" s="70" t="str">
        <f>IF(126&gt;'🌱 Configuração'!$F$50,"",IF('🌱 Configuração'!$B$51+125&lt;'🌱 Configuração'!$C$51,"🌱 Clone",IF('🌱 Configuração'!$B$51+125&lt;'🌱 Configuração'!$D$51,"🌿 Vega",IF('🌱 Configuração'!$B$51+125&lt;'🌱 Configuração'!$E$51,"🌸 Flora","🚿 Flush"))))</f>
        <v>🚿 Flush</v>
      </c>
      <c r="E131" s="70"/>
      <c r="F131" s="70"/>
      <c r="G131" s="70"/>
      <c r="H131" s="70"/>
      <c r="I131" s="70"/>
      <c r="J131" s="70"/>
      <c r="K131" s="70"/>
      <c r="L131" t="str">
        <f>IF(126&gt;'🌱 Configuração'!$F$50,"",IF(F131="","—",IF(F131&lt;22,"⚠️ Temp baixa",IF(F131&gt;29,"⚠️ Temp ALTA",IF(H131="","✅ OK",IF(H131&lt;5.5,"⚠️ pH muito baixo",IF(H131&gt;6.9,"⚠️ pH alto",IF(I131&gt;2.5,"⚠️ CE alta","✅ OK"))))))))</f>
        <v>—</v>
      </c>
    </row>
    <row r="132" spans="2:12" ht="18" customHeight="1" x14ac:dyDescent="0.3">
      <c r="B132" s="68" t="str">
        <f>IF(127&lt;='🌱 Configuração'!$F$50,127,"")</f>
        <v/>
      </c>
      <c r="C132" s="69" t="str">
        <f>IF(127&lt;='🌱 Configuração'!$F$50,'🌱 Configuração'!$B$51+126,"")</f>
        <v/>
      </c>
      <c r="D132" s="68" t="str">
        <f>IF(127&gt;'🌱 Configuração'!$F$50,"",IF('🌱 Configuração'!$B$51+126&lt;'🌱 Configuração'!$C$51,"🌱 Clone",IF('🌱 Configuração'!$B$51+126&lt;'🌱 Configuração'!$D$51,"🌿 Vega",IF('🌱 Configuração'!$B$51+126&lt;'🌱 Configuração'!$E$51,"🌸 Flora","🚿 Flush"))))</f>
        <v/>
      </c>
      <c r="E132" s="68"/>
      <c r="F132" s="68"/>
      <c r="G132" s="68"/>
      <c r="H132" s="68"/>
      <c r="I132" s="68"/>
      <c r="J132" s="68"/>
      <c r="K132" s="68"/>
      <c r="L132" t="str">
        <f>IF(127&gt;'🌱 Configuração'!$F$50,"",IF(F132="","—",IF(F132&lt;22,"⚠️ Temp baixa",IF(F132&gt;29,"⚠️ Temp ALTA",IF(H132="","✅ OK",IF(H132&lt;5.5,"⚠️ pH muito baixo",IF(H132&gt;6.9,"⚠️ pH alto",IF(I132&gt;2.5,"⚠️ CE alta","✅ OK"))))))))</f>
        <v/>
      </c>
    </row>
    <row r="133" spans="2:12" ht="18" customHeight="1" x14ac:dyDescent="0.3">
      <c r="B133" s="70" t="str">
        <f>IF(128&lt;='🌱 Configuração'!$F$50,128,"")</f>
        <v/>
      </c>
      <c r="C133" s="71" t="str">
        <f>IF(128&lt;='🌱 Configuração'!$F$50,'🌱 Configuração'!$B$51+127,"")</f>
        <v/>
      </c>
      <c r="D133" s="70" t="str">
        <f>IF(128&gt;'🌱 Configuração'!$F$50,"",IF('🌱 Configuração'!$B$51+127&lt;'🌱 Configuração'!$C$51,"🌱 Clone",IF('🌱 Configuração'!$B$51+127&lt;'🌱 Configuração'!$D$51,"🌿 Vega",IF('🌱 Configuração'!$B$51+127&lt;'🌱 Configuração'!$E$51,"🌸 Flora","🚿 Flush"))))</f>
        <v/>
      </c>
      <c r="E133" s="70"/>
      <c r="F133" s="70"/>
      <c r="G133" s="70"/>
      <c r="H133" s="70"/>
      <c r="I133" s="70"/>
      <c r="J133" s="70"/>
      <c r="K133" s="70"/>
      <c r="L133" t="str">
        <f>IF(128&gt;'🌱 Configuração'!$F$50,"",IF(F133="","—",IF(F133&lt;22,"⚠️ Temp baixa",IF(F133&gt;29,"⚠️ Temp ALTA",IF(H133="","✅ OK",IF(H133&lt;5.5,"⚠️ pH muito baixo",IF(H133&gt;6.9,"⚠️ pH alto",IF(I133&gt;2.5,"⚠️ CE alta","✅ OK"))))))))</f>
        <v/>
      </c>
    </row>
    <row r="134" spans="2:12" ht="18" customHeight="1" x14ac:dyDescent="0.3">
      <c r="B134" s="68" t="str">
        <f>IF(129&lt;='🌱 Configuração'!$F$50,129,"")</f>
        <v/>
      </c>
      <c r="C134" s="69" t="str">
        <f>IF(129&lt;='🌱 Configuração'!$F$50,'🌱 Configuração'!$B$51+128,"")</f>
        <v/>
      </c>
      <c r="D134" s="68" t="str">
        <f>IF(129&gt;'🌱 Configuração'!$F$50,"",IF('🌱 Configuração'!$B$51+128&lt;'🌱 Configuração'!$C$51,"🌱 Clone",IF('🌱 Configuração'!$B$51+128&lt;'🌱 Configuração'!$D$51,"🌿 Vega",IF('🌱 Configuração'!$B$51+128&lt;'🌱 Configuração'!$E$51,"🌸 Flora","🚿 Flush"))))</f>
        <v/>
      </c>
      <c r="E134" s="68"/>
      <c r="F134" s="68"/>
      <c r="G134" s="68"/>
      <c r="H134" s="68"/>
      <c r="I134" s="68"/>
      <c r="J134" s="68"/>
      <c r="K134" s="68"/>
      <c r="L134" t="str">
        <f>IF(129&gt;'🌱 Configuração'!$F$50,"",IF(F134="","—",IF(F134&lt;22,"⚠️ Temp baixa",IF(F134&gt;29,"⚠️ Temp ALTA",IF(H134="","✅ OK",IF(H134&lt;5.5,"⚠️ pH muito baixo",IF(H134&gt;6.9,"⚠️ pH alto",IF(I134&gt;2.5,"⚠️ CE alta","✅ OK"))))))))</f>
        <v/>
      </c>
    </row>
    <row r="135" spans="2:12" ht="18" customHeight="1" x14ac:dyDescent="0.3">
      <c r="B135" s="70" t="str">
        <f>IF(130&lt;='🌱 Configuração'!$F$50,130,"")</f>
        <v/>
      </c>
      <c r="C135" s="71" t="str">
        <f>IF(130&lt;='🌱 Configuração'!$F$50,'🌱 Configuração'!$B$51+129,"")</f>
        <v/>
      </c>
      <c r="D135" s="70" t="str">
        <f>IF(130&gt;'🌱 Configuração'!$F$50,"",IF('🌱 Configuração'!$B$51+129&lt;'🌱 Configuração'!$C$51,"🌱 Clone",IF('🌱 Configuração'!$B$51+129&lt;'🌱 Configuração'!$D$51,"🌿 Vega",IF('🌱 Configuração'!$B$51+129&lt;'🌱 Configuração'!$E$51,"🌸 Flora","🚿 Flush"))))</f>
        <v/>
      </c>
      <c r="E135" s="70"/>
      <c r="F135" s="70"/>
      <c r="G135" s="70"/>
      <c r="H135" s="70"/>
      <c r="I135" s="70"/>
      <c r="J135" s="70"/>
      <c r="K135" s="70"/>
      <c r="L135" t="str">
        <f>IF(130&gt;'🌱 Configuração'!$F$50,"",IF(F135="","—",IF(F135&lt;22,"⚠️ Temp baixa",IF(F135&gt;29,"⚠️ Temp ALTA",IF(H135="","✅ OK",IF(H135&lt;5.5,"⚠️ pH muito baixo",IF(H135&gt;6.9,"⚠️ pH alto",IF(I135&gt;2.5,"⚠️ CE alta","✅ OK"))))))))</f>
        <v/>
      </c>
    </row>
    <row r="136" spans="2:12" ht="18" customHeight="1" x14ac:dyDescent="0.3">
      <c r="B136" s="68" t="str">
        <f>IF(131&lt;='🌱 Configuração'!$F$50,131,"")</f>
        <v/>
      </c>
      <c r="C136" s="69" t="str">
        <f>IF(131&lt;='🌱 Configuração'!$F$50,'🌱 Configuração'!$B$51+130,"")</f>
        <v/>
      </c>
      <c r="D136" s="68" t="str">
        <f>IF(131&gt;'🌱 Configuração'!$F$50,"",IF('🌱 Configuração'!$B$51+130&lt;'🌱 Configuração'!$C$51,"🌱 Clone",IF('🌱 Configuração'!$B$51+130&lt;'🌱 Configuração'!$D$51,"🌿 Vega",IF('🌱 Configuração'!$B$51+130&lt;'🌱 Configuração'!$E$51,"🌸 Flora","🚿 Flush"))))</f>
        <v/>
      </c>
      <c r="E136" s="68"/>
      <c r="F136" s="68"/>
      <c r="G136" s="68"/>
      <c r="H136" s="68"/>
      <c r="I136" s="68"/>
      <c r="J136" s="68"/>
      <c r="K136" s="68"/>
      <c r="L136" t="str">
        <f>IF(131&gt;'🌱 Configuração'!$F$50,"",IF(F136="","—",IF(F136&lt;22,"⚠️ Temp baixa",IF(F136&gt;29,"⚠️ Temp ALTA",IF(H136="","✅ OK",IF(H136&lt;5.5,"⚠️ pH muito baixo",IF(H136&gt;6.9,"⚠️ pH alto",IF(I136&gt;2.5,"⚠️ CE alta","✅ OK"))))))))</f>
        <v/>
      </c>
    </row>
    <row r="137" spans="2:12" ht="18" customHeight="1" x14ac:dyDescent="0.3">
      <c r="B137" s="70" t="str">
        <f>IF(132&lt;='🌱 Configuração'!$F$50,132,"")</f>
        <v/>
      </c>
      <c r="C137" s="71" t="str">
        <f>IF(132&lt;='🌱 Configuração'!$F$50,'🌱 Configuração'!$B$51+131,"")</f>
        <v/>
      </c>
      <c r="D137" s="70" t="str">
        <f>IF(132&gt;'🌱 Configuração'!$F$50,"",IF('🌱 Configuração'!$B$51+131&lt;'🌱 Configuração'!$C$51,"🌱 Clone",IF('🌱 Configuração'!$B$51+131&lt;'🌱 Configuração'!$D$51,"🌿 Vega",IF('🌱 Configuração'!$B$51+131&lt;'🌱 Configuração'!$E$51,"🌸 Flora","🚿 Flush"))))</f>
        <v/>
      </c>
      <c r="E137" s="70"/>
      <c r="F137" s="70"/>
      <c r="G137" s="70"/>
      <c r="H137" s="70"/>
      <c r="I137" s="70"/>
      <c r="J137" s="70"/>
      <c r="K137" s="70"/>
      <c r="L137" t="str">
        <f>IF(132&gt;'🌱 Configuração'!$F$50,"",IF(F137="","—",IF(F137&lt;22,"⚠️ Temp baixa",IF(F137&gt;29,"⚠️ Temp ALTA",IF(H137="","✅ OK",IF(H137&lt;5.5,"⚠️ pH muito baixo",IF(H137&gt;6.9,"⚠️ pH alto",IF(I137&gt;2.5,"⚠️ CE alta","✅ OK"))))))))</f>
        <v/>
      </c>
    </row>
    <row r="138" spans="2:12" ht="18" customHeight="1" x14ac:dyDescent="0.3">
      <c r="B138" s="68" t="str">
        <f>IF(133&lt;='🌱 Configuração'!$F$50,133,"")</f>
        <v/>
      </c>
      <c r="C138" s="69" t="str">
        <f>IF(133&lt;='🌱 Configuração'!$F$50,'🌱 Configuração'!$B$51+132,"")</f>
        <v/>
      </c>
      <c r="D138" s="68" t="str">
        <f>IF(133&gt;'🌱 Configuração'!$F$50,"",IF('🌱 Configuração'!$B$51+132&lt;'🌱 Configuração'!$C$51,"🌱 Clone",IF('🌱 Configuração'!$B$51+132&lt;'🌱 Configuração'!$D$51,"🌿 Vega",IF('🌱 Configuração'!$B$51+132&lt;'🌱 Configuração'!$E$51,"🌸 Flora","🚿 Flush"))))</f>
        <v/>
      </c>
      <c r="E138" s="68"/>
      <c r="F138" s="68"/>
      <c r="G138" s="68"/>
      <c r="H138" s="68"/>
      <c r="I138" s="68"/>
      <c r="J138" s="68"/>
      <c r="K138" s="68"/>
      <c r="L138" t="str">
        <f>IF(133&gt;'🌱 Configuração'!$F$50,"",IF(F138="","—",IF(F138&lt;22,"⚠️ Temp baixa",IF(F138&gt;29,"⚠️ Temp ALTA",IF(H138="","✅ OK",IF(H138&lt;5.5,"⚠️ pH muito baixo",IF(H138&gt;6.9,"⚠️ pH alto",IF(I138&gt;2.5,"⚠️ CE alta","✅ OK"))))))))</f>
        <v/>
      </c>
    </row>
    <row r="139" spans="2:12" ht="18" customHeight="1" x14ac:dyDescent="0.3">
      <c r="B139" s="70" t="str">
        <f>IF(134&lt;='🌱 Configuração'!$F$50,134,"")</f>
        <v/>
      </c>
      <c r="C139" s="71" t="str">
        <f>IF(134&lt;='🌱 Configuração'!$F$50,'🌱 Configuração'!$B$51+133,"")</f>
        <v/>
      </c>
      <c r="D139" s="70" t="str">
        <f>IF(134&gt;'🌱 Configuração'!$F$50,"",IF('🌱 Configuração'!$B$51+133&lt;'🌱 Configuração'!$C$51,"🌱 Clone",IF('🌱 Configuração'!$B$51+133&lt;'🌱 Configuração'!$D$51,"🌿 Vega",IF('🌱 Configuração'!$B$51+133&lt;'🌱 Configuração'!$E$51,"🌸 Flora","🚿 Flush"))))</f>
        <v/>
      </c>
      <c r="E139" s="70"/>
      <c r="F139" s="70"/>
      <c r="G139" s="70"/>
      <c r="H139" s="70"/>
      <c r="I139" s="70"/>
      <c r="J139" s="70"/>
      <c r="K139" s="70"/>
      <c r="L139" t="str">
        <f>IF(134&gt;'🌱 Configuração'!$F$50,"",IF(F139="","—",IF(F139&lt;22,"⚠️ Temp baixa",IF(F139&gt;29,"⚠️ Temp ALTA",IF(H139="","✅ OK",IF(H139&lt;5.5,"⚠️ pH muito baixo",IF(H139&gt;6.9,"⚠️ pH alto",IF(I139&gt;2.5,"⚠️ CE alta","✅ OK"))))))))</f>
        <v/>
      </c>
    </row>
    <row r="140" spans="2:12" ht="18" customHeight="1" x14ac:dyDescent="0.3">
      <c r="B140" s="68" t="str">
        <f>IF(135&lt;='🌱 Configuração'!$F$50,135,"")</f>
        <v/>
      </c>
      <c r="C140" s="69" t="str">
        <f>IF(135&lt;='🌱 Configuração'!$F$50,'🌱 Configuração'!$B$51+134,"")</f>
        <v/>
      </c>
      <c r="D140" s="68" t="str">
        <f>IF(135&gt;'🌱 Configuração'!$F$50,"",IF('🌱 Configuração'!$B$51+134&lt;'🌱 Configuração'!$C$51,"🌱 Clone",IF('🌱 Configuração'!$B$51+134&lt;'🌱 Configuração'!$D$51,"🌿 Vega",IF('🌱 Configuração'!$B$51+134&lt;'🌱 Configuração'!$E$51,"🌸 Flora","🚿 Flush"))))</f>
        <v/>
      </c>
      <c r="E140" s="68"/>
      <c r="F140" s="68"/>
      <c r="G140" s="68"/>
      <c r="H140" s="68"/>
      <c r="I140" s="68"/>
      <c r="J140" s="68"/>
      <c r="K140" s="68"/>
      <c r="L140" t="str">
        <f>IF(135&gt;'🌱 Configuração'!$F$50,"",IF(F140="","—",IF(F140&lt;22,"⚠️ Temp baixa",IF(F140&gt;29,"⚠️ Temp ALTA",IF(H140="","✅ OK",IF(H140&lt;5.5,"⚠️ pH muito baixo",IF(H140&gt;6.9,"⚠️ pH alto",IF(I140&gt;2.5,"⚠️ CE alta","✅ OK"))))))))</f>
        <v/>
      </c>
    </row>
    <row r="141" spans="2:12" ht="18" customHeight="1" x14ac:dyDescent="0.3">
      <c r="B141" s="70" t="str">
        <f>IF(136&lt;='🌱 Configuração'!$F$50,136,"")</f>
        <v/>
      </c>
      <c r="C141" s="71" t="str">
        <f>IF(136&lt;='🌱 Configuração'!$F$50,'🌱 Configuração'!$B$51+135,"")</f>
        <v/>
      </c>
      <c r="D141" s="70" t="str">
        <f>IF(136&gt;'🌱 Configuração'!$F$50,"",IF('🌱 Configuração'!$B$51+135&lt;'🌱 Configuração'!$C$51,"🌱 Clone",IF('🌱 Configuração'!$B$51+135&lt;'🌱 Configuração'!$D$51,"🌿 Vega",IF('🌱 Configuração'!$B$51+135&lt;'🌱 Configuração'!$E$51,"🌸 Flora","🚿 Flush"))))</f>
        <v/>
      </c>
      <c r="E141" s="70"/>
      <c r="F141" s="70"/>
      <c r="G141" s="70"/>
      <c r="H141" s="70"/>
      <c r="I141" s="70"/>
      <c r="J141" s="70"/>
      <c r="K141" s="70"/>
      <c r="L141" t="str">
        <f>IF(136&gt;'🌱 Configuração'!$F$50,"",IF(F141="","—",IF(F141&lt;22,"⚠️ Temp baixa",IF(F141&gt;29,"⚠️ Temp ALTA",IF(H141="","✅ OK",IF(H141&lt;5.5,"⚠️ pH muito baixo",IF(H141&gt;6.9,"⚠️ pH alto",IF(I141&gt;2.5,"⚠️ CE alta","✅ OK"))))))))</f>
        <v/>
      </c>
    </row>
    <row r="142" spans="2:12" ht="18" customHeight="1" x14ac:dyDescent="0.3">
      <c r="B142" s="68" t="str">
        <f>IF(137&lt;='🌱 Configuração'!$F$50,137,"")</f>
        <v/>
      </c>
      <c r="C142" s="69" t="str">
        <f>IF(137&lt;='🌱 Configuração'!$F$50,'🌱 Configuração'!$B$51+136,"")</f>
        <v/>
      </c>
      <c r="D142" s="68" t="str">
        <f>IF(137&gt;'🌱 Configuração'!$F$50,"",IF('🌱 Configuração'!$B$51+136&lt;'🌱 Configuração'!$C$51,"🌱 Clone",IF('🌱 Configuração'!$B$51+136&lt;'🌱 Configuração'!$D$51,"🌿 Vega",IF('🌱 Configuração'!$B$51+136&lt;'🌱 Configuração'!$E$51,"🌸 Flora","🚿 Flush"))))</f>
        <v/>
      </c>
      <c r="E142" s="68"/>
      <c r="F142" s="68"/>
      <c r="G142" s="68"/>
      <c r="H142" s="68"/>
      <c r="I142" s="68"/>
      <c r="J142" s="68"/>
      <c r="K142" s="68"/>
      <c r="L142" t="str">
        <f>IF(137&gt;'🌱 Configuração'!$F$50,"",IF(F142="","—",IF(F142&lt;22,"⚠️ Temp baixa",IF(F142&gt;29,"⚠️ Temp ALTA",IF(H142="","✅ OK",IF(H142&lt;5.5,"⚠️ pH muito baixo",IF(H142&gt;6.9,"⚠️ pH alto",IF(I142&gt;2.5,"⚠️ CE alta","✅ OK"))))))))</f>
        <v/>
      </c>
    </row>
    <row r="143" spans="2:12" ht="18" customHeight="1" x14ac:dyDescent="0.3">
      <c r="B143" s="70" t="str">
        <f>IF(138&lt;='🌱 Configuração'!$F$50,138,"")</f>
        <v/>
      </c>
      <c r="C143" s="71" t="str">
        <f>IF(138&lt;='🌱 Configuração'!$F$50,'🌱 Configuração'!$B$51+137,"")</f>
        <v/>
      </c>
      <c r="D143" s="70" t="str">
        <f>IF(138&gt;'🌱 Configuração'!$F$50,"",IF('🌱 Configuração'!$B$51+137&lt;'🌱 Configuração'!$C$51,"🌱 Clone",IF('🌱 Configuração'!$B$51+137&lt;'🌱 Configuração'!$D$51,"🌿 Vega",IF('🌱 Configuração'!$B$51+137&lt;'🌱 Configuração'!$E$51,"🌸 Flora","🚿 Flush"))))</f>
        <v/>
      </c>
      <c r="E143" s="70"/>
      <c r="F143" s="70"/>
      <c r="G143" s="70"/>
      <c r="H143" s="70"/>
      <c r="I143" s="70"/>
      <c r="J143" s="70"/>
      <c r="K143" s="70"/>
      <c r="L143" t="str">
        <f>IF(138&gt;'🌱 Configuração'!$F$50,"",IF(F143="","—",IF(F143&lt;22,"⚠️ Temp baixa",IF(F143&gt;29,"⚠️ Temp ALTA",IF(H143="","✅ OK",IF(H143&lt;5.5,"⚠️ pH muito baixo",IF(H143&gt;6.9,"⚠️ pH alto",IF(I143&gt;2.5,"⚠️ CE alta","✅ OK"))))))))</f>
        <v/>
      </c>
    </row>
    <row r="144" spans="2:12" ht="18" customHeight="1" x14ac:dyDescent="0.3">
      <c r="B144" s="68" t="str">
        <f>IF(139&lt;='🌱 Configuração'!$F$50,139,"")</f>
        <v/>
      </c>
      <c r="C144" s="69" t="str">
        <f>IF(139&lt;='🌱 Configuração'!$F$50,'🌱 Configuração'!$B$51+138,"")</f>
        <v/>
      </c>
      <c r="D144" s="68" t="str">
        <f>IF(139&gt;'🌱 Configuração'!$F$50,"",IF('🌱 Configuração'!$B$51+138&lt;'🌱 Configuração'!$C$51,"🌱 Clone",IF('🌱 Configuração'!$B$51+138&lt;'🌱 Configuração'!$D$51,"🌿 Vega",IF('🌱 Configuração'!$B$51+138&lt;'🌱 Configuração'!$E$51,"🌸 Flora","🚿 Flush"))))</f>
        <v/>
      </c>
      <c r="E144" s="68"/>
      <c r="F144" s="68"/>
      <c r="G144" s="68"/>
      <c r="H144" s="68"/>
      <c r="I144" s="68"/>
      <c r="J144" s="68"/>
      <c r="K144" s="68"/>
      <c r="L144" t="str">
        <f>IF(139&gt;'🌱 Configuração'!$F$50,"",IF(F144="","—",IF(F144&lt;22,"⚠️ Temp baixa",IF(F144&gt;29,"⚠️ Temp ALTA",IF(H144="","✅ OK",IF(H144&lt;5.5,"⚠️ pH muito baixo",IF(H144&gt;6.9,"⚠️ pH alto",IF(I144&gt;2.5,"⚠️ CE alta","✅ OK"))))))))</f>
        <v/>
      </c>
    </row>
    <row r="145" spans="2:12" ht="18" customHeight="1" x14ac:dyDescent="0.3">
      <c r="B145" s="70" t="str">
        <f>IF(140&lt;='🌱 Configuração'!$F$50,140,"")</f>
        <v/>
      </c>
      <c r="C145" s="71" t="str">
        <f>IF(140&lt;='🌱 Configuração'!$F$50,'🌱 Configuração'!$B$51+139,"")</f>
        <v/>
      </c>
      <c r="D145" s="70" t="str">
        <f>IF(140&gt;'🌱 Configuração'!$F$50,"",IF('🌱 Configuração'!$B$51+139&lt;'🌱 Configuração'!$C$51,"🌱 Clone",IF('🌱 Configuração'!$B$51+139&lt;'🌱 Configuração'!$D$51,"🌿 Vega",IF('🌱 Configuração'!$B$51+139&lt;'🌱 Configuração'!$E$51,"🌸 Flora","🚿 Flush"))))</f>
        <v/>
      </c>
      <c r="E145" s="70"/>
      <c r="F145" s="70"/>
      <c r="G145" s="70"/>
      <c r="H145" s="70"/>
      <c r="I145" s="70"/>
      <c r="J145" s="70"/>
      <c r="K145" s="70"/>
      <c r="L145" t="str">
        <f>IF(140&gt;'🌱 Configuração'!$F$50,"",IF(F145="","—",IF(F145&lt;22,"⚠️ Temp baixa",IF(F145&gt;29,"⚠️ Temp ALTA",IF(H145="","✅ OK",IF(H145&lt;5.5,"⚠️ pH muito baixo",IF(H145&gt;6.9,"⚠️ pH alto",IF(I145&gt;2.5,"⚠️ CE alta","✅ OK"))))))))</f>
        <v/>
      </c>
    </row>
    <row r="146" spans="2:12" ht="18" customHeight="1" x14ac:dyDescent="0.3">
      <c r="B146" s="68" t="str">
        <f>IF(141&lt;='🌱 Configuração'!$F$50,141,"")</f>
        <v/>
      </c>
      <c r="C146" s="69" t="str">
        <f>IF(141&lt;='🌱 Configuração'!$F$50,'🌱 Configuração'!$B$51+140,"")</f>
        <v/>
      </c>
      <c r="D146" s="68" t="str">
        <f>IF(141&gt;'🌱 Configuração'!$F$50,"",IF('🌱 Configuração'!$B$51+140&lt;'🌱 Configuração'!$C$51,"🌱 Clone",IF('🌱 Configuração'!$B$51+140&lt;'🌱 Configuração'!$D$51,"🌿 Vega",IF('🌱 Configuração'!$B$51+140&lt;'🌱 Configuração'!$E$51,"🌸 Flora","🚿 Flush"))))</f>
        <v/>
      </c>
      <c r="E146" s="68"/>
      <c r="F146" s="68"/>
      <c r="G146" s="68"/>
      <c r="H146" s="68"/>
      <c r="I146" s="68"/>
      <c r="J146" s="68"/>
      <c r="K146" s="68"/>
      <c r="L146" t="str">
        <f>IF(141&gt;'🌱 Configuração'!$F$50,"",IF(F146="","—",IF(F146&lt;22,"⚠️ Temp baixa",IF(F146&gt;29,"⚠️ Temp ALTA",IF(H146="","✅ OK",IF(H146&lt;5.5,"⚠️ pH muito baixo",IF(H146&gt;6.9,"⚠️ pH alto",IF(I146&gt;2.5,"⚠️ CE alta","✅ OK"))))))))</f>
        <v/>
      </c>
    </row>
    <row r="147" spans="2:12" ht="18" customHeight="1" x14ac:dyDescent="0.3">
      <c r="B147" s="70" t="str">
        <f>IF(142&lt;='🌱 Configuração'!$F$50,142,"")</f>
        <v/>
      </c>
      <c r="C147" s="71" t="str">
        <f>IF(142&lt;='🌱 Configuração'!$F$50,'🌱 Configuração'!$B$51+141,"")</f>
        <v/>
      </c>
      <c r="D147" s="70" t="str">
        <f>IF(142&gt;'🌱 Configuração'!$F$50,"",IF('🌱 Configuração'!$B$51+141&lt;'🌱 Configuração'!$C$51,"🌱 Clone",IF('🌱 Configuração'!$B$51+141&lt;'🌱 Configuração'!$D$51,"🌿 Vega",IF('🌱 Configuração'!$B$51+141&lt;'🌱 Configuração'!$E$51,"🌸 Flora","🚿 Flush"))))</f>
        <v/>
      </c>
      <c r="E147" s="70"/>
      <c r="F147" s="70"/>
      <c r="G147" s="70"/>
      <c r="H147" s="70"/>
      <c r="I147" s="70"/>
      <c r="J147" s="70"/>
      <c r="K147" s="70"/>
      <c r="L147" t="str">
        <f>IF(142&gt;'🌱 Configuração'!$F$50,"",IF(F147="","—",IF(F147&lt;22,"⚠️ Temp baixa",IF(F147&gt;29,"⚠️ Temp ALTA",IF(H147="","✅ OK",IF(H147&lt;5.5,"⚠️ pH muito baixo",IF(H147&gt;6.9,"⚠️ pH alto",IF(I147&gt;2.5,"⚠️ CE alta","✅ OK"))))))))</f>
        <v/>
      </c>
    </row>
    <row r="148" spans="2:12" ht="18" customHeight="1" x14ac:dyDescent="0.3">
      <c r="B148" s="68" t="str">
        <f>IF(143&lt;='🌱 Configuração'!$F$50,143,"")</f>
        <v/>
      </c>
      <c r="C148" s="69" t="str">
        <f>IF(143&lt;='🌱 Configuração'!$F$50,'🌱 Configuração'!$B$51+142,"")</f>
        <v/>
      </c>
      <c r="D148" s="68" t="str">
        <f>IF(143&gt;'🌱 Configuração'!$F$50,"",IF('🌱 Configuração'!$B$51+142&lt;'🌱 Configuração'!$C$51,"🌱 Clone",IF('🌱 Configuração'!$B$51+142&lt;'🌱 Configuração'!$D$51,"🌿 Vega",IF('🌱 Configuração'!$B$51+142&lt;'🌱 Configuração'!$E$51,"🌸 Flora","🚿 Flush"))))</f>
        <v/>
      </c>
      <c r="E148" s="68"/>
      <c r="F148" s="68"/>
      <c r="G148" s="68"/>
      <c r="H148" s="68"/>
      <c r="I148" s="68"/>
      <c r="J148" s="68"/>
      <c r="K148" s="68"/>
      <c r="L148" t="str">
        <f>IF(143&gt;'🌱 Configuração'!$F$50,"",IF(F148="","—",IF(F148&lt;22,"⚠️ Temp baixa",IF(F148&gt;29,"⚠️ Temp ALTA",IF(H148="","✅ OK",IF(H148&lt;5.5,"⚠️ pH muito baixo",IF(H148&gt;6.9,"⚠️ pH alto",IF(I148&gt;2.5,"⚠️ CE alta","✅ OK"))))))))</f>
        <v/>
      </c>
    </row>
    <row r="149" spans="2:12" ht="18" customHeight="1" x14ac:dyDescent="0.3">
      <c r="B149" s="70" t="str">
        <f>IF(144&lt;='🌱 Configuração'!$F$50,144,"")</f>
        <v/>
      </c>
      <c r="C149" s="71" t="str">
        <f>IF(144&lt;='🌱 Configuração'!$F$50,'🌱 Configuração'!$B$51+143,"")</f>
        <v/>
      </c>
      <c r="D149" s="70" t="str">
        <f>IF(144&gt;'🌱 Configuração'!$F$50,"",IF('🌱 Configuração'!$B$51+143&lt;'🌱 Configuração'!$C$51,"🌱 Clone",IF('🌱 Configuração'!$B$51+143&lt;'🌱 Configuração'!$D$51,"🌿 Vega",IF('🌱 Configuração'!$B$51+143&lt;'🌱 Configuração'!$E$51,"🌸 Flora","🚿 Flush"))))</f>
        <v/>
      </c>
      <c r="E149" s="70"/>
      <c r="F149" s="70"/>
      <c r="G149" s="70"/>
      <c r="H149" s="70"/>
      <c r="I149" s="70"/>
      <c r="J149" s="70"/>
      <c r="K149" s="70"/>
      <c r="L149" t="str">
        <f>IF(144&gt;'🌱 Configuração'!$F$50,"",IF(F149="","—",IF(F149&lt;22,"⚠️ Temp baixa",IF(F149&gt;29,"⚠️ Temp ALTA",IF(H149="","✅ OK",IF(H149&lt;5.5,"⚠️ pH muito baixo",IF(H149&gt;6.9,"⚠️ pH alto",IF(I149&gt;2.5,"⚠️ CE alta","✅ OK"))))))))</f>
        <v/>
      </c>
    </row>
    <row r="150" spans="2:12" ht="18" customHeight="1" x14ac:dyDescent="0.3">
      <c r="B150" s="68" t="str">
        <f>IF(145&lt;='🌱 Configuração'!$F$50,145,"")</f>
        <v/>
      </c>
      <c r="C150" s="69" t="str">
        <f>IF(145&lt;='🌱 Configuração'!$F$50,'🌱 Configuração'!$B$51+144,"")</f>
        <v/>
      </c>
      <c r="D150" s="68" t="str">
        <f>IF(145&gt;'🌱 Configuração'!$F$50,"",IF('🌱 Configuração'!$B$51+144&lt;'🌱 Configuração'!$C$51,"🌱 Clone",IF('🌱 Configuração'!$B$51+144&lt;'🌱 Configuração'!$D$51,"🌿 Vega",IF('🌱 Configuração'!$B$51+144&lt;'🌱 Configuração'!$E$51,"🌸 Flora","🚿 Flush"))))</f>
        <v/>
      </c>
      <c r="E150" s="68"/>
      <c r="F150" s="68"/>
      <c r="G150" s="68"/>
      <c r="H150" s="68"/>
      <c r="I150" s="68"/>
      <c r="J150" s="68"/>
      <c r="K150" s="68"/>
      <c r="L150" t="str">
        <f>IF(145&gt;'🌱 Configuração'!$F$50,"",IF(F150="","—",IF(F150&lt;22,"⚠️ Temp baixa",IF(F150&gt;29,"⚠️ Temp ALTA",IF(H150="","✅ OK",IF(H150&lt;5.5,"⚠️ pH muito baixo",IF(H150&gt;6.9,"⚠️ pH alto",IF(I150&gt;2.5,"⚠️ CE alta","✅ OK"))))))))</f>
        <v/>
      </c>
    </row>
    <row r="151" spans="2:12" ht="18" customHeight="1" x14ac:dyDescent="0.3">
      <c r="B151" s="70" t="str">
        <f>IF(146&lt;='🌱 Configuração'!$F$50,146,"")</f>
        <v/>
      </c>
      <c r="C151" s="71" t="str">
        <f>IF(146&lt;='🌱 Configuração'!$F$50,'🌱 Configuração'!$B$51+145,"")</f>
        <v/>
      </c>
      <c r="D151" s="70" t="str">
        <f>IF(146&gt;'🌱 Configuração'!$F$50,"",IF('🌱 Configuração'!$B$51+145&lt;'🌱 Configuração'!$C$51,"🌱 Clone",IF('🌱 Configuração'!$B$51+145&lt;'🌱 Configuração'!$D$51,"🌿 Vega",IF('🌱 Configuração'!$B$51+145&lt;'🌱 Configuração'!$E$51,"🌸 Flora","🚿 Flush"))))</f>
        <v/>
      </c>
      <c r="E151" s="70"/>
      <c r="F151" s="70"/>
      <c r="G151" s="70"/>
      <c r="H151" s="70"/>
      <c r="I151" s="70"/>
      <c r="J151" s="70"/>
      <c r="K151" s="70"/>
      <c r="L151" t="str">
        <f>IF(146&gt;'🌱 Configuração'!$F$50,"",IF(F151="","—",IF(F151&lt;22,"⚠️ Temp baixa",IF(F151&gt;29,"⚠️ Temp ALTA",IF(H151="","✅ OK",IF(H151&lt;5.5,"⚠️ pH muito baixo",IF(H151&gt;6.9,"⚠️ pH alto",IF(I151&gt;2.5,"⚠️ CE alta","✅ OK"))))))))</f>
        <v/>
      </c>
    </row>
    <row r="152" spans="2:12" ht="18" customHeight="1" x14ac:dyDescent="0.3">
      <c r="B152" s="68" t="str">
        <f>IF(147&lt;='🌱 Configuração'!$F$50,147,"")</f>
        <v/>
      </c>
      <c r="C152" s="69" t="str">
        <f>IF(147&lt;='🌱 Configuração'!$F$50,'🌱 Configuração'!$B$51+146,"")</f>
        <v/>
      </c>
      <c r="D152" s="68" t="str">
        <f>IF(147&gt;'🌱 Configuração'!$F$50,"",IF('🌱 Configuração'!$B$51+146&lt;'🌱 Configuração'!$C$51,"🌱 Clone",IF('🌱 Configuração'!$B$51+146&lt;'🌱 Configuração'!$D$51,"🌿 Vega",IF('🌱 Configuração'!$B$51+146&lt;'🌱 Configuração'!$E$51,"🌸 Flora","🚿 Flush"))))</f>
        <v/>
      </c>
      <c r="E152" s="68"/>
      <c r="F152" s="68"/>
      <c r="G152" s="68"/>
      <c r="H152" s="68"/>
      <c r="I152" s="68"/>
      <c r="J152" s="68"/>
      <c r="K152" s="68"/>
      <c r="L152" t="str">
        <f>IF(147&gt;'🌱 Configuração'!$F$50,"",IF(F152="","—",IF(F152&lt;22,"⚠️ Temp baixa",IF(F152&gt;29,"⚠️ Temp ALTA",IF(H152="","✅ OK",IF(H152&lt;5.5,"⚠️ pH muito baixo",IF(H152&gt;6.9,"⚠️ pH alto",IF(I152&gt;2.5,"⚠️ CE alta","✅ OK"))))))))</f>
        <v/>
      </c>
    </row>
    <row r="153" spans="2:12" ht="18" customHeight="1" x14ac:dyDescent="0.3">
      <c r="B153" s="70" t="str">
        <f>IF(148&lt;='🌱 Configuração'!$F$50,148,"")</f>
        <v/>
      </c>
      <c r="C153" s="71" t="str">
        <f>IF(148&lt;='🌱 Configuração'!$F$50,'🌱 Configuração'!$B$51+147,"")</f>
        <v/>
      </c>
      <c r="D153" s="70" t="str">
        <f>IF(148&gt;'🌱 Configuração'!$F$50,"",IF('🌱 Configuração'!$B$51+147&lt;'🌱 Configuração'!$C$51,"🌱 Clone",IF('🌱 Configuração'!$B$51+147&lt;'🌱 Configuração'!$D$51,"🌿 Vega",IF('🌱 Configuração'!$B$51+147&lt;'🌱 Configuração'!$E$51,"🌸 Flora","🚿 Flush"))))</f>
        <v/>
      </c>
      <c r="E153" s="70"/>
      <c r="F153" s="70"/>
      <c r="G153" s="70"/>
      <c r="H153" s="70"/>
      <c r="I153" s="70"/>
      <c r="J153" s="70"/>
      <c r="K153" s="70"/>
      <c r="L153" t="str">
        <f>IF(148&gt;'🌱 Configuração'!$F$50,"",IF(F153="","—",IF(F153&lt;22,"⚠️ Temp baixa",IF(F153&gt;29,"⚠️ Temp ALTA",IF(H153="","✅ OK",IF(H153&lt;5.5,"⚠️ pH muito baixo",IF(H153&gt;6.9,"⚠️ pH alto",IF(I153&gt;2.5,"⚠️ CE alta","✅ OK"))))))))</f>
        <v/>
      </c>
    </row>
    <row r="154" spans="2:12" ht="18" customHeight="1" x14ac:dyDescent="0.3">
      <c r="B154" s="68" t="str">
        <f>IF(149&lt;='🌱 Configuração'!$F$50,149,"")</f>
        <v/>
      </c>
      <c r="C154" s="69" t="str">
        <f>IF(149&lt;='🌱 Configuração'!$F$50,'🌱 Configuração'!$B$51+148,"")</f>
        <v/>
      </c>
      <c r="D154" s="68" t="str">
        <f>IF(149&gt;'🌱 Configuração'!$F$50,"",IF('🌱 Configuração'!$B$51+148&lt;'🌱 Configuração'!$C$51,"🌱 Clone",IF('🌱 Configuração'!$B$51+148&lt;'🌱 Configuração'!$D$51,"🌿 Vega",IF('🌱 Configuração'!$B$51+148&lt;'🌱 Configuração'!$E$51,"🌸 Flora","🚿 Flush"))))</f>
        <v/>
      </c>
      <c r="E154" s="68"/>
      <c r="F154" s="68"/>
      <c r="G154" s="68"/>
      <c r="H154" s="68"/>
      <c r="I154" s="68"/>
      <c r="J154" s="68"/>
      <c r="K154" s="68"/>
      <c r="L154" t="str">
        <f>IF(149&gt;'🌱 Configuração'!$F$50,"",IF(F154="","—",IF(F154&lt;22,"⚠️ Temp baixa",IF(F154&gt;29,"⚠️ Temp ALTA",IF(H154="","✅ OK",IF(H154&lt;5.5,"⚠️ pH muito baixo",IF(H154&gt;6.9,"⚠️ pH alto",IF(I154&gt;2.5,"⚠️ CE alta","✅ OK"))))))))</f>
        <v/>
      </c>
    </row>
    <row r="155" spans="2:12" ht="18" customHeight="1" x14ac:dyDescent="0.3">
      <c r="B155" s="70" t="str">
        <f>IF(150&lt;='🌱 Configuração'!$F$50,150,"")</f>
        <v/>
      </c>
      <c r="C155" s="71" t="str">
        <f>IF(150&lt;='🌱 Configuração'!$F$50,'🌱 Configuração'!$B$51+149,"")</f>
        <v/>
      </c>
      <c r="D155" s="70" t="str">
        <f>IF(150&gt;'🌱 Configuração'!$F$50,"",IF('🌱 Configuração'!$B$51+149&lt;'🌱 Configuração'!$C$51,"🌱 Clone",IF('🌱 Configuração'!$B$51+149&lt;'🌱 Configuração'!$D$51,"🌿 Vega",IF('🌱 Configuração'!$B$51+149&lt;'🌱 Configuração'!$E$51,"🌸 Flora","🚿 Flush"))))</f>
        <v/>
      </c>
      <c r="E155" s="70"/>
      <c r="F155" s="70"/>
      <c r="G155" s="70"/>
      <c r="H155" s="70"/>
      <c r="I155" s="70"/>
      <c r="J155" s="70"/>
      <c r="K155" s="70"/>
      <c r="L155" t="str">
        <f>IF(150&gt;'🌱 Configuração'!$F$50,"",IF(F155="","—",IF(F155&lt;22,"⚠️ Temp baixa",IF(F155&gt;29,"⚠️ Temp ALTA",IF(H155="","✅ OK",IF(H155&lt;5.5,"⚠️ pH muito baixo",IF(H155&gt;6.9,"⚠️ pH alto",IF(I155&gt;2.5,"⚠️ CE alta","✅ OK"))))))))</f>
        <v/>
      </c>
    </row>
    <row r="156" spans="2:12" ht="18" customHeight="1" x14ac:dyDescent="0.3">
      <c r="B156" s="68" t="str">
        <f>IF(151&lt;='🌱 Configuração'!$F$50,151,"")</f>
        <v/>
      </c>
      <c r="C156" s="69" t="str">
        <f>IF(151&lt;='🌱 Configuração'!$F$50,'🌱 Configuração'!$B$51+150,"")</f>
        <v/>
      </c>
      <c r="D156" s="68" t="str">
        <f>IF(151&gt;'🌱 Configuração'!$F$50,"",IF('🌱 Configuração'!$B$51+150&lt;'🌱 Configuração'!$C$51,"🌱 Clone",IF('🌱 Configuração'!$B$51+150&lt;'🌱 Configuração'!$D$51,"🌿 Vega",IF('🌱 Configuração'!$B$51+150&lt;'🌱 Configuração'!$E$51,"🌸 Flora","🚿 Flush"))))</f>
        <v/>
      </c>
      <c r="E156" s="68"/>
      <c r="F156" s="68"/>
      <c r="G156" s="68"/>
      <c r="H156" s="68"/>
      <c r="I156" s="68"/>
      <c r="J156" s="68"/>
      <c r="K156" s="68"/>
      <c r="L156" t="str">
        <f>IF(151&gt;'🌱 Configuração'!$F$50,"",IF(F156="","—",IF(F156&lt;22,"⚠️ Temp baixa",IF(F156&gt;29,"⚠️ Temp ALTA",IF(H156="","✅ OK",IF(H156&lt;5.5,"⚠️ pH muito baixo",IF(H156&gt;6.9,"⚠️ pH alto",IF(I156&gt;2.5,"⚠️ CE alta","✅ OK"))))))))</f>
        <v/>
      </c>
    </row>
    <row r="157" spans="2:12" ht="18" customHeight="1" x14ac:dyDescent="0.3">
      <c r="B157" s="70" t="str">
        <f>IF(152&lt;='🌱 Configuração'!$F$50,152,"")</f>
        <v/>
      </c>
      <c r="C157" s="71" t="str">
        <f>IF(152&lt;='🌱 Configuração'!$F$50,'🌱 Configuração'!$B$51+151,"")</f>
        <v/>
      </c>
      <c r="D157" s="70" t="str">
        <f>IF(152&gt;'🌱 Configuração'!$F$50,"",IF('🌱 Configuração'!$B$51+151&lt;'🌱 Configuração'!$C$51,"🌱 Clone",IF('🌱 Configuração'!$B$51+151&lt;'🌱 Configuração'!$D$51,"🌿 Vega",IF('🌱 Configuração'!$B$51+151&lt;'🌱 Configuração'!$E$51,"🌸 Flora","🚿 Flush"))))</f>
        <v/>
      </c>
      <c r="E157" s="70"/>
      <c r="F157" s="70"/>
      <c r="G157" s="70"/>
      <c r="H157" s="70"/>
      <c r="I157" s="70"/>
      <c r="J157" s="70"/>
      <c r="K157" s="70"/>
      <c r="L157" t="str">
        <f>IF(152&gt;'🌱 Configuração'!$F$50,"",IF(F157="","—",IF(F157&lt;22,"⚠️ Temp baixa",IF(F157&gt;29,"⚠️ Temp ALTA",IF(H157="","✅ OK",IF(H157&lt;5.5,"⚠️ pH muito baixo",IF(H157&gt;6.9,"⚠️ pH alto",IF(I157&gt;2.5,"⚠️ CE alta","✅ OK"))))))))</f>
        <v/>
      </c>
    </row>
    <row r="158" spans="2:12" ht="18" customHeight="1" x14ac:dyDescent="0.3">
      <c r="B158" s="68" t="str">
        <f>IF(153&lt;='🌱 Configuração'!$F$50,153,"")</f>
        <v/>
      </c>
      <c r="C158" s="69" t="str">
        <f>IF(153&lt;='🌱 Configuração'!$F$50,'🌱 Configuração'!$B$51+152,"")</f>
        <v/>
      </c>
      <c r="D158" s="68" t="str">
        <f>IF(153&gt;'🌱 Configuração'!$F$50,"",IF('🌱 Configuração'!$B$51+152&lt;'🌱 Configuração'!$C$51,"🌱 Clone",IF('🌱 Configuração'!$B$51+152&lt;'🌱 Configuração'!$D$51,"🌿 Vega",IF('🌱 Configuração'!$B$51+152&lt;'🌱 Configuração'!$E$51,"🌸 Flora","🚿 Flush"))))</f>
        <v/>
      </c>
      <c r="E158" s="68"/>
      <c r="F158" s="68"/>
      <c r="G158" s="68"/>
      <c r="H158" s="68"/>
      <c r="I158" s="68"/>
      <c r="J158" s="68"/>
      <c r="K158" s="68"/>
      <c r="L158" t="str">
        <f>IF(153&gt;'🌱 Configuração'!$F$50,"",IF(F158="","—",IF(F158&lt;22,"⚠️ Temp baixa",IF(F158&gt;29,"⚠️ Temp ALTA",IF(H158="","✅ OK",IF(H158&lt;5.5,"⚠️ pH muito baixo",IF(H158&gt;6.9,"⚠️ pH alto",IF(I158&gt;2.5,"⚠️ CE alta","✅ OK"))))))))</f>
        <v/>
      </c>
    </row>
    <row r="159" spans="2:12" ht="18" customHeight="1" x14ac:dyDescent="0.3">
      <c r="B159" s="70" t="str">
        <f>IF(154&lt;='🌱 Configuração'!$F$50,154,"")</f>
        <v/>
      </c>
      <c r="C159" s="71" t="str">
        <f>IF(154&lt;='🌱 Configuração'!$F$50,'🌱 Configuração'!$B$51+153,"")</f>
        <v/>
      </c>
      <c r="D159" s="70" t="str">
        <f>IF(154&gt;'🌱 Configuração'!$F$50,"",IF('🌱 Configuração'!$B$51+153&lt;'🌱 Configuração'!$C$51,"🌱 Clone",IF('🌱 Configuração'!$B$51+153&lt;'🌱 Configuração'!$D$51,"🌿 Vega",IF('🌱 Configuração'!$B$51+153&lt;'🌱 Configuração'!$E$51,"🌸 Flora","🚿 Flush"))))</f>
        <v/>
      </c>
      <c r="E159" s="70"/>
      <c r="F159" s="70"/>
      <c r="G159" s="70"/>
      <c r="H159" s="70"/>
      <c r="I159" s="70"/>
      <c r="J159" s="70"/>
      <c r="K159" s="70"/>
      <c r="L159" t="str">
        <f>IF(154&gt;'🌱 Configuração'!$F$50,"",IF(F159="","—",IF(F159&lt;22,"⚠️ Temp baixa",IF(F159&gt;29,"⚠️ Temp ALTA",IF(H159="","✅ OK",IF(H159&lt;5.5,"⚠️ pH muito baixo",IF(H159&gt;6.9,"⚠️ pH alto",IF(I159&gt;2.5,"⚠️ CE alta","✅ OK"))))))))</f>
        <v/>
      </c>
    </row>
    <row r="160" spans="2:12" ht="18" customHeight="1" x14ac:dyDescent="0.3">
      <c r="B160" s="68" t="str">
        <f>IF(155&lt;='🌱 Configuração'!$F$50,155,"")</f>
        <v/>
      </c>
      <c r="C160" s="69" t="str">
        <f>IF(155&lt;='🌱 Configuração'!$F$50,'🌱 Configuração'!$B$51+154,"")</f>
        <v/>
      </c>
      <c r="D160" s="68" t="str">
        <f>IF(155&gt;'🌱 Configuração'!$F$50,"",IF('🌱 Configuração'!$B$51+154&lt;'🌱 Configuração'!$C$51,"🌱 Clone",IF('🌱 Configuração'!$B$51+154&lt;'🌱 Configuração'!$D$51,"🌿 Vega",IF('🌱 Configuração'!$B$51+154&lt;'🌱 Configuração'!$E$51,"🌸 Flora","🚿 Flush"))))</f>
        <v/>
      </c>
      <c r="E160" s="68"/>
      <c r="F160" s="68"/>
      <c r="G160" s="68"/>
      <c r="H160" s="68"/>
      <c r="I160" s="68"/>
      <c r="J160" s="68"/>
      <c r="K160" s="68"/>
      <c r="L160" t="str">
        <f>IF(155&gt;'🌱 Configuração'!$F$50,"",IF(F160="","—",IF(F160&lt;22,"⚠️ Temp baixa",IF(F160&gt;29,"⚠️ Temp ALTA",IF(H160="","✅ OK",IF(H160&lt;5.5,"⚠️ pH muito baixo",IF(H160&gt;6.9,"⚠️ pH alto",IF(I160&gt;2.5,"⚠️ CE alta","✅ OK"))))))))</f>
        <v/>
      </c>
    </row>
    <row r="161" spans="2:12" ht="18" customHeight="1" x14ac:dyDescent="0.3">
      <c r="B161" s="70" t="str">
        <f>IF(156&lt;='🌱 Configuração'!$F$50,156,"")</f>
        <v/>
      </c>
      <c r="C161" s="71" t="str">
        <f>IF(156&lt;='🌱 Configuração'!$F$50,'🌱 Configuração'!$B$51+155,"")</f>
        <v/>
      </c>
      <c r="D161" s="70" t="str">
        <f>IF(156&gt;'🌱 Configuração'!$F$50,"",IF('🌱 Configuração'!$B$51+155&lt;'🌱 Configuração'!$C$51,"🌱 Clone",IF('🌱 Configuração'!$B$51+155&lt;'🌱 Configuração'!$D$51,"🌿 Vega",IF('🌱 Configuração'!$B$51+155&lt;'🌱 Configuração'!$E$51,"🌸 Flora","🚿 Flush"))))</f>
        <v/>
      </c>
      <c r="E161" s="70"/>
      <c r="F161" s="70"/>
      <c r="G161" s="70"/>
      <c r="H161" s="70"/>
      <c r="I161" s="70"/>
      <c r="J161" s="70"/>
      <c r="K161" s="70"/>
      <c r="L161" t="str">
        <f>IF(156&gt;'🌱 Configuração'!$F$50,"",IF(F161="","—",IF(F161&lt;22,"⚠️ Temp baixa",IF(F161&gt;29,"⚠️ Temp ALTA",IF(H161="","✅ OK",IF(H161&lt;5.5,"⚠️ pH muito baixo",IF(H161&gt;6.9,"⚠️ pH alto",IF(I161&gt;2.5,"⚠️ CE alta","✅ OK"))))))))</f>
        <v/>
      </c>
    </row>
    <row r="162" spans="2:12" ht="18" customHeight="1" x14ac:dyDescent="0.3">
      <c r="B162" s="68" t="str">
        <f>IF(157&lt;='🌱 Configuração'!$F$50,157,"")</f>
        <v/>
      </c>
      <c r="C162" s="69" t="str">
        <f>IF(157&lt;='🌱 Configuração'!$F$50,'🌱 Configuração'!$B$51+156,"")</f>
        <v/>
      </c>
      <c r="D162" s="68" t="str">
        <f>IF(157&gt;'🌱 Configuração'!$F$50,"",IF('🌱 Configuração'!$B$51+156&lt;'🌱 Configuração'!$C$51,"🌱 Clone",IF('🌱 Configuração'!$B$51+156&lt;'🌱 Configuração'!$D$51,"🌿 Vega",IF('🌱 Configuração'!$B$51+156&lt;'🌱 Configuração'!$E$51,"🌸 Flora","🚿 Flush"))))</f>
        <v/>
      </c>
      <c r="E162" s="68"/>
      <c r="F162" s="68"/>
      <c r="G162" s="68"/>
      <c r="H162" s="68"/>
      <c r="I162" s="68"/>
      <c r="J162" s="68"/>
      <c r="K162" s="68"/>
      <c r="L162" t="str">
        <f>IF(157&gt;'🌱 Configuração'!$F$50,"",IF(F162="","—",IF(F162&lt;22,"⚠️ Temp baixa",IF(F162&gt;29,"⚠️ Temp ALTA",IF(H162="","✅ OK",IF(H162&lt;5.5,"⚠️ pH muito baixo",IF(H162&gt;6.9,"⚠️ pH alto",IF(I162&gt;2.5,"⚠️ CE alta","✅ OK"))))))))</f>
        <v/>
      </c>
    </row>
    <row r="163" spans="2:12" ht="18" customHeight="1" x14ac:dyDescent="0.3">
      <c r="B163" s="70" t="str">
        <f>IF(158&lt;='🌱 Configuração'!$F$50,158,"")</f>
        <v/>
      </c>
      <c r="C163" s="71" t="str">
        <f>IF(158&lt;='🌱 Configuração'!$F$50,'🌱 Configuração'!$B$51+157,"")</f>
        <v/>
      </c>
      <c r="D163" s="70" t="str">
        <f>IF(158&gt;'🌱 Configuração'!$F$50,"",IF('🌱 Configuração'!$B$51+157&lt;'🌱 Configuração'!$C$51,"🌱 Clone",IF('🌱 Configuração'!$B$51+157&lt;'🌱 Configuração'!$D$51,"🌿 Vega",IF('🌱 Configuração'!$B$51+157&lt;'🌱 Configuração'!$E$51,"🌸 Flora","🚿 Flush"))))</f>
        <v/>
      </c>
      <c r="E163" s="70"/>
      <c r="F163" s="70"/>
      <c r="G163" s="70"/>
      <c r="H163" s="70"/>
      <c r="I163" s="70"/>
      <c r="J163" s="70"/>
      <c r="K163" s="70"/>
      <c r="L163" t="str">
        <f>IF(158&gt;'🌱 Configuração'!$F$50,"",IF(F163="","—",IF(F163&lt;22,"⚠️ Temp baixa",IF(F163&gt;29,"⚠️ Temp ALTA",IF(H163="","✅ OK",IF(H163&lt;5.5,"⚠️ pH muito baixo",IF(H163&gt;6.9,"⚠️ pH alto",IF(I163&gt;2.5,"⚠️ CE alta","✅ OK"))))))))</f>
        <v/>
      </c>
    </row>
    <row r="164" spans="2:12" ht="18" customHeight="1" x14ac:dyDescent="0.3">
      <c r="B164" s="68" t="str">
        <f>IF(159&lt;='🌱 Configuração'!$F$50,159,"")</f>
        <v/>
      </c>
      <c r="C164" s="69" t="str">
        <f>IF(159&lt;='🌱 Configuração'!$F$50,'🌱 Configuração'!$B$51+158,"")</f>
        <v/>
      </c>
      <c r="D164" s="68" t="str">
        <f>IF(159&gt;'🌱 Configuração'!$F$50,"",IF('🌱 Configuração'!$B$51+158&lt;'🌱 Configuração'!$C$51,"🌱 Clone",IF('🌱 Configuração'!$B$51+158&lt;'🌱 Configuração'!$D$51,"🌿 Vega",IF('🌱 Configuração'!$B$51+158&lt;'🌱 Configuração'!$E$51,"🌸 Flora","🚿 Flush"))))</f>
        <v/>
      </c>
      <c r="E164" s="68"/>
      <c r="F164" s="68"/>
      <c r="G164" s="68"/>
      <c r="H164" s="68"/>
      <c r="I164" s="68"/>
      <c r="J164" s="68"/>
      <c r="K164" s="68"/>
      <c r="L164" t="str">
        <f>IF(159&gt;'🌱 Configuração'!$F$50,"",IF(F164="","—",IF(F164&lt;22,"⚠️ Temp baixa",IF(F164&gt;29,"⚠️ Temp ALTA",IF(H164="","✅ OK",IF(H164&lt;5.5,"⚠️ pH muito baixo",IF(H164&gt;6.9,"⚠️ pH alto",IF(I164&gt;2.5,"⚠️ CE alta","✅ OK"))))))))</f>
        <v/>
      </c>
    </row>
    <row r="165" spans="2:12" ht="18" customHeight="1" x14ac:dyDescent="0.3">
      <c r="B165" s="70" t="str">
        <f>IF(160&lt;='🌱 Configuração'!$F$50,160,"")</f>
        <v/>
      </c>
      <c r="C165" s="71" t="str">
        <f>IF(160&lt;='🌱 Configuração'!$F$50,'🌱 Configuração'!$B$51+159,"")</f>
        <v/>
      </c>
      <c r="D165" s="70" t="str">
        <f>IF(160&gt;'🌱 Configuração'!$F$50,"",IF('🌱 Configuração'!$B$51+159&lt;'🌱 Configuração'!$C$51,"🌱 Clone",IF('🌱 Configuração'!$B$51+159&lt;'🌱 Configuração'!$D$51,"🌿 Vega",IF('🌱 Configuração'!$B$51+159&lt;'🌱 Configuração'!$E$51,"🌸 Flora","🚿 Flush"))))</f>
        <v/>
      </c>
      <c r="E165" s="70"/>
      <c r="F165" s="70"/>
      <c r="G165" s="70"/>
      <c r="H165" s="70"/>
      <c r="I165" s="70"/>
      <c r="J165" s="70"/>
      <c r="K165" s="70"/>
      <c r="L165" t="str">
        <f>IF(160&gt;'🌱 Configuração'!$F$50,"",IF(F165="","—",IF(F165&lt;22,"⚠️ Temp baixa",IF(F165&gt;29,"⚠️ Temp ALTA",IF(H165="","✅ OK",IF(H165&lt;5.5,"⚠️ pH muito baixo",IF(H165&gt;6.9,"⚠️ pH alto",IF(I165&gt;2.5,"⚠️ CE alta","✅ OK"))))))))</f>
        <v/>
      </c>
    </row>
    <row r="166" spans="2:12" ht="18" customHeight="1" x14ac:dyDescent="0.3">
      <c r="B166" s="68" t="str">
        <f>IF(161&lt;='🌱 Configuração'!$F$50,161,"")</f>
        <v/>
      </c>
      <c r="C166" s="69" t="str">
        <f>IF(161&lt;='🌱 Configuração'!$F$50,'🌱 Configuração'!$B$51+160,"")</f>
        <v/>
      </c>
      <c r="D166" s="68" t="str">
        <f>IF(161&gt;'🌱 Configuração'!$F$50,"",IF('🌱 Configuração'!$B$51+160&lt;'🌱 Configuração'!$C$51,"🌱 Clone",IF('🌱 Configuração'!$B$51+160&lt;'🌱 Configuração'!$D$51,"🌿 Vega",IF('🌱 Configuração'!$B$51+160&lt;'🌱 Configuração'!$E$51,"🌸 Flora","🚿 Flush"))))</f>
        <v/>
      </c>
      <c r="E166" s="68"/>
      <c r="F166" s="68"/>
      <c r="G166" s="68"/>
      <c r="H166" s="68"/>
      <c r="I166" s="68"/>
      <c r="J166" s="68"/>
      <c r="K166" s="68"/>
      <c r="L166" t="str">
        <f>IF(161&gt;'🌱 Configuração'!$F$50,"",IF(F166="","—",IF(F166&lt;22,"⚠️ Temp baixa",IF(F166&gt;29,"⚠️ Temp ALTA",IF(H166="","✅ OK",IF(H166&lt;5.5,"⚠️ pH muito baixo",IF(H166&gt;6.9,"⚠️ pH alto",IF(I166&gt;2.5,"⚠️ CE alta","✅ OK"))))))))</f>
        <v/>
      </c>
    </row>
    <row r="167" spans="2:12" ht="18" customHeight="1" x14ac:dyDescent="0.3">
      <c r="B167" s="70" t="str">
        <f>IF(162&lt;='🌱 Configuração'!$F$50,162,"")</f>
        <v/>
      </c>
      <c r="C167" s="71" t="str">
        <f>IF(162&lt;='🌱 Configuração'!$F$50,'🌱 Configuração'!$B$51+161,"")</f>
        <v/>
      </c>
      <c r="D167" s="70" t="str">
        <f>IF(162&gt;'🌱 Configuração'!$F$50,"",IF('🌱 Configuração'!$B$51+161&lt;'🌱 Configuração'!$C$51,"🌱 Clone",IF('🌱 Configuração'!$B$51+161&lt;'🌱 Configuração'!$D$51,"🌿 Vega",IF('🌱 Configuração'!$B$51+161&lt;'🌱 Configuração'!$E$51,"🌸 Flora","🚿 Flush"))))</f>
        <v/>
      </c>
      <c r="E167" s="70"/>
      <c r="F167" s="70"/>
      <c r="G167" s="70"/>
      <c r="H167" s="70"/>
      <c r="I167" s="70"/>
      <c r="J167" s="70"/>
      <c r="K167" s="70"/>
      <c r="L167" t="str">
        <f>IF(162&gt;'🌱 Configuração'!$F$50,"",IF(F167="","—",IF(F167&lt;22,"⚠️ Temp baixa",IF(F167&gt;29,"⚠️ Temp ALTA",IF(H167="","✅ OK",IF(H167&lt;5.5,"⚠️ pH muito baixo",IF(H167&gt;6.9,"⚠️ pH alto",IF(I167&gt;2.5,"⚠️ CE alta","✅ OK"))))))))</f>
        <v/>
      </c>
    </row>
    <row r="168" spans="2:12" ht="18" customHeight="1" x14ac:dyDescent="0.3">
      <c r="B168" s="68" t="str">
        <f>IF(163&lt;='🌱 Configuração'!$F$50,163,"")</f>
        <v/>
      </c>
      <c r="C168" s="69" t="str">
        <f>IF(163&lt;='🌱 Configuração'!$F$50,'🌱 Configuração'!$B$51+162,"")</f>
        <v/>
      </c>
      <c r="D168" s="68" t="str">
        <f>IF(163&gt;'🌱 Configuração'!$F$50,"",IF('🌱 Configuração'!$B$51+162&lt;'🌱 Configuração'!$C$51,"🌱 Clone",IF('🌱 Configuração'!$B$51+162&lt;'🌱 Configuração'!$D$51,"🌿 Vega",IF('🌱 Configuração'!$B$51+162&lt;'🌱 Configuração'!$E$51,"🌸 Flora","🚿 Flush"))))</f>
        <v/>
      </c>
      <c r="E168" s="68"/>
      <c r="F168" s="68"/>
      <c r="G168" s="68"/>
      <c r="H168" s="68"/>
      <c r="I168" s="68"/>
      <c r="J168" s="68"/>
      <c r="K168" s="68"/>
      <c r="L168" t="str">
        <f>IF(163&gt;'🌱 Configuração'!$F$50,"",IF(F168="","—",IF(F168&lt;22,"⚠️ Temp baixa",IF(F168&gt;29,"⚠️ Temp ALTA",IF(H168="","✅ OK",IF(H168&lt;5.5,"⚠️ pH muito baixo",IF(H168&gt;6.9,"⚠️ pH alto",IF(I168&gt;2.5,"⚠️ CE alta","✅ OK"))))))))</f>
        <v/>
      </c>
    </row>
    <row r="169" spans="2:12" ht="18" customHeight="1" x14ac:dyDescent="0.3">
      <c r="B169" s="70" t="str">
        <f>IF(164&lt;='🌱 Configuração'!$F$50,164,"")</f>
        <v/>
      </c>
      <c r="C169" s="71" t="str">
        <f>IF(164&lt;='🌱 Configuração'!$F$50,'🌱 Configuração'!$B$51+163,"")</f>
        <v/>
      </c>
      <c r="D169" s="70" t="str">
        <f>IF(164&gt;'🌱 Configuração'!$F$50,"",IF('🌱 Configuração'!$B$51+163&lt;'🌱 Configuração'!$C$51,"🌱 Clone",IF('🌱 Configuração'!$B$51+163&lt;'🌱 Configuração'!$D$51,"🌿 Vega",IF('🌱 Configuração'!$B$51+163&lt;'🌱 Configuração'!$E$51,"🌸 Flora","🚿 Flush"))))</f>
        <v/>
      </c>
      <c r="E169" s="70"/>
      <c r="F169" s="70"/>
      <c r="G169" s="70"/>
      <c r="H169" s="70"/>
      <c r="I169" s="70"/>
      <c r="J169" s="70"/>
      <c r="K169" s="70"/>
      <c r="L169" t="str">
        <f>IF(164&gt;'🌱 Configuração'!$F$50,"",IF(F169="","—",IF(F169&lt;22,"⚠️ Temp baixa",IF(F169&gt;29,"⚠️ Temp ALTA",IF(H169="","✅ OK",IF(H169&lt;5.5,"⚠️ pH muito baixo",IF(H169&gt;6.9,"⚠️ pH alto",IF(I169&gt;2.5,"⚠️ CE alta","✅ OK"))))))))</f>
        <v/>
      </c>
    </row>
    <row r="170" spans="2:12" ht="18" customHeight="1" x14ac:dyDescent="0.3">
      <c r="B170" s="68" t="str">
        <f>IF(165&lt;='🌱 Configuração'!$F$50,165,"")</f>
        <v/>
      </c>
      <c r="C170" s="69" t="str">
        <f>IF(165&lt;='🌱 Configuração'!$F$50,'🌱 Configuração'!$B$51+164,"")</f>
        <v/>
      </c>
      <c r="D170" s="68" t="str">
        <f>IF(165&gt;'🌱 Configuração'!$F$50,"",IF('🌱 Configuração'!$B$51+164&lt;'🌱 Configuração'!$C$51,"🌱 Clone",IF('🌱 Configuração'!$B$51+164&lt;'🌱 Configuração'!$D$51,"🌿 Vega",IF('🌱 Configuração'!$B$51+164&lt;'🌱 Configuração'!$E$51,"🌸 Flora","🚿 Flush"))))</f>
        <v/>
      </c>
      <c r="E170" s="68"/>
      <c r="F170" s="68"/>
      <c r="G170" s="68"/>
      <c r="H170" s="68"/>
      <c r="I170" s="68"/>
      <c r="J170" s="68"/>
      <c r="K170" s="68"/>
      <c r="L170" t="str">
        <f>IF(165&gt;'🌱 Configuração'!$F$50,"",IF(F170="","—",IF(F170&lt;22,"⚠️ Temp baixa",IF(F170&gt;29,"⚠️ Temp ALTA",IF(H170="","✅ OK",IF(H170&lt;5.5,"⚠️ pH muito baixo",IF(H170&gt;6.9,"⚠️ pH alto",IF(I170&gt;2.5,"⚠️ CE alta","✅ OK"))))))))</f>
        <v/>
      </c>
    </row>
    <row r="171" spans="2:12" ht="18" customHeight="1" x14ac:dyDescent="0.3">
      <c r="B171" s="70" t="str">
        <f>IF(166&lt;='🌱 Configuração'!$F$50,166,"")</f>
        <v/>
      </c>
      <c r="C171" s="71" t="str">
        <f>IF(166&lt;='🌱 Configuração'!$F$50,'🌱 Configuração'!$B$51+165,"")</f>
        <v/>
      </c>
      <c r="D171" s="70" t="str">
        <f>IF(166&gt;'🌱 Configuração'!$F$50,"",IF('🌱 Configuração'!$B$51+165&lt;'🌱 Configuração'!$C$51,"🌱 Clone",IF('🌱 Configuração'!$B$51+165&lt;'🌱 Configuração'!$D$51,"🌿 Vega",IF('🌱 Configuração'!$B$51+165&lt;'🌱 Configuração'!$E$51,"🌸 Flora","🚿 Flush"))))</f>
        <v/>
      </c>
      <c r="E171" s="70"/>
      <c r="F171" s="70"/>
      <c r="G171" s="70"/>
      <c r="H171" s="70"/>
      <c r="I171" s="70"/>
      <c r="J171" s="70"/>
      <c r="K171" s="70"/>
      <c r="L171" t="str">
        <f>IF(166&gt;'🌱 Configuração'!$F$50,"",IF(F171="","—",IF(F171&lt;22,"⚠️ Temp baixa",IF(F171&gt;29,"⚠️ Temp ALTA",IF(H171="","✅ OK",IF(H171&lt;5.5,"⚠️ pH muito baixo",IF(H171&gt;6.9,"⚠️ pH alto",IF(I171&gt;2.5,"⚠️ CE alta","✅ OK"))))))))</f>
        <v/>
      </c>
    </row>
    <row r="172" spans="2:12" ht="18" customHeight="1" x14ac:dyDescent="0.3">
      <c r="B172" s="68" t="str">
        <f>IF(167&lt;='🌱 Configuração'!$F$50,167,"")</f>
        <v/>
      </c>
      <c r="C172" s="69" t="str">
        <f>IF(167&lt;='🌱 Configuração'!$F$50,'🌱 Configuração'!$B$51+166,"")</f>
        <v/>
      </c>
      <c r="D172" s="68" t="str">
        <f>IF(167&gt;'🌱 Configuração'!$F$50,"",IF('🌱 Configuração'!$B$51+166&lt;'🌱 Configuração'!$C$51,"🌱 Clone",IF('🌱 Configuração'!$B$51+166&lt;'🌱 Configuração'!$D$51,"🌿 Vega",IF('🌱 Configuração'!$B$51+166&lt;'🌱 Configuração'!$E$51,"🌸 Flora","🚿 Flush"))))</f>
        <v/>
      </c>
      <c r="E172" s="68"/>
      <c r="F172" s="68"/>
      <c r="G172" s="68"/>
      <c r="H172" s="68"/>
      <c r="I172" s="68"/>
      <c r="J172" s="68"/>
      <c r="K172" s="68"/>
      <c r="L172" t="str">
        <f>IF(167&gt;'🌱 Configuração'!$F$50,"",IF(F172="","—",IF(F172&lt;22,"⚠️ Temp baixa",IF(F172&gt;29,"⚠️ Temp ALTA",IF(H172="","✅ OK",IF(H172&lt;5.5,"⚠️ pH muito baixo",IF(H172&gt;6.9,"⚠️ pH alto",IF(I172&gt;2.5,"⚠️ CE alta","✅ OK"))))))))</f>
        <v/>
      </c>
    </row>
    <row r="173" spans="2:12" ht="18" customHeight="1" x14ac:dyDescent="0.3">
      <c r="B173" s="70" t="str">
        <f>IF(168&lt;='🌱 Configuração'!$F$50,168,"")</f>
        <v/>
      </c>
      <c r="C173" s="71" t="str">
        <f>IF(168&lt;='🌱 Configuração'!$F$50,'🌱 Configuração'!$B$51+167,"")</f>
        <v/>
      </c>
      <c r="D173" s="70" t="str">
        <f>IF(168&gt;'🌱 Configuração'!$F$50,"",IF('🌱 Configuração'!$B$51+167&lt;'🌱 Configuração'!$C$51,"🌱 Clone",IF('🌱 Configuração'!$B$51+167&lt;'🌱 Configuração'!$D$51,"🌿 Vega",IF('🌱 Configuração'!$B$51+167&lt;'🌱 Configuração'!$E$51,"🌸 Flora","🚿 Flush"))))</f>
        <v/>
      </c>
      <c r="E173" s="70"/>
      <c r="F173" s="70"/>
      <c r="G173" s="70"/>
      <c r="H173" s="70"/>
      <c r="I173" s="70"/>
      <c r="J173" s="70"/>
      <c r="K173" s="70"/>
      <c r="L173" t="str">
        <f>IF(168&gt;'🌱 Configuração'!$F$50,"",IF(F173="","—",IF(F173&lt;22,"⚠️ Temp baixa",IF(F173&gt;29,"⚠️ Temp ALTA",IF(H173="","✅ OK",IF(H173&lt;5.5,"⚠️ pH muito baixo",IF(H173&gt;6.9,"⚠️ pH alto",IF(I173&gt;2.5,"⚠️ CE alta","✅ OK"))))))))</f>
        <v/>
      </c>
    </row>
    <row r="174" spans="2:12" ht="18" customHeight="1" x14ac:dyDescent="0.3">
      <c r="B174" s="68" t="str">
        <f>IF(169&lt;='🌱 Configuração'!$F$50,169,"")</f>
        <v/>
      </c>
      <c r="C174" s="69" t="str">
        <f>IF(169&lt;='🌱 Configuração'!$F$50,'🌱 Configuração'!$B$51+168,"")</f>
        <v/>
      </c>
      <c r="D174" s="68" t="str">
        <f>IF(169&gt;'🌱 Configuração'!$F$50,"",IF('🌱 Configuração'!$B$51+168&lt;'🌱 Configuração'!$C$51,"🌱 Clone",IF('🌱 Configuração'!$B$51+168&lt;'🌱 Configuração'!$D$51,"🌿 Vega",IF('🌱 Configuração'!$B$51+168&lt;'🌱 Configuração'!$E$51,"🌸 Flora","🚿 Flush"))))</f>
        <v/>
      </c>
      <c r="E174" s="68"/>
      <c r="F174" s="68"/>
      <c r="G174" s="68"/>
      <c r="H174" s="68"/>
      <c r="I174" s="68"/>
      <c r="J174" s="68"/>
      <c r="K174" s="68"/>
      <c r="L174" t="str">
        <f>IF(169&gt;'🌱 Configuração'!$F$50,"",IF(F174="","—",IF(F174&lt;22,"⚠️ Temp baixa",IF(F174&gt;29,"⚠️ Temp ALTA",IF(H174="","✅ OK",IF(H174&lt;5.5,"⚠️ pH muito baixo",IF(H174&gt;6.9,"⚠️ pH alto",IF(I174&gt;2.5,"⚠️ CE alta","✅ OK"))))))))</f>
        <v/>
      </c>
    </row>
    <row r="175" spans="2:12" ht="18" customHeight="1" x14ac:dyDescent="0.3">
      <c r="B175" s="70" t="str">
        <f>IF(170&lt;='🌱 Configuração'!$F$50,170,"")</f>
        <v/>
      </c>
      <c r="C175" s="71" t="str">
        <f>IF(170&lt;='🌱 Configuração'!$F$50,'🌱 Configuração'!$B$51+169,"")</f>
        <v/>
      </c>
      <c r="D175" s="70" t="str">
        <f>IF(170&gt;'🌱 Configuração'!$F$50,"",IF('🌱 Configuração'!$B$51+169&lt;'🌱 Configuração'!$C$51,"🌱 Clone",IF('🌱 Configuração'!$B$51+169&lt;'🌱 Configuração'!$D$51,"🌿 Vega",IF('🌱 Configuração'!$B$51+169&lt;'🌱 Configuração'!$E$51,"🌸 Flora","🚿 Flush"))))</f>
        <v/>
      </c>
      <c r="E175" s="70"/>
      <c r="F175" s="70"/>
      <c r="G175" s="70"/>
      <c r="H175" s="70"/>
      <c r="I175" s="70"/>
      <c r="J175" s="70"/>
      <c r="K175" s="70"/>
      <c r="L175" t="str">
        <f>IF(170&gt;'🌱 Configuração'!$F$50,"",IF(F175="","—",IF(F175&lt;22,"⚠️ Temp baixa",IF(F175&gt;29,"⚠️ Temp ALTA",IF(H175="","✅ OK",IF(H175&lt;5.5,"⚠️ pH muito baixo",IF(H175&gt;6.9,"⚠️ pH alto",IF(I175&gt;2.5,"⚠️ CE alta","✅ OK"))))))))</f>
        <v/>
      </c>
    </row>
    <row r="176" spans="2:12" ht="18" customHeight="1" x14ac:dyDescent="0.3">
      <c r="B176" s="68" t="str">
        <f>IF(171&lt;='🌱 Configuração'!$F$50,171,"")</f>
        <v/>
      </c>
      <c r="C176" s="69" t="str">
        <f>IF(171&lt;='🌱 Configuração'!$F$50,'🌱 Configuração'!$B$51+170,"")</f>
        <v/>
      </c>
      <c r="D176" s="68" t="str">
        <f>IF(171&gt;'🌱 Configuração'!$F$50,"",IF('🌱 Configuração'!$B$51+170&lt;'🌱 Configuração'!$C$51,"🌱 Clone",IF('🌱 Configuração'!$B$51+170&lt;'🌱 Configuração'!$D$51,"🌿 Vega",IF('🌱 Configuração'!$B$51+170&lt;'🌱 Configuração'!$E$51,"🌸 Flora","🚿 Flush"))))</f>
        <v/>
      </c>
      <c r="E176" s="68"/>
      <c r="F176" s="68"/>
      <c r="G176" s="68"/>
      <c r="H176" s="68"/>
      <c r="I176" s="68"/>
      <c r="J176" s="68"/>
      <c r="K176" s="68"/>
      <c r="L176" t="str">
        <f>IF(171&gt;'🌱 Configuração'!$F$50,"",IF(F176="","—",IF(F176&lt;22,"⚠️ Temp baixa",IF(F176&gt;29,"⚠️ Temp ALTA",IF(H176="","✅ OK",IF(H176&lt;5.5,"⚠️ pH muito baixo",IF(H176&gt;6.9,"⚠️ pH alto",IF(I176&gt;2.5,"⚠️ CE alta","✅ OK"))))))))</f>
        <v/>
      </c>
    </row>
    <row r="177" spans="2:12" ht="18" customHeight="1" x14ac:dyDescent="0.3">
      <c r="B177" s="70" t="str">
        <f>IF(172&lt;='🌱 Configuração'!$F$50,172,"")</f>
        <v/>
      </c>
      <c r="C177" s="71" t="str">
        <f>IF(172&lt;='🌱 Configuração'!$F$50,'🌱 Configuração'!$B$51+171,"")</f>
        <v/>
      </c>
      <c r="D177" s="70" t="str">
        <f>IF(172&gt;'🌱 Configuração'!$F$50,"",IF('🌱 Configuração'!$B$51+171&lt;'🌱 Configuração'!$C$51,"🌱 Clone",IF('🌱 Configuração'!$B$51+171&lt;'🌱 Configuração'!$D$51,"🌿 Vega",IF('🌱 Configuração'!$B$51+171&lt;'🌱 Configuração'!$E$51,"🌸 Flora","🚿 Flush"))))</f>
        <v/>
      </c>
      <c r="E177" s="70"/>
      <c r="F177" s="70"/>
      <c r="G177" s="70"/>
      <c r="H177" s="70"/>
      <c r="I177" s="70"/>
      <c r="J177" s="70"/>
      <c r="K177" s="70"/>
      <c r="L177" t="str">
        <f>IF(172&gt;'🌱 Configuração'!$F$50,"",IF(F177="","—",IF(F177&lt;22,"⚠️ Temp baixa",IF(F177&gt;29,"⚠️ Temp ALTA",IF(H177="","✅ OK",IF(H177&lt;5.5,"⚠️ pH muito baixo",IF(H177&gt;6.9,"⚠️ pH alto",IF(I177&gt;2.5,"⚠️ CE alta","✅ OK"))))))))</f>
        <v/>
      </c>
    </row>
    <row r="178" spans="2:12" ht="18" customHeight="1" x14ac:dyDescent="0.3">
      <c r="B178" s="68" t="str">
        <f>IF(173&lt;='🌱 Configuração'!$F$50,173,"")</f>
        <v/>
      </c>
      <c r="C178" s="69" t="str">
        <f>IF(173&lt;='🌱 Configuração'!$F$50,'🌱 Configuração'!$B$51+172,"")</f>
        <v/>
      </c>
      <c r="D178" s="68" t="str">
        <f>IF(173&gt;'🌱 Configuração'!$F$50,"",IF('🌱 Configuração'!$B$51+172&lt;'🌱 Configuração'!$C$51,"🌱 Clone",IF('🌱 Configuração'!$B$51+172&lt;'🌱 Configuração'!$D$51,"🌿 Vega",IF('🌱 Configuração'!$B$51+172&lt;'🌱 Configuração'!$E$51,"🌸 Flora","🚿 Flush"))))</f>
        <v/>
      </c>
      <c r="E178" s="68"/>
      <c r="F178" s="68"/>
      <c r="G178" s="68"/>
      <c r="H178" s="68"/>
      <c r="I178" s="68"/>
      <c r="J178" s="68"/>
      <c r="K178" s="68"/>
      <c r="L178" t="str">
        <f>IF(173&gt;'🌱 Configuração'!$F$50,"",IF(F178="","—",IF(F178&lt;22,"⚠️ Temp baixa",IF(F178&gt;29,"⚠️ Temp ALTA",IF(H178="","✅ OK",IF(H178&lt;5.5,"⚠️ pH muito baixo",IF(H178&gt;6.9,"⚠️ pH alto",IF(I178&gt;2.5,"⚠️ CE alta","✅ OK"))))))))</f>
        <v/>
      </c>
    </row>
    <row r="179" spans="2:12" ht="18" customHeight="1" x14ac:dyDescent="0.3">
      <c r="B179" s="70" t="str">
        <f>IF(174&lt;='🌱 Configuração'!$F$50,174,"")</f>
        <v/>
      </c>
      <c r="C179" s="71" t="str">
        <f>IF(174&lt;='🌱 Configuração'!$F$50,'🌱 Configuração'!$B$51+173,"")</f>
        <v/>
      </c>
      <c r="D179" s="70" t="str">
        <f>IF(174&gt;'🌱 Configuração'!$F$50,"",IF('🌱 Configuração'!$B$51+173&lt;'🌱 Configuração'!$C$51,"🌱 Clone",IF('🌱 Configuração'!$B$51+173&lt;'🌱 Configuração'!$D$51,"🌿 Vega",IF('🌱 Configuração'!$B$51+173&lt;'🌱 Configuração'!$E$51,"🌸 Flora","🚿 Flush"))))</f>
        <v/>
      </c>
      <c r="E179" s="70"/>
      <c r="F179" s="70"/>
      <c r="G179" s="70"/>
      <c r="H179" s="70"/>
      <c r="I179" s="70"/>
      <c r="J179" s="70"/>
      <c r="K179" s="70"/>
      <c r="L179" t="str">
        <f>IF(174&gt;'🌱 Configuração'!$F$50,"",IF(F179="","—",IF(F179&lt;22,"⚠️ Temp baixa",IF(F179&gt;29,"⚠️ Temp ALTA",IF(H179="","✅ OK",IF(H179&lt;5.5,"⚠️ pH muito baixo",IF(H179&gt;6.9,"⚠️ pH alto",IF(I179&gt;2.5,"⚠️ CE alta","✅ OK"))))))))</f>
        <v/>
      </c>
    </row>
    <row r="180" spans="2:12" ht="18" customHeight="1" x14ac:dyDescent="0.3">
      <c r="B180" s="68" t="str">
        <f>IF(175&lt;='🌱 Configuração'!$F$50,175,"")</f>
        <v/>
      </c>
      <c r="C180" s="69" t="str">
        <f>IF(175&lt;='🌱 Configuração'!$F$50,'🌱 Configuração'!$B$51+174,"")</f>
        <v/>
      </c>
      <c r="D180" s="68" t="str">
        <f>IF(175&gt;'🌱 Configuração'!$F$50,"",IF('🌱 Configuração'!$B$51+174&lt;'🌱 Configuração'!$C$51,"🌱 Clone",IF('🌱 Configuração'!$B$51+174&lt;'🌱 Configuração'!$D$51,"🌿 Vega",IF('🌱 Configuração'!$B$51+174&lt;'🌱 Configuração'!$E$51,"🌸 Flora","🚿 Flush"))))</f>
        <v/>
      </c>
      <c r="E180" s="68"/>
      <c r="F180" s="68"/>
      <c r="G180" s="68"/>
      <c r="H180" s="68"/>
      <c r="I180" s="68"/>
      <c r="J180" s="68"/>
      <c r="K180" s="68"/>
      <c r="L180" t="str">
        <f>IF(175&gt;'🌱 Configuração'!$F$50,"",IF(F180="","—",IF(F180&lt;22,"⚠️ Temp baixa",IF(F180&gt;29,"⚠️ Temp ALTA",IF(H180="","✅ OK",IF(H180&lt;5.5,"⚠️ pH muito baixo",IF(H180&gt;6.9,"⚠️ pH alto",IF(I180&gt;2.5,"⚠️ CE alta","✅ OK"))))))))</f>
        <v/>
      </c>
    </row>
    <row r="181" spans="2:12" ht="18" customHeight="1" x14ac:dyDescent="0.3">
      <c r="B181" s="70" t="str">
        <f>IF(176&lt;='🌱 Configuração'!$F$50,176,"")</f>
        <v/>
      </c>
      <c r="C181" s="71" t="str">
        <f>IF(176&lt;='🌱 Configuração'!$F$50,'🌱 Configuração'!$B$51+175,"")</f>
        <v/>
      </c>
      <c r="D181" s="70" t="str">
        <f>IF(176&gt;'🌱 Configuração'!$F$50,"",IF('🌱 Configuração'!$B$51+175&lt;'🌱 Configuração'!$C$51,"🌱 Clone",IF('🌱 Configuração'!$B$51+175&lt;'🌱 Configuração'!$D$51,"🌿 Vega",IF('🌱 Configuração'!$B$51+175&lt;'🌱 Configuração'!$E$51,"🌸 Flora","🚿 Flush"))))</f>
        <v/>
      </c>
      <c r="E181" s="70"/>
      <c r="F181" s="70"/>
      <c r="G181" s="70"/>
      <c r="H181" s="70"/>
      <c r="I181" s="70"/>
      <c r="J181" s="70"/>
      <c r="K181" s="70"/>
      <c r="L181" t="str">
        <f>IF(176&gt;'🌱 Configuração'!$F$50,"",IF(F181="","—",IF(F181&lt;22,"⚠️ Temp baixa",IF(F181&gt;29,"⚠️ Temp ALTA",IF(H181="","✅ OK",IF(H181&lt;5.5,"⚠️ pH muito baixo",IF(H181&gt;6.9,"⚠️ pH alto",IF(I181&gt;2.5,"⚠️ CE alta","✅ OK"))))))))</f>
        <v/>
      </c>
    </row>
    <row r="182" spans="2:12" ht="18" customHeight="1" x14ac:dyDescent="0.3">
      <c r="B182" s="68" t="str">
        <f>IF(177&lt;='🌱 Configuração'!$F$50,177,"")</f>
        <v/>
      </c>
      <c r="C182" s="69" t="str">
        <f>IF(177&lt;='🌱 Configuração'!$F$50,'🌱 Configuração'!$B$51+176,"")</f>
        <v/>
      </c>
      <c r="D182" s="68" t="str">
        <f>IF(177&gt;'🌱 Configuração'!$F$50,"",IF('🌱 Configuração'!$B$51+176&lt;'🌱 Configuração'!$C$51,"🌱 Clone",IF('🌱 Configuração'!$B$51+176&lt;'🌱 Configuração'!$D$51,"🌿 Vega",IF('🌱 Configuração'!$B$51+176&lt;'🌱 Configuração'!$E$51,"🌸 Flora","🚿 Flush"))))</f>
        <v/>
      </c>
      <c r="E182" s="68"/>
      <c r="F182" s="68"/>
      <c r="G182" s="68"/>
      <c r="H182" s="68"/>
      <c r="I182" s="68"/>
      <c r="J182" s="68"/>
      <c r="K182" s="68"/>
      <c r="L182" t="str">
        <f>IF(177&gt;'🌱 Configuração'!$F$50,"",IF(F182="","—",IF(F182&lt;22,"⚠️ Temp baixa",IF(F182&gt;29,"⚠️ Temp ALTA",IF(H182="","✅ OK",IF(H182&lt;5.5,"⚠️ pH muito baixo",IF(H182&gt;6.9,"⚠️ pH alto",IF(I182&gt;2.5,"⚠️ CE alta","✅ OK"))))))))</f>
        <v/>
      </c>
    </row>
    <row r="183" spans="2:12" ht="18" customHeight="1" x14ac:dyDescent="0.3">
      <c r="B183" s="70" t="str">
        <f>IF(178&lt;='🌱 Configuração'!$F$50,178,"")</f>
        <v/>
      </c>
      <c r="C183" s="71" t="str">
        <f>IF(178&lt;='🌱 Configuração'!$F$50,'🌱 Configuração'!$B$51+177,"")</f>
        <v/>
      </c>
      <c r="D183" s="70" t="str">
        <f>IF(178&gt;'🌱 Configuração'!$F$50,"",IF('🌱 Configuração'!$B$51+177&lt;'🌱 Configuração'!$C$51,"🌱 Clone",IF('🌱 Configuração'!$B$51+177&lt;'🌱 Configuração'!$D$51,"🌿 Vega",IF('🌱 Configuração'!$B$51+177&lt;'🌱 Configuração'!$E$51,"🌸 Flora","🚿 Flush"))))</f>
        <v/>
      </c>
      <c r="E183" s="70"/>
      <c r="F183" s="70"/>
      <c r="G183" s="70"/>
      <c r="H183" s="70"/>
      <c r="I183" s="70"/>
      <c r="J183" s="70"/>
      <c r="K183" s="70"/>
      <c r="L183" t="str">
        <f>IF(178&gt;'🌱 Configuração'!$F$50,"",IF(F183="","—",IF(F183&lt;22,"⚠️ Temp baixa",IF(F183&gt;29,"⚠️ Temp ALTA",IF(H183="","✅ OK",IF(H183&lt;5.5,"⚠️ pH muito baixo",IF(H183&gt;6.9,"⚠️ pH alto",IF(I183&gt;2.5,"⚠️ CE alta","✅ OK"))))))))</f>
        <v/>
      </c>
    </row>
    <row r="184" spans="2:12" ht="18" customHeight="1" x14ac:dyDescent="0.3">
      <c r="B184" s="68" t="str">
        <f>IF(179&lt;='🌱 Configuração'!$F$50,179,"")</f>
        <v/>
      </c>
      <c r="C184" s="69" t="str">
        <f>IF(179&lt;='🌱 Configuração'!$F$50,'🌱 Configuração'!$B$51+178,"")</f>
        <v/>
      </c>
      <c r="D184" s="68" t="str">
        <f>IF(179&gt;'🌱 Configuração'!$F$50,"",IF('🌱 Configuração'!$B$51+178&lt;'🌱 Configuração'!$C$51,"🌱 Clone",IF('🌱 Configuração'!$B$51+178&lt;'🌱 Configuração'!$D$51,"🌿 Vega",IF('🌱 Configuração'!$B$51+178&lt;'🌱 Configuração'!$E$51,"🌸 Flora","🚿 Flush"))))</f>
        <v/>
      </c>
      <c r="E184" s="68"/>
      <c r="F184" s="68"/>
      <c r="G184" s="68"/>
      <c r="H184" s="68"/>
      <c r="I184" s="68"/>
      <c r="J184" s="68"/>
      <c r="K184" s="68"/>
      <c r="L184" t="str">
        <f>IF(179&gt;'🌱 Configuração'!$F$50,"",IF(F184="","—",IF(F184&lt;22,"⚠️ Temp baixa",IF(F184&gt;29,"⚠️ Temp ALTA",IF(H184="","✅ OK",IF(H184&lt;5.5,"⚠️ pH muito baixo",IF(H184&gt;6.9,"⚠️ pH alto",IF(I184&gt;2.5,"⚠️ CE alta","✅ OK"))))))))</f>
        <v/>
      </c>
    </row>
    <row r="185" spans="2:12" ht="18" customHeight="1" x14ac:dyDescent="0.3">
      <c r="B185" s="70" t="str">
        <f>IF(180&lt;='🌱 Configuração'!$F$50,180,"")</f>
        <v/>
      </c>
      <c r="C185" s="71" t="str">
        <f>IF(180&lt;='🌱 Configuração'!$F$50,'🌱 Configuração'!$B$51+179,"")</f>
        <v/>
      </c>
      <c r="D185" s="70" t="str">
        <f>IF(180&gt;'🌱 Configuração'!$F$50,"",IF('🌱 Configuração'!$B$51+179&lt;'🌱 Configuração'!$C$51,"🌱 Clone",IF('🌱 Configuração'!$B$51+179&lt;'🌱 Configuração'!$D$51,"🌿 Vega",IF('🌱 Configuração'!$B$51+179&lt;'🌱 Configuração'!$E$51,"🌸 Flora","🚿 Flush"))))</f>
        <v/>
      </c>
      <c r="E185" s="70"/>
      <c r="F185" s="70"/>
      <c r="G185" s="70"/>
      <c r="H185" s="70"/>
      <c r="I185" s="70"/>
      <c r="J185" s="70"/>
      <c r="K185" s="70"/>
      <c r="L185" t="str">
        <f>IF(180&gt;'🌱 Configuração'!$F$50,"",IF(F185="","—",IF(F185&lt;22,"⚠️ Temp baixa",IF(F185&gt;29,"⚠️ Temp ALTA",IF(H185="","✅ OK",IF(H185&lt;5.5,"⚠️ pH muito baixo",IF(H185&gt;6.9,"⚠️ pH alto",IF(I185&gt;2.5,"⚠️ CE alta","✅ OK"))))))))</f>
        <v/>
      </c>
    </row>
    <row r="186" spans="2:12" ht="18" customHeight="1" x14ac:dyDescent="0.3">
      <c r="B186" s="68" t="str">
        <f>IF(181&lt;='🌱 Configuração'!$F$50,181,"")</f>
        <v/>
      </c>
      <c r="C186" s="69" t="str">
        <f>IF(181&lt;='🌱 Configuração'!$F$50,'🌱 Configuração'!$B$51+180,"")</f>
        <v/>
      </c>
      <c r="D186" s="68" t="str">
        <f>IF(181&gt;'🌱 Configuração'!$F$50,"",IF('🌱 Configuração'!$B$51+180&lt;'🌱 Configuração'!$C$51,"🌱 Clone",IF('🌱 Configuração'!$B$51+180&lt;'🌱 Configuração'!$D$51,"🌿 Vega",IF('🌱 Configuração'!$B$51+180&lt;'🌱 Configuração'!$E$51,"🌸 Flora","🚿 Flush"))))</f>
        <v/>
      </c>
      <c r="E186" s="68"/>
      <c r="F186" s="68"/>
      <c r="G186" s="68"/>
      <c r="H186" s="68"/>
      <c r="I186" s="68"/>
      <c r="J186" s="68"/>
      <c r="K186" s="68"/>
      <c r="L186" t="str">
        <f>IF(181&gt;'🌱 Configuração'!$F$50,"",IF(F186="","—",IF(F186&lt;22,"⚠️ Temp baixa",IF(F186&gt;29,"⚠️ Temp ALTA",IF(H186="","✅ OK",IF(H186&lt;5.5,"⚠️ pH muito baixo",IF(H186&gt;6.9,"⚠️ pH alto",IF(I186&gt;2.5,"⚠️ CE alta","✅ OK"))))))))</f>
        <v/>
      </c>
    </row>
    <row r="187" spans="2:12" ht="18" customHeight="1" x14ac:dyDescent="0.3">
      <c r="B187" s="70" t="str">
        <f>IF(182&lt;='🌱 Configuração'!$F$50,182,"")</f>
        <v/>
      </c>
      <c r="C187" s="71" t="str">
        <f>IF(182&lt;='🌱 Configuração'!$F$50,'🌱 Configuração'!$B$51+181,"")</f>
        <v/>
      </c>
      <c r="D187" s="70" t="str">
        <f>IF(182&gt;'🌱 Configuração'!$F$50,"",IF('🌱 Configuração'!$B$51+181&lt;'🌱 Configuração'!$C$51,"🌱 Clone",IF('🌱 Configuração'!$B$51+181&lt;'🌱 Configuração'!$D$51,"🌿 Vega",IF('🌱 Configuração'!$B$51+181&lt;'🌱 Configuração'!$E$51,"🌸 Flora","🚿 Flush"))))</f>
        <v/>
      </c>
      <c r="E187" s="70"/>
      <c r="F187" s="70"/>
      <c r="G187" s="70"/>
      <c r="H187" s="70"/>
      <c r="I187" s="70"/>
      <c r="J187" s="70"/>
      <c r="K187" s="70"/>
      <c r="L187" t="str">
        <f>IF(182&gt;'🌱 Configuração'!$F$50,"",IF(F187="","—",IF(F187&lt;22,"⚠️ Temp baixa",IF(F187&gt;29,"⚠️ Temp ALTA",IF(H187="","✅ OK",IF(H187&lt;5.5,"⚠️ pH muito baixo",IF(H187&gt;6.9,"⚠️ pH alto",IF(I187&gt;2.5,"⚠️ CE alta","✅ OK"))))))))</f>
        <v/>
      </c>
    </row>
    <row r="188" spans="2:12" ht="18" customHeight="1" x14ac:dyDescent="0.3">
      <c r="B188" s="68" t="str">
        <f>IF(183&lt;='🌱 Configuração'!$F$50,183,"")</f>
        <v/>
      </c>
      <c r="C188" s="69" t="str">
        <f>IF(183&lt;='🌱 Configuração'!$F$50,'🌱 Configuração'!$B$51+182,"")</f>
        <v/>
      </c>
      <c r="D188" s="68" t="str">
        <f>IF(183&gt;'🌱 Configuração'!$F$50,"",IF('🌱 Configuração'!$B$51+182&lt;'🌱 Configuração'!$C$51,"🌱 Clone",IF('🌱 Configuração'!$B$51+182&lt;'🌱 Configuração'!$D$51,"🌿 Vega",IF('🌱 Configuração'!$B$51+182&lt;'🌱 Configuração'!$E$51,"🌸 Flora","🚿 Flush"))))</f>
        <v/>
      </c>
      <c r="E188" s="68"/>
      <c r="F188" s="68"/>
      <c r="G188" s="68"/>
      <c r="H188" s="68"/>
      <c r="I188" s="68"/>
      <c r="J188" s="68"/>
      <c r="K188" s="68"/>
      <c r="L188" t="str">
        <f>IF(183&gt;'🌱 Configuração'!$F$50,"",IF(F188="","—",IF(F188&lt;22,"⚠️ Temp baixa",IF(F188&gt;29,"⚠️ Temp ALTA",IF(H188="","✅ OK",IF(H188&lt;5.5,"⚠️ pH muito baixo",IF(H188&gt;6.9,"⚠️ pH alto",IF(I188&gt;2.5,"⚠️ CE alta","✅ OK"))))))))</f>
        <v/>
      </c>
    </row>
    <row r="189" spans="2:12" ht="18" customHeight="1" x14ac:dyDescent="0.3">
      <c r="B189" s="70" t="str">
        <f>IF(184&lt;='🌱 Configuração'!$F$50,184,"")</f>
        <v/>
      </c>
      <c r="C189" s="71" t="str">
        <f>IF(184&lt;='🌱 Configuração'!$F$50,'🌱 Configuração'!$B$51+183,"")</f>
        <v/>
      </c>
      <c r="D189" s="70" t="str">
        <f>IF(184&gt;'🌱 Configuração'!$F$50,"",IF('🌱 Configuração'!$B$51+183&lt;'🌱 Configuração'!$C$51,"🌱 Clone",IF('🌱 Configuração'!$B$51+183&lt;'🌱 Configuração'!$D$51,"🌿 Vega",IF('🌱 Configuração'!$B$51+183&lt;'🌱 Configuração'!$E$51,"🌸 Flora","🚿 Flush"))))</f>
        <v/>
      </c>
      <c r="E189" s="70"/>
      <c r="F189" s="70"/>
      <c r="G189" s="70"/>
      <c r="H189" s="70"/>
      <c r="I189" s="70"/>
      <c r="J189" s="70"/>
      <c r="K189" s="70"/>
      <c r="L189" t="str">
        <f>IF(184&gt;'🌱 Configuração'!$F$50,"",IF(F189="","—",IF(F189&lt;22,"⚠️ Temp baixa",IF(F189&gt;29,"⚠️ Temp ALTA",IF(H189="","✅ OK",IF(H189&lt;5.5,"⚠️ pH muito baixo",IF(H189&gt;6.9,"⚠️ pH alto",IF(I189&gt;2.5,"⚠️ CE alta","✅ OK"))))))))</f>
        <v/>
      </c>
    </row>
    <row r="190" spans="2:12" ht="18" customHeight="1" x14ac:dyDescent="0.3">
      <c r="B190" s="68" t="str">
        <f>IF(185&lt;='🌱 Configuração'!$F$50,185,"")</f>
        <v/>
      </c>
      <c r="C190" s="69" t="str">
        <f>IF(185&lt;='🌱 Configuração'!$F$50,'🌱 Configuração'!$B$51+184,"")</f>
        <v/>
      </c>
      <c r="D190" s="68" t="str">
        <f>IF(185&gt;'🌱 Configuração'!$F$50,"",IF('🌱 Configuração'!$B$51+184&lt;'🌱 Configuração'!$C$51,"🌱 Clone",IF('🌱 Configuração'!$B$51+184&lt;'🌱 Configuração'!$D$51,"🌿 Vega",IF('🌱 Configuração'!$B$51+184&lt;'🌱 Configuração'!$E$51,"🌸 Flora","🚿 Flush"))))</f>
        <v/>
      </c>
      <c r="E190" s="68"/>
      <c r="F190" s="68"/>
      <c r="G190" s="68"/>
      <c r="H190" s="68"/>
      <c r="I190" s="68"/>
      <c r="J190" s="68"/>
      <c r="K190" s="68"/>
      <c r="L190" t="str">
        <f>IF(185&gt;'🌱 Configuração'!$F$50,"",IF(F190="","—",IF(F190&lt;22,"⚠️ Temp baixa",IF(F190&gt;29,"⚠️ Temp ALTA",IF(H190="","✅ OK",IF(H190&lt;5.5,"⚠️ pH muito baixo",IF(H190&gt;6.9,"⚠️ pH alto",IF(I190&gt;2.5,"⚠️ CE alta","✅ OK"))))))))</f>
        <v/>
      </c>
    </row>
    <row r="191" spans="2:12" ht="18" customHeight="1" x14ac:dyDescent="0.3">
      <c r="B191" s="70" t="str">
        <f>IF(186&lt;='🌱 Configuração'!$F$50,186,"")</f>
        <v/>
      </c>
      <c r="C191" s="71" t="str">
        <f>IF(186&lt;='🌱 Configuração'!$F$50,'🌱 Configuração'!$B$51+185,"")</f>
        <v/>
      </c>
      <c r="D191" s="70" t="str">
        <f>IF(186&gt;'🌱 Configuração'!$F$50,"",IF('🌱 Configuração'!$B$51+185&lt;'🌱 Configuração'!$C$51,"🌱 Clone",IF('🌱 Configuração'!$B$51+185&lt;'🌱 Configuração'!$D$51,"🌿 Vega",IF('🌱 Configuração'!$B$51+185&lt;'🌱 Configuração'!$E$51,"🌸 Flora","🚿 Flush"))))</f>
        <v/>
      </c>
      <c r="E191" s="70"/>
      <c r="F191" s="70"/>
      <c r="G191" s="70"/>
      <c r="H191" s="70"/>
      <c r="I191" s="70"/>
      <c r="J191" s="70"/>
      <c r="K191" s="70"/>
      <c r="L191" t="str">
        <f>IF(186&gt;'🌱 Configuração'!$F$50,"",IF(F191="","—",IF(F191&lt;22,"⚠️ Temp baixa",IF(F191&gt;29,"⚠️ Temp ALTA",IF(H191="","✅ OK",IF(H191&lt;5.5,"⚠️ pH muito baixo",IF(H191&gt;6.9,"⚠️ pH alto",IF(I191&gt;2.5,"⚠️ CE alta","✅ OK"))))))))</f>
        <v/>
      </c>
    </row>
    <row r="192" spans="2:12" ht="18" customHeight="1" x14ac:dyDescent="0.3">
      <c r="B192" s="68" t="str">
        <f>IF(187&lt;='🌱 Configuração'!$F$50,187,"")</f>
        <v/>
      </c>
      <c r="C192" s="69" t="str">
        <f>IF(187&lt;='🌱 Configuração'!$F$50,'🌱 Configuração'!$B$51+186,"")</f>
        <v/>
      </c>
      <c r="D192" s="68" t="str">
        <f>IF(187&gt;'🌱 Configuração'!$F$50,"",IF('🌱 Configuração'!$B$51+186&lt;'🌱 Configuração'!$C$51,"🌱 Clone",IF('🌱 Configuração'!$B$51+186&lt;'🌱 Configuração'!$D$51,"🌿 Vega",IF('🌱 Configuração'!$B$51+186&lt;'🌱 Configuração'!$E$51,"🌸 Flora","🚿 Flush"))))</f>
        <v/>
      </c>
      <c r="E192" s="68"/>
      <c r="F192" s="68"/>
      <c r="G192" s="68"/>
      <c r="H192" s="68"/>
      <c r="I192" s="68"/>
      <c r="J192" s="68"/>
      <c r="K192" s="68"/>
      <c r="L192" t="str">
        <f>IF(187&gt;'🌱 Configuração'!$F$50,"",IF(F192="","—",IF(F192&lt;22,"⚠️ Temp baixa",IF(F192&gt;29,"⚠️ Temp ALTA",IF(H192="","✅ OK",IF(H192&lt;5.5,"⚠️ pH muito baixo",IF(H192&gt;6.9,"⚠️ pH alto",IF(I192&gt;2.5,"⚠️ CE alta","✅ OK"))))))))</f>
        <v/>
      </c>
    </row>
    <row r="193" spans="2:12" ht="18" customHeight="1" x14ac:dyDescent="0.3">
      <c r="B193" s="70" t="str">
        <f>IF(188&lt;='🌱 Configuração'!$F$50,188,"")</f>
        <v/>
      </c>
      <c r="C193" s="71" t="str">
        <f>IF(188&lt;='🌱 Configuração'!$F$50,'🌱 Configuração'!$B$51+187,"")</f>
        <v/>
      </c>
      <c r="D193" s="70" t="str">
        <f>IF(188&gt;'🌱 Configuração'!$F$50,"",IF('🌱 Configuração'!$B$51+187&lt;'🌱 Configuração'!$C$51,"🌱 Clone",IF('🌱 Configuração'!$B$51+187&lt;'🌱 Configuração'!$D$51,"🌿 Vega",IF('🌱 Configuração'!$B$51+187&lt;'🌱 Configuração'!$E$51,"🌸 Flora","🚿 Flush"))))</f>
        <v/>
      </c>
      <c r="E193" s="70"/>
      <c r="F193" s="70"/>
      <c r="G193" s="70"/>
      <c r="H193" s="70"/>
      <c r="I193" s="70"/>
      <c r="J193" s="70"/>
      <c r="K193" s="70"/>
      <c r="L193" t="str">
        <f>IF(188&gt;'🌱 Configuração'!$F$50,"",IF(F193="","—",IF(F193&lt;22,"⚠️ Temp baixa",IF(F193&gt;29,"⚠️ Temp ALTA",IF(H193="","✅ OK",IF(H193&lt;5.5,"⚠️ pH muito baixo",IF(H193&gt;6.9,"⚠️ pH alto",IF(I193&gt;2.5,"⚠️ CE alta","✅ OK"))))))))</f>
        <v/>
      </c>
    </row>
    <row r="194" spans="2:12" ht="18" customHeight="1" x14ac:dyDescent="0.3">
      <c r="B194" s="68" t="str">
        <f>IF(189&lt;='🌱 Configuração'!$F$50,189,"")</f>
        <v/>
      </c>
      <c r="C194" s="69" t="str">
        <f>IF(189&lt;='🌱 Configuração'!$F$50,'🌱 Configuração'!$B$51+188,"")</f>
        <v/>
      </c>
      <c r="D194" s="68" t="str">
        <f>IF(189&gt;'🌱 Configuração'!$F$50,"",IF('🌱 Configuração'!$B$51+188&lt;'🌱 Configuração'!$C$51,"🌱 Clone",IF('🌱 Configuração'!$B$51+188&lt;'🌱 Configuração'!$D$51,"🌿 Vega",IF('🌱 Configuração'!$B$51+188&lt;'🌱 Configuração'!$E$51,"🌸 Flora","🚿 Flush"))))</f>
        <v/>
      </c>
      <c r="E194" s="68"/>
      <c r="F194" s="68"/>
      <c r="G194" s="68"/>
      <c r="H194" s="68"/>
      <c r="I194" s="68"/>
      <c r="J194" s="68"/>
      <c r="K194" s="68"/>
      <c r="L194" t="str">
        <f>IF(189&gt;'🌱 Configuração'!$F$50,"",IF(F194="","—",IF(F194&lt;22,"⚠️ Temp baixa",IF(F194&gt;29,"⚠️ Temp ALTA",IF(H194="","✅ OK",IF(H194&lt;5.5,"⚠️ pH muito baixo",IF(H194&gt;6.9,"⚠️ pH alto",IF(I194&gt;2.5,"⚠️ CE alta","✅ OK"))))))))</f>
        <v/>
      </c>
    </row>
    <row r="195" spans="2:12" ht="18" customHeight="1" x14ac:dyDescent="0.3">
      <c r="B195" s="70" t="str">
        <f>IF(190&lt;='🌱 Configuração'!$F$50,190,"")</f>
        <v/>
      </c>
      <c r="C195" s="71" t="str">
        <f>IF(190&lt;='🌱 Configuração'!$F$50,'🌱 Configuração'!$B$51+189,"")</f>
        <v/>
      </c>
      <c r="D195" s="70" t="str">
        <f>IF(190&gt;'🌱 Configuração'!$F$50,"",IF('🌱 Configuração'!$B$51+189&lt;'🌱 Configuração'!$C$51,"🌱 Clone",IF('🌱 Configuração'!$B$51+189&lt;'🌱 Configuração'!$D$51,"🌿 Vega",IF('🌱 Configuração'!$B$51+189&lt;'🌱 Configuração'!$E$51,"🌸 Flora","🚿 Flush"))))</f>
        <v/>
      </c>
      <c r="E195" s="70"/>
      <c r="F195" s="70"/>
      <c r="G195" s="70"/>
      <c r="H195" s="70"/>
      <c r="I195" s="70"/>
      <c r="J195" s="70"/>
      <c r="K195" s="70"/>
      <c r="L195" t="str">
        <f>IF(190&gt;'🌱 Configuração'!$F$50,"",IF(F195="","—",IF(F195&lt;22,"⚠️ Temp baixa",IF(F195&gt;29,"⚠️ Temp ALTA",IF(H195="","✅ OK",IF(H195&lt;5.5,"⚠️ pH muito baixo",IF(H195&gt;6.9,"⚠️ pH alto",IF(I195&gt;2.5,"⚠️ CE alta","✅ OK"))))))))</f>
        <v/>
      </c>
    </row>
    <row r="196" spans="2:12" ht="18" customHeight="1" x14ac:dyDescent="0.3">
      <c r="B196" s="68" t="str">
        <f>IF(191&lt;='🌱 Configuração'!$F$50,191,"")</f>
        <v/>
      </c>
      <c r="C196" s="69" t="str">
        <f>IF(191&lt;='🌱 Configuração'!$F$50,'🌱 Configuração'!$B$51+190,"")</f>
        <v/>
      </c>
      <c r="D196" s="68" t="str">
        <f>IF(191&gt;'🌱 Configuração'!$F$50,"",IF('🌱 Configuração'!$B$51+190&lt;'🌱 Configuração'!$C$51,"🌱 Clone",IF('🌱 Configuração'!$B$51+190&lt;'🌱 Configuração'!$D$51,"🌿 Vega",IF('🌱 Configuração'!$B$51+190&lt;'🌱 Configuração'!$E$51,"🌸 Flora","🚿 Flush"))))</f>
        <v/>
      </c>
      <c r="E196" s="68"/>
      <c r="F196" s="68"/>
      <c r="G196" s="68"/>
      <c r="H196" s="68"/>
      <c r="I196" s="68"/>
      <c r="J196" s="68"/>
      <c r="K196" s="68"/>
      <c r="L196" t="str">
        <f>IF(191&gt;'🌱 Configuração'!$F$50,"",IF(F196="","—",IF(F196&lt;22,"⚠️ Temp baixa",IF(F196&gt;29,"⚠️ Temp ALTA",IF(H196="","✅ OK",IF(H196&lt;5.5,"⚠️ pH muito baixo",IF(H196&gt;6.9,"⚠️ pH alto",IF(I196&gt;2.5,"⚠️ CE alta","✅ OK"))))))))</f>
        <v/>
      </c>
    </row>
    <row r="197" spans="2:12" ht="18" customHeight="1" x14ac:dyDescent="0.3">
      <c r="B197" s="70" t="str">
        <f>IF(192&lt;='🌱 Configuração'!$F$50,192,"")</f>
        <v/>
      </c>
      <c r="C197" s="71" t="str">
        <f>IF(192&lt;='🌱 Configuração'!$F$50,'🌱 Configuração'!$B$51+191,"")</f>
        <v/>
      </c>
      <c r="D197" s="70" t="str">
        <f>IF(192&gt;'🌱 Configuração'!$F$50,"",IF('🌱 Configuração'!$B$51+191&lt;'🌱 Configuração'!$C$51,"🌱 Clone",IF('🌱 Configuração'!$B$51+191&lt;'🌱 Configuração'!$D$51,"🌿 Vega",IF('🌱 Configuração'!$B$51+191&lt;'🌱 Configuração'!$E$51,"🌸 Flora","🚿 Flush"))))</f>
        <v/>
      </c>
      <c r="E197" s="70"/>
      <c r="F197" s="70"/>
      <c r="G197" s="70"/>
      <c r="H197" s="70"/>
      <c r="I197" s="70"/>
      <c r="J197" s="70"/>
      <c r="K197" s="70"/>
      <c r="L197" t="str">
        <f>IF(192&gt;'🌱 Configuração'!$F$50,"",IF(F197="","—",IF(F197&lt;22,"⚠️ Temp baixa",IF(F197&gt;29,"⚠️ Temp ALTA",IF(H197="","✅ OK",IF(H197&lt;5.5,"⚠️ pH muito baixo",IF(H197&gt;6.9,"⚠️ pH alto",IF(I197&gt;2.5,"⚠️ CE alta","✅ OK"))))))))</f>
        <v/>
      </c>
    </row>
    <row r="198" spans="2:12" ht="18" customHeight="1" x14ac:dyDescent="0.3">
      <c r="B198" s="68" t="str">
        <f>IF(193&lt;='🌱 Configuração'!$F$50,193,"")</f>
        <v/>
      </c>
      <c r="C198" s="69" t="str">
        <f>IF(193&lt;='🌱 Configuração'!$F$50,'🌱 Configuração'!$B$51+192,"")</f>
        <v/>
      </c>
      <c r="D198" s="68" t="str">
        <f>IF(193&gt;'🌱 Configuração'!$F$50,"",IF('🌱 Configuração'!$B$51+192&lt;'🌱 Configuração'!$C$51,"🌱 Clone",IF('🌱 Configuração'!$B$51+192&lt;'🌱 Configuração'!$D$51,"🌿 Vega",IF('🌱 Configuração'!$B$51+192&lt;'🌱 Configuração'!$E$51,"🌸 Flora","🚿 Flush"))))</f>
        <v/>
      </c>
      <c r="E198" s="68"/>
      <c r="F198" s="68"/>
      <c r="G198" s="68"/>
      <c r="H198" s="68"/>
      <c r="I198" s="68"/>
      <c r="J198" s="68"/>
      <c r="K198" s="68"/>
      <c r="L198" t="str">
        <f>IF(193&gt;'🌱 Configuração'!$F$50,"",IF(F198="","—",IF(F198&lt;22,"⚠️ Temp baixa",IF(F198&gt;29,"⚠️ Temp ALTA",IF(H198="","✅ OK",IF(H198&lt;5.5,"⚠️ pH muito baixo",IF(H198&gt;6.9,"⚠️ pH alto",IF(I198&gt;2.5,"⚠️ CE alta","✅ OK"))))))))</f>
        <v/>
      </c>
    </row>
    <row r="199" spans="2:12" ht="18" customHeight="1" x14ac:dyDescent="0.3">
      <c r="B199" s="70" t="str">
        <f>IF(194&lt;='🌱 Configuração'!$F$50,194,"")</f>
        <v/>
      </c>
      <c r="C199" s="71" t="str">
        <f>IF(194&lt;='🌱 Configuração'!$F$50,'🌱 Configuração'!$B$51+193,"")</f>
        <v/>
      </c>
      <c r="D199" s="70" t="str">
        <f>IF(194&gt;'🌱 Configuração'!$F$50,"",IF('🌱 Configuração'!$B$51+193&lt;'🌱 Configuração'!$C$51,"🌱 Clone",IF('🌱 Configuração'!$B$51+193&lt;'🌱 Configuração'!$D$51,"🌿 Vega",IF('🌱 Configuração'!$B$51+193&lt;'🌱 Configuração'!$E$51,"🌸 Flora","🚿 Flush"))))</f>
        <v/>
      </c>
      <c r="E199" s="70"/>
      <c r="F199" s="70"/>
      <c r="G199" s="70"/>
      <c r="H199" s="70"/>
      <c r="I199" s="70"/>
      <c r="J199" s="70"/>
      <c r="K199" s="70"/>
      <c r="L199" t="str">
        <f>IF(194&gt;'🌱 Configuração'!$F$50,"",IF(F199="","—",IF(F199&lt;22,"⚠️ Temp baixa",IF(F199&gt;29,"⚠️ Temp ALTA",IF(H199="","✅ OK",IF(H199&lt;5.5,"⚠️ pH muito baixo",IF(H199&gt;6.9,"⚠️ pH alto",IF(I199&gt;2.5,"⚠️ CE alta","✅ OK"))))))))</f>
        <v/>
      </c>
    </row>
    <row r="200" spans="2:12" ht="18" customHeight="1" x14ac:dyDescent="0.3">
      <c r="B200" s="68" t="str">
        <f>IF(195&lt;='🌱 Configuração'!$F$50,195,"")</f>
        <v/>
      </c>
      <c r="C200" s="69" t="str">
        <f>IF(195&lt;='🌱 Configuração'!$F$50,'🌱 Configuração'!$B$51+194,"")</f>
        <v/>
      </c>
      <c r="D200" s="68" t="str">
        <f>IF(195&gt;'🌱 Configuração'!$F$50,"",IF('🌱 Configuração'!$B$51+194&lt;'🌱 Configuração'!$C$51,"🌱 Clone",IF('🌱 Configuração'!$B$51+194&lt;'🌱 Configuração'!$D$51,"🌿 Vega",IF('🌱 Configuração'!$B$51+194&lt;'🌱 Configuração'!$E$51,"🌸 Flora","🚿 Flush"))))</f>
        <v/>
      </c>
      <c r="E200" s="68"/>
      <c r="F200" s="68"/>
      <c r="G200" s="68"/>
      <c r="H200" s="68"/>
      <c r="I200" s="68"/>
      <c r="J200" s="68"/>
      <c r="K200" s="68"/>
      <c r="L200" t="str">
        <f>IF(195&gt;'🌱 Configuração'!$F$50,"",IF(F200="","—",IF(F200&lt;22,"⚠️ Temp baixa",IF(F200&gt;29,"⚠️ Temp ALTA",IF(H200="","✅ OK",IF(H200&lt;5.5,"⚠️ pH muito baixo",IF(H200&gt;6.9,"⚠️ pH alto",IF(I200&gt;2.5,"⚠️ CE alta","✅ OK"))))))))</f>
        <v/>
      </c>
    </row>
    <row r="201" spans="2:12" ht="18" customHeight="1" x14ac:dyDescent="0.3">
      <c r="B201" s="70" t="str">
        <f>IF(196&lt;='🌱 Configuração'!$F$50,196,"")</f>
        <v/>
      </c>
      <c r="C201" s="71" t="str">
        <f>IF(196&lt;='🌱 Configuração'!$F$50,'🌱 Configuração'!$B$51+195,"")</f>
        <v/>
      </c>
      <c r="D201" s="70" t="str">
        <f>IF(196&gt;'🌱 Configuração'!$F$50,"",IF('🌱 Configuração'!$B$51+195&lt;'🌱 Configuração'!$C$51,"🌱 Clone",IF('🌱 Configuração'!$B$51+195&lt;'🌱 Configuração'!$D$51,"🌿 Vega",IF('🌱 Configuração'!$B$51+195&lt;'🌱 Configuração'!$E$51,"🌸 Flora","🚿 Flush"))))</f>
        <v/>
      </c>
      <c r="E201" s="70"/>
      <c r="F201" s="70"/>
      <c r="G201" s="70"/>
      <c r="H201" s="70"/>
      <c r="I201" s="70"/>
      <c r="J201" s="70"/>
      <c r="K201" s="70"/>
      <c r="L201" t="str">
        <f>IF(196&gt;'🌱 Configuração'!$F$50,"",IF(F201="","—",IF(F201&lt;22,"⚠️ Temp baixa",IF(F201&gt;29,"⚠️ Temp ALTA",IF(H201="","✅ OK",IF(H201&lt;5.5,"⚠️ pH muito baixo",IF(H201&gt;6.9,"⚠️ pH alto",IF(I201&gt;2.5,"⚠️ CE alta","✅ OK"))))))))</f>
        <v/>
      </c>
    </row>
    <row r="202" spans="2:12" ht="18" customHeight="1" x14ac:dyDescent="0.3">
      <c r="B202" s="68" t="str">
        <f>IF(197&lt;='🌱 Configuração'!$F$50,197,"")</f>
        <v/>
      </c>
      <c r="C202" s="69" t="str">
        <f>IF(197&lt;='🌱 Configuração'!$F$50,'🌱 Configuração'!$B$51+196,"")</f>
        <v/>
      </c>
      <c r="D202" s="68" t="str">
        <f>IF(197&gt;'🌱 Configuração'!$F$50,"",IF('🌱 Configuração'!$B$51+196&lt;'🌱 Configuração'!$C$51,"🌱 Clone",IF('🌱 Configuração'!$B$51+196&lt;'🌱 Configuração'!$D$51,"🌿 Vega",IF('🌱 Configuração'!$B$51+196&lt;'🌱 Configuração'!$E$51,"🌸 Flora","🚿 Flush"))))</f>
        <v/>
      </c>
      <c r="E202" s="68"/>
      <c r="F202" s="68"/>
      <c r="G202" s="68"/>
      <c r="H202" s="68"/>
      <c r="I202" s="68"/>
      <c r="J202" s="68"/>
      <c r="K202" s="68"/>
      <c r="L202" t="str">
        <f>IF(197&gt;'🌱 Configuração'!$F$50,"",IF(F202="","—",IF(F202&lt;22,"⚠️ Temp baixa",IF(F202&gt;29,"⚠️ Temp ALTA",IF(H202="","✅ OK",IF(H202&lt;5.5,"⚠️ pH muito baixo",IF(H202&gt;6.9,"⚠️ pH alto",IF(I202&gt;2.5,"⚠️ CE alta","✅ OK"))))))))</f>
        <v/>
      </c>
    </row>
    <row r="203" spans="2:12" ht="18" customHeight="1" x14ac:dyDescent="0.3">
      <c r="B203" s="70" t="str">
        <f>IF(198&lt;='🌱 Configuração'!$F$50,198,"")</f>
        <v/>
      </c>
      <c r="C203" s="71" t="str">
        <f>IF(198&lt;='🌱 Configuração'!$F$50,'🌱 Configuração'!$B$51+197,"")</f>
        <v/>
      </c>
      <c r="D203" s="70" t="str">
        <f>IF(198&gt;'🌱 Configuração'!$F$50,"",IF('🌱 Configuração'!$B$51+197&lt;'🌱 Configuração'!$C$51,"🌱 Clone",IF('🌱 Configuração'!$B$51+197&lt;'🌱 Configuração'!$D$51,"🌿 Vega",IF('🌱 Configuração'!$B$51+197&lt;'🌱 Configuração'!$E$51,"🌸 Flora","🚿 Flush"))))</f>
        <v/>
      </c>
      <c r="E203" s="70"/>
      <c r="F203" s="70"/>
      <c r="G203" s="70"/>
      <c r="H203" s="70"/>
      <c r="I203" s="70"/>
      <c r="J203" s="70"/>
      <c r="K203" s="70"/>
      <c r="L203" t="str">
        <f>IF(198&gt;'🌱 Configuração'!$F$50,"",IF(F203="","—",IF(F203&lt;22,"⚠️ Temp baixa",IF(F203&gt;29,"⚠️ Temp ALTA",IF(H203="","✅ OK",IF(H203&lt;5.5,"⚠️ pH muito baixo",IF(H203&gt;6.9,"⚠️ pH alto",IF(I203&gt;2.5,"⚠️ CE alta","✅ OK"))))))))</f>
        <v/>
      </c>
    </row>
    <row r="204" spans="2:12" ht="18" customHeight="1" x14ac:dyDescent="0.3">
      <c r="B204" s="68" t="str">
        <f>IF(199&lt;='🌱 Configuração'!$F$50,199,"")</f>
        <v/>
      </c>
      <c r="C204" s="69" t="str">
        <f>IF(199&lt;='🌱 Configuração'!$F$50,'🌱 Configuração'!$B$51+198,"")</f>
        <v/>
      </c>
      <c r="D204" s="68" t="str">
        <f>IF(199&gt;'🌱 Configuração'!$F$50,"",IF('🌱 Configuração'!$B$51+198&lt;'🌱 Configuração'!$C$51,"🌱 Clone",IF('🌱 Configuração'!$B$51+198&lt;'🌱 Configuração'!$D$51,"🌿 Vega",IF('🌱 Configuração'!$B$51+198&lt;'🌱 Configuração'!$E$51,"🌸 Flora","🚿 Flush"))))</f>
        <v/>
      </c>
      <c r="E204" s="68"/>
      <c r="F204" s="68"/>
      <c r="G204" s="68"/>
      <c r="H204" s="68"/>
      <c r="I204" s="68"/>
      <c r="J204" s="68"/>
      <c r="K204" s="68"/>
      <c r="L204" t="str">
        <f>IF(199&gt;'🌱 Configuração'!$F$50,"",IF(F204="","—",IF(F204&lt;22,"⚠️ Temp baixa",IF(F204&gt;29,"⚠️ Temp ALTA",IF(H204="","✅ OK",IF(H204&lt;5.5,"⚠️ pH muito baixo",IF(H204&gt;6.9,"⚠️ pH alto",IF(I204&gt;2.5,"⚠️ CE alta","✅ OK"))))))))</f>
        <v/>
      </c>
    </row>
    <row r="205" spans="2:12" ht="18" customHeight="1" x14ac:dyDescent="0.3">
      <c r="B205" s="70" t="str">
        <f>IF(200&lt;='🌱 Configuração'!$F$50,200,"")</f>
        <v/>
      </c>
      <c r="C205" s="71" t="str">
        <f>IF(200&lt;='🌱 Configuração'!$F$50,'🌱 Configuração'!$B$51+199,"")</f>
        <v/>
      </c>
      <c r="D205" s="70" t="str">
        <f>IF(200&gt;'🌱 Configuração'!$F$50,"",IF('🌱 Configuração'!$B$51+199&lt;'🌱 Configuração'!$C$51,"🌱 Clone",IF('🌱 Configuração'!$B$51+199&lt;'🌱 Configuração'!$D$51,"🌿 Vega",IF('🌱 Configuração'!$B$51+199&lt;'🌱 Configuração'!$E$51,"🌸 Flora","🚿 Flush"))))</f>
        <v/>
      </c>
      <c r="E205" s="70"/>
      <c r="F205" s="70"/>
      <c r="G205" s="70"/>
      <c r="H205" s="70"/>
      <c r="I205" s="70"/>
      <c r="J205" s="70"/>
      <c r="K205" s="70"/>
      <c r="L205" t="str">
        <f>IF(200&gt;'🌱 Configuração'!$F$50,"",IF(F205="","—",IF(F205&lt;22,"⚠️ Temp baixa",IF(F205&gt;29,"⚠️ Temp ALTA",IF(H205="","✅ OK",IF(H205&lt;5.5,"⚠️ pH muito baixo",IF(H205&gt;6.9,"⚠️ pH alto",IF(I205&gt;2.5,"⚠️ CE alta","✅ OK"))))))))</f>
        <v/>
      </c>
    </row>
  </sheetData>
  <mergeCells count="2">
    <mergeCell ref="B2:K2"/>
    <mergeCell ref="B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166"/>
  </sheetPr>
  <dimension ref="B2:C56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3" width="30" customWidth="1"/>
    <col min="4" max="4" width="3" customWidth="1"/>
  </cols>
  <sheetData>
    <row r="2" spans="2:3" ht="45" customHeight="1" x14ac:dyDescent="0.3">
      <c r="B2" s="87" t="s">
        <v>276</v>
      </c>
      <c r="C2" s="87"/>
    </row>
    <row r="4" spans="2:3" ht="27.75" customHeight="1" x14ac:dyDescent="0.3">
      <c r="B4" s="104" t="s">
        <v>277</v>
      </c>
      <c r="C4" s="104"/>
    </row>
    <row r="5" spans="2:3" ht="21.75" customHeight="1" x14ac:dyDescent="0.3">
      <c r="B5" s="72" t="s">
        <v>278</v>
      </c>
      <c r="C5" s="72" t="s">
        <v>279</v>
      </c>
    </row>
    <row r="6" spans="2:3" ht="19.5" customHeight="1" x14ac:dyDescent="0.3">
      <c r="B6" s="73" t="s">
        <v>280</v>
      </c>
      <c r="C6" s="74" t="s">
        <v>281</v>
      </c>
    </row>
    <row r="7" spans="2:3" ht="19.5" customHeight="1" x14ac:dyDescent="0.3">
      <c r="B7" s="75" t="s">
        <v>282</v>
      </c>
      <c r="C7" s="76" t="s">
        <v>283</v>
      </c>
    </row>
    <row r="8" spans="2:3" ht="19.5" customHeight="1" x14ac:dyDescent="0.3">
      <c r="B8" s="73" t="s">
        <v>284</v>
      </c>
      <c r="C8" s="74" t="s">
        <v>285</v>
      </c>
    </row>
    <row r="9" spans="2:3" ht="19.5" customHeight="1" x14ac:dyDescent="0.3">
      <c r="B9" s="75" t="s">
        <v>206</v>
      </c>
      <c r="C9" s="76" t="s">
        <v>286</v>
      </c>
    </row>
    <row r="11" spans="2:3" ht="27.75" customHeight="1" x14ac:dyDescent="0.3">
      <c r="B11" s="104" t="s">
        <v>287</v>
      </c>
      <c r="C11" s="104"/>
    </row>
    <row r="12" spans="2:3" ht="21.75" customHeight="1" x14ac:dyDescent="0.3">
      <c r="B12" s="72" t="s">
        <v>278</v>
      </c>
      <c r="C12" s="72" t="s">
        <v>279</v>
      </c>
    </row>
    <row r="13" spans="2:3" ht="19.5" customHeight="1" x14ac:dyDescent="0.3">
      <c r="B13" s="73" t="s">
        <v>206</v>
      </c>
      <c r="C13" s="74" t="s">
        <v>288</v>
      </c>
    </row>
    <row r="14" spans="2:3" ht="19.5" customHeight="1" x14ac:dyDescent="0.3">
      <c r="B14" s="75" t="s">
        <v>215</v>
      </c>
      <c r="C14" s="76" t="s">
        <v>289</v>
      </c>
    </row>
    <row r="15" spans="2:3" ht="19.5" customHeight="1" x14ac:dyDescent="0.3">
      <c r="B15" s="73" t="s">
        <v>290</v>
      </c>
      <c r="C15" s="74" t="s">
        <v>291</v>
      </c>
    </row>
    <row r="16" spans="2:3" ht="19.5" customHeight="1" x14ac:dyDescent="0.3">
      <c r="B16" s="75" t="s">
        <v>292</v>
      </c>
      <c r="C16" s="76" t="s">
        <v>293</v>
      </c>
    </row>
    <row r="17" spans="2:3" ht="19.5" customHeight="1" x14ac:dyDescent="0.3">
      <c r="B17" s="73" t="s">
        <v>294</v>
      </c>
      <c r="C17" s="74" t="s">
        <v>295</v>
      </c>
    </row>
    <row r="19" spans="2:3" ht="27.75" customHeight="1" x14ac:dyDescent="0.3">
      <c r="B19" s="104" t="s">
        <v>296</v>
      </c>
      <c r="C19" s="104"/>
    </row>
    <row r="20" spans="2:3" ht="21.75" customHeight="1" x14ac:dyDescent="0.3">
      <c r="B20" s="72" t="s">
        <v>278</v>
      </c>
      <c r="C20" s="72" t="s">
        <v>279</v>
      </c>
    </row>
    <row r="21" spans="2:3" ht="19.5" customHeight="1" x14ac:dyDescent="0.3">
      <c r="B21" s="73" t="s">
        <v>297</v>
      </c>
      <c r="C21" s="74" t="s">
        <v>298</v>
      </c>
    </row>
    <row r="22" spans="2:3" ht="19.5" customHeight="1" x14ac:dyDescent="0.3">
      <c r="B22" s="75" t="s">
        <v>299</v>
      </c>
      <c r="C22" s="76" t="s">
        <v>300</v>
      </c>
    </row>
    <row r="23" spans="2:3" ht="19.5" customHeight="1" x14ac:dyDescent="0.3">
      <c r="B23" s="73" t="s">
        <v>301</v>
      </c>
      <c r="C23" s="74" t="s">
        <v>302</v>
      </c>
    </row>
    <row r="24" spans="2:3" ht="19.5" customHeight="1" x14ac:dyDescent="0.3">
      <c r="B24" s="75" t="s">
        <v>303</v>
      </c>
      <c r="C24" s="76" t="s">
        <v>304</v>
      </c>
    </row>
    <row r="26" spans="2:3" ht="27.75" customHeight="1" x14ac:dyDescent="0.3">
      <c r="B26" s="104" t="s">
        <v>305</v>
      </c>
      <c r="C26" s="104"/>
    </row>
    <row r="27" spans="2:3" ht="21.75" customHeight="1" x14ac:dyDescent="0.3">
      <c r="B27" s="72" t="s">
        <v>278</v>
      </c>
      <c r="C27" s="72" t="s">
        <v>279</v>
      </c>
    </row>
    <row r="28" spans="2:3" ht="19.5" customHeight="1" x14ac:dyDescent="0.3">
      <c r="B28" s="73" t="s">
        <v>206</v>
      </c>
      <c r="C28" s="74" t="s">
        <v>306</v>
      </c>
    </row>
    <row r="29" spans="2:3" ht="19.5" customHeight="1" x14ac:dyDescent="0.3">
      <c r="B29" s="75" t="s">
        <v>307</v>
      </c>
      <c r="C29" s="76" t="s">
        <v>308</v>
      </c>
    </row>
    <row r="30" spans="2:3" ht="19.5" customHeight="1" x14ac:dyDescent="0.3">
      <c r="B30" s="73" t="s">
        <v>309</v>
      </c>
      <c r="C30" s="74" t="s">
        <v>310</v>
      </c>
    </row>
    <row r="31" spans="2:3" ht="19.5" customHeight="1" x14ac:dyDescent="0.3">
      <c r="B31" s="75" t="s">
        <v>311</v>
      </c>
      <c r="C31" s="76" t="s">
        <v>312</v>
      </c>
    </row>
    <row r="32" spans="2:3" ht="19.5" customHeight="1" x14ac:dyDescent="0.3">
      <c r="B32" s="73" t="s">
        <v>313</v>
      </c>
      <c r="C32" s="74" t="s">
        <v>314</v>
      </c>
    </row>
    <row r="33" spans="2:3" ht="19.5" customHeight="1" x14ac:dyDescent="0.3">
      <c r="B33" s="75" t="s">
        <v>245</v>
      </c>
      <c r="C33" s="76" t="s">
        <v>315</v>
      </c>
    </row>
    <row r="35" spans="2:3" ht="27.75" customHeight="1" x14ac:dyDescent="0.3">
      <c r="B35" s="104" t="s">
        <v>316</v>
      </c>
      <c r="C35" s="104"/>
    </row>
    <row r="36" spans="2:3" ht="21.75" customHeight="1" x14ac:dyDescent="0.3">
      <c r="B36" s="72" t="s">
        <v>278</v>
      </c>
      <c r="C36" s="72" t="s">
        <v>279</v>
      </c>
    </row>
    <row r="37" spans="2:3" ht="19.5" customHeight="1" x14ac:dyDescent="0.3">
      <c r="B37" s="73" t="s">
        <v>317</v>
      </c>
      <c r="C37" s="74" t="s">
        <v>318</v>
      </c>
    </row>
    <row r="38" spans="2:3" ht="19.5" customHeight="1" x14ac:dyDescent="0.3">
      <c r="B38" s="75" t="s">
        <v>319</v>
      </c>
      <c r="C38" s="76" t="s">
        <v>320</v>
      </c>
    </row>
    <row r="39" spans="2:3" ht="19.5" customHeight="1" x14ac:dyDescent="0.3">
      <c r="B39" s="73" t="s">
        <v>321</v>
      </c>
      <c r="C39" s="74" t="s">
        <v>322</v>
      </c>
    </row>
    <row r="40" spans="2:3" ht="19.5" customHeight="1" x14ac:dyDescent="0.3">
      <c r="B40" s="75" t="s">
        <v>323</v>
      </c>
      <c r="C40" s="76" t="s">
        <v>324</v>
      </c>
    </row>
    <row r="41" spans="2:3" ht="19.5" customHeight="1" x14ac:dyDescent="0.3">
      <c r="B41" s="73" t="s">
        <v>325</v>
      </c>
      <c r="C41" s="74" t="s">
        <v>326</v>
      </c>
    </row>
    <row r="43" spans="2:3" ht="27.75" customHeight="1" x14ac:dyDescent="0.3">
      <c r="B43" s="104" t="s">
        <v>327</v>
      </c>
      <c r="C43" s="104"/>
    </row>
    <row r="44" spans="2:3" ht="21.75" customHeight="1" x14ac:dyDescent="0.3">
      <c r="B44" s="72" t="s">
        <v>278</v>
      </c>
      <c r="C44" s="72" t="s">
        <v>279</v>
      </c>
    </row>
    <row r="45" spans="2:3" ht="19.5" customHeight="1" x14ac:dyDescent="0.3">
      <c r="B45" s="73" t="s">
        <v>328</v>
      </c>
      <c r="C45" s="74" t="s">
        <v>329</v>
      </c>
    </row>
    <row r="46" spans="2:3" ht="19.5" customHeight="1" x14ac:dyDescent="0.3">
      <c r="B46" s="75" t="s">
        <v>215</v>
      </c>
      <c r="C46" s="76" t="s">
        <v>330</v>
      </c>
    </row>
    <row r="47" spans="2:3" ht="19.5" customHeight="1" x14ac:dyDescent="0.3">
      <c r="B47" s="73" t="s">
        <v>331</v>
      </c>
      <c r="C47" s="74" t="s">
        <v>332</v>
      </c>
    </row>
    <row r="48" spans="2:3" ht="19.5" customHeight="1" x14ac:dyDescent="0.3">
      <c r="B48" s="75" t="s">
        <v>333</v>
      </c>
      <c r="C48" s="76" t="s">
        <v>334</v>
      </c>
    </row>
    <row r="50" spans="2:3" ht="27.75" customHeight="1" x14ac:dyDescent="0.3">
      <c r="B50" s="104" t="s">
        <v>335</v>
      </c>
      <c r="C50" s="104"/>
    </row>
    <row r="51" spans="2:3" ht="21.75" customHeight="1" x14ac:dyDescent="0.3">
      <c r="B51" s="72" t="s">
        <v>278</v>
      </c>
      <c r="C51" s="72" t="s">
        <v>279</v>
      </c>
    </row>
    <row r="52" spans="2:3" ht="19.5" customHeight="1" x14ac:dyDescent="0.3">
      <c r="B52" s="73" t="s">
        <v>336</v>
      </c>
      <c r="C52" s="74" t="s">
        <v>337</v>
      </c>
    </row>
    <row r="53" spans="2:3" ht="19.5" customHeight="1" x14ac:dyDescent="0.3">
      <c r="B53" s="75" t="s">
        <v>338</v>
      </c>
      <c r="C53" s="76" t="s">
        <v>339</v>
      </c>
    </row>
    <row r="54" spans="2:3" ht="19.5" customHeight="1" x14ac:dyDescent="0.3">
      <c r="B54" s="73" t="s">
        <v>340</v>
      </c>
      <c r="C54" s="74" t="s">
        <v>341</v>
      </c>
    </row>
    <row r="55" spans="2:3" ht="19.5" customHeight="1" x14ac:dyDescent="0.3">
      <c r="B55" s="75" t="s">
        <v>342</v>
      </c>
      <c r="C55" s="76" t="s">
        <v>343</v>
      </c>
    </row>
    <row r="56" spans="2:3" ht="19.5" customHeight="1" x14ac:dyDescent="0.3">
      <c r="B56" s="73" t="s">
        <v>344</v>
      </c>
      <c r="C56" s="74" t="s">
        <v>345</v>
      </c>
    </row>
  </sheetData>
  <mergeCells count="8">
    <mergeCell ref="B35:C35"/>
    <mergeCell ref="B43:C43"/>
    <mergeCell ref="B50:C50"/>
    <mergeCell ref="B2:C2"/>
    <mergeCell ref="B4:C4"/>
    <mergeCell ref="B11:C11"/>
    <mergeCell ref="B19:C19"/>
    <mergeCell ref="B26:C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🌱 Configuração</vt:lpstr>
      <vt:lpstr>📅 Cronograma</vt:lpstr>
      <vt:lpstr>💊 Adubação</vt:lpstr>
      <vt:lpstr>🐛 MIP — Pragas</vt:lpstr>
      <vt:lpstr>📊 Diário</vt:lpstr>
      <vt:lpstr>📖 Guia Rápido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lucio hudson</cp:lastModifiedBy>
  <cp:revision>0</cp:revision>
  <dcterms:created xsi:type="dcterms:W3CDTF">2026-03-26T09:43:41Z</dcterms:created>
  <dcterms:modified xsi:type="dcterms:W3CDTF">2026-03-26T11:10:44Z</dcterms:modified>
  <dc:language>en-US</dc:language>
</cp:coreProperties>
</file>