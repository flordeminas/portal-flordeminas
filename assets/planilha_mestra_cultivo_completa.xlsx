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⭐ Planilha Mestra" sheetId="1" state="visible" r:id="rId1"/>
    <sheet xmlns:r="http://schemas.openxmlformats.org/officeDocument/2006/relationships" name="🌱 Configuração" sheetId="2" state="visible" r:id="rId2"/>
    <sheet xmlns:r="http://schemas.openxmlformats.org/officeDocument/2006/relationships" name="📅 Cronograma" sheetId="3" state="visible" r:id="rId3"/>
    <sheet xmlns:r="http://schemas.openxmlformats.org/officeDocument/2006/relationships" name="💊 Adubação" sheetId="4" state="visible" r:id="rId4"/>
    <sheet xmlns:r="http://schemas.openxmlformats.org/officeDocument/2006/relationships" name="🐛 MIP — Pragas" sheetId="5" state="visible" r:id="rId5"/>
    <sheet xmlns:r="http://schemas.openxmlformats.org/officeDocument/2006/relationships" name="📊 Diário" sheetId="6" state="visible" r:id="rId6"/>
    <sheet xmlns:r="http://schemas.openxmlformats.org/officeDocument/2006/relationships" name="📖 Guia Rápi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0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FFFFFF"/>
      <sz val="10"/>
    </font>
    <font>
      <name val="Arial"/>
      <b val="1"/>
      <color rgb="00FFFFFF"/>
      <sz val="12"/>
    </font>
    <font>
      <name val="Arial"/>
      <b val="1"/>
      <color rgb="001B4332"/>
      <sz val="10"/>
    </font>
    <font>
      <name val="Arial"/>
      <color rgb="00212529"/>
      <sz val="10"/>
    </font>
    <font>
      <name val="Arial"/>
      <b val="1"/>
      <color rgb="00212529"/>
      <sz val="11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2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1B4332"/>
      <sz val="10"/>
    </font>
    <font>
      <name val="Arial"/>
      <charset val="1"/>
      <family val="0"/>
      <b val="1"/>
      <color rgb="FF212529"/>
      <sz val="11"/>
    </font>
    <font>
      <name val="Arial"/>
      <charset val="1"/>
      <family val="0"/>
      <color rgb="FF212529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B4332"/>
      <sz val="11"/>
    </font>
    <font>
      <name val="Arial"/>
      <charset val="1"/>
      <family val="0"/>
      <b val="1"/>
      <color rgb="FF2196F3"/>
      <sz val="10"/>
    </font>
    <font>
      <name val="Arial"/>
      <charset val="1"/>
      <family val="0"/>
      <color rgb="FF2196F3"/>
      <sz val="11"/>
    </font>
    <font>
      <name val="Arial"/>
      <charset val="1"/>
      <family val="0"/>
      <b val="1"/>
      <color rgb="FF7B2D8B"/>
      <sz val="10"/>
    </font>
    <font>
      <name val="Arial"/>
      <charset val="1"/>
      <family val="0"/>
      <color rgb="FF7B2D8B"/>
      <sz val="11"/>
    </font>
    <font>
      <name val="Arial"/>
      <charset val="1"/>
      <family val="0"/>
      <b val="1"/>
      <color rgb="FFE63946"/>
      <sz val="10"/>
    </font>
    <font>
      <name val="Arial"/>
      <charset val="1"/>
      <family val="0"/>
      <color rgb="FFE63946"/>
      <sz val="11"/>
    </font>
    <font>
      <name val="Arial"/>
      <charset val="1"/>
      <family val="0"/>
      <b val="1"/>
      <color rgb="FF212529"/>
      <sz val="10"/>
    </font>
    <font>
      <name val="Arial"/>
      <charset val="1"/>
      <family val="0"/>
      <color rgb="FF212529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212529"/>
      <sz val="9"/>
    </font>
    <font>
      <name val="Arial"/>
      <charset val="1"/>
      <family val="0"/>
      <b val="1"/>
      <color rgb="FF1B4332"/>
      <sz val="9"/>
    </font>
    <font>
      <name val="Arial"/>
      <charset val="1"/>
      <family val="0"/>
      <color rgb="FF2D6A4F"/>
      <sz val="9"/>
    </font>
    <font>
      <name val="Arial"/>
      <charset val="1"/>
      <family val="0"/>
      <color rgb="FFE63946"/>
      <sz val="9"/>
    </font>
    <font>
      <name val="Arial"/>
      <charset val="1"/>
      <family val="0"/>
      <b val="1"/>
      <color rgb="FF2196F3"/>
      <sz val="9"/>
    </font>
    <font>
      <name val="Arial"/>
      <charset val="1"/>
      <family val="0"/>
      <b val="1"/>
      <color rgb="FF7B2D8B"/>
      <sz val="9"/>
    </font>
    <font>
      <name val="Arial"/>
      <charset val="1"/>
      <family val="0"/>
      <b val="1"/>
      <color rgb="FFE63946"/>
      <sz val="9"/>
    </font>
    <font>
      <name val="Arial"/>
      <charset val="1"/>
      <family val="0"/>
      <b val="1"/>
      <color rgb="FF1B4332"/>
      <sz val="12"/>
    </font>
    <font>
      <name val="Arial"/>
      <charset val="1"/>
      <family val="0"/>
      <b val="1"/>
      <color rgb="FF2196F3"/>
      <sz val="12"/>
    </font>
    <font>
      <name val="Arial"/>
      <charset val="1"/>
      <family val="0"/>
      <b val="1"/>
      <color rgb="FF7B2D8B"/>
      <sz val="12"/>
    </font>
    <font>
      <name val="Arial"/>
      <charset val="1"/>
      <family val="0"/>
      <b val="1"/>
      <color rgb="FFE63946"/>
      <sz val="12"/>
    </font>
    <font>
      <name val="Arial"/>
      <charset val="1"/>
      <family val="0"/>
      <b val="1"/>
      <color rgb="FF212529"/>
      <sz val="9"/>
    </font>
  </fonts>
  <fills count="23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0A500"/>
        <bgColor rgb="00F0A500"/>
      </patternFill>
    </fill>
    <fill>
      <patternFill patternType="solid">
        <fgColor rgb="002D6A4F"/>
        <bgColor rgb="002D6A4F"/>
      </patternFill>
    </fill>
    <fill>
      <patternFill patternType="solid">
        <fgColor rgb="00D8F3DC"/>
        <bgColor rgb="00D8F3DC"/>
      </patternFill>
    </fill>
    <fill>
      <patternFill patternType="solid">
        <fgColor rgb="00F8F9FA"/>
        <bgColor rgb="00F8F9FA"/>
      </patternFill>
    </fill>
    <fill>
      <patternFill patternType="solid">
        <fgColor rgb="00FFD166"/>
        <bgColor rgb="00FFD166"/>
      </patternFill>
    </fill>
    <fill>
      <patternFill patternType="solid">
        <fgColor rgb="FF1B4332"/>
        <bgColor rgb="FF212529"/>
      </patternFill>
    </fill>
    <fill>
      <patternFill patternType="solid">
        <fgColor rgb="FF2D6A4F"/>
        <bgColor rgb="FF1B4332"/>
      </patternFill>
    </fill>
    <fill>
      <patternFill patternType="solid">
        <fgColor rgb="FFB7E4C7"/>
        <bgColor rgb="FFDEE2E6"/>
      </patternFill>
    </fill>
    <fill>
      <patternFill patternType="solid">
        <fgColor rgb="FFFFD166"/>
        <bgColor rgb="FFFFCC00"/>
      </patternFill>
    </fill>
    <fill>
      <patternFill patternType="solid">
        <fgColor rgb="FFFFFFFF"/>
        <bgColor rgb="FFF8F9FA"/>
      </patternFill>
    </fill>
    <fill>
      <patternFill patternType="solid">
        <fgColor rgb="FF52B788"/>
        <bgColor rgb="FF33CCCC"/>
      </patternFill>
    </fill>
    <fill>
      <patternFill patternType="solid">
        <fgColor rgb="FFDBEAFE"/>
        <bgColor rgb="FFDEE2E6"/>
      </patternFill>
    </fill>
    <fill>
      <patternFill patternType="solid">
        <fgColor rgb="FFE9D5F0"/>
        <bgColor rgb="FFDEE2E6"/>
      </patternFill>
    </fill>
    <fill>
      <patternFill patternType="solid">
        <fgColor rgb="FFFFE5E5"/>
        <bgColor rgb="FFFFF3CD"/>
      </patternFill>
    </fill>
    <fill>
      <patternFill patternType="solid">
        <fgColor rgb="FFDEE2E6"/>
        <bgColor rgb="FFDBEAFE"/>
      </patternFill>
    </fill>
    <fill>
      <patternFill patternType="solid">
        <fgColor rgb="FFF8F9FA"/>
        <bgColor rgb="FFFFFFFF"/>
      </patternFill>
    </fill>
    <fill>
      <patternFill patternType="solid">
        <fgColor rgb="FFE63946"/>
        <bgColor rgb="FFFF6600"/>
      </patternFill>
    </fill>
    <fill>
      <patternFill patternType="solid">
        <fgColor rgb="FFFFF3CD"/>
        <bgColor rgb="FFFFE5E5"/>
      </patternFill>
    </fill>
    <fill>
      <patternFill patternType="solid">
        <fgColor rgb="FFEBF5FB"/>
        <bgColor rgb="FFF8F9FA"/>
      </patternFill>
    </fill>
    <fill>
      <patternFill patternType="solid">
        <fgColor rgb="FF7B2D8B"/>
        <bgColor rgb="FF800080"/>
      </patternFill>
    </fill>
  </fills>
  <borders count="10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 wrapText="1"/>
    </xf>
    <xf numFmtId="0" fontId="10" fillId="0" borderId="7" pivotButton="0" quotePrefix="0" xfId="0"/>
    <xf numFmtId="0" fontId="11" fillId="10" borderId="8" applyAlignment="1" pivotButton="0" quotePrefix="0" xfId="0">
      <alignment horizontal="left" vertical="center" wrapText="1"/>
    </xf>
    <xf numFmtId="0" fontId="10" fillId="0" borderId="9" pivotButton="0" quotePrefix="0" xfId="0"/>
    <xf numFmtId="164" fontId="12" fillId="11" borderId="8" applyAlignment="1" pivotButton="0" quotePrefix="0" xfId="0">
      <alignment horizontal="center" vertical="center" wrapText="1"/>
    </xf>
    <xf numFmtId="0" fontId="13" fillId="12" borderId="8" applyAlignment="1" pivotButton="0" quotePrefix="0" xfId="0">
      <alignment horizontal="center" vertical="center" wrapText="1"/>
    </xf>
    <xf numFmtId="0" fontId="12" fillId="13" borderId="8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 wrapText="1"/>
    </xf>
    <xf numFmtId="0" fontId="15" fillId="8" borderId="8" applyAlignment="1" pivotButton="0" quotePrefix="0" xfId="0">
      <alignment horizontal="center" vertical="center" wrapText="1"/>
    </xf>
    <xf numFmtId="0" fontId="11" fillId="10" borderId="8" applyAlignment="1" pivotButton="0" quotePrefix="0" xfId="0">
      <alignment horizontal="center" vertical="center" wrapText="1"/>
    </xf>
    <xf numFmtId="164" fontId="16" fillId="10" borderId="8" applyAlignment="1" pivotButton="0" quotePrefix="0" xfId="0">
      <alignment horizontal="center" vertical="center" wrapText="1"/>
    </xf>
    <xf numFmtId="0" fontId="16" fillId="10" borderId="8" applyAlignment="1" pivotButton="0" quotePrefix="0" xfId="0">
      <alignment horizontal="center" vertical="center" wrapText="1"/>
    </xf>
    <xf numFmtId="0" fontId="17" fillId="14" borderId="8" applyAlignment="1" pivotButton="0" quotePrefix="0" xfId="0">
      <alignment horizontal="center" vertical="center" wrapText="1"/>
    </xf>
    <xf numFmtId="164" fontId="18" fillId="14" borderId="8" applyAlignment="1" pivotButton="0" quotePrefix="0" xfId="0">
      <alignment horizontal="center" vertical="center" wrapText="1"/>
    </xf>
    <xf numFmtId="0" fontId="18" fillId="14" borderId="8" applyAlignment="1" pivotButton="0" quotePrefix="0" xfId="0">
      <alignment horizontal="center" vertical="center" wrapText="1"/>
    </xf>
    <xf numFmtId="0" fontId="19" fillId="15" borderId="8" applyAlignment="1" pivotButton="0" quotePrefix="0" xfId="0">
      <alignment horizontal="center" vertical="center" wrapText="1"/>
    </xf>
    <xf numFmtId="164" fontId="20" fillId="15" borderId="8" applyAlignment="1" pivotButton="0" quotePrefix="0" xfId="0">
      <alignment horizontal="center" vertical="center" wrapText="1"/>
    </xf>
    <xf numFmtId="0" fontId="20" fillId="15" borderId="8" applyAlignment="1" pivotButton="0" quotePrefix="0" xfId="0">
      <alignment horizontal="center" vertical="center" wrapText="1"/>
    </xf>
    <xf numFmtId="0" fontId="21" fillId="16" borderId="8" applyAlignment="1" pivotButton="0" quotePrefix="0" xfId="0">
      <alignment horizontal="center" vertical="center" wrapText="1"/>
    </xf>
    <xf numFmtId="164" fontId="22" fillId="16" borderId="8" applyAlignment="1" pivotButton="0" quotePrefix="0" xfId="0">
      <alignment horizontal="center" vertical="center" wrapText="1"/>
    </xf>
    <xf numFmtId="0" fontId="22" fillId="16" borderId="8" applyAlignment="1" pivotButton="0" quotePrefix="0" xfId="0">
      <alignment horizontal="center" vertical="center" wrapText="1"/>
    </xf>
    <xf numFmtId="0" fontId="23" fillId="11" borderId="8" applyAlignment="1" pivotButton="0" quotePrefix="0" xfId="0">
      <alignment horizontal="center" vertical="center" wrapText="1"/>
    </xf>
    <xf numFmtId="164" fontId="13" fillId="11" borderId="8" applyAlignment="1" pivotButton="0" quotePrefix="0" xfId="0">
      <alignment horizontal="center" vertical="center" wrapText="1"/>
    </xf>
    <xf numFmtId="0" fontId="13" fillId="11" borderId="8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1" fillId="18" borderId="8" applyAlignment="1" pivotButton="0" quotePrefix="0" xfId="0">
      <alignment horizontal="left" vertical="center" wrapText="1"/>
    </xf>
    <xf numFmtId="0" fontId="24" fillId="18" borderId="8" applyAlignment="1" pivotButton="0" quotePrefix="0" xfId="0">
      <alignment horizontal="left" vertical="center" wrapText="1"/>
    </xf>
    <xf numFmtId="0" fontId="25" fillId="8" borderId="0" applyAlignment="1" pivotButton="0" quotePrefix="0" xfId="0">
      <alignment horizontal="center" vertical="center" wrapText="1"/>
    </xf>
    <xf numFmtId="0" fontId="26" fillId="9" borderId="0" applyAlignment="1" pivotButton="0" quotePrefix="0" xfId="0">
      <alignment horizontal="center" vertical="center" wrapText="1"/>
    </xf>
    <xf numFmtId="0" fontId="27" fillId="8" borderId="8" applyAlignment="1" pivotButton="0" quotePrefix="0" xfId="0">
      <alignment horizontal="center" vertical="center" wrapText="1"/>
    </xf>
    <xf numFmtId="164" fontId="28" fillId="12" borderId="8" applyAlignment="1" pivotButton="0" quotePrefix="0" xfId="0">
      <alignment horizontal="center" vertical="center" wrapText="1"/>
    </xf>
    <xf numFmtId="0" fontId="29" fillId="10" borderId="8" applyAlignment="1" pivotButton="0" quotePrefix="0" xfId="0">
      <alignment horizontal="center" vertical="center" wrapText="1"/>
    </xf>
    <xf numFmtId="0" fontId="28" fillId="12" borderId="8" applyAlignment="1" pivotButton="0" quotePrefix="0" xfId="0">
      <alignment horizontal="left" vertical="center" wrapText="1"/>
    </xf>
    <xf numFmtId="0" fontId="30" fillId="12" borderId="8" applyAlignment="1" pivotButton="0" quotePrefix="0" xfId="0">
      <alignment horizontal="left" vertical="center" wrapText="1"/>
    </xf>
    <xf numFmtId="0" fontId="31" fillId="12" borderId="8" applyAlignment="1" pivotButton="0" quotePrefix="0" xfId="0">
      <alignment horizontal="left" vertical="center" wrapText="1"/>
    </xf>
    <xf numFmtId="164" fontId="28" fillId="10" borderId="8" applyAlignment="1" pivotButton="0" quotePrefix="0" xfId="0">
      <alignment horizontal="center" vertical="center" wrapText="1"/>
    </xf>
    <xf numFmtId="0" fontId="28" fillId="10" borderId="8" applyAlignment="1" pivotButton="0" quotePrefix="0" xfId="0">
      <alignment horizontal="left" vertical="center" wrapText="1"/>
    </xf>
    <xf numFmtId="0" fontId="30" fillId="10" borderId="8" applyAlignment="1" pivotButton="0" quotePrefix="0" xfId="0">
      <alignment horizontal="left" vertical="center" wrapText="1"/>
    </xf>
    <xf numFmtId="0" fontId="31" fillId="10" borderId="8" applyAlignment="1" pivotButton="0" quotePrefix="0" xfId="0">
      <alignment horizontal="left" vertical="center" wrapText="1"/>
    </xf>
    <xf numFmtId="0" fontId="32" fillId="14" borderId="8" applyAlignment="1" pivotButton="0" quotePrefix="0" xfId="0">
      <alignment horizontal="center" vertical="center" wrapText="1"/>
    </xf>
    <xf numFmtId="164" fontId="28" fillId="14" borderId="8" applyAlignment="1" pivotButton="0" quotePrefix="0" xfId="0">
      <alignment horizontal="center" vertical="center" wrapText="1"/>
    </xf>
    <xf numFmtId="0" fontId="28" fillId="14" borderId="8" applyAlignment="1" pivotButton="0" quotePrefix="0" xfId="0">
      <alignment horizontal="left" vertical="center" wrapText="1"/>
    </xf>
    <xf numFmtId="0" fontId="30" fillId="14" borderId="8" applyAlignment="1" pivotButton="0" quotePrefix="0" xfId="0">
      <alignment horizontal="left" vertical="center" wrapText="1"/>
    </xf>
    <xf numFmtId="0" fontId="31" fillId="14" borderId="8" applyAlignment="1" pivotButton="0" quotePrefix="0" xfId="0">
      <alignment horizontal="left" vertical="center" wrapText="1"/>
    </xf>
    <xf numFmtId="0" fontId="33" fillId="15" borderId="8" applyAlignment="1" pivotButton="0" quotePrefix="0" xfId="0">
      <alignment horizontal="center" vertical="center" wrapText="1"/>
    </xf>
    <xf numFmtId="164" fontId="28" fillId="15" borderId="8" applyAlignment="1" pivotButton="0" quotePrefix="0" xfId="0">
      <alignment horizontal="center" vertical="center" wrapText="1"/>
    </xf>
    <xf numFmtId="0" fontId="28" fillId="15" borderId="8" applyAlignment="1" pivotButton="0" quotePrefix="0" xfId="0">
      <alignment horizontal="left" vertical="center" wrapText="1"/>
    </xf>
    <xf numFmtId="0" fontId="30" fillId="15" borderId="8" applyAlignment="1" pivotButton="0" quotePrefix="0" xfId="0">
      <alignment horizontal="left" vertical="center" wrapText="1"/>
    </xf>
    <xf numFmtId="0" fontId="31" fillId="15" borderId="8" applyAlignment="1" pivotButton="0" quotePrefix="0" xfId="0">
      <alignment horizontal="left" vertical="center" wrapText="1"/>
    </xf>
    <xf numFmtId="164" fontId="28" fillId="16" borderId="8" applyAlignment="1" pivotButton="0" quotePrefix="0" xfId="0">
      <alignment horizontal="center" vertical="center" wrapText="1"/>
    </xf>
    <xf numFmtId="0" fontId="34" fillId="16" borderId="8" applyAlignment="1" pivotButton="0" quotePrefix="0" xfId="0">
      <alignment horizontal="center" vertical="center" wrapText="1"/>
    </xf>
    <xf numFmtId="0" fontId="28" fillId="16" borderId="8" applyAlignment="1" pivotButton="0" quotePrefix="0" xfId="0">
      <alignment horizontal="left" vertical="center" wrapText="1"/>
    </xf>
    <xf numFmtId="0" fontId="30" fillId="16" borderId="8" applyAlignment="1" pivotButton="0" quotePrefix="0" xfId="0">
      <alignment horizontal="left" vertical="center" wrapText="1"/>
    </xf>
    <xf numFmtId="0" fontId="31" fillId="16" borderId="8" applyAlignment="1" pivotButton="0" quotePrefix="0" xfId="0">
      <alignment horizontal="left" vertical="center" wrapText="1"/>
    </xf>
    <xf numFmtId="0" fontId="35" fillId="10" borderId="6" applyAlignment="1" pivotButton="0" quotePrefix="0" xfId="0">
      <alignment horizontal="center" vertical="center" wrapText="1"/>
    </xf>
    <xf numFmtId="0" fontId="29" fillId="12" borderId="8" applyAlignment="1" pivotButton="0" quotePrefix="0" xfId="0">
      <alignment horizontal="left" vertical="center" wrapText="1"/>
    </xf>
    <xf numFmtId="0" fontId="28" fillId="12" borderId="8" applyAlignment="1" pivotButton="0" quotePrefix="0" xfId="0">
      <alignment horizontal="center" vertical="center" wrapText="1"/>
    </xf>
    <xf numFmtId="0" fontId="29" fillId="10" borderId="8" applyAlignment="1" pivotButton="0" quotePrefix="0" xfId="0">
      <alignment horizontal="left" vertical="center" wrapText="1"/>
    </xf>
    <xf numFmtId="0" fontId="28" fillId="10" borderId="8" applyAlignment="1" pivotButton="0" quotePrefix="0" xfId="0">
      <alignment horizontal="center" vertical="center" wrapText="1"/>
    </xf>
    <xf numFmtId="0" fontId="36" fillId="14" borderId="6" applyAlignment="1" pivotButton="0" quotePrefix="0" xfId="0">
      <alignment horizontal="center" vertical="center" wrapText="1"/>
    </xf>
    <xf numFmtId="0" fontId="32" fillId="14" borderId="8" applyAlignment="1" pivotButton="0" quotePrefix="0" xfId="0">
      <alignment horizontal="left" vertical="center" wrapText="1"/>
    </xf>
    <xf numFmtId="0" fontId="28" fillId="14" borderId="8" applyAlignment="1" pivotButton="0" quotePrefix="0" xfId="0">
      <alignment horizontal="center" vertical="center" wrapText="1"/>
    </xf>
    <xf numFmtId="0" fontId="32" fillId="12" borderId="8" applyAlignment="1" pivotButton="0" quotePrefix="0" xfId="0">
      <alignment horizontal="left" vertical="center" wrapText="1"/>
    </xf>
    <xf numFmtId="0" fontId="37" fillId="15" borderId="6" applyAlignment="1" pivotButton="0" quotePrefix="0" xfId="0">
      <alignment horizontal="center" vertical="center" wrapText="1"/>
    </xf>
    <xf numFmtId="0" fontId="33" fillId="12" borderId="8" applyAlignment="1" pivotButton="0" quotePrefix="0" xfId="0">
      <alignment horizontal="left" vertical="center" wrapText="1"/>
    </xf>
    <xf numFmtId="0" fontId="33" fillId="15" borderId="8" applyAlignment="1" pivotButton="0" quotePrefix="0" xfId="0">
      <alignment horizontal="left" vertical="center" wrapText="1"/>
    </xf>
    <xf numFmtId="0" fontId="28" fillId="15" borderId="8" applyAlignment="1" pivotButton="0" quotePrefix="0" xfId="0">
      <alignment horizontal="center" vertical="center" wrapText="1"/>
    </xf>
    <xf numFmtId="0" fontId="38" fillId="16" borderId="6" applyAlignment="1" pivotButton="0" quotePrefix="0" xfId="0">
      <alignment horizontal="center" vertical="center" wrapText="1"/>
    </xf>
    <xf numFmtId="0" fontId="34" fillId="16" borderId="8" applyAlignment="1" pivotButton="0" quotePrefix="0" xfId="0">
      <alignment horizontal="left" vertical="center" wrapText="1"/>
    </xf>
    <xf numFmtId="0" fontId="28" fillId="16" borderId="8" applyAlignment="1" pivotButton="0" quotePrefix="0" xfId="0">
      <alignment horizontal="center" vertical="center" wrapText="1"/>
    </xf>
    <xf numFmtId="0" fontId="34" fillId="12" borderId="8" applyAlignment="1" pivotButton="0" quotePrefix="0" xfId="0">
      <alignment horizontal="left" vertical="center" wrapText="1"/>
    </xf>
    <xf numFmtId="0" fontId="26" fillId="19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 wrapText="1"/>
    </xf>
    <xf numFmtId="0" fontId="15" fillId="9" borderId="8" applyAlignment="1" pivotButton="0" quotePrefix="0" xfId="0">
      <alignment horizontal="center" vertical="center" wrapText="1"/>
    </xf>
    <xf numFmtId="0" fontId="28" fillId="18" borderId="8" applyAlignment="1" pivotButton="0" quotePrefix="0" xfId="0">
      <alignment horizontal="left" vertical="center" wrapText="1"/>
    </xf>
    <xf numFmtId="0" fontId="39" fillId="20" borderId="8" applyAlignment="1" pivotButton="0" quotePrefix="0" xfId="0">
      <alignment horizontal="left" vertical="center" wrapText="1"/>
    </xf>
    <xf numFmtId="0" fontId="28" fillId="20" borderId="8" applyAlignment="1" pivotButton="0" quotePrefix="0" xfId="0">
      <alignment horizontal="left" vertical="center" wrapText="1"/>
    </xf>
    <xf numFmtId="0" fontId="39" fillId="21" borderId="6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general" vertical="bottom"/>
    </xf>
    <xf numFmtId="0" fontId="39" fillId="10" borderId="8" applyAlignment="1" pivotButton="0" quotePrefix="0" xfId="0">
      <alignment horizontal="left" vertical="center" wrapText="1"/>
    </xf>
    <xf numFmtId="0" fontId="39" fillId="14" borderId="8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39" fillId="16" borderId="6" applyAlignment="1" pivotButton="0" quotePrefix="0" xfId="0">
      <alignment horizontal="left" vertical="center" wrapText="1"/>
    </xf>
    <xf numFmtId="0" fontId="28" fillId="16" borderId="6" applyAlignment="1" pivotButton="0" quotePrefix="0" xfId="0">
      <alignment horizontal="left" vertical="center" wrapText="1"/>
    </xf>
    <xf numFmtId="0" fontId="39" fillId="20" borderId="6" applyAlignment="1" pivotButton="0" quotePrefix="0" xfId="0">
      <alignment horizontal="left" vertical="center" wrapText="1"/>
    </xf>
    <xf numFmtId="0" fontId="28" fillId="20" borderId="6" applyAlignment="1" pivotButton="0" quotePrefix="0" xfId="0">
      <alignment horizontal="left" vertical="center" wrapText="1"/>
    </xf>
    <xf numFmtId="0" fontId="39" fillId="18" borderId="6" applyAlignment="1" pivotButton="0" quotePrefix="0" xfId="0">
      <alignment horizontal="left" vertical="center" wrapText="1"/>
    </xf>
    <xf numFmtId="0" fontId="28" fillId="18" borderId="6" applyAlignment="1" pivotButton="0" quotePrefix="0" xfId="0">
      <alignment horizontal="left" vertical="center" wrapText="1"/>
    </xf>
    <xf numFmtId="0" fontId="28" fillId="21" borderId="6" applyAlignment="1" pivotButton="0" quotePrefix="0" xfId="0">
      <alignment horizontal="left" vertical="center" wrapText="1"/>
    </xf>
    <xf numFmtId="0" fontId="26" fillId="22" borderId="0" applyAlignment="1" pivotButton="0" quotePrefix="0" xfId="0">
      <alignment horizontal="center" vertical="center" wrapText="1"/>
    </xf>
    <xf numFmtId="0" fontId="29" fillId="12" borderId="8" applyAlignment="1" pivotButton="0" quotePrefix="0" xfId="0">
      <alignment horizontal="center" vertical="center" wrapText="1"/>
    </xf>
    <xf numFmtId="0" fontId="29" fillId="14" borderId="8" applyAlignment="1" pivotButton="0" quotePrefix="0" xfId="0">
      <alignment horizontal="center" vertical="center" wrapText="1"/>
    </xf>
    <xf numFmtId="0" fontId="29" fillId="15" borderId="8" applyAlignment="1" pivotButton="0" quotePrefix="0" xfId="0">
      <alignment horizontal="center" vertical="center" wrapText="1"/>
    </xf>
    <xf numFmtId="0" fontId="29" fillId="16" borderId="8" applyAlignment="1" pivotButton="0" quotePrefix="0" xfId="0">
      <alignment horizontal="center" vertical="center" wrapText="1"/>
    </xf>
    <xf numFmtId="0" fontId="11" fillId="12" borderId="8" applyAlignment="1" pivotButton="0" quotePrefix="0" xfId="0">
      <alignment horizontal="left" vertical="center" wrapText="1"/>
    </xf>
    <xf numFmtId="0" fontId="24" fillId="12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A500"/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18" customWidth="1" min="5" max="5"/>
    <col width="4" customWidth="1" min="6" max="6"/>
    <col width="22" customWidth="1" min="7" max="7"/>
    <col width="18" customWidth="1" min="8" max="8"/>
    <col width="22" customWidth="1" min="9" max="9"/>
    <col width="18" customWidth="1" min="10" max="10"/>
    <col width="3" customWidth="1" min="11" max="11"/>
  </cols>
  <sheetData>
    <row r="2" ht="55" customHeight="1">
      <c r="B2" s="1" t="inlineStr">
        <is>
          <t>⭐  PLANILHA MESTRA DE CULTIVO  —  Versão Assinante</t>
        </is>
      </c>
    </row>
    <row r="3" ht="22" customHeight="1">
      <c r="B3" s="2" t="inlineStr">
        <is>
          <t>Versão completa e exclusiva para assinantes da newsletter  •  Todos os direitos reservados</t>
        </is>
      </c>
    </row>
    <row r="5" ht="30" customHeight="1">
      <c r="B5" s="3" t="inlineStr">
        <is>
          <t>✅  O QUE ESTÁ INCLUSO NESTA VERSÃO</t>
        </is>
      </c>
    </row>
    <row r="6" ht="26" customHeight="1">
      <c r="B6" s="4" t="inlineStr">
        <is>
          <t>🌱 Configuração Inteligente</t>
        </is>
      </c>
      <c r="C6" s="5" t="n"/>
      <c r="D6" s="5" t="n"/>
      <c r="E6" s="6" t="n"/>
      <c r="F6" s="7" t="inlineStr">
        <is>
          <t>Preencha apenas a Data Dia 1 — todas as datas se calculam automaticamente</t>
        </is>
      </c>
      <c r="G6" s="5" t="n"/>
      <c r="H6" s="5" t="n"/>
      <c r="I6" s="5" t="n"/>
      <c r="J6" s="6" t="n"/>
    </row>
    <row r="7" ht="26" customHeight="1">
      <c r="B7" s="4" t="inlineStr">
        <is>
          <t>📅 Cronograma Completo (125 dias)</t>
        </is>
      </c>
      <c r="C7" s="5" t="n"/>
      <c r="D7" s="5" t="n"/>
      <c r="E7" s="6" t="n"/>
      <c r="F7" s="7" t="inlineStr">
        <is>
          <t>Calendário dia a dia com fase, adubação, MIP e ações — tudo com datas reais</t>
        </is>
      </c>
      <c r="G7" s="5" t="n"/>
      <c r="H7" s="5" t="n"/>
      <c r="I7" s="5" t="n"/>
      <c r="J7" s="6" t="n"/>
    </row>
    <row r="8" ht="26" customHeight="1">
      <c r="B8" s="4" t="inlineStr">
        <is>
          <t>💊 Protocolo de Adubação</t>
        </is>
      </c>
      <c r="C8" s="5" t="n"/>
      <c r="D8" s="5" t="n"/>
      <c r="E8" s="6" t="n"/>
      <c r="F8" s="7" t="inlineStr">
        <is>
          <t>Doses por fase (Clone → Vega → Flora → Flush), EC alvo, pH alvo, suplementos</t>
        </is>
      </c>
      <c r="G8" s="5" t="n"/>
      <c r="H8" s="5" t="n"/>
      <c r="I8" s="5" t="n"/>
      <c r="J8" s="6" t="n"/>
    </row>
    <row r="9" ht="26" customHeight="1">
      <c r="B9" s="4" t="inlineStr">
        <is>
          <t>🐛 Calendário MIP Preventivo</t>
        </is>
      </c>
      <c r="C9" s="5" t="n"/>
      <c r="D9" s="5" t="n"/>
      <c r="E9" s="6" t="n"/>
      <c r="F9" s="7" t="inlineStr">
        <is>
          <t>Calda Sulfocálcica, Calda Bordalesa, Nim, Beauveria, Trichoderma — com datas</t>
        </is>
      </c>
      <c r="G9" s="5" t="n"/>
      <c r="H9" s="5" t="n"/>
      <c r="I9" s="5" t="n"/>
      <c r="J9" s="6" t="n"/>
    </row>
    <row r="10" ht="26" customHeight="1">
      <c r="B10" s="4" t="inlineStr">
        <is>
          <t>⚠️ Tabela de Compatibilidade</t>
        </is>
      </c>
      <c r="C10" s="5" t="n"/>
      <c r="D10" s="5" t="n"/>
      <c r="E10" s="6" t="n"/>
      <c r="F10" s="7" t="inlineStr">
        <is>
          <t>Regras de quais produtos podem ou não ser combinados — evite erros graves</t>
        </is>
      </c>
      <c r="G10" s="5" t="n"/>
      <c r="H10" s="5" t="n"/>
      <c r="I10" s="5" t="n"/>
      <c r="J10" s="6" t="n"/>
    </row>
    <row r="11" ht="26" customHeight="1">
      <c r="B11" s="4" t="inlineStr">
        <is>
          <t>📊 Diário de Cultivo</t>
        </is>
      </c>
      <c r="C11" s="5" t="n"/>
      <c r="D11" s="5" t="n"/>
      <c r="E11" s="6" t="n"/>
      <c r="F11" s="7" t="inlineStr">
        <is>
          <t>125 linhas para registro diário de temp, umidade, pH, CE com alertas automáticos</t>
        </is>
      </c>
      <c r="G11" s="5" t="n"/>
      <c r="H11" s="5" t="n"/>
      <c r="I11" s="5" t="n"/>
      <c r="J11" s="6" t="n"/>
    </row>
    <row r="12" ht="26" customHeight="1">
      <c r="B12" s="4" t="inlineStr">
        <is>
          <t>📖 Guia Rápido de Parâmetros</t>
        </is>
      </c>
      <c r="C12" s="5" t="n"/>
      <c r="D12" s="5" t="n"/>
      <c r="E12" s="6" t="n"/>
      <c r="F12" s="7" t="inlineStr">
        <is>
          <t>Tabela de referência: temperatura, umidade, pH, EC, análise de tricomas</t>
        </is>
      </c>
      <c r="G12" s="5" t="n"/>
      <c r="H12" s="5" t="n"/>
      <c r="I12" s="5" t="n"/>
      <c r="J12" s="6" t="n"/>
    </row>
    <row r="14" ht="30" customHeight="1">
      <c r="B14" s="8" t="inlineStr">
        <is>
          <t>📌  COMO USAR: Vá para a aba  🌱 Configuração  →  preencha a Data Dia 1 (célula amarela)  →  tudo se calcula automaticamente!</t>
        </is>
      </c>
    </row>
  </sheetData>
  <mergeCells count="18">
    <mergeCell ref="F9:J9"/>
    <mergeCell ref="F7:J7"/>
    <mergeCell ref="B9:E9"/>
    <mergeCell ref="B3:J3"/>
    <mergeCell ref="B5:J5"/>
    <mergeCell ref="B8:E8"/>
    <mergeCell ref="F11:J11"/>
    <mergeCell ref="F12:J12"/>
    <mergeCell ref="B12:E12"/>
    <mergeCell ref="B6:E6"/>
    <mergeCell ref="F10:J10"/>
    <mergeCell ref="B14:J14"/>
    <mergeCell ref="B7:E7"/>
    <mergeCell ref="B11:E11"/>
    <mergeCell ref="F6:J6"/>
    <mergeCell ref="B10:E10"/>
    <mergeCell ref="F8:J8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D6A4F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18" customWidth="1" min="5" max="5"/>
    <col width="4" customWidth="1" min="6" max="6"/>
    <col width="22" customWidth="1" min="7" max="7"/>
    <col width="18" customWidth="1" min="8" max="8"/>
    <col width="22" customWidth="1" min="9" max="9"/>
    <col width="18" customWidth="1" min="10" max="10"/>
    <col width="3" customWidth="1" min="11" max="11"/>
  </cols>
  <sheetData>
    <row r="1" ht="21.75" customHeight="1"/>
    <row r="2" ht="49.5" customHeight="1">
      <c r="B2" s="9" t="inlineStr">
        <is>
          <t>🌿  PLANILHA MESTRA DE CULTIVO  —  Cannabis Medicinal Indoor</t>
        </is>
      </c>
    </row>
    <row r="3" ht="21.75" customHeight="1">
      <c r="B3" s="10" t="inlineStr">
        <is>
          <t>Configure o Dia 1 do Clone abaixo. Todas as datas e recomendações serão calculadas automaticamente.</t>
        </is>
      </c>
    </row>
    <row r="4" ht="21.75" customHeight="1"/>
    <row r="5" ht="21.75" customHeight="1">
      <c r="B5" s="11" t="inlineStr">
        <is>
          <t>⚙️  CONFIGURAÇÕES DO CULTIVO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</row>
    <row r="6" ht="24" customHeight="1">
      <c r="B6" s="13" t="inlineStr">
        <is>
          <t>📅 Data Dia 1 (Clone)</t>
        </is>
      </c>
      <c r="C6" s="14" t="n"/>
      <c r="D6" s="15" t="n"/>
      <c r="E6" s="14" t="n"/>
      <c r="G6" s="13" t="inlineStr">
        <is>
          <t>⏱️ Duração Clone (dias)</t>
        </is>
      </c>
      <c r="H6" s="14" t="n"/>
      <c r="I6" s="16" t="inlineStr">
        <is>
          <t>14</t>
        </is>
      </c>
      <c r="J6" s="14" t="n"/>
    </row>
    <row r="7" ht="24" customHeight="1">
      <c r="B7" s="13" t="inlineStr">
        <is>
          <t>🌿 Strain / Cultivar</t>
        </is>
      </c>
      <c r="C7" s="14" t="n"/>
      <c r="D7" s="16" t="n"/>
      <c r="E7" s="14" t="n"/>
      <c r="G7" s="13" t="inlineStr">
        <is>
          <t>⏱️ Duração Vega (dias)</t>
        </is>
      </c>
      <c r="H7" s="14" t="n"/>
      <c r="I7" s="16" t="inlineStr">
        <is>
          <t>42</t>
        </is>
      </c>
      <c r="J7" s="14" t="n"/>
    </row>
    <row r="8" ht="24" customHeight="1">
      <c r="B8" s="13" t="inlineStr">
        <is>
          <t>💡 Ambiente</t>
        </is>
      </c>
      <c r="C8" s="14" t="n"/>
      <c r="D8" s="16" t="inlineStr">
        <is>
          <t>Indoor LED</t>
        </is>
      </c>
      <c r="E8" s="14" t="n"/>
      <c r="G8" s="13" t="inlineStr">
        <is>
          <t>⏱️ Duração Flora (dias)</t>
        </is>
      </c>
      <c r="H8" s="14" t="n"/>
      <c r="I8" s="16" t="inlineStr">
        <is>
          <t>63</t>
        </is>
      </c>
      <c r="J8" s="14" t="n"/>
    </row>
    <row r="9" ht="24" customHeight="1">
      <c r="B9" s="13" t="inlineStr">
        <is>
          <t>📐 Área (m²)</t>
        </is>
      </c>
      <c r="C9" s="14" t="n"/>
      <c r="D9" s="16" t="inlineStr">
        <is>
          <t>1.2</t>
        </is>
      </c>
      <c r="E9" s="14" t="n"/>
      <c r="G9" s="13" t="inlineStr">
        <is>
          <t>⏱️ Flush (dias)</t>
        </is>
      </c>
      <c r="H9" s="14" t="n"/>
      <c r="I9" s="16" t="inlineStr">
        <is>
          <t>7</t>
        </is>
      </c>
      <c r="J9" s="14" t="n"/>
    </row>
    <row r="10" ht="24" customHeight="1">
      <c r="B10" s="13" t="inlineStr">
        <is>
          <t>🔆 Luz na Vega (h)</t>
        </is>
      </c>
      <c r="C10" s="14" t="n"/>
      <c r="D10" s="16" t="inlineStr">
        <is>
          <t>18</t>
        </is>
      </c>
      <c r="E10" s="14" t="n"/>
      <c r="G10" s="13" t="inlineStr">
        <is>
          <t>⏱️ TOTAL CULTIVO (dias)</t>
        </is>
      </c>
      <c r="H10" s="14" t="n"/>
      <c r="I10" s="17">
        <f>I6+I7+I8+I9</f>
        <v/>
      </c>
      <c r="J10" s="14" t="n"/>
    </row>
    <row r="11" ht="24" customHeight="1">
      <c r="B11" s="13" t="inlineStr">
        <is>
          <t>🔆 Luz na Flora (h)</t>
        </is>
      </c>
      <c r="C11" s="14" t="n"/>
      <c r="D11" s="16" t="inlineStr">
        <is>
          <t>12</t>
        </is>
      </c>
      <c r="E11" s="14" t="n"/>
    </row>
    <row r="12" ht="24" customHeight="1">
      <c r="B12" s="13" t="inlineStr">
        <is>
          <t>🪴 Nº de Plantas</t>
        </is>
      </c>
      <c r="C12" s="14" t="n"/>
      <c r="D12" s="16" t="inlineStr">
        <is>
          <t>4</t>
        </is>
      </c>
      <c r="E12" s="14" t="n"/>
    </row>
    <row r="13" ht="24" customHeight="1">
      <c r="B13" s="13" t="inlineStr">
        <is>
          <t>🌡️ Temperatura (°C)</t>
        </is>
      </c>
      <c r="C13" s="14" t="n"/>
      <c r="D13" s="16" t="inlineStr">
        <is>
          <t>24</t>
        </is>
      </c>
      <c r="E13" s="14" t="n"/>
    </row>
    <row r="14" ht="24" customHeight="1">
      <c r="B14" s="13" t="inlineStr">
        <is>
          <t>💧 Umidade Vega (%)</t>
        </is>
      </c>
      <c r="C14" s="14" t="n"/>
      <c r="D14" s="16" t="inlineStr">
        <is>
          <t>65</t>
        </is>
      </c>
      <c r="E14" s="14" t="n"/>
    </row>
    <row r="15" ht="24" customHeight="1">
      <c r="B15" s="13" t="inlineStr">
        <is>
          <t>💧 Umidade Flora (%)</t>
        </is>
      </c>
      <c r="C15" s="14" t="n"/>
      <c r="D15" s="16" t="inlineStr">
        <is>
          <t>50</t>
        </is>
      </c>
      <c r="E15" s="14" t="n"/>
    </row>
    <row r="16" ht="21.75" customHeight="1"/>
    <row r="17" ht="25.5" customHeight="1">
      <c r="B17" s="18" t="inlineStr">
        <is>
          <t>📆  CALENDÁRIO DE FASES  (calculado automaticamente)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1.75" customHeight="1">
      <c r="B18" s="19" t="inlineStr">
        <is>
          <t>Fase</t>
        </is>
      </c>
      <c r="C18" s="14" t="n"/>
      <c r="D18" s="19" t="inlineStr">
        <is>
          <t>Início</t>
        </is>
      </c>
      <c r="E18" s="14" t="n"/>
      <c r="F18" s="19" t="inlineStr">
        <is>
          <t>Fim</t>
        </is>
      </c>
      <c r="G18" s="14" t="n"/>
      <c r="H18" s="19" t="inlineStr">
        <is>
          <t>Duração</t>
        </is>
      </c>
      <c r="I18" s="14" t="n"/>
    </row>
    <row r="19" ht="25.5" customHeight="1">
      <c r="B19" s="20" t="inlineStr">
        <is>
          <t>🌱 CLONE</t>
        </is>
      </c>
      <c r="C19" s="14" t="n"/>
      <c r="D19" s="21">
        <f>D6</f>
        <v/>
      </c>
      <c r="E19" s="14" t="n"/>
      <c r="F19" s="21">
        <f>D6+I6-1</f>
        <v/>
      </c>
      <c r="G19" s="14" t="n"/>
      <c r="H19" s="22">
        <f>I6&amp;" dias"</f>
        <v/>
      </c>
      <c r="I19" s="14" t="n"/>
    </row>
    <row r="20" ht="25.5" customHeight="1">
      <c r="B20" s="23" t="inlineStr">
        <is>
          <t>🌿 VEGETATIVO</t>
        </is>
      </c>
      <c r="C20" s="14" t="n"/>
      <c r="D20" s="24">
        <f>D6+I6</f>
        <v/>
      </c>
      <c r="E20" s="14" t="n"/>
      <c r="F20" s="24">
        <f>D6+I6+I7-1</f>
        <v/>
      </c>
      <c r="G20" s="14" t="n"/>
      <c r="H20" s="25">
        <f>I7&amp;" dias"</f>
        <v/>
      </c>
      <c r="I20" s="14" t="n"/>
    </row>
    <row r="21" ht="25.5" customHeight="1">
      <c r="B21" s="26" t="inlineStr">
        <is>
          <t>🌸 FLORAÇÃO</t>
        </is>
      </c>
      <c r="C21" s="14" t="n"/>
      <c r="D21" s="27">
        <f>D6+I6+I7</f>
        <v/>
      </c>
      <c r="E21" s="14" t="n"/>
      <c r="F21" s="27">
        <f>D6+I6+I7+I8-1</f>
        <v/>
      </c>
      <c r="G21" s="14" t="n"/>
      <c r="H21" s="28">
        <f>I8&amp;" dias"</f>
        <v/>
      </c>
      <c r="I21" s="14" t="n"/>
    </row>
    <row r="22" ht="25.5" customHeight="1">
      <c r="B22" s="29" t="inlineStr">
        <is>
          <t>🚿 FLUSH</t>
        </is>
      </c>
      <c r="C22" s="14" t="n"/>
      <c r="D22" s="30">
        <f>D6+I6+I7+I8</f>
        <v/>
      </c>
      <c r="E22" s="14" t="n"/>
      <c r="F22" s="30">
        <f>D6+I6+I7+I8+I9-1</f>
        <v/>
      </c>
      <c r="G22" s="14" t="n"/>
      <c r="H22" s="31">
        <f>I9&amp;" dias"</f>
        <v/>
      </c>
      <c r="I22" s="14" t="n"/>
    </row>
    <row r="23" ht="25.5" customHeight="1">
      <c r="B23" s="32" t="inlineStr">
        <is>
          <t>✂️ COLHEITA</t>
        </is>
      </c>
      <c r="C23" s="14" t="n"/>
      <c r="D23" s="33">
        <f>D6+I10</f>
        <v/>
      </c>
      <c r="E23" s="14" t="n"/>
      <c r="F23" s="33">
        <f>D6+I10</f>
        <v/>
      </c>
      <c r="G23" s="14" t="n"/>
      <c r="H23" s="34" t="inlineStr">
        <is>
          <t>"Dia da colheita"</t>
        </is>
      </c>
      <c r="I23" s="14" t="n"/>
    </row>
    <row r="24" ht="21.75" customHeight="1"/>
    <row r="25" ht="21.75" customHeight="1">
      <c r="B25" s="35" t="inlineStr">
        <is>
          <t>📌  LEGENDA E INSTRUÇÕES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21.75" customHeight="1">
      <c r="B26" s="36" t="inlineStr">
        <is>
          <t>🟡 Célula amarela</t>
        </is>
      </c>
      <c r="C26" s="14" t="n"/>
      <c r="D26" s="37" t="inlineStr">
        <is>
          <t>Campo de entrada — preencha com os dados do seu cultivo</t>
        </is>
      </c>
      <c r="E26" s="12" t="n"/>
      <c r="F26" s="12" t="n"/>
      <c r="G26" s="12" t="n"/>
      <c r="H26" s="12" t="n"/>
      <c r="I26" s="12" t="n"/>
      <c r="J26" s="14" t="n"/>
    </row>
    <row r="27" ht="21.75" customHeight="1">
      <c r="B27" s="36" t="inlineStr">
        <is>
          <t>🟢 Verde</t>
        </is>
      </c>
      <c r="C27" s="14" t="n"/>
      <c r="D27" s="37" t="inlineStr">
        <is>
          <t>Fase Clone / início do ciclo</t>
        </is>
      </c>
      <c r="E27" s="12" t="n"/>
      <c r="F27" s="12" t="n"/>
      <c r="G27" s="12" t="n"/>
      <c r="H27" s="12" t="n"/>
      <c r="I27" s="12" t="n"/>
      <c r="J27" s="14" t="n"/>
    </row>
    <row r="28" ht="21.75" customHeight="1">
      <c r="B28" s="36" t="inlineStr">
        <is>
          <t>🔵 Azul</t>
        </is>
      </c>
      <c r="C28" s="14" t="n"/>
      <c r="D28" s="37" t="inlineStr">
        <is>
          <t>Fase Vegetativa</t>
        </is>
      </c>
      <c r="E28" s="12" t="n"/>
      <c r="F28" s="12" t="n"/>
      <c r="G28" s="12" t="n"/>
      <c r="H28" s="12" t="n"/>
      <c r="I28" s="12" t="n"/>
      <c r="J28" s="14" t="n"/>
    </row>
    <row r="29" ht="21.75" customHeight="1">
      <c r="B29" s="36" t="inlineStr">
        <is>
          <t>🟣 Roxo</t>
        </is>
      </c>
      <c r="C29" s="14" t="n"/>
      <c r="D29" s="37" t="inlineStr">
        <is>
          <t>Fase de Floração</t>
        </is>
      </c>
      <c r="E29" s="12" t="n"/>
      <c r="F29" s="12" t="n"/>
      <c r="G29" s="12" t="n"/>
      <c r="H29" s="12" t="n"/>
      <c r="I29" s="12" t="n"/>
      <c r="J29" s="14" t="n"/>
    </row>
    <row r="30" ht="21.75" customHeight="1">
      <c r="B30" s="36" t="inlineStr">
        <is>
          <t>🔴 Vermelho</t>
        </is>
      </c>
      <c r="C30" s="14" t="n"/>
      <c r="D30" s="37" t="inlineStr">
        <is>
          <t>Flush (lavagem do substrato)</t>
        </is>
      </c>
      <c r="E30" s="12" t="n"/>
      <c r="F30" s="12" t="n"/>
      <c r="G30" s="12" t="n"/>
      <c r="H30" s="12" t="n"/>
      <c r="I30" s="12" t="n"/>
      <c r="J30" s="14" t="n"/>
    </row>
    <row r="31" ht="21.75" customHeight="1">
      <c r="B31" s="36" t="inlineStr">
        <is>
          <t>📋 Aba Cronograma</t>
        </is>
      </c>
      <c r="C31" s="14" t="n"/>
      <c r="D31" s="37" t="inlineStr">
        <is>
          <t>Calendário diário completo — gerado após preencher a Data Dia 1</t>
        </is>
      </c>
      <c r="E31" s="12" t="n"/>
      <c r="F31" s="12" t="n"/>
      <c r="G31" s="12" t="n"/>
      <c r="H31" s="12" t="n"/>
      <c r="I31" s="12" t="n"/>
      <c r="J31" s="14" t="n"/>
    </row>
    <row r="32" ht="21.75" customHeight="1">
      <c r="B32" s="36" t="inlineStr">
        <is>
          <t>💊 Aba Adubação</t>
        </is>
      </c>
      <c r="C32" s="14" t="n"/>
      <c r="D32" s="37" t="inlineStr">
        <is>
          <t>Protocolo de nutrição por fase com doses e produtos</t>
        </is>
      </c>
      <c r="E32" s="12" t="n"/>
      <c r="F32" s="12" t="n"/>
      <c r="G32" s="12" t="n"/>
      <c r="H32" s="12" t="n"/>
      <c r="I32" s="12" t="n"/>
      <c r="J32" s="14" t="n"/>
    </row>
    <row r="33" ht="21.75" customHeight="1">
      <c r="B33" s="36" t="inlineStr">
        <is>
          <t>🐛 Aba Pragas (MIP)</t>
        </is>
      </c>
      <c r="C33" s="14" t="n"/>
      <c r="D33" s="37" t="inlineStr">
        <is>
          <t>Calendário de controle integrado de pragas preventivo</t>
        </is>
      </c>
      <c r="E33" s="12" t="n"/>
      <c r="F33" s="12" t="n"/>
      <c r="G33" s="12" t="n"/>
      <c r="H33" s="12" t="n"/>
      <c r="I33" s="12" t="n"/>
      <c r="J33" s="14" t="n"/>
    </row>
    <row r="34" ht="21.75" customHeight="1">
      <c r="B34" s="36" t="inlineStr">
        <is>
          <t>📊 Aba Diário</t>
        </is>
      </c>
      <c r="C34" s="14" t="n"/>
      <c r="D34" s="37" t="inlineStr">
        <is>
          <t>Registro diário de parâmetros — temperatura, pH, CE, observações</t>
        </is>
      </c>
      <c r="E34" s="12" t="n"/>
      <c r="F34" s="12" t="n"/>
      <c r="G34" s="12" t="n"/>
      <c r="H34" s="12" t="n"/>
      <c r="I34" s="12" t="n"/>
      <c r="J34" s="14" t="n"/>
    </row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</sheetData>
  <mergeCells count="77">
    <mergeCell ref="D20:E20"/>
    <mergeCell ref="B22:C22"/>
    <mergeCell ref="D22:E22"/>
    <mergeCell ref="B31:C31"/>
    <mergeCell ref="D33:J33"/>
    <mergeCell ref="B12:C12"/>
    <mergeCell ref="D6:E6"/>
    <mergeCell ref="B21:C21"/>
    <mergeCell ref="D26:J26"/>
    <mergeCell ref="D13:E13"/>
    <mergeCell ref="B14:C14"/>
    <mergeCell ref="B13:C13"/>
    <mergeCell ref="D7:E7"/>
    <mergeCell ref="F23:G23"/>
    <mergeCell ref="B25:J25"/>
    <mergeCell ref="B3:J3"/>
    <mergeCell ref="B33:C33"/>
    <mergeCell ref="H23:I23"/>
    <mergeCell ref="B32:C32"/>
    <mergeCell ref="B26:C26"/>
    <mergeCell ref="B2:J2"/>
    <mergeCell ref="I6:J6"/>
    <mergeCell ref="D10:E10"/>
    <mergeCell ref="D19:E19"/>
    <mergeCell ref="F19:G19"/>
    <mergeCell ref="B18:C18"/>
    <mergeCell ref="B27:C27"/>
    <mergeCell ref="D29:J29"/>
    <mergeCell ref="G7:H7"/>
    <mergeCell ref="B11:C11"/>
    <mergeCell ref="I7:J7"/>
    <mergeCell ref="D11:E11"/>
    <mergeCell ref="F20:G20"/>
    <mergeCell ref="F18:G18"/>
    <mergeCell ref="B29:C29"/>
    <mergeCell ref="H19:I19"/>
    <mergeCell ref="I8:J8"/>
    <mergeCell ref="D9:E9"/>
    <mergeCell ref="D27:J27"/>
    <mergeCell ref="B6:C6"/>
    <mergeCell ref="B15:C15"/>
    <mergeCell ref="D15:E15"/>
    <mergeCell ref="I10:J10"/>
    <mergeCell ref="D23:E23"/>
    <mergeCell ref="G9:H9"/>
    <mergeCell ref="I9:J9"/>
    <mergeCell ref="D28:J28"/>
    <mergeCell ref="B7:C7"/>
    <mergeCell ref="B17:J17"/>
    <mergeCell ref="D30:J30"/>
    <mergeCell ref="F21:G21"/>
    <mergeCell ref="H21:I21"/>
    <mergeCell ref="D31:J31"/>
    <mergeCell ref="B5:J5"/>
    <mergeCell ref="B19:C19"/>
    <mergeCell ref="B34:C34"/>
    <mergeCell ref="B28:C28"/>
    <mergeCell ref="F22:G22"/>
    <mergeCell ref="H22:I22"/>
    <mergeCell ref="B9:C9"/>
    <mergeCell ref="D12:E12"/>
    <mergeCell ref="D32:J32"/>
    <mergeCell ref="B30:C30"/>
    <mergeCell ref="B20:C20"/>
    <mergeCell ref="D14:E14"/>
    <mergeCell ref="H20:I20"/>
    <mergeCell ref="G8:H8"/>
    <mergeCell ref="D21:E21"/>
    <mergeCell ref="G10:H10"/>
    <mergeCell ref="B23:C23"/>
    <mergeCell ref="D34:J34"/>
    <mergeCell ref="G6:H6"/>
    <mergeCell ref="B8:C8"/>
    <mergeCell ref="B10:C10"/>
    <mergeCell ref="D18:E18"/>
    <mergeCell ref="D8:E8"/>
    <mergeCell ref="H18:I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196F3"/>
    <outlinePr summaryBelow="1" summaryRight="1"/>
    <pageSetUpPr/>
  </sheetPr>
  <dimension ref="A1:I1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6" customWidth="1" min="3" max="3"/>
    <col width="14" customWidth="1" min="4" max="4"/>
    <col width="16" customWidth="1" min="5" max="5"/>
    <col width="20" customWidth="1" min="7" max="7"/>
    <col width="3" customWidth="1" min="10" max="10"/>
  </cols>
  <sheetData>
    <row r="1"/>
    <row r="2" ht="45" customHeight="1">
      <c r="B2" s="38" t="inlineStr">
        <is>
          <t>📅  CRONOGRAMA COMPLETO DO CULTIVO</t>
        </is>
      </c>
    </row>
    <row r="3" ht="18" customHeight="1">
      <c r="B3" s="39" t="inlineStr">
        <is>
          <t>Todas as datas são calculadas automaticamente a partir do Dia 1 configurado na aba Configuração</t>
        </is>
      </c>
    </row>
    <row r="4"/>
    <row r="5" ht="30" customHeight="1">
      <c r="B5" s="19" t="inlineStr">
        <is>
          <t>Dia</t>
        </is>
      </c>
      <c r="C5" s="19" t="inlineStr">
        <is>
          <t>Data</t>
        </is>
      </c>
      <c r="D5" s="19" t="inlineStr">
        <is>
          <t>Fase</t>
        </is>
      </c>
      <c r="E5" s="19" t="inlineStr">
        <is>
          <t>Semana</t>
        </is>
      </c>
      <c r="F5" s="19" t="inlineStr">
        <is>
          <t>Adubação</t>
        </is>
      </c>
      <c r="G5" s="19" t="inlineStr">
        <is>
          <t>MIP / Pragas</t>
        </is>
      </c>
      <c r="H5" s="19" t="inlineStr">
        <is>
          <t>Ação Principal</t>
        </is>
      </c>
      <c r="I5" s="19" t="inlineStr">
        <is>
          <t>Observação / Alerta</t>
        </is>
      </c>
    </row>
    <row r="6" ht="19.5" customHeight="1">
      <c r="B6" s="40" t="inlineStr">
        <is>
          <t>1</t>
        </is>
      </c>
      <c r="C6" s="41">
        <f>'🌱 Configuração'!D6+0</f>
        <v/>
      </c>
      <c r="D6" s="42" t="inlineStr">
        <is>
          <t>Clone</t>
        </is>
      </c>
      <c r="E6" s="43" t="inlineStr">
        <is>
          <t>Clone S1</t>
        </is>
      </c>
      <c r="F6" s="44" t="n"/>
      <c r="G6" s="45" t="n"/>
      <c r="H6" s="43" t="inlineStr">
        <is>
          <t>✂️ Receber clone — verificar raízes</t>
        </is>
      </c>
      <c r="I6" s="43" t="n"/>
    </row>
    <row r="7" ht="19.5" customHeight="1">
      <c r="B7" s="40" t="inlineStr">
        <is>
          <t>2</t>
        </is>
      </c>
      <c r="C7" s="46">
        <f>'🌱 Configuração'!D6+1</f>
        <v/>
      </c>
      <c r="D7" s="42" t="inlineStr">
        <is>
          <t>Clone</t>
        </is>
      </c>
      <c r="E7" s="47" t="inlineStr">
        <is>
          <t>Clone S1</t>
        </is>
      </c>
      <c r="F7" s="48" t="n"/>
      <c r="G7" s="49" t="inlineStr">
        <is>
          <t>🐛 MIP: Nim (2mL/L) — preventivo foliar</t>
        </is>
      </c>
      <c r="H7" s="47" t="n"/>
      <c r="I7" s="47" t="n"/>
    </row>
    <row r="8" ht="19.5" customHeight="1">
      <c r="B8" s="40" t="inlineStr">
        <is>
          <t>3</t>
        </is>
      </c>
      <c r="C8" s="41">
        <f>'🌱 Configuração'!D6+2</f>
        <v/>
      </c>
      <c r="D8" s="42" t="inlineStr">
        <is>
          <t>Clone</t>
        </is>
      </c>
      <c r="E8" s="43" t="inlineStr">
        <is>
          <t>Clone S1</t>
        </is>
      </c>
      <c r="F8" s="44" t="inlineStr">
        <is>
          <t>🌱 Enraizador (0.5 mL/L)</t>
        </is>
      </c>
      <c r="G8" s="45" t="n"/>
      <c r="H8" s="43" t="inlineStr">
        <is>
          <t>💧 1ª rega com enraizador</t>
        </is>
      </c>
      <c r="I8" s="43" t="n"/>
    </row>
    <row r="9" ht="19.5" customHeight="1">
      <c r="B9" s="40" t="inlineStr">
        <is>
          <t>4</t>
        </is>
      </c>
      <c r="C9" s="46">
        <f>'🌱 Configuração'!D6+3</f>
        <v/>
      </c>
      <c r="D9" s="42" t="inlineStr">
        <is>
          <t>Clone</t>
        </is>
      </c>
      <c r="E9" s="47" t="inlineStr">
        <is>
          <t>Clone S1</t>
        </is>
      </c>
      <c r="F9" s="48" t="n"/>
      <c r="G9" s="49" t="n"/>
      <c r="H9" s="47" t="n"/>
      <c r="I9" s="47" t="n"/>
    </row>
    <row r="10" ht="19.5" customHeight="1">
      <c r="B10" s="40" t="inlineStr">
        <is>
          <t>5</t>
        </is>
      </c>
      <c r="C10" s="41">
        <f>'🌱 Configuração'!D6+4</f>
        <v/>
      </c>
      <c r="D10" s="42" t="inlineStr">
        <is>
          <t>Clone</t>
        </is>
      </c>
      <c r="E10" s="43" t="inlineStr">
        <is>
          <t>Clone S1</t>
        </is>
      </c>
      <c r="F10" s="44" t="n"/>
      <c r="G10" s="45" t="n"/>
      <c r="H10" s="43" t="n"/>
      <c r="I10" s="43" t="n"/>
    </row>
    <row r="11" ht="19.5" customHeight="1">
      <c r="B11" s="40" t="inlineStr">
        <is>
          <t>6</t>
        </is>
      </c>
      <c r="C11" s="46">
        <f>'🌱 Configuração'!D6+5</f>
        <v/>
      </c>
      <c r="D11" s="42" t="inlineStr">
        <is>
          <t>Clone</t>
        </is>
      </c>
      <c r="E11" s="47" t="inlineStr">
        <is>
          <t>Clone S1</t>
        </is>
      </c>
      <c r="F11" s="48" t="n"/>
      <c r="G11" s="49" t="n"/>
      <c r="H11" s="47" t="n"/>
      <c r="I11" s="47" t="n"/>
    </row>
    <row r="12" ht="19.5" customHeight="1">
      <c r="B12" s="40" t="inlineStr">
        <is>
          <t>7</t>
        </is>
      </c>
      <c r="C12" s="41">
        <f>'🌱 Configuração'!D6+6</f>
        <v/>
      </c>
      <c r="D12" s="42" t="inlineStr">
        <is>
          <t>Clone</t>
        </is>
      </c>
      <c r="E12" s="43" t="inlineStr">
        <is>
          <t>Clone S1</t>
        </is>
      </c>
      <c r="F12" s="44" t="inlineStr">
        <is>
          <t>🌱 Enraizador (0.5 mL/L)</t>
        </is>
      </c>
      <c r="G12" s="45" t="n"/>
      <c r="H12" s="43" t="inlineStr">
        <is>
          <t>🔍 Verificar pegamento do clone</t>
        </is>
      </c>
      <c r="I12" s="43" t="inlineStr">
        <is>
          <t>⚠️ pH ideal: 5.8–6.2 (coco/hidro) | 6.0–6.8 (terra)</t>
        </is>
      </c>
    </row>
    <row r="13" ht="19.5" customHeight="1">
      <c r="B13" s="40" t="inlineStr">
        <is>
          <t>8</t>
        </is>
      </c>
      <c r="C13" s="46">
        <f>'🌱 Configuração'!D6+7</f>
        <v/>
      </c>
      <c r="D13" s="42" t="inlineStr">
        <is>
          <t>Clone</t>
        </is>
      </c>
      <c r="E13" s="47" t="inlineStr">
        <is>
          <t>Clone S2</t>
        </is>
      </c>
      <c r="F13" s="48" t="n"/>
      <c r="G13" s="49" t="n"/>
      <c r="H13" s="47" t="n"/>
      <c r="I13" s="47" t="n"/>
    </row>
    <row r="14" ht="19.5" customHeight="1">
      <c r="B14" s="40" t="inlineStr">
        <is>
          <t>9</t>
        </is>
      </c>
      <c r="C14" s="41">
        <f>'🌱 Configuração'!D6+8</f>
        <v/>
      </c>
      <c r="D14" s="42" t="inlineStr">
        <is>
          <t>Clone</t>
        </is>
      </c>
      <c r="E14" s="43" t="inlineStr">
        <is>
          <t>Clone S2</t>
        </is>
      </c>
      <c r="F14" s="44" t="n"/>
      <c r="G14" s="45" t="inlineStr">
        <is>
          <t>🐛 MIP: Beauveria bassiana — preventivo</t>
        </is>
      </c>
      <c r="H14" s="43" t="n"/>
      <c r="I14" s="43" t="n"/>
    </row>
    <row r="15" ht="19.5" customHeight="1">
      <c r="B15" s="40" t="inlineStr">
        <is>
          <t>10</t>
        </is>
      </c>
      <c r="C15" s="46">
        <f>'🌱 Configuração'!D6+9</f>
        <v/>
      </c>
      <c r="D15" s="42" t="inlineStr">
        <is>
          <t>Clone</t>
        </is>
      </c>
      <c r="E15" s="47" t="inlineStr">
        <is>
          <t>Clone S2</t>
        </is>
      </c>
      <c r="F15" s="48" t="n"/>
      <c r="G15" s="49" t="n"/>
      <c r="H15" s="47" t="n"/>
      <c r="I15" s="47" t="n"/>
    </row>
    <row r="16" ht="19.5" customHeight="1">
      <c r="B16" s="40" t="inlineStr">
        <is>
          <t>11</t>
        </is>
      </c>
      <c r="C16" s="41">
        <f>'🌱 Configuração'!D6+10</f>
        <v/>
      </c>
      <c r="D16" s="42" t="inlineStr">
        <is>
          <t>Clone</t>
        </is>
      </c>
      <c r="E16" s="43" t="inlineStr">
        <is>
          <t>Clone S2</t>
        </is>
      </c>
      <c r="F16" s="44" t="n"/>
      <c r="G16" s="45" t="n"/>
      <c r="H16" s="43" t="n"/>
      <c r="I16" s="43" t="n"/>
    </row>
    <row r="17" ht="19.5" customHeight="1">
      <c r="B17" s="40" t="inlineStr">
        <is>
          <t>12</t>
        </is>
      </c>
      <c r="C17" s="46">
        <f>'🌱 Configuração'!D6+11</f>
        <v/>
      </c>
      <c r="D17" s="42" t="inlineStr">
        <is>
          <t>Clone</t>
        </is>
      </c>
      <c r="E17" s="47" t="inlineStr">
        <is>
          <t>Clone S2</t>
        </is>
      </c>
      <c r="F17" s="48" t="inlineStr">
        <is>
          <t>🌱 Enraizador + Vitamina B1</t>
        </is>
      </c>
      <c r="G17" s="49" t="n"/>
      <c r="H17" s="47" t="n"/>
      <c r="I17" s="47" t="n"/>
    </row>
    <row r="18" ht="19.5" customHeight="1">
      <c r="B18" s="40" t="inlineStr">
        <is>
          <t>13</t>
        </is>
      </c>
      <c r="C18" s="41">
        <f>'🌱 Configuração'!D6+12</f>
        <v/>
      </c>
      <c r="D18" s="42" t="inlineStr">
        <is>
          <t>Clone</t>
        </is>
      </c>
      <c r="E18" s="43" t="inlineStr">
        <is>
          <t>Clone S2</t>
        </is>
      </c>
      <c r="F18" s="44" t="n"/>
      <c r="G18" s="45" t="n"/>
      <c r="H18" s="43" t="n"/>
      <c r="I18" s="43" t="n"/>
    </row>
    <row r="19" ht="19.5" customHeight="1">
      <c r="B19" s="40" t="inlineStr">
        <is>
          <t>14</t>
        </is>
      </c>
      <c r="C19" s="46">
        <f>'🌱 Configuração'!D6+13</f>
        <v/>
      </c>
      <c r="D19" s="42" t="inlineStr">
        <is>
          <t>Clone</t>
        </is>
      </c>
      <c r="E19" s="47" t="inlineStr">
        <is>
          <t>Clone S2</t>
        </is>
      </c>
      <c r="F19" s="48" t="n"/>
      <c r="G19" s="49" t="inlineStr">
        <is>
          <t>🐛 MIP: Nim (2mL/L) — fim clone</t>
        </is>
      </c>
      <c r="H19" s="47" t="inlineStr">
        <is>
          <t>📐 Medir crescimento — avaliar vega</t>
        </is>
      </c>
      <c r="I19" s="47" t="inlineStr">
        <is>
          <t>⚠️ Clone deve ter raízes visíveis</t>
        </is>
      </c>
    </row>
    <row r="20" ht="19.5" customHeight="1">
      <c r="B20" s="40" t="inlineStr">
        <is>
          <t>15</t>
        </is>
      </c>
      <c r="C20" s="41">
        <f>'🌱 Configuração'!D6+14</f>
        <v/>
      </c>
      <c r="D20" s="50" t="inlineStr">
        <is>
          <t>Vegetativo</t>
        </is>
      </c>
      <c r="E20" s="43" t="inlineStr">
        <is>
          <t>Vega S1</t>
        </is>
      </c>
      <c r="F20" s="44" t="n"/>
      <c r="G20" s="45" t="n"/>
      <c r="H20" s="43" t="inlineStr">
        <is>
          <t>🔆 Iniciar Vega — aumentar espaço</t>
        </is>
      </c>
      <c r="I20" s="43" t="n"/>
    </row>
    <row r="21" ht="19.5" customHeight="1">
      <c r="B21" s="40" t="inlineStr">
        <is>
          <t>16</t>
        </is>
      </c>
      <c r="C21" s="51">
        <f>'🌱 Configuração'!D6+15</f>
        <v/>
      </c>
      <c r="D21" s="50" t="inlineStr">
        <is>
          <t>Vegetativo</t>
        </is>
      </c>
      <c r="E21" s="52" t="inlineStr">
        <is>
          <t>Vega S1</t>
        </is>
      </c>
      <c r="F21" s="53" t="inlineStr">
        <is>
          <t>🌿 Grow A+B — Início Vega (EC 0.8)</t>
        </is>
      </c>
      <c r="G21" s="54" t="n"/>
      <c r="H21" s="52" t="inlineStr">
        <is>
          <t>🌿 1ª adubação completa</t>
        </is>
      </c>
      <c r="I21" s="52" t="n"/>
    </row>
    <row r="22" ht="19.5" customHeight="1">
      <c r="B22" s="40" t="inlineStr">
        <is>
          <t>17</t>
        </is>
      </c>
      <c r="C22" s="41">
        <f>'🌱 Configuração'!D6+16</f>
        <v/>
      </c>
      <c r="D22" s="50" t="inlineStr">
        <is>
          <t>Vegetativo</t>
        </is>
      </c>
      <c r="E22" s="43" t="inlineStr">
        <is>
          <t>Vega S1</t>
        </is>
      </c>
      <c r="F22" s="44" t="n"/>
      <c r="G22" s="45" t="n"/>
      <c r="H22" s="43" t="n"/>
      <c r="I22" s="43" t="n"/>
    </row>
    <row r="23" ht="19.5" customHeight="1">
      <c r="B23" s="40" t="inlineStr">
        <is>
          <t>18</t>
        </is>
      </c>
      <c r="C23" s="51">
        <f>'🌱 Configuração'!D6+17</f>
        <v/>
      </c>
      <c r="D23" s="50" t="inlineStr">
        <is>
          <t>Vegetativo</t>
        </is>
      </c>
      <c r="E23" s="52" t="inlineStr">
        <is>
          <t>Vega S1</t>
        </is>
      </c>
      <c r="F23" s="53" t="n"/>
      <c r="G23" s="54" t="n"/>
      <c r="H23" s="52" t="n"/>
      <c r="I23" s="52" t="n"/>
    </row>
    <row r="24" ht="19.5" customHeight="1">
      <c r="B24" s="40" t="inlineStr">
        <is>
          <t>19</t>
        </is>
      </c>
      <c r="C24" s="41">
        <f>'🌱 Configuração'!D6+18</f>
        <v/>
      </c>
      <c r="D24" s="50" t="inlineStr">
        <is>
          <t>Vegetativo</t>
        </is>
      </c>
      <c r="E24" s="43" t="inlineStr">
        <is>
          <t>Vega S1</t>
        </is>
      </c>
      <c r="F24" s="44" t="n"/>
      <c r="G24" s="45" t="n"/>
      <c r="H24" s="43" t="n"/>
      <c r="I24" s="43" t="n"/>
    </row>
    <row r="25" ht="19.5" customHeight="1">
      <c r="B25" s="40" t="inlineStr">
        <is>
          <t>20</t>
        </is>
      </c>
      <c r="C25" s="51">
        <f>'🌱 Configuração'!D6+19</f>
        <v/>
      </c>
      <c r="D25" s="50" t="inlineStr">
        <is>
          <t>Vegetativo</t>
        </is>
      </c>
      <c r="E25" s="52" t="inlineStr">
        <is>
          <t>Vega S1</t>
        </is>
      </c>
      <c r="F25" s="53" t="n"/>
      <c r="G25" s="54" t="n"/>
      <c r="H25" s="52" t="n"/>
      <c r="I25" s="52" t="n"/>
    </row>
    <row r="26" ht="19.5" customHeight="1">
      <c r="B26" s="40" t="inlineStr">
        <is>
          <t>21</t>
        </is>
      </c>
      <c r="C26" s="41">
        <f>'🌱 Configuração'!D6+20</f>
        <v/>
      </c>
      <c r="D26" s="50" t="inlineStr">
        <is>
          <t>Vegetativo</t>
        </is>
      </c>
      <c r="E26" s="43" t="inlineStr">
        <is>
          <t>Vega S1</t>
        </is>
      </c>
      <c r="F26" s="44" t="inlineStr">
        <is>
          <t>🌿 Grow A+B — EC 1.0</t>
        </is>
      </c>
      <c r="G26" s="45" t="inlineStr">
        <is>
          <t>🐛 MIP: Beauveria bassiana</t>
        </is>
      </c>
      <c r="H26" s="43" t="inlineStr">
        <is>
          <t>✂️ LST ou Topping (opcional)</t>
        </is>
      </c>
      <c r="I26" s="43" t="inlineStr">
        <is>
          <t>⚠️ Monitorar pH e CE da solução</t>
        </is>
      </c>
    </row>
    <row r="27" ht="19.5" customHeight="1">
      <c r="B27" s="40" t="inlineStr">
        <is>
          <t>22</t>
        </is>
      </c>
      <c r="C27" s="51">
        <f>'🌱 Configuração'!D6+21</f>
        <v/>
      </c>
      <c r="D27" s="50" t="inlineStr">
        <is>
          <t>Vegetativo</t>
        </is>
      </c>
      <c r="E27" s="52" t="inlineStr">
        <is>
          <t>Vega S2</t>
        </is>
      </c>
      <c r="F27" s="53" t="n"/>
      <c r="G27" s="54" t="n"/>
      <c r="H27" s="52" t="n"/>
      <c r="I27" s="52" t="n"/>
    </row>
    <row r="28" ht="19.5" customHeight="1">
      <c r="B28" s="40" t="inlineStr">
        <is>
          <t>23</t>
        </is>
      </c>
      <c r="C28" s="41">
        <f>'🌱 Configuração'!D6+22</f>
        <v/>
      </c>
      <c r="D28" s="50" t="inlineStr">
        <is>
          <t>Vegetativo</t>
        </is>
      </c>
      <c r="E28" s="43" t="inlineStr">
        <is>
          <t>Vega S2</t>
        </is>
      </c>
      <c r="F28" s="44" t="n"/>
      <c r="G28" s="45" t="n"/>
      <c r="H28" s="43" t="n"/>
      <c r="I28" s="43" t="n"/>
    </row>
    <row r="29" ht="19.5" customHeight="1">
      <c r="B29" s="40" t="inlineStr">
        <is>
          <t>24</t>
        </is>
      </c>
      <c r="C29" s="51">
        <f>'🌱 Configuração'!D6+23</f>
        <v/>
      </c>
      <c r="D29" s="50" t="inlineStr">
        <is>
          <t>Vegetativo</t>
        </is>
      </c>
      <c r="E29" s="52" t="inlineStr">
        <is>
          <t>Vega S2</t>
        </is>
      </c>
      <c r="F29" s="53" t="n"/>
      <c r="G29" s="54" t="n"/>
      <c r="H29" s="52" t="n"/>
      <c r="I29" s="52" t="n"/>
    </row>
    <row r="30" ht="19.5" customHeight="1">
      <c r="B30" s="40" t="inlineStr">
        <is>
          <t>25</t>
        </is>
      </c>
      <c r="C30" s="41">
        <f>'🌱 Configuração'!D6+24</f>
        <v/>
      </c>
      <c r="D30" s="50" t="inlineStr">
        <is>
          <t>Vegetativo</t>
        </is>
      </c>
      <c r="E30" s="43" t="inlineStr">
        <is>
          <t>Vega S2</t>
        </is>
      </c>
      <c r="F30" s="44" t="inlineStr">
        <is>
          <t>🌿 Grow A+B + CalMag (EC 1.2)</t>
        </is>
      </c>
      <c r="G30" s="45" t="n"/>
      <c r="H30" s="43" t="n"/>
      <c r="I30" s="43" t="n"/>
    </row>
    <row r="31" ht="19.5" customHeight="1">
      <c r="B31" s="40" t="inlineStr">
        <is>
          <t>26</t>
        </is>
      </c>
      <c r="C31" s="51">
        <f>'🌱 Configuração'!D6+25</f>
        <v/>
      </c>
      <c r="D31" s="50" t="inlineStr">
        <is>
          <t>Vegetativo</t>
        </is>
      </c>
      <c r="E31" s="52" t="inlineStr">
        <is>
          <t>Vega S2</t>
        </is>
      </c>
      <c r="F31" s="53" t="n"/>
      <c r="G31" s="54" t="n"/>
      <c r="H31" s="52" t="n"/>
      <c r="I31" s="52" t="n"/>
    </row>
    <row r="32" ht="19.5" customHeight="1">
      <c r="B32" s="40" t="inlineStr">
        <is>
          <t>27</t>
        </is>
      </c>
      <c r="C32" s="41">
        <f>'🌱 Configuração'!D6+26</f>
        <v/>
      </c>
      <c r="D32" s="50" t="inlineStr">
        <is>
          <t>Vegetativo</t>
        </is>
      </c>
      <c r="E32" s="43" t="inlineStr">
        <is>
          <t>Vega S2</t>
        </is>
      </c>
      <c r="F32" s="44" t="n"/>
      <c r="G32" s="45" t="n"/>
      <c r="H32" s="43" t="n"/>
      <c r="I32" s="43" t="n"/>
    </row>
    <row r="33" ht="19.5" customHeight="1">
      <c r="B33" s="40" t="inlineStr">
        <is>
          <t>28</t>
        </is>
      </c>
      <c r="C33" s="51">
        <f>'🌱 Configuração'!D6+27</f>
        <v/>
      </c>
      <c r="D33" s="50" t="inlineStr">
        <is>
          <t>Vegetativo</t>
        </is>
      </c>
      <c r="E33" s="52" t="inlineStr">
        <is>
          <t>Vega S2</t>
        </is>
      </c>
      <c r="F33" s="53" t="inlineStr">
        <is>
          <t>🌿 Grow A+B + CalMag (EC 1.4)</t>
        </is>
      </c>
      <c r="G33" s="54" t="inlineStr">
        <is>
          <t>🐛 MIP: Nim (2mL/L) foliar</t>
        </is>
      </c>
      <c r="H33" s="52" t="inlineStr">
        <is>
          <t>📏 Avaliar altura e estrutura</t>
        </is>
      </c>
      <c r="I33" s="52" t="n"/>
    </row>
    <row r="34" ht="19.5" customHeight="1">
      <c r="B34" s="40" t="inlineStr">
        <is>
          <t>29</t>
        </is>
      </c>
      <c r="C34" s="41">
        <f>'🌱 Configuração'!D6+28</f>
        <v/>
      </c>
      <c r="D34" s="50" t="inlineStr">
        <is>
          <t>Vegetativo</t>
        </is>
      </c>
      <c r="E34" s="43" t="inlineStr">
        <is>
          <t>Vega S3</t>
        </is>
      </c>
      <c r="F34" s="44" t="n"/>
      <c r="G34" s="45" t="n"/>
      <c r="H34" s="43" t="n"/>
      <c r="I34" s="43" t="n"/>
    </row>
    <row r="35" ht="19.5" customHeight="1">
      <c r="B35" s="40" t="inlineStr">
        <is>
          <t>30</t>
        </is>
      </c>
      <c r="C35" s="51">
        <f>'🌱 Configuração'!D6+29</f>
        <v/>
      </c>
      <c r="D35" s="50" t="inlineStr">
        <is>
          <t>Vegetativo</t>
        </is>
      </c>
      <c r="E35" s="52" t="inlineStr">
        <is>
          <t>Vega S3</t>
        </is>
      </c>
      <c r="F35" s="53" t="n"/>
      <c r="G35" s="54" t="n"/>
      <c r="H35" s="52" t="n"/>
      <c r="I35" s="52" t="n"/>
    </row>
    <row r="36" ht="19.5" customHeight="1">
      <c r="B36" s="40" t="inlineStr">
        <is>
          <t>31</t>
        </is>
      </c>
      <c r="C36" s="41">
        <f>'🌱 Configuração'!D6+30</f>
        <v/>
      </c>
      <c r="D36" s="50" t="inlineStr">
        <is>
          <t>Vegetativo</t>
        </is>
      </c>
      <c r="E36" s="43" t="inlineStr">
        <is>
          <t>Vega S3</t>
        </is>
      </c>
      <c r="F36" s="44" t="n"/>
      <c r="G36" s="45" t="n"/>
      <c r="H36" s="43" t="n"/>
      <c r="I36" s="43" t="n"/>
    </row>
    <row r="37" ht="19.5" customHeight="1">
      <c r="B37" s="40" t="inlineStr">
        <is>
          <t>32</t>
        </is>
      </c>
      <c r="C37" s="51">
        <f>'🌱 Configuração'!D6+31</f>
        <v/>
      </c>
      <c r="D37" s="50" t="inlineStr">
        <is>
          <t>Vegetativo</t>
        </is>
      </c>
      <c r="E37" s="52" t="inlineStr">
        <is>
          <t>Vega S3</t>
        </is>
      </c>
      <c r="F37" s="53" t="inlineStr">
        <is>
          <t>🌿 Grow A+B + Enzimas</t>
        </is>
      </c>
      <c r="G37" s="54" t="n"/>
      <c r="H37" s="52" t="n"/>
      <c r="I37" s="52" t="n"/>
    </row>
    <row r="38" ht="19.5" customHeight="1">
      <c r="B38" s="40" t="inlineStr">
        <is>
          <t>33</t>
        </is>
      </c>
      <c r="C38" s="41">
        <f>'🌱 Configuração'!D6+32</f>
        <v/>
      </c>
      <c r="D38" s="50" t="inlineStr">
        <is>
          <t>Vegetativo</t>
        </is>
      </c>
      <c r="E38" s="43" t="inlineStr">
        <is>
          <t>Vega S3</t>
        </is>
      </c>
      <c r="F38" s="44" t="n"/>
      <c r="G38" s="45" t="n"/>
      <c r="H38" s="43" t="n"/>
      <c r="I38" s="43" t="n"/>
    </row>
    <row r="39" ht="19.5" customHeight="1">
      <c r="B39" s="40" t="inlineStr">
        <is>
          <t>34</t>
        </is>
      </c>
      <c r="C39" s="51">
        <f>'🌱 Configuração'!D6+33</f>
        <v/>
      </c>
      <c r="D39" s="50" t="inlineStr">
        <is>
          <t>Vegetativo</t>
        </is>
      </c>
      <c r="E39" s="52" t="inlineStr">
        <is>
          <t>Vega S3</t>
        </is>
      </c>
      <c r="F39" s="53" t="n"/>
      <c r="G39" s="54" t="n"/>
      <c r="H39" s="52" t="n"/>
      <c r="I39" s="52" t="n"/>
    </row>
    <row r="40" ht="19.5" customHeight="1">
      <c r="B40" s="40" t="inlineStr">
        <is>
          <t>35</t>
        </is>
      </c>
      <c r="C40" s="41">
        <f>'🌱 Configuração'!D6+34</f>
        <v/>
      </c>
      <c r="D40" s="50" t="inlineStr">
        <is>
          <t>Vegetativo</t>
        </is>
      </c>
      <c r="E40" s="43" t="inlineStr">
        <is>
          <t>Vega S3</t>
        </is>
      </c>
      <c r="F40" s="44" t="inlineStr">
        <is>
          <t>🌿 Grow A+B + Biorrizas</t>
        </is>
      </c>
      <c r="G40" s="45" t="inlineStr">
        <is>
          <t>🐛 MIP: Trichoderma — solo</t>
        </is>
      </c>
      <c r="H40" s="43" t="inlineStr">
        <is>
          <t>✂️ Lollipopping se necessário</t>
        </is>
      </c>
      <c r="I40" s="43" t="inlineStr">
        <is>
          <t>⚠️ Verificar sinais de deficiência</t>
        </is>
      </c>
    </row>
    <row r="41" ht="19.5" customHeight="1">
      <c r="B41" s="40" t="inlineStr">
        <is>
          <t>36</t>
        </is>
      </c>
      <c r="C41" s="51">
        <f>'🌱 Configuração'!D6+35</f>
        <v/>
      </c>
      <c r="D41" s="50" t="inlineStr">
        <is>
          <t>Vegetativo</t>
        </is>
      </c>
      <c r="E41" s="52" t="inlineStr">
        <is>
          <t>Vega S4</t>
        </is>
      </c>
      <c r="F41" s="53" t="n"/>
      <c r="G41" s="54" t="n"/>
      <c r="H41" s="52" t="n"/>
      <c r="I41" s="52" t="n"/>
    </row>
    <row r="42" ht="19.5" customHeight="1">
      <c r="B42" s="40" t="inlineStr">
        <is>
          <t>37</t>
        </is>
      </c>
      <c r="C42" s="41">
        <f>'🌱 Configuração'!D6+36</f>
        <v/>
      </c>
      <c r="D42" s="50" t="inlineStr">
        <is>
          <t>Vegetativo</t>
        </is>
      </c>
      <c r="E42" s="43" t="inlineStr">
        <is>
          <t>Vega S4</t>
        </is>
      </c>
      <c r="F42" s="44" t="n"/>
      <c r="G42" s="45" t="n"/>
      <c r="H42" s="43" t="n"/>
      <c r="I42" s="43" t="n"/>
    </row>
    <row r="43" ht="19.5" customHeight="1">
      <c r="B43" s="40" t="inlineStr">
        <is>
          <t>38</t>
        </is>
      </c>
      <c r="C43" s="51">
        <f>'🌱 Configuração'!D6+37</f>
        <v/>
      </c>
      <c r="D43" s="50" t="inlineStr">
        <is>
          <t>Vegetativo</t>
        </is>
      </c>
      <c r="E43" s="52" t="inlineStr">
        <is>
          <t>Vega S4</t>
        </is>
      </c>
      <c r="F43" s="53" t="inlineStr">
        <is>
          <t>🌿 Grow A+B + CalMag (EC 1.5)</t>
        </is>
      </c>
      <c r="G43" s="54" t="n"/>
      <c r="H43" s="52" t="n"/>
      <c r="I43" s="52" t="n"/>
    </row>
    <row r="44" ht="19.5" customHeight="1">
      <c r="B44" s="40" t="inlineStr">
        <is>
          <t>39</t>
        </is>
      </c>
      <c r="C44" s="41">
        <f>'🌱 Configuração'!D6+38</f>
        <v/>
      </c>
      <c r="D44" s="50" t="inlineStr">
        <is>
          <t>Vegetativo</t>
        </is>
      </c>
      <c r="E44" s="43" t="inlineStr">
        <is>
          <t>Vega S4</t>
        </is>
      </c>
      <c r="F44" s="44" t="n"/>
      <c r="G44" s="45" t="n"/>
      <c r="H44" s="43" t="n"/>
      <c r="I44" s="43" t="n"/>
    </row>
    <row r="45" ht="19.5" customHeight="1">
      <c r="B45" s="40" t="inlineStr">
        <is>
          <t>40</t>
        </is>
      </c>
      <c r="C45" s="51">
        <f>'🌱 Configuração'!D6+39</f>
        <v/>
      </c>
      <c r="D45" s="50" t="inlineStr">
        <is>
          <t>Vegetativo</t>
        </is>
      </c>
      <c r="E45" s="52" t="inlineStr">
        <is>
          <t>Vega S4</t>
        </is>
      </c>
      <c r="F45" s="53" t="n"/>
      <c r="G45" s="54" t="n"/>
      <c r="H45" s="52" t="n"/>
      <c r="I45" s="52" t="n"/>
    </row>
    <row r="46" ht="19.5" customHeight="1">
      <c r="B46" s="40" t="inlineStr">
        <is>
          <t>41</t>
        </is>
      </c>
      <c r="C46" s="41">
        <f>'🌱 Configuração'!D6+40</f>
        <v/>
      </c>
      <c r="D46" s="50" t="inlineStr">
        <is>
          <t>Vegetativo</t>
        </is>
      </c>
      <c r="E46" s="43" t="inlineStr">
        <is>
          <t>Vega S4</t>
        </is>
      </c>
      <c r="F46" s="44" t="n"/>
      <c r="G46" s="45" t="n"/>
      <c r="H46" s="43" t="n"/>
      <c r="I46" s="43" t="n"/>
    </row>
    <row r="47" ht="19.5" customHeight="1">
      <c r="B47" s="40" t="inlineStr">
        <is>
          <t>42</t>
        </is>
      </c>
      <c r="C47" s="51">
        <f>'🌱 Configuração'!D6+41</f>
        <v/>
      </c>
      <c r="D47" s="50" t="inlineStr">
        <is>
          <t>Vegetativo</t>
        </is>
      </c>
      <c r="E47" s="52" t="inlineStr">
        <is>
          <t>Vega S4</t>
        </is>
      </c>
      <c r="F47" s="53" t="inlineStr">
        <is>
          <t>🌿 Transição → Bloom (EC 1.4)</t>
        </is>
      </c>
      <c r="G47" s="54" t="inlineStr">
        <is>
          <t>🐛 MIP: Nim (2mL/L) — última foliar antes flora</t>
        </is>
      </c>
      <c r="H47" s="52" t="inlineStr">
        <is>
          <t>⏰ Preparar transição para flora</t>
        </is>
      </c>
      <c r="I47" s="52" t="inlineStr">
        <is>
          <t>⚠️ Última semana de luz 18h</t>
        </is>
      </c>
    </row>
    <row r="48" ht="19.5" customHeight="1">
      <c r="B48" s="40" t="inlineStr">
        <is>
          <t>43</t>
        </is>
      </c>
      <c r="C48" s="41">
        <f>'🌱 Configuração'!D6+42</f>
        <v/>
      </c>
      <c r="D48" s="50" t="inlineStr">
        <is>
          <t>Vegetativo</t>
        </is>
      </c>
      <c r="E48" s="43" t="inlineStr">
        <is>
          <t>Vega S5</t>
        </is>
      </c>
      <c r="F48" s="44" t="n"/>
      <c r="G48" s="45" t="n"/>
      <c r="H48" s="43" t="inlineStr">
        <is>
          <t>🌸 INICIAR FLORAÇÃO — mudar fotoperíodo 12/12</t>
        </is>
      </c>
      <c r="I48" s="43" t="inlineStr">
        <is>
          <t>🔴 MUDANÇA: 12h luz / 12h escuro</t>
        </is>
      </c>
    </row>
    <row r="49" ht="19.5" customHeight="1">
      <c r="B49" s="40" t="inlineStr">
        <is>
          <t>44</t>
        </is>
      </c>
      <c r="C49" s="51">
        <f>'🌱 Configuração'!D6+43</f>
        <v/>
      </c>
      <c r="D49" s="50" t="inlineStr">
        <is>
          <t>Vegetativo</t>
        </is>
      </c>
      <c r="E49" s="52" t="inlineStr">
        <is>
          <t>Vega S5</t>
        </is>
      </c>
      <c r="F49" s="53" t="n"/>
      <c r="G49" s="54" t="n"/>
      <c r="H49" s="52" t="n"/>
      <c r="I49" s="52" t="n"/>
    </row>
    <row r="50" ht="19.5" customHeight="1">
      <c r="B50" s="40" t="inlineStr">
        <is>
          <t>45</t>
        </is>
      </c>
      <c r="C50" s="41">
        <f>'🌱 Configuração'!D6+44</f>
        <v/>
      </c>
      <c r="D50" s="50" t="inlineStr">
        <is>
          <t>Vegetativo</t>
        </is>
      </c>
      <c r="E50" s="43" t="inlineStr">
        <is>
          <t>Vega S5</t>
        </is>
      </c>
      <c r="F50" s="44" t="inlineStr">
        <is>
          <t>🌿 Bloom A+B — Transição</t>
        </is>
      </c>
      <c r="G50" s="45" t="n"/>
      <c r="H50" s="43" t="n"/>
      <c r="I50" s="43" t="n"/>
    </row>
    <row r="51" ht="19.5" customHeight="1">
      <c r="B51" s="40" t="inlineStr">
        <is>
          <t>46</t>
        </is>
      </c>
      <c r="C51" s="51">
        <f>'🌱 Configuração'!D6+45</f>
        <v/>
      </c>
      <c r="D51" s="50" t="inlineStr">
        <is>
          <t>Vegetativo</t>
        </is>
      </c>
      <c r="E51" s="52" t="inlineStr">
        <is>
          <t>Vega S5</t>
        </is>
      </c>
      <c r="F51" s="53" t="n"/>
      <c r="G51" s="54" t="n"/>
      <c r="H51" s="52" t="n"/>
      <c r="I51" s="52" t="n"/>
    </row>
    <row r="52" ht="19.5" customHeight="1">
      <c r="B52" s="40" t="inlineStr">
        <is>
          <t>47</t>
        </is>
      </c>
      <c r="C52" s="41">
        <f>'🌱 Configuração'!D6+46</f>
        <v/>
      </c>
      <c r="D52" s="50" t="inlineStr">
        <is>
          <t>Vegetativo</t>
        </is>
      </c>
      <c r="E52" s="43" t="inlineStr">
        <is>
          <t>Vega S5</t>
        </is>
      </c>
      <c r="F52" s="44" t="n"/>
      <c r="G52" s="45" t="n"/>
      <c r="H52" s="43" t="n"/>
      <c r="I52" s="43" t="n"/>
    </row>
    <row r="53" ht="19.5" customHeight="1">
      <c r="B53" s="40" t="inlineStr">
        <is>
          <t>48</t>
        </is>
      </c>
      <c r="C53" s="51">
        <f>'🌱 Configuração'!D6+47</f>
        <v/>
      </c>
      <c r="D53" s="50" t="inlineStr">
        <is>
          <t>Vegetativo</t>
        </is>
      </c>
      <c r="E53" s="52" t="inlineStr">
        <is>
          <t>Vega S5</t>
        </is>
      </c>
      <c r="F53" s="53" t="n"/>
      <c r="G53" s="54" t="n"/>
      <c r="H53" s="52" t="n"/>
      <c r="I53" s="52" t="n"/>
    </row>
    <row r="54" ht="19.5" customHeight="1">
      <c r="B54" s="40" t="inlineStr">
        <is>
          <t>49</t>
        </is>
      </c>
      <c r="C54" s="41">
        <f>'🌱 Configuração'!D6+48</f>
        <v/>
      </c>
      <c r="D54" s="50" t="inlineStr">
        <is>
          <t>Vegetativo</t>
        </is>
      </c>
      <c r="E54" s="43" t="inlineStr">
        <is>
          <t>Vega S5</t>
        </is>
      </c>
      <c r="F54" s="44" t="n"/>
      <c r="G54" s="45" t="inlineStr">
        <is>
          <t>🐛 MIP: Beauveria bassiana</t>
        </is>
      </c>
      <c r="H54" s="43" t="n"/>
      <c r="I54" s="43" t="n"/>
    </row>
    <row r="55" ht="19.5" customHeight="1">
      <c r="B55" s="40" t="inlineStr">
        <is>
          <t>50</t>
        </is>
      </c>
      <c r="C55" s="51">
        <f>'🌱 Configuração'!D6+49</f>
        <v/>
      </c>
      <c r="D55" s="50" t="inlineStr">
        <is>
          <t>Vegetativo</t>
        </is>
      </c>
      <c r="E55" s="52" t="inlineStr">
        <is>
          <t>Vega S6</t>
        </is>
      </c>
      <c r="F55" s="53" t="n"/>
      <c r="G55" s="54" t="n"/>
      <c r="H55" s="52" t="n"/>
      <c r="I55" s="52" t="n"/>
    </row>
    <row r="56" ht="19.5" customHeight="1">
      <c r="B56" s="40" t="inlineStr">
        <is>
          <t>51</t>
        </is>
      </c>
      <c r="C56" s="41">
        <f>'🌱 Configuração'!D6+50</f>
        <v/>
      </c>
      <c r="D56" s="50" t="inlineStr">
        <is>
          <t>Vegetativo</t>
        </is>
      </c>
      <c r="E56" s="43" t="inlineStr">
        <is>
          <t>Vega S6</t>
        </is>
      </c>
      <c r="F56" s="44" t="n"/>
      <c r="G56" s="45" t="n"/>
      <c r="H56" s="43" t="n"/>
      <c r="I56" s="43" t="n"/>
    </row>
    <row r="57" ht="19.5" customHeight="1">
      <c r="B57" s="40" t="inlineStr">
        <is>
          <t>52</t>
        </is>
      </c>
      <c r="C57" s="51">
        <f>'🌱 Configuração'!D6+51</f>
        <v/>
      </c>
      <c r="D57" s="50" t="inlineStr">
        <is>
          <t>Vegetativo</t>
        </is>
      </c>
      <c r="E57" s="52" t="inlineStr">
        <is>
          <t>Vega S6</t>
        </is>
      </c>
      <c r="F57" s="53" t="n"/>
      <c r="G57" s="54" t="n"/>
      <c r="H57" s="52" t="n"/>
      <c r="I57" s="52" t="n"/>
    </row>
    <row r="58" ht="19.5" customHeight="1">
      <c r="B58" s="40" t="inlineStr">
        <is>
          <t>53</t>
        </is>
      </c>
      <c r="C58" s="41">
        <f>'🌱 Configuração'!D6+52</f>
        <v/>
      </c>
      <c r="D58" s="50" t="inlineStr">
        <is>
          <t>Vegetativo</t>
        </is>
      </c>
      <c r="E58" s="43" t="inlineStr">
        <is>
          <t>Vega S6</t>
        </is>
      </c>
      <c r="F58" s="44" t="n"/>
      <c r="G58" s="45" t="n"/>
      <c r="H58" s="43" t="n"/>
      <c r="I58" s="43" t="n"/>
    </row>
    <row r="59" ht="19.5" customHeight="1">
      <c r="B59" s="40" t="inlineStr">
        <is>
          <t>54</t>
        </is>
      </c>
      <c r="C59" s="51">
        <f>'🌱 Configuração'!D6+53</f>
        <v/>
      </c>
      <c r="D59" s="50" t="inlineStr">
        <is>
          <t>Vegetativo</t>
        </is>
      </c>
      <c r="E59" s="52" t="inlineStr">
        <is>
          <t>Vega S6</t>
        </is>
      </c>
      <c r="F59" s="53" t="n"/>
      <c r="G59" s="54" t="n"/>
      <c r="H59" s="52" t="n"/>
      <c r="I59" s="52" t="n"/>
    </row>
    <row r="60" ht="19.5" customHeight="1">
      <c r="B60" s="40" t="inlineStr">
        <is>
          <t>55</t>
        </is>
      </c>
      <c r="C60" s="41">
        <f>'🌱 Configuração'!D6+54</f>
        <v/>
      </c>
      <c r="D60" s="50" t="inlineStr">
        <is>
          <t>Vegetativo</t>
        </is>
      </c>
      <c r="E60" s="43" t="inlineStr">
        <is>
          <t>Vega S6</t>
        </is>
      </c>
      <c r="F60" s="44" t="n"/>
      <c r="G60" s="45" t="n"/>
      <c r="H60" s="43" t="n"/>
      <c r="I60" s="43" t="n"/>
    </row>
    <row r="61" ht="19.5" customHeight="1">
      <c r="B61" s="40" t="inlineStr">
        <is>
          <t>56</t>
        </is>
      </c>
      <c r="C61" s="51">
        <f>'🌱 Configuração'!D6+55</f>
        <v/>
      </c>
      <c r="D61" s="50" t="inlineStr">
        <is>
          <t>Vegetativo</t>
        </is>
      </c>
      <c r="E61" s="52" t="inlineStr">
        <is>
          <t>Vega S6</t>
        </is>
      </c>
      <c r="F61" s="53" t="n"/>
      <c r="G61" s="54" t="inlineStr">
        <is>
          <t>🐛 MIP: Nim solo (cascas) — NÃO foliar em flora</t>
        </is>
      </c>
      <c r="H61" s="52" t="n"/>
      <c r="I61" s="52" t="n"/>
    </row>
    <row r="62" ht="19.5" customHeight="1">
      <c r="B62" s="40" t="inlineStr">
        <is>
          <t>57</t>
        </is>
      </c>
      <c r="C62" s="41">
        <f>'🌱 Configuração'!D6+56</f>
        <v/>
      </c>
      <c r="D62" s="55" t="inlineStr">
        <is>
          <t>Floração</t>
        </is>
      </c>
      <c r="E62" s="43" t="inlineStr">
        <is>
          <t>Flora S1</t>
        </is>
      </c>
      <c r="F62" s="44" t="n"/>
      <c r="G62" s="45" t="n"/>
      <c r="H62" s="43" t="inlineStr">
        <is>
          <t>🔍 Verificar formação de pistils</t>
        </is>
      </c>
      <c r="I62" s="43" t="inlineStr">
        <is>
          <t>⚠️ Sem foliar após início flora</t>
        </is>
      </c>
    </row>
    <row r="63" ht="19.5" customHeight="1">
      <c r="B63" s="40" t="inlineStr">
        <is>
          <t>58</t>
        </is>
      </c>
      <c r="C63" s="56">
        <f>'🌱 Configuração'!D6+57</f>
        <v/>
      </c>
      <c r="D63" s="55" t="inlineStr">
        <is>
          <t>Floração</t>
        </is>
      </c>
      <c r="E63" s="57" t="inlineStr">
        <is>
          <t>Flora S1</t>
        </is>
      </c>
      <c r="F63" s="58" t="inlineStr">
        <is>
          <t>🌸 Bloom A+B (EC 1.6)</t>
        </is>
      </c>
      <c r="G63" s="59" t="n"/>
      <c r="H63" s="57" t="n"/>
      <c r="I63" s="57" t="n"/>
    </row>
    <row r="64" ht="19.5" customHeight="1">
      <c r="B64" s="40" t="inlineStr">
        <is>
          <t>59</t>
        </is>
      </c>
      <c r="C64" s="41">
        <f>'🌱 Configuração'!D6+58</f>
        <v/>
      </c>
      <c r="D64" s="55" t="inlineStr">
        <is>
          <t>Floração</t>
        </is>
      </c>
      <c r="E64" s="43" t="inlineStr">
        <is>
          <t>Flora S1</t>
        </is>
      </c>
      <c r="F64" s="44" t="n"/>
      <c r="G64" s="45" t="n"/>
      <c r="H64" s="43" t="n"/>
      <c r="I64" s="43" t="n"/>
    </row>
    <row r="65" ht="19.5" customHeight="1">
      <c r="B65" s="40" t="inlineStr">
        <is>
          <t>60</t>
        </is>
      </c>
      <c r="C65" s="56">
        <f>'🌱 Configuração'!D6+59</f>
        <v/>
      </c>
      <c r="D65" s="55" t="inlineStr">
        <is>
          <t>Floração</t>
        </is>
      </c>
      <c r="E65" s="57" t="inlineStr">
        <is>
          <t>Flora S1</t>
        </is>
      </c>
      <c r="F65" s="58" t="n"/>
      <c r="G65" s="59" t="n"/>
      <c r="H65" s="57" t="n"/>
      <c r="I65" s="57" t="n"/>
    </row>
    <row r="66" ht="19.5" customHeight="1">
      <c r="B66" s="40" t="inlineStr">
        <is>
          <t>61</t>
        </is>
      </c>
      <c r="C66" s="41">
        <f>'🌱 Configuração'!D6+60</f>
        <v/>
      </c>
      <c r="D66" s="55" t="inlineStr">
        <is>
          <t>Floração</t>
        </is>
      </c>
      <c r="E66" s="43" t="inlineStr">
        <is>
          <t>Flora S1</t>
        </is>
      </c>
      <c r="F66" s="44" t="n"/>
      <c r="G66" s="45" t="n"/>
      <c r="H66" s="43" t="n"/>
      <c r="I66" s="43" t="n"/>
    </row>
    <row r="67" ht="19.5" customHeight="1">
      <c r="B67" s="40" t="inlineStr">
        <is>
          <t>62</t>
        </is>
      </c>
      <c r="C67" s="56">
        <f>'🌱 Configuração'!D6+61</f>
        <v/>
      </c>
      <c r="D67" s="55" t="inlineStr">
        <is>
          <t>Floração</t>
        </is>
      </c>
      <c r="E67" s="57" t="inlineStr">
        <is>
          <t>Flora S1</t>
        </is>
      </c>
      <c r="F67" s="58" t="n"/>
      <c r="G67" s="59" t="n"/>
      <c r="H67" s="57" t="n"/>
      <c r="I67" s="57" t="n"/>
    </row>
    <row r="68" ht="19.5" customHeight="1">
      <c r="B68" s="40" t="inlineStr">
        <is>
          <t>63</t>
        </is>
      </c>
      <c r="C68" s="41">
        <f>'🌱 Configuração'!D6+62</f>
        <v/>
      </c>
      <c r="D68" s="55" t="inlineStr">
        <is>
          <t>Floração</t>
        </is>
      </c>
      <c r="E68" s="43" t="inlineStr">
        <is>
          <t>Flora S1</t>
        </is>
      </c>
      <c r="F68" s="44" t="inlineStr">
        <is>
          <t>🌸 Bloom + PK 13/14 início</t>
        </is>
      </c>
      <c r="G68" s="45" t="inlineStr">
        <is>
          <t>🐛 MIP: Trichoderma solo</t>
        </is>
      </c>
      <c r="H68" s="43" t="inlineStr">
        <is>
          <t>📷 Foto semanal — registro</t>
        </is>
      </c>
      <c r="I68" s="43" t="n"/>
    </row>
    <row r="69" ht="19.5" customHeight="1">
      <c r="B69" s="40" t="inlineStr">
        <is>
          <t>64</t>
        </is>
      </c>
      <c r="C69" s="56">
        <f>'🌱 Configuração'!D6+63</f>
        <v/>
      </c>
      <c r="D69" s="55" t="inlineStr">
        <is>
          <t>Floração</t>
        </is>
      </c>
      <c r="E69" s="57" t="inlineStr">
        <is>
          <t>Flora S2</t>
        </is>
      </c>
      <c r="F69" s="58" t="n"/>
      <c r="G69" s="59" t="n"/>
      <c r="H69" s="57" t="n"/>
      <c r="I69" s="57" t="n"/>
    </row>
    <row r="70" ht="19.5" customHeight="1">
      <c r="B70" s="40" t="inlineStr">
        <is>
          <t>65</t>
        </is>
      </c>
      <c r="C70" s="41">
        <f>'🌱 Configuração'!D6+64</f>
        <v/>
      </c>
      <c r="D70" s="55" t="inlineStr">
        <is>
          <t>Floração</t>
        </is>
      </c>
      <c r="E70" s="43" t="inlineStr">
        <is>
          <t>Flora S2</t>
        </is>
      </c>
      <c r="F70" s="44" t="n"/>
      <c r="G70" s="45" t="n"/>
      <c r="H70" s="43" t="n"/>
      <c r="I70" s="43" t="n"/>
    </row>
    <row r="71" ht="19.5" customHeight="1">
      <c r="B71" s="40" t="inlineStr">
        <is>
          <t>66</t>
        </is>
      </c>
      <c r="C71" s="56">
        <f>'🌱 Configuração'!D6+65</f>
        <v/>
      </c>
      <c r="D71" s="55" t="inlineStr">
        <is>
          <t>Floração</t>
        </is>
      </c>
      <c r="E71" s="57" t="inlineStr">
        <is>
          <t>Flora S2</t>
        </is>
      </c>
      <c r="F71" s="58" t="n"/>
      <c r="G71" s="59" t="n"/>
      <c r="H71" s="57" t="n"/>
      <c r="I71" s="57" t="n"/>
    </row>
    <row r="72" ht="19.5" customHeight="1">
      <c r="B72" s="40" t="inlineStr">
        <is>
          <t>67</t>
        </is>
      </c>
      <c r="C72" s="41">
        <f>'🌱 Configuração'!D6+66</f>
        <v/>
      </c>
      <c r="D72" s="55" t="inlineStr">
        <is>
          <t>Floração</t>
        </is>
      </c>
      <c r="E72" s="43" t="inlineStr">
        <is>
          <t>Flora S2</t>
        </is>
      </c>
      <c r="F72" s="44" t="n"/>
      <c r="G72" s="45" t="n"/>
      <c r="H72" s="43" t="n"/>
      <c r="I72" s="43" t="n"/>
    </row>
    <row r="73" ht="19.5" customHeight="1">
      <c r="B73" s="40" t="inlineStr">
        <is>
          <t>68</t>
        </is>
      </c>
      <c r="C73" s="56">
        <f>'🌱 Configuração'!D6+67</f>
        <v/>
      </c>
      <c r="D73" s="55" t="inlineStr">
        <is>
          <t>Floração</t>
        </is>
      </c>
      <c r="E73" s="57" t="inlineStr">
        <is>
          <t>Flora S2</t>
        </is>
      </c>
      <c r="F73" s="58" t="n"/>
      <c r="G73" s="59" t="n"/>
      <c r="H73" s="57" t="n"/>
      <c r="I73" s="57" t="n"/>
    </row>
    <row r="74" ht="19.5" customHeight="1">
      <c r="B74" s="40" t="inlineStr">
        <is>
          <t>69</t>
        </is>
      </c>
      <c r="C74" s="41">
        <f>'🌱 Configuração'!D6+68</f>
        <v/>
      </c>
      <c r="D74" s="55" t="inlineStr">
        <is>
          <t>Floração</t>
        </is>
      </c>
      <c r="E74" s="43" t="inlineStr">
        <is>
          <t>Flora S2</t>
        </is>
      </c>
      <c r="F74" s="44" t="n"/>
      <c r="G74" s="45" t="n"/>
      <c r="H74" s="43" t="n"/>
      <c r="I74" s="43" t="n"/>
    </row>
    <row r="75" ht="19.5" customHeight="1">
      <c r="B75" s="40" t="inlineStr">
        <is>
          <t>70</t>
        </is>
      </c>
      <c r="C75" s="56">
        <f>'🌱 Configuração'!D6+69</f>
        <v/>
      </c>
      <c r="D75" s="55" t="inlineStr">
        <is>
          <t>Floração</t>
        </is>
      </c>
      <c r="E75" s="57" t="inlineStr">
        <is>
          <t>Flora S2</t>
        </is>
      </c>
      <c r="F75" s="58" t="inlineStr">
        <is>
          <t>🌸 Bloom + PK 13/14 + CalMag</t>
        </is>
      </c>
      <c r="G75" s="59" t="inlineStr">
        <is>
          <t>🐛 MIP: Beauveria bassiana solo</t>
        </is>
      </c>
      <c r="H75" s="57" t="inlineStr">
        <is>
          <t>🔬 Início enchimento de buds</t>
        </is>
      </c>
      <c r="I75" s="57" t="inlineStr">
        <is>
          <t>⚠️ Monitorar umidade — risco de mofo</t>
        </is>
      </c>
    </row>
    <row r="76" ht="19.5" customHeight="1">
      <c r="B76" s="40" t="inlineStr">
        <is>
          <t>71</t>
        </is>
      </c>
      <c r="C76" s="41">
        <f>'🌱 Configuração'!D6+70</f>
        <v/>
      </c>
      <c r="D76" s="55" t="inlineStr">
        <is>
          <t>Floração</t>
        </is>
      </c>
      <c r="E76" s="43" t="inlineStr">
        <is>
          <t>Flora S3</t>
        </is>
      </c>
      <c r="F76" s="44" t="n"/>
      <c r="G76" s="45" t="n"/>
      <c r="H76" s="43" t="n"/>
      <c r="I76" s="43" t="n"/>
    </row>
    <row r="77" ht="19.5" customHeight="1">
      <c r="B77" s="40" t="inlineStr">
        <is>
          <t>72</t>
        </is>
      </c>
      <c r="C77" s="56">
        <f>'🌱 Configuração'!D6+71</f>
        <v/>
      </c>
      <c r="D77" s="55" t="inlineStr">
        <is>
          <t>Floração</t>
        </is>
      </c>
      <c r="E77" s="57" t="inlineStr">
        <is>
          <t>Flora S3</t>
        </is>
      </c>
      <c r="F77" s="58" t="n"/>
      <c r="G77" s="59" t="n"/>
      <c r="H77" s="57" t="n"/>
      <c r="I77" s="57" t="n"/>
    </row>
    <row r="78" ht="19.5" customHeight="1">
      <c r="B78" s="40" t="inlineStr">
        <is>
          <t>73</t>
        </is>
      </c>
      <c r="C78" s="41">
        <f>'🌱 Configuração'!D6+72</f>
        <v/>
      </c>
      <c r="D78" s="55" t="inlineStr">
        <is>
          <t>Floração</t>
        </is>
      </c>
      <c r="E78" s="43" t="inlineStr">
        <is>
          <t>Flora S3</t>
        </is>
      </c>
      <c r="F78" s="44" t="n"/>
      <c r="G78" s="45" t="n"/>
      <c r="H78" s="43" t="n"/>
      <c r="I78" s="43" t="n"/>
    </row>
    <row r="79" ht="19.5" customHeight="1">
      <c r="B79" s="40" t="inlineStr">
        <is>
          <t>74</t>
        </is>
      </c>
      <c r="C79" s="56">
        <f>'🌱 Configuração'!D6+73</f>
        <v/>
      </c>
      <c r="D79" s="55" t="inlineStr">
        <is>
          <t>Floração</t>
        </is>
      </c>
      <c r="E79" s="57" t="inlineStr">
        <is>
          <t>Flora S3</t>
        </is>
      </c>
      <c r="F79" s="58" t="n"/>
      <c r="G79" s="59" t="n"/>
      <c r="H79" s="57" t="n"/>
      <c r="I79" s="57" t="n"/>
    </row>
    <row r="80" ht="19.5" customHeight="1">
      <c r="B80" s="40" t="inlineStr">
        <is>
          <t>75</t>
        </is>
      </c>
      <c r="C80" s="41">
        <f>'🌱 Configuração'!D6+74</f>
        <v/>
      </c>
      <c r="D80" s="55" t="inlineStr">
        <is>
          <t>Floração</t>
        </is>
      </c>
      <c r="E80" s="43" t="inlineStr">
        <is>
          <t>Flora S3</t>
        </is>
      </c>
      <c r="F80" s="44" t="n"/>
      <c r="G80" s="45" t="n"/>
      <c r="H80" s="43" t="n"/>
      <c r="I80" s="43" t="n"/>
    </row>
    <row r="81" ht="19.5" customHeight="1">
      <c r="B81" s="40" t="inlineStr">
        <is>
          <t>76</t>
        </is>
      </c>
      <c r="C81" s="56">
        <f>'🌱 Configuração'!D6+75</f>
        <v/>
      </c>
      <c r="D81" s="55" t="inlineStr">
        <is>
          <t>Floração</t>
        </is>
      </c>
      <c r="E81" s="57" t="inlineStr">
        <is>
          <t>Flora S3</t>
        </is>
      </c>
      <c r="F81" s="58" t="n"/>
      <c r="G81" s="59" t="n"/>
      <c r="H81" s="57" t="n"/>
      <c r="I81" s="57" t="n"/>
    </row>
    <row r="82" ht="19.5" customHeight="1">
      <c r="B82" s="40" t="inlineStr">
        <is>
          <t>77</t>
        </is>
      </c>
      <c r="C82" s="41">
        <f>'🌱 Configuração'!D6+76</f>
        <v/>
      </c>
      <c r="D82" s="55" t="inlineStr">
        <is>
          <t>Floração</t>
        </is>
      </c>
      <c r="E82" s="43" t="inlineStr">
        <is>
          <t>Flora S3</t>
        </is>
      </c>
      <c r="F82" s="44" t="inlineStr">
        <is>
          <t>🌸 Bloom + Boost Floral (EC 1.8)</t>
        </is>
      </c>
      <c r="G82" s="45" t="inlineStr">
        <is>
          <t>🐛 MIP: Trichoderma solo</t>
        </is>
      </c>
      <c r="H82" s="43" t="inlineStr">
        <is>
          <t>💪 Pico de enchimento — aumentar P e K</t>
        </is>
      </c>
      <c r="I82" s="43" t="n"/>
    </row>
    <row r="83" ht="19.5" customHeight="1">
      <c r="B83" s="40" t="inlineStr">
        <is>
          <t>78</t>
        </is>
      </c>
      <c r="C83" s="56">
        <f>'🌱 Configuração'!D6+77</f>
        <v/>
      </c>
      <c r="D83" s="55" t="inlineStr">
        <is>
          <t>Floração</t>
        </is>
      </c>
      <c r="E83" s="57" t="inlineStr">
        <is>
          <t>Flora S4</t>
        </is>
      </c>
      <c r="F83" s="58" t="n"/>
      <c r="G83" s="59" t="n"/>
      <c r="H83" s="57" t="n"/>
      <c r="I83" s="57" t="n"/>
    </row>
    <row r="84" ht="19.5" customHeight="1">
      <c r="B84" s="40" t="inlineStr">
        <is>
          <t>79</t>
        </is>
      </c>
      <c r="C84" s="41">
        <f>'🌱 Configuração'!D6+78</f>
        <v/>
      </c>
      <c r="D84" s="55" t="inlineStr">
        <is>
          <t>Floração</t>
        </is>
      </c>
      <c r="E84" s="43" t="inlineStr">
        <is>
          <t>Flora S4</t>
        </is>
      </c>
      <c r="F84" s="44" t="n"/>
      <c r="G84" s="45" t="n"/>
      <c r="H84" s="43" t="n"/>
      <c r="I84" s="43" t="n"/>
    </row>
    <row r="85" ht="19.5" customHeight="1">
      <c r="B85" s="40" t="inlineStr">
        <is>
          <t>80</t>
        </is>
      </c>
      <c r="C85" s="56">
        <f>'🌱 Configuração'!D6+79</f>
        <v/>
      </c>
      <c r="D85" s="55" t="inlineStr">
        <is>
          <t>Floração</t>
        </is>
      </c>
      <c r="E85" s="57" t="inlineStr">
        <is>
          <t>Flora S4</t>
        </is>
      </c>
      <c r="F85" s="58" t="n"/>
      <c r="G85" s="59" t="n"/>
      <c r="H85" s="57" t="n"/>
      <c r="I85" s="57" t="n"/>
    </row>
    <row r="86" ht="19.5" customHeight="1">
      <c r="B86" s="40" t="inlineStr">
        <is>
          <t>81</t>
        </is>
      </c>
      <c r="C86" s="41">
        <f>'🌱 Configuração'!D6+80</f>
        <v/>
      </c>
      <c r="D86" s="55" t="inlineStr">
        <is>
          <t>Floração</t>
        </is>
      </c>
      <c r="E86" s="43" t="inlineStr">
        <is>
          <t>Flora S4</t>
        </is>
      </c>
      <c r="F86" s="44" t="n"/>
      <c r="G86" s="45" t="n"/>
      <c r="H86" s="43" t="n"/>
      <c r="I86" s="43" t="n"/>
    </row>
    <row r="87" ht="19.5" customHeight="1">
      <c r="B87" s="40" t="inlineStr">
        <is>
          <t>82</t>
        </is>
      </c>
      <c r="C87" s="56">
        <f>'🌱 Configuração'!D6+81</f>
        <v/>
      </c>
      <c r="D87" s="55" t="inlineStr">
        <is>
          <t>Floração</t>
        </is>
      </c>
      <c r="E87" s="57" t="inlineStr">
        <is>
          <t>Flora S4</t>
        </is>
      </c>
      <c r="F87" s="58" t="n"/>
      <c r="G87" s="59" t="n"/>
      <c r="H87" s="57" t="n"/>
      <c r="I87" s="57" t="n"/>
    </row>
    <row r="88" ht="19.5" customHeight="1">
      <c r="B88" s="40" t="inlineStr">
        <is>
          <t>83</t>
        </is>
      </c>
      <c r="C88" s="41">
        <f>'🌱 Configuração'!D6+82</f>
        <v/>
      </c>
      <c r="D88" s="55" t="inlineStr">
        <is>
          <t>Floração</t>
        </is>
      </c>
      <c r="E88" s="43" t="inlineStr">
        <is>
          <t>Flora S4</t>
        </is>
      </c>
      <c r="F88" s="44" t="n"/>
      <c r="G88" s="45" t="n"/>
      <c r="H88" s="43" t="n"/>
      <c r="I88" s="43" t="n"/>
    </row>
    <row r="89" ht="19.5" customHeight="1">
      <c r="B89" s="40" t="inlineStr">
        <is>
          <t>84</t>
        </is>
      </c>
      <c r="C89" s="56">
        <f>'🌱 Configuração'!D6+83</f>
        <v/>
      </c>
      <c r="D89" s="55" t="inlineStr">
        <is>
          <t>Floração</t>
        </is>
      </c>
      <c r="E89" s="57" t="inlineStr">
        <is>
          <t>Flora S4</t>
        </is>
      </c>
      <c r="F89" s="58" t="inlineStr">
        <is>
          <t>🌸 Bloom + Boost + Amino (EC 2.0)</t>
        </is>
      </c>
      <c r="G89" s="59" t="n"/>
      <c r="H89" s="57" t="inlineStr">
        <is>
          <t>🔬 Analisar tricomas (lupa)</t>
        </is>
      </c>
      <c r="I89" s="57" t="inlineStr">
        <is>
          <t>⚠️ Manter umidade &lt; 45% na flora final</t>
        </is>
      </c>
    </row>
    <row r="90" ht="19.5" customHeight="1">
      <c r="B90" s="40" t="inlineStr">
        <is>
          <t>85</t>
        </is>
      </c>
      <c r="C90" s="41">
        <f>'🌱 Configuração'!D6+84</f>
        <v/>
      </c>
      <c r="D90" s="55" t="inlineStr">
        <is>
          <t>Floração</t>
        </is>
      </c>
      <c r="E90" s="43" t="inlineStr">
        <is>
          <t>Flora S5</t>
        </is>
      </c>
      <c r="F90" s="44" t="n"/>
      <c r="G90" s="45" t="n"/>
      <c r="H90" s="43" t="n"/>
      <c r="I90" s="43" t="n"/>
    </row>
    <row r="91" ht="19.5" customHeight="1">
      <c r="B91" s="40" t="inlineStr">
        <is>
          <t>86</t>
        </is>
      </c>
      <c r="C91" s="56">
        <f>'🌱 Configuração'!D6+85</f>
        <v/>
      </c>
      <c r="D91" s="55" t="inlineStr">
        <is>
          <t>Floração</t>
        </is>
      </c>
      <c r="E91" s="57" t="inlineStr">
        <is>
          <t>Flora S5</t>
        </is>
      </c>
      <c r="F91" s="58" t="n"/>
      <c r="G91" s="59" t="n"/>
      <c r="H91" s="57" t="n"/>
      <c r="I91" s="57" t="n"/>
    </row>
    <row r="92" ht="19.5" customHeight="1">
      <c r="B92" s="40" t="inlineStr">
        <is>
          <t>87</t>
        </is>
      </c>
      <c r="C92" s="41">
        <f>'🌱 Configuração'!D6+86</f>
        <v/>
      </c>
      <c r="D92" s="55" t="inlineStr">
        <is>
          <t>Floração</t>
        </is>
      </c>
      <c r="E92" s="43" t="inlineStr">
        <is>
          <t>Flora S5</t>
        </is>
      </c>
      <c r="F92" s="44" t="n"/>
      <c r="G92" s="45" t="n"/>
      <c r="H92" s="43" t="n"/>
      <c r="I92" s="43" t="n"/>
    </row>
    <row r="93" ht="19.5" customHeight="1">
      <c r="B93" s="40" t="inlineStr">
        <is>
          <t>88</t>
        </is>
      </c>
      <c r="C93" s="56">
        <f>'🌱 Configuração'!D6+87</f>
        <v/>
      </c>
      <c r="D93" s="55" t="inlineStr">
        <is>
          <t>Floração</t>
        </is>
      </c>
      <c r="E93" s="57" t="inlineStr">
        <is>
          <t>Flora S5</t>
        </is>
      </c>
      <c r="F93" s="58" t="n"/>
      <c r="G93" s="59" t="n"/>
      <c r="H93" s="57" t="n"/>
      <c r="I93" s="57" t="n"/>
    </row>
    <row r="94" ht="19.5" customHeight="1">
      <c r="B94" s="40" t="inlineStr">
        <is>
          <t>89</t>
        </is>
      </c>
      <c r="C94" s="41">
        <f>'🌱 Configuração'!D6+88</f>
        <v/>
      </c>
      <c r="D94" s="55" t="inlineStr">
        <is>
          <t>Floração</t>
        </is>
      </c>
      <c r="E94" s="43" t="inlineStr">
        <is>
          <t>Flora S5</t>
        </is>
      </c>
      <c r="F94" s="44" t="n"/>
      <c r="G94" s="45" t="n"/>
      <c r="H94" s="43" t="n"/>
      <c r="I94" s="43" t="n"/>
    </row>
    <row r="95" ht="19.5" customHeight="1">
      <c r="B95" s="40" t="inlineStr">
        <is>
          <t>90</t>
        </is>
      </c>
      <c r="C95" s="56">
        <f>'🌱 Configuração'!D6+89</f>
        <v/>
      </c>
      <c r="D95" s="55" t="inlineStr">
        <is>
          <t>Floração</t>
        </is>
      </c>
      <c r="E95" s="57" t="inlineStr">
        <is>
          <t>Flora S5</t>
        </is>
      </c>
      <c r="F95" s="58" t="n"/>
      <c r="G95" s="59" t="n"/>
      <c r="H95" s="57" t="n"/>
      <c r="I95" s="57" t="n"/>
    </row>
    <row r="96" ht="19.5" customHeight="1">
      <c r="B96" s="40" t="inlineStr">
        <is>
          <t>91</t>
        </is>
      </c>
      <c r="C96" s="41">
        <f>'🌱 Configuração'!D6+90</f>
        <v/>
      </c>
      <c r="D96" s="55" t="inlineStr">
        <is>
          <t>Floração</t>
        </is>
      </c>
      <c r="E96" s="43" t="inlineStr">
        <is>
          <t>Flora S5</t>
        </is>
      </c>
      <c r="F96" s="44" t="inlineStr">
        <is>
          <t>🌸 Bloom + Enzimas + Amino</t>
        </is>
      </c>
      <c r="G96" s="45" t="inlineStr">
        <is>
          <t>🐛 MIP: Verificar pragas — sem aplicação química</t>
        </is>
      </c>
      <c r="H96" s="43" t="inlineStr">
        <is>
          <t>🔬 Analisar tricomas — maioria leitosos?</t>
        </is>
      </c>
      <c r="I96" s="43" t="inlineStr">
        <is>
          <t>🔬 Tricomas: leitosos = quase pronto</t>
        </is>
      </c>
    </row>
    <row r="97" ht="19.5" customHeight="1">
      <c r="B97" s="40" t="inlineStr">
        <is>
          <t>92</t>
        </is>
      </c>
      <c r="C97" s="56">
        <f>'🌱 Configuração'!D6+91</f>
        <v/>
      </c>
      <c r="D97" s="55" t="inlineStr">
        <is>
          <t>Floração</t>
        </is>
      </c>
      <c r="E97" s="57" t="inlineStr">
        <is>
          <t>Flora S6</t>
        </is>
      </c>
      <c r="F97" s="58" t="n"/>
      <c r="G97" s="59" t="n"/>
      <c r="H97" s="57" t="n"/>
      <c r="I97" s="57" t="n"/>
    </row>
    <row r="98" ht="19.5" customHeight="1">
      <c r="B98" s="40" t="inlineStr">
        <is>
          <t>93</t>
        </is>
      </c>
      <c r="C98" s="41">
        <f>'🌱 Configuração'!D6+92</f>
        <v/>
      </c>
      <c r="D98" s="55" t="inlineStr">
        <is>
          <t>Floração</t>
        </is>
      </c>
      <c r="E98" s="43" t="inlineStr">
        <is>
          <t>Flora S6</t>
        </is>
      </c>
      <c r="F98" s="44" t="n"/>
      <c r="G98" s="45" t="n"/>
      <c r="H98" s="43" t="n"/>
      <c r="I98" s="43" t="n"/>
    </row>
    <row r="99" ht="19.5" customHeight="1">
      <c r="B99" s="40" t="inlineStr">
        <is>
          <t>94</t>
        </is>
      </c>
      <c r="C99" s="56">
        <f>'🌱 Configuração'!D6+93</f>
        <v/>
      </c>
      <c r="D99" s="55" t="inlineStr">
        <is>
          <t>Floração</t>
        </is>
      </c>
      <c r="E99" s="57" t="inlineStr">
        <is>
          <t>Flora S6</t>
        </is>
      </c>
      <c r="F99" s="58" t="n"/>
      <c r="G99" s="59" t="n"/>
      <c r="H99" s="57" t="n"/>
      <c r="I99" s="57" t="n"/>
    </row>
    <row r="100" ht="19.5" customHeight="1">
      <c r="B100" s="40" t="inlineStr">
        <is>
          <t>95</t>
        </is>
      </c>
      <c r="C100" s="41">
        <f>'🌱 Configuração'!D6+94</f>
        <v/>
      </c>
      <c r="D100" s="55" t="inlineStr">
        <is>
          <t>Floração</t>
        </is>
      </c>
      <c r="E100" s="43" t="inlineStr">
        <is>
          <t>Flora S6</t>
        </is>
      </c>
      <c r="F100" s="44" t="n"/>
      <c r="G100" s="45" t="n"/>
      <c r="H100" s="43" t="n"/>
      <c r="I100" s="43" t="n"/>
    </row>
    <row r="101" ht="19.5" customHeight="1">
      <c r="B101" s="40" t="inlineStr">
        <is>
          <t>96</t>
        </is>
      </c>
      <c r="C101" s="56">
        <f>'🌱 Configuração'!D6+95</f>
        <v/>
      </c>
      <c r="D101" s="55" t="inlineStr">
        <is>
          <t>Floração</t>
        </is>
      </c>
      <c r="E101" s="57" t="inlineStr">
        <is>
          <t>Flora S6</t>
        </is>
      </c>
      <c r="F101" s="58" t="n"/>
      <c r="G101" s="59" t="n"/>
      <c r="H101" s="57" t="n"/>
      <c r="I101" s="57" t="n"/>
    </row>
    <row r="102" ht="19.5" customHeight="1">
      <c r="B102" s="40" t="inlineStr">
        <is>
          <t>97</t>
        </is>
      </c>
      <c r="C102" s="41">
        <f>'🌱 Configuração'!D6+96</f>
        <v/>
      </c>
      <c r="D102" s="55" t="inlineStr">
        <is>
          <t>Floração</t>
        </is>
      </c>
      <c r="E102" s="43" t="inlineStr">
        <is>
          <t>Flora S6</t>
        </is>
      </c>
      <c r="F102" s="44" t="n"/>
      <c r="G102" s="45" t="n"/>
      <c r="H102" s="43" t="n"/>
      <c r="I102" s="43" t="n"/>
    </row>
    <row r="103" ht="19.5" customHeight="1">
      <c r="B103" s="40" t="inlineStr">
        <is>
          <t>98</t>
        </is>
      </c>
      <c r="C103" s="56">
        <f>'🌱 Configuração'!D6+97</f>
        <v/>
      </c>
      <c r="D103" s="55" t="inlineStr">
        <is>
          <t>Floração</t>
        </is>
      </c>
      <c r="E103" s="57" t="inlineStr">
        <is>
          <t>Flora S6</t>
        </is>
      </c>
      <c r="F103" s="58" t="inlineStr">
        <is>
          <t>🌸 Reduir N — Bloom puro (EC 1.6)</t>
        </is>
      </c>
      <c r="G103" s="59" t="n"/>
      <c r="H103" s="57" t="inlineStr">
        <is>
          <t>⚠️ Reduzir N — fase final</t>
        </is>
      </c>
      <c r="I103" s="57" t="n"/>
    </row>
    <row r="104" ht="19.5" customHeight="1">
      <c r="B104" s="40" t="inlineStr">
        <is>
          <t>99</t>
        </is>
      </c>
      <c r="C104" s="41">
        <f>'🌱 Configuração'!D6+98</f>
        <v/>
      </c>
      <c r="D104" s="55" t="inlineStr">
        <is>
          <t>Floração</t>
        </is>
      </c>
      <c r="E104" s="43" t="inlineStr">
        <is>
          <t>Flora S7</t>
        </is>
      </c>
      <c r="F104" s="44" t="n"/>
      <c r="G104" s="45" t="n"/>
      <c r="H104" s="43" t="n"/>
      <c r="I104" s="43" t="n"/>
    </row>
    <row r="105" ht="19.5" customHeight="1">
      <c r="B105" s="40" t="inlineStr">
        <is>
          <t>100</t>
        </is>
      </c>
      <c r="C105" s="56">
        <f>'🌱 Configuração'!D6+99</f>
        <v/>
      </c>
      <c r="D105" s="55" t="inlineStr">
        <is>
          <t>Floração</t>
        </is>
      </c>
      <c r="E105" s="57" t="inlineStr">
        <is>
          <t>Flora S7</t>
        </is>
      </c>
      <c r="F105" s="58" t="n"/>
      <c r="G105" s="59" t="n"/>
      <c r="H105" s="57" t="n"/>
      <c r="I105" s="57" t="n"/>
    </row>
    <row r="106" ht="19.5" customHeight="1">
      <c r="B106" s="40" t="inlineStr">
        <is>
          <t>101</t>
        </is>
      </c>
      <c r="C106" s="41">
        <f>'🌱 Configuração'!D6+100</f>
        <v/>
      </c>
      <c r="D106" s="55" t="inlineStr">
        <is>
          <t>Floração</t>
        </is>
      </c>
      <c r="E106" s="43" t="inlineStr">
        <is>
          <t>Flora S7</t>
        </is>
      </c>
      <c r="F106" s="44" t="n"/>
      <c r="G106" s="45" t="n"/>
      <c r="H106" s="43" t="n"/>
      <c r="I106" s="43" t="n"/>
    </row>
    <row r="107" ht="19.5" customHeight="1">
      <c r="B107" s="40" t="inlineStr">
        <is>
          <t>102</t>
        </is>
      </c>
      <c r="C107" s="56">
        <f>'🌱 Configuração'!D6+101</f>
        <v/>
      </c>
      <c r="D107" s="55" t="inlineStr">
        <is>
          <t>Floração</t>
        </is>
      </c>
      <c r="E107" s="57" t="inlineStr">
        <is>
          <t>Flora S7</t>
        </is>
      </c>
      <c r="F107" s="58" t="n"/>
      <c r="G107" s="59" t="n"/>
      <c r="H107" s="57" t="n"/>
      <c r="I107" s="57" t="n"/>
    </row>
    <row r="108" ht="19.5" customHeight="1">
      <c r="B108" s="40" t="inlineStr">
        <is>
          <t>103</t>
        </is>
      </c>
      <c r="C108" s="41">
        <f>'🌱 Configuração'!D6+102</f>
        <v/>
      </c>
      <c r="D108" s="55" t="inlineStr">
        <is>
          <t>Floração</t>
        </is>
      </c>
      <c r="E108" s="43" t="inlineStr">
        <is>
          <t>Flora S7</t>
        </is>
      </c>
      <c r="F108" s="44" t="n"/>
      <c r="G108" s="45" t="n"/>
      <c r="H108" s="43" t="n"/>
      <c r="I108" s="43" t="n"/>
    </row>
    <row r="109" ht="19.5" customHeight="1">
      <c r="B109" s="40" t="inlineStr">
        <is>
          <t>104</t>
        </is>
      </c>
      <c r="C109" s="56">
        <f>'🌱 Configuração'!D6+103</f>
        <v/>
      </c>
      <c r="D109" s="55" t="inlineStr">
        <is>
          <t>Floração</t>
        </is>
      </c>
      <c r="E109" s="57" t="inlineStr">
        <is>
          <t>Flora S7</t>
        </is>
      </c>
      <c r="F109" s="58" t="n"/>
      <c r="G109" s="59" t="n"/>
      <c r="H109" s="57" t="n"/>
      <c r="I109" s="57" t="n"/>
    </row>
    <row r="110" ht="19.5" customHeight="1">
      <c r="B110" s="40" t="inlineStr">
        <is>
          <t>105</t>
        </is>
      </c>
      <c r="C110" s="41">
        <f>'🌱 Configuração'!D6+104</f>
        <v/>
      </c>
      <c r="D110" s="55" t="inlineStr">
        <is>
          <t>Floração</t>
        </is>
      </c>
      <c r="E110" s="43" t="inlineStr">
        <is>
          <t>Flora S7</t>
        </is>
      </c>
      <c r="F110" s="44" t="inlineStr">
        <is>
          <t>🌸 Bloom puro (EC 1.4) — pré-flush</t>
        </is>
      </c>
      <c r="G110" s="45" t="n"/>
      <c r="H110" s="43" t="inlineStr">
        <is>
          <t>🚿 Preparar para flush</t>
        </is>
      </c>
      <c r="I110" s="43" t="inlineStr">
        <is>
          <t>⚠️ Parar toda nutrição — somente água</t>
        </is>
      </c>
    </row>
    <row r="111" ht="19.5" customHeight="1">
      <c r="B111" s="40" t="inlineStr">
        <is>
          <t>106</t>
        </is>
      </c>
      <c r="C111" s="56">
        <f>'🌱 Configuração'!D6+105</f>
        <v/>
      </c>
      <c r="D111" s="55" t="inlineStr">
        <is>
          <t>Floração</t>
        </is>
      </c>
      <c r="E111" s="57" t="inlineStr">
        <is>
          <t>Flora S8</t>
        </is>
      </c>
      <c r="F111" s="58" t="n"/>
      <c r="G111" s="59" t="n"/>
      <c r="H111" s="57" t="n"/>
      <c r="I111" s="57" t="n"/>
    </row>
    <row r="112" ht="19.5" customHeight="1">
      <c r="B112" s="40" t="inlineStr">
        <is>
          <t>107</t>
        </is>
      </c>
      <c r="C112" s="41">
        <f>'🌱 Configuração'!D6+106</f>
        <v/>
      </c>
      <c r="D112" s="55" t="inlineStr">
        <is>
          <t>Floração</t>
        </is>
      </c>
      <c r="E112" s="43" t="inlineStr">
        <is>
          <t>Flora S8</t>
        </is>
      </c>
      <c r="F112" s="44" t="n"/>
      <c r="G112" s="45" t="n"/>
      <c r="H112" s="43" t="n"/>
      <c r="I112" s="43" t="n"/>
    </row>
    <row r="113" ht="19.5" customHeight="1">
      <c r="B113" s="40" t="inlineStr">
        <is>
          <t>108</t>
        </is>
      </c>
      <c r="C113" s="56">
        <f>'🌱 Configuração'!D6+107</f>
        <v/>
      </c>
      <c r="D113" s="55" t="inlineStr">
        <is>
          <t>Floração</t>
        </is>
      </c>
      <c r="E113" s="57" t="inlineStr">
        <is>
          <t>Flora S8</t>
        </is>
      </c>
      <c r="F113" s="58" t="n"/>
      <c r="G113" s="59" t="n"/>
      <c r="H113" s="57" t="n"/>
      <c r="I113" s="57" t="n"/>
    </row>
    <row r="114" ht="19.5" customHeight="1">
      <c r="B114" s="40" t="inlineStr">
        <is>
          <t>109</t>
        </is>
      </c>
      <c r="C114" s="41">
        <f>'🌱 Configuração'!D6+108</f>
        <v/>
      </c>
      <c r="D114" s="55" t="inlineStr">
        <is>
          <t>Floração</t>
        </is>
      </c>
      <c r="E114" s="43" t="inlineStr">
        <is>
          <t>Flora S8</t>
        </is>
      </c>
      <c r="F114" s="44" t="n"/>
      <c r="G114" s="45" t="n"/>
      <c r="H114" s="43" t="n"/>
      <c r="I114" s="43" t="n"/>
    </row>
    <row r="115" ht="19.5" customHeight="1">
      <c r="B115" s="40" t="inlineStr">
        <is>
          <t>110</t>
        </is>
      </c>
      <c r="C115" s="56">
        <f>'🌱 Configuração'!D6+109</f>
        <v/>
      </c>
      <c r="D115" s="55" t="inlineStr">
        <is>
          <t>Floração</t>
        </is>
      </c>
      <c r="E115" s="57" t="inlineStr">
        <is>
          <t>Flora S8</t>
        </is>
      </c>
      <c r="F115" s="58" t="n"/>
      <c r="G115" s="59" t="n"/>
      <c r="H115" s="57" t="n"/>
      <c r="I115" s="57" t="n"/>
    </row>
    <row r="116" ht="19.5" customHeight="1">
      <c r="B116" s="40" t="inlineStr">
        <is>
          <t>111</t>
        </is>
      </c>
      <c r="C116" s="41">
        <f>'🌱 Configuração'!D6+110</f>
        <v/>
      </c>
      <c r="D116" s="55" t="inlineStr">
        <is>
          <t>Floração</t>
        </is>
      </c>
      <c r="E116" s="43" t="inlineStr">
        <is>
          <t>Flora S8</t>
        </is>
      </c>
      <c r="F116" s="44" t="n"/>
      <c r="G116" s="45" t="n"/>
      <c r="H116" s="43" t="n"/>
      <c r="I116" s="43" t="n"/>
    </row>
    <row r="117" ht="19.5" customHeight="1">
      <c r="B117" s="40" t="inlineStr">
        <is>
          <t>112</t>
        </is>
      </c>
      <c r="C117" s="56">
        <f>'🌱 Configuração'!D6+111</f>
        <v/>
      </c>
      <c r="D117" s="55" t="inlineStr">
        <is>
          <t>Floração</t>
        </is>
      </c>
      <c r="E117" s="57" t="inlineStr">
        <is>
          <t>Flora S8</t>
        </is>
      </c>
      <c r="F117" s="58" t="inlineStr">
        <is>
          <t>🚿 Água pura + Enzimas (EC &lt; 0.3)</t>
        </is>
      </c>
      <c r="G117" s="59" t="n"/>
      <c r="H117" s="57" t="inlineStr">
        <is>
          <t>🚿 INICIAR FLUSH</t>
        </is>
      </c>
      <c r="I117" s="57" t="n"/>
    </row>
    <row r="118" ht="19.5" customHeight="1">
      <c r="B118" s="40" t="inlineStr">
        <is>
          <t>113</t>
        </is>
      </c>
      <c r="C118" s="41">
        <f>'🌱 Configuração'!D6+112</f>
        <v/>
      </c>
      <c r="D118" s="55" t="inlineStr">
        <is>
          <t>Floração</t>
        </is>
      </c>
      <c r="E118" s="43" t="inlineStr">
        <is>
          <t>Flora S9</t>
        </is>
      </c>
      <c r="F118" s="44" t="n"/>
      <c r="G118" s="45" t="n"/>
      <c r="H118" s="43" t="n"/>
      <c r="I118" s="43" t="n"/>
    </row>
    <row r="119" ht="19.5" customHeight="1">
      <c r="B119" s="40" t="inlineStr">
        <is>
          <t>114</t>
        </is>
      </c>
      <c r="C119" s="56">
        <f>'🌱 Configuração'!D6+113</f>
        <v/>
      </c>
      <c r="D119" s="55" t="inlineStr">
        <is>
          <t>Floração</t>
        </is>
      </c>
      <c r="E119" s="57" t="inlineStr">
        <is>
          <t>Flora S9</t>
        </is>
      </c>
      <c r="F119" s="58" t="n"/>
      <c r="G119" s="59" t="n"/>
      <c r="H119" s="57" t="n"/>
      <c r="I119" s="57" t="n"/>
    </row>
    <row r="120" ht="19.5" customHeight="1">
      <c r="B120" s="40" t="inlineStr">
        <is>
          <t>115</t>
        </is>
      </c>
      <c r="C120" s="41">
        <f>'🌱 Configuração'!D6+114</f>
        <v/>
      </c>
      <c r="D120" s="55" t="inlineStr">
        <is>
          <t>Floração</t>
        </is>
      </c>
      <c r="E120" s="43" t="inlineStr">
        <is>
          <t>Flora S9</t>
        </is>
      </c>
      <c r="F120" s="44" t="n"/>
      <c r="G120" s="45" t="n"/>
      <c r="H120" s="43" t="n"/>
      <c r="I120" s="43" t="n"/>
    </row>
    <row r="121" ht="19.5" customHeight="1">
      <c r="B121" s="40" t="inlineStr">
        <is>
          <t>116</t>
        </is>
      </c>
      <c r="C121" s="56">
        <f>'🌱 Configuração'!D6+115</f>
        <v/>
      </c>
      <c r="D121" s="55" t="inlineStr">
        <is>
          <t>Floração</t>
        </is>
      </c>
      <c r="E121" s="57" t="inlineStr">
        <is>
          <t>Flora S9</t>
        </is>
      </c>
      <c r="F121" s="58" t="inlineStr">
        <is>
          <t>🚿 Água pura (EC &lt; 0.2)</t>
        </is>
      </c>
      <c r="G121" s="59" t="n"/>
      <c r="H121" s="57" t="n"/>
      <c r="I121" s="57" t="n"/>
    </row>
    <row r="122" ht="19.5" customHeight="1">
      <c r="B122" s="40" t="inlineStr">
        <is>
          <t>117</t>
        </is>
      </c>
      <c r="C122" s="41">
        <f>'🌱 Configuração'!D6+116</f>
        <v/>
      </c>
      <c r="D122" s="55" t="inlineStr">
        <is>
          <t>Floração</t>
        </is>
      </c>
      <c r="E122" s="43" t="inlineStr">
        <is>
          <t>Flora S9</t>
        </is>
      </c>
      <c r="F122" s="44" t="n"/>
      <c r="G122" s="45" t="n"/>
      <c r="H122" s="43" t="n"/>
      <c r="I122" s="43" t="n"/>
    </row>
    <row r="123" ht="19.5" customHeight="1">
      <c r="B123" s="40" t="inlineStr">
        <is>
          <t>118</t>
        </is>
      </c>
      <c r="C123" s="56">
        <f>'🌱 Configuração'!D6+117</f>
        <v/>
      </c>
      <c r="D123" s="55" t="inlineStr">
        <is>
          <t>Floração</t>
        </is>
      </c>
      <c r="E123" s="57" t="inlineStr">
        <is>
          <t>Flora S9</t>
        </is>
      </c>
      <c r="F123" s="58" t="n"/>
      <c r="G123" s="59" t="n"/>
      <c r="H123" s="57" t="n"/>
      <c r="I123" s="57" t="n"/>
    </row>
    <row r="124" ht="19.5" customHeight="1">
      <c r="B124" s="40" t="inlineStr">
        <is>
          <t>119</t>
        </is>
      </c>
      <c r="C124" s="41">
        <f>'🌱 Configuração'!D6+118</f>
        <v/>
      </c>
      <c r="D124" s="55" t="inlineStr">
        <is>
          <t>Floração</t>
        </is>
      </c>
      <c r="E124" s="43" t="inlineStr">
        <is>
          <t>Flora S9</t>
        </is>
      </c>
      <c r="F124" s="44" t="inlineStr">
        <is>
          <t>🚿 Água pura — análise tricomas</t>
        </is>
      </c>
      <c r="G124" s="45" t="n"/>
      <c r="H124" s="43" t="inlineStr">
        <is>
          <t>🔬 Tricomas âmbar 20-30%? Quase pronto!</t>
        </is>
      </c>
      <c r="I124" s="43" t="inlineStr">
        <is>
          <t>🔬 Âmbar 10-30% = colher conforme efeito desejado</t>
        </is>
      </c>
    </row>
    <row r="125" ht="19.5" customHeight="1">
      <c r="B125" s="40" t="inlineStr">
        <is>
          <t>120</t>
        </is>
      </c>
      <c r="C125" s="60">
        <f>'🌱 Configuração'!D6+119</f>
        <v/>
      </c>
      <c r="D125" s="61" t="inlineStr">
        <is>
          <t>Flush</t>
        </is>
      </c>
      <c r="E125" s="62" t="inlineStr">
        <is>
          <t>Flush S1</t>
        </is>
      </c>
      <c r="F125" s="63" t="n"/>
      <c r="G125" s="64" t="n"/>
      <c r="H125" s="62" t="n"/>
      <c r="I125" s="62" t="n"/>
    </row>
    <row r="126" ht="19.5" customHeight="1">
      <c r="B126" s="40" t="inlineStr">
        <is>
          <t>121</t>
        </is>
      </c>
      <c r="C126" s="41">
        <f>'🌱 Configuração'!D6+120</f>
        <v/>
      </c>
      <c r="D126" s="61" t="inlineStr">
        <is>
          <t>Flush</t>
        </is>
      </c>
      <c r="E126" s="43" t="inlineStr">
        <is>
          <t>Flush S1</t>
        </is>
      </c>
      <c r="F126" s="44" t="n"/>
      <c r="G126" s="45" t="n"/>
      <c r="H126" s="43" t="n"/>
      <c r="I126" s="43" t="n"/>
    </row>
    <row r="127" ht="19.5" customHeight="1">
      <c r="B127" s="40" t="inlineStr">
        <is>
          <t>122</t>
        </is>
      </c>
      <c r="C127" s="60">
        <f>'🌱 Configuração'!D6+121</f>
        <v/>
      </c>
      <c r="D127" s="61" t="inlineStr">
        <is>
          <t>Flush</t>
        </is>
      </c>
      <c r="E127" s="62" t="inlineStr">
        <is>
          <t>Flush S1</t>
        </is>
      </c>
      <c r="F127" s="63" t="n"/>
      <c r="G127" s="64" t="n"/>
      <c r="H127" s="62" t="inlineStr">
        <is>
          <t>✂️ COLHEITA — Feliz colheita! 🎉</t>
        </is>
      </c>
      <c r="I127" s="62" t="n"/>
    </row>
    <row r="128" ht="19.5" customHeight="1">
      <c r="B128" s="40" t="inlineStr">
        <is>
          <t>123</t>
        </is>
      </c>
      <c r="C128" s="41">
        <f>'🌱 Configuração'!D6+122</f>
        <v/>
      </c>
      <c r="D128" s="61" t="inlineStr">
        <is>
          <t>Flush</t>
        </is>
      </c>
      <c r="E128" s="43" t="inlineStr">
        <is>
          <t>Flush S1</t>
        </is>
      </c>
      <c r="F128" s="44" t="n"/>
      <c r="G128" s="45" t="n"/>
      <c r="H128" s="43" t="n"/>
      <c r="I128" s="43" t="n"/>
    </row>
    <row r="129" ht="19.5" customHeight="1">
      <c r="B129" s="40" t="inlineStr">
        <is>
          <t>124</t>
        </is>
      </c>
      <c r="C129" s="60">
        <f>'🌱 Configuração'!D6+123</f>
        <v/>
      </c>
      <c r="D129" s="61" t="inlineStr">
        <is>
          <t>Flush</t>
        </is>
      </c>
      <c r="E129" s="62" t="inlineStr">
        <is>
          <t>Flush S1</t>
        </is>
      </c>
      <c r="F129" s="63" t="n"/>
      <c r="G129" s="64" t="n"/>
      <c r="H129" s="62" t="n"/>
      <c r="I129" s="62" t="n"/>
    </row>
    <row r="130" ht="19.5" customHeight="1">
      <c r="B130" s="40" t="inlineStr">
        <is>
          <t>125</t>
        </is>
      </c>
      <c r="C130" s="41">
        <f>'🌱 Configuração'!D6+124</f>
        <v/>
      </c>
      <c r="D130" s="61" t="inlineStr">
        <is>
          <t>Flush</t>
        </is>
      </c>
      <c r="E130" s="43" t="inlineStr">
        <is>
          <t>Flush S1</t>
        </is>
      </c>
      <c r="F130" s="44" t="n"/>
      <c r="G130" s="45" t="n"/>
      <c r="H130" s="43" t="n"/>
      <c r="I130" s="43" t="n"/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2B788"/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6" customWidth="1" min="3" max="3"/>
    <col width="20" customWidth="1" min="4" max="4"/>
    <col width="18" customWidth="1" min="5" max="5"/>
    <col width="14" customWidth="1" min="6" max="6"/>
    <col width="16" customWidth="1" min="8" max="8"/>
    <col width="18" customWidth="1" min="9" max="9"/>
    <col width="3" customWidth="1" min="10" max="10"/>
  </cols>
  <sheetData>
    <row r="1"/>
    <row r="2" ht="45" customHeight="1">
      <c r="B2" s="38" t="inlineStr">
        <is>
          <t>💊  PROTOCOLO DE ADUBAÇÃO — Cannabis Medicinal Indoor</t>
        </is>
      </c>
    </row>
    <row r="3" ht="18" customHeight="1">
      <c r="B3" s="39" t="inlineStr">
        <is>
          <t>Doses por litro de água. Sempre ajuste EC e pH após mistura. pH ideal: 5.8–6.2 (hidro/coco) | 6.0–6.8 (terra)</t>
        </is>
      </c>
    </row>
    <row r="4"/>
    <row r="5" ht="27.75" customHeight="1">
      <c r="B5" s="65" t="inlineStr">
        <is>
          <t>🌱 CLONE (Dia 1–14)</t>
        </is>
      </c>
      <c r="C5" s="12" t="n"/>
      <c r="D5" s="12" t="n"/>
      <c r="E5" s="12" t="n"/>
      <c r="F5" s="12" t="n"/>
      <c r="G5" s="12" t="n"/>
      <c r="H5" s="12" t="n"/>
      <c r="I5" s="12" t="n"/>
    </row>
    <row r="6" ht="24" customHeight="1">
      <c r="B6" s="40" t="inlineStr">
        <is>
          <t>Período</t>
        </is>
      </c>
      <c r="C6" s="40" t="inlineStr">
        <is>
          <t>Base N-P-K</t>
        </is>
      </c>
      <c r="D6" s="40" t="inlineStr">
        <is>
          <t>Dose</t>
        </is>
      </c>
      <c r="E6" s="40" t="inlineStr">
        <is>
          <t>CalMag</t>
        </is>
      </c>
      <c r="F6" s="40" t="inlineStr">
        <is>
          <t>PK Booster</t>
        </is>
      </c>
      <c r="G6" s="40" t="inlineStr">
        <is>
          <t>Estimulante</t>
        </is>
      </c>
      <c r="H6" s="40" t="inlineStr">
        <is>
          <t>Suplemento</t>
        </is>
      </c>
      <c r="I6" s="40" t="inlineStr">
        <is>
          <t>pH alvo</t>
        </is>
      </c>
      <c r="J6" s="40" t="inlineStr">
        <is>
          <t>EC alvo</t>
        </is>
      </c>
      <c r="K6" s="40" t="inlineStr">
        <is>
          <t>Observação</t>
        </is>
      </c>
    </row>
    <row r="7" ht="19.5" customHeight="1">
      <c r="B7" s="66" t="inlineStr">
        <is>
          <t>Dia 1–3</t>
        </is>
      </c>
      <c r="C7" s="43" t="inlineStr">
        <is>
          <t>Enraizador</t>
        </is>
      </c>
      <c r="D7" s="67" t="inlineStr">
        <is>
          <t>0.5 mL/L</t>
        </is>
      </c>
      <c r="E7" s="67" t="inlineStr">
        <is>
          <t>-</t>
        </is>
      </c>
      <c r="F7" s="67" t="inlineStr">
        <is>
          <t>-</t>
        </is>
      </c>
      <c r="G7" s="67" t="inlineStr">
        <is>
          <t>-</t>
        </is>
      </c>
      <c r="H7" s="67" t="inlineStr">
        <is>
          <t>-</t>
        </is>
      </c>
      <c r="I7" s="67" t="inlineStr">
        <is>
          <t>5.8–6.0</t>
        </is>
      </c>
      <c r="J7" s="67" t="inlineStr">
        <is>
          <t>N/A</t>
        </is>
      </c>
      <c r="K7" s="43" t="inlineStr">
        <is>
          <t>Solo úmido</t>
        </is>
      </c>
    </row>
    <row r="8" ht="19.5" customHeight="1">
      <c r="B8" s="68" t="inlineStr">
        <is>
          <t>Dia 4–7</t>
        </is>
      </c>
      <c r="C8" s="47" t="inlineStr">
        <is>
          <t>Enraizador</t>
        </is>
      </c>
      <c r="D8" s="69" t="inlineStr">
        <is>
          <t>0.5 mL/L</t>
        </is>
      </c>
      <c r="E8" s="69" t="inlineStr">
        <is>
          <t>-</t>
        </is>
      </c>
      <c r="F8" s="69" t="inlineStr">
        <is>
          <t>-</t>
        </is>
      </c>
      <c r="G8" s="69" t="inlineStr">
        <is>
          <t>-</t>
        </is>
      </c>
      <c r="H8" s="69" t="inlineStr">
        <is>
          <t>-</t>
        </is>
      </c>
      <c r="I8" s="69" t="inlineStr">
        <is>
          <t>5.8–6.0</t>
        </is>
      </c>
      <c r="J8" s="69" t="inlineStr">
        <is>
          <t>N/A</t>
        </is>
      </c>
      <c r="K8" s="47" t="inlineStr">
        <is>
          <t>Evitar encharcamento</t>
        </is>
      </c>
    </row>
    <row r="9" ht="19.5" customHeight="1">
      <c r="B9" s="66" t="inlineStr">
        <is>
          <t>Dia 8–10</t>
        </is>
      </c>
      <c r="C9" s="43" t="inlineStr">
        <is>
          <t>Enraizador + Vit B1</t>
        </is>
      </c>
      <c r="D9" s="67" t="inlineStr">
        <is>
          <t>0.5 mL/L</t>
        </is>
      </c>
      <c r="E9" s="67" t="inlineStr">
        <is>
          <t>0.5 mL/L</t>
        </is>
      </c>
      <c r="F9" s="67" t="inlineStr">
        <is>
          <t>-</t>
        </is>
      </c>
      <c r="G9" s="67" t="inlineStr">
        <is>
          <t>-</t>
        </is>
      </c>
      <c r="H9" s="67" t="inlineStr">
        <is>
          <t>-</t>
        </is>
      </c>
      <c r="I9" s="67" t="inlineStr">
        <is>
          <t>5.8–6.0</t>
        </is>
      </c>
      <c r="J9" s="67" t="inlineStr">
        <is>
          <t>N/A</t>
        </is>
      </c>
      <c r="K9" s="43" t="inlineStr">
        <is>
          <t>B1 fortalece raízes</t>
        </is>
      </c>
    </row>
    <row r="10" ht="19.5" customHeight="1">
      <c r="B10" s="68" t="inlineStr">
        <is>
          <t>Dia 11–14</t>
        </is>
      </c>
      <c r="C10" s="47" t="inlineStr">
        <is>
          <t>Enraizador</t>
        </is>
      </c>
      <c r="D10" s="69" t="inlineStr">
        <is>
          <t>0.5 mL/L</t>
        </is>
      </c>
      <c r="E10" s="69" t="inlineStr">
        <is>
          <t>-</t>
        </is>
      </c>
      <c r="F10" s="69" t="inlineStr">
        <is>
          <t>-</t>
        </is>
      </c>
      <c r="G10" s="69" t="inlineStr">
        <is>
          <t>-</t>
        </is>
      </c>
      <c r="H10" s="69" t="inlineStr">
        <is>
          <t>Biorrizas</t>
        </is>
      </c>
      <c r="I10" s="69" t="inlineStr">
        <is>
          <t>6.0</t>
        </is>
      </c>
      <c r="J10" s="69" t="inlineStr">
        <is>
          <t>0.4</t>
        </is>
      </c>
      <c r="K10" s="47" t="inlineStr">
        <is>
          <t>Avaliar pegamento</t>
        </is>
      </c>
    </row>
    <row r="11"/>
    <row r="12" ht="27.75" customHeight="1">
      <c r="B12" s="70" t="inlineStr">
        <is>
          <t>🌿 VEGETATIVO (Dia 15–56)</t>
        </is>
      </c>
      <c r="C12" s="12" t="n"/>
      <c r="D12" s="12" t="n"/>
      <c r="E12" s="12" t="n"/>
      <c r="F12" s="12" t="n"/>
      <c r="G12" s="12" t="n"/>
      <c r="H12" s="12" t="n"/>
      <c r="I12" s="12" t="n"/>
    </row>
    <row r="13" ht="24" customHeight="1">
      <c r="B13" s="40" t="inlineStr">
        <is>
          <t>Período</t>
        </is>
      </c>
      <c r="C13" s="40" t="inlineStr">
        <is>
          <t>Base N-P-K</t>
        </is>
      </c>
      <c r="D13" s="40" t="inlineStr">
        <is>
          <t>Dose</t>
        </is>
      </c>
      <c r="E13" s="40" t="inlineStr">
        <is>
          <t>CalMag</t>
        </is>
      </c>
      <c r="F13" s="40" t="inlineStr">
        <is>
          <t>PK Booster</t>
        </is>
      </c>
      <c r="G13" s="40" t="inlineStr">
        <is>
          <t>Estimulante</t>
        </is>
      </c>
      <c r="H13" s="40" t="inlineStr">
        <is>
          <t>Suplemento</t>
        </is>
      </c>
      <c r="I13" s="40" t="inlineStr">
        <is>
          <t>pH alvo</t>
        </is>
      </c>
      <c r="J13" s="40" t="inlineStr">
        <is>
          <t>EC alvo</t>
        </is>
      </c>
      <c r="K13" s="40" t="inlineStr">
        <is>
          <t>Observação</t>
        </is>
      </c>
    </row>
    <row r="14" ht="19.5" customHeight="1">
      <c r="B14" s="71" t="inlineStr">
        <is>
          <t>S1 (D15–21)</t>
        </is>
      </c>
      <c r="C14" s="52" t="inlineStr">
        <is>
          <t>Grow A+B</t>
        </is>
      </c>
      <c r="D14" s="72" t="inlineStr">
        <is>
          <t>1 mL/L</t>
        </is>
      </c>
      <c r="E14" s="72" t="inlineStr">
        <is>
          <t>CalMag 0.5mL</t>
        </is>
      </c>
      <c r="F14" s="72" t="inlineStr">
        <is>
          <t>-</t>
        </is>
      </c>
      <c r="G14" s="72" t="inlineStr">
        <is>
          <t>-</t>
        </is>
      </c>
      <c r="H14" s="72" t="inlineStr">
        <is>
          <t>-</t>
        </is>
      </c>
      <c r="I14" s="72" t="inlineStr">
        <is>
          <t>6.0</t>
        </is>
      </c>
      <c r="J14" s="72" t="inlineStr">
        <is>
          <t>0.8</t>
        </is>
      </c>
      <c r="K14" s="52" t="inlineStr">
        <is>
          <t>Início suave</t>
        </is>
      </c>
    </row>
    <row r="15" ht="19.5" customHeight="1">
      <c r="B15" s="73" t="inlineStr">
        <is>
          <t>S2 (D22–28)</t>
        </is>
      </c>
      <c r="C15" s="43" t="inlineStr">
        <is>
          <t>Grow A+B</t>
        </is>
      </c>
      <c r="D15" s="67" t="inlineStr">
        <is>
          <t>2 mL/L</t>
        </is>
      </c>
      <c r="E15" s="67" t="inlineStr">
        <is>
          <t>CalMag 1mL</t>
        </is>
      </c>
      <c r="F15" s="67" t="inlineStr">
        <is>
          <t>-</t>
        </is>
      </c>
      <c r="G15" s="67" t="inlineStr">
        <is>
          <t>-</t>
        </is>
      </c>
      <c r="H15" s="67" t="inlineStr">
        <is>
          <t>Enzimas</t>
        </is>
      </c>
      <c r="I15" s="67" t="inlineStr">
        <is>
          <t>6.1</t>
        </is>
      </c>
      <c r="J15" s="67" t="inlineStr">
        <is>
          <t>1.0</t>
        </is>
      </c>
      <c r="K15" s="43" t="inlineStr">
        <is>
          <t>Monitorar CE</t>
        </is>
      </c>
    </row>
    <row r="16" ht="19.5" customHeight="1">
      <c r="B16" s="71" t="inlineStr">
        <is>
          <t>S3 (D29–35)</t>
        </is>
      </c>
      <c r="C16" s="52" t="inlineStr">
        <is>
          <t>Grow A+B</t>
        </is>
      </c>
      <c r="D16" s="72" t="inlineStr">
        <is>
          <t>3 mL/L</t>
        </is>
      </c>
      <c r="E16" s="72" t="inlineStr">
        <is>
          <t>CalMag 1mL</t>
        </is>
      </c>
      <c r="F16" s="72" t="inlineStr">
        <is>
          <t>-</t>
        </is>
      </c>
      <c r="G16" s="72" t="inlineStr">
        <is>
          <t>-</t>
        </is>
      </c>
      <c r="H16" s="72" t="inlineStr">
        <is>
          <t>Biorrizas</t>
        </is>
      </c>
      <c r="I16" s="72" t="inlineStr">
        <is>
          <t>6.1</t>
        </is>
      </c>
      <c r="J16" s="72" t="inlineStr">
        <is>
          <t>1.2</t>
        </is>
      </c>
      <c r="K16" s="52" t="inlineStr">
        <is>
          <t>LST/Topping</t>
        </is>
      </c>
    </row>
    <row r="17" ht="19.5" customHeight="1">
      <c r="B17" s="73" t="inlineStr">
        <is>
          <t>S4 (D36–42)</t>
        </is>
      </c>
      <c r="C17" s="43" t="inlineStr">
        <is>
          <t>Grow A+B</t>
        </is>
      </c>
      <c r="D17" s="67" t="inlineStr">
        <is>
          <t>3 mL/L</t>
        </is>
      </c>
      <c r="E17" s="67" t="inlineStr">
        <is>
          <t>CalMag 1.5mL</t>
        </is>
      </c>
      <c r="F17" s="67" t="inlineStr">
        <is>
          <t>-</t>
        </is>
      </c>
      <c r="G17" s="67" t="inlineStr">
        <is>
          <t>-</t>
        </is>
      </c>
      <c r="H17" s="67" t="inlineStr">
        <is>
          <t>Enzimas</t>
        </is>
      </c>
      <c r="I17" s="67" t="inlineStr">
        <is>
          <t>6.2</t>
        </is>
      </c>
      <c r="J17" s="67" t="inlineStr">
        <is>
          <t>1.4</t>
        </is>
      </c>
      <c r="K17" s="43" t="inlineStr">
        <is>
          <t>Estrutura boa</t>
        </is>
      </c>
    </row>
    <row r="18" ht="19.5" customHeight="1">
      <c r="B18" s="71" t="inlineStr">
        <is>
          <t>S5 (D43–49)</t>
        </is>
      </c>
      <c r="C18" s="52" t="inlineStr">
        <is>
          <t>Grow A+B</t>
        </is>
      </c>
      <c r="D18" s="72" t="inlineStr">
        <is>
          <t>3 mL/L</t>
        </is>
      </c>
      <c r="E18" s="72" t="inlineStr">
        <is>
          <t>CalMag 1.5mL</t>
        </is>
      </c>
      <c r="F18" s="72" t="inlineStr">
        <is>
          <t>-</t>
        </is>
      </c>
      <c r="G18" s="72" t="inlineStr">
        <is>
          <t>-</t>
        </is>
      </c>
      <c r="H18" s="72" t="inlineStr">
        <is>
          <t>-</t>
        </is>
      </c>
      <c r="I18" s="72" t="inlineStr">
        <is>
          <t>6.2</t>
        </is>
      </c>
      <c r="J18" s="72" t="inlineStr">
        <is>
          <t>1.5</t>
        </is>
      </c>
      <c r="K18" s="52" t="inlineStr">
        <is>
          <t>Pré-transição</t>
        </is>
      </c>
    </row>
    <row r="19" ht="19.5" customHeight="1">
      <c r="B19" s="73" t="inlineStr">
        <is>
          <t>S6 (D50–56)</t>
        </is>
      </c>
      <c r="C19" s="43" t="inlineStr">
        <is>
          <t>Bloom A+B</t>
        </is>
      </c>
      <c r="D19" s="67" t="inlineStr">
        <is>
          <t>1 mL/L</t>
        </is>
      </c>
      <c r="E19" s="67" t="inlineStr">
        <is>
          <t>CalMag 1mL</t>
        </is>
      </c>
      <c r="F19" s="67" t="inlineStr">
        <is>
          <t>PK 0.5mL</t>
        </is>
      </c>
      <c r="G19" s="67" t="inlineStr">
        <is>
          <t>-</t>
        </is>
      </c>
      <c r="H19" s="67" t="inlineStr">
        <is>
          <t>-</t>
        </is>
      </c>
      <c r="I19" s="67" t="inlineStr">
        <is>
          <t>6.0</t>
        </is>
      </c>
      <c r="J19" s="67" t="inlineStr">
        <is>
          <t>1.4</t>
        </is>
      </c>
      <c r="K19" s="43" t="inlineStr">
        <is>
          <t>Transição 12/12</t>
        </is>
      </c>
    </row>
    <row r="20"/>
    <row r="21" ht="27.75" customHeight="1">
      <c r="B21" s="74" t="inlineStr">
        <is>
          <t>🌸 FLORAÇÃO (Dia 57–119)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 ht="24" customHeight="1">
      <c r="B22" s="40" t="inlineStr">
        <is>
          <t>Período</t>
        </is>
      </c>
      <c r="C22" s="40" t="inlineStr">
        <is>
          <t>Base N-P-K</t>
        </is>
      </c>
      <c r="D22" s="40" t="inlineStr">
        <is>
          <t>Dose</t>
        </is>
      </c>
      <c r="E22" s="40" t="inlineStr">
        <is>
          <t>CalMag</t>
        </is>
      </c>
      <c r="F22" s="40" t="inlineStr">
        <is>
          <t>PK Booster</t>
        </is>
      </c>
      <c r="G22" s="40" t="inlineStr">
        <is>
          <t>Estimulante</t>
        </is>
      </c>
      <c r="H22" s="40" t="inlineStr">
        <is>
          <t>Suplemento</t>
        </is>
      </c>
      <c r="I22" s="40" t="inlineStr">
        <is>
          <t>pH alvo</t>
        </is>
      </c>
      <c r="J22" s="40" t="inlineStr">
        <is>
          <t>EC alvo</t>
        </is>
      </c>
      <c r="K22" s="40" t="inlineStr">
        <is>
          <t>Observação</t>
        </is>
      </c>
    </row>
    <row r="23" ht="19.5" customHeight="1">
      <c r="B23" s="75" t="inlineStr">
        <is>
          <t>S1 (D57–63)</t>
        </is>
      </c>
      <c r="C23" s="43" t="inlineStr">
        <is>
          <t>Bloom A+B</t>
        </is>
      </c>
      <c r="D23" s="67" t="inlineStr">
        <is>
          <t>3 mL/L</t>
        </is>
      </c>
      <c r="E23" s="67" t="inlineStr">
        <is>
          <t>CalMag 1mL</t>
        </is>
      </c>
      <c r="F23" s="67" t="inlineStr">
        <is>
          <t>-</t>
        </is>
      </c>
      <c r="G23" s="67" t="inlineStr">
        <is>
          <t>Boost 0.5</t>
        </is>
      </c>
      <c r="H23" s="67" t="inlineStr">
        <is>
          <t>-</t>
        </is>
      </c>
      <c r="I23" s="67" t="inlineStr">
        <is>
          <t>6.0</t>
        </is>
      </c>
      <c r="J23" s="67" t="inlineStr">
        <is>
          <t>1.6</t>
        </is>
      </c>
      <c r="K23" s="43" t="inlineStr">
        <is>
          <t>Formação pistils</t>
        </is>
      </c>
    </row>
    <row r="24" ht="19.5" customHeight="1">
      <c r="B24" s="76" t="inlineStr">
        <is>
          <t>S2 (D64–70)</t>
        </is>
      </c>
      <c r="C24" s="57" t="inlineStr">
        <is>
          <t>Bloom A+B</t>
        </is>
      </c>
      <c r="D24" s="77" t="inlineStr">
        <is>
          <t>3 mL/L</t>
        </is>
      </c>
      <c r="E24" s="77" t="inlineStr">
        <is>
          <t>CalMag 1mL</t>
        </is>
      </c>
      <c r="F24" s="77" t="inlineStr">
        <is>
          <t>PK 0.5mL</t>
        </is>
      </c>
      <c r="G24" s="77" t="inlineStr">
        <is>
          <t>Boost 1mL</t>
        </is>
      </c>
      <c r="H24" s="77" t="inlineStr">
        <is>
          <t>-</t>
        </is>
      </c>
      <c r="I24" s="77" t="inlineStr">
        <is>
          <t>6.0</t>
        </is>
      </c>
      <c r="J24" s="77" t="inlineStr">
        <is>
          <t>1.7</t>
        </is>
      </c>
      <c r="K24" s="57" t="inlineStr">
        <is>
          <t>Enchimento inicia</t>
        </is>
      </c>
    </row>
    <row r="25" ht="19.5" customHeight="1">
      <c r="B25" s="75" t="inlineStr">
        <is>
          <t>S3 (D71–77)</t>
        </is>
      </c>
      <c r="C25" s="43" t="inlineStr">
        <is>
          <t>Bloom A+B</t>
        </is>
      </c>
      <c r="D25" s="67" t="inlineStr">
        <is>
          <t>4 mL/L</t>
        </is>
      </c>
      <c r="E25" s="67" t="inlineStr">
        <is>
          <t>CalMag 1mL</t>
        </is>
      </c>
      <c r="F25" s="67" t="inlineStr">
        <is>
          <t>PK 1mL</t>
        </is>
      </c>
      <c r="G25" s="67" t="inlineStr">
        <is>
          <t>Boost 1mL</t>
        </is>
      </c>
      <c r="H25" s="67" t="inlineStr">
        <is>
          <t>Amino</t>
        </is>
      </c>
      <c r="I25" s="67" t="inlineStr">
        <is>
          <t>6.1</t>
        </is>
      </c>
      <c r="J25" s="67" t="inlineStr">
        <is>
          <t>1.8</t>
        </is>
      </c>
      <c r="K25" s="43" t="inlineStr">
        <is>
          <t>Pico de PK</t>
        </is>
      </c>
    </row>
    <row r="26" ht="19.5" customHeight="1">
      <c r="B26" s="76" t="inlineStr">
        <is>
          <t>S4 (D78–84)</t>
        </is>
      </c>
      <c r="C26" s="57" t="inlineStr">
        <is>
          <t>Bloom A+B</t>
        </is>
      </c>
      <c r="D26" s="77" t="inlineStr">
        <is>
          <t>4 mL/L</t>
        </is>
      </c>
      <c r="E26" s="77" t="inlineStr">
        <is>
          <t>CalMag 1mL</t>
        </is>
      </c>
      <c r="F26" s="77" t="inlineStr">
        <is>
          <t>PK 1.5mL</t>
        </is>
      </c>
      <c r="G26" s="77" t="inlineStr">
        <is>
          <t>Boost 1mL</t>
        </is>
      </c>
      <c r="H26" s="77" t="inlineStr">
        <is>
          <t>Amino</t>
        </is>
      </c>
      <c r="I26" s="77" t="inlineStr">
        <is>
          <t>6.1</t>
        </is>
      </c>
      <c r="J26" s="77" t="inlineStr">
        <is>
          <t>2.0</t>
        </is>
      </c>
      <c r="K26" s="57" t="inlineStr">
        <is>
          <t>Máximo enchimento</t>
        </is>
      </c>
    </row>
    <row r="27" ht="19.5" customHeight="1">
      <c r="B27" s="75" t="inlineStr">
        <is>
          <t>S5 (D85–91)</t>
        </is>
      </c>
      <c r="C27" s="43" t="inlineStr">
        <is>
          <t>Bloom A+B</t>
        </is>
      </c>
      <c r="D27" s="67" t="inlineStr">
        <is>
          <t>3 mL/L</t>
        </is>
      </c>
      <c r="E27" s="67" t="inlineStr">
        <is>
          <t>CalMag 0.5</t>
        </is>
      </c>
      <c r="F27" s="67" t="inlineStr">
        <is>
          <t>PK 1mL</t>
        </is>
      </c>
      <c r="G27" s="67" t="inlineStr">
        <is>
          <t>Boost 1mL</t>
        </is>
      </c>
      <c r="H27" s="67" t="inlineStr">
        <is>
          <t>Enzimas</t>
        </is>
      </c>
      <c r="I27" s="67" t="inlineStr">
        <is>
          <t>6.1</t>
        </is>
      </c>
      <c r="J27" s="67" t="inlineStr">
        <is>
          <t>1.8</t>
        </is>
      </c>
      <c r="K27" s="43" t="inlineStr">
        <is>
          <t>Analisar tricomas</t>
        </is>
      </c>
    </row>
    <row r="28" ht="19.5" customHeight="1">
      <c r="B28" s="76" t="inlineStr">
        <is>
          <t>S6 (D92–98)</t>
        </is>
      </c>
      <c r="C28" s="57" t="inlineStr">
        <is>
          <t>Bloom A+B</t>
        </is>
      </c>
      <c r="D28" s="77" t="inlineStr">
        <is>
          <t>3 mL/L</t>
        </is>
      </c>
      <c r="E28" s="77" t="inlineStr">
        <is>
          <t>-</t>
        </is>
      </c>
      <c r="F28" s="77" t="inlineStr">
        <is>
          <t>-</t>
        </is>
      </c>
      <c r="G28" s="77" t="inlineStr">
        <is>
          <t>Boost 0.5</t>
        </is>
      </c>
      <c r="H28" s="77" t="inlineStr">
        <is>
          <t>Enzimas</t>
        </is>
      </c>
      <c r="I28" s="77" t="inlineStr">
        <is>
          <t>6.0</t>
        </is>
      </c>
      <c r="J28" s="77" t="inlineStr">
        <is>
          <t>1.6</t>
        </is>
      </c>
      <c r="K28" s="57" t="inlineStr">
        <is>
          <t>Reduzir nutrição</t>
        </is>
      </c>
    </row>
    <row r="29" ht="19.5" customHeight="1">
      <c r="B29" s="75" t="inlineStr">
        <is>
          <t>S7 (D99–105)</t>
        </is>
      </c>
      <c r="C29" s="43" t="inlineStr">
        <is>
          <t>Bloom A+B</t>
        </is>
      </c>
      <c r="D29" s="67" t="inlineStr">
        <is>
          <t>2 mL/L</t>
        </is>
      </c>
      <c r="E29" s="67" t="inlineStr">
        <is>
          <t>-</t>
        </is>
      </c>
      <c r="F29" s="67" t="inlineStr">
        <is>
          <t>-</t>
        </is>
      </c>
      <c r="G29" s="67" t="inlineStr">
        <is>
          <t>-</t>
        </is>
      </c>
      <c r="H29" s="67" t="inlineStr">
        <is>
          <t>-</t>
        </is>
      </c>
      <c r="I29" s="67" t="inlineStr">
        <is>
          <t>6.0</t>
        </is>
      </c>
      <c r="J29" s="67" t="inlineStr">
        <is>
          <t>1.4</t>
        </is>
      </c>
      <c r="K29" s="43" t="inlineStr">
        <is>
          <t>Pré-flush</t>
        </is>
      </c>
    </row>
    <row r="30" ht="19.5" customHeight="1">
      <c r="B30" s="76" t="inlineStr">
        <is>
          <t>S8 (D106–112)</t>
        </is>
      </c>
      <c r="C30" s="57" t="inlineStr">
        <is>
          <t>Bloom A+B</t>
        </is>
      </c>
      <c r="D30" s="77" t="inlineStr">
        <is>
          <t>1 mL/L</t>
        </is>
      </c>
      <c r="E30" s="77" t="inlineStr">
        <is>
          <t>-</t>
        </is>
      </c>
      <c r="F30" s="77" t="inlineStr">
        <is>
          <t>-</t>
        </is>
      </c>
      <c r="G30" s="77" t="inlineStr">
        <is>
          <t>-</t>
        </is>
      </c>
      <c r="H30" s="77" t="inlineStr">
        <is>
          <t>Enzimas</t>
        </is>
      </c>
      <c r="I30" s="77" t="inlineStr">
        <is>
          <t>6.0</t>
        </is>
      </c>
      <c r="J30" s="77" t="inlineStr">
        <is>
          <t>0.8</t>
        </is>
      </c>
      <c r="K30" s="57" t="inlineStr">
        <is>
          <t>Últimos nutrientes</t>
        </is>
      </c>
    </row>
    <row r="31"/>
    <row r="32" ht="27.75" customHeight="1">
      <c r="B32" s="78" t="inlineStr">
        <is>
          <t>🚿 FLUSH (Dia 113–119)</t>
        </is>
      </c>
      <c r="C32" s="12" t="n"/>
      <c r="D32" s="12" t="n"/>
      <c r="E32" s="12" t="n"/>
      <c r="F32" s="12" t="n"/>
      <c r="G32" s="12" t="n"/>
      <c r="H32" s="12" t="n"/>
      <c r="I32" s="12" t="n"/>
    </row>
    <row r="33" ht="24" customHeight="1">
      <c r="B33" s="40" t="inlineStr">
        <is>
          <t>Período</t>
        </is>
      </c>
      <c r="C33" s="40" t="inlineStr">
        <is>
          <t>Base N-P-K</t>
        </is>
      </c>
      <c r="D33" s="40" t="inlineStr">
        <is>
          <t>Dose</t>
        </is>
      </c>
      <c r="E33" s="40" t="inlineStr">
        <is>
          <t>CalMag</t>
        </is>
      </c>
      <c r="F33" s="40" t="inlineStr">
        <is>
          <t>PK Booster</t>
        </is>
      </c>
      <c r="G33" s="40" t="inlineStr">
        <is>
          <t>Estimulante</t>
        </is>
      </c>
      <c r="H33" s="40" t="inlineStr">
        <is>
          <t>Suplemento</t>
        </is>
      </c>
      <c r="I33" s="40" t="inlineStr">
        <is>
          <t>pH alvo</t>
        </is>
      </c>
      <c r="J33" s="40" t="inlineStr">
        <is>
          <t>EC alvo</t>
        </is>
      </c>
      <c r="K33" s="40" t="inlineStr">
        <is>
          <t>Observação</t>
        </is>
      </c>
    </row>
    <row r="34" ht="19.5" customHeight="1">
      <c r="B34" s="79" t="inlineStr">
        <is>
          <t>D113–116</t>
        </is>
      </c>
      <c r="C34" s="62" t="inlineStr">
        <is>
          <t>Água pura</t>
        </is>
      </c>
      <c r="D34" s="80" t="inlineStr">
        <is>
          <t>-</t>
        </is>
      </c>
      <c r="E34" s="80" t="inlineStr">
        <is>
          <t>-</t>
        </is>
      </c>
      <c r="F34" s="80" t="inlineStr">
        <is>
          <t>-</t>
        </is>
      </c>
      <c r="G34" s="80" t="inlineStr">
        <is>
          <t>-</t>
        </is>
      </c>
      <c r="H34" s="80" t="inlineStr">
        <is>
          <t>Enzimas 1mL</t>
        </is>
      </c>
      <c r="I34" s="80" t="inlineStr">
        <is>
          <t>6.0</t>
        </is>
      </c>
      <c r="J34" s="80" t="inlineStr">
        <is>
          <t>&lt;0.3</t>
        </is>
      </c>
      <c r="K34" s="62" t="inlineStr">
        <is>
          <t>Lavar substrato</t>
        </is>
      </c>
    </row>
    <row r="35" ht="19.5" customHeight="1">
      <c r="B35" s="81" t="inlineStr">
        <is>
          <t>D117–119</t>
        </is>
      </c>
      <c r="C35" s="43" t="inlineStr">
        <is>
          <t>Água pura</t>
        </is>
      </c>
      <c r="D35" s="67" t="inlineStr">
        <is>
          <t>-</t>
        </is>
      </c>
      <c r="E35" s="67" t="inlineStr">
        <is>
          <t>-</t>
        </is>
      </c>
      <c r="F35" s="67" t="inlineStr">
        <is>
          <t>-</t>
        </is>
      </c>
      <c r="G35" s="67" t="inlineStr">
        <is>
          <t>-</t>
        </is>
      </c>
      <c r="H35" s="67" t="inlineStr">
        <is>
          <t>-</t>
        </is>
      </c>
      <c r="I35" s="67" t="inlineStr">
        <is>
          <t>6.0</t>
        </is>
      </c>
      <c r="J35" s="67" t="inlineStr">
        <is>
          <t>&lt;0.2</t>
        </is>
      </c>
      <c r="K35" s="43" t="inlineStr">
        <is>
          <t>Tricomas âmbar?</t>
        </is>
      </c>
    </row>
  </sheetData>
  <mergeCells count="6">
    <mergeCell ref="B12:I12"/>
    <mergeCell ref="B21:I21"/>
    <mergeCell ref="B2:I2"/>
    <mergeCell ref="B3:I3"/>
    <mergeCell ref="B5:I5"/>
    <mergeCell ref="B32:I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63946"/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6" customWidth="1" min="3" max="3"/>
    <col width="22" customWidth="1" min="4" max="4"/>
    <col width="20" customWidth="1" min="5" max="5"/>
    <col width="18" customWidth="1" min="8" max="8"/>
    <col width="3" customWidth="1" min="9" max="9"/>
  </cols>
  <sheetData>
    <row r="1"/>
    <row r="2" ht="45" customHeight="1">
      <c r="B2" s="38" t="inlineStr">
        <is>
          <t>🐛  MIP — CONTROLE INTEGRADO DE PRAGAS  (Preventivo)</t>
        </is>
      </c>
    </row>
    <row r="3" ht="18" customHeight="1">
      <c r="B3" s="82" t="inlineStr">
        <is>
          <t>Protocolo preventivo — Nunca aplicar foliar em floração avançada (após semana 3 de flora)</t>
        </is>
      </c>
    </row>
    <row r="4"/>
    <row r="5" ht="27.75" customHeight="1">
      <c r="B5" s="83" t="inlineStr">
        <is>
          <t>🛡️  PRODUTOS RECOMENDADOS — Biológicos e Orgânicos</t>
        </is>
      </c>
      <c r="C5" s="12" t="n"/>
      <c r="D5" s="12" t="n"/>
      <c r="E5" s="12" t="n"/>
      <c r="F5" s="12" t="n"/>
      <c r="G5" s="12" t="n"/>
      <c r="H5" s="12" t="n"/>
    </row>
    <row r="6" ht="24" customHeight="1">
      <c r="B6" s="84" t="inlineStr">
        <is>
          <t>Produto</t>
        </is>
      </c>
      <c r="C6" s="84" t="inlineStr">
        <is>
          <t>Dose</t>
        </is>
      </c>
      <c r="D6" s="84" t="inlineStr">
        <is>
          <t>Aplicação</t>
        </is>
      </c>
      <c r="E6" s="84" t="inlineStr">
        <is>
          <t>Alvo / Ação</t>
        </is>
      </c>
      <c r="F6" s="84" t="inlineStr">
        <is>
          <t>Frequência</t>
        </is>
      </c>
      <c r="G6" s="84" t="inlineStr">
        <is>
          <t>Observação</t>
        </is>
      </c>
    </row>
    <row r="7" ht="21.75" customHeight="1">
      <c r="B7" s="85" t="inlineStr">
        <is>
          <t>🌿 Óleo de Nim (Neem Oil)</t>
        </is>
      </c>
      <c r="C7" s="85" t="inlineStr">
        <is>
          <t>2–3 mL/L água</t>
        </is>
      </c>
      <c r="D7" s="85" t="inlineStr">
        <is>
          <t>Foliar (clone/vega) | Solo (flora)</t>
        </is>
      </c>
      <c r="E7" s="85" t="inlineStr">
        <is>
          <t>Acaricida, inseticida, fungicida</t>
        </is>
      </c>
      <c r="F7" s="85" t="inlineStr">
        <is>
          <t>A cada 7 dias preventivo</t>
        </is>
      </c>
      <c r="G7" s="85" t="inlineStr">
        <is>
          <t>⚠️ NÃO usar em flora avançada</t>
        </is>
      </c>
    </row>
    <row r="8" ht="21.75" customHeight="1">
      <c r="B8" s="43" t="inlineStr">
        <is>
          <t>🍄 Beauveria bassiana</t>
        </is>
      </c>
      <c r="C8" s="43" t="inlineStr">
        <is>
          <t>5–10 g/L</t>
        </is>
      </c>
      <c r="D8" s="43" t="inlineStr">
        <is>
          <t>Foliar e solo</t>
        </is>
      </c>
      <c r="E8" s="43" t="inlineStr">
        <is>
          <t>Fungo entomopatogênico — tripes, mosca branca</t>
        </is>
      </c>
      <c r="F8" s="43" t="inlineStr">
        <is>
          <t>A cada 14 dias</t>
        </is>
      </c>
      <c r="G8" s="43" t="inlineStr">
        <is>
          <t>Refrigerar após abrir</t>
        </is>
      </c>
    </row>
    <row r="9" ht="21.75" customHeight="1">
      <c r="B9" s="85" t="inlineStr">
        <is>
          <t>🦠 Trichoderma harzianum</t>
        </is>
      </c>
      <c r="C9" s="85" t="inlineStr">
        <is>
          <t>2–5 g/L</t>
        </is>
      </c>
      <c r="D9" s="85" t="inlineStr">
        <is>
          <t>Solo / substrato</t>
        </is>
      </c>
      <c r="E9" s="85" t="inlineStr">
        <is>
          <t>Fungos do solo, Pythium, Fusarium</t>
        </is>
      </c>
      <c r="F9" s="85" t="inlineStr">
        <is>
          <t>A cada 21 dias no solo</t>
        </is>
      </c>
      <c r="G9" s="85" t="inlineStr">
        <is>
          <t>Aplicar ao regar</t>
        </is>
      </c>
    </row>
    <row r="10" ht="21.75" customHeight="1">
      <c r="B10" s="43" t="inlineStr">
        <is>
          <t>🌱 Extrato de Alho</t>
        </is>
      </c>
      <c r="C10" s="43" t="inlineStr">
        <is>
          <t>3 mL/L</t>
        </is>
      </c>
      <c r="D10" s="43" t="inlineStr">
        <is>
          <t>Foliar</t>
        </is>
      </c>
      <c r="E10" s="43" t="inlineStr">
        <is>
          <t>Repelente geral, ácaros, pulgões</t>
        </is>
      </c>
      <c r="F10" s="43" t="inlineStr">
        <is>
          <t>A cada 10 dias (vega)</t>
        </is>
      </c>
      <c r="G10" s="43" t="inlineStr">
        <is>
          <t>Pode combinar com nim</t>
        </is>
      </c>
    </row>
    <row r="11" ht="21.75" customHeight="1">
      <c r="B11" s="85" t="inlineStr">
        <is>
          <t>🐞 Bacillus thuringiensis</t>
        </is>
      </c>
      <c r="C11" s="85" t="inlineStr">
        <is>
          <t>5 mL/L</t>
        </is>
      </c>
      <c r="D11" s="85" t="inlineStr">
        <is>
          <t>Foliar</t>
        </is>
      </c>
      <c r="E11" s="85" t="inlineStr">
        <is>
          <t>Lagartas, moscas fungosas</t>
        </is>
      </c>
      <c r="F11" s="85" t="inlineStr">
        <is>
          <t>Quando detectar larvas</t>
        </is>
      </c>
      <c r="G11" s="85" t="inlineStr">
        <is>
          <t>Bioinseticida seletivo</t>
        </is>
      </c>
    </row>
    <row r="12" ht="21.75" customHeight="1">
      <c r="B12" s="43" t="inlineStr">
        <is>
          <t>🔬 Extrato de Quassia</t>
        </is>
      </c>
      <c r="C12" s="43" t="inlineStr">
        <is>
          <t>3 mL/L</t>
        </is>
      </c>
      <c r="D12" s="43" t="inlineStr">
        <is>
          <t>Foliar</t>
        </is>
      </c>
      <c r="E12" s="43" t="inlineStr">
        <is>
          <t>Pulgões, mosca branca, tripes</t>
        </is>
      </c>
      <c r="F12" s="43" t="inlineStr">
        <is>
          <t>A cada 10 dias</t>
        </is>
      </c>
      <c r="G12" s="43" t="inlineStr">
        <is>
          <t>Combina bem com nim</t>
        </is>
      </c>
    </row>
    <row r="13" ht="36" customHeight="1">
      <c r="B13" s="86" t="inlineStr">
        <is>
          <t>🟡 Calda Sulfocálcica</t>
        </is>
      </c>
      <c r="C13" s="87" t="inlineStr">
        <is>
          <t>Brix 20–30° diluído
1–3% (10–30 mL/L)</t>
        </is>
      </c>
      <c r="D13" s="87" t="inlineStr">
        <is>
          <t>Foliar (clone/vega)
Solo preventivo</t>
        </is>
      </c>
      <c r="E13" s="87" t="inlineStr">
        <is>
          <t>Acaricida, fungicida
Ácaros, oídio, escamas</t>
        </is>
      </c>
      <c r="F13" s="87" t="inlineStr">
        <is>
          <t>A cada 14–21 dias
⚠️ NÃO em floração</t>
        </is>
      </c>
      <c r="G13" s="87" t="inlineStr">
        <is>
          <t>⚠️ Não misturar com óleos.
Aplicar ao entardecer.</t>
        </is>
      </c>
    </row>
    <row r="14" ht="36" customHeight="1">
      <c r="B14" s="88" t="inlineStr">
        <is>
          <t>🔵 Calda Bordalesa</t>
        </is>
      </c>
      <c r="C14" s="12" t="n"/>
      <c r="D14" s="12" t="n"/>
      <c r="E14" s="12" t="n"/>
      <c r="F14" s="12" t="n"/>
      <c r="G14" s="12" t="n"/>
      <c r="H14" s="12" t="n"/>
    </row>
    <row r="15" ht="24" customHeight="1"/>
    <row r="16" ht="21.75" customHeight="1">
      <c r="B16" s="83" t="inlineStr">
        <is>
          <t>📅  CALENDÁRIO DE APLICAÇÕES PREVENTIVAS</t>
        </is>
      </c>
      <c r="C16" s="89" t="n"/>
      <c r="D16" s="89" t="n"/>
      <c r="E16" s="89" t="n"/>
      <c r="F16" s="89" t="n"/>
      <c r="G16" s="89" t="n"/>
      <c r="H16" s="89" t="n"/>
    </row>
    <row r="17" ht="21.75" customHeight="1">
      <c r="B17" s="19" t="inlineStr">
        <is>
          <t>Dia</t>
        </is>
      </c>
      <c r="C17" s="19" t="inlineStr">
        <is>
          <t>Data</t>
        </is>
      </c>
      <c r="D17" s="19" t="inlineStr">
        <is>
          <t>Fase</t>
        </is>
      </c>
      <c r="E17" s="19" t="inlineStr">
        <is>
          <t>Produto</t>
        </is>
      </c>
      <c r="F17" s="19" t="inlineStr">
        <is>
          <t>Dose</t>
        </is>
      </c>
      <c r="G17" s="19" t="inlineStr">
        <is>
          <t>Via de Aplicação</t>
        </is>
      </c>
      <c r="H17" s="19" t="inlineStr">
        <is>
          <t>Observação</t>
        </is>
      </c>
    </row>
    <row r="18" ht="21.75" customHeight="1">
      <c r="B18" s="69" t="inlineStr">
        <is>
          <t>2</t>
        </is>
      </c>
      <c r="C18" s="46">
        <f>'🌱 Configuração'!D6+1</f>
        <v/>
      </c>
      <c r="D18" s="47" t="inlineStr">
        <is>
          <t>Clone</t>
        </is>
      </c>
      <c r="E18" s="47" t="inlineStr">
        <is>
          <t>Nim</t>
        </is>
      </c>
      <c r="F18" s="47" t="inlineStr">
        <is>
          <t>2 mL/L</t>
        </is>
      </c>
      <c r="G18" s="47" t="inlineStr">
        <is>
          <t>Foliar leve</t>
        </is>
      </c>
      <c r="H18" s="47" t="inlineStr">
        <is>
          <t>Preventivo geral — cuidado nas folhas</t>
        </is>
      </c>
    </row>
    <row r="19" ht="21.75" customHeight="1">
      <c r="B19" s="67" t="inlineStr">
        <is>
          <t>7</t>
        </is>
      </c>
      <c r="C19" s="41">
        <f>'🌱 Configuração'!D6+6</f>
        <v/>
      </c>
      <c r="D19" s="43" t="inlineStr">
        <is>
          <t>Clone</t>
        </is>
      </c>
      <c r="E19" s="43" t="inlineStr">
        <is>
          <t>Beauveria bassiana</t>
        </is>
      </c>
      <c r="F19" s="43" t="inlineStr">
        <is>
          <t>5 g/L</t>
        </is>
      </c>
      <c r="G19" s="43" t="inlineStr">
        <is>
          <t>Foliar + solo</t>
        </is>
      </c>
      <c r="H19" s="43" t="inlineStr">
        <is>
          <t>Fungo entomopatogênico</t>
        </is>
      </c>
    </row>
    <row r="20" ht="21.75" customHeight="1">
      <c r="B20" s="69" t="inlineStr">
        <is>
          <t>10</t>
        </is>
      </c>
      <c r="C20" s="46">
        <f>'🌱 Configuração'!D6+9</f>
        <v/>
      </c>
      <c r="D20" s="47" t="inlineStr">
        <is>
          <t>Clone</t>
        </is>
      </c>
      <c r="E20" s="47" t="inlineStr">
        <is>
          <t>Extrato de Alho</t>
        </is>
      </c>
      <c r="F20" s="47" t="inlineStr">
        <is>
          <t>3 mL/L</t>
        </is>
      </c>
      <c r="G20" s="47" t="inlineStr">
        <is>
          <t>Foliar</t>
        </is>
      </c>
      <c r="H20" s="47" t="inlineStr">
        <is>
          <t>Repelente preventivo</t>
        </is>
      </c>
    </row>
    <row r="21" ht="21.75" customHeight="1">
      <c r="B21" s="67" t="inlineStr">
        <is>
          <t>14</t>
        </is>
      </c>
      <c r="C21" s="41">
        <f>'🌱 Configuração'!D6+13</f>
        <v/>
      </c>
      <c r="D21" s="43" t="inlineStr">
        <is>
          <t>Clone</t>
        </is>
      </c>
      <c r="E21" s="43" t="inlineStr">
        <is>
          <t>Nim</t>
        </is>
      </c>
      <c r="F21" s="43" t="inlineStr">
        <is>
          <t>2 mL/L</t>
        </is>
      </c>
      <c r="G21" s="43" t="inlineStr">
        <is>
          <t>Foliar</t>
        </is>
      </c>
      <c r="H21" s="43" t="inlineStr">
        <is>
          <t>Última foliar pré-vega</t>
        </is>
      </c>
    </row>
    <row r="22" ht="21.75" customHeight="1">
      <c r="B22" s="72" t="inlineStr">
        <is>
          <t>21</t>
        </is>
      </c>
      <c r="C22" s="51">
        <f>'🌱 Configuração'!D6+20</f>
        <v/>
      </c>
      <c r="D22" s="52" t="inlineStr">
        <is>
          <t>Vegetativo</t>
        </is>
      </c>
      <c r="E22" s="52" t="inlineStr">
        <is>
          <t>Beauveria bassiana</t>
        </is>
      </c>
      <c r="F22" s="52" t="inlineStr">
        <is>
          <t>5 g/L</t>
        </is>
      </c>
      <c r="G22" s="52" t="inlineStr">
        <is>
          <t>Foliar + solo</t>
        </is>
      </c>
      <c r="H22" s="52" t="n"/>
    </row>
    <row r="23" ht="21.75" customHeight="1">
      <c r="B23" s="67" t="inlineStr">
        <is>
          <t>28</t>
        </is>
      </c>
      <c r="C23" s="41">
        <f>'🌱 Configuração'!D6+27</f>
        <v/>
      </c>
      <c r="D23" s="43" t="inlineStr">
        <is>
          <t>Vegetativo</t>
        </is>
      </c>
      <c r="E23" s="43" t="inlineStr">
        <is>
          <t>Nim + Alho</t>
        </is>
      </c>
      <c r="F23" s="43" t="inlineStr">
        <is>
          <t>2+3mL/L</t>
        </is>
      </c>
      <c r="G23" s="43" t="inlineStr">
        <is>
          <t>Foliar</t>
        </is>
      </c>
      <c r="H23" s="43" t="inlineStr">
        <is>
          <t>Combinação eficiente</t>
        </is>
      </c>
    </row>
    <row r="24" ht="21.75" customHeight="1">
      <c r="B24" s="72" t="inlineStr">
        <is>
          <t>35</t>
        </is>
      </c>
      <c r="C24" s="51">
        <f>'🌱 Configuração'!D6+34</f>
        <v/>
      </c>
      <c r="D24" s="52" t="inlineStr">
        <is>
          <t>Vegetativo</t>
        </is>
      </c>
      <c r="E24" s="52" t="inlineStr">
        <is>
          <t>Trichoderma</t>
        </is>
      </c>
      <c r="F24" s="52" t="inlineStr">
        <is>
          <t>3 g/L</t>
        </is>
      </c>
      <c r="G24" s="52" t="inlineStr">
        <is>
          <t>Solo (rega)</t>
        </is>
      </c>
      <c r="H24" s="52" t="inlineStr">
        <is>
          <t>Solo saudável = planta forte</t>
        </is>
      </c>
    </row>
    <row r="25" ht="21.75" customHeight="1">
      <c r="B25" s="67" t="inlineStr">
        <is>
          <t>42</t>
        </is>
      </c>
      <c r="C25" s="41">
        <f>'🌱 Configuração'!D6+41</f>
        <v/>
      </c>
      <c r="D25" s="43" t="inlineStr">
        <is>
          <t>Vegetativo</t>
        </is>
      </c>
      <c r="E25" s="43" t="inlineStr">
        <is>
          <t>Nim</t>
        </is>
      </c>
      <c r="F25" s="43" t="inlineStr">
        <is>
          <t>2 mL/L</t>
        </is>
      </c>
      <c r="G25" s="43" t="inlineStr">
        <is>
          <t>Foliar</t>
        </is>
      </c>
      <c r="H25" s="43" t="inlineStr">
        <is>
          <t>⚠️ ÚLTIMA FOLIAR com Nim</t>
        </is>
      </c>
    </row>
    <row r="26" ht="21.75" customHeight="1">
      <c r="B26" s="77" t="inlineStr">
        <is>
          <t>49</t>
        </is>
      </c>
      <c r="C26" s="56">
        <f>'🌱 Configuração'!D6+48</f>
        <v/>
      </c>
      <c r="D26" s="57" t="inlineStr">
        <is>
          <t>Floração</t>
        </is>
      </c>
      <c r="E26" s="57" t="inlineStr">
        <is>
          <t>Beauveria bassiana</t>
        </is>
      </c>
      <c r="F26" s="57" t="inlineStr">
        <is>
          <t>5 g/L</t>
        </is>
      </c>
      <c r="G26" s="57" t="inlineStr">
        <is>
          <t>Solo apenas</t>
        </is>
      </c>
      <c r="H26" s="57" t="inlineStr">
        <is>
          <t>⚠️ SEM FOLIAR em floração</t>
        </is>
      </c>
    </row>
    <row r="27" ht="21.75" customHeight="1">
      <c r="B27" s="67" t="inlineStr">
        <is>
          <t>56</t>
        </is>
      </c>
      <c r="C27" s="41">
        <f>'🌱 Configuração'!D6+55</f>
        <v/>
      </c>
      <c r="D27" s="43" t="inlineStr">
        <is>
          <t>Floração</t>
        </is>
      </c>
      <c r="E27" s="43" t="inlineStr">
        <is>
          <t>Trichoderma</t>
        </is>
      </c>
      <c r="F27" s="43" t="inlineStr">
        <is>
          <t>3 g/L</t>
        </is>
      </c>
      <c r="G27" s="43" t="inlineStr">
        <is>
          <t>Solo (rega)</t>
        </is>
      </c>
      <c r="H27" s="43" t="n"/>
    </row>
    <row r="28" ht="21.75" customHeight="1">
      <c r="B28" s="77" t="inlineStr">
        <is>
          <t>63</t>
        </is>
      </c>
      <c r="C28" s="56">
        <f>'🌱 Configuração'!D6+62</f>
        <v/>
      </c>
      <c r="D28" s="57" t="inlineStr">
        <is>
          <t>Floração</t>
        </is>
      </c>
      <c r="E28" s="57" t="inlineStr">
        <is>
          <t>B. thuringiensis</t>
        </is>
      </c>
      <c r="F28" s="57" t="inlineStr">
        <is>
          <t>5 mL/L</t>
        </is>
      </c>
      <c r="G28" s="57" t="inlineStr">
        <is>
          <t>Solo apenas</t>
        </is>
      </c>
      <c r="H28" s="57" t="inlineStr">
        <is>
          <t>Controle larvas solo</t>
        </is>
      </c>
    </row>
    <row r="29" ht="21.75" customHeight="1">
      <c r="B29" s="67" t="inlineStr">
        <is>
          <t>70</t>
        </is>
      </c>
      <c r="C29" s="41">
        <f>'🌱 Configuração'!D6+69</f>
        <v/>
      </c>
      <c r="D29" s="43" t="inlineStr">
        <is>
          <t>Floração</t>
        </is>
      </c>
      <c r="E29" s="43" t="inlineStr">
        <is>
          <t>Beauveria bassiana</t>
        </is>
      </c>
      <c r="F29" s="43" t="inlineStr">
        <is>
          <t>5 g/L</t>
        </is>
      </c>
      <c r="G29" s="43" t="inlineStr">
        <is>
          <t>Solo apenas</t>
        </is>
      </c>
      <c r="H29" s="43" t="inlineStr">
        <is>
          <t>Inspecionar buds visualmente</t>
        </is>
      </c>
    </row>
    <row r="30" ht="21.75" customHeight="1">
      <c r="B30" s="77" t="inlineStr">
        <is>
          <t>77</t>
        </is>
      </c>
      <c r="C30" s="56">
        <f>'🌱 Configuração'!D6+76</f>
        <v/>
      </c>
      <c r="D30" s="57" t="inlineStr">
        <is>
          <t>Floração</t>
        </is>
      </c>
      <c r="E30" s="57" t="inlineStr">
        <is>
          <t>Trichoderma</t>
        </is>
      </c>
      <c r="F30" s="57" t="inlineStr">
        <is>
          <t>3 g/L</t>
        </is>
      </c>
      <c r="G30" s="57" t="inlineStr">
        <is>
          <t>Solo (rega)</t>
        </is>
      </c>
      <c r="H30" s="57" t="n"/>
    </row>
    <row r="31" ht="22.35" customHeight="1">
      <c r="B31" s="67" t="inlineStr">
        <is>
          <t>84</t>
        </is>
      </c>
      <c r="C31" s="41">
        <f>'🌱 Configuração'!D6+83</f>
        <v/>
      </c>
      <c r="D31" s="43" t="inlineStr">
        <is>
          <t>Floração</t>
        </is>
      </c>
      <c r="E31" s="43" t="inlineStr">
        <is>
          <t>Inspeção visual</t>
        </is>
      </c>
      <c r="F31" s="43" t="inlineStr">
        <is>
          <t>-</t>
        </is>
      </c>
      <c r="G31" s="43" t="inlineStr">
        <is>
          <t>Inspecionar tudo</t>
        </is>
      </c>
      <c r="H31" s="43" t="inlineStr">
        <is>
          <t>⚠️ Verificar mofo branco/cinza</t>
        </is>
      </c>
    </row>
    <row r="32" ht="22.35" customHeight="1">
      <c r="B32" s="77" t="inlineStr">
        <is>
          <t>91</t>
        </is>
      </c>
      <c r="C32" s="56">
        <f>'🌱 Configuração'!D6+90</f>
        <v/>
      </c>
      <c r="D32" s="57" t="inlineStr">
        <is>
          <t>Floração</t>
        </is>
      </c>
      <c r="E32" s="57" t="inlineStr">
        <is>
          <t>Inspeção final</t>
        </is>
      </c>
      <c r="F32" s="57" t="inlineStr">
        <is>
          <t>-</t>
        </is>
      </c>
      <c r="G32" s="57" t="inlineStr">
        <is>
          <t>Inspecionar buds</t>
        </is>
      </c>
      <c r="H32" s="57" t="inlineStr">
        <is>
          <t>⚠️ Tricomas — avaliar colheita</t>
        </is>
      </c>
    </row>
    <row r="33"/>
    <row r="34"/>
    <row r="35"/>
    <row r="36"/>
    <row r="37" ht="21.75" customHeight="1">
      <c r="B37" s="40" t="inlineStr">
        <is>
          <t>14</t>
        </is>
      </c>
      <c r="C37" s="46">
        <f>'🌱 Configuração'!D6+13</f>
        <v/>
      </c>
      <c r="D37" s="90" t="inlineStr">
        <is>
          <t>Clone</t>
        </is>
      </c>
      <c r="E37" s="90" t="inlineStr">
        <is>
          <t>Calda Sulfocálcica</t>
        </is>
      </c>
      <c r="F37" s="69" t="inlineStr">
        <is>
          <t>1% (10 mL/L)</t>
        </is>
      </c>
      <c r="G37" s="47" t="inlineStr">
        <is>
          <t>Foliar preventivo</t>
        </is>
      </c>
      <c r="H37" s="47" t="inlineStr">
        <is>
          <t>⚠️ Preventivo ácaros — aplicar ao entardecer</t>
        </is>
      </c>
    </row>
    <row r="38" ht="21.75" customHeight="1">
      <c r="B38" s="40" t="inlineStr">
        <is>
          <t>28</t>
        </is>
      </c>
      <c r="C38" s="51">
        <f>'🌱 Configuração'!D6+27</f>
        <v/>
      </c>
      <c r="D38" s="91" t="inlineStr">
        <is>
          <t>Vegetativo</t>
        </is>
      </c>
      <c r="E38" s="91" t="inlineStr">
        <is>
          <t>Calda Bordalesa</t>
        </is>
      </c>
      <c r="F38" s="72" t="inlineStr">
        <is>
          <t>0.5% (5 mL/L)</t>
        </is>
      </c>
      <c r="G38" s="52" t="inlineStr">
        <is>
          <t>Foliar preventivo</t>
        </is>
      </c>
      <c r="H38" s="52" t="inlineStr">
        <is>
          <t>⚠️ Preventivo fungos — não combinar com nim</t>
        </is>
      </c>
    </row>
    <row r="39" ht="21.75" customHeight="1">
      <c r="B39" s="40" t="inlineStr">
        <is>
          <t>35</t>
        </is>
      </c>
      <c r="C39" s="51">
        <f>'🌱 Configuração'!D6+34</f>
        <v/>
      </c>
      <c r="D39" s="91" t="inlineStr">
        <is>
          <t>Vegetativo</t>
        </is>
      </c>
      <c r="E39" s="91" t="inlineStr">
        <is>
          <t>Calda Sulfocálcica</t>
        </is>
      </c>
      <c r="F39" s="72" t="inlineStr">
        <is>
          <t>1% (10 mL/L)</t>
        </is>
      </c>
      <c r="G39" s="52" t="inlineStr">
        <is>
          <t>Foliar</t>
        </is>
      </c>
      <c r="H39" s="52" t="inlineStr">
        <is>
          <t>Ácaros — verificar face inferior das folhas</t>
        </is>
      </c>
    </row>
    <row r="40" ht="21.75" customHeight="1">
      <c r="B40" s="40" t="inlineStr">
        <is>
          <t>42</t>
        </is>
      </c>
      <c r="C40" s="51">
        <f>'🌱 Configuração'!D6+41</f>
        <v/>
      </c>
      <c r="D40" s="91" t="inlineStr">
        <is>
          <t>Vegetativo</t>
        </is>
      </c>
      <c r="E40" s="91" t="inlineStr">
        <is>
          <t>Calda Bordalesa</t>
        </is>
      </c>
      <c r="F40" s="72" t="inlineStr">
        <is>
          <t>0.5% (5 mL/L)</t>
        </is>
      </c>
      <c r="G40" s="52" t="inlineStr">
        <is>
          <t>Foliar</t>
        </is>
      </c>
      <c r="H40" s="52" t="inlineStr">
        <is>
          <t>⚠️ ÚLTIMA foliar antes da floração</t>
        </is>
      </c>
    </row>
    <row r="41"/>
    <row r="42" ht="27.75" customHeight="1">
      <c r="B42" s="92" t="inlineStr">
        <is>
          <t>⚠️  COMPATIBILIDADE — Calda Sulfocálcica e Calda Bordalesa</t>
        </is>
      </c>
      <c r="C42" s="12" t="n"/>
      <c r="D42" s="12" t="n"/>
      <c r="E42" s="12" t="n"/>
      <c r="F42" s="12" t="n"/>
      <c r="G42" s="12" t="n"/>
      <c r="H42" s="12" t="n"/>
    </row>
    <row r="43" ht="21.75" customHeight="1">
      <c r="B43" s="93" t="inlineStr">
        <is>
          <t>Regra</t>
        </is>
      </c>
      <c r="C43" s="12" t="n"/>
      <c r="D43" s="93" t="inlineStr">
        <is>
          <t>Detalhe / Explicação</t>
        </is>
      </c>
      <c r="E43" s="12" t="n"/>
      <c r="F43" s="12" t="n"/>
      <c r="G43" s="12" t="n"/>
      <c r="H43" s="12" t="n"/>
    </row>
    <row r="44" ht="19.5" customHeight="1">
      <c r="B44" s="94" t="inlineStr">
        <is>
          <t>❌ Não misturar</t>
        </is>
      </c>
      <c r="C44" s="12" t="n"/>
      <c r="D44" s="95" t="inlineStr">
        <is>
          <t>Calda Sulfocálcica + Calda Bordalesa — nunca na mesma semana</t>
        </is>
      </c>
      <c r="E44" s="12" t="n"/>
      <c r="F44" s="12" t="n"/>
      <c r="G44" s="12" t="n"/>
      <c r="H44" s="12" t="n"/>
    </row>
    <row r="45" ht="19.5" customHeight="1">
      <c r="B45" s="94" t="inlineStr">
        <is>
          <t>❌ Não misturar</t>
        </is>
      </c>
      <c r="C45" s="12" t="n"/>
      <c r="D45" s="95" t="inlineStr">
        <is>
          <t>Calda Sulfocálcica + Óleo de Nim — fitotoxidade grave</t>
        </is>
      </c>
      <c r="E45" s="12" t="n"/>
      <c r="F45" s="12" t="n"/>
      <c r="G45" s="12" t="n"/>
      <c r="H45" s="12" t="n"/>
    </row>
    <row r="46" ht="19.5" customHeight="1">
      <c r="B46" s="94" t="inlineStr">
        <is>
          <t>❌ Nunca foliar</t>
        </is>
      </c>
      <c r="C46" s="12" t="n"/>
      <c r="D46" s="95" t="inlineStr">
        <is>
          <t>Ambas as caldas em floração — risco de contaminar buds e alterar sabor</t>
        </is>
      </c>
      <c r="E46" s="12" t="n"/>
      <c r="F46" s="12" t="n"/>
      <c r="G46" s="12" t="n"/>
      <c r="H46" s="12" t="n"/>
    </row>
    <row r="47" ht="19.5" customHeight="1">
      <c r="B47" s="96" t="inlineStr">
        <is>
          <t>⏱️ Intervalo mínimo</t>
        </is>
      </c>
      <c r="C47" s="12" t="n"/>
      <c r="D47" s="97" t="inlineStr">
        <is>
          <t>7–10 dias entre Calda Sulfocálcica e qualquer outro foliar</t>
        </is>
      </c>
      <c r="E47" s="12" t="n"/>
      <c r="F47" s="12" t="n"/>
      <c r="G47" s="12" t="n"/>
      <c r="H47" s="12" t="n"/>
    </row>
    <row r="48" ht="19.5" customHeight="1">
      <c r="B48" s="96" t="inlineStr">
        <is>
          <t>🌡️ Temperatura</t>
        </is>
      </c>
      <c r="C48" s="12" t="n"/>
      <c r="D48" s="97" t="inlineStr">
        <is>
          <t>Não aplicar Sulfocálcica com temp. &gt; 30°C — risco de queima foliar</t>
        </is>
      </c>
      <c r="E48" s="12" t="n"/>
      <c r="F48" s="12" t="n"/>
      <c r="G48" s="12" t="n"/>
      <c r="H48" s="12" t="n"/>
    </row>
    <row r="49" ht="19.5" customHeight="1">
      <c r="B49" s="98" t="inlineStr">
        <is>
          <t>🌙 Horário ideal</t>
        </is>
      </c>
      <c r="C49" s="12" t="n"/>
      <c r="D49" s="99" t="inlineStr">
        <is>
          <t>Sempre ao entardecer — evitar sol forte após ambas as caldas</t>
        </is>
      </c>
      <c r="E49" s="12" t="n"/>
      <c r="F49" s="12" t="n"/>
      <c r="G49" s="12" t="n"/>
      <c r="H49" s="12" t="n"/>
    </row>
    <row r="50" ht="19.5" customHeight="1">
      <c r="B50" s="88" t="inlineStr">
        <is>
          <t>✅ Pode combinar</t>
        </is>
      </c>
      <c r="C50" s="12" t="n"/>
      <c r="D50" s="100" t="inlineStr">
        <is>
          <t>Calda Bordalesa + Trichoderma solo (aplicar em dias diferentes)</t>
        </is>
      </c>
      <c r="E50" s="12" t="n"/>
      <c r="F50" s="12" t="n"/>
      <c r="G50" s="12" t="n"/>
      <c r="H50" s="12" t="n"/>
    </row>
    <row r="51" ht="19.5" customHeight="1">
      <c r="B51" s="88" t="inlineStr">
        <is>
          <t>✅ Pode combinar</t>
        </is>
      </c>
      <c r="C51" s="12" t="n"/>
      <c r="D51" s="100" t="inlineStr">
        <is>
          <t>Calda Sulfocálcica + Beauveria bassiana solo (não misturar na calda)</t>
        </is>
      </c>
      <c r="E51" s="12" t="n"/>
      <c r="F51" s="12" t="n"/>
      <c r="G51" s="12" t="n"/>
      <c r="H51" s="12" t="n"/>
    </row>
  </sheetData>
  <mergeCells count="23">
    <mergeCell ref="B47:C47"/>
    <mergeCell ref="B46:C46"/>
    <mergeCell ref="D46:H46"/>
    <mergeCell ref="B5:H5"/>
    <mergeCell ref="B43:C43"/>
    <mergeCell ref="D45:H45"/>
    <mergeCell ref="B48:C48"/>
    <mergeCell ref="D49:H49"/>
    <mergeCell ref="B3:H3"/>
    <mergeCell ref="D48:H48"/>
    <mergeCell ref="B44:C44"/>
    <mergeCell ref="D47:H47"/>
    <mergeCell ref="D43:H43"/>
    <mergeCell ref="B2:H2"/>
    <mergeCell ref="B42:H42"/>
    <mergeCell ref="B49:C49"/>
    <mergeCell ref="B14:H14"/>
    <mergeCell ref="B51:C51"/>
    <mergeCell ref="B45:C45"/>
    <mergeCell ref="D51:H51"/>
    <mergeCell ref="B50:C50"/>
    <mergeCell ref="D50:H50"/>
    <mergeCell ref="D44:H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B2D8B"/>
    <outlinePr summaryBelow="1" summaryRight="1"/>
    <pageSetUpPr/>
  </sheetPr>
  <dimension ref="A1:L1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2" customWidth="1" min="4" max="4"/>
    <col width="20" customWidth="1" min="10" max="10"/>
    <col width="22" customWidth="1" min="11" max="11"/>
    <col width="3" customWidth="1" min="12" max="12"/>
  </cols>
  <sheetData>
    <row r="1"/>
    <row r="2" ht="45" customHeight="1">
      <c r="B2" s="38" t="inlineStr">
        <is>
          <t>📊  DIÁRIO DE CULTIVO — Registro Diário de Parâmetros</t>
        </is>
      </c>
    </row>
    <row r="3" ht="18" customHeight="1">
      <c r="B3" s="101" t="inlineStr">
        <is>
          <t>Registre diariamente os parâmetros do cultivo. Os alertas em vermelho indicam valores fora do ideal.</t>
        </is>
      </c>
    </row>
    <row r="4"/>
    <row r="5" ht="30" customHeight="1">
      <c r="B5" s="19" t="inlineStr">
        <is>
          <t>Dia</t>
        </is>
      </c>
      <c r="C5" s="19" t="inlineStr">
        <is>
          <t>Data</t>
        </is>
      </c>
      <c r="D5" s="19" t="inlineStr">
        <is>
          <t>Fase</t>
        </is>
      </c>
      <c r="E5" s="19" t="inlineStr">
        <is>
          <t>Temp (°C)</t>
        </is>
      </c>
      <c r="F5" s="19" t="inlineStr">
        <is>
          <t>Umidade (%)</t>
        </is>
      </c>
      <c r="G5" s="19" t="inlineStr">
        <is>
          <t>pH água</t>
        </is>
      </c>
      <c r="H5" s="19" t="inlineStr">
        <is>
          <t>CE (mS/cm)</t>
        </is>
      </c>
      <c r="I5" s="19" t="inlineStr">
        <is>
          <t>pH run-off</t>
        </is>
      </c>
      <c r="J5" s="19" t="inlineStr">
        <is>
          <t>Rega (L)</t>
        </is>
      </c>
      <c r="K5" s="19" t="inlineStr">
        <is>
          <t>Observações</t>
        </is>
      </c>
      <c r="L5" s="19" t="inlineStr">
        <is>
          <t>Alertas / Status</t>
        </is>
      </c>
    </row>
    <row r="6" ht="19.5" customHeight="1">
      <c r="B6" s="40" t="inlineStr">
        <is>
          <t>1</t>
        </is>
      </c>
      <c r="C6" s="41">
        <f>'🌱 Configuração'!D6+0</f>
        <v/>
      </c>
      <c r="D6" s="42" t="inlineStr">
        <is>
          <t>Clone</t>
        </is>
      </c>
      <c r="F6" s="67" t="n"/>
      <c r="G6" s="67" t="n"/>
      <c r="H6" s="67" t="n"/>
      <c r="I6" s="67" t="n"/>
      <c r="J6" s="67" t="n"/>
      <c r="K6" s="43" t="n"/>
      <c r="L6" s="102">
        <f>IF(AND(F6&lt;&gt;"",F6&lt;22),"⚠️ Temp baixa",IF(AND(F6&lt;&gt;"",F6&gt;28),"⚠️ Temp alta",IF(AND(H6&lt;&gt;"",H6&lt;5.5),"⚠️ pH baixo",IF(AND(H6&lt;&gt;"",H6&gt;6.8),"⚠️ pH alto","✅ OK"))))</f>
        <v/>
      </c>
    </row>
    <row r="7" ht="19.5" customHeight="1">
      <c r="B7" s="40" t="inlineStr">
        <is>
          <t>2</t>
        </is>
      </c>
      <c r="C7" s="46">
        <f>'🌱 Configuração'!D6+1</f>
        <v/>
      </c>
      <c r="D7" s="42" t="inlineStr">
        <is>
          <t>Clone</t>
        </is>
      </c>
      <c r="F7" s="69" t="n"/>
      <c r="G7" s="69" t="n"/>
      <c r="H7" s="69" t="n"/>
      <c r="I7" s="69" t="n"/>
      <c r="J7" s="69" t="n"/>
      <c r="K7" s="47" t="n"/>
      <c r="L7" s="42">
        <f>IF(AND(F7&lt;&gt;"",F7&lt;22),"⚠️ Temp baixa",IF(AND(F7&lt;&gt;"",F7&gt;28),"⚠️ Temp alta",IF(AND(H7&lt;&gt;"",H7&lt;5.5),"⚠️ pH baixo",IF(AND(H7&lt;&gt;"",H7&gt;6.8),"⚠️ pH alto","✅ OK"))))</f>
        <v/>
      </c>
    </row>
    <row r="8" ht="19.5" customHeight="1">
      <c r="B8" s="40" t="inlineStr">
        <is>
          <t>3</t>
        </is>
      </c>
      <c r="C8" s="41">
        <f>'🌱 Configuração'!D6+2</f>
        <v/>
      </c>
      <c r="D8" s="42" t="inlineStr">
        <is>
          <t>Clone</t>
        </is>
      </c>
      <c r="F8" s="67" t="n"/>
      <c r="G8" s="67" t="n"/>
      <c r="H8" s="67" t="n"/>
      <c r="I8" s="67" t="n"/>
      <c r="J8" s="67" t="n"/>
      <c r="K8" s="43" t="n"/>
      <c r="L8" s="102">
        <f>IF(AND(F8&lt;&gt;"",F8&lt;22),"⚠️ Temp baixa",IF(AND(F8&lt;&gt;"",F8&gt;28),"⚠️ Temp alta",IF(AND(H8&lt;&gt;"",H8&lt;5.5),"⚠️ pH baixo",IF(AND(H8&lt;&gt;"",H8&gt;6.8),"⚠️ pH alto","✅ OK"))))</f>
        <v/>
      </c>
    </row>
    <row r="9" ht="19.5" customHeight="1">
      <c r="B9" s="40" t="inlineStr">
        <is>
          <t>4</t>
        </is>
      </c>
      <c r="C9" s="46">
        <f>'🌱 Configuração'!D6+3</f>
        <v/>
      </c>
      <c r="D9" s="42" t="inlineStr">
        <is>
          <t>Clone</t>
        </is>
      </c>
      <c r="F9" s="69" t="n"/>
      <c r="G9" s="69" t="n"/>
      <c r="H9" s="69" t="n"/>
      <c r="I9" s="69" t="n"/>
      <c r="J9" s="69" t="n"/>
      <c r="K9" s="47" t="n"/>
      <c r="L9" s="42">
        <f>IF(AND(F9&lt;&gt;"",F9&lt;22),"⚠️ Temp baixa",IF(AND(F9&lt;&gt;"",F9&gt;28),"⚠️ Temp alta",IF(AND(H9&lt;&gt;"",H9&lt;5.5),"⚠️ pH baixo",IF(AND(H9&lt;&gt;"",H9&gt;6.8),"⚠️ pH alto","✅ OK"))))</f>
        <v/>
      </c>
    </row>
    <row r="10" ht="19.5" customHeight="1">
      <c r="B10" s="40" t="inlineStr">
        <is>
          <t>5</t>
        </is>
      </c>
      <c r="C10" s="41">
        <f>'🌱 Configuração'!D6+4</f>
        <v/>
      </c>
      <c r="D10" s="42" t="inlineStr">
        <is>
          <t>Clone</t>
        </is>
      </c>
      <c r="F10" s="67" t="n"/>
      <c r="G10" s="67" t="n"/>
      <c r="H10" s="67" t="n"/>
      <c r="I10" s="67" t="n"/>
      <c r="J10" s="67" t="n"/>
      <c r="K10" s="43" t="n"/>
      <c r="L10" s="102">
        <f>IF(AND(F10&lt;&gt;"",F10&lt;22),"⚠️ Temp baixa",IF(AND(F10&lt;&gt;"",F10&gt;28),"⚠️ Temp alta",IF(AND(H10&lt;&gt;"",H10&lt;5.5),"⚠️ pH baixo",IF(AND(H10&lt;&gt;"",H10&gt;6.8),"⚠️ pH alto","✅ OK"))))</f>
        <v/>
      </c>
    </row>
    <row r="11" ht="19.5" customHeight="1">
      <c r="B11" s="40" t="inlineStr">
        <is>
          <t>6</t>
        </is>
      </c>
      <c r="C11" s="46">
        <f>'🌱 Configuração'!D6+5</f>
        <v/>
      </c>
      <c r="D11" s="42" t="inlineStr">
        <is>
          <t>Clone</t>
        </is>
      </c>
      <c r="F11" s="69" t="n"/>
      <c r="G11" s="69" t="n"/>
      <c r="H11" s="69" t="n"/>
      <c r="I11" s="69" t="n"/>
      <c r="J11" s="69" t="n"/>
      <c r="K11" s="47" t="n"/>
      <c r="L11" s="42">
        <f>IF(AND(F11&lt;&gt;"",F11&lt;22),"⚠️ Temp baixa",IF(AND(F11&lt;&gt;"",F11&gt;28),"⚠️ Temp alta",IF(AND(H11&lt;&gt;"",H11&lt;5.5),"⚠️ pH baixo",IF(AND(H11&lt;&gt;"",H11&gt;6.8),"⚠️ pH alto","✅ OK"))))</f>
        <v/>
      </c>
    </row>
    <row r="12" ht="19.5" customHeight="1">
      <c r="B12" s="40" t="inlineStr">
        <is>
          <t>7</t>
        </is>
      </c>
      <c r="C12" s="41">
        <f>'🌱 Configuração'!D6+6</f>
        <v/>
      </c>
      <c r="D12" s="42" t="inlineStr">
        <is>
          <t>Clone</t>
        </is>
      </c>
      <c r="F12" s="67" t="n"/>
      <c r="G12" s="67" t="n"/>
      <c r="H12" s="67" t="n"/>
      <c r="I12" s="67" t="n"/>
      <c r="J12" s="67" t="n"/>
      <c r="K12" s="43" t="n"/>
      <c r="L12" s="102">
        <f>IF(AND(F12&lt;&gt;"",F12&lt;22),"⚠️ Temp baixa",IF(AND(F12&lt;&gt;"",F12&gt;28),"⚠️ Temp alta",IF(AND(H12&lt;&gt;"",H12&lt;5.5),"⚠️ pH baixo",IF(AND(H12&lt;&gt;"",H12&gt;6.8),"⚠️ pH alto","✅ OK"))))</f>
        <v/>
      </c>
    </row>
    <row r="13" ht="19.5" customHeight="1">
      <c r="B13" s="40" t="inlineStr">
        <is>
          <t>8</t>
        </is>
      </c>
      <c r="C13" s="46">
        <f>'🌱 Configuração'!D6+7</f>
        <v/>
      </c>
      <c r="D13" s="42" t="inlineStr">
        <is>
          <t>Clone</t>
        </is>
      </c>
      <c r="F13" s="69" t="n"/>
      <c r="G13" s="69" t="n"/>
      <c r="H13" s="69" t="n"/>
      <c r="I13" s="69" t="n"/>
      <c r="J13" s="69" t="n"/>
      <c r="K13" s="47" t="n"/>
      <c r="L13" s="42">
        <f>IF(AND(F13&lt;&gt;"",F13&lt;22),"⚠️ Temp baixa",IF(AND(F13&lt;&gt;"",F13&gt;28),"⚠️ Temp alta",IF(AND(H13&lt;&gt;"",H13&lt;5.5),"⚠️ pH baixo",IF(AND(H13&lt;&gt;"",H13&gt;6.8),"⚠️ pH alto","✅ OK"))))</f>
        <v/>
      </c>
    </row>
    <row r="14" ht="19.5" customHeight="1">
      <c r="B14" s="40" t="inlineStr">
        <is>
          <t>9</t>
        </is>
      </c>
      <c r="C14" s="41">
        <f>'🌱 Configuração'!D6+8</f>
        <v/>
      </c>
      <c r="D14" s="42" t="inlineStr">
        <is>
          <t>Clone</t>
        </is>
      </c>
      <c r="F14" s="67" t="n"/>
      <c r="G14" s="67" t="n"/>
      <c r="H14" s="67" t="n"/>
      <c r="I14" s="67" t="n"/>
      <c r="J14" s="67" t="n"/>
      <c r="K14" s="43" t="n"/>
      <c r="L14" s="102">
        <f>IF(AND(F14&lt;&gt;"",F14&lt;22),"⚠️ Temp baixa",IF(AND(F14&lt;&gt;"",F14&gt;28),"⚠️ Temp alta",IF(AND(H14&lt;&gt;"",H14&lt;5.5),"⚠️ pH baixo",IF(AND(H14&lt;&gt;"",H14&gt;6.8),"⚠️ pH alto","✅ OK"))))</f>
        <v/>
      </c>
    </row>
    <row r="15" ht="19.5" customHeight="1">
      <c r="B15" s="40" t="inlineStr">
        <is>
          <t>10</t>
        </is>
      </c>
      <c r="C15" s="46">
        <f>'🌱 Configuração'!D6+9</f>
        <v/>
      </c>
      <c r="D15" s="42" t="inlineStr">
        <is>
          <t>Clone</t>
        </is>
      </c>
      <c r="F15" s="69" t="n"/>
      <c r="G15" s="69" t="n"/>
      <c r="H15" s="69" t="n"/>
      <c r="I15" s="69" t="n"/>
      <c r="J15" s="69" t="n"/>
      <c r="K15" s="47" t="n"/>
      <c r="L15" s="42">
        <f>IF(AND(F15&lt;&gt;"",F15&lt;22),"⚠️ Temp baixa",IF(AND(F15&lt;&gt;"",F15&gt;28),"⚠️ Temp alta",IF(AND(H15&lt;&gt;"",H15&lt;5.5),"⚠️ pH baixo",IF(AND(H15&lt;&gt;"",H15&gt;6.8),"⚠️ pH alto","✅ OK"))))</f>
        <v/>
      </c>
    </row>
    <row r="16" ht="19.5" customHeight="1">
      <c r="B16" s="40" t="inlineStr">
        <is>
          <t>11</t>
        </is>
      </c>
      <c r="C16" s="41">
        <f>'🌱 Configuração'!D6+10</f>
        <v/>
      </c>
      <c r="D16" s="42" t="inlineStr">
        <is>
          <t>Clone</t>
        </is>
      </c>
      <c r="F16" s="67" t="n"/>
      <c r="G16" s="67" t="n"/>
      <c r="H16" s="67" t="n"/>
      <c r="I16" s="67" t="n"/>
      <c r="J16" s="67" t="n"/>
      <c r="K16" s="43" t="n"/>
      <c r="L16" s="102">
        <f>IF(AND(F16&lt;&gt;"",F16&lt;22),"⚠️ Temp baixa",IF(AND(F16&lt;&gt;"",F16&gt;28),"⚠️ Temp alta",IF(AND(H16&lt;&gt;"",H16&lt;5.5),"⚠️ pH baixo",IF(AND(H16&lt;&gt;"",H16&gt;6.8),"⚠️ pH alto","✅ OK"))))</f>
        <v/>
      </c>
    </row>
    <row r="17" ht="19.5" customHeight="1">
      <c r="B17" s="40" t="inlineStr">
        <is>
          <t>12</t>
        </is>
      </c>
      <c r="C17" s="46">
        <f>'🌱 Configuração'!D6+11</f>
        <v/>
      </c>
      <c r="D17" s="42" t="inlineStr">
        <is>
          <t>Clone</t>
        </is>
      </c>
      <c r="F17" s="69" t="n"/>
      <c r="G17" s="69" t="n"/>
      <c r="H17" s="69" t="n"/>
      <c r="I17" s="69" t="n"/>
      <c r="J17" s="69" t="n"/>
      <c r="K17" s="47" t="n"/>
      <c r="L17" s="42">
        <f>IF(AND(F17&lt;&gt;"",F17&lt;22),"⚠️ Temp baixa",IF(AND(F17&lt;&gt;"",F17&gt;28),"⚠️ Temp alta",IF(AND(H17&lt;&gt;"",H17&lt;5.5),"⚠️ pH baixo",IF(AND(H17&lt;&gt;"",H17&gt;6.8),"⚠️ pH alto","✅ OK"))))</f>
        <v/>
      </c>
    </row>
    <row r="18" ht="19.5" customHeight="1">
      <c r="B18" s="40" t="inlineStr">
        <is>
          <t>13</t>
        </is>
      </c>
      <c r="C18" s="41">
        <f>'🌱 Configuração'!D6+12</f>
        <v/>
      </c>
      <c r="D18" s="42" t="inlineStr">
        <is>
          <t>Clone</t>
        </is>
      </c>
      <c r="F18" s="67" t="n"/>
      <c r="G18" s="67" t="n"/>
      <c r="H18" s="67" t="n"/>
      <c r="I18" s="67" t="n"/>
      <c r="J18" s="67" t="n"/>
      <c r="K18" s="43" t="n"/>
      <c r="L18" s="102">
        <f>IF(AND(F18&lt;&gt;"",F18&lt;22),"⚠️ Temp baixa",IF(AND(F18&lt;&gt;"",F18&gt;28),"⚠️ Temp alta",IF(AND(H18&lt;&gt;"",H18&lt;5.5),"⚠️ pH baixo",IF(AND(H18&lt;&gt;"",H18&gt;6.8),"⚠️ pH alto","✅ OK"))))</f>
        <v/>
      </c>
    </row>
    <row r="19" ht="19.5" customHeight="1">
      <c r="B19" s="40" t="inlineStr">
        <is>
          <t>14</t>
        </is>
      </c>
      <c r="C19" s="46">
        <f>'🌱 Configuração'!D6+13</f>
        <v/>
      </c>
      <c r="D19" s="42" t="inlineStr">
        <is>
          <t>Clone</t>
        </is>
      </c>
      <c r="F19" s="69" t="n"/>
      <c r="G19" s="69" t="n"/>
      <c r="H19" s="69" t="n"/>
      <c r="I19" s="69" t="n"/>
      <c r="J19" s="69" t="n"/>
      <c r="K19" s="47" t="n"/>
      <c r="L19" s="42">
        <f>IF(AND(F19&lt;&gt;"",F19&lt;22),"⚠️ Temp baixa",IF(AND(F19&lt;&gt;"",F19&gt;28),"⚠️ Temp alta",IF(AND(H19&lt;&gt;"",H19&lt;5.5),"⚠️ pH baixo",IF(AND(H19&lt;&gt;"",H19&gt;6.8),"⚠️ pH alto","✅ OK"))))</f>
        <v/>
      </c>
    </row>
    <row r="20" ht="19.5" customHeight="1">
      <c r="B20" s="40" t="inlineStr">
        <is>
          <t>15</t>
        </is>
      </c>
      <c r="C20" s="41">
        <f>'🌱 Configuração'!D6+14</f>
        <v/>
      </c>
      <c r="D20" s="50" t="inlineStr">
        <is>
          <t>Vegetativo</t>
        </is>
      </c>
      <c r="F20" s="67" t="n"/>
      <c r="G20" s="67" t="n"/>
      <c r="H20" s="67" t="n"/>
      <c r="I20" s="67" t="n"/>
      <c r="J20" s="67" t="n"/>
      <c r="K20" s="43" t="n"/>
      <c r="L20" s="102">
        <f>IF(AND(F20&lt;&gt;"",F20&lt;22),"⚠️ Temp baixa",IF(AND(F20&lt;&gt;"",F20&gt;28),"⚠️ Temp alta",IF(AND(H20&lt;&gt;"",H20&lt;5.5),"⚠️ pH baixo",IF(AND(H20&lt;&gt;"",H20&gt;6.8),"⚠️ pH alto","✅ OK"))))</f>
        <v/>
      </c>
    </row>
    <row r="21" ht="19.5" customHeight="1">
      <c r="B21" s="40" t="inlineStr">
        <is>
          <t>16</t>
        </is>
      </c>
      <c r="C21" s="51">
        <f>'🌱 Configuração'!D6+15</f>
        <v/>
      </c>
      <c r="D21" s="50" t="inlineStr">
        <is>
          <t>Vegetativo</t>
        </is>
      </c>
      <c r="F21" s="72" t="n"/>
      <c r="G21" s="72" t="n"/>
      <c r="H21" s="72" t="n"/>
      <c r="I21" s="72" t="n"/>
      <c r="J21" s="72" t="n"/>
      <c r="K21" s="52" t="n"/>
      <c r="L21" s="103">
        <f>IF(AND(F21&lt;&gt;"",F21&lt;22),"⚠️ Temp baixa",IF(AND(F21&lt;&gt;"",F21&gt;28),"⚠️ Temp alta",IF(AND(H21&lt;&gt;"",H21&lt;5.5),"⚠️ pH baixo",IF(AND(H21&lt;&gt;"",H21&gt;6.8),"⚠️ pH alto","✅ OK"))))</f>
        <v/>
      </c>
    </row>
    <row r="22" ht="19.5" customHeight="1">
      <c r="B22" s="40" t="inlineStr">
        <is>
          <t>17</t>
        </is>
      </c>
      <c r="C22" s="41">
        <f>'🌱 Configuração'!D6+16</f>
        <v/>
      </c>
      <c r="D22" s="50" t="inlineStr">
        <is>
          <t>Vegetativo</t>
        </is>
      </c>
      <c r="F22" s="67" t="n"/>
      <c r="G22" s="67" t="n"/>
      <c r="H22" s="67" t="n"/>
      <c r="I22" s="67" t="n"/>
      <c r="J22" s="67" t="n"/>
      <c r="K22" s="43" t="n"/>
      <c r="L22" s="102">
        <f>IF(AND(F22&lt;&gt;"",F22&lt;22),"⚠️ Temp baixa",IF(AND(F22&lt;&gt;"",F22&gt;28),"⚠️ Temp alta",IF(AND(H22&lt;&gt;"",H22&lt;5.5),"⚠️ pH baixo",IF(AND(H22&lt;&gt;"",H22&gt;6.8),"⚠️ pH alto","✅ OK"))))</f>
        <v/>
      </c>
    </row>
    <row r="23" ht="19.5" customHeight="1">
      <c r="B23" s="40" t="inlineStr">
        <is>
          <t>18</t>
        </is>
      </c>
      <c r="C23" s="51">
        <f>'🌱 Configuração'!D6+17</f>
        <v/>
      </c>
      <c r="D23" s="50" t="inlineStr">
        <is>
          <t>Vegetativo</t>
        </is>
      </c>
      <c r="F23" s="72" t="n"/>
      <c r="G23" s="72" t="n"/>
      <c r="H23" s="72" t="n"/>
      <c r="I23" s="72" t="n"/>
      <c r="J23" s="72" t="n"/>
      <c r="K23" s="52" t="n"/>
      <c r="L23" s="103">
        <f>IF(AND(F23&lt;&gt;"",F23&lt;22),"⚠️ Temp baixa",IF(AND(F23&lt;&gt;"",F23&gt;28),"⚠️ Temp alta",IF(AND(H23&lt;&gt;"",H23&lt;5.5),"⚠️ pH baixo",IF(AND(H23&lt;&gt;"",H23&gt;6.8),"⚠️ pH alto","✅ OK"))))</f>
        <v/>
      </c>
    </row>
    <row r="24" ht="19.5" customHeight="1">
      <c r="B24" s="40" t="inlineStr">
        <is>
          <t>19</t>
        </is>
      </c>
      <c r="C24" s="41">
        <f>'🌱 Configuração'!D6+18</f>
        <v/>
      </c>
      <c r="D24" s="50" t="inlineStr">
        <is>
          <t>Vegetativo</t>
        </is>
      </c>
      <c r="F24" s="67" t="n"/>
      <c r="G24" s="67" t="n"/>
      <c r="H24" s="67" t="n"/>
      <c r="I24" s="67" t="n"/>
      <c r="J24" s="67" t="n"/>
      <c r="K24" s="43" t="n"/>
      <c r="L24" s="102">
        <f>IF(AND(F24&lt;&gt;"",F24&lt;22),"⚠️ Temp baixa",IF(AND(F24&lt;&gt;"",F24&gt;28),"⚠️ Temp alta",IF(AND(H24&lt;&gt;"",H24&lt;5.5),"⚠️ pH baixo",IF(AND(H24&lt;&gt;"",H24&gt;6.8),"⚠️ pH alto","✅ OK"))))</f>
        <v/>
      </c>
    </row>
    <row r="25" ht="19.5" customHeight="1">
      <c r="B25" s="40" t="inlineStr">
        <is>
          <t>20</t>
        </is>
      </c>
      <c r="C25" s="51">
        <f>'🌱 Configuração'!D6+19</f>
        <v/>
      </c>
      <c r="D25" s="50" t="inlineStr">
        <is>
          <t>Vegetativo</t>
        </is>
      </c>
      <c r="F25" s="72" t="n"/>
      <c r="G25" s="72" t="n"/>
      <c r="H25" s="72" t="n"/>
      <c r="I25" s="72" t="n"/>
      <c r="J25" s="72" t="n"/>
      <c r="K25" s="52" t="n"/>
      <c r="L25" s="103">
        <f>IF(AND(F25&lt;&gt;"",F25&lt;22),"⚠️ Temp baixa",IF(AND(F25&lt;&gt;"",F25&gt;28),"⚠️ Temp alta",IF(AND(H25&lt;&gt;"",H25&lt;5.5),"⚠️ pH baixo",IF(AND(H25&lt;&gt;"",H25&gt;6.8),"⚠️ pH alto","✅ OK"))))</f>
        <v/>
      </c>
    </row>
    <row r="26" ht="19.5" customHeight="1">
      <c r="B26" s="40" t="inlineStr">
        <is>
          <t>21</t>
        </is>
      </c>
      <c r="C26" s="41">
        <f>'🌱 Configuração'!D6+20</f>
        <v/>
      </c>
      <c r="D26" s="50" t="inlineStr">
        <is>
          <t>Vegetativo</t>
        </is>
      </c>
      <c r="F26" s="67" t="n"/>
      <c r="G26" s="67" t="n"/>
      <c r="H26" s="67" t="n"/>
      <c r="I26" s="67" t="n"/>
      <c r="J26" s="67" t="n"/>
      <c r="K26" s="43" t="n"/>
      <c r="L26" s="102">
        <f>IF(AND(F26&lt;&gt;"",F26&lt;22),"⚠️ Temp baixa",IF(AND(F26&lt;&gt;"",F26&gt;28),"⚠️ Temp alta",IF(AND(H26&lt;&gt;"",H26&lt;5.5),"⚠️ pH baixo",IF(AND(H26&lt;&gt;"",H26&gt;6.8),"⚠️ pH alto","✅ OK"))))</f>
        <v/>
      </c>
    </row>
    <row r="27" ht="19.5" customHeight="1">
      <c r="B27" s="40" t="inlineStr">
        <is>
          <t>22</t>
        </is>
      </c>
      <c r="C27" s="51">
        <f>'🌱 Configuração'!D6+21</f>
        <v/>
      </c>
      <c r="D27" s="50" t="inlineStr">
        <is>
          <t>Vegetativo</t>
        </is>
      </c>
      <c r="F27" s="72" t="n"/>
      <c r="G27" s="72" t="n"/>
      <c r="H27" s="72" t="n"/>
      <c r="I27" s="72" t="n"/>
      <c r="J27" s="72" t="n"/>
      <c r="K27" s="52" t="n"/>
      <c r="L27" s="103">
        <f>IF(AND(F27&lt;&gt;"",F27&lt;22),"⚠️ Temp baixa",IF(AND(F27&lt;&gt;"",F27&gt;28),"⚠️ Temp alta",IF(AND(H27&lt;&gt;"",H27&lt;5.5),"⚠️ pH baixo",IF(AND(H27&lt;&gt;"",H27&gt;6.8),"⚠️ pH alto","✅ OK"))))</f>
        <v/>
      </c>
    </row>
    <row r="28" ht="19.5" customHeight="1">
      <c r="B28" s="40" t="inlineStr">
        <is>
          <t>23</t>
        </is>
      </c>
      <c r="C28" s="41">
        <f>'🌱 Configuração'!D6+22</f>
        <v/>
      </c>
      <c r="D28" s="50" t="inlineStr">
        <is>
          <t>Vegetativo</t>
        </is>
      </c>
      <c r="F28" s="67" t="n"/>
      <c r="G28" s="67" t="n"/>
      <c r="H28" s="67" t="n"/>
      <c r="I28" s="67" t="n"/>
      <c r="J28" s="67" t="n"/>
      <c r="K28" s="43" t="n"/>
      <c r="L28" s="102">
        <f>IF(AND(F28&lt;&gt;"",F28&lt;22),"⚠️ Temp baixa",IF(AND(F28&lt;&gt;"",F28&gt;28),"⚠️ Temp alta",IF(AND(H28&lt;&gt;"",H28&lt;5.5),"⚠️ pH baixo",IF(AND(H28&lt;&gt;"",H28&gt;6.8),"⚠️ pH alto","✅ OK"))))</f>
        <v/>
      </c>
    </row>
    <row r="29" ht="19.5" customHeight="1">
      <c r="B29" s="40" t="inlineStr">
        <is>
          <t>24</t>
        </is>
      </c>
      <c r="C29" s="51">
        <f>'🌱 Configuração'!D6+23</f>
        <v/>
      </c>
      <c r="D29" s="50" t="inlineStr">
        <is>
          <t>Vegetativo</t>
        </is>
      </c>
      <c r="F29" s="72" t="n"/>
      <c r="G29" s="72" t="n"/>
      <c r="H29" s="72" t="n"/>
      <c r="I29" s="72" t="n"/>
      <c r="J29" s="72" t="n"/>
      <c r="K29" s="52" t="n"/>
      <c r="L29" s="103">
        <f>IF(AND(F29&lt;&gt;"",F29&lt;22),"⚠️ Temp baixa",IF(AND(F29&lt;&gt;"",F29&gt;28),"⚠️ Temp alta",IF(AND(H29&lt;&gt;"",H29&lt;5.5),"⚠️ pH baixo",IF(AND(H29&lt;&gt;"",H29&gt;6.8),"⚠️ pH alto","✅ OK"))))</f>
        <v/>
      </c>
    </row>
    <row r="30" ht="19.5" customHeight="1">
      <c r="B30" s="40" t="inlineStr">
        <is>
          <t>25</t>
        </is>
      </c>
      <c r="C30" s="41">
        <f>'🌱 Configuração'!D6+24</f>
        <v/>
      </c>
      <c r="D30" s="50" t="inlineStr">
        <is>
          <t>Vegetativo</t>
        </is>
      </c>
      <c r="F30" s="67" t="n"/>
      <c r="G30" s="67" t="n"/>
      <c r="H30" s="67" t="n"/>
      <c r="I30" s="67" t="n"/>
      <c r="J30" s="67" t="n"/>
      <c r="K30" s="43" t="n"/>
      <c r="L30" s="102">
        <f>IF(AND(F30&lt;&gt;"",F30&lt;22),"⚠️ Temp baixa",IF(AND(F30&lt;&gt;"",F30&gt;28),"⚠️ Temp alta",IF(AND(H30&lt;&gt;"",H30&lt;5.5),"⚠️ pH baixo",IF(AND(H30&lt;&gt;"",H30&gt;6.8),"⚠️ pH alto","✅ OK"))))</f>
        <v/>
      </c>
    </row>
    <row r="31" ht="19.5" customHeight="1">
      <c r="B31" s="40" t="inlineStr">
        <is>
          <t>26</t>
        </is>
      </c>
      <c r="C31" s="51">
        <f>'🌱 Configuração'!D6+25</f>
        <v/>
      </c>
      <c r="D31" s="50" t="inlineStr">
        <is>
          <t>Vegetativo</t>
        </is>
      </c>
      <c r="F31" s="72" t="n"/>
      <c r="G31" s="72" t="n"/>
      <c r="H31" s="72" t="n"/>
      <c r="I31" s="72" t="n"/>
      <c r="J31" s="72" t="n"/>
      <c r="K31" s="52" t="n"/>
      <c r="L31" s="103">
        <f>IF(AND(F31&lt;&gt;"",F31&lt;22),"⚠️ Temp baixa",IF(AND(F31&lt;&gt;"",F31&gt;28),"⚠️ Temp alta",IF(AND(H31&lt;&gt;"",H31&lt;5.5),"⚠️ pH baixo",IF(AND(H31&lt;&gt;"",H31&gt;6.8),"⚠️ pH alto","✅ OK"))))</f>
        <v/>
      </c>
    </row>
    <row r="32" ht="19.5" customHeight="1">
      <c r="B32" s="40" t="inlineStr">
        <is>
          <t>27</t>
        </is>
      </c>
      <c r="C32" s="41">
        <f>'🌱 Configuração'!D6+26</f>
        <v/>
      </c>
      <c r="D32" s="50" t="inlineStr">
        <is>
          <t>Vegetativo</t>
        </is>
      </c>
      <c r="F32" s="67" t="n"/>
      <c r="G32" s="67" t="n"/>
      <c r="H32" s="67" t="n"/>
      <c r="I32" s="67" t="n"/>
      <c r="J32" s="67" t="n"/>
      <c r="K32" s="43" t="n"/>
      <c r="L32" s="102">
        <f>IF(AND(F32&lt;&gt;"",F32&lt;22),"⚠️ Temp baixa",IF(AND(F32&lt;&gt;"",F32&gt;28),"⚠️ Temp alta",IF(AND(H32&lt;&gt;"",H32&lt;5.5),"⚠️ pH baixo",IF(AND(H32&lt;&gt;"",H32&gt;6.8),"⚠️ pH alto","✅ OK"))))</f>
        <v/>
      </c>
    </row>
    <row r="33" ht="19.5" customHeight="1">
      <c r="B33" s="40" t="inlineStr">
        <is>
          <t>28</t>
        </is>
      </c>
      <c r="C33" s="51">
        <f>'🌱 Configuração'!D6+27</f>
        <v/>
      </c>
      <c r="D33" s="50" t="inlineStr">
        <is>
          <t>Vegetativo</t>
        </is>
      </c>
      <c r="F33" s="72" t="n"/>
      <c r="G33" s="72" t="n"/>
      <c r="H33" s="72" t="n"/>
      <c r="I33" s="72" t="n"/>
      <c r="J33" s="72" t="n"/>
      <c r="K33" s="52" t="n"/>
      <c r="L33" s="103">
        <f>IF(AND(F33&lt;&gt;"",F33&lt;22),"⚠️ Temp baixa",IF(AND(F33&lt;&gt;"",F33&gt;28),"⚠️ Temp alta",IF(AND(H33&lt;&gt;"",H33&lt;5.5),"⚠️ pH baixo",IF(AND(H33&lt;&gt;"",H33&gt;6.8),"⚠️ pH alto","✅ OK"))))</f>
        <v/>
      </c>
    </row>
    <row r="34" ht="19.5" customHeight="1">
      <c r="B34" s="40" t="inlineStr">
        <is>
          <t>29</t>
        </is>
      </c>
      <c r="C34" s="41">
        <f>'🌱 Configuração'!D6+28</f>
        <v/>
      </c>
      <c r="D34" s="50" t="inlineStr">
        <is>
          <t>Vegetativo</t>
        </is>
      </c>
      <c r="F34" s="67" t="n"/>
      <c r="G34" s="67" t="n"/>
      <c r="H34" s="67" t="n"/>
      <c r="I34" s="67" t="n"/>
      <c r="J34" s="67" t="n"/>
      <c r="K34" s="43" t="n"/>
      <c r="L34" s="102">
        <f>IF(AND(F34&lt;&gt;"",F34&lt;22),"⚠️ Temp baixa",IF(AND(F34&lt;&gt;"",F34&gt;28),"⚠️ Temp alta",IF(AND(H34&lt;&gt;"",H34&lt;5.5),"⚠️ pH baixo",IF(AND(H34&lt;&gt;"",H34&gt;6.8),"⚠️ pH alto","✅ OK"))))</f>
        <v/>
      </c>
    </row>
    <row r="35" ht="19.5" customHeight="1">
      <c r="B35" s="40" t="inlineStr">
        <is>
          <t>30</t>
        </is>
      </c>
      <c r="C35" s="51">
        <f>'🌱 Configuração'!D6+29</f>
        <v/>
      </c>
      <c r="D35" s="50" t="inlineStr">
        <is>
          <t>Vegetativo</t>
        </is>
      </c>
      <c r="F35" s="72" t="n"/>
      <c r="G35" s="72" t="n"/>
      <c r="H35" s="72" t="n"/>
      <c r="I35" s="72" t="n"/>
      <c r="J35" s="72" t="n"/>
      <c r="K35" s="52" t="n"/>
      <c r="L35" s="103">
        <f>IF(AND(F35&lt;&gt;"",F35&lt;22),"⚠️ Temp baixa",IF(AND(F35&lt;&gt;"",F35&gt;28),"⚠️ Temp alta",IF(AND(H35&lt;&gt;"",H35&lt;5.5),"⚠️ pH baixo",IF(AND(H35&lt;&gt;"",H35&gt;6.8),"⚠️ pH alto","✅ OK"))))</f>
        <v/>
      </c>
    </row>
    <row r="36" ht="19.5" customHeight="1">
      <c r="B36" s="40" t="inlineStr">
        <is>
          <t>31</t>
        </is>
      </c>
      <c r="C36" s="41">
        <f>'🌱 Configuração'!D6+30</f>
        <v/>
      </c>
      <c r="D36" s="50" t="inlineStr">
        <is>
          <t>Vegetativo</t>
        </is>
      </c>
      <c r="F36" s="67" t="n"/>
      <c r="G36" s="67" t="n"/>
      <c r="H36" s="67" t="n"/>
      <c r="I36" s="67" t="n"/>
      <c r="J36" s="67" t="n"/>
      <c r="K36" s="43" t="n"/>
      <c r="L36" s="102">
        <f>IF(AND(F36&lt;&gt;"",F36&lt;22),"⚠️ Temp baixa",IF(AND(F36&lt;&gt;"",F36&gt;28),"⚠️ Temp alta",IF(AND(H36&lt;&gt;"",H36&lt;5.5),"⚠️ pH baixo",IF(AND(H36&lt;&gt;"",H36&gt;6.8),"⚠️ pH alto","✅ OK"))))</f>
        <v/>
      </c>
    </row>
    <row r="37" ht="19.5" customHeight="1">
      <c r="B37" s="40" t="inlineStr">
        <is>
          <t>32</t>
        </is>
      </c>
      <c r="C37" s="51">
        <f>'🌱 Configuração'!D6+31</f>
        <v/>
      </c>
      <c r="D37" s="50" t="inlineStr">
        <is>
          <t>Vegetativo</t>
        </is>
      </c>
      <c r="F37" s="72" t="n"/>
      <c r="G37" s="72" t="n"/>
      <c r="H37" s="72" t="n"/>
      <c r="I37" s="72" t="n"/>
      <c r="J37" s="72" t="n"/>
      <c r="K37" s="52" t="n"/>
      <c r="L37" s="103">
        <f>IF(AND(F37&lt;&gt;"",F37&lt;22),"⚠️ Temp baixa",IF(AND(F37&lt;&gt;"",F37&gt;28),"⚠️ Temp alta",IF(AND(H37&lt;&gt;"",H37&lt;5.5),"⚠️ pH baixo",IF(AND(H37&lt;&gt;"",H37&gt;6.8),"⚠️ pH alto","✅ OK"))))</f>
        <v/>
      </c>
    </row>
    <row r="38" ht="19.5" customHeight="1">
      <c r="B38" s="40" t="inlineStr">
        <is>
          <t>33</t>
        </is>
      </c>
      <c r="C38" s="41">
        <f>'🌱 Configuração'!D6+32</f>
        <v/>
      </c>
      <c r="D38" s="50" t="inlineStr">
        <is>
          <t>Vegetativo</t>
        </is>
      </c>
      <c r="F38" s="67" t="n"/>
      <c r="G38" s="67" t="n"/>
      <c r="H38" s="67" t="n"/>
      <c r="I38" s="67" t="n"/>
      <c r="J38" s="67" t="n"/>
      <c r="K38" s="43" t="n"/>
      <c r="L38" s="102">
        <f>IF(AND(F38&lt;&gt;"",F38&lt;22),"⚠️ Temp baixa",IF(AND(F38&lt;&gt;"",F38&gt;28),"⚠️ Temp alta",IF(AND(H38&lt;&gt;"",H38&lt;5.5),"⚠️ pH baixo",IF(AND(H38&lt;&gt;"",H38&gt;6.8),"⚠️ pH alto","✅ OK"))))</f>
        <v/>
      </c>
    </row>
    <row r="39" ht="19.5" customHeight="1">
      <c r="B39" s="40" t="inlineStr">
        <is>
          <t>34</t>
        </is>
      </c>
      <c r="C39" s="51">
        <f>'🌱 Configuração'!D6+33</f>
        <v/>
      </c>
      <c r="D39" s="50" t="inlineStr">
        <is>
          <t>Vegetativo</t>
        </is>
      </c>
      <c r="F39" s="72" t="n"/>
      <c r="G39" s="72" t="n"/>
      <c r="H39" s="72" t="n"/>
      <c r="I39" s="72" t="n"/>
      <c r="J39" s="72" t="n"/>
      <c r="K39" s="52" t="n"/>
      <c r="L39" s="103">
        <f>IF(AND(F39&lt;&gt;"",F39&lt;22),"⚠️ Temp baixa",IF(AND(F39&lt;&gt;"",F39&gt;28),"⚠️ Temp alta",IF(AND(H39&lt;&gt;"",H39&lt;5.5),"⚠️ pH baixo",IF(AND(H39&lt;&gt;"",H39&gt;6.8),"⚠️ pH alto","✅ OK"))))</f>
        <v/>
      </c>
    </row>
    <row r="40" ht="19.5" customHeight="1">
      <c r="B40" s="40" t="inlineStr">
        <is>
          <t>35</t>
        </is>
      </c>
      <c r="C40" s="41">
        <f>'🌱 Configuração'!D6+34</f>
        <v/>
      </c>
      <c r="D40" s="50" t="inlineStr">
        <is>
          <t>Vegetativo</t>
        </is>
      </c>
      <c r="F40" s="67" t="n"/>
      <c r="G40" s="67" t="n"/>
      <c r="H40" s="67" t="n"/>
      <c r="I40" s="67" t="n"/>
      <c r="J40" s="67" t="n"/>
      <c r="K40" s="43" t="n"/>
      <c r="L40" s="102">
        <f>IF(AND(F40&lt;&gt;"",F40&lt;22),"⚠️ Temp baixa",IF(AND(F40&lt;&gt;"",F40&gt;28),"⚠️ Temp alta",IF(AND(H40&lt;&gt;"",H40&lt;5.5),"⚠️ pH baixo",IF(AND(H40&lt;&gt;"",H40&gt;6.8),"⚠️ pH alto","✅ OK"))))</f>
        <v/>
      </c>
    </row>
    <row r="41" ht="19.5" customHeight="1">
      <c r="B41" s="40" t="inlineStr">
        <is>
          <t>36</t>
        </is>
      </c>
      <c r="C41" s="51">
        <f>'🌱 Configuração'!D6+35</f>
        <v/>
      </c>
      <c r="D41" s="50" t="inlineStr">
        <is>
          <t>Vegetativo</t>
        </is>
      </c>
      <c r="F41" s="72" t="n"/>
      <c r="G41" s="72" t="n"/>
      <c r="H41" s="72" t="n"/>
      <c r="I41" s="72" t="n"/>
      <c r="J41" s="72" t="n"/>
      <c r="K41" s="52" t="n"/>
      <c r="L41" s="103">
        <f>IF(AND(F41&lt;&gt;"",F41&lt;22),"⚠️ Temp baixa",IF(AND(F41&lt;&gt;"",F41&gt;28),"⚠️ Temp alta",IF(AND(H41&lt;&gt;"",H41&lt;5.5),"⚠️ pH baixo",IF(AND(H41&lt;&gt;"",H41&gt;6.8),"⚠️ pH alto","✅ OK"))))</f>
        <v/>
      </c>
    </row>
    <row r="42" ht="19.5" customHeight="1">
      <c r="B42" s="40" t="inlineStr">
        <is>
          <t>37</t>
        </is>
      </c>
      <c r="C42" s="41">
        <f>'🌱 Configuração'!D6+36</f>
        <v/>
      </c>
      <c r="D42" s="50" t="inlineStr">
        <is>
          <t>Vegetativo</t>
        </is>
      </c>
      <c r="F42" s="67" t="n"/>
      <c r="G42" s="67" t="n"/>
      <c r="H42" s="67" t="n"/>
      <c r="I42" s="67" t="n"/>
      <c r="J42" s="67" t="n"/>
      <c r="K42" s="43" t="n"/>
      <c r="L42" s="102">
        <f>IF(AND(F42&lt;&gt;"",F42&lt;22),"⚠️ Temp baixa",IF(AND(F42&lt;&gt;"",F42&gt;28),"⚠️ Temp alta",IF(AND(H42&lt;&gt;"",H42&lt;5.5),"⚠️ pH baixo",IF(AND(H42&lt;&gt;"",H42&gt;6.8),"⚠️ pH alto","✅ OK"))))</f>
        <v/>
      </c>
    </row>
    <row r="43" ht="19.5" customHeight="1">
      <c r="B43" s="40" t="inlineStr">
        <is>
          <t>38</t>
        </is>
      </c>
      <c r="C43" s="51">
        <f>'🌱 Configuração'!D6+37</f>
        <v/>
      </c>
      <c r="D43" s="50" t="inlineStr">
        <is>
          <t>Vegetativo</t>
        </is>
      </c>
      <c r="F43" s="72" t="n"/>
      <c r="G43" s="72" t="n"/>
      <c r="H43" s="72" t="n"/>
      <c r="I43" s="72" t="n"/>
      <c r="J43" s="72" t="n"/>
      <c r="K43" s="52" t="n"/>
      <c r="L43" s="103">
        <f>IF(AND(F43&lt;&gt;"",F43&lt;22),"⚠️ Temp baixa",IF(AND(F43&lt;&gt;"",F43&gt;28),"⚠️ Temp alta",IF(AND(H43&lt;&gt;"",H43&lt;5.5),"⚠️ pH baixo",IF(AND(H43&lt;&gt;"",H43&gt;6.8),"⚠️ pH alto","✅ OK"))))</f>
        <v/>
      </c>
    </row>
    <row r="44" ht="19.5" customHeight="1">
      <c r="B44" s="40" t="inlineStr">
        <is>
          <t>39</t>
        </is>
      </c>
      <c r="C44" s="41">
        <f>'🌱 Configuração'!D6+38</f>
        <v/>
      </c>
      <c r="D44" s="50" t="inlineStr">
        <is>
          <t>Vegetativo</t>
        </is>
      </c>
      <c r="F44" s="67" t="n"/>
      <c r="G44" s="67" t="n"/>
      <c r="H44" s="67" t="n"/>
      <c r="I44" s="67" t="n"/>
      <c r="J44" s="67" t="n"/>
      <c r="K44" s="43" t="n"/>
      <c r="L44" s="102">
        <f>IF(AND(F44&lt;&gt;"",F44&lt;22),"⚠️ Temp baixa",IF(AND(F44&lt;&gt;"",F44&gt;28),"⚠️ Temp alta",IF(AND(H44&lt;&gt;"",H44&lt;5.5),"⚠️ pH baixo",IF(AND(H44&lt;&gt;"",H44&gt;6.8),"⚠️ pH alto","✅ OK"))))</f>
        <v/>
      </c>
    </row>
    <row r="45" ht="19.5" customHeight="1">
      <c r="B45" s="40" t="inlineStr">
        <is>
          <t>40</t>
        </is>
      </c>
      <c r="C45" s="51">
        <f>'🌱 Configuração'!D6+39</f>
        <v/>
      </c>
      <c r="D45" s="50" t="inlineStr">
        <is>
          <t>Vegetativo</t>
        </is>
      </c>
      <c r="F45" s="72" t="n"/>
      <c r="G45" s="72" t="n"/>
      <c r="H45" s="72" t="n"/>
      <c r="I45" s="72" t="n"/>
      <c r="J45" s="72" t="n"/>
      <c r="K45" s="52" t="n"/>
      <c r="L45" s="103">
        <f>IF(AND(F45&lt;&gt;"",F45&lt;22),"⚠️ Temp baixa",IF(AND(F45&lt;&gt;"",F45&gt;28),"⚠️ Temp alta",IF(AND(H45&lt;&gt;"",H45&lt;5.5),"⚠️ pH baixo",IF(AND(H45&lt;&gt;"",H45&gt;6.8),"⚠️ pH alto","✅ OK"))))</f>
        <v/>
      </c>
    </row>
    <row r="46" ht="19.5" customHeight="1">
      <c r="B46" s="40" t="inlineStr">
        <is>
          <t>41</t>
        </is>
      </c>
      <c r="C46" s="41">
        <f>'🌱 Configuração'!D6+40</f>
        <v/>
      </c>
      <c r="D46" s="50" t="inlineStr">
        <is>
          <t>Vegetativo</t>
        </is>
      </c>
      <c r="F46" s="67" t="n"/>
      <c r="G46" s="67" t="n"/>
      <c r="H46" s="67" t="n"/>
      <c r="I46" s="67" t="n"/>
      <c r="J46" s="67" t="n"/>
      <c r="K46" s="43" t="n"/>
      <c r="L46" s="102">
        <f>IF(AND(F46&lt;&gt;"",F46&lt;22),"⚠️ Temp baixa",IF(AND(F46&lt;&gt;"",F46&gt;28),"⚠️ Temp alta",IF(AND(H46&lt;&gt;"",H46&lt;5.5),"⚠️ pH baixo",IF(AND(H46&lt;&gt;"",H46&gt;6.8),"⚠️ pH alto","✅ OK"))))</f>
        <v/>
      </c>
    </row>
    <row r="47" ht="19.5" customHeight="1">
      <c r="B47" s="40" t="inlineStr">
        <is>
          <t>42</t>
        </is>
      </c>
      <c r="C47" s="51">
        <f>'🌱 Configuração'!D6+41</f>
        <v/>
      </c>
      <c r="D47" s="50" t="inlineStr">
        <is>
          <t>Vegetativo</t>
        </is>
      </c>
      <c r="F47" s="72" t="n"/>
      <c r="G47" s="72" t="n"/>
      <c r="H47" s="72" t="n"/>
      <c r="I47" s="72" t="n"/>
      <c r="J47" s="72" t="n"/>
      <c r="K47" s="52" t="n"/>
      <c r="L47" s="103">
        <f>IF(AND(F47&lt;&gt;"",F47&lt;22),"⚠️ Temp baixa",IF(AND(F47&lt;&gt;"",F47&gt;28),"⚠️ Temp alta",IF(AND(H47&lt;&gt;"",H47&lt;5.5),"⚠️ pH baixo",IF(AND(H47&lt;&gt;"",H47&gt;6.8),"⚠️ pH alto","✅ OK"))))</f>
        <v/>
      </c>
    </row>
    <row r="48" ht="19.5" customHeight="1">
      <c r="B48" s="40" t="inlineStr">
        <is>
          <t>43</t>
        </is>
      </c>
      <c r="C48" s="41">
        <f>'🌱 Configuração'!D6+42</f>
        <v/>
      </c>
      <c r="D48" s="50" t="inlineStr">
        <is>
          <t>Vegetativo</t>
        </is>
      </c>
      <c r="F48" s="67" t="n"/>
      <c r="G48" s="67" t="n"/>
      <c r="H48" s="67" t="n"/>
      <c r="I48" s="67" t="n"/>
      <c r="J48" s="67" t="n"/>
      <c r="K48" s="43" t="n"/>
      <c r="L48" s="102">
        <f>IF(AND(F48&lt;&gt;"",F48&lt;22),"⚠️ Temp baixa",IF(AND(F48&lt;&gt;"",F48&gt;28),"⚠️ Temp alta",IF(AND(H48&lt;&gt;"",H48&lt;5.5),"⚠️ pH baixo",IF(AND(H48&lt;&gt;"",H48&gt;6.8),"⚠️ pH alto","✅ OK"))))</f>
        <v/>
      </c>
    </row>
    <row r="49" ht="19.5" customHeight="1">
      <c r="B49" s="40" t="inlineStr">
        <is>
          <t>44</t>
        </is>
      </c>
      <c r="C49" s="51">
        <f>'🌱 Configuração'!D6+43</f>
        <v/>
      </c>
      <c r="D49" s="50" t="inlineStr">
        <is>
          <t>Vegetativo</t>
        </is>
      </c>
      <c r="F49" s="72" t="n"/>
      <c r="G49" s="72" t="n"/>
      <c r="H49" s="72" t="n"/>
      <c r="I49" s="72" t="n"/>
      <c r="J49" s="72" t="n"/>
      <c r="K49" s="52" t="n"/>
      <c r="L49" s="103">
        <f>IF(AND(F49&lt;&gt;"",F49&lt;22),"⚠️ Temp baixa",IF(AND(F49&lt;&gt;"",F49&gt;28),"⚠️ Temp alta",IF(AND(H49&lt;&gt;"",H49&lt;5.5),"⚠️ pH baixo",IF(AND(H49&lt;&gt;"",H49&gt;6.8),"⚠️ pH alto","✅ OK"))))</f>
        <v/>
      </c>
    </row>
    <row r="50" ht="19.5" customHeight="1">
      <c r="B50" s="40" t="inlineStr">
        <is>
          <t>45</t>
        </is>
      </c>
      <c r="C50" s="41">
        <f>'🌱 Configuração'!D6+44</f>
        <v/>
      </c>
      <c r="D50" s="50" t="inlineStr">
        <is>
          <t>Vegetativo</t>
        </is>
      </c>
      <c r="F50" s="67" t="n"/>
      <c r="G50" s="67" t="n"/>
      <c r="H50" s="67" t="n"/>
      <c r="I50" s="67" t="n"/>
      <c r="J50" s="67" t="n"/>
      <c r="K50" s="43" t="n"/>
      <c r="L50" s="102">
        <f>IF(AND(F50&lt;&gt;"",F50&lt;22),"⚠️ Temp baixa",IF(AND(F50&lt;&gt;"",F50&gt;28),"⚠️ Temp alta",IF(AND(H50&lt;&gt;"",H50&lt;5.5),"⚠️ pH baixo",IF(AND(H50&lt;&gt;"",H50&gt;6.8),"⚠️ pH alto","✅ OK"))))</f>
        <v/>
      </c>
    </row>
    <row r="51" ht="19.5" customHeight="1">
      <c r="B51" s="40" t="inlineStr">
        <is>
          <t>46</t>
        </is>
      </c>
      <c r="C51" s="51">
        <f>'🌱 Configuração'!D6+45</f>
        <v/>
      </c>
      <c r="D51" s="50" t="inlineStr">
        <is>
          <t>Vegetativo</t>
        </is>
      </c>
      <c r="F51" s="72" t="n"/>
      <c r="G51" s="72" t="n"/>
      <c r="H51" s="72" t="n"/>
      <c r="I51" s="72" t="n"/>
      <c r="J51" s="72" t="n"/>
      <c r="K51" s="52" t="n"/>
      <c r="L51" s="103">
        <f>IF(AND(F51&lt;&gt;"",F51&lt;22),"⚠️ Temp baixa",IF(AND(F51&lt;&gt;"",F51&gt;28),"⚠️ Temp alta",IF(AND(H51&lt;&gt;"",H51&lt;5.5),"⚠️ pH baixo",IF(AND(H51&lt;&gt;"",H51&gt;6.8),"⚠️ pH alto","✅ OK"))))</f>
        <v/>
      </c>
    </row>
    <row r="52" ht="19.5" customHeight="1">
      <c r="B52" s="40" t="inlineStr">
        <is>
          <t>47</t>
        </is>
      </c>
      <c r="C52" s="41">
        <f>'🌱 Configuração'!D6+46</f>
        <v/>
      </c>
      <c r="D52" s="50" t="inlineStr">
        <is>
          <t>Vegetativo</t>
        </is>
      </c>
      <c r="F52" s="67" t="n"/>
      <c r="G52" s="67" t="n"/>
      <c r="H52" s="67" t="n"/>
      <c r="I52" s="67" t="n"/>
      <c r="J52" s="67" t="n"/>
      <c r="K52" s="43" t="n"/>
      <c r="L52" s="102">
        <f>IF(AND(F52&lt;&gt;"",F52&lt;22),"⚠️ Temp baixa",IF(AND(F52&lt;&gt;"",F52&gt;28),"⚠️ Temp alta",IF(AND(H52&lt;&gt;"",H52&lt;5.5),"⚠️ pH baixo",IF(AND(H52&lt;&gt;"",H52&gt;6.8),"⚠️ pH alto","✅ OK"))))</f>
        <v/>
      </c>
    </row>
    <row r="53" ht="19.5" customHeight="1">
      <c r="B53" s="40" t="inlineStr">
        <is>
          <t>48</t>
        </is>
      </c>
      <c r="C53" s="51">
        <f>'🌱 Configuração'!D6+47</f>
        <v/>
      </c>
      <c r="D53" s="50" t="inlineStr">
        <is>
          <t>Vegetativo</t>
        </is>
      </c>
      <c r="F53" s="72" t="n"/>
      <c r="G53" s="72" t="n"/>
      <c r="H53" s="72" t="n"/>
      <c r="I53" s="72" t="n"/>
      <c r="J53" s="72" t="n"/>
      <c r="K53" s="52" t="n"/>
      <c r="L53" s="103">
        <f>IF(AND(F53&lt;&gt;"",F53&lt;22),"⚠️ Temp baixa",IF(AND(F53&lt;&gt;"",F53&gt;28),"⚠️ Temp alta",IF(AND(H53&lt;&gt;"",H53&lt;5.5),"⚠️ pH baixo",IF(AND(H53&lt;&gt;"",H53&gt;6.8),"⚠️ pH alto","✅ OK"))))</f>
        <v/>
      </c>
    </row>
    <row r="54" ht="19.5" customHeight="1">
      <c r="B54" s="40" t="inlineStr">
        <is>
          <t>49</t>
        </is>
      </c>
      <c r="C54" s="41">
        <f>'🌱 Configuração'!D6+48</f>
        <v/>
      </c>
      <c r="D54" s="50" t="inlineStr">
        <is>
          <t>Vegetativo</t>
        </is>
      </c>
      <c r="F54" s="67" t="n"/>
      <c r="G54" s="67" t="n"/>
      <c r="H54" s="67" t="n"/>
      <c r="I54" s="67" t="n"/>
      <c r="J54" s="67" t="n"/>
      <c r="K54" s="43" t="n"/>
      <c r="L54" s="102">
        <f>IF(AND(F54&lt;&gt;"",F54&lt;22),"⚠️ Temp baixa",IF(AND(F54&lt;&gt;"",F54&gt;28),"⚠️ Temp alta",IF(AND(H54&lt;&gt;"",H54&lt;5.5),"⚠️ pH baixo",IF(AND(H54&lt;&gt;"",H54&gt;6.8),"⚠️ pH alto","✅ OK"))))</f>
        <v/>
      </c>
    </row>
    <row r="55" ht="19.5" customHeight="1">
      <c r="B55" s="40" t="inlineStr">
        <is>
          <t>50</t>
        </is>
      </c>
      <c r="C55" s="51">
        <f>'🌱 Configuração'!D6+49</f>
        <v/>
      </c>
      <c r="D55" s="50" t="inlineStr">
        <is>
          <t>Vegetativo</t>
        </is>
      </c>
      <c r="F55" s="72" t="n"/>
      <c r="G55" s="72" t="n"/>
      <c r="H55" s="72" t="n"/>
      <c r="I55" s="72" t="n"/>
      <c r="J55" s="72" t="n"/>
      <c r="K55" s="52" t="n"/>
      <c r="L55" s="103">
        <f>IF(AND(F55&lt;&gt;"",F55&lt;22),"⚠️ Temp baixa",IF(AND(F55&lt;&gt;"",F55&gt;28),"⚠️ Temp alta",IF(AND(H55&lt;&gt;"",H55&lt;5.5),"⚠️ pH baixo",IF(AND(H55&lt;&gt;"",H55&gt;6.8),"⚠️ pH alto","✅ OK"))))</f>
        <v/>
      </c>
    </row>
    <row r="56" ht="19.5" customHeight="1">
      <c r="B56" s="40" t="inlineStr">
        <is>
          <t>51</t>
        </is>
      </c>
      <c r="C56" s="41">
        <f>'🌱 Configuração'!D6+50</f>
        <v/>
      </c>
      <c r="D56" s="50" t="inlineStr">
        <is>
          <t>Vegetativo</t>
        </is>
      </c>
      <c r="F56" s="67" t="n"/>
      <c r="G56" s="67" t="n"/>
      <c r="H56" s="67" t="n"/>
      <c r="I56" s="67" t="n"/>
      <c r="J56" s="67" t="n"/>
      <c r="K56" s="43" t="n"/>
      <c r="L56" s="102">
        <f>IF(AND(F56&lt;&gt;"",F56&lt;22),"⚠️ Temp baixa",IF(AND(F56&lt;&gt;"",F56&gt;28),"⚠️ Temp alta",IF(AND(H56&lt;&gt;"",H56&lt;5.5),"⚠️ pH baixo",IF(AND(H56&lt;&gt;"",H56&gt;6.8),"⚠️ pH alto","✅ OK"))))</f>
        <v/>
      </c>
    </row>
    <row r="57" ht="19.5" customHeight="1">
      <c r="B57" s="40" t="inlineStr">
        <is>
          <t>52</t>
        </is>
      </c>
      <c r="C57" s="51">
        <f>'🌱 Configuração'!D6+51</f>
        <v/>
      </c>
      <c r="D57" s="50" t="inlineStr">
        <is>
          <t>Vegetativo</t>
        </is>
      </c>
      <c r="F57" s="72" t="n"/>
      <c r="G57" s="72" t="n"/>
      <c r="H57" s="72" t="n"/>
      <c r="I57" s="72" t="n"/>
      <c r="J57" s="72" t="n"/>
      <c r="K57" s="52" t="n"/>
      <c r="L57" s="103">
        <f>IF(AND(F57&lt;&gt;"",F57&lt;22),"⚠️ Temp baixa",IF(AND(F57&lt;&gt;"",F57&gt;28),"⚠️ Temp alta",IF(AND(H57&lt;&gt;"",H57&lt;5.5),"⚠️ pH baixo",IF(AND(H57&lt;&gt;"",H57&gt;6.8),"⚠️ pH alto","✅ OK"))))</f>
        <v/>
      </c>
    </row>
    <row r="58" ht="19.5" customHeight="1">
      <c r="B58" s="40" t="inlineStr">
        <is>
          <t>53</t>
        </is>
      </c>
      <c r="C58" s="41">
        <f>'🌱 Configuração'!D6+52</f>
        <v/>
      </c>
      <c r="D58" s="50" t="inlineStr">
        <is>
          <t>Vegetativo</t>
        </is>
      </c>
      <c r="F58" s="67" t="n"/>
      <c r="G58" s="67" t="n"/>
      <c r="H58" s="67" t="n"/>
      <c r="I58" s="67" t="n"/>
      <c r="J58" s="67" t="n"/>
      <c r="K58" s="43" t="n"/>
      <c r="L58" s="102">
        <f>IF(AND(F58&lt;&gt;"",F58&lt;22),"⚠️ Temp baixa",IF(AND(F58&lt;&gt;"",F58&gt;28),"⚠️ Temp alta",IF(AND(H58&lt;&gt;"",H58&lt;5.5),"⚠️ pH baixo",IF(AND(H58&lt;&gt;"",H58&gt;6.8),"⚠️ pH alto","✅ OK"))))</f>
        <v/>
      </c>
    </row>
    <row r="59" ht="19.5" customHeight="1">
      <c r="B59" s="40" t="inlineStr">
        <is>
          <t>54</t>
        </is>
      </c>
      <c r="C59" s="51">
        <f>'🌱 Configuração'!D6+53</f>
        <v/>
      </c>
      <c r="D59" s="50" t="inlineStr">
        <is>
          <t>Vegetativo</t>
        </is>
      </c>
      <c r="F59" s="72" t="n"/>
      <c r="G59" s="72" t="n"/>
      <c r="H59" s="72" t="n"/>
      <c r="I59" s="72" t="n"/>
      <c r="J59" s="72" t="n"/>
      <c r="K59" s="52" t="n"/>
      <c r="L59" s="103">
        <f>IF(AND(F59&lt;&gt;"",F59&lt;22),"⚠️ Temp baixa",IF(AND(F59&lt;&gt;"",F59&gt;28),"⚠️ Temp alta",IF(AND(H59&lt;&gt;"",H59&lt;5.5),"⚠️ pH baixo",IF(AND(H59&lt;&gt;"",H59&gt;6.8),"⚠️ pH alto","✅ OK"))))</f>
        <v/>
      </c>
    </row>
    <row r="60" ht="19.5" customHeight="1">
      <c r="B60" s="40" t="inlineStr">
        <is>
          <t>55</t>
        </is>
      </c>
      <c r="C60" s="41">
        <f>'🌱 Configuração'!D6+54</f>
        <v/>
      </c>
      <c r="D60" s="50" t="inlineStr">
        <is>
          <t>Vegetativo</t>
        </is>
      </c>
      <c r="F60" s="67" t="n"/>
      <c r="G60" s="67" t="n"/>
      <c r="H60" s="67" t="n"/>
      <c r="I60" s="67" t="n"/>
      <c r="J60" s="67" t="n"/>
      <c r="K60" s="43" t="n"/>
      <c r="L60" s="102">
        <f>IF(AND(F60&lt;&gt;"",F60&lt;22),"⚠️ Temp baixa",IF(AND(F60&lt;&gt;"",F60&gt;28),"⚠️ Temp alta",IF(AND(H60&lt;&gt;"",H60&lt;5.5),"⚠️ pH baixo",IF(AND(H60&lt;&gt;"",H60&gt;6.8),"⚠️ pH alto","✅ OK"))))</f>
        <v/>
      </c>
    </row>
    <row r="61" ht="19.5" customHeight="1">
      <c r="B61" s="40" t="inlineStr">
        <is>
          <t>56</t>
        </is>
      </c>
      <c r="C61" s="51">
        <f>'🌱 Configuração'!D6+55</f>
        <v/>
      </c>
      <c r="D61" s="50" t="inlineStr">
        <is>
          <t>Vegetativo</t>
        </is>
      </c>
      <c r="F61" s="72" t="n"/>
      <c r="G61" s="72" t="n"/>
      <c r="H61" s="72" t="n"/>
      <c r="I61" s="72" t="n"/>
      <c r="J61" s="72" t="n"/>
      <c r="K61" s="52" t="n"/>
      <c r="L61" s="103">
        <f>IF(AND(F61&lt;&gt;"",F61&lt;22),"⚠️ Temp baixa",IF(AND(F61&lt;&gt;"",F61&gt;28),"⚠️ Temp alta",IF(AND(H61&lt;&gt;"",H61&lt;5.5),"⚠️ pH baixo",IF(AND(H61&lt;&gt;"",H61&gt;6.8),"⚠️ pH alto","✅ OK"))))</f>
        <v/>
      </c>
    </row>
    <row r="62" ht="19.5" customHeight="1">
      <c r="B62" s="40" t="inlineStr">
        <is>
          <t>57</t>
        </is>
      </c>
      <c r="C62" s="41">
        <f>'🌱 Configuração'!D6+56</f>
        <v/>
      </c>
      <c r="D62" s="55" t="inlineStr">
        <is>
          <t>Floração</t>
        </is>
      </c>
      <c r="F62" s="67" t="n"/>
      <c r="G62" s="67" t="n"/>
      <c r="H62" s="67" t="n"/>
      <c r="I62" s="67" t="n"/>
      <c r="J62" s="67" t="n"/>
      <c r="K62" s="43" t="n"/>
      <c r="L62" s="102">
        <f>IF(AND(F62&lt;&gt;"",F62&lt;22),"⚠️ Temp baixa",IF(AND(F62&lt;&gt;"",F62&gt;28),"⚠️ Temp alta",IF(AND(H62&lt;&gt;"",H62&lt;5.5),"⚠️ pH baixo",IF(AND(H62&lt;&gt;"",H62&gt;6.8),"⚠️ pH alto","✅ OK"))))</f>
        <v/>
      </c>
    </row>
    <row r="63" ht="19.5" customHeight="1">
      <c r="B63" s="40" t="inlineStr">
        <is>
          <t>58</t>
        </is>
      </c>
      <c r="C63" s="56">
        <f>'🌱 Configuração'!D6+57</f>
        <v/>
      </c>
      <c r="D63" s="55" t="inlineStr">
        <is>
          <t>Floração</t>
        </is>
      </c>
      <c r="F63" s="77" t="n"/>
      <c r="G63" s="77" t="n"/>
      <c r="H63" s="77" t="n"/>
      <c r="I63" s="77" t="n"/>
      <c r="J63" s="77" t="n"/>
      <c r="K63" s="57" t="n"/>
      <c r="L63" s="104">
        <f>IF(AND(F63&lt;&gt;"",F63&lt;22),"⚠️ Temp baixa",IF(AND(F63&lt;&gt;"",F63&gt;28),"⚠️ Temp alta",IF(AND(H63&lt;&gt;"",H63&lt;5.5),"⚠️ pH baixo",IF(AND(H63&lt;&gt;"",H63&gt;6.8),"⚠️ pH alto","✅ OK"))))</f>
        <v/>
      </c>
    </row>
    <row r="64" ht="19.5" customHeight="1">
      <c r="B64" s="40" t="inlineStr">
        <is>
          <t>59</t>
        </is>
      </c>
      <c r="C64" s="41">
        <f>'🌱 Configuração'!D6+58</f>
        <v/>
      </c>
      <c r="D64" s="55" t="inlineStr">
        <is>
          <t>Floração</t>
        </is>
      </c>
      <c r="F64" s="67" t="n"/>
      <c r="G64" s="67" t="n"/>
      <c r="H64" s="67" t="n"/>
      <c r="I64" s="67" t="n"/>
      <c r="J64" s="67" t="n"/>
      <c r="K64" s="43" t="n"/>
      <c r="L64" s="102">
        <f>IF(AND(F64&lt;&gt;"",F64&lt;22),"⚠️ Temp baixa",IF(AND(F64&lt;&gt;"",F64&gt;28),"⚠️ Temp alta",IF(AND(H64&lt;&gt;"",H64&lt;5.5),"⚠️ pH baixo",IF(AND(H64&lt;&gt;"",H64&gt;6.8),"⚠️ pH alto","✅ OK"))))</f>
        <v/>
      </c>
    </row>
    <row r="65" ht="19.5" customHeight="1">
      <c r="B65" s="40" t="inlineStr">
        <is>
          <t>60</t>
        </is>
      </c>
      <c r="C65" s="56">
        <f>'🌱 Configuração'!D6+59</f>
        <v/>
      </c>
      <c r="D65" s="55" t="inlineStr">
        <is>
          <t>Floração</t>
        </is>
      </c>
      <c r="F65" s="77" t="n"/>
      <c r="G65" s="77" t="n"/>
      <c r="H65" s="77" t="n"/>
      <c r="I65" s="77" t="n"/>
      <c r="J65" s="77" t="n"/>
      <c r="K65" s="57" t="n"/>
      <c r="L65" s="104">
        <f>IF(AND(F65&lt;&gt;"",F65&lt;22),"⚠️ Temp baixa",IF(AND(F65&lt;&gt;"",F65&gt;28),"⚠️ Temp alta",IF(AND(H65&lt;&gt;"",H65&lt;5.5),"⚠️ pH baixo",IF(AND(H65&lt;&gt;"",H65&gt;6.8),"⚠️ pH alto","✅ OK"))))</f>
        <v/>
      </c>
    </row>
    <row r="66" ht="19.5" customHeight="1">
      <c r="B66" s="40" t="inlineStr">
        <is>
          <t>61</t>
        </is>
      </c>
      <c r="C66" s="41">
        <f>'🌱 Configuração'!D6+60</f>
        <v/>
      </c>
      <c r="D66" s="55" t="inlineStr">
        <is>
          <t>Floração</t>
        </is>
      </c>
      <c r="F66" s="67" t="n"/>
      <c r="G66" s="67" t="n"/>
      <c r="H66" s="67" t="n"/>
      <c r="I66" s="67" t="n"/>
      <c r="J66" s="67" t="n"/>
      <c r="K66" s="43" t="n"/>
      <c r="L66" s="102">
        <f>IF(AND(F66&lt;&gt;"",F66&lt;22),"⚠️ Temp baixa",IF(AND(F66&lt;&gt;"",F66&gt;28),"⚠️ Temp alta",IF(AND(H66&lt;&gt;"",H66&lt;5.5),"⚠️ pH baixo",IF(AND(H66&lt;&gt;"",H66&gt;6.8),"⚠️ pH alto","✅ OK"))))</f>
        <v/>
      </c>
    </row>
    <row r="67" ht="19.5" customHeight="1">
      <c r="B67" s="40" t="inlineStr">
        <is>
          <t>62</t>
        </is>
      </c>
      <c r="C67" s="56">
        <f>'🌱 Configuração'!D6+61</f>
        <v/>
      </c>
      <c r="D67" s="55" t="inlineStr">
        <is>
          <t>Floração</t>
        </is>
      </c>
      <c r="F67" s="77" t="n"/>
      <c r="G67" s="77" t="n"/>
      <c r="H67" s="77" t="n"/>
      <c r="I67" s="77" t="n"/>
      <c r="J67" s="77" t="n"/>
      <c r="K67" s="57" t="n"/>
      <c r="L67" s="104">
        <f>IF(AND(F67&lt;&gt;"",F67&lt;22),"⚠️ Temp baixa",IF(AND(F67&lt;&gt;"",F67&gt;28),"⚠️ Temp alta",IF(AND(H67&lt;&gt;"",H67&lt;5.5),"⚠️ pH baixo",IF(AND(H67&lt;&gt;"",H67&gt;6.8),"⚠️ pH alto","✅ OK"))))</f>
        <v/>
      </c>
    </row>
    <row r="68" ht="19.5" customHeight="1">
      <c r="B68" s="40" t="inlineStr">
        <is>
          <t>63</t>
        </is>
      </c>
      <c r="C68" s="41">
        <f>'🌱 Configuração'!D6+62</f>
        <v/>
      </c>
      <c r="D68" s="55" t="inlineStr">
        <is>
          <t>Floração</t>
        </is>
      </c>
      <c r="F68" s="67" t="n"/>
      <c r="G68" s="67" t="n"/>
      <c r="H68" s="67" t="n"/>
      <c r="I68" s="67" t="n"/>
      <c r="J68" s="67" t="n"/>
      <c r="K68" s="43" t="n"/>
      <c r="L68" s="102">
        <f>IF(AND(F68&lt;&gt;"",F68&lt;22),"⚠️ Temp baixa",IF(AND(F68&lt;&gt;"",F68&gt;28),"⚠️ Temp alta",IF(AND(H68&lt;&gt;"",H68&lt;5.5),"⚠️ pH baixo",IF(AND(H68&lt;&gt;"",H68&gt;6.8),"⚠️ pH alto","✅ OK"))))</f>
        <v/>
      </c>
    </row>
    <row r="69" ht="19.5" customHeight="1">
      <c r="B69" s="40" t="inlineStr">
        <is>
          <t>64</t>
        </is>
      </c>
      <c r="C69" s="56">
        <f>'🌱 Configuração'!D6+63</f>
        <v/>
      </c>
      <c r="D69" s="55" t="inlineStr">
        <is>
          <t>Floração</t>
        </is>
      </c>
      <c r="F69" s="77" t="n"/>
      <c r="G69" s="77" t="n"/>
      <c r="H69" s="77" t="n"/>
      <c r="I69" s="77" t="n"/>
      <c r="J69" s="77" t="n"/>
      <c r="K69" s="57" t="n"/>
      <c r="L69" s="104">
        <f>IF(AND(F69&lt;&gt;"",F69&lt;22),"⚠️ Temp baixa",IF(AND(F69&lt;&gt;"",F69&gt;28),"⚠️ Temp alta",IF(AND(H69&lt;&gt;"",H69&lt;5.5),"⚠️ pH baixo",IF(AND(H69&lt;&gt;"",H69&gt;6.8),"⚠️ pH alto","✅ OK"))))</f>
        <v/>
      </c>
    </row>
    <row r="70" ht="19.5" customHeight="1">
      <c r="B70" s="40" t="inlineStr">
        <is>
          <t>65</t>
        </is>
      </c>
      <c r="C70" s="41">
        <f>'🌱 Configuração'!D6+64</f>
        <v/>
      </c>
      <c r="D70" s="55" t="inlineStr">
        <is>
          <t>Floração</t>
        </is>
      </c>
      <c r="F70" s="67" t="n"/>
      <c r="G70" s="67" t="n"/>
      <c r="H70" s="67" t="n"/>
      <c r="I70" s="67" t="n"/>
      <c r="J70" s="67" t="n"/>
      <c r="K70" s="43" t="n"/>
      <c r="L70" s="102">
        <f>IF(AND(F70&lt;&gt;"",F70&lt;22),"⚠️ Temp baixa",IF(AND(F70&lt;&gt;"",F70&gt;28),"⚠️ Temp alta",IF(AND(H70&lt;&gt;"",H70&lt;5.5),"⚠️ pH baixo",IF(AND(H70&lt;&gt;"",H70&gt;6.8),"⚠️ pH alto","✅ OK"))))</f>
        <v/>
      </c>
    </row>
    <row r="71" ht="19.5" customHeight="1">
      <c r="B71" s="40" t="inlineStr">
        <is>
          <t>66</t>
        </is>
      </c>
      <c r="C71" s="56">
        <f>'🌱 Configuração'!D6+65</f>
        <v/>
      </c>
      <c r="D71" s="55" t="inlineStr">
        <is>
          <t>Floração</t>
        </is>
      </c>
      <c r="F71" s="77" t="n"/>
      <c r="G71" s="77" t="n"/>
      <c r="H71" s="77" t="n"/>
      <c r="I71" s="77" t="n"/>
      <c r="J71" s="77" t="n"/>
      <c r="K71" s="57" t="n"/>
      <c r="L71" s="104">
        <f>IF(AND(F71&lt;&gt;"",F71&lt;22),"⚠️ Temp baixa",IF(AND(F71&lt;&gt;"",F71&gt;28),"⚠️ Temp alta",IF(AND(H71&lt;&gt;"",H71&lt;5.5),"⚠️ pH baixo",IF(AND(H71&lt;&gt;"",H71&gt;6.8),"⚠️ pH alto","✅ OK"))))</f>
        <v/>
      </c>
    </row>
    <row r="72" ht="19.5" customHeight="1">
      <c r="B72" s="40" t="inlineStr">
        <is>
          <t>67</t>
        </is>
      </c>
      <c r="C72" s="41">
        <f>'🌱 Configuração'!D6+66</f>
        <v/>
      </c>
      <c r="D72" s="55" t="inlineStr">
        <is>
          <t>Floração</t>
        </is>
      </c>
      <c r="F72" s="67" t="n"/>
      <c r="G72" s="67" t="n"/>
      <c r="H72" s="67" t="n"/>
      <c r="I72" s="67" t="n"/>
      <c r="J72" s="67" t="n"/>
      <c r="K72" s="43" t="n"/>
      <c r="L72" s="102">
        <f>IF(AND(F72&lt;&gt;"",F72&lt;22),"⚠️ Temp baixa",IF(AND(F72&lt;&gt;"",F72&gt;28),"⚠️ Temp alta",IF(AND(H72&lt;&gt;"",H72&lt;5.5),"⚠️ pH baixo",IF(AND(H72&lt;&gt;"",H72&gt;6.8),"⚠️ pH alto","✅ OK"))))</f>
        <v/>
      </c>
    </row>
    <row r="73" ht="19.5" customHeight="1">
      <c r="B73" s="40" t="inlineStr">
        <is>
          <t>68</t>
        </is>
      </c>
      <c r="C73" s="56">
        <f>'🌱 Configuração'!D6+67</f>
        <v/>
      </c>
      <c r="D73" s="55" t="inlineStr">
        <is>
          <t>Floração</t>
        </is>
      </c>
      <c r="F73" s="77" t="n"/>
      <c r="G73" s="77" t="n"/>
      <c r="H73" s="77" t="n"/>
      <c r="I73" s="77" t="n"/>
      <c r="J73" s="77" t="n"/>
      <c r="K73" s="57" t="n"/>
      <c r="L73" s="104">
        <f>IF(AND(F73&lt;&gt;"",F73&lt;22),"⚠️ Temp baixa",IF(AND(F73&lt;&gt;"",F73&gt;28),"⚠️ Temp alta",IF(AND(H73&lt;&gt;"",H73&lt;5.5),"⚠️ pH baixo",IF(AND(H73&lt;&gt;"",H73&gt;6.8),"⚠️ pH alto","✅ OK"))))</f>
        <v/>
      </c>
    </row>
    <row r="74" ht="19.5" customHeight="1">
      <c r="B74" s="40" t="inlineStr">
        <is>
          <t>69</t>
        </is>
      </c>
      <c r="C74" s="41">
        <f>'🌱 Configuração'!D6+68</f>
        <v/>
      </c>
      <c r="D74" s="55" t="inlineStr">
        <is>
          <t>Floração</t>
        </is>
      </c>
      <c r="F74" s="67" t="n"/>
      <c r="G74" s="67" t="n"/>
      <c r="H74" s="67" t="n"/>
      <c r="I74" s="67" t="n"/>
      <c r="J74" s="67" t="n"/>
      <c r="K74" s="43" t="n"/>
      <c r="L74" s="102">
        <f>IF(AND(F74&lt;&gt;"",F74&lt;22),"⚠️ Temp baixa",IF(AND(F74&lt;&gt;"",F74&gt;28),"⚠️ Temp alta",IF(AND(H74&lt;&gt;"",H74&lt;5.5),"⚠️ pH baixo",IF(AND(H74&lt;&gt;"",H74&gt;6.8),"⚠️ pH alto","✅ OK"))))</f>
        <v/>
      </c>
    </row>
    <row r="75" ht="19.5" customHeight="1">
      <c r="B75" s="40" t="inlineStr">
        <is>
          <t>70</t>
        </is>
      </c>
      <c r="C75" s="56">
        <f>'🌱 Configuração'!D6+69</f>
        <v/>
      </c>
      <c r="D75" s="55" t="inlineStr">
        <is>
          <t>Floração</t>
        </is>
      </c>
      <c r="F75" s="77" t="n"/>
      <c r="G75" s="77" t="n"/>
      <c r="H75" s="77" t="n"/>
      <c r="I75" s="77" t="n"/>
      <c r="J75" s="77" t="n"/>
      <c r="K75" s="57" t="n"/>
      <c r="L75" s="104">
        <f>IF(AND(F75&lt;&gt;"",F75&lt;22),"⚠️ Temp baixa",IF(AND(F75&lt;&gt;"",F75&gt;28),"⚠️ Temp alta",IF(AND(H75&lt;&gt;"",H75&lt;5.5),"⚠️ pH baixo",IF(AND(H75&lt;&gt;"",H75&gt;6.8),"⚠️ pH alto","✅ OK"))))</f>
        <v/>
      </c>
    </row>
    <row r="76" ht="19.5" customHeight="1">
      <c r="B76" s="40" t="inlineStr">
        <is>
          <t>71</t>
        </is>
      </c>
      <c r="C76" s="41">
        <f>'🌱 Configuração'!D6+70</f>
        <v/>
      </c>
      <c r="D76" s="55" t="inlineStr">
        <is>
          <t>Floração</t>
        </is>
      </c>
      <c r="F76" s="67" t="n"/>
      <c r="G76" s="67" t="n"/>
      <c r="H76" s="67" t="n"/>
      <c r="I76" s="67" t="n"/>
      <c r="J76" s="67" t="n"/>
      <c r="K76" s="43" t="n"/>
      <c r="L76" s="102">
        <f>IF(AND(F76&lt;&gt;"",F76&lt;22),"⚠️ Temp baixa",IF(AND(F76&lt;&gt;"",F76&gt;28),"⚠️ Temp alta",IF(AND(H76&lt;&gt;"",H76&lt;5.5),"⚠️ pH baixo",IF(AND(H76&lt;&gt;"",H76&gt;6.8),"⚠️ pH alto","✅ OK"))))</f>
        <v/>
      </c>
    </row>
    <row r="77" ht="19.5" customHeight="1">
      <c r="B77" s="40" t="inlineStr">
        <is>
          <t>72</t>
        </is>
      </c>
      <c r="C77" s="56">
        <f>'🌱 Configuração'!D6+71</f>
        <v/>
      </c>
      <c r="D77" s="55" t="inlineStr">
        <is>
          <t>Floração</t>
        </is>
      </c>
      <c r="F77" s="77" t="n"/>
      <c r="G77" s="77" t="n"/>
      <c r="H77" s="77" t="n"/>
      <c r="I77" s="77" t="n"/>
      <c r="J77" s="77" t="n"/>
      <c r="K77" s="57" t="n"/>
      <c r="L77" s="104">
        <f>IF(AND(F77&lt;&gt;"",F77&lt;22),"⚠️ Temp baixa",IF(AND(F77&lt;&gt;"",F77&gt;28),"⚠️ Temp alta",IF(AND(H77&lt;&gt;"",H77&lt;5.5),"⚠️ pH baixo",IF(AND(H77&lt;&gt;"",H77&gt;6.8),"⚠️ pH alto","✅ OK"))))</f>
        <v/>
      </c>
    </row>
    <row r="78" ht="19.5" customHeight="1">
      <c r="B78" s="40" t="inlineStr">
        <is>
          <t>73</t>
        </is>
      </c>
      <c r="C78" s="41">
        <f>'🌱 Configuração'!D6+72</f>
        <v/>
      </c>
      <c r="D78" s="55" t="inlineStr">
        <is>
          <t>Floração</t>
        </is>
      </c>
      <c r="F78" s="67" t="n"/>
      <c r="G78" s="67" t="n"/>
      <c r="H78" s="67" t="n"/>
      <c r="I78" s="67" t="n"/>
      <c r="J78" s="67" t="n"/>
      <c r="K78" s="43" t="n"/>
      <c r="L78" s="102">
        <f>IF(AND(F78&lt;&gt;"",F78&lt;22),"⚠️ Temp baixa",IF(AND(F78&lt;&gt;"",F78&gt;28),"⚠️ Temp alta",IF(AND(H78&lt;&gt;"",H78&lt;5.5),"⚠️ pH baixo",IF(AND(H78&lt;&gt;"",H78&gt;6.8),"⚠️ pH alto","✅ OK"))))</f>
        <v/>
      </c>
    </row>
    <row r="79" ht="19.5" customHeight="1">
      <c r="B79" s="40" t="inlineStr">
        <is>
          <t>74</t>
        </is>
      </c>
      <c r="C79" s="56">
        <f>'🌱 Configuração'!D6+73</f>
        <v/>
      </c>
      <c r="D79" s="55" t="inlineStr">
        <is>
          <t>Floração</t>
        </is>
      </c>
      <c r="F79" s="77" t="n"/>
      <c r="G79" s="77" t="n"/>
      <c r="H79" s="77" t="n"/>
      <c r="I79" s="77" t="n"/>
      <c r="J79" s="77" t="n"/>
      <c r="K79" s="57" t="n"/>
      <c r="L79" s="104">
        <f>IF(AND(F79&lt;&gt;"",F79&lt;22),"⚠️ Temp baixa",IF(AND(F79&lt;&gt;"",F79&gt;28),"⚠️ Temp alta",IF(AND(H79&lt;&gt;"",H79&lt;5.5),"⚠️ pH baixo",IF(AND(H79&lt;&gt;"",H79&gt;6.8),"⚠️ pH alto","✅ OK"))))</f>
        <v/>
      </c>
    </row>
    <row r="80" ht="19.5" customHeight="1">
      <c r="B80" s="40" t="inlineStr">
        <is>
          <t>75</t>
        </is>
      </c>
      <c r="C80" s="41">
        <f>'🌱 Configuração'!D6+74</f>
        <v/>
      </c>
      <c r="D80" s="55" t="inlineStr">
        <is>
          <t>Floração</t>
        </is>
      </c>
      <c r="F80" s="67" t="n"/>
      <c r="G80" s="67" t="n"/>
      <c r="H80" s="67" t="n"/>
      <c r="I80" s="67" t="n"/>
      <c r="J80" s="67" t="n"/>
      <c r="K80" s="43" t="n"/>
      <c r="L80" s="102">
        <f>IF(AND(F80&lt;&gt;"",F80&lt;22),"⚠️ Temp baixa",IF(AND(F80&lt;&gt;"",F80&gt;28),"⚠️ Temp alta",IF(AND(H80&lt;&gt;"",H80&lt;5.5),"⚠️ pH baixo",IF(AND(H80&lt;&gt;"",H80&gt;6.8),"⚠️ pH alto","✅ OK"))))</f>
        <v/>
      </c>
    </row>
    <row r="81" ht="19.5" customHeight="1">
      <c r="B81" s="40" t="inlineStr">
        <is>
          <t>76</t>
        </is>
      </c>
      <c r="C81" s="56">
        <f>'🌱 Configuração'!D6+75</f>
        <v/>
      </c>
      <c r="D81" s="55" t="inlineStr">
        <is>
          <t>Floração</t>
        </is>
      </c>
      <c r="F81" s="77" t="n"/>
      <c r="G81" s="77" t="n"/>
      <c r="H81" s="77" t="n"/>
      <c r="I81" s="77" t="n"/>
      <c r="J81" s="77" t="n"/>
      <c r="K81" s="57" t="n"/>
      <c r="L81" s="104">
        <f>IF(AND(F81&lt;&gt;"",F81&lt;22),"⚠️ Temp baixa",IF(AND(F81&lt;&gt;"",F81&gt;28),"⚠️ Temp alta",IF(AND(H81&lt;&gt;"",H81&lt;5.5),"⚠️ pH baixo",IF(AND(H81&lt;&gt;"",H81&gt;6.8),"⚠️ pH alto","✅ OK"))))</f>
        <v/>
      </c>
    </row>
    <row r="82" ht="19.5" customHeight="1">
      <c r="B82" s="40" t="inlineStr">
        <is>
          <t>77</t>
        </is>
      </c>
      <c r="C82" s="41">
        <f>'🌱 Configuração'!D6+76</f>
        <v/>
      </c>
      <c r="D82" s="55" t="inlineStr">
        <is>
          <t>Floração</t>
        </is>
      </c>
      <c r="F82" s="67" t="n"/>
      <c r="G82" s="67" t="n"/>
      <c r="H82" s="67" t="n"/>
      <c r="I82" s="67" t="n"/>
      <c r="J82" s="67" t="n"/>
      <c r="K82" s="43" t="n"/>
      <c r="L82" s="102">
        <f>IF(AND(F82&lt;&gt;"",F82&lt;22),"⚠️ Temp baixa",IF(AND(F82&lt;&gt;"",F82&gt;28),"⚠️ Temp alta",IF(AND(H82&lt;&gt;"",H82&lt;5.5),"⚠️ pH baixo",IF(AND(H82&lt;&gt;"",H82&gt;6.8),"⚠️ pH alto","✅ OK"))))</f>
        <v/>
      </c>
    </row>
    <row r="83" ht="19.5" customHeight="1">
      <c r="B83" s="40" t="inlineStr">
        <is>
          <t>78</t>
        </is>
      </c>
      <c r="C83" s="56">
        <f>'🌱 Configuração'!D6+77</f>
        <v/>
      </c>
      <c r="D83" s="55" t="inlineStr">
        <is>
          <t>Floração</t>
        </is>
      </c>
      <c r="F83" s="77" t="n"/>
      <c r="G83" s="77" t="n"/>
      <c r="H83" s="77" t="n"/>
      <c r="I83" s="77" t="n"/>
      <c r="J83" s="77" t="n"/>
      <c r="K83" s="57" t="n"/>
      <c r="L83" s="104">
        <f>IF(AND(F83&lt;&gt;"",F83&lt;22),"⚠️ Temp baixa",IF(AND(F83&lt;&gt;"",F83&gt;28),"⚠️ Temp alta",IF(AND(H83&lt;&gt;"",H83&lt;5.5),"⚠️ pH baixo",IF(AND(H83&lt;&gt;"",H83&gt;6.8),"⚠️ pH alto","✅ OK"))))</f>
        <v/>
      </c>
    </row>
    <row r="84" ht="19.5" customHeight="1">
      <c r="B84" s="40" t="inlineStr">
        <is>
          <t>79</t>
        </is>
      </c>
      <c r="C84" s="41">
        <f>'🌱 Configuração'!D6+78</f>
        <v/>
      </c>
      <c r="D84" s="55" t="inlineStr">
        <is>
          <t>Floração</t>
        </is>
      </c>
      <c r="F84" s="67" t="n"/>
      <c r="G84" s="67" t="n"/>
      <c r="H84" s="67" t="n"/>
      <c r="I84" s="67" t="n"/>
      <c r="J84" s="67" t="n"/>
      <c r="K84" s="43" t="n"/>
      <c r="L84" s="102">
        <f>IF(AND(F84&lt;&gt;"",F84&lt;22),"⚠️ Temp baixa",IF(AND(F84&lt;&gt;"",F84&gt;28),"⚠️ Temp alta",IF(AND(H84&lt;&gt;"",H84&lt;5.5),"⚠️ pH baixo",IF(AND(H84&lt;&gt;"",H84&gt;6.8),"⚠️ pH alto","✅ OK"))))</f>
        <v/>
      </c>
    </row>
    <row r="85" ht="19.5" customHeight="1">
      <c r="B85" s="40" t="inlineStr">
        <is>
          <t>80</t>
        </is>
      </c>
      <c r="C85" s="56">
        <f>'🌱 Configuração'!D6+79</f>
        <v/>
      </c>
      <c r="D85" s="55" t="inlineStr">
        <is>
          <t>Floração</t>
        </is>
      </c>
      <c r="F85" s="77" t="n"/>
      <c r="G85" s="77" t="n"/>
      <c r="H85" s="77" t="n"/>
      <c r="I85" s="77" t="n"/>
      <c r="J85" s="77" t="n"/>
      <c r="K85" s="57" t="n"/>
      <c r="L85" s="104">
        <f>IF(AND(F85&lt;&gt;"",F85&lt;22),"⚠️ Temp baixa",IF(AND(F85&lt;&gt;"",F85&gt;28),"⚠️ Temp alta",IF(AND(H85&lt;&gt;"",H85&lt;5.5),"⚠️ pH baixo",IF(AND(H85&lt;&gt;"",H85&gt;6.8),"⚠️ pH alto","✅ OK"))))</f>
        <v/>
      </c>
    </row>
    <row r="86" ht="19.5" customHeight="1">
      <c r="B86" s="40" t="inlineStr">
        <is>
          <t>81</t>
        </is>
      </c>
      <c r="C86" s="41">
        <f>'🌱 Configuração'!D6+80</f>
        <v/>
      </c>
      <c r="D86" s="55" t="inlineStr">
        <is>
          <t>Floração</t>
        </is>
      </c>
      <c r="F86" s="67" t="n"/>
      <c r="G86" s="67" t="n"/>
      <c r="H86" s="67" t="n"/>
      <c r="I86" s="67" t="n"/>
      <c r="J86" s="67" t="n"/>
      <c r="K86" s="43" t="n"/>
      <c r="L86" s="102">
        <f>IF(AND(F86&lt;&gt;"",F86&lt;22),"⚠️ Temp baixa",IF(AND(F86&lt;&gt;"",F86&gt;28),"⚠️ Temp alta",IF(AND(H86&lt;&gt;"",H86&lt;5.5),"⚠️ pH baixo",IF(AND(H86&lt;&gt;"",H86&gt;6.8),"⚠️ pH alto","✅ OK"))))</f>
        <v/>
      </c>
    </row>
    <row r="87" ht="19.5" customHeight="1">
      <c r="B87" s="40" t="inlineStr">
        <is>
          <t>82</t>
        </is>
      </c>
      <c r="C87" s="56">
        <f>'🌱 Configuração'!D6+81</f>
        <v/>
      </c>
      <c r="D87" s="55" t="inlineStr">
        <is>
          <t>Floração</t>
        </is>
      </c>
      <c r="F87" s="77" t="n"/>
      <c r="G87" s="77" t="n"/>
      <c r="H87" s="77" t="n"/>
      <c r="I87" s="77" t="n"/>
      <c r="J87" s="77" t="n"/>
      <c r="K87" s="57" t="n"/>
      <c r="L87" s="104">
        <f>IF(AND(F87&lt;&gt;"",F87&lt;22),"⚠️ Temp baixa",IF(AND(F87&lt;&gt;"",F87&gt;28),"⚠️ Temp alta",IF(AND(H87&lt;&gt;"",H87&lt;5.5),"⚠️ pH baixo",IF(AND(H87&lt;&gt;"",H87&gt;6.8),"⚠️ pH alto","✅ OK"))))</f>
        <v/>
      </c>
    </row>
    <row r="88" ht="19.5" customHeight="1">
      <c r="B88" s="40" t="inlineStr">
        <is>
          <t>83</t>
        </is>
      </c>
      <c r="C88" s="41">
        <f>'🌱 Configuração'!D6+82</f>
        <v/>
      </c>
      <c r="D88" s="55" t="inlineStr">
        <is>
          <t>Floração</t>
        </is>
      </c>
      <c r="F88" s="67" t="n"/>
      <c r="G88" s="67" t="n"/>
      <c r="H88" s="67" t="n"/>
      <c r="I88" s="67" t="n"/>
      <c r="J88" s="67" t="n"/>
      <c r="K88" s="43" t="n"/>
      <c r="L88" s="102">
        <f>IF(AND(F88&lt;&gt;"",F88&lt;22),"⚠️ Temp baixa",IF(AND(F88&lt;&gt;"",F88&gt;28),"⚠️ Temp alta",IF(AND(H88&lt;&gt;"",H88&lt;5.5),"⚠️ pH baixo",IF(AND(H88&lt;&gt;"",H88&gt;6.8),"⚠️ pH alto","✅ OK"))))</f>
        <v/>
      </c>
    </row>
    <row r="89" ht="19.5" customHeight="1">
      <c r="B89" s="40" t="inlineStr">
        <is>
          <t>84</t>
        </is>
      </c>
      <c r="C89" s="56">
        <f>'🌱 Configuração'!D6+83</f>
        <v/>
      </c>
      <c r="D89" s="55" t="inlineStr">
        <is>
          <t>Floração</t>
        </is>
      </c>
      <c r="F89" s="77" t="n"/>
      <c r="G89" s="77" t="n"/>
      <c r="H89" s="77" t="n"/>
      <c r="I89" s="77" t="n"/>
      <c r="J89" s="77" t="n"/>
      <c r="K89" s="57" t="n"/>
      <c r="L89" s="104">
        <f>IF(AND(F89&lt;&gt;"",F89&lt;22),"⚠️ Temp baixa",IF(AND(F89&lt;&gt;"",F89&gt;28),"⚠️ Temp alta",IF(AND(H89&lt;&gt;"",H89&lt;5.5),"⚠️ pH baixo",IF(AND(H89&lt;&gt;"",H89&gt;6.8),"⚠️ pH alto","✅ OK"))))</f>
        <v/>
      </c>
    </row>
    <row r="90" ht="19.5" customHeight="1">
      <c r="B90" s="40" t="inlineStr">
        <is>
          <t>85</t>
        </is>
      </c>
      <c r="C90" s="41">
        <f>'🌱 Configuração'!D6+84</f>
        <v/>
      </c>
      <c r="D90" s="55" t="inlineStr">
        <is>
          <t>Floração</t>
        </is>
      </c>
      <c r="F90" s="67" t="n"/>
      <c r="G90" s="67" t="n"/>
      <c r="H90" s="67" t="n"/>
      <c r="I90" s="67" t="n"/>
      <c r="J90" s="67" t="n"/>
      <c r="K90" s="43" t="n"/>
      <c r="L90" s="102">
        <f>IF(AND(F90&lt;&gt;"",F90&lt;22),"⚠️ Temp baixa",IF(AND(F90&lt;&gt;"",F90&gt;28),"⚠️ Temp alta",IF(AND(H90&lt;&gt;"",H90&lt;5.5),"⚠️ pH baixo",IF(AND(H90&lt;&gt;"",H90&gt;6.8),"⚠️ pH alto","✅ OK"))))</f>
        <v/>
      </c>
    </row>
    <row r="91" ht="19.5" customHeight="1">
      <c r="B91" s="40" t="inlineStr">
        <is>
          <t>86</t>
        </is>
      </c>
      <c r="C91" s="56">
        <f>'🌱 Configuração'!D6+85</f>
        <v/>
      </c>
      <c r="D91" s="55" t="inlineStr">
        <is>
          <t>Floração</t>
        </is>
      </c>
      <c r="F91" s="77" t="n"/>
      <c r="G91" s="77" t="n"/>
      <c r="H91" s="77" t="n"/>
      <c r="I91" s="77" t="n"/>
      <c r="J91" s="77" t="n"/>
      <c r="K91" s="57" t="n"/>
      <c r="L91" s="104">
        <f>IF(AND(F91&lt;&gt;"",F91&lt;22),"⚠️ Temp baixa",IF(AND(F91&lt;&gt;"",F91&gt;28),"⚠️ Temp alta",IF(AND(H91&lt;&gt;"",H91&lt;5.5),"⚠️ pH baixo",IF(AND(H91&lt;&gt;"",H91&gt;6.8),"⚠️ pH alto","✅ OK"))))</f>
        <v/>
      </c>
    </row>
    <row r="92" ht="19.5" customHeight="1">
      <c r="B92" s="40" t="inlineStr">
        <is>
          <t>87</t>
        </is>
      </c>
      <c r="C92" s="41">
        <f>'🌱 Configuração'!D6+86</f>
        <v/>
      </c>
      <c r="D92" s="55" t="inlineStr">
        <is>
          <t>Floração</t>
        </is>
      </c>
      <c r="F92" s="67" t="n"/>
      <c r="G92" s="67" t="n"/>
      <c r="H92" s="67" t="n"/>
      <c r="I92" s="67" t="n"/>
      <c r="J92" s="67" t="n"/>
      <c r="K92" s="43" t="n"/>
      <c r="L92" s="102">
        <f>IF(AND(F92&lt;&gt;"",F92&lt;22),"⚠️ Temp baixa",IF(AND(F92&lt;&gt;"",F92&gt;28),"⚠️ Temp alta",IF(AND(H92&lt;&gt;"",H92&lt;5.5),"⚠️ pH baixo",IF(AND(H92&lt;&gt;"",H92&gt;6.8),"⚠️ pH alto","✅ OK"))))</f>
        <v/>
      </c>
    </row>
    <row r="93" ht="19.5" customHeight="1">
      <c r="B93" s="40" t="inlineStr">
        <is>
          <t>88</t>
        </is>
      </c>
      <c r="C93" s="56">
        <f>'🌱 Configuração'!D6+87</f>
        <v/>
      </c>
      <c r="D93" s="55" t="inlineStr">
        <is>
          <t>Floração</t>
        </is>
      </c>
      <c r="F93" s="77" t="n"/>
      <c r="G93" s="77" t="n"/>
      <c r="H93" s="77" t="n"/>
      <c r="I93" s="77" t="n"/>
      <c r="J93" s="77" t="n"/>
      <c r="K93" s="57" t="n"/>
      <c r="L93" s="104">
        <f>IF(AND(F93&lt;&gt;"",F93&lt;22),"⚠️ Temp baixa",IF(AND(F93&lt;&gt;"",F93&gt;28),"⚠️ Temp alta",IF(AND(H93&lt;&gt;"",H93&lt;5.5),"⚠️ pH baixo",IF(AND(H93&lt;&gt;"",H93&gt;6.8),"⚠️ pH alto","✅ OK"))))</f>
        <v/>
      </c>
    </row>
    <row r="94" ht="19.5" customHeight="1">
      <c r="B94" s="40" t="inlineStr">
        <is>
          <t>89</t>
        </is>
      </c>
      <c r="C94" s="41">
        <f>'🌱 Configuração'!D6+88</f>
        <v/>
      </c>
      <c r="D94" s="55" t="inlineStr">
        <is>
          <t>Floração</t>
        </is>
      </c>
      <c r="F94" s="67" t="n"/>
      <c r="G94" s="67" t="n"/>
      <c r="H94" s="67" t="n"/>
      <c r="I94" s="67" t="n"/>
      <c r="J94" s="67" t="n"/>
      <c r="K94" s="43" t="n"/>
      <c r="L94" s="102">
        <f>IF(AND(F94&lt;&gt;"",F94&lt;22),"⚠️ Temp baixa",IF(AND(F94&lt;&gt;"",F94&gt;28),"⚠️ Temp alta",IF(AND(H94&lt;&gt;"",H94&lt;5.5),"⚠️ pH baixo",IF(AND(H94&lt;&gt;"",H94&gt;6.8),"⚠️ pH alto","✅ OK"))))</f>
        <v/>
      </c>
    </row>
    <row r="95" ht="19.5" customHeight="1">
      <c r="B95" s="40" t="inlineStr">
        <is>
          <t>90</t>
        </is>
      </c>
      <c r="C95" s="56">
        <f>'🌱 Configuração'!D6+89</f>
        <v/>
      </c>
      <c r="D95" s="55" t="inlineStr">
        <is>
          <t>Floração</t>
        </is>
      </c>
      <c r="F95" s="77" t="n"/>
      <c r="G95" s="77" t="n"/>
      <c r="H95" s="77" t="n"/>
      <c r="I95" s="77" t="n"/>
      <c r="J95" s="77" t="n"/>
      <c r="K95" s="57" t="n"/>
      <c r="L95" s="104">
        <f>IF(AND(F95&lt;&gt;"",F95&lt;22),"⚠️ Temp baixa",IF(AND(F95&lt;&gt;"",F95&gt;28),"⚠️ Temp alta",IF(AND(H95&lt;&gt;"",H95&lt;5.5),"⚠️ pH baixo",IF(AND(H95&lt;&gt;"",H95&gt;6.8),"⚠️ pH alto","✅ OK"))))</f>
        <v/>
      </c>
    </row>
    <row r="96" ht="19.5" customHeight="1">
      <c r="B96" s="40" t="inlineStr">
        <is>
          <t>91</t>
        </is>
      </c>
      <c r="C96" s="41">
        <f>'🌱 Configuração'!D6+90</f>
        <v/>
      </c>
      <c r="D96" s="55" t="inlineStr">
        <is>
          <t>Floração</t>
        </is>
      </c>
      <c r="F96" s="67" t="n"/>
      <c r="G96" s="67" t="n"/>
      <c r="H96" s="67" t="n"/>
      <c r="I96" s="67" t="n"/>
      <c r="J96" s="67" t="n"/>
      <c r="K96" s="43" t="n"/>
      <c r="L96" s="102">
        <f>IF(AND(F96&lt;&gt;"",F96&lt;22),"⚠️ Temp baixa",IF(AND(F96&lt;&gt;"",F96&gt;28),"⚠️ Temp alta",IF(AND(H96&lt;&gt;"",H96&lt;5.5),"⚠️ pH baixo",IF(AND(H96&lt;&gt;"",H96&gt;6.8),"⚠️ pH alto","✅ OK"))))</f>
        <v/>
      </c>
    </row>
    <row r="97" ht="19.5" customHeight="1">
      <c r="B97" s="40" t="inlineStr">
        <is>
          <t>92</t>
        </is>
      </c>
      <c r="C97" s="56">
        <f>'🌱 Configuração'!D6+91</f>
        <v/>
      </c>
      <c r="D97" s="55" t="inlineStr">
        <is>
          <t>Floração</t>
        </is>
      </c>
      <c r="F97" s="77" t="n"/>
      <c r="G97" s="77" t="n"/>
      <c r="H97" s="77" t="n"/>
      <c r="I97" s="77" t="n"/>
      <c r="J97" s="77" t="n"/>
      <c r="K97" s="57" t="n"/>
      <c r="L97" s="104">
        <f>IF(AND(F97&lt;&gt;"",F97&lt;22),"⚠️ Temp baixa",IF(AND(F97&lt;&gt;"",F97&gt;28),"⚠️ Temp alta",IF(AND(H97&lt;&gt;"",H97&lt;5.5),"⚠️ pH baixo",IF(AND(H97&lt;&gt;"",H97&gt;6.8),"⚠️ pH alto","✅ OK"))))</f>
        <v/>
      </c>
    </row>
    <row r="98" ht="19.5" customHeight="1">
      <c r="B98" s="40" t="inlineStr">
        <is>
          <t>93</t>
        </is>
      </c>
      <c r="C98" s="41">
        <f>'🌱 Configuração'!D6+92</f>
        <v/>
      </c>
      <c r="D98" s="55" t="inlineStr">
        <is>
          <t>Floração</t>
        </is>
      </c>
      <c r="F98" s="67" t="n"/>
      <c r="G98" s="67" t="n"/>
      <c r="H98" s="67" t="n"/>
      <c r="I98" s="67" t="n"/>
      <c r="J98" s="67" t="n"/>
      <c r="K98" s="43" t="n"/>
      <c r="L98" s="102">
        <f>IF(AND(F98&lt;&gt;"",F98&lt;22),"⚠️ Temp baixa",IF(AND(F98&lt;&gt;"",F98&gt;28),"⚠️ Temp alta",IF(AND(H98&lt;&gt;"",H98&lt;5.5),"⚠️ pH baixo",IF(AND(H98&lt;&gt;"",H98&gt;6.8),"⚠️ pH alto","✅ OK"))))</f>
        <v/>
      </c>
    </row>
    <row r="99" ht="19.5" customHeight="1">
      <c r="B99" s="40" t="inlineStr">
        <is>
          <t>94</t>
        </is>
      </c>
      <c r="C99" s="56">
        <f>'🌱 Configuração'!D6+93</f>
        <v/>
      </c>
      <c r="D99" s="55" t="inlineStr">
        <is>
          <t>Floração</t>
        </is>
      </c>
      <c r="F99" s="77" t="n"/>
      <c r="G99" s="77" t="n"/>
      <c r="H99" s="77" t="n"/>
      <c r="I99" s="77" t="n"/>
      <c r="J99" s="77" t="n"/>
      <c r="K99" s="57" t="n"/>
      <c r="L99" s="104">
        <f>IF(AND(F99&lt;&gt;"",F99&lt;22),"⚠️ Temp baixa",IF(AND(F99&lt;&gt;"",F99&gt;28),"⚠️ Temp alta",IF(AND(H99&lt;&gt;"",H99&lt;5.5),"⚠️ pH baixo",IF(AND(H99&lt;&gt;"",H99&gt;6.8),"⚠️ pH alto","✅ OK"))))</f>
        <v/>
      </c>
    </row>
    <row r="100" ht="19.5" customHeight="1">
      <c r="B100" s="40" t="inlineStr">
        <is>
          <t>95</t>
        </is>
      </c>
      <c r="C100" s="41">
        <f>'🌱 Configuração'!D6+94</f>
        <v/>
      </c>
      <c r="D100" s="55" t="inlineStr">
        <is>
          <t>Floração</t>
        </is>
      </c>
      <c r="F100" s="67" t="n"/>
      <c r="G100" s="67" t="n"/>
      <c r="H100" s="67" t="n"/>
      <c r="I100" s="67" t="n"/>
      <c r="J100" s="67" t="n"/>
      <c r="K100" s="43" t="n"/>
      <c r="L100" s="102">
        <f>IF(AND(F100&lt;&gt;"",F100&lt;22),"⚠️ Temp baixa",IF(AND(F100&lt;&gt;"",F100&gt;28),"⚠️ Temp alta",IF(AND(H100&lt;&gt;"",H100&lt;5.5),"⚠️ pH baixo",IF(AND(H100&lt;&gt;"",H100&gt;6.8),"⚠️ pH alto","✅ OK"))))</f>
        <v/>
      </c>
    </row>
    <row r="101" ht="19.5" customHeight="1">
      <c r="B101" s="40" t="inlineStr">
        <is>
          <t>96</t>
        </is>
      </c>
      <c r="C101" s="56">
        <f>'🌱 Configuração'!D6+95</f>
        <v/>
      </c>
      <c r="D101" s="55" t="inlineStr">
        <is>
          <t>Floração</t>
        </is>
      </c>
      <c r="F101" s="77" t="n"/>
      <c r="G101" s="77" t="n"/>
      <c r="H101" s="77" t="n"/>
      <c r="I101" s="77" t="n"/>
      <c r="J101" s="77" t="n"/>
      <c r="K101" s="57" t="n"/>
      <c r="L101" s="104">
        <f>IF(AND(F101&lt;&gt;"",F101&lt;22),"⚠️ Temp baixa",IF(AND(F101&lt;&gt;"",F101&gt;28),"⚠️ Temp alta",IF(AND(H101&lt;&gt;"",H101&lt;5.5),"⚠️ pH baixo",IF(AND(H101&lt;&gt;"",H101&gt;6.8),"⚠️ pH alto","✅ OK"))))</f>
        <v/>
      </c>
    </row>
    <row r="102" ht="19.5" customHeight="1">
      <c r="B102" s="40" t="inlineStr">
        <is>
          <t>97</t>
        </is>
      </c>
      <c r="C102" s="41">
        <f>'🌱 Configuração'!D6+96</f>
        <v/>
      </c>
      <c r="D102" s="55" t="inlineStr">
        <is>
          <t>Floração</t>
        </is>
      </c>
      <c r="F102" s="67" t="n"/>
      <c r="G102" s="67" t="n"/>
      <c r="H102" s="67" t="n"/>
      <c r="I102" s="67" t="n"/>
      <c r="J102" s="67" t="n"/>
      <c r="K102" s="43" t="n"/>
      <c r="L102" s="102">
        <f>IF(AND(F102&lt;&gt;"",F102&lt;22),"⚠️ Temp baixa",IF(AND(F102&lt;&gt;"",F102&gt;28),"⚠️ Temp alta",IF(AND(H102&lt;&gt;"",H102&lt;5.5),"⚠️ pH baixo",IF(AND(H102&lt;&gt;"",H102&gt;6.8),"⚠️ pH alto","✅ OK"))))</f>
        <v/>
      </c>
    </row>
    <row r="103" ht="19.5" customHeight="1">
      <c r="B103" s="40" t="inlineStr">
        <is>
          <t>98</t>
        </is>
      </c>
      <c r="C103" s="56">
        <f>'🌱 Configuração'!D6+97</f>
        <v/>
      </c>
      <c r="D103" s="55" t="inlineStr">
        <is>
          <t>Floração</t>
        </is>
      </c>
      <c r="F103" s="77" t="n"/>
      <c r="G103" s="77" t="n"/>
      <c r="H103" s="77" t="n"/>
      <c r="I103" s="77" t="n"/>
      <c r="J103" s="77" t="n"/>
      <c r="K103" s="57" t="n"/>
      <c r="L103" s="104">
        <f>IF(AND(F103&lt;&gt;"",F103&lt;22),"⚠️ Temp baixa",IF(AND(F103&lt;&gt;"",F103&gt;28),"⚠️ Temp alta",IF(AND(H103&lt;&gt;"",H103&lt;5.5),"⚠️ pH baixo",IF(AND(H103&lt;&gt;"",H103&gt;6.8),"⚠️ pH alto","✅ OK"))))</f>
        <v/>
      </c>
    </row>
    <row r="104" ht="19.5" customHeight="1">
      <c r="B104" s="40" t="inlineStr">
        <is>
          <t>99</t>
        </is>
      </c>
      <c r="C104" s="41">
        <f>'🌱 Configuração'!D6+98</f>
        <v/>
      </c>
      <c r="D104" s="55" t="inlineStr">
        <is>
          <t>Floração</t>
        </is>
      </c>
      <c r="F104" s="67" t="n"/>
      <c r="G104" s="67" t="n"/>
      <c r="H104" s="67" t="n"/>
      <c r="I104" s="67" t="n"/>
      <c r="J104" s="67" t="n"/>
      <c r="K104" s="43" t="n"/>
      <c r="L104" s="102">
        <f>IF(AND(F104&lt;&gt;"",F104&lt;22),"⚠️ Temp baixa",IF(AND(F104&lt;&gt;"",F104&gt;28),"⚠️ Temp alta",IF(AND(H104&lt;&gt;"",H104&lt;5.5),"⚠️ pH baixo",IF(AND(H104&lt;&gt;"",H104&gt;6.8),"⚠️ pH alto","✅ OK"))))</f>
        <v/>
      </c>
    </row>
    <row r="105" ht="19.5" customHeight="1">
      <c r="B105" s="40" t="inlineStr">
        <is>
          <t>100</t>
        </is>
      </c>
      <c r="C105" s="56">
        <f>'🌱 Configuração'!D6+99</f>
        <v/>
      </c>
      <c r="D105" s="55" t="inlineStr">
        <is>
          <t>Floração</t>
        </is>
      </c>
      <c r="F105" s="77" t="n"/>
      <c r="G105" s="77" t="n"/>
      <c r="H105" s="77" t="n"/>
      <c r="I105" s="77" t="n"/>
      <c r="J105" s="77" t="n"/>
      <c r="K105" s="57" t="n"/>
      <c r="L105" s="104">
        <f>IF(AND(F105&lt;&gt;"",F105&lt;22),"⚠️ Temp baixa",IF(AND(F105&lt;&gt;"",F105&gt;28),"⚠️ Temp alta",IF(AND(H105&lt;&gt;"",H105&lt;5.5),"⚠️ pH baixo",IF(AND(H105&lt;&gt;"",H105&gt;6.8),"⚠️ pH alto","✅ OK"))))</f>
        <v/>
      </c>
    </row>
    <row r="106" ht="19.5" customHeight="1">
      <c r="B106" s="40" t="inlineStr">
        <is>
          <t>101</t>
        </is>
      </c>
      <c r="C106" s="41">
        <f>'🌱 Configuração'!D6+100</f>
        <v/>
      </c>
      <c r="D106" s="55" t="inlineStr">
        <is>
          <t>Floração</t>
        </is>
      </c>
      <c r="F106" s="67" t="n"/>
      <c r="G106" s="67" t="n"/>
      <c r="H106" s="67" t="n"/>
      <c r="I106" s="67" t="n"/>
      <c r="J106" s="67" t="n"/>
      <c r="K106" s="43" t="n"/>
      <c r="L106" s="102">
        <f>IF(AND(F106&lt;&gt;"",F106&lt;22),"⚠️ Temp baixa",IF(AND(F106&lt;&gt;"",F106&gt;28),"⚠️ Temp alta",IF(AND(H106&lt;&gt;"",H106&lt;5.5),"⚠️ pH baixo",IF(AND(H106&lt;&gt;"",H106&gt;6.8),"⚠️ pH alto","✅ OK"))))</f>
        <v/>
      </c>
    </row>
    <row r="107" ht="19.5" customHeight="1">
      <c r="B107" s="40" t="inlineStr">
        <is>
          <t>102</t>
        </is>
      </c>
      <c r="C107" s="56">
        <f>'🌱 Configuração'!D6+101</f>
        <v/>
      </c>
      <c r="D107" s="55" t="inlineStr">
        <is>
          <t>Floração</t>
        </is>
      </c>
      <c r="F107" s="77" t="n"/>
      <c r="G107" s="77" t="n"/>
      <c r="H107" s="77" t="n"/>
      <c r="I107" s="77" t="n"/>
      <c r="J107" s="77" t="n"/>
      <c r="K107" s="57" t="n"/>
      <c r="L107" s="104">
        <f>IF(AND(F107&lt;&gt;"",F107&lt;22),"⚠️ Temp baixa",IF(AND(F107&lt;&gt;"",F107&gt;28),"⚠️ Temp alta",IF(AND(H107&lt;&gt;"",H107&lt;5.5),"⚠️ pH baixo",IF(AND(H107&lt;&gt;"",H107&gt;6.8),"⚠️ pH alto","✅ OK"))))</f>
        <v/>
      </c>
    </row>
    <row r="108" ht="19.5" customHeight="1">
      <c r="B108" s="40" t="inlineStr">
        <is>
          <t>103</t>
        </is>
      </c>
      <c r="C108" s="41">
        <f>'🌱 Configuração'!D6+102</f>
        <v/>
      </c>
      <c r="D108" s="55" t="inlineStr">
        <is>
          <t>Floração</t>
        </is>
      </c>
      <c r="F108" s="67" t="n"/>
      <c r="G108" s="67" t="n"/>
      <c r="H108" s="67" t="n"/>
      <c r="I108" s="67" t="n"/>
      <c r="J108" s="67" t="n"/>
      <c r="K108" s="43" t="n"/>
      <c r="L108" s="102">
        <f>IF(AND(F108&lt;&gt;"",F108&lt;22),"⚠️ Temp baixa",IF(AND(F108&lt;&gt;"",F108&gt;28),"⚠️ Temp alta",IF(AND(H108&lt;&gt;"",H108&lt;5.5),"⚠️ pH baixo",IF(AND(H108&lt;&gt;"",H108&gt;6.8),"⚠️ pH alto","✅ OK"))))</f>
        <v/>
      </c>
    </row>
    <row r="109" ht="19.5" customHeight="1">
      <c r="B109" s="40" t="inlineStr">
        <is>
          <t>104</t>
        </is>
      </c>
      <c r="C109" s="56">
        <f>'🌱 Configuração'!D6+103</f>
        <v/>
      </c>
      <c r="D109" s="55" t="inlineStr">
        <is>
          <t>Floração</t>
        </is>
      </c>
      <c r="F109" s="77" t="n"/>
      <c r="G109" s="77" t="n"/>
      <c r="H109" s="77" t="n"/>
      <c r="I109" s="77" t="n"/>
      <c r="J109" s="77" t="n"/>
      <c r="K109" s="57" t="n"/>
      <c r="L109" s="104">
        <f>IF(AND(F109&lt;&gt;"",F109&lt;22),"⚠️ Temp baixa",IF(AND(F109&lt;&gt;"",F109&gt;28),"⚠️ Temp alta",IF(AND(H109&lt;&gt;"",H109&lt;5.5),"⚠️ pH baixo",IF(AND(H109&lt;&gt;"",H109&gt;6.8),"⚠️ pH alto","✅ OK"))))</f>
        <v/>
      </c>
    </row>
    <row r="110" ht="19.5" customHeight="1">
      <c r="B110" s="40" t="inlineStr">
        <is>
          <t>105</t>
        </is>
      </c>
      <c r="C110" s="41">
        <f>'🌱 Configuração'!D6+104</f>
        <v/>
      </c>
      <c r="D110" s="55" t="inlineStr">
        <is>
          <t>Floração</t>
        </is>
      </c>
      <c r="F110" s="67" t="n"/>
      <c r="G110" s="67" t="n"/>
      <c r="H110" s="67" t="n"/>
      <c r="I110" s="67" t="n"/>
      <c r="J110" s="67" t="n"/>
      <c r="K110" s="43" t="n"/>
      <c r="L110" s="102">
        <f>IF(AND(F110&lt;&gt;"",F110&lt;22),"⚠️ Temp baixa",IF(AND(F110&lt;&gt;"",F110&gt;28),"⚠️ Temp alta",IF(AND(H110&lt;&gt;"",H110&lt;5.5),"⚠️ pH baixo",IF(AND(H110&lt;&gt;"",H110&gt;6.8),"⚠️ pH alto","✅ OK"))))</f>
        <v/>
      </c>
    </row>
    <row r="111" ht="19.5" customHeight="1">
      <c r="B111" s="40" t="inlineStr">
        <is>
          <t>106</t>
        </is>
      </c>
      <c r="C111" s="56">
        <f>'🌱 Configuração'!D6+105</f>
        <v/>
      </c>
      <c r="D111" s="55" t="inlineStr">
        <is>
          <t>Floração</t>
        </is>
      </c>
      <c r="F111" s="77" t="n"/>
      <c r="G111" s="77" t="n"/>
      <c r="H111" s="77" t="n"/>
      <c r="I111" s="77" t="n"/>
      <c r="J111" s="77" t="n"/>
      <c r="K111" s="57" t="n"/>
      <c r="L111" s="104">
        <f>IF(AND(F111&lt;&gt;"",F111&lt;22),"⚠️ Temp baixa",IF(AND(F111&lt;&gt;"",F111&gt;28),"⚠️ Temp alta",IF(AND(H111&lt;&gt;"",H111&lt;5.5),"⚠️ pH baixo",IF(AND(H111&lt;&gt;"",H111&gt;6.8),"⚠️ pH alto","✅ OK"))))</f>
        <v/>
      </c>
    </row>
    <row r="112" ht="19.5" customHeight="1">
      <c r="B112" s="40" t="inlineStr">
        <is>
          <t>107</t>
        </is>
      </c>
      <c r="C112" s="41">
        <f>'🌱 Configuração'!D6+106</f>
        <v/>
      </c>
      <c r="D112" s="55" t="inlineStr">
        <is>
          <t>Floração</t>
        </is>
      </c>
      <c r="F112" s="67" t="n"/>
      <c r="G112" s="67" t="n"/>
      <c r="H112" s="67" t="n"/>
      <c r="I112" s="67" t="n"/>
      <c r="J112" s="67" t="n"/>
      <c r="K112" s="43" t="n"/>
      <c r="L112" s="102">
        <f>IF(AND(F112&lt;&gt;"",F112&lt;22),"⚠️ Temp baixa",IF(AND(F112&lt;&gt;"",F112&gt;28),"⚠️ Temp alta",IF(AND(H112&lt;&gt;"",H112&lt;5.5),"⚠️ pH baixo",IF(AND(H112&lt;&gt;"",H112&gt;6.8),"⚠️ pH alto","✅ OK"))))</f>
        <v/>
      </c>
    </row>
    <row r="113" ht="19.5" customHeight="1">
      <c r="B113" s="40" t="inlineStr">
        <is>
          <t>108</t>
        </is>
      </c>
      <c r="C113" s="56">
        <f>'🌱 Configuração'!D6+107</f>
        <v/>
      </c>
      <c r="D113" s="55" t="inlineStr">
        <is>
          <t>Floração</t>
        </is>
      </c>
      <c r="F113" s="77" t="n"/>
      <c r="G113" s="77" t="n"/>
      <c r="H113" s="77" t="n"/>
      <c r="I113" s="77" t="n"/>
      <c r="J113" s="77" t="n"/>
      <c r="K113" s="57" t="n"/>
      <c r="L113" s="104">
        <f>IF(AND(F113&lt;&gt;"",F113&lt;22),"⚠️ Temp baixa",IF(AND(F113&lt;&gt;"",F113&gt;28),"⚠️ Temp alta",IF(AND(H113&lt;&gt;"",H113&lt;5.5),"⚠️ pH baixo",IF(AND(H113&lt;&gt;"",H113&gt;6.8),"⚠️ pH alto","✅ OK"))))</f>
        <v/>
      </c>
    </row>
    <row r="114" ht="19.5" customHeight="1">
      <c r="B114" s="40" t="inlineStr">
        <is>
          <t>109</t>
        </is>
      </c>
      <c r="C114" s="41">
        <f>'🌱 Configuração'!D6+108</f>
        <v/>
      </c>
      <c r="D114" s="55" t="inlineStr">
        <is>
          <t>Floração</t>
        </is>
      </c>
      <c r="F114" s="67" t="n"/>
      <c r="G114" s="67" t="n"/>
      <c r="H114" s="67" t="n"/>
      <c r="I114" s="67" t="n"/>
      <c r="J114" s="67" t="n"/>
      <c r="K114" s="43" t="n"/>
      <c r="L114" s="102">
        <f>IF(AND(F114&lt;&gt;"",F114&lt;22),"⚠️ Temp baixa",IF(AND(F114&lt;&gt;"",F114&gt;28),"⚠️ Temp alta",IF(AND(H114&lt;&gt;"",H114&lt;5.5),"⚠️ pH baixo",IF(AND(H114&lt;&gt;"",H114&gt;6.8),"⚠️ pH alto","✅ OK"))))</f>
        <v/>
      </c>
    </row>
    <row r="115" ht="19.5" customHeight="1">
      <c r="B115" s="40" t="inlineStr">
        <is>
          <t>110</t>
        </is>
      </c>
      <c r="C115" s="56">
        <f>'🌱 Configuração'!D6+109</f>
        <v/>
      </c>
      <c r="D115" s="55" t="inlineStr">
        <is>
          <t>Floração</t>
        </is>
      </c>
      <c r="F115" s="77" t="n"/>
      <c r="G115" s="77" t="n"/>
      <c r="H115" s="77" t="n"/>
      <c r="I115" s="77" t="n"/>
      <c r="J115" s="77" t="n"/>
      <c r="K115" s="57" t="n"/>
      <c r="L115" s="104">
        <f>IF(AND(F115&lt;&gt;"",F115&lt;22),"⚠️ Temp baixa",IF(AND(F115&lt;&gt;"",F115&gt;28),"⚠️ Temp alta",IF(AND(H115&lt;&gt;"",H115&lt;5.5),"⚠️ pH baixo",IF(AND(H115&lt;&gt;"",H115&gt;6.8),"⚠️ pH alto","✅ OK"))))</f>
        <v/>
      </c>
    </row>
    <row r="116" ht="19.5" customHeight="1">
      <c r="B116" s="40" t="inlineStr">
        <is>
          <t>111</t>
        </is>
      </c>
      <c r="C116" s="41">
        <f>'🌱 Configuração'!D6+110</f>
        <v/>
      </c>
      <c r="D116" s="55" t="inlineStr">
        <is>
          <t>Floração</t>
        </is>
      </c>
      <c r="F116" s="67" t="n"/>
      <c r="G116" s="67" t="n"/>
      <c r="H116" s="67" t="n"/>
      <c r="I116" s="67" t="n"/>
      <c r="J116" s="67" t="n"/>
      <c r="K116" s="43" t="n"/>
      <c r="L116" s="102">
        <f>IF(AND(F116&lt;&gt;"",F116&lt;22),"⚠️ Temp baixa",IF(AND(F116&lt;&gt;"",F116&gt;28),"⚠️ Temp alta",IF(AND(H116&lt;&gt;"",H116&lt;5.5),"⚠️ pH baixo",IF(AND(H116&lt;&gt;"",H116&gt;6.8),"⚠️ pH alto","✅ OK"))))</f>
        <v/>
      </c>
    </row>
    <row r="117" ht="19.5" customHeight="1">
      <c r="B117" s="40" t="inlineStr">
        <is>
          <t>112</t>
        </is>
      </c>
      <c r="C117" s="56">
        <f>'🌱 Configuração'!D6+111</f>
        <v/>
      </c>
      <c r="D117" s="55" t="inlineStr">
        <is>
          <t>Floração</t>
        </is>
      </c>
      <c r="F117" s="77" t="n"/>
      <c r="G117" s="77" t="n"/>
      <c r="H117" s="77" t="n"/>
      <c r="I117" s="77" t="n"/>
      <c r="J117" s="77" t="n"/>
      <c r="K117" s="57" t="n"/>
      <c r="L117" s="104">
        <f>IF(AND(F117&lt;&gt;"",F117&lt;22),"⚠️ Temp baixa",IF(AND(F117&lt;&gt;"",F117&gt;28),"⚠️ Temp alta",IF(AND(H117&lt;&gt;"",H117&lt;5.5),"⚠️ pH baixo",IF(AND(H117&lt;&gt;"",H117&gt;6.8),"⚠️ pH alto","✅ OK"))))</f>
        <v/>
      </c>
    </row>
    <row r="118" ht="19.5" customHeight="1">
      <c r="B118" s="40" t="inlineStr">
        <is>
          <t>113</t>
        </is>
      </c>
      <c r="C118" s="41">
        <f>'🌱 Configuração'!D6+112</f>
        <v/>
      </c>
      <c r="D118" s="55" t="inlineStr">
        <is>
          <t>Floração</t>
        </is>
      </c>
      <c r="F118" s="67" t="n"/>
      <c r="G118" s="67" t="n"/>
      <c r="H118" s="67" t="n"/>
      <c r="I118" s="67" t="n"/>
      <c r="J118" s="67" t="n"/>
      <c r="K118" s="43" t="n"/>
      <c r="L118" s="102">
        <f>IF(AND(F118&lt;&gt;"",F118&lt;22),"⚠️ Temp baixa",IF(AND(F118&lt;&gt;"",F118&gt;28),"⚠️ Temp alta",IF(AND(H118&lt;&gt;"",H118&lt;5.5),"⚠️ pH baixo",IF(AND(H118&lt;&gt;"",H118&gt;6.8),"⚠️ pH alto","✅ OK"))))</f>
        <v/>
      </c>
    </row>
    <row r="119" ht="19.5" customHeight="1">
      <c r="B119" s="40" t="inlineStr">
        <is>
          <t>114</t>
        </is>
      </c>
      <c r="C119" s="56">
        <f>'🌱 Configuração'!D6+113</f>
        <v/>
      </c>
      <c r="D119" s="55" t="inlineStr">
        <is>
          <t>Floração</t>
        </is>
      </c>
      <c r="F119" s="77" t="n"/>
      <c r="G119" s="77" t="n"/>
      <c r="H119" s="77" t="n"/>
      <c r="I119" s="77" t="n"/>
      <c r="J119" s="77" t="n"/>
      <c r="K119" s="57" t="n"/>
      <c r="L119" s="104">
        <f>IF(AND(F119&lt;&gt;"",F119&lt;22),"⚠️ Temp baixa",IF(AND(F119&lt;&gt;"",F119&gt;28),"⚠️ Temp alta",IF(AND(H119&lt;&gt;"",H119&lt;5.5),"⚠️ pH baixo",IF(AND(H119&lt;&gt;"",H119&gt;6.8),"⚠️ pH alto","✅ OK"))))</f>
        <v/>
      </c>
    </row>
    <row r="120" ht="19.5" customHeight="1">
      <c r="B120" s="40" t="inlineStr">
        <is>
          <t>115</t>
        </is>
      </c>
      <c r="C120" s="41">
        <f>'🌱 Configuração'!D6+114</f>
        <v/>
      </c>
      <c r="D120" s="55" t="inlineStr">
        <is>
          <t>Floração</t>
        </is>
      </c>
      <c r="F120" s="67" t="n"/>
      <c r="G120" s="67" t="n"/>
      <c r="H120" s="67" t="n"/>
      <c r="I120" s="67" t="n"/>
      <c r="J120" s="67" t="n"/>
      <c r="K120" s="43" t="n"/>
      <c r="L120" s="102">
        <f>IF(AND(F120&lt;&gt;"",F120&lt;22),"⚠️ Temp baixa",IF(AND(F120&lt;&gt;"",F120&gt;28),"⚠️ Temp alta",IF(AND(H120&lt;&gt;"",H120&lt;5.5),"⚠️ pH baixo",IF(AND(H120&lt;&gt;"",H120&gt;6.8),"⚠️ pH alto","✅ OK"))))</f>
        <v/>
      </c>
    </row>
    <row r="121" ht="19.5" customHeight="1">
      <c r="B121" s="40" t="inlineStr">
        <is>
          <t>116</t>
        </is>
      </c>
      <c r="C121" s="56">
        <f>'🌱 Configuração'!D6+115</f>
        <v/>
      </c>
      <c r="D121" s="55" t="inlineStr">
        <is>
          <t>Floração</t>
        </is>
      </c>
      <c r="F121" s="77" t="n"/>
      <c r="G121" s="77" t="n"/>
      <c r="H121" s="77" t="n"/>
      <c r="I121" s="77" t="n"/>
      <c r="J121" s="77" t="n"/>
      <c r="K121" s="57" t="n"/>
      <c r="L121" s="104">
        <f>IF(AND(F121&lt;&gt;"",F121&lt;22),"⚠️ Temp baixa",IF(AND(F121&lt;&gt;"",F121&gt;28),"⚠️ Temp alta",IF(AND(H121&lt;&gt;"",H121&lt;5.5),"⚠️ pH baixo",IF(AND(H121&lt;&gt;"",H121&gt;6.8),"⚠️ pH alto","✅ OK"))))</f>
        <v/>
      </c>
    </row>
    <row r="122" ht="19.5" customHeight="1">
      <c r="B122" s="40" t="inlineStr">
        <is>
          <t>117</t>
        </is>
      </c>
      <c r="C122" s="41">
        <f>'🌱 Configuração'!D6+116</f>
        <v/>
      </c>
      <c r="D122" s="55" t="inlineStr">
        <is>
          <t>Floração</t>
        </is>
      </c>
      <c r="F122" s="67" t="n"/>
      <c r="G122" s="67" t="n"/>
      <c r="H122" s="67" t="n"/>
      <c r="I122" s="67" t="n"/>
      <c r="J122" s="67" t="n"/>
      <c r="K122" s="43" t="n"/>
      <c r="L122" s="102">
        <f>IF(AND(F122&lt;&gt;"",F122&lt;22),"⚠️ Temp baixa",IF(AND(F122&lt;&gt;"",F122&gt;28),"⚠️ Temp alta",IF(AND(H122&lt;&gt;"",H122&lt;5.5),"⚠️ pH baixo",IF(AND(H122&lt;&gt;"",H122&gt;6.8),"⚠️ pH alto","✅ OK"))))</f>
        <v/>
      </c>
    </row>
    <row r="123" ht="19.5" customHeight="1">
      <c r="B123" s="40" t="inlineStr">
        <is>
          <t>118</t>
        </is>
      </c>
      <c r="C123" s="56">
        <f>'🌱 Configuração'!D6+117</f>
        <v/>
      </c>
      <c r="D123" s="55" t="inlineStr">
        <is>
          <t>Floração</t>
        </is>
      </c>
      <c r="F123" s="77" t="n"/>
      <c r="G123" s="77" t="n"/>
      <c r="H123" s="77" t="n"/>
      <c r="I123" s="77" t="n"/>
      <c r="J123" s="77" t="n"/>
      <c r="K123" s="57" t="n"/>
      <c r="L123" s="104">
        <f>IF(AND(F123&lt;&gt;"",F123&lt;22),"⚠️ Temp baixa",IF(AND(F123&lt;&gt;"",F123&gt;28),"⚠️ Temp alta",IF(AND(H123&lt;&gt;"",H123&lt;5.5),"⚠️ pH baixo",IF(AND(H123&lt;&gt;"",H123&gt;6.8),"⚠️ pH alto","✅ OK"))))</f>
        <v/>
      </c>
    </row>
    <row r="124" ht="19.5" customHeight="1">
      <c r="B124" s="40" t="inlineStr">
        <is>
          <t>119</t>
        </is>
      </c>
      <c r="C124" s="41">
        <f>'🌱 Configuração'!D6+118</f>
        <v/>
      </c>
      <c r="D124" s="55" t="inlineStr">
        <is>
          <t>Floração</t>
        </is>
      </c>
      <c r="F124" s="67" t="n"/>
      <c r="G124" s="67" t="n"/>
      <c r="H124" s="67" t="n"/>
      <c r="I124" s="67" t="n"/>
      <c r="J124" s="67" t="n"/>
      <c r="K124" s="43" t="n"/>
      <c r="L124" s="102">
        <f>IF(AND(F124&lt;&gt;"",F124&lt;22),"⚠️ Temp baixa",IF(AND(F124&lt;&gt;"",F124&gt;28),"⚠️ Temp alta",IF(AND(H124&lt;&gt;"",H124&lt;5.5),"⚠️ pH baixo",IF(AND(H124&lt;&gt;"",H124&gt;6.8),"⚠️ pH alto","✅ OK"))))</f>
        <v/>
      </c>
    </row>
    <row r="125" ht="19.5" customHeight="1">
      <c r="B125" s="40" t="inlineStr">
        <is>
          <t>120</t>
        </is>
      </c>
      <c r="C125" s="60">
        <f>'🌱 Configuração'!D6+119</f>
        <v/>
      </c>
      <c r="D125" s="61" t="inlineStr">
        <is>
          <t>Flush</t>
        </is>
      </c>
      <c r="F125" s="80" t="n"/>
      <c r="G125" s="80" t="n"/>
      <c r="H125" s="80" t="n"/>
      <c r="I125" s="80" t="n"/>
      <c r="J125" s="80" t="n"/>
      <c r="K125" s="62" t="n"/>
      <c r="L125" s="105">
        <f>IF(AND(F125&lt;&gt;"",F125&lt;22),"⚠️ Temp baixa",IF(AND(F125&lt;&gt;"",F125&gt;28),"⚠️ Temp alta",IF(AND(H125&lt;&gt;"",H125&lt;5.5),"⚠️ pH baixo",IF(AND(H125&lt;&gt;"",H125&gt;6.8),"⚠️ pH alto","✅ OK"))))</f>
        <v/>
      </c>
    </row>
    <row r="126" ht="19.5" customHeight="1">
      <c r="B126" s="40" t="inlineStr">
        <is>
          <t>121</t>
        </is>
      </c>
      <c r="C126" s="41">
        <f>'🌱 Configuração'!D6+120</f>
        <v/>
      </c>
      <c r="D126" s="61" t="inlineStr">
        <is>
          <t>Flush</t>
        </is>
      </c>
      <c r="F126" s="67" t="n"/>
      <c r="G126" s="67" t="n"/>
      <c r="H126" s="67" t="n"/>
      <c r="I126" s="67" t="n"/>
      <c r="J126" s="67" t="n"/>
      <c r="K126" s="43" t="n"/>
      <c r="L126" s="102">
        <f>IF(AND(F126&lt;&gt;"",F126&lt;22),"⚠️ Temp baixa",IF(AND(F126&lt;&gt;"",F126&gt;28),"⚠️ Temp alta",IF(AND(H126&lt;&gt;"",H126&lt;5.5),"⚠️ pH baixo",IF(AND(H126&lt;&gt;"",H126&gt;6.8),"⚠️ pH alto","✅ OK"))))</f>
        <v/>
      </c>
    </row>
    <row r="127" ht="19.5" customHeight="1">
      <c r="B127" s="40" t="inlineStr">
        <is>
          <t>122</t>
        </is>
      </c>
      <c r="C127" s="60">
        <f>'🌱 Configuração'!D6+121</f>
        <v/>
      </c>
      <c r="D127" s="61" t="inlineStr">
        <is>
          <t>Flush</t>
        </is>
      </c>
      <c r="F127" s="80" t="n"/>
      <c r="G127" s="80" t="n"/>
      <c r="H127" s="80" t="n"/>
      <c r="I127" s="80" t="n"/>
      <c r="J127" s="80" t="n"/>
      <c r="K127" s="62" t="n"/>
      <c r="L127" s="105">
        <f>IF(AND(F127&lt;&gt;"",F127&lt;22),"⚠️ Temp baixa",IF(AND(F127&lt;&gt;"",F127&gt;28),"⚠️ Temp alta",IF(AND(H127&lt;&gt;"",H127&lt;5.5),"⚠️ pH baixo",IF(AND(H127&lt;&gt;"",H127&gt;6.8),"⚠️ pH alto","✅ OK"))))</f>
        <v/>
      </c>
    </row>
    <row r="128" ht="19.5" customHeight="1">
      <c r="B128" s="40" t="inlineStr">
        <is>
          <t>123</t>
        </is>
      </c>
      <c r="C128" s="41">
        <f>'🌱 Configuração'!D6+122</f>
        <v/>
      </c>
      <c r="D128" s="61" t="inlineStr">
        <is>
          <t>Flush</t>
        </is>
      </c>
      <c r="F128" s="67" t="n"/>
      <c r="G128" s="67" t="n"/>
      <c r="H128" s="67" t="n"/>
      <c r="I128" s="67" t="n"/>
      <c r="J128" s="67" t="n"/>
      <c r="K128" s="43" t="n"/>
      <c r="L128" s="102">
        <f>IF(AND(F128&lt;&gt;"",F128&lt;22),"⚠️ Temp baixa",IF(AND(F128&lt;&gt;"",F128&gt;28),"⚠️ Temp alta",IF(AND(H128&lt;&gt;"",H128&lt;5.5),"⚠️ pH baixo",IF(AND(H128&lt;&gt;"",H128&gt;6.8),"⚠️ pH alto","✅ OK"))))</f>
        <v/>
      </c>
    </row>
    <row r="129" ht="19.5" customHeight="1">
      <c r="B129" s="40" t="inlineStr">
        <is>
          <t>124</t>
        </is>
      </c>
      <c r="C129" s="60">
        <f>'🌱 Configuração'!D6+123</f>
        <v/>
      </c>
      <c r="D129" s="61" t="inlineStr">
        <is>
          <t>Flush</t>
        </is>
      </c>
      <c r="F129" s="80" t="n"/>
      <c r="G129" s="80" t="n"/>
      <c r="H129" s="80" t="n"/>
      <c r="I129" s="80" t="n"/>
      <c r="J129" s="80" t="n"/>
      <c r="K129" s="62" t="n"/>
      <c r="L129" s="105">
        <f>IF(AND(F129&lt;&gt;"",F129&lt;22),"⚠️ Temp baixa",IF(AND(F129&lt;&gt;"",F129&gt;28),"⚠️ Temp alta",IF(AND(H129&lt;&gt;"",H129&lt;5.5),"⚠️ pH baixo",IF(AND(H129&lt;&gt;"",H129&gt;6.8),"⚠️ pH alto","✅ OK"))))</f>
        <v/>
      </c>
    </row>
    <row r="130" ht="19.5" customHeight="1">
      <c r="B130" s="40" t="inlineStr">
        <is>
          <t>125</t>
        </is>
      </c>
      <c r="C130" s="41">
        <f>'🌱 Configuração'!D6+124</f>
        <v/>
      </c>
      <c r="D130" s="61" t="inlineStr">
        <is>
          <t>Flush</t>
        </is>
      </c>
      <c r="F130" s="67" t="n"/>
      <c r="G130" s="67" t="n"/>
      <c r="H130" s="67" t="n"/>
      <c r="I130" s="67" t="n"/>
      <c r="J130" s="67" t="n"/>
      <c r="K130" s="43" t="n"/>
      <c r="L130" s="102">
        <f>IF(AND(F130&lt;&gt;"",F130&lt;22),"⚠️ Temp baixa",IF(AND(F130&lt;&gt;"",F130&gt;28),"⚠️ Temp alta",IF(AND(H130&lt;&gt;"",H130&lt;5.5),"⚠️ pH baixo",IF(AND(H130&lt;&gt;"",H130&gt;6.8),"⚠️ pH alto","✅ OK"))))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166"/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" customWidth="1" min="5" max="5"/>
  </cols>
  <sheetData>
    <row r="1"/>
    <row r="2" ht="45" customHeight="1">
      <c r="B2" s="38" t="inlineStr">
        <is>
          <t>📖  GUIA RÁPIDO — Parâmetros e Referências</t>
        </is>
      </c>
    </row>
    <row r="3"/>
    <row r="4" ht="27.75" customHeight="1">
      <c r="B4" s="11" t="inlineStr">
        <is>
          <t>🌡️ TEMPERATURA</t>
        </is>
      </c>
      <c r="C4" s="12" t="n"/>
      <c r="D4" s="12" t="n"/>
    </row>
    <row r="5" ht="21.75" customHeight="1">
      <c r="B5" s="84" t="inlineStr">
        <is>
          <t>Parâmetro</t>
        </is>
      </c>
      <c r="C5" s="84" t="inlineStr">
        <is>
          <t>Valor / Faixa Ideal</t>
        </is>
      </c>
      <c r="D5" s="14" t="n"/>
    </row>
    <row r="6" ht="19.5" customHeight="1">
      <c r="B6" s="36" t="inlineStr">
        <is>
          <t>Dia (luz acesa)</t>
        </is>
      </c>
      <c r="C6" s="37" t="inlineStr">
        <is>
          <t>22–26°C (ideal 24°C)</t>
        </is>
      </c>
      <c r="D6" s="14" t="n"/>
    </row>
    <row r="7" ht="19.5" customHeight="1">
      <c r="B7" s="106" t="inlineStr">
        <is>
          <t>Noite (luz apagada)</t>
        </is>
      </c>
      <c r="C7" s="107" t="inlineStr">
        <is>
          <t>18–22°C</t>
        </is>
      </c>
      <c r="D7" s="14" t="n"/>
    </row>
    <row r="8" ht="19.5" customHeight="1">
      <c r="B8" s="36" t="inlineStr">
        <is>
          <t>Máximo tolerável</t>
        </is>
      </c>
      <c r="C8" s="37" t="inlineStr">
        <is>
          <t>30°C (acima: estresse)</t>
        </is>
      </c>
      <c r="D8" s="14" t="n"/>
    </row>
    <row r="9" ht="19.5" customHeight="1">
      <c r="B9" s="106" t="inlineStr">
        <is>
          <t>Clone — temperatura</t>
        </is>
      </c>
      <c r="C9" s="107" t="inlineStr">
        <is>
          <t>23–26°C (sem variação)</t>
        </is>
      </c>
      <c r="D9" s="14" t="n"/>
    </row>
    <row r="10"/>
    <row r="11" ht="27.75" customHeight="1">
      <c r="B11" s="11" t="inlineStr">
        <is>
          <t>💧 UMIDADE RELATIVA</t>
        </is>
      </c>
      <c r="C11" s="12" t="n"/>
      <c r="D11" s="12" t="n"/>
    </row>
    <row r="12" ht="21.75" customHeight="1">
      <c r="B12" s="84" t="inlineStr">
        <is>
          <t>Parâmetro</t>
        </is>
      </c>
      <c r="C12" s="84" t="inlineStr">
        <is>
          <t>Valor / Faixa Ideal</t>
        </is>
      </c>
      <c r="D12" s="14" t="n"/>
    </row>
    <row r="13" ht="19.5" customHeight="1">
      <c r="B13" s="36" t="inlineStr">
        <is>
          <t>Clone</t>
        </is>
      </c>
      <c r="C13" s="37" t="inlineStr">
        <is>
          <t>70–80%</t>
        </is>
      </c>
      <c r="D13" s="14" t="n"/>
    </row>
    <row r="14" ht="19.5" customHeight="1">
      <c r="B14" s="106" t="inlineStr">
        <is>
          <t>Vegetativo</t>
        </is>
      </c>
      <c r="C14" s="107" t="inlineStr">
        <is>
          <t>55–70%</t>
        </is>
      </c>
      <c r="D14" s="14" t="n"/>
    </row>
    <row r="15" ht="19.5" customHeight="1">
      <c r="B15" s="36" t="inlineStr">
        <is>
          <t>Floração S1–S4</t>
        </is>
      </c>
      <c r="C15" s="37" t="inlineStr">
        <is>
          <t>40–55%</t>
        </is>
      </c>
      <c r="D15" s="14" t="n"/>
    </row>
    <row r="16" ht="19.5" customHeight="1">
      <c r="B16" s="106" t="inlineStr">
        <is>
          <t>Floração S5+</t>
        </is>
      </c>
      <c r="C16" s="107" t="inlineStr">
        <is>
          <t>35–45% (risco de mofo)</t>
        </is>
      </c>
      <c r="D16" s="14" t="n"/>
    </row>
    <row r="17" ht="19.5" customHeight="1">
      <c r="B17" s="36" t="inlineStr">
        <is>
          <t>Flush / final</t>
        </is>
      </c>
      <c r="C17" s="37" t="inlineStr">
        <is>
          <t>&lt; 40%</t>
        </is>
      </c>
      <c r="D17" s="14" t="n"/>
    </row>
    <row r="18"/>
    <row r="19" ht="27.75" customHeight="1">
      <c r="B19" s="11" t="inlineStr">
        <is>
          <t>⚗️ pH DA ÁGUA</t>
        </is>
      </c>
      <c r="C19" s="12" t="n"/>
      <c r="D19" s="12" t="n"/>
    </row>
    <row r="20" ht="21.75" customHeight="1">
      <c r="B20" s="84" t="inlineStr">
        <is>
          <t>Parâmetro</t>
        </is>
      </c>
      <c r="C20" s="84" t="inlineStr">
        <is>
          <t>Valor / Faixa Ideal</t>
        </is>
      </c>
      <c r="D20" s="14" t="n"/>
    </row>
    <row r="21" ht="19.5" customHeight="1">
      <c r="B21" s="36" t="inlineStr">
        <is>
          <t>Terra / mix orgânico</t>
        </is>
      </c>
      <c r="C21" s="37" t="inlineStr">
        <is>
          <t>6.0–6.8</t>
        </is>
      </c>
      <c r="D21" s="14" t="n"/>
    </row>
    <row r="22" ht="19.5" customHeight="1">
      <c r="B22" s="106" t="inlineStr">
        <is>
          <t>Coco coir</t>
        </is>
      </c>
      <c r="C22" s="107" t="inlineStr">
        <is>
          <t>5.8–6.2</t>
        </is>
      </c>
      <c r="D22" s="14" t="n"/>
    </row>
    <row r="23" ht="19.5" customHeight="1">
      <c r="B23" s="36" t="inlineStr">
        <is>
          <t>Hidroponia</t>
        </is>
      </c>
      <c r="C23" s="37" t="inlineStr">
        <is>
          <t>5.5–6.1</t>
        </is>
      </c>
      <c r="D23" s="14" t="n"/>
    </row>
    <row r="24" ht="19.5" customHeight="1">
      <c r="B24" s="106" t="inlineStr">
        <is>
          <t>Run-off ideal</t>
        </is>
      </c>
      <c r="C24" s="107" t="inlineStr">
        <is>
          <t>± 0.2 do pH de entrada</t>
        </is>
      </c>
      <c r="D24" s="14" t="n"/>
    </row>
    <row r="25"/>
    <row r="26" ht="27.75" customHeight="1">
      <c r="B26" s="11" t="inlineStr">
        <is>
          <t>📊 CONDUTIVIDADE (EC)</t>
        </is>
      </c>
      <c r="C26" s="12" t="n"/>
      <c r="D26" s="12" t="n"/>
    </row>
    <row r="27" ht="21.75" customHeight="1">
      <c r="B27" s="84" t="inlineStr">
        <is>
          <t>Parâmetro</t>
        </is>
      </c>
      <c r="C27" s="84" t="inlineStr">
        <is>
          <t>Valor / Faixa Ideal</t>
        </is>
      </c>
      <c r="D27" s="14" t="n"/>
    </row>
    <row r="28" ht="19.5" customHeight="1">
      <c r="B28" s="36" t="inlineStr">
        <is>
          <t>Clone</t>
        </is>
      </c>
      <c r="C28" s="37" t="inlineStr">
        <is>
          <t>0.0–0.4 mS/cm</t>
        </is>
      </c>
      <c r="D28" s="14" t="n"/>
    </row>
    <row r="29" ht="19.5" customHeight="1">
      <c r="B29" s="106" t="inlineStr">
        <is>
          <t>Vegetativo inicial</t>
        </is>
      </c>
      <c r="C29" s="107" t="inlineStr">
        <is>
          <t>0.8–1.2 mS/cm</t>
        </is>
      </c>
      <c r="D29" s="14" t="n"/>
    </row>
    <row r="30" ht="19.5" customHeight="1">
      <c r="B30" s="36" t="inlineStr">
        <is>
          <t>Vegetativo pleno</t>
        </is>
      </c>
      <c r="C30" s="37" t="inlineStr">
        <is>
          <t>1.2–1.6 mS/cm</t>
        </is>
      </c>
      <c r="D30" s="14" t="n"/>
    </row>
    <row r="31" ht="19.5" customHeight="1">
      <c r="B31" s="106" t="inlineStr">
        <is>
          <t>Floração inicial</t>
        </is>
      </c>
      <c r="C31" s="107" t="inlineStr">
        <is>
          <t>1.4–1.8 mS/cm</t>
        </is>
      </c>
      <c r="D31" s="14" t="n"/>
    </row>
    <row r="32" ht="19.5" customHeight="1">
      <c r="B32" s="36" t="inlineStr">
        <is>
          <t>Floração pico</t>
        </is>
      </c>
      <c r="C32" s="37" t="inlineStr">
        <is>
          <t>1.8–2.2 mS/cm</t>
        </is>
      </c>
      <c r="D32" s="14" t="n"/>
    </row>
    <row r="33" ht="19.5" customHeight="1">
      <c r="B33" s="106" t="inlineStr">
        <is>
          <t>Flush</t>
        </is>
      </c>
      <c r="C33" s="107" t="inlineStr">
        <is>
          <t>&lt; 0.3 mS/cm</t>
        </is>
      </c>
      <c r="D33" s="14" t="n"/>
    </row>
    <row r="34"/>
    <row r="35" ht="27.75" customHeight="1">
      <c r="B35" s="11" t="inlineStr">
        <is>
          <t>🔬 ANÁLISE DE TRICOMAS</t>
        </is>
      </c>
      <c r="C35" s="12" t="n"/>
      <c r="D35" s="12" t="n"/>
    </row>
    <row r="36" ht="21.75" customHeight="1">
      <c r="B36" s="84" t="inlineStr">
        <is>
          <t>Parâmetro</t>
        </is>
      </c>
      <c r="C36" s="84" t="inlineStr">
        <is>
          <t>Valor / Faixa Ideal</t>
        </is>
      </c>
      <c r="D36" s="14" t="n"/>
    </row>
    <row r="37" ht="19.5" customHeight="1">
      <c r="B37" s="36" t="inlineStr">
        <is>
          <t>Transparentes</t>
        </is>
      </c>
      <c r="C37" s="37" t="inlineStr">
        <is>
          <t>Imaturos — não colher</t>
        </is>
      </c>
      <c r="D37" s="14" t="n"/>
    </row>
    <row r="38" ht="19.5" customHeight="1">
      <c r="B38" s="106" t="inlineStr">
        <is>
          <t>Leitosos / opacos</t>
        </is>
      </c>
      <c r="C38" s="107" t="inlineStr">
        <is>
          <t>Efeito mais cerebral/alto</t>
        </is>
      </c>
      <c r="D38" s="14" t="n"/>
    </row>
    <row r="39" ht="19.5" customHeight="1">
      <c r="B39" s="36" t="inlineStr">
        <is>
          <t>Âmbar 10–20%</t>
        </is>
      </c>
      <c r="C39" s="37" t="inlineStr">
        <is>
          <t>Efeito equilibrado (ideal médico)</t>
        </is>
      </c>
      <c r="D39" s="14" t="n"/>
    </row>
    <row r="40" ht="19.5" customHeight="1">
      <c r="B40" s="106" t="inlineStr">
        <is>
          <t>Âmbar 30–50%</t>
        </is>
      </c>
      <c r="C40" s="107" t="inlineStr">
        <is>
          <t>Efeito mais sedativo/corporal</t>
        </is>
      </c>
      <c r="D40" s="14" t="n"/>
    </row>
    <row r="41" ht="19.5" customHeight="1">
      <c r="B41" s="36" t="inlineStr">
        <is>
          <t>Âmbar &gt; 50%</t>
        </is>
      </c>
      <c r="C41" s="37" t="inlineStr">
        <is>
          <t>Degradação de THC → CBN</t>
        </is>
      </c>
      <c r="D41" s="14" t="n"/>
    </row>
    <row r="42"/>
    <row r="43" ht="27.75" customHeight="1">
      <c r="B43" s="11" t="inlineStr">
        <is>
          <t>💡 FOTOPERÍODO</t>
        </is>
      </c>
      <c r="C43" s="12" t="n"/>
      <c r="D43" s="12" t="n"/>
    </row>
    <row r="44" ht="21.75" customHeight="1">
      <c r="B44" s="84" t="inlineStr">
        <is>
          <t>Parâmetro</t>
        </is>
      </c>
      <c r="C44" s="84" t="inlineStr">
        <is>
          <t>Valor / Faixa Ideal</t>
        </is>
      </c>
      <c r="D44" s="14" t="n"/>
    </row>
    <row r="45" ht="19.5" customHeight="1">
      <c r="B45" s="36" t="inlineStr">
        <is>
          <t>Propagação/Clone</t>
        </is>
      </c>
      <c r="C45" s="37" t="inlineStr">
        <is>
          <t>18h luz / 6h escuro (ou 24h)</t>
        </is>
      </c>
      <c r="D45" s="14" t="n"/>
    </row>
    <row r="46" ht="19.5" customHeight="1">
      <c r="B46" s="106" t="inlineStr">
        <is>
          <t>Vegetativo</t>
        </is>
      </c>
      <c r="C46" s="107" t="inlineStr">
        <is>
          <t>18h luz / 6h escuro</t>
        </is>
      </c>
      <c r="D46" s="14" t="n"/>
    </row>
    <row r="47" ht="19.5" customHeight="1">
      <c r="B47" s="36" t="inlineStr">
        <is>
          <t>Indução de floração</t>
        </is>
      </c>
      <c r="C47" s="37" t="inlineStr">
        <is>
          <t>12h luz / 12h escuro</t>
        </is>
      </c>
      <c r="D47" s="14" t="n"/>
    </row>
    <row r="48" ht="19.5" customHeight="1">
      <c r="B48" s="106" t="inlineStr">
        <is>
          <t>Oscilação tolerável</t>
        </is>
      </c>
      <c r="C48" s="107" t="inlineStr">
        <is>
          <t>Máx ±15 min por dia</t>
        </is>
      </c>
      <c r="D48" s="14" t="n"/>
    </row>
  </sheetData>
  <mergeCells count="41">
    <mergeCell ref="B11:D11"/>
    <mergeCell ref="C6:D6"/>
    <mergeCell ref="C24:D24"/>
    <mergeCell ref="C30:D30"/>
    <mergeCell ref="C15:D15"/>
    <mergeCell ref="C33:D33"/>
    <mergeCell ref="C5:D5"/>
    <mergeCell ref="C14:D14"/>
    <mergeCell ref="C45:D45"/>
    <mergeCell ref="C20:D20"/>
    <mergeCell ref="B19:D19"/>
    <mergeCell ref="C29:D29"/>
    <mergeCell ref="C47:D47"/>
    <mergeCell ref="C16:D16"/>
    <mergeCell ref="C41:D41"/>
    <mergeCell ref="C44:D44"/>
    <mergeCell ref="C22:D22"/>
    <mergeCell ref="C40:D40"/>
    <mergeCell ref="C9:D9"/>
    <mergeCell ref="C31:D31"/>
    <mergeCell ref="C12:D12"/>
    <mergeCell ref="C46:D46"/>
    <mergeCell ref="C21:D21"/>
    <mergeCell ref="C27:D27"/>
    <mergeCell ref="B4:D4"/>
    <mergeCell ref="B35:D35"/>
    <mergeCell ref="B26:D26"/>
    <mergeCell ref="C36:D36"/>
    <mergeCell ref="C48:D48"/>
    <mergeCell ref="C23:D23"/>
    <mergeCell ref="C17:D17"/>
    <mergeCell ref="C39:D39"/>
    <mergeCell ref="C8:D8"/>
    <mergeCell ref="C32:D32"/>
    <mergeCell ref="C7:D7"/>
    <mergeCell ref="C38:D38"/>
    <mergeCell ref="C37:D37"/>
    <mergeCell ref="C28:D28"/>
    <mergeCell ref="C13:D13"/>
    <mergeCell ref="B43:D4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2026-03-25T16:54:17Z</dcterms:created>
  <dcterms:modified xmlns:dcterms="http://purl.org/dc/terms/" xmlns:xsi="http://www.w3.org/2001/XMLSchema-instance" xsi:type="dcterms:W3CDTF">2026-03-25T16:54:19Z</dcterms:modified>
</cp:coreProperties>
</file>