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🌱 Configuração" sheetId="1" state="visible" r:id="rId3"/>
    <sheet name="📅 Cronograma" sheetId="2" state="visible" r:id="rId4"/>
    <sheet name="💊 Adubação" sheetId="3" state="visible" r:id="rId5"/>
    <sheet name="🐛 MIP — Pragas" sheetId="4" state="visible" r:id="rId6"/>
    <sheet name="📊 Diário" sheetId="5" state="visible" r:id="rId7"/>
    <sheet name="📖 Guia Rápi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<sst xmlns="http://schemas.openxmlformats.org/spreadsheetml/2006/main" count="1294" uniqueCount="547">
  <si>
    <t xml:space="preserve">🌿  PLANILHA MESTRA DE CULTIVO  —  Cannabis Medicinal Indoor</t>
  </si>
  <si>
    <t xml:space="preserve">Configure o Dia 1 do Clone abaixo. Todas as datas e recomendações serão calculadas automaticamente.</t>
  </si>
  <si>
    <t xml:space="preserve">⚙️  CONFIGURAÇÕES DO CULTIVO</t>
  </si>
  <si>
    <t xml:space="preserve">📅 Data Dia 1 (Clone)</t>
  </si>
  <si>
    <t xml:space="preserve">⏱️ Duração Clone (dias)</t>
  </si>
  <si>
    <t xml:space="preserve">14</t>
  </si>
  <si>
    <t xml:space="preserve">🌿 Strain / Cultivar</t>
  </si>
  <si>
    <t xml:space="preserve">⏱️ Duração Vega (dias)</t>
  </si>
  <si>
    <t xml:space="preserve">42</t>
  </si>
  <si>
    <t xml:space="preserve">💡 Ambiente</t>
  </si>
  <si>
    <t xml:space="preserve">Indoor LED</t>
  </si>
  <si>
    <t xml:space="preserve">⏱️ Duração Flora (dias)</t>
  </si>
  <si>
    <t xml:space="preserve">63</t>
  </si>
  <si>
    <t xml:space="preserve">📐 Área (m²)</t>
  </si>
  <si>
    <t xml:space="preserve">1.2</t>
  </si>
  <si>
    <t xml:space="preserve">⏱️ Flush (dias)</t>
  </si>
  <si>
    <t xml:space="preserve">7</t>
  </si>
  <si>
    <t xml:space="preserve">🔆 Luz na Vega (h)</t>
  </si>
  <si>
    <t xml:space="preserve">18</t>
  </si>
  <si>
    <t xml:space="preserve">⏱️ TOTAL CULTIVO (dias)</t>
  </si>
  <si>
    <t xml:space="preserve">🔆 Luz na Flora (h)</t>
  </si>
  <si>
    <t xml:space="preserve">12</t>
  </si>
  <si>
    <t xml:space="preserve">🪴 Nº de Plantas</t>
  </si>
  <si>
    <t xml:space="preserve">4</t>
  </si>
  <si>
    <t xml:space="preserve">🌡️ Temperatura (°C)</t>
  </si>
  <si>
    <t xml:space="preserve">24</t>
  </si>
  <si>
    <t xml:space="preserve">💧 Umidade Vega (%)</t>
  </si>
  <si>
    <t xml:space="preserve">65</t>
  </si>
  <si>
    <t xml:space="preserve">💧 Umidade Flora (%)</t>
  </si>
  <si>
    <t xml:space="preserve">50</t>
  </si>
  <si>
    <t xml:space="preserve">📆  CALENDÁRIO DE FASES  (calculado automaticamente)</t>
  </si>
  <si>
    <t xml:space="preserve">Fase</t>
  </si>
  <si>
    <t xml:space="preserve">Início</t>
  </si>
  <si>
    <t xml:space="preserve">Fim</t>
  </si>
  <si>
    <t xml:space="preserve">Duração</t>
  </si>
  <si>
    <t xml:space="preserve">🌱 CLONE</t>
  </si>
  <si>
    <t xml:space="preserve">🌿 VEGETATIVO</t>
  </si>
  <si>
    <t xml:space="preserve">🌸 FLORAÇÃO</t>
  </si>
  <si>
    <t xml:space="preserve">🚿 FLUSH</t>
  </si>
  <si>
    <t xml:space="preserve">✂️ COLHEITA</t>
  </si>
  <si>
    <t xml:space="preserve">"Dia da colheita"</t>
  </si>
  <si>
    <t xml:space="preserve">📌  LEGENDA E INSTRUÇÕES</t>
  </si>
  <si>
    <t xml:space="preserve">🟡 Célula amarela</t>
  </si>
  <si>
    <t xml:space="preserve">Campo de entrada — preencha com os dados do seu cultivo</t>
  </si>
  <si>
    <t xml:space="preserve">🟢 Verde</t>
  </si>
  <si>
    <t xml:space="preserve">Fase Clone / início do ciclo</t>
  </si>
  <si>
    <t xml:space="preserve">🔵 Azul</t>
  </si>
  <si>
    <t xml:space="preserve">Fase Vegetativa</t>
  </si>
  <si>
    <t xml:space="preserve">🟣 Roxo</t>
  </si>
  <si>
    <t xml:space="preserve">Fase de Floração</t>
  </si>
  <si>
    <t xml:space="preserve">🔴 Vermelho</t>
  </si>
  <si>
    <t xml:space="preserve">Flush (lavagem do substrato)</t>
  </si>
  <si>
    <t xml:space="preserve">📋 Aba Cronograma</t>
  </si>
  <si>
    <t xml:space="preserve">Calendário diário completo — gerado após preencher a Data Dia 1</t>
  </si>
  <si>
    <t xml:space="preserve">💊 Aba Adubação</t>
  </si>
  <si>
    <t xml:space="preserve">Protocolo de nutrição por fase com doses e produtos</t>
  </si>
  <si>
    <t xml:space="preserve">🐛 Aba Pragas (MIP)</t>
  </si>
  <si>
    <t xml:space="preserve">Calendário de controle integrado de pragas preventivo</t>
  </si>
  <si>
    <t xml:space="preserve">📊 Aba Diário</t>
  </si>
  <si>
    <t xml:space="preserve">Registro diário de parâmetros — temperatura, pH, CE, observações</t>
  </si>
  <si>
    <t xml:space="preserve">📅  CRONOGRAMA COMPLETO DO CULTIVO</t>
  </si>
  <si>
    <t xml:space="preserve">Todas as datas são calculadas automaticamente a partir do Dia 1 configurado na aba Configuração</t>
  </si>
  <si>
    <t xml:space="preserve">Dia</t>
  </si>
  <si>
    <t xml:space="preserve">Data</t>
  </si>
  <si>
    <t xml:space="preserve">Semana</t>
  </si>
  <si>
    <t xml:space="preserve">Adubação</t>
  </si>
  <si>
    <t xml:space="preserve">MIP / Pragas</t>
  </si>
  <si>
    <t xml:space="preserve">Ação Principal</t>
  </si>
  <si>
    <t xml:space="preserve">Observação / Alerta</t>
  </si>
  <si>
    <t xml:space="preserve">1</t>
  </si>
  <si>
    <t xml:space="preserve">Clone</t>
  </si>
  <si>
    <t xml:space="preserve">Clone S1</t>
  </si>
  <si>
    <t xml:space="preserve">✂️ Receber clone — verificar raízes</t>
  </si>
  <si>
    <t xml:space="preserve">2</t>
  </si>
  <si>
    <t xml:space="preserve">🐛 MIP: Nim (2mL/L) — preventivo foliar</t>
  </si>
  <si>
    <t xml:space="preserve">3</t>
  </si>
  <si>
    <t xml:space="preserve">🌱 Enraizador (0.5 mL/L)</t>
  </si>
  <si>
    <t xml:space="preserve">💧 1ª rega com enraizador</t>
  </si>
  <si>
    <t xml:space="preserve">5</t>
  </si>
  <si>
    <t xml:space="preserve">6</t>
  </si>
  <si>
    <t xml:space="preserve">🔍 Verificar pegamento do clone</t>
  </si>
  <si>
    <t xml:space="preserve">⚠️ pH ideal: 5.8–6.2 (coco/hidro) | 6.0–6.8 (terra)</t>
  </si>
  <si>
    <t xml:space="preserve">8</t>
  </si>
  <si>
    <t xml:space="preserve">Clone S2</t>
  </si>
  <si>
    <t xml:space="preserve">9</t>
  </si>
  <si>
    <t xml:space="preserve">🐛 MIP: Beauveria bassiana — preventivo</t>
  </si>
  <si>
    <t xml:space="preserve">10</t>
  </si>
  <si>
    <t xml:space="preserve">11</t>
  </si>
  <si>
    <t xml:space="preserve">🌱 Enraizador + Vitamina B1</t>
  </si>
  <si>
    <t xml:space="preserve">13</t>
  </si>
  <si>
    <t xml:space="preserve">🐛 MIP: Nim (2mL/L) — fim clone</t>
  </si>
  <si>
    <t xml:space="preserve">📐 Medir crescimento — avaliar vega</t>
  </si>
  <si>
    <t xml:space="preserve">⚠️ Clone deve ter raízes visíveis</t>
  </si>
  <si>
    <t xml:space="preserve">15</t>
  </si>
  <si>
    <t xml:space="preserve">Vegetativo</t>
  </si>
  <si>
    <t xml:space="preserve">Vega S1</t>
  </si>
  <si>
    <t xml:space="preserve">🔆 Iniciar Vega — aumentar espaço</t>
  </si>
  <si>
    <t xml:space="preserve">16</t>
  </si>
  <si>
    <t xml:space="preserve">🌿 Grow A+B — Início Vega (EC 0.8)</t>
  </si>
  <si>
    <t xml:space="preserve">🌿 1ª adubação completa</t>
  </si>
  <si>
    <t xml:space="preserve">17</t>
  </si>
  <si>
    <t xml:space="preserve">19</t>
  </si>
  <si>
    <t xml:space="preserve">20</t>
  </si>
  <si>
    <t xml:space="preserve">21</t>
  </si>
  <si>
    <t xml:space="preserve">🌿 Grow A+B — EC 1.0</t>
  </si>
  <si>
    <t xml:space="preserve">🐛 MIP: Beauveria bassiana</t>
  </si>
  <si>
    <t xml:space="preserve">✂️ LST ou Topping (opcional)</t>
  </si>
  <si>
    <t xml:space="preserve">⚠️ Monitorar pH e CE da solução</t>
  </si>
  <si>
    <t xml:space="preserve">22</t>
  </si>
  <si>
    <t xml:space="preserve">Vega S2</t>
  </si>
  <si>
    <t xml:space="preserve">23</t>
  </si>
  <si>
    <t xml:space="preserve">25</t>
  </si>
  <si>
    <t xml:space="preserve">🌿 Grow A+B + CalMag (EC 1.2)</t>
  </si>
  <si>
    <t xml:space="preserve">26</t>
  </si>
  <si>
    <t xml:space="preserve">27</t>
  </si>
  <si>
    <t xml:space="preserve">28</t>
  </si>
  <si>
    <t xml:space="preserve">🌿 Grow A+B + CalMag (EC 1.4)</t>
  </si>
  <si>
    <t xml:space="preserve">🐛 MIP: Nim (2mL/L) foliar</t>
  </si>
  <si>
    <t xml:space="preserve">📏 Avaliar altura e estrutura</t>
  </si>
  <si>
    <t xml:space="preserve">29</t>
  </si>
  <si>
    <t xml:space="preserve">Vega S3</t>
  </si>
  <si>
    <t xml:space="preserve">30</t>
  </si>
  <si>
    <t xml:space="preserve">31</t>
  </si>
  <si>
    <t xml:space="preserve">32</t>
  </si>
  <si>
    <t xml:space="preserve">🌿 Grow A+B + Enzimas</t>
  </si>
  <si>
    <t xml:space="preserve">33</t>
  </si>
  <si>
    <t xml:space="preserve">34</t>
  </si>
  <si>
    <t xml:space="preserve">35</t>
  </si>
  <si>
    <t xml:space="preserve">🌿 Grow A+B + Biorrizas</t>
  </si>
  <si>
    <t xml:space="preserve">🐛 MIP: Trichoderma — solo</t>
  </si>
  <si>
    <t xml:space="preserve">✂️ Lollipopping se necessário</t>
  </si>
  <si>
    <t xml:space="preserve">⚠️ Verificar sinais de deficiência</t>
  </si>
  <si>
    <t xml:space="preserve">36</t>
  </si>
  <si>
    <t xml:space="preserve">Vega S4</t>
  </si>
  <si>
    <t xml:space="preserve">37</t>
  </si>
  <si>
    <t xml:space="preserve">38</t>
  </si>
  <si>
    <t xml:space="preserve">🌿 Grow A+B + CalMag (EC 1.5)</t>
  </si>
  <si>
    <t xml:space="preserve">39</t>
  </si>
  <si>
    <t xml:space="preserve">40</t>
  </si>
  <si>
    <t xml:space="preserve">41</t>
  </si>
  <si>
    <t xml:space="preserve">🌿 Transição → Bloom (EC 1.4)</t>
  </si>
  <si>
    <t xml:space="preserve">🐛 MIP: Nim (2mL/L) — última foliar antes flora</t>
  </si>
  <si>
    <t xml:space="preserve">⏰ Preparar transição para flora</t>
  </si>
  <si>
    <t xml:space="preserve">⚠️ Última semana de luz 18h</t>
  </si>
  <si>
    <t xml:space="preserve">43</t>
  </si>
  <si>
    <t xml:space="preserve">Vega S5</t>
  </si>
  <si>
    <t xml:space="preserve">🌸 INICIAR FLORAÇÃO — mudar fotoperíodo 12/12</t>
  </si>
  <si>
    <t xml:space="preserve">🔴 MUDANÇA: 12h luz / 12h escuro</t>
  </si>
  <si>
    <t xml:space="preserve">44</t>
  </si>
  <si>
    <t xml:space="preserve">45</t>
  </si>
  <si>
    <t xml:space="preserve">🌿 Bloom A+B — Transição</t>
  </si>
  <si>
    <t xml:space="preserve">46</t>
  </si>
  <si>
    <t xml:space="preserve">47</t>
  </si>
  <si>
    <t xml:space="preserve">48</t>
  </si>
  <si>
    <t xml:space="preserve">49</t>
  </si>
  <si>
    <t xml:space="preserve">Vega S6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</si>
  <si>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</si>
  <si>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</si>
  <si>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</si>
  <si>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</si>
  <si>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</si>
  <si>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</si>
  <si>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🐛 MIP: Nim solo (cascas) — NÃO foliar em flora</t>
  </si>
  <si>
    <t xml:space="preserve">57</t>
  </si>
  <si>
    <t xml:space="preserve">Floração</t>
  </si>
  <si>
    <t xml:space="preserve">Flora S1</t>
  </si>
  <si>
    <t xml:space="preserve">🔍 Verificar formação de pistils</t>
  </si>
  <si>
    <t xml:space="preserve">⚠️ Sem foliar após início flora</t>
  </si>
  <si>
    <t xml:space="preserve">58</t>
  </si>
  <si>
    <t xml:space="preserve">🌸 Bloom A+B (EC 1.6)</t>
  </si>
  <si>
    <t xml:space="preserve">59</t>
  </si>
  <si>
    <t xml:space="preserve">60</t>
  </si>
  <si>
    <t xml:space="preserve">61</t>
  </si>
  <si>
    <t xml:space="preserve">62</t>
  </si>
  <si>
    <t xml:space="preserve">🌸 Bloom + PK 13/14 início</t>
  </si>
  <si>
    <t xml:space="preserve">🐛 MIP: Trichoderma solo</t>
  </si>
  <si>
    <t xml:space="preserve">📷 Foto semanal — registro</t>
  </si>
  <si>
    <t xml:space="preserve">64</t>
  </si>
  <si>
    <t xml:space="preserve">Flora S2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</si>
  <si>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</si>
  <si>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</si>
  <si>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</si>
  <si>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</si>
  <si>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</si>
  <si>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🌸 Bloom + PK 13/14 + CalMag</t>
  </si>
  <si>
    <t xml:space="preserve">🐛 MIP: Beauveria bassiana solo</t>
  </si>
  <si>
    <t xml:space="preserve">🔬 Início enchimento de buds</t>
  </si>
  <si>
    <t xml:space="preserve">⚠️ Monitorar umidade — risco de mofo</t>
  </si>
  <si>
    <t xml:space="preserve">71</t>
  </si>
  <si>
    <t xml:space="preserve">Flora S3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</si>
  <si>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</si>
  <si>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</si>
  <si>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</si>
  <si>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</si>
  <si>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</si>
  <si>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</si>
  <si>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🌸 Bloom + Boost Floral (EC 1.8)</t>
  </si>
  <si>
    <t xml:space="preserve">💪 Pico de enchimento — aumentar P e K</t>
  </si>
  <si>
    <t xml:space="preserve">78</t>
  </si>
  <si>
    <t xml:space="preserve">Flora S4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</si>
  <si>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</si>
  <si>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</si>
  <si>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</si>
  <si>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</si>
  <si>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</si>
  <si>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</si>
  <si>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🌸 Bloom + Boost + Amino (EC 2.0)</t>
  </si>
  <si>
    <t xml:space="preserve">🔬 Analisar tricomas (lupa)</t>
  </si>
  <si>
    <t xml:space="preserve">⚠️ Manter umidade &lt; 45% na flora final</t>
  </si>
  <si>
    <t xml:space="preserve">85</t>
  </si>
  <si>
    <t xml:space="preserve">Flora S5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</si>
  <si>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</si>
  <si>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</si>
  <si>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</si>
  <si>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</si>
  <si>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</si>
  <si>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</si>
  <si>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🌸 Bloom + Enzimas + Amino</t>
  </si>
  <si>
    <t xml:space="preserve">🐛 MIP: Verificar pragas — sem aplicação química</t>
  </si>
  <si>
    <t xml:space="preserve">🔬 Analisar tricomas — maioria leitosos?</t>
  </si>
  <si>
    <t xml:space="preserve">🔬 Tricomas: leitosos = quase pronto</t>
  </si>
  <si>
    <t xml:space="preserve">92</t>
  </si>
  <si>
    <t xml:space="preserve">Flora S6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</si>
  <si>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</si>
  <si>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</si>
  <si>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</si>
  <si>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</si>
  <si>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</si>
  <si>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</si>
  <si>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🌸 Reduir N — Bloom puro (EC 1.6)</t>
  </si>
  <si>
    <t xml:space="preserve">⚠️ Reduzir N — fase final</t>
  </si>
  <si>
    <t xml:space="preserve">99</t>
  </si>
  <si>
    <t xml:space="preserve">Flora S7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</si>
  <si>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</si>
  <si>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</si>
  <si>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</si>
  <si>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</si>
  <si>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</si>
  <si>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</si>
  <si>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🌸 Bloom puro (EC 1.4) — pré-flush</t>
  </si>
  <si>
    <t xml:space="preserve">🚿 Preparar para flush</t>
  </si>
  <si>
    <t xml:space="preserve">⚠️ Parar toda nutrição — somente água</t>
  </si>
  <si>
    <t xml:space="preserve">106</t>
  </si>
  <si>
    <t xml:space="preserve">Flora S8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</si>
  <si>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</si>
  <si>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</si>
  <si>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</si>
  <si>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</si>
  <si>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</si>
  <si>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</si>
  <si>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🚿 Água pura + Enzimas (EC &lt; 0.3)</t>
  </si>
  <si>
    <t xml:space="preserve">🚿 INICIAR FLUSH</t>
  </si>
  <si>
    <t xml:space="preserve">113</t>
  </si>
  <si>
    <t xml:space="preserve">Flora S9</t>
  </si>
  <si>
    <t xml:space="preserve">114</t>
  </si>
  <si>
    <t xml:space="preserve">115</t>
  </si>
  <si>
    <t xml:space="preserve">116</t>
  </si>
  <si>
    <t xml:space="preserve">🚿 Água pura (EC &lt; 0.2)</t>
  </si>
  <si>
    <t xml:space="preserve">117</t>
  </si>
  <si>
    <t xml:space="preserve">118</t>
  </si>
  <si>
    <t xml:space="preserve">119</t>
  </si>
  <si>
    <t xml:space="preserve">🚿 Água pura — análise tricomas</t>
  </si>
  <si>
    <t xml:space="preserve">🔬 Tricomas âmbar 20-30%? Quase pronto!</t>
  </si>
  <si>
    <t xml:space="preserve">🔬 Âmbar 10-30% = colher conforme efeito desejado</t>
  </si>
  <si>
    <t xml:space="preserve">120</t>
  </si>
  <si>
    <t xml:space="preserve">Flush</t>
  </si>
  <si>
    <t xml:space="preserve">Flush S1</t>
  </si>
  <si>
    <t xml:space="preserve">121</t>
  </si>
  <si>
    <t xml:space="preserve">122</t>
  </si>
  <si>
    <t xml:space="preserve">✂️ COLHEITA — Feliz colheita! 🎉</t>
  </si>
  <si>
    <t xml:space="preserve">123</t>
  </si>
  <si>
    <t xml:space="preserve">124</t>
  </si>
  <si>
    <t xml:space="preserve">125</t>
  </si>
  <si>
    <t xml:space="preserve">💊  PROTOCOLO DE ADUBAÇÃO — Cannabis Medicinal Indoor</t>
  </si>
  <si>
    <t xml:space="preserve">Doses por litro de água. Sempre ajuste EC e pH após mistura. pH ideal: 5.8–6.2 (hidro/coco) | 6.0–6.8 (terra)</t>
  </si>
  <si>
    <t xml:space="preserve">🌱 CLONE (Dia 1–14)</t>
  </si>
  <si>
    <t xml:space="preserve">Período</t>
  </si>
  <si>
    <t xml:space="preserve">Base N-P-K</t>
  </si>
  <si>
    <t xml:space="preserve">Dose</t>
  </si>
  <si>
    <t xml:space="preserve">CalMag</t>
  </si>
  <si>
    <t xml:space="preserve">PK Booster</t>
  </si>
  <si>
    <t xml:space="preserve">Estimulante</t>
  </si>
  <si>
    <t xml:space="preserve">Suplemento</t>
  </si>
  <si>
    <t xml:space="preserve">pH alvo</t>
  </si>
  <si>
    <t xml:space="preserve">EC alvo</t>
  </si>
  <si>
    <t xml:space="preserve">Observação</t>
  </si>
  <si>
    <t xml:space="preserve">Dia 1–3</t>
  </si>
  <si>
    <t xml:space="preserve">Enraizador</t>
  </si>
  <si>
    <t xml:space="preserve">0.5 mL/L</t>
  </si>
  <si>
    <t xml:space="preserve">-</t>
  </si>
  <si>
    <t xml:space="preserve">5.8–6.0</t>
  </si>
  <si>
    <t xml:space="preserve">N/A</t>
  </si>
  <si>
    <t xml:space="preserve">Solo úmido</t>
  </si>
  <si>
    <t xml:space="preserve">Dia 4–7</t>
  </si>
  <si>
    <t xml:space="preserve">Evitar encharcamento</t>
  </si>
  <si>
    <t xml:space="preserve">Dia 8–10</t>
  </si>
  <si>
    <t xml:space="preserve">Enraizador + Vit B1</t>
  </si>
  <si>
    <t xml:space="preserve">B1 fortalece raízes</t>
  </si>
  <si>
    <t xml:space="preserve">Dia 11–14</t>
  </si>
  <si>
    <t xml:space="preserve">Biorrizas</t>
  </si>
  <si>
    <t xml:space="preserve">6.0</t>
  </si>
  <si>
    <t xml:space="preserve">0.4</t>
  </si>
  <si>
    <t xml:space="preserve">Avaliar pegamento</t>
  </si>
  <si>
    <t xml:space="preserve">🌿 VEGETATIVO (Dia 15–56)</t>
  </si>
  <si>
    <t xml:space="preserve">S1 (D15–21)</t>
  </si>
  <si>
    <t xml:space="preserve">Grow A+B</t>
  </si>
  <si>
    <t xml:space="preserve">1 mL/L</t>
  </si>
  <si>
    <t xml:space="preserve">CalMag 0.5mL</t>
  </si>
  <si>
    <t xml:space="preserve">0.8</t>
  </si>
  <si>
    <t xml:space="preserve">Início suave</t>
  </si>
  <si>
    <t xml:space="preserve">S2 (D22–28)</t>
  </si>
  <si>
    <t xml:space="preserve">2 mL/L</t>
  </si>
  <si>
    <t xml:space="preserve">CalMag 1mL</t>
  </si>
  <si>
    <t xml:space="preserve">Enzimas</t>
  </si>
  <si>
    <t xml:space="preserve">6.1</t>
  </si>
  <si>
    <t xml:space="preserve">1.0</t>
  </si>
  <si>
    <t xml:space="preserve">Monitorar CE</t>
  </si>
  <si>
    <t xml:space="preserve">S3 (D29–35)</t>
  </si>
  <si>
    <t xml:space="preserve">3 mL/L</t>
  </si>
  <si>
    <t xml:space="preserve">LST/Topping</t>
  </si>
  <si>
    <t xml:space="preserve">S4 (D36–42)</t>
  </si>
  <si>
    <t xml:space="preserve">CalMag 1.5mL</t>
  </si>
  <si>
    <t xml:space="preserve">6.2</t>
  </si>
  <si>
    <t xml:space="preserve">1.4</t>
  </si>
  <si>
    <t xml:space="preserve">Estrutura boa</t>
  </si>
  <si>
    <t xml:space="preserve">S5 (D43–49)</t>
  </si>
  <si>
    <t xml:space="preserve">1.5</t>
  </si>
  <si>
    <t xml:space="preserve">Pré-transição</t>
  </si>
  <si>
    <t xml:space="preserve">S6 (D50–56)</t>
  </si>
  <si>
    <t xml:space="preserve">Bloom A+B</t>
  </si>
  <si>
    <t xml:space="preserve">PK 0.5mL</t>
  </si>
  <si>
    <t xml:space="preserve">Transição 12/12</t>
  </si>
  <si>
    <t xml:space="preserve">🌸 FLORAÇÃO (Dia 57–119)</t>
  </si>
  <si>
    <t xml:space="preserve">S1 (D57–63)</t>
  </si>
  <si>
    <t xml:space="preserve">Boost 0.5</t>
  </si>
  <si>
    <t xml:space="preserve">1.6</t>
  </si>
  <si>
    <t xml:space="preserve">Formação pistils</t>
  </si>
  <si>
    <t xml:space="preserve">S2 (D64–70)</t>
  </si>
  <si>
    <t xml:space="preserve">Boost 1mL</t>
  </si>
  <si>
    <t xml:space="preserve">1.7</t>
  </si>
  <si>
    <t xml:space="preserve">Enchimento inicia</t>
  </si>
  <si>
    <t xml:space="preserve">S3 (D71–77)</t>
  </si>
  <si>
    <t xml:space="preserve">4 mL/L</t>
  </si>
  <si>
    <t xml:space="preserve">PK 1mL</t>
  </si>
  <si>
    <t xml:space="preserve">Amino</t>
  </si>
  <si>
    <t xml:space="preserve">1.8</t>
  </si>
  <si>
    <t xml:space="preserve">Pico de PK</t>
  </si>
  <si>
    <t xml:space="preserve">S4 (D78–84)</t>
  </si>
  <si>
    <t xml:space="preserve">PK 1.5mL</t>
  </si>
  <si>
    <t xml:space="preserve">2.0</t>
  </si>
  <si>
    <t xml:space="preserve">Máximo enchimento</t>
  </si>
  <si>
    <t xml:space="preserve">S5 (D85–91)</t>
  </si>
  <si>
    <t xml:space="preserve">CalMag 0.5</t>
  </si>
  <si>
    <t xml:space="preserve">Analisar tricomas</t>
  </si>
  <si>
    <t xml:space="preserve">S6 (D92–98)</t>
  </si>
  <si>
    <t xml:space="preserve">Reduzir nutrição</t>
  </si>
  <si>
    <t xml:space="preserve">S7 (D99–105)</t>
  </si>
  <si>
    <t xml:space="preserve">Pré-flush</t>
  </si>
  <si>
    <t xml:space="preserve">S8 (D106–112)</t>
  </si>
  <si>
    <t xml:space="preserve">Últimos nutrientes</t>
  </si>
  <si>
    <t xml:space="preserve">🚿 FLUSH (Dia 113–119)</t>
  </si>
  <si>
    <t xml:space="preserve">D113–116</t>
  </si>
  <si>
    <t xml:space="preserve">Água pura</t>
  </si>
  <si>
    <t xml:space="preserve">Enzimas 1mL</t>
  </si>
  <si>
    <t xml:space="preserve">&lt;0.3</t>
  </si>
  <si>
    <t xml:space="preserve">Lavar substrato</t>
  </si>
  <si>
    <t xml:space="preserve">D117–119</t>
  </si>
  <si>
    <t xml:space="preserve">&lt;0.2</t>
  </si>
  <si>
    <t xml:space="preserve">Tricomas âmbar?</t>
  </si>
  <si>
    <t xml:space="preserve">🐛  MIP — CONTROLE INTEGRADO DE PRAGAS  (Preventivo)</t>
  </si>
  <si>
    <t xml:space="preserve">Protocolo preventivo — Nunca aplicar foliar em floração avançada (após semana 3 de flora)</t>
  </si>
  <si>
    <t xml:space="preserve">🛡️  PRODUTOS RECOMENDADOS — Biológicos e Orgânicos</t>
  </si>
  <si>
    <t xml:space="preserve">Produto</t>
  </si>
  <si>
    <t xml:space="preserve">Aplicação</t>
  </si>
  <si>
    <t xml:space="preserve">Alvo / Ação</t>
  </si>
  <si>
    <t xml:space="preserve">Frequência</t>
  </si>
  <si>
    <t xml:space="preserve">🌿 Óleo de Nim (Neem Oil)</t>
  </si>
  <si>
    <t xml:space="preserve">2–3 mL/L água</t>
  </si>
  <si>
    <t xml:space="preserve">Foliar (clone/vega) | Solo (flora)</t>
  </si>
  <si>
    <t xml:space="preserve">Acaricida, inseticida, fungicida</t>
  </si>
  <si>
    <t xml:space="preserve">A cada 7 dias preventivo</t>
  </si>
  <si>
    <t xml:space="preserve">⚠️ NÃO usar em flora avançada</t>
  </si>
  <si>
    <t xml:space="preserve">🍄 Beauveria bassiana</t>
  </si>
  <si>
    <t xml:space="preserve">5–10 g/L</t>
  </si>
  <si>
    <t xml:space="preserve">Foliar e solo</t>
  </si>
  <si>
    <t xml:space="preserve">Fungo entomopatogênico — tripes, mosca branca</t>
  </si>
  <si>
    <t xml:space="preserve">A cada 14 dias</t>
  </si>
  <si>
    <t xml:space="preserve">Refrigerar após abrir</t>
  </si>
  <si>
    <t xml:space="preserve">🦠 Trichoderma harzianum</t>
  </si>
  <si>
    <t xml:space="preserve">2–5 g/L</t>
  </si>
  <si>
    <t xml:space="preserve">Solo / substrato</t>
  </si>
  <si>
    <t xml:space="preserve">Fungos do solo, Pythium, Fusarium</t>
  </si>
  <si>
    <t xml:space="preserve">A cada 21 dias no solo</t>
  </si>
  <si>
    <t xml:space="preserve">Aplicar ao regar</t>
  </si>
  <si>
    <t xml:space="preserve">🌱 Extrato de Alho</t>
  </si>
  <si>
    <t xml:space="preserve">Foliar</t>
  </si>
  <si>
    <t xml:space="preserve">Repelente geral, ácaros, pulgões</t>
  </si>
  <si>
    <t xml:space="preserve">A cada 10 dias (vega)</t>
  </si>
  <si>
    <t xml:space="preserve">Pode combinar com nim</t>
  </si>
  <si>
    <t xml:space="preserve">🐞 Bacillus thuringiensis</t>
  </si>
  <si>
    <t xml:space="preserve">5 mL/L</t>
  </si>
  <si>
    <t xml:space="preserve">Lagartas, moscas fungosas</t>
  </si>
  <si>
    <t xml:space="preserve">Quando detectar larvas</t>
  </si>
  <si>
    <t xml:space="preserve">Bioinseticida seletivo</t>
  </si>
  <si>
    <t xml:space="preserve">🔬 Extrato de Quassia</t>
  </si>
  <si>
    <t xml:space="preserve">Pulgões, mosca branca, tripes</t>
  </si>
  <si>
    <t xml:space="preserve">A cada 10 dias</t>
  </si>
  <si>
    <t xml:space="preserve">Combina bem com nim</t>
  </si>
  <si>
    <t xml:space="preserve">🟡 Calda Sulfocálcica</t>
  </si>
  <si>
    <t xml:space="preserve">Brix 20–30° diluído
1–3% (10–30 mL/L)</t>
  </si>
  <si>
    <t xml:space="preserve">Foliar (clone/vega)
Solo preventivo</t>
  </si>
  <si>
    <t xml:space="preserve">Acaricida, fungicida
Ácaros, oídio, escamas</t>
  </si>
  <si>
    <t xml:space="preserve">A cada 14–21 dias
⚠️ NÃO em floração</t>
  </si>
  <si>
    <t xml:space="preserve">⚠️ Não misturar com óleos.
Aplicar ao entardecer.</t>
  </si>
  <si>
    <t xml:space="preserve">🔵 Calda Bordalesa</t>
  </si>
  <si>
    <t xml:space="preserve">0.5–1%
(5–10 mL/L ou preparo próprio)</t>
  </si>
  <si>
    <t xml:space="preserve">Foliar preventivo
Clone e Vega apenas</t>
  </si>
  <si>
    <t xml:space="preserve">Fungicida cúprico
Míldio, antracnose, Botrytis</t>
  </si>
  <si>
    <t xml:space="preserve">A cada 15–21 dias
⚠️ NÃO em floração</t>
  </si>
  <si>
    <t xml:space="preserve">⚠️ Base cobre — não exagerar.
Fitotoxidade em excesso.</t>
  </si>
  <si>
    <t xml:space="preserve">📅  CALENDÁRIO DE APLICAÇÕES PREVENTIVAS</t>
  </si>
  <si>
    <t xml:space="preserve">Via de Aplicação</t>
  </si>
  <si>
    <t xml:space="preserve">Nim</t>
  </si>
  <si>
    <t xml:space="preserve">Foliar leve</t>
  </si>
  <si>
    <t xml:space="preserve">Preventivo geral — cuidado nas folhas</t>
  </si>
  <si>
    <t xml:space="preserve">Beauveria bassiana</t>
  </si>
  <si>
    <t xml:space="preserve">5 g/L</t>
  </si>
  <si>
    <t xml:space="preserve">Foliar + solo</t>
  </si>
  <si>
    <t xml:space="preserve">Fungo entomopatogênico</t>
  </si>
  <si>
    <t xml:space="preserve">Extrato de Alho</t>
  </si>
  <si>
    <t xml:space="preserve">Repelente preventivo</t>
  </si>
  <si>
    <t xml:space="preserve">Última foliar pré-vega</t>
  </si>
  <si>
    <t xml:space="preserve">Nim + Alho</t>
  </si>
  <si>
    <t xml:space="preserve">2+3mL/L</t>
  </si>
  <si>
    <t xml:space="preserve">Combinação eficiente</t>
  </si>
  <si>
    <t xml:space="preserve">Trichoderma</t>
  </si>
  <si>
    <t xml:space="preserve">3 g/L</t>
  </si>
  <si>
    <t xml:space="preserve">Solo (rega)</t>
  </si>
  <si>
    <t xml:space="preserve">Solo saudável = planta forte</t>
  </si>
  <si>
    <t xml:space="preserve">⚠️ ÚLTIMA FOLIAR com Nim</t>
  </si>
  <si>
    <t xml:space="preserve">Solo apenas</t>
  </si>
  <si>
    <t xml:space="preserve">⚠️ SEM FOLIAR em floração</t>
  </si>
  <si>
    <t xml:space="preserve">B. thuringiensis</t>
  </si>
  <si>
    <t xml:space="preserve">Controle larvas solo</t>
  </si>
  <si>
    <t xml:space="preserve">Inspecionar buds visualmente</t>
  </si>
  <si>
    <t xml:space="preserve">Inspeção visual</t>
  </si>
  <si>
    <t xml:space="preserve">Inspecionar tudo</t>
  </si>
  <si>
    <t xml:space="preserve">⚠️ Verificar mofo branco/cinza</t>
  </si>
  <si>
    <t xml:space="preserve">Inspeção final</t>
  </si>
  <si>
    <t xml:space="preserve">Inspecionar buds</t>
  </si>
  <si>
    <t xml:space="preserve">⚠️ Tricomas — avaliar colheita</t>
  </si>
  <si>
    <t xml:space="preserve">Calda Sulfocálcica</t>
  </si>
  <si>
    <t xml:space="preserve">1% (10 mL/L)</t>
  </si>
  <si>
    <t xml:space="preserve">Foliar preventivo</t>
  </si>
  <si>
    <t xml:space="preserve">⚠️ Preventivo ácaros — aplicar ao entardecer</t>
  </si>
  <si>
    <t xml:space="preserve">Calda Bordalesa</t>
  </si>
  <si>
    <t xml:space="preserve">0.5% (5 mL/L)</t>
  </si>
  <si>
    <t xml:space="preserve">⚠️ Preventivo fungos — não combinar com nim</t>
  </si>
  <si>
    <t xml:space="preserve">Ácaros — verificar face inferior das folhas</t>
  </si>
  <si>
    <t xml:space="preserve">⚠️ ÚLTIMA foliar antes da floração</t>
  </si>
  <si>
    <t xml:space="preserve">⚠️  COMPATIBILIDADE — Calda Sulfocálcica e Calda Bordalesa</t>
  </si>
  <si>
    <t xml:space="preserve">Regra</t>
  </si>
  <si>
    <t xml:space="preserve">Detalhe / Explicação</t>
  </si>
  <si>
    <t xml:space="preserve">❌ Não misturar</t>
  </si>
  <si>
    <t xml:space="preserve">Calda Sulfocálcica + Calda Bordalesa — nunca na mesma semana</t>
  </si>
  <si>
    <t xml:space="preserve">Calda Sulfocálcica + Óleo de Nim — fitotoxidade grave</t>
  </si>
  <si>
    <t xml:space="preserve">❌ Nunca foliar</t>
  </si>
  <si>
    <t xml:space="preserve">Ambas as caldas em floração — risco de contaminar buds e alterar sabor</t>
  </si>
  <si>
    <t xml:space="preserve">⏱️ Intervalo mínimo</t>
  </si>
  <si>
    <t xml:space="preserve">7–10 dias entre Calda Sulfocálcica e qualquer outro foliar</t>
  </si>
  <si>
    <t xml:space="preserve">🌡️ Temperatura</t>
  </si>
  <si>
    <t xml:space="preserve">Não aplicar Sulfocálcica com temp. &gt; 30°C — risco de queima foliar</t>
  </si>
  <si>
    <t xml:space="preserve">🌙 Horário ideal</t>
  </si>
  <si>
    <t xml:space="preserve">Sempre ao entardecer — evitar sol forte após ambas as caldas</t>
  </si>
  <si>
    <t xml:space="preserve">✅ Pode combinar</t>
  </si>
  <si>
    <t xml:space="preserve">Calda Bordalesa + Trichoderma solo (aplicar em dias diferentes)</t>
  </si>
  <si>
    <t xml:space="preserve">Calda Sulfocálcica + Beauveria bassiana solo (não misturar na calda)</t>
  </si>
  <si>
    <t xml:space="preserve">📊  DIÁRIO DE CULTIVO — Registro Diário de Parâmetros</t>
  </si>
  <si>
    <t xml:space="preserve">Registre diariamente os parâmetros do cultivo. Os alertas em vermelho indicam valores fora do ideal.</t>
  </si>
  <si>
    <t xml:space="preserve">Temp (°C)</t>
  </si>
  <si>
    <t xml:space="preserve">Umidade (%)</t>
  </si>
  <si>
    <t xml:space="preserve">pH água</t>
  </si>
  <si>
    <t xml:space="preserve">CE (mS/cm)</t>
  </si>
  <si>
    <t xml:space="preserve">pH run-off</t>
  </si>
  <si>
    <t xml:space="preserve">Rega (L)</t>
  </si>
  <si>
    <t xml:space="preserve">Observações</t>
  </si>
  <si>
    <t xml:space="preserve">Alertas / Status</t>
  </si>
  <si>
    <t xml:space="preserve">📖  GUIA RÁPIDO — Parâmetros e Referências</t>
  </si>
  <si>
    <t xml:space="preserve">🌡️ TEMPERATURA</t>
  </si>
  <si>
    <t xml:space="preserve">Parâmetro</t>
  </si>
  <si>
    <t xml:space="preserve">Valor / Faixa Ideal</t>
  </si>
  <si>
    <t xml:space="preserve">Dia (luz acesa)</t>
  </si>
  <si>
    <t xml:space="preserve">22–26°C (ideal 24°C)</t>
  </si>
  <si>
    <t xml:space="preserve">Noite (luz apagada)</t>
  </si>
  <si>
    <t xml:space="preserve">18–22°C</t>
  </si>
  <si>
    <t xml:space="preserve">Máximo tolerável</t>
  </si>
  <si>
    <t xml:space="preserve">30°C (acima: estresse)</t>
  </si>
  <si>
    <t xml:space="preserve">Clone — temperatura</t>
  </si>
  <si>
    <t xml:space="preserve">23–26°C (sem variação)</t>
  </si>
  <si>
    <t xml:space="preserve">💧 UMIDADE RELATIVA</t>
  </si>
  <si>
    <t xml:space="preserve">70–80%</t>
  </si>
  <si>
    <t xml:space="preserve">55–70%</t>
  </si>
  <si>
    <t xml:space="preserve">Floração S1–S4</t>
  </si>
  <si>
    <t xml:space="preserve">40–55%</t>
  </si>
  <si>
    <t xml:space="preserve">Floração S5+</t>
  </si>
  <si>
    <t xml:space="preserve">35–45% (risco de mofo)</t>
  </si>
  <si>
    <t xml:space="preserve">Flush / final</t>
  </si>
  <si>
    <t xml:space="preserve">&lt; 40%</t>
  </si>
  <si>
    <t xml:space="preserve">⚗️ pH DA ÁGUA</t>
  </si>
  <si>
    <t xml:space="preserve">Terra / mix orgânico</t>
  </si>
  <si>
    <t xml:space="preserve">6.0–6.8</t>
  </si>
  <si>
    <t xml:space="preserve">Coco coir</t>
  </si>
  <si>
    <t xml:space="preserve">5.8–6.2</t>
  </si>
  <si>
    <t xml:space="preserve">Hidroponia</t>
  </si>
  <si>
    <t xml:space="preserve">5.5–6.1</t>
  </si>
  <si>
    <t xml:space="preserve">Run-off ideal</t>
  </si>
  <si>
    <t xml:space="preserve">± 0.2 do pH de entrada</t>
  </si>
  <si>
    <t xml:space="preserve">📊 CONDUTIVIDADE (EC)</t>
  </si>
  <si>
    <t xml:space="preserve">0.0–0.4 mS/cm</t>
  </si>
  <si>
    <t xml:space="preserve">Vegetativo inicial</t>
  </si>
  <si>
    <t xml:space="preserve">0.8–1.2 mS/cm</t>
  </si>
  <si>
    <t xml:space="preserve">Vegetativo pleno</t>
  </si>
  <si>
    <t xml:space="preserve">1.2–1.6 mS/cm</t>
  </si>
  <si>
    <t xml:space="preserve">Floração inicial</t>
  </si>
  <si>
    <t xml:space="preserve">1.4–1.8 mS/cm</t>
  </si>
  <si>
    <t xml:space="preserve">Floração pico</t>
  </si>
  <si>
    <t xml:space="preserve">1.8–2.2 mS/cm</t>
  </si>
  <si>
    <t xml:space="preserve">&lt; 0.3 mS/cm</t>
  </si>
  <si>
    <t xml:space="preserve">🔬 ANÁLISE DE TRICOMAS</t>
  </si>
  <si>
    <t xml:space="preserve">Transparentes</t>
  </si>
  <si>
    <t xml:space="preserve">Imaturos — não colher</t>
  </si>
  <si>
    <t xml:space="preserve">Leitosos / opacos</t>
  </si>
  <si>
    <t xml:space="preserve">Efeito mais cerebral/alto</t>
  </si>
  <si>
    <t xml:space="preserve">Âmbar 10–20%</t>
  </si>
  <si>
    <t xml:space="preserve">Efeito equilibrado (ideal médico)</t>
  </si>
  <si>
    <t xml:space="preserve">Âmbar 30–50%</t>
  </si>
  <si>
    <t xml:space="preserve">Efeito mais sedativo/corporal</t>
  </si>
  <si>
    <t xml:space="preserve">Âmbar &gt; 50%</t>
  </si>
  <si>
    <t xml:space="preserve">Degradação de THC → CBN</t>
  </si>
  <si>
    <t xml:space="preserve">💡 FOTOPERÍODO</t>
  </si>
  <si>
    <t xml:space="preserve">Propagação/Clone</t>
  </si>
  <si>
    <t xml:space="preserve">18h luz / 6h escuro (ou 24h)</t>
  </si>
  <si>
    <t xml:space="preserve">18h luz / 6h escuro</t>
  </si>
  <si>
    <t xml:space="preserve">Indução de floração</t>
  </si>
  <si>
    <t xml:space="preserve">12h luz / 12h escuro</t>
  </si>
  <si>
    <t xml:space="preserve">Oscilação tolerável</t>
  </si>
  <si>
    <t xml:space="preserve">Máx ±15 min por 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</si>
</sst>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b val="true"/>
      <sz val="11"/>
      <color rgb="FF212529"/>
      <name val="Arial"/>
      <family val="0"/>
      <charset val="1"/>
    </font>
    <font>
      <sz val="11"/>
      <color rgb="FF2125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B4332"/>
      <name val="Arial"/>
      <family val="0"/>
      <charset val="1"/>
    </font>
    <font>
      <b val="true"/>
      <sz val="10"/>
      <color rgb="FF2196F3"/>
      <name val="Arial"/>
      <family val="0"/>
      <charset val="1"/>
    </font>
    <font>
      <sz val="11"/>
      <color rgb="FF2196F3"/>
      <name val="Arial"/>
      <family val="0"/>
      <charset val="1"/>
    </font>
    <font>
      <b val="true"/>
      <sz val="10"/>
      <color rgb="FF7B2D8B"/>
      <name val="Arial"/>
      <family val="0"/>
      <charset val="1"/>
    </font>
    <font>
      <sz val="11"/>
      <color rgb="FF7B2D8B"/>
      <name val="Arial"/>
      <family val="0"/>
      <charset val="1"/>
    </font>
    <font>
      <b val="true"/>
      <sz val="10"/>
      <color rgb="FFE63946"/>
      <name val="Arial"/>
      <family val="0"/>
      <charset val="1"/>
    </font>
    <font>
      <sz val="11"/>
      <color rgb="FFE63946"/>
      <name val="Arial"/>
      <family val="0"/>
      <charset val="1"/>
    </font>
    <font>
      <b val="true"/>
      <sz val="10"/>
      <color rgb="FF212529"/>
      <name val="Arial"/>
      <family val="0"/>
      <charset val="1"/>
    </font>
    <font>
      <sz val="10"/>
      <color rgb="FF212529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12529"/>
      <name val="Arial"/>
      <family val="0"/>
      <charset val="1"/>
    </font>
    <font>
      <b val="true"/>
      <sz val="9"/>
      <color rgb="FF1B4332"/>
      <name val="Arial"/>
      <family val="0"/>
      <charset val="1"/>
    </font>
    <font>
      <sz val="9"/>
      <color rgb="FF2D6A4F"/>
      <name val="Arial"/>
      <family val="0"/>
      <charset val="1"/>
    </font>
    <font>
      <sz val="9"/>
      <color rgb="FFE63946"/>
      <name val="Arial"/>
      <family val="0"/>
      <charset val="1"/>
    </font>
    <font>
      <b val="true"/>
      <sz val="9"/>
      <color rgb="FF2196F3"/>
      <name val="Arial"/>
      <family val="0"/>
      <charset val="1"/>
    </font>
    <font>
      <b val="true"/>
      <sz val="9"/>
      <color rgb="FF7B2D8B"/>
      <name val="Arial"/>
      <family val="0"/>
      <charset val="1"/>
    </font>
    <font>
      <b val="true"/>
      <sz val="9"/>
      <color rgb="FFE63946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b val="true"/>
      <sz val="12"/>
      <color rgb="FF2196F3"/>
      <name val="Arial"/>
      <family val="0"/>
      <charset val="1"/>
    </font>
    <font>
      <b val="true"/>
      <sz val="12"/>
      <color rgb="FF7B2D8B"/>
      <name val="Arial"/>
      <family val="0"/>
      <charset val="1"/>
    </font>
    <font>
      <b val="true"/>
      <sz val="12"/>
      <color rgb="FFE63946"/>
      <name val="Arial"/>
      <family val="0"/>
      <charset val="1"/>
    </font>
    <font>
      <b val="true"/>
      <sz val="9"/>
      <color rgb="FF21252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4332"/>
        <bgColor rgb="FF212529"/>
      </patternFill>
    </fill>
    <fill>
      <patternFill patternType="solid">
        <fgColor rgb="FF2D6A4F"/>
        <bgColor rgb="FF1B4332"/>
      </patternFill>
    </fill>
    <fill>
      <patternFill patternType="solid">
        <fgColor rgb="FFB7E4C7"/>
        <bgColor rgb="FFDEE2E6"/>
      </patternFill>
    </fill>
    <fill>
      <patternFill patternType="solid">
        <fgColor rgb="FFFFD166"/>
        <bgColor rgb="FFFFCC00"/>
      </patternFill>
    </fill>
    <fill>
      <patternFill patternType="solid">
        <fgColor rgb="FFFFFFFF"/>
        <bgColor rgb="FFF8F9FA"/>
      </patternFill>
    </fill>
    <fill>
      <patternFill patternType="solid">
        <fgColor rgb="FF52B788"/>
        <bgColor rgb="FF33CCCC"/>
      </patternFill>
    </fill>
    <fill>
      <patternFill patternType="solid">
        <fgColor rgb="FFDBEAFE"/>
        <bgColor rgb="FFDEE2E6"/>
      </patternFill>
    </fill>
    <fill>
      <patternFill patternType="solid">
        <fgColor rgb="FFE9D5F0"/>
        <bgColor rgb="FFDEE2E6"/>
      </patternFill>
    </fill>
    <fill>
      <patternFill patternType="solid">
        <fgColor rgb="FFFFE5E5"/>
        <bgColor rgb="FFFFF3CD"/>
      </patternFill>
    </fill>
    <fill>
      <patternFill patternType="solid">
        <fgColor rgb="FFDEE2E6"/>
        <bgColor rgb="FFDBEAFE"/>
      </patternFill>
    </fill>
    <fill>
      <patternFill patternType="solid">
        <fgColor rgb="FFF8F9FA"/>
        <bgColor rgb="FFFFFFFF"/>
      </patternFill>
    </fill>
    <fill>
      <patternFill patternType="solid">
        <fgColor rgb="FFE63946"/>
        <bgColor rgb="FFFF6600"/>
      </patternFill>
    </fill>
    <fill>
      <patternFill patternType="solid">
        <fgColor rgb="FFFFF3CD"/>
        <bgColor rgb="FFFFE5E5"/>
      </patternFill>
    </fill>
    <fill>
      <patternFill patternType="solid">
        <fgColor rgb="FFEBF5FB"/>
        <bgColor rgb="FFF8F9FA"/>
      </patternFill>
    </fill>
    <fill>
      <patternFill patternType="solid">
        <fgColor rgb="FF7B2D8B"/>
        <bgColor rgb="FF800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 diagonalUp="false" diagonalDown="false">
      <left/>
      <right/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DEE2E6"/>
      <rgbColor rgb="FF808080"/>
      <rgbColor rgb="FF9999FF"/>
      <rgbColor rgb="FF7B2D8B"/>
      <rgbColor rgb="FFFFF3CD"/>
      <rgbColor rgb="FFDBEAFE"/>
      <rgbColor rgb="FF660066"/>
      <rgbColor rgb="FFFF8080"/>
      <rgbColor rgb="FF0066CC"/>
      <rgbColor rgb="FFE9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B7E4C7"/>
      <rgbColor rgb="FFFFE5E5"/>
      <rgbColor rgb="FFF8F9FA"/>
      <rgbColor rgb="FFFF99CC"/>
      <rgbColor rgb="FFCC99FF"/>
      <rgbColor rgb="FFFFD166"/>
      <rgbColor rgb="FF2196F3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2B788"/>
      <rgbColor rgb="FF003300"/>
      <rgbColor rgb="FF1B4332"/>
      <rgbColor rgb="FF993300"/>
      <rgbColor rgb="FFE6394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B1:J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4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22"/>
    <col collapsed="false" customWidth="true" hidden="false" outlineLevel="0" max="10" min="10" style="1" width="18"/>
    <col collapsed="false" customWidth="true" hidden="false" outlineLevel="0" max="11" min="11" style="1" width="3"/>
  </cols>
  <sheetData>
    <row r="1" customFormat="false" ht="21.75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/>
    <row r="5" customFormat="false" ht="21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  <c r="J5" s="4"/>
    </row>
    <row r="6" customFormat="false" ht="24" hidden="false" customHeight="true" outlineLevel="0" collapsed="false">
      <c r="B6" s="5" t="s">
        <v>3</v>
      </c>
      <c r="C6" s="5"/>
      <c r="D6" s="6"/>
      <c r="E6" s="6"/>
      <c r="G6" s="5" t="s">
        <v>4</v>
      </c>
      <c r="H6" s="5"/>
      <c r="I6" s="7" t="s">
        <v>5</v>
      </c>
      <c r="J6" s="7"/>
    </row>
    <row r="7" customFormat="false" ht="24" hidden="false" customHeight="true" outlineLevel="0" collapsed="false">
      <c r="B7" s="5" t="s">
        <v>6</v>
      </c>
      <c r="C7" s="5"/>
      <c r="D7" s="7"/>
      <c r="E7" s="7"/>
      <c r="G7" s="5" t="s">
        <v>7</v>
      </c>
      <c r="H7" s="5"/>
      <c r="I7" s="7" t="s">
        <v>8</v>
      </c>
      <c r="J7" s="7"/>
    </row>
    <row r="8" customFormat="false" ht="24" hidden="false" customHeight="true" outlineLevel="0" collapsed="false">
      <c r="B8" s="5" t="s">
        <v>9</v>
      </c>
      <c r="C8" s="5"/>
      <c r="D8" s="7" t="s">
        <v>10</v>
      </c>
      <c r="E8" s="7"/>
      <c r="G8" s="5" t="s">
        <v>11</v>
      </c>
      <c r="H8" s="5"/>
      <c r="I8" s="7" t="s">
        <v>12</v>
      </c>
      <c r="J8" s="7"/>
    </row>
    <row r="9" customFormat="false" ht="24" hidden="false" customHeight="true" outlineLevel="0" collapsed="false">
      <c r="B9" s="5" t="s">
        <v>13</v>
      </c>
      <c r="C9" s="5"/>
      <c r="D9" s="7" t="s">
        <v>14</v>
      </c>
      <c r="E9" s="7"/>
      <c r="G9" s="5" t="s">
        <v>15</v>
      </c>
      <c r="H9" s="5"/>
      <c r="I9" s="7" t="s">
        <v>16</v>
      </c>
      <c r="J9" s="7"/>
    </row>
    <row r="10" customFormat="false" ht="24" hidden="false" customHeight="true" outlineLevel="0" collapsed="false">
      <c r="B10" s="5" t="s">
        <v>17</v>
      </c>
      <c r="C10" s="5"/>
      <c r="D10" s="7" t="s">
        <v>18</v>
      </c>
      <c r="E10" s="7"/>
      <c r="G10" s="5" t="s">
        <v>19</v>
      </c>
      <c r="H10" s="5"/>
      <c r="I10" s="8" t="n">
        <f aca="false">I6+I7+I8+I9</f>
        <v>126</v>
      </c>
      <c r="J10" s="8"/>
    </row>
    <row r="11" customFormat="false" ht="24" hidden="false" customHeight="true" outlineLevel="0" collapsed="false">
      <c r="B11" s="5" t="s">
        <v>20</v>
      </c>
      <c r="C11" s="5"/>
      <c r="D11" s="7" t="s">
        <v>21</v>
      </c>
      <c r="E11" s="7"/>
    </row>
    <row r="12" customFormat="false" ht="24" hidden="false" customHeight="true" outlineLevel="0" collapsed="false">
      <c r="B12" s="5" t="s">
        <v>22</v>
      </c>
      <c r="C12" s="5"/>
      <c r="D12" s="7" t="s">
        <v>23</v>
      </c>
      <c r="E12" s="7"/>
    </row>
    <row r="13" customFormat="false" ht="24" hidden="false" customHeight="true" outlineLevel="0" collapsed="false">
      <c r="B13" s="5" t="s">
        <v>24</v>
      </c>
      <c r="C13" s="5"/>
      <c r="D13" s="7" t="s">
        <v>25</v>
      </c>
      <c r="E13" s="7"/>
    </row>
    <row r="14" customFormat="false" ht="24" hidden="false" customHeight="true" outlineLevel="0" collapsed="false">
      <c r="B14" s="5" t="s">
        <v>26</v>
      </c>
      <c r="C14" s="5"/>
      <c r="D14" s="7" t="s">
        <v>27</v>
      </c>
      <c r="E14" s="7"/>
    </row>
    <row r="15" customFormat="false" ht="24" hidden="false" customHeight="true" outlineLevel="0" collapsed="false">
      <c r="B15" s="5" t="s">
        <v>28</v>
      </c>
      <c r="C15" s="5"/>
      <c r="D15" s="7" t="s">
        <v>29</v>
      </c>
      <c r="E15" s="7"/>
    </row>
    <row r="16" customFormat="false" ht="21.75" hidden="false" customHeight="true" outlineLevel="0" collapsed="false"/>
    <row r="17" customFormat="false" ht="25.5" hidden="false" customHeight="true" outlineLevel="0" collapsed="false">
      <c r="B17" s="9" t="s">
        <v>30</v>
      </c>
      <c r="C17" s="9"/>
      <c r="D17" s="9"/>
      <c r="E17" s="9"/>
      <c r="F17" s="9"/>
      <c r="G17" s="9"/>
      <c r="H17" s="9"/>
      <c r="I17" s="9"/>
      <c r="J17" s="9"/>
    </row>
    <row r="18" customFormat="false" ht="21.75" hidden="false" customHeight="true" outlineLevel="0" collapsed="false">
      <c r="B18" s="10" t="s">
        <v>31</v>
      </c>
      <c r="C18" s="10"/>
      <c r="D18" s="10" t="s">
        <v>32</v>
      </c>
      <c r="E18" s="10"/>
      <c r="F18" s="10" t="s">
        <v>33</v>
      </c>
      <c r="G18" s="10"/>
      <c r="H18" s="10" t="s">
        <v>34</v>
      </c>
      <c r="I18" s="10"/>
    </row>
    <row r="19" customFormat="false" ht="25.5" hidden="false" customHeight="true" outlineLevel="0" collapsed="false">
      <c r="B19" s="11" t="s">
        <v>35</v>
      </c>
      <c r="C19" s="11"/>
      <c r="D19" s="12" t="n">
        <f aca="false">D6</f>
        <v>0</v>
      </c>
      <c r="E19" s="12"/>
      <c r="F19" s="12" t="n">
        <f aca="false">D6+I6-1</f>
        <v>13</v>
      </c>
      <c r="G19" s="12"/>
      <c r="H19" s="13" t="str">
        <f aca="false">I6&amp;" dias"</f>
        <v>14 dias</v>
      </c>
      <c r="I19" s="13"/>
    </row>
    <row r="20" customFormat="false" ht="25.5" hidden="false" customHeight="true" outlineLevel="0" collapsed="false">
      <c r="B20" s="14" t="s">
        <v>36</v>
      </c>
      <c r="C20" s="14"/>
      <c r="D20" s="15" t="n">
        <f aca="false">D6+I6</f>
        <v>14</v>
      </c>
      <c r="E20" s="15"/>
      <c r="F20" s="15" t="n">
        <f aca="false">D6+I6+I7-1</f>
        <v>55</v>
      </c>
      <c r="G20" s="15"/>
      <c r="H20" s="16" t="str">
        <f aca="false">I7&amp;" dias"</f>
        <v>42 dias</v>
      </c>
      <c r="I20" s="16"/>
    </row>
    <row r="21" customFormat="false" ht="25.5" hidden="false" customHeight="true" outlineLevel="0" collapsed="false">
      <c r="B21" s="17" t="s">
        <v>37</v>
      </c>
      <c r="C21" s="17"/>
      <c r="D21" s="18" t="n">
        <f aca="false">D6+I6+I7</f>
        <v>56</v>
      </c>
      <c r="E21" s="18"/>
      <c r="F21" s="18" t="n">
        <f aca="false">D6+I6+I7+I8-1</f>
        <v>118</v>
      </c>
      <c r="G21" s="18"/>
      <c r="H21" s="19" t="str">
        <f aca="false">I8&amp;" dias"</f>
        <v>63 dias</v>
      </c>
      <c r="I21" s="19"/>
    </row>
    <row r="22" customFormat="false" ht="25.5" hidden="false" customHeight="true" outlineLevel="0" collapsed="false">
      <c r="B22" s="20" t="s">
        <v>38</v>
      </c>
      <c r="C22" s="20"/>
      <c r="D22" s="21" t="n">
        <f aca="false">D6+I6+I7+I8</f>
        <v>119</v>
      </c>
      <c r="E22" s="21"/>
      <c r="F22" s="21" t="n">
        <f aca="false">D6+I6+I7+I8+I9-1</f>
        <v>125</v>
      </c>
      <c r="G22" s="21"/>
      <c r="H22" s="22" t="str">
        <f aca="false">I9&amp;" dias"</f>
        <v>7 dias</v>
      </c>
      <c r="I22" s="22"/>
    </row>
    <row r="23" customFormat="false" ht="25.5" hidden="false" customHeight="true" outlineLevel="0" collapsed="false">
      <c r="B23" s="23" t="s">
        <v>39</v>
      </c>
      <c r="C23" s="23"/>
      <c r="D23" s="24" t="n">
        <f aca="false">D6+I10</f>
        <v>126</v>
      </c>
      <c r="E23" s="24"/>
      <c r="F23" s="24" t="n">
        <f aca="false">D6+I10</f>
        <v>126</v>
      </c>
      <c r="G23" s="24"/>
      <c r="H23" s="25" t="s">
        <v>40</v>
      </c>
      <c r="I23" s="25"/>
    </row>
    <row r="24" customFormat="false" ht="21.75" hidden="false" customHeight="true" outlineLevel="0" collapsed="false"/>
    <row r="25" customFormat="false" ht="21.75" hidden="false" customHeight="true" outlineLevel="0" collapsed="false">
      <c r="B25" s="26" t="s">
        <v>41</v>
      </c>
      <c r="C25" s="26"/>
      <c r="D25" s="26"/>
      <c r="E25" s="26"/>
      <c r="F25" s="26"/>
      <c r="G25" s="26"/>
      <c r="H25" s="26"/>
      <c r="I25" s="26"/>
      <c r="J25" s="26"/>
    </row>
    <row r="26" customFormat="false" ht="21.75" hidden="false" customHeight="true" outlineLevel="0" collapsed="false">
      <c r="B26" s="27" t="s">
        <v>42</v>
      </c>
      <c r="C26" s="27"/>
      <c r="D26" s="28" t="s">
        <v>43</v>
      </c>
      <c r="E26" s="28"/>
      <c r="F26" s="28"/>
      <c r="G26" s="28"/>
      <c r="H26" s="28"/>
      <c r="I26" s="28"/>
      <c r="J26" s="28"/>
    </row>
    <row r="27" customFormat="false" ht="21.75" hidden="false" customHeight="true" outlineLevel="0" collapsed="false">
      <c r="B27" s="27" t="s">
        <v>44</v>
      </c>
      <c r="C27" s="27"/>
      <c r="D27" s="28" t="s">
        <v>45</v>
      </c>
      <c r="E27" s="28"/>
      <c r="F27" s="28"/>
      <c r="G27" s="28"/>
      <c r="H27" s="28"/>
      <c r="I27" s="28"/>
      <c r="J27" s="28"/>
    </row>
    <row r="28" customFormat="false" ht="21.75" hidden="false" customHeight="true" outlineLevel="0" collapsed="false">
      <c r="B28" s="27" t="s">
        <v>46</v>
      </c>
      <c r="C28" s="27"/>
      <c r="D28" s="28" t="s">
        <v>47</v>
      </c>
      <c r="E28" s="28"/>
      <c r="F28" s="28"/>
      <c r="G28" s="28"/>
      <c r="H28" s="28"/>
      <c r="I28" s="28"/>
      <c r="J28" s="28"/>
    </row>
    <row r="29" customFormat="false" ht="21.75" hidden="false" customHeight="true" outlineLevel="0" collapsed="false">
      <c r="B29" s="27" t="s">
        <v>48</v>
      </c>
      <c r="C29" s="27"/>
      <c r="D29" s="28" t="s">
        <v>49</v>
      </c>
      <c r="E29" s="28"/>
      <c r="F29" s="28"/>
      <c r="G29" s="28"/>
      <c r="H29" s="28"/>
      <c r="I29" s="28"/>
      <c r="J29" s="28"/>
    </row>
    <row r="30" customFormat="false" ht="21.75" hidden="false" customHeight="true" outlineLevel="0" collapsed="false">
      <c r="B30" s="27" t="s">
        <v>50</v>
      </c>
      <c r="C30" s="27"/>
      <c r="D30" s="28" t="s">
        <v>51</v>
      </c>
      <c r="E30" s="28"/>
      <c r="F30" s="28"/>
      <c r="G30" s="28"/>
      <c r="H30" s="28"/>
      <c r="I30" s="28"/>
      <c r="J30" s="28"/>
    </row>
    <row r="31" customFormat="false" ht="21.75" hidden="false" customHeight="true" outlineLevel="0" collapsed="false">
      <c r="B31" s="27" t="s">
        <v>52</v>
      </c>
      <c r="C31" s="27"/>
      <c r="D31" s="28" t="s">
        <v>53</v>
      </c>
      <c r="E31" s="28"/>
      <c r="F31" s="28"/>
      <c r="G31" s="28"/>
      <c r="H31" s="28"/>
      <c r="I31" s="28"/>
      <c r="J31" s="28"/>
    </row>
    <row r="32" customFormat="false" ht="21.75" hidden="false" customHeight="true" outlineLevel="0" collapsed="false">
      <c r="B32" s="27" t="s">
        <v>54</v>
      </c>
      <c r="C32" s="27"/>
      <c r="D32" s="28" t="s">
        <v>55</v>
      </c>
      <c r="E32" s="28"/>
      <c r="F32" s="28"/>
      <c r="G32" s="28"/>
      <c r="H32" s="28"/>
      <c r="I32" s="28"/>
      <c r="J32" s="28"/>
    </row>
    <row r="33" customFormat="false" ht="21.75" hidden="false" customHeight="true" outlineLevel="0" collapsed="false">
      <c r="B33" s="27" t="s">
        <v>56</v>
      </c>
      <c r="C33" s="27"/>
      <c r="D33" s="28" t="s">
        <v>57</v>
      </c>
      <c r="E33" s="28"/>
      <c r="F33" s="28"/>
      <c r="G33" s="28"/>
      <c r="H33" s="28"/>
      <c r="I33" s="28"/>
      <c r="J33" s="28"/>
    </row>
    <row r="34" customFormat="false" ht="21.75" hidden="false" customHeight="true" outlineLevel="0" collapsed="false">
      <c r="B34" s="27" t="s">
        <v>58</v>
      </c>
      <c r="C34" s="27"/>
      <c r="D34" s="28" t="s">
        <v>59</v>
      </c>
      <c r="E34" s="28"/>
      <c r="F34" s="28"/>
      <c r="G34" s="28"/>
      <c r="H34" s="28"/>
      <c r="I34" s="28"/>
      <c r="J34" s="28"/>
    </row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</sheetData>
  <mergeCells count="77">
    <mergeCell ref="B2:J2"/>
    <mergeCell ref="B3:J3"/>
    <mergeCell ref="B5:J5"/>
    <mergeCell ref="B6:C6"/>
    <mergeCell ref="D6:E6"/>
    <mergeCell ref="G6:H6"/>
    <mergeCell ref="I6:J6"/>
    <mergeCell ref="B7:C7"/>
    <mergeCell ref="D7:E7"/>
    <mergeCell ref="G7:H7"/>
    <mergeCell ref="I7:J7"/>
    <mergeCell ref="B8:C8"/>
    <mergeCell ref="D8:E8"/>
    <mergeCell ref="G8:H8"/>
    <mergeCell ref="I8:J8"/>
    <mergeCell ref="B9:C9"/>
    <mergeCell ref="D9:E9"/>
    <mergeCell ref="G9:H9"/>
    <mergeCell ref="I9:J9"/>
    <mergeCell ref="B10:C10"/>
    <mergeCell ref="D10:E10"/>
    <mergeCell ref="G10:H10"/>
    <mergeCell ref="I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7:J17"/>
    <mergeCell ref="B18:C18"/>
    <mergeCell ref="D18:E18"/>
    <mergeCell ref="F18:G18"/>
    <mergeCell ref="H18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5:J25"/>
    <mergeCell ref="B26:C26"/>
    <mergeCell ref="D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B33:C33"/>
    <mergeCell ref="D33:J33"/>
    <mergeCell ref="B34:C34"/>
    <mergeCell ref="D34:J34"/>
  </mergeCells>
  <dataValidations count="1">
    <dataValidation allowBlank="true" errorStyle="stop" operator="between" showDropDown="false" showErrorMessage="false" showInputMessage="false" sqref="D8" type="list">
      <formula1>"Indoor LED,Indoor HPS,Indoor CMH,Indoor Misto"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B2:I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9" min="7" style="1" width="20"/>
    <col collapsed="false" customWidth="true" hidden="false" outlineLevel="0" max="10" min="10" style="1" width="3"/>
  </cols>
  <sheetData>
    <row r="2" customFormat="false" ht="45" hidden="false" customHeight="true" outlineLevel="0" collapsed="false">
      <c r="B2" s="29" t="s">
        <v>60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30" t="s">
        <v>61</v>
      </c>
      <c r="C3" s="30"/>
      <c r="D3" s="30"/>
      <c r="E3" s="30"/>
      <c r="F3" s="30"/>
      <c r="G3" s="30"/>
      <c r="H3" s="30"/>
      <c r="I3" s="30"/>
    </row>
    <row r="5" customFormat="false" ht="30" hidden="false" customHeight="true" outlineLevel="0" collapsed="false">
      <c r="B5" s="10" t="s">
        <v>62</v>
      </c>
      <c r="C5" s="10" t="s">
        <v>63</v>
      </c>
      <c r="D5" s="10" t="s">
        <v>31</v>
      </c>
      <c r="E5" s="10" t="s">
        <v>64</v>
      </c>
      <c r="F5" s="10" t="s">
        <v>65</v>
      </c>
      <c r="G5" s="10" t="s">
        <v>66</v>
      </c>
      <c r="H5" s="10" t="s">
        <v>67</v>
      </c>
      <c r="I5" s="10" t="s">
        <v>68</v>
      </c>
    </row>
    <row r="6" customFormat="false" ht="19.5" hidden="false" customHeight="true" outlineLevel="0" collapsed="false">
      <c r="B6" s="31" t="s">
        <v>69</v>
      </c>
      <c r="C6" s="32" t="n">
        <f aca="false">'🌱 Configuração'!D6+0</f>
        <v>0</v>
      </c>
      <c r="D6" s="33" t="s">
        <v>70</v>
      </c>
      <c r="E6" s="34" t="s">
        <v>71</v>
      </c>
      <c r="F6" s="35"/>
      <c r="G6" s="36"/>
      <c r="H6" s="34" t="s">
        <v>72</v>
      </c>
      <c r="I6" s="34"/>
    </row>
    <row r="7" customFormat="false" ht="19.5" hidden="false" customHeight="true" outlineLevel="0" collapsed="false">
      <c r="B7" s="31" t="s">
        <v>73</v>
      </c>
      <c r="C7" s="37" t="n">
        <f aca="false">'🌱 Configuração'!D6+1</f>
        <v>1</v>
      </c>
      <c r="D7" s="33" t="s">
        <v>70</v>
      </c>
      <c r="E7" s="38" t="s">
        <v>71</v>
      </c>
      <c r="F7" s="39"/>
      <c r="G7" s="40" t="s">
        <v>74</v>
      </c>
      <c r="H7" s="38"/>
      <c r="I7" s="38"/>
    </row>
    <row r="8" customFormat="false" ht="19.5" hidden="false" customHeight="true" outlineLevel="0" collapsed="false">
      <c r="B8" s="31" t="s">
        <v>75</v>
      </c>
      <c r="C8" s="32" t="n">
        <f aca="false">'🌱 Configuração'!D6+2</f>
        <v>2</v>
      </c>
      <c r="D8" s="33" t="s">
        <v>70</v>
      </c>
      <c r="E8" s="34" t="s">
        <v>71</v>
      </c>
      <c r="F8" s="35" t="s">
        <v>76</v>
      </c>
      <c r="G8" s="36"/>
      <c r="H8" s="34" t="s">
        <v>77</v>
      </c>
      <c r="I8" s="34"/>
    </row>
    <row r="9" customFormat="false" ht="19.5" hidden="false" customHeight="true" outlineLevel="0" collapsed="false">
      <c r="B9" s="31" t="s">
        <v>23</v>
      </c>
      <c r="C9" s="37" t="n">
        <f aca="false">'🌱 Configuração'!D6+3</f>
        <v>3</v>
      </c>
      <c r="D9" s="33" t="s">
        <v>70</v>
      </c>
      <c r="E9" s="38" t="s">
        <v>71</v>
      </c>
      <c r="F9" s="39"/>
      <c r="G9" s="40"/>
      <c r="H9" s="38"/>
      <c r="I9" s="38"/>
    </row>
    <row r="10" customFormat="false" ht="19.5" hidden="false" customHeight="true" outlineLevel="0" collapsed="false">
      <c r="B10" s="31" t="s">
        <v>78</v>
      </c>
      <c r="C10" s="32" t="n">
        <f aca="false">'🌱 Configuração'!D6+4</f>
        <v>4</v>
      </c>
      <c r="D10" s="33" t="s">
        <v>70</v>
      </c>
      <c r="E10" s="34" t="s">
        <v>71</v>
      </c>
      <c r="F10" s="35"/>
      <c r="G10" s="36"/>
      <c r="H10" s="34"/>
      <c r="I10" s="34"/>
    </row>
    <row r="11" customFormat="false" ht="19.5" hidden="false" customHeight="true" outlineLevel="0" collapsed="false">
      <c r="B11" s="31" t="s">
        <v>79</v>
      </c>
      <c r="C11" s="37" t="n">
        <f aca="false">'🌱 Configuração'!D6+5</f>
        <v>5</v>
      </c>
      <c r="D11" s="33" t="s">
        <v>70</v>
      </c>
      <c r="E11" s="38" t="s">
        <v>71</v>
      </c>
      <c r="F11" s="39"/>
      <c r="G11" s="40"/>
      <c r="H11" s="38"/>
      <c r="I11" s="38"/>
    </row>
    <row r="12" customFormat="false" ht="19.5" hidden="false" customHeight="true" outlineLevel="0" collapsed="false">
      <c r="B12" s="31" t="s">
        <v>16</v>
      </c>
      <c r="C12" s="32" t="n">
        <f aca="false">'🌱 Configuração'!D6+6</f>
        <v>6</v>
      </c>
      <c r="D12" s="33" t="s">
        <v>70</v>
      </c>
      <c r="E12" s="34" t="s">
        <v>71</v>
      </c>
      <c r="F12" s="35" t="s">
        <v>76</v>
      </c>
      <c r="G12" s="36"/>
      <c r="H12" s="34" t="s">
        <v>80</v>
      </c>
      <c r="I12" s="34" t="s">
        <v>81</v>
      </c>
    </row>
    <row r="13" customFormat="false" ht="19.5" hidden="false" customHeight="true" outlineLevel="0" collapsed="false">
      <c r="B13" s="31" t="s">
        <v>82</v>
      </c>
      <c r="C13" s="37" t="n">
        <f aca="false">'🌱 Configuração'!D6+7</f>
        <v>7</v>
      </c>
      <c r="D13" s="33" t="s">
        <v>70</v>
      </c>
      <c r="E13" s="38" t="s">
        <v>83</v>
      </c>
      <c r="F13" s="39"/>
      <c r="G13" s="40"/>
      <c r="H13" s="38"/>
      <c r="I13" s="38"/>
    </row>
    <row r="14" customFormat="false" ht="19.5" hidden="false" customHeight="true" outlineLevel="0" collapsed="false">
      <c r="B14" s="31" t="s">
        <v>84</v>
      </c>
      <c r="C14" s="32" t="n">
        <f aca="false">'🌱 Configuração'!D6+8</f>
        <v>8</v>
      </c>
      <c r="D14" s="33" t="s">
        <v>70</v>
      </c>
      <c r="E14" s="34" t="s">
        <v>83</v>
      </c>
      <c r="F14" s="35"/>
      <c r="G14" s="36" t="s">
        <v>85</v>
      </c>
      <c r="H14" s="34"/>
      <c r="I14" s="34"/>
    </row>
    <row r="15" customFormat="false" ht="19.5" hidden="false" customHeight="true" outlineLevel="0" collapsed="false">
      <c r="B15" s="31" t="s">
        <v>86</v>
      </c>
      <c r="C15" s="37" t="n">
        <f aca="false">'🌱 Configuração'!D6+9</f>
        <v>9</v>
      </c>
      <c r="D15" s="33" t="s">
        <v>70</v>
      </c>
      <c r="E15" s="38" t="s">
        <v>83</v>
      </c>
      <c r="F15" s="39"/>
      <c r="G15" s="40"/>
      <c r="H15" s="38"/>
      <c r="I15" s="38"/>
    </row>
    <row r="16" customFormat="false" ht="19.5" hidden="false" customHeight="true" outlineLevel="0" collapsed="false">
      <c r="B16" s="31" t="s">
        <v>87</v>
      </c>
      <c r="C16" s="32" t="n">
        <f aca="false">'🌱 Configuração'!D6+10</f>
        <v>10</v>
      </c>
      <c r="D16" s="33" t="s">
        <v>70</v>
      </c>
      <c r="E16" s="34" t="s">
        <v>83</v>
      </c>
      <c r="F16" s="35"/>
      <c r="G16" s="36"/>
      <c r="H16" s="34"/>
      <c r="I16" s="34"/>
    </row>
    <row r="17" customFormat="false" ht="19.5" hidden="false" customHeight="true" outlineLevel="0" collapsed="false">
      <c r="B17" s="31" t="s">
        <v>21</v>
      </c>
      <c r="C17" s="37" t="n">
        <f aca="false">'🌱 Configuração'!D6+11</f>
        <v>11</v>
      </c>
      <c r="D17" s="33" t="s">
        <v>70</v>
      </c>
      <c r="E17" s="38" t="s">
        <v>83</v>
      </c>
      <c r="F17" s="39" t="s">
        <v>88</v>
      </c>
      <c r="G17" s="40"/>
      <c r="H17" s="38"/>
      <c r="I17" s="38"/>
    </row>
    <row r="18" customFormat="false" ht="19.5" hidden="false" customHeight="true" outlineLevel="0" collapsed="false">
      <c r="B18" s="31" t="s">
        <v>89</v>
      </c>
      <c r="C18" s="32" t="n">
        <f aca="false">'🌱 Configuração'!D6+12</f>
        <v>12</v>
      </c>
      <c r="D18" s="33" t="s">
        <v>70</v>
      </c>
      <c r="E18" s="34" t="s">
        <v>83</v>
      </c>
      <c r="F18" s="35"/>
      <c r="G18" s="36"/>
      <c r="H18" s="34"/>
      <c r="I18" s="34"/>
    </row>
    <row r="19" customFormat="false" ht="19.5" hidden="false" customHeight="true" outlineLevel="0" collapsed="false">
      <c r="B19" s="31" t="s">
        <v>5</v>
      </c>
      <c r="C19" s="37" t="n">
        <f aca="false">'🌱 Configuração'!D6+13</f>
        <v>13</v>
      </c>
      <c r="D19" s="33" t="s">
        <v>70</v>
      </c>
      <c r="E19" s="38" t="s">
        <v>83</v>
      </c>
      <c r="F19" s="39"/>
      <c r="G19" s="40" t="s">
        <v>90</v>
      </c>
      <c r="H19" s="38" t="s">
        <v>91</v>
      </c>
      <c r="I19" s="38" t="s">
        <v>92</v>
      </c>
    </row>
    <row r="20" customFormat="false" ht="19.5" hidden="false" customHeight="true" outlineLevel="0" collapsed="false">
      <c r="B20" s="31" t="s">
        <v>93</v>
      </c>
      <c r="C20" s="32" t="n">
        <f aca="false">'🌱 Configuração'!D6+14</f>
        <v>14</v>
      </c>
      <c r="D20" s="41" t="s">
        <v>94</v>
      </c>
      <c r="E20" s="34" t="s">
        <v>95</v>
      </c>
      <c r="F20" s="35"/>
      <c r="G20" s="36"/>
      <c r="H20" s="34" t="s">
        <v>96</v>
      </c>
      <c r="I20" s="34"/>
    </row>
    <row r="21" customFormat="false" ht="19.5" hidden="false" customHeight="true" outlineLevel="0" collapsed="false">
      <c r="B21" s="31" t="s">
        <v>97</v>
      </c>
      <c r="C21" s="42" t="n">
        <f aca="false">'🌱 Configuração'!D6+15</f>
        <v>15</v>
      </c>
      <c r="D21" s="41" t="s">
        <v>94</v>
      </c>
      <c r="E21" s="43" t="s">
        <v>95</v>
      </c>
      <c r="F21" s="44" t="s">
        <v>98</v>
      </c>
      <c r="G21" s="45"/>
      <c r="H21" s="43" t="s">
        <v>99</v>
      </c>
      <c r="I21" s="43"/>
    </row>
    <row r="22" customFormat="false" ht="19.5" hidden="false" customHeight="true" outlineLevel="0" collapsed="false">
      <c r="B22" s="31" t="s">
        <v>100</v>
      </c>
      <c r="C22" s="32" t="n">
        <f aca="false">'🌱 Configuração'!D6+16</f>
        <v>16</v>
      </c>
      <c r="D22" s="41" t="s">
        <v>94</v>
      </c>
      <c r="E22" s="34" t="s">
        <v>95</v>
      </c>
      <c r="F22" s="35"/>
      <c r="G22" s="36"/>
      <c r="H22" s="34"/>
      <c r="I22" s="34"/>
    </row>
    <row r="23" customFormat="false" ht="19.5" hidden="false" customHeight="true" outlineLevel="0" collapsed="false">
      <c r="B23" s="31" t="s">
        <v>18</v>
      </c>
      <c r="C23" s="42" t="n">
        <f aca="false">'🌱 Configuração'!D6+17</f>
        <v>17</v>
      </c>
      <c r="D23" s="41" t="s">
        <v>94</v>
      </c>
      <c r="E23" s="43" t="s">
        <v>95</v>
      </c>
      <c r="F23" s="44"/>
      <c r="G23" s="45"/>
      <c r="H23" s="43"/>
      <c r="I23" s="43"/>
    </row>
    <row r="24" customFormat="false" ht="19.5" hidden="false" customHeight="true" outlineLevel="0" collapsed="false">
      <c r="B24" s="31" t="s">
        <v>101</v>
      </c>
      <c r="C24" s="32" t="n">
        <f aca="false">'🌱 Configuração'!D6+18</f>
        <v>18</v>
      </c>
      <c r="D24" s="41" t="s">
        <v>94</v>
      </c>
      <c r="E24" s="34" t="s">
        <v>95</v>
      </c>
      <c r="F24" s="35"/>
      <c r="G24" s="36"/>
      <c r="H24" s="34"/>
      <c r="I24" s="34"/>
    </row>
    <row r="25" customFormat="false" ht="19.5" hidden="false" customHeight="true" outlineLevel="0" collapsed="false">
      <c r="B25" s="31" t="s">
        <v>102</v>
      </c>
      <c r="C25" s="42" t="n">
        <f aca="false">'🌱 Configuração'!D6+19</f>
        <v>19</v>
      </c>
      <c r="D25" s="41" t="s">
        <v>94</v>
      </c>
      <c r="E25" s="43" t="s">
        <v>95</v>
      </c>
      <c r="F25" s="44"/>
      <c r="G25" s="45"/>
      <c r="H25" s="43"/>
      <c r="I25" s="43"/>
    </row>
    <row r="26" customFormat="false" ht="19.5" hidden="false" customHeight="true" outlineLevel="0" collapsed="false">
      <c r="B26" s="31" t="s">
        <v>103</v>
      </c>
      <c r="C26" s="32" t="n">
        <f aca="false">'🌱 Configuração'!D6+20</f>
        <v>20</v>
      </c>
      <c r="D26" s="41" t="s">
        <v>94</v>
      </c>
      <c r="E26" s="34" t="s">
        <v>95</v>
      </c>
      <c r="F26" s="35" t="s">
        <v>104</v>
      </c>
      <c r="G26" s="36" t="s">
        <v>105</v>
      </c>
      <c r="H26" s="34" t="s">
        <v>106</v>
      </c>
      <c r="I26" s="34" t="s">
        <v>107</v>
      </c>
    </row>
    <row r="27" customFormat="false" ht="19.5" hidden="false" customHeight="true" outlineLevel="0" collapsed="false">
      <c r="B27" s="31" t="s">
        <v>108</v>
      </c>
      <c r="C27" s="42" t="n">
        <f aca="false">'🌱 Configuração'!D6+21</f>
        <v>21</v>
      </c>
      <c r="D27" s="41" t="s">
        <v>94</v>
      </c>
      <c r="E27" s="43" t="s">
        <v>109</v>
      </c>
      <c r="F27" s="44"/>
      <c r="G27" s="45"/>
      <c r="H27" s="43"/>
      <c r="I27" s="43"/>
    </row>
    <row r="28" customFormat="false" ht="19.5" hidden="false" customHeight="true" outlineLevel="0" collapsed="false">
      <c r="B28" s="31" t="s">
        <v>110</v>
      </c>
      <c r="C28" s="32" t="n">
        <f aca="false">'🌱 Configuração'!D6+22</f>
        <v>22</v>
      </c>
      <c r="D28" s="41" t="s">
        <v>94</v>
      </c>
      <c r="E28" s="34" t="s">
        <v>109</v>
      </c>
      <c r="F28" s="35"/>
      <c r="G28" s="36"/>
      <c r="H28" s="34"/>
      <c r="I28" s="34"/>
    </row>
    <row r="29" customFormat="false" ht="19.5" hidden="false" customHeight="true" outlineLevel="0" collapsed="false">
      <c r="B29" s="31" t="s">
        <v>25</v>
      </c>
      <c r="C29" s="42" t="n">
        <f aca="false">'🌱 Configuração'!D6+23</f>
        <v>23</v>
      </c>
      <c r="D29" s="41" t="s">
        <v>94</v>
      </c>
      <c r="E29" s="43" t="s">
        <v>109</v>
      </c>
      <c r="F29" s="44"/>
      <c r="G29" s="45"/>
      <c r="H29" s="43"/>
      <c r="I29" s="43"/>
    </row>
    <row r="30" customFormat="false" ht="19.5" hidden="false" customHeight="true" outlineLevel="0" collapsed="false">
      <c r="B30" s="31" t="s">
        <v>111</v>
      </c>
      <c r="C30" s="32" t="n">
        <f aca="false">'🌱 Configuração'!D6+24</f>
        <v>24</v>
      </c>
      <c r="D30" s="41" t="s">
        <v>94</v>
      </c>
      <c r="E30" s="34" t="s">
        <v>109</v>
      </c>
      <c r="F30" s="35" t="s">
        <v>112</v>
      </c>
      <c r="G30" s="36"/>
      <c r="H30" s="34"/>
      <c r="I30" s="34"/>
    </row>
    <row r="31" customFormat="false" ht="19.5" hidden="false" customHeight="true" outlineLevel="0" collapsed="false">
      <c r="B31" s="31" t="s">
        <v>113</v>
      </c>
      <c r="C31" s="42" t="n">
        <f aca="false">'🌱 Configuração'!D6+25</f>
        <v>25</v>
      </c>
      <c r="D31" s="41" t="s">
        <v>94</v>
      </c>
      <c r="E31" s="43" t="s">
        <v>109</v>
      </c>
      <c r="F31" s="44"/>
      <c r="G31" s="45"/>
      <c r="H31" s="43"/>
      <c r="I31" s="43"/>
    </row>
    <row r="32" customFormat="false" ht="19.5" hidden="false" customHeight="true" outlineLevel="0" collapsed="false">
      <c r="B32" s="31" t="s">
        <v>114</v>
      </c>
      <c r="C32" s="32" t="n">
        <f aca="false">'🌱 Configuração'!D6+26</f>
        <v>26</v>
      </c>
      <c r="D32" s="41" t="s">
        <v>94</v>
      </c>
      <c r="E32" s="34" t="s">
        <v>109</v>
      </c>
      <c r="F32" s="35"/>
      <c r="G32" s="36"/>
      <c r="H32" s="34"/>
      <c r="I32" s="34"/>
    </row>
    <row r="33" customFormat="false" ht="19.5" hidden="false" customHeight="true" outlineLevel="0" collapsed="false">
      <c r="B33" s="31" t="s">
        <v>115</v>
      </c>
      <c r="C33" s="42" t="n">
        <f aca="false">'🌱 Configuração'!D6+27</f>
        <v>27</v>
      </c>
      <c r="D33" s="41" t="s">
        <v>94</v>
      </c>
      <c r="E33" s="43" t="s">
        <v>109</v>
      </c>
      <c r="F33" s="44" t="s">
        <v>116</v>
      </c>
      <c r="G33" s="45" t="s">
        <v>117</v>
      </c>
      <c r="H33" s="43" t="s">
        <v>118</v>
      </c>
      <c r="I33" s="43"/>
    </row>
    <row r="34" customFormat="false" ht="19.5" hidden="false" customHeight="true" outlineLevel="0" collapsed="false">
      <c r="B34" s="31" t="s">
        <v>119</v>
      </c>
      <c r="C34" s="32" t="n">
        <f aca="false">'🌱 Configuração'!D6+28</f>
        <v>28</v>
      </c>
      <c r="D34" s="41" t="s">
        <v>94</v>
      </c>
      <c r="E34" s="34" t="s">
        <v>120</v>
      </c>
      <c r="F34" s="35"/>
      <c r="G34" s="36"/>
      <c r="H34" s="34"/>
      <c r="I34" s="34"/>
    </row>
    <row r="35" customFormat="false" ht="19.5" hidden="false" customHeight="true" outlineLevel="0" collapsed="false">
      <c r="B35" s="31" t="s">
        <v>121</v>
      </c>
      <c r="C35" s="42" t="n">
        <f aca="false">'🌱 Configuração'!D6+29</f>
        <v>29</v>
      </c>
      <c r="D35" s="41" t="s">
        <v>94</v>
      </c>
      <c r="E35" s="43" t="s">
        <v>120</v>
      </c>
      <c r="F35" s="44"/>
      <c r="G35" s="45"/>
      <c r="H35" s="43"/>
      <c r="I35" s="43"/>
    </row>
    <row r="36" customFormat="false" ht="19.5" hidden="false" customHeight="true" outlineLevel="0" collapsed="false">
      <c r="B36" s="31" t="s">
        <v>122</v>
      </c>
      <c r="C36" s="32" t="n">
        <f aca="false">'🌱 Configuração'!D6+30</f>
        <v>30</v>
      </c>
      <c r="D36" s="41" t="s">
        <v>94</v>
      </c>
      <c r="E36" s="34" t="s">
        <v>120</v>
      </c>
      <c r="F36" s="35"/>
      <c r="G36" s="36"/>
      <c r="H36" s="34"/>
      <c r="I36" s="34"/>
    </row>
    <row r="37" customFormat="false" ht="19.5" hidden="false" customHeight="true" outlineLevel="0" collapsed="false">
      <c r="B37" s="31" t="s">
        <v>123</v>
      </c>
      <c r="C37" s="42" t="n">
        <f aca="false">'🌱 Configuração'!D6+31</f>
        <v>31</v>
      </c>
      <c r="D37" s="41" t="s">
        <v>94</v>
      </c>
      <c r="E37" s="43" t="s">
        <v>120</v>
      </c>
      <c r="F37" s="44" t="s">
        <v>124</v>
      </c>
      <c r="G37" s="45"/>
      <c r="H37" s="43"/>
      <c r="I37" s="43"/>
    </row>
    <row r="38" customFormat="false" ht="19.5" hidden="false" customHeight="true" outlineLevel="0" collapsed="false">
      <c r="B38" s="31" t="s">
        <v>125</v>
      </c>
      <c r="C38" s="32" t="n">
        <f aca="false">'🌱 Configuração'!D6+32</f>
        <v>32</v>
      </c>
      <c r="D38" s="41" t="s">
        <v>94</v>
      </c>
      <c r="E38" s="34" t="s">
        <v>120</v>
      </c>
      <c r="F38" s="35"/>
      <c r="G38" s="36"/>
      <c r="H38" s="34"/>
      <c r="I38" s="34"/>
    </row>
    <row r="39" customFormat="false" ht="19.5" hidden="false" customHeight="true" outlineLevel="0" collapsed="false">
      <c r="B39" s="31" t="s">
        <v>126</v>
      </c>
      <c r="C39" s="42" t="n">
        <f aca="false">'🌱 Configuração'!D6+33</f>
        <v>33</v>
      </c>
      <c r="D39" s="41" t="s">
        <v>94</v>
      </c>
      <c r="E39" s="43" t="s">
        <v>120</v>
      </c>
      <c r="F39" s="44"/>
      <c r="G39" s="45"/>
      <c r="H39" s="43"/>
      <c r="I39" s="43"/>
    </row>
    <row r="40" customFormat="false" ht="19.5" hidden="false" customHeight="true" outlineLevel="0" collapsed="false">
      <c r="B40" s="31" t="s">
        <v>127</v>
      </c>
      <c r="C40" s="32" t="n">
        <f aca="false">'🌱 Configuração'!D6+34</f>
        <v>34</v>
      </c>
      <c r="D40" s="41" t="s">
        <v>94</v>
      </c>
      <c r="E40" s="34" t="s">
        <v>120</v>
      </c>
      <c r="F40" s="35" t="s">
        <v>128</v>
      </c>
      <c r="G40" s="36" t="s">
        <v>129</v>
      </c>
      <c r="H40" s="34" t="s">
        <v>130</v>
      </c>
      <c r="I40" s="34" t="s">
        <v>131</v>
      </c>
    </row>
    <row r="41" customFormat="false" ht="19.5" hidden="false" customHeight="true" outlineLevel="0" collapsed="false">
      <c r="B41" s="31" t="s">
        <v>132</v>
      </c>
      <c r="C41" s="42" t="n">
        <f aca="false">'🌱 Configuração'!D6+35</f>
        <v>35</v>
      </c>
      <c r="D41" s="41" t="s">
        <v>94</v>
      </c>
      <c r="E41" s="43" t="s">
        <v>133</v>
      </c>
      <c r="F41" s="44"/>
      <c r="G41" s="45"/>
      <c r="H41" s="43"/>
      <c r="I41" s="43"/>
    </row>
    <row r="42" customFormat="false" ht="19.5" hidden="false" customHeight="true" outlineLevel="0" collapsed="false">
      <c r="B42" s="31" t="s">
        <v>134</v>
      </c>
      <c r="C42" s="32" t="n">
        <f aca="false">'🌱 Configuração'!D6+36</f>
        <v>36</v>
      </c>
      <c r="D42" s="41" t="s">
        <v>94</v>
      </c>
      <c r="E42" s="34" t="s">
        <v>133</v>
      </c>
      <c r="F42" s="35"/>
      <c r="G42" s="36"/>
      <c r="H42" s="34"/>
      <c r="I42" s="34"/>
    </row>
    <row r="43" customFormat="false" ht="19.5" hidden="false" customHeight="true" outlineLevel="0" collapsed="false">
      <c r="B43" s="31" t="s">
        <v>135</v>
      </c>
      <c r="C43" s="42" t="n">
        <f aca="false">'🌱 Configuração'!D6+37</f>
        <v>37</v>
      </c>
      <c r="D43" s="41" t="s">
        <v>94</v>
      </c>
      <c r="E43" s="43" t="s">
        <v>133</v>
      </c>
      <c r="F43" s="44" t="s">
        <v>136</v>
      </c>
      <c r="G43" s="45"/>
      <c r="H43" s="43"/>
      <c r="I43" s="43"/>
    </row>
    <row r="44" customFormat="false" ht="19.5" hidden="false" customHeight="true" outlineLevel="0" collapsed="false">
      <c r="B44" s="31" t="s">
        <v>137</v>
      </c>
      <c r="C44" s="32" t="n">
        <f aca="false">'🌱 Configuração'!D6+38</f>
        <v>38</v>
      </c>
      <c r="D44" s="41" t="s">
        <v>94</v>
      </c>
      <c r="E44" s="34" t="s">
        <v>133</v>
      </c>
      <c r="F44" s="35"/>
      <c r="G44" s="36"/>
      <c r="H44" s="34"/>
      <c r="I44" s="34"/>
    </row>
    <row r="45" customFormat="false" ht="19.5" hidden="false" customHeight="true" outlineLevel="0" collapsed="false">
      <c r="B45" s="31" t="s">
        <v>138</v>
      </c>
      <c r="C45" s="42" t="n">
        <f aca="false">'🌱 Configuração'!D6+39</f>
        <v>39</v>
      </c>
      <c r="D45" s="41" t="s">
        <v>94</v>
      </c>
      <c r="E45" s="43" t="s">
        <v>133</v>
      </c>
      <c r="F45" s="44"/>
      <c r="G45" s="45"/>
      <c r="H45" s="43"/>
      <c r="I45" s="43"/>
    </row>
    <row r="46" customFormat="false" ht="19.5" hidden="false" customHeight="true" outlineLevel="0" collapsed="false">
      <c r="B46" s="31" t="s">
        <v>139</v>
      </c>
      <c r="C46" s="32" t="n">
        <f aca="false">'🌱 Configuração'!D6+40</f>
        <v>40</v>
      </c>
      <c r="D46" s="41" t="s">
        <v>94</v>
      </c>
      <c r="E46" s="34" t="s">
        <v>133</v>
      </c>
      <c r="F46" s="35"/>
      <c r="G46" s="36"/>
      <c r="H46" s="34"/>
      <c r="I46" s="34"/>
    </row>
    <row r="47" customFormat="false" ht="19.5" hidden="false" customHeight="true" outlineLevel="0" collapsed="false">
      <c r="B47" s="31" t="s">
        <v>8</v>
      </c>
      <c r="C47" s="42" t="n">
        <f aca="false">'🌱 Configuração'!D6+41</f>
        <v>41</v>
      </c>
      <c r="D47" s="41" t="s">
        <v>94</v>
      </c>
      <c r="E47" s="43" t="s">
        <v>133</v>
      </c>
      <c r="F47" s="44" t="s">
        <v>140</v>
      </c>
      <c r="G47" s="45" t="s">
        <v>141</v>
      </c>
      <c r="H47" s="43" t="s">
        <v>142</v>
      </c>
      <c r="I47" s="43" t="s">
        <v>143</v>
      </c>
    </row>
    <row r="48" customFormat="false" ht="19.5" hidden="false" customHeight="true" outlineLevel="0" collapsed="false">
      <c r="B48" s="31" t="s">
        <v>144</v>
      </c>
      <c r="C48" s="32" t="n">
        <f aca="false">'🌱 Configuração'!D6+42</f>
        <v>42</v>
      </c>
      <c r="D48" s="41" t="s">
        <v>94</v>
      </c>
      <c r="E48" s="34" t="s">
        <v>145</v>
      </c>
      <c r="F48" s="35"/>
      <c r="G48" s="36"/>
      <c r="H48" s="34" t="s">
        <v>146</v>
      </c>
      <c r="I48" s="34" t="s">
        <v>147</v>
      </c>
    </row>
    <row r="49" customFormat="false" ht="19.5" hidden="false" customHeight="true" outlineLevel="0" collapsed="false">
      <c r="B49" s="31" t="s">
        <v>148</v>
      </c>
      <c r="C49" s="42" t="n">
        <f aca="false">'🌱 Configuração'!D6+43</f>
        <v>43</v>
      </c>
      <c r="D49" s="41" t="s">
        <v>94</v>
      </c>
      <c r="E49" s="43" t="s">
        <v>145</v>
      </c>
      <c r="F49" s="44"/>
      <c r="G49" s="45"/>
      <c r="H49" s="43"/>
      <c r="I49" s="43"/>
    </row>
    <row r="50" customFormat="false" ht="19.5" hidden="false" customHeight="true" outlineLevel="0" collapsed="false">
      <c r="B50" s="31" t="s">
        <v>149</v>
      </c>
      <c r="C50" s="32" t="n">
        <f aca="false">'🌱 Configuração'!D6+44</f>
        <v>44</v>
      </c>
      <c r="D50" s="41" t="s">
        <v>94</v>
      </c>
      <c r="E50" s="34" t="s">
        <v>145</v>
      </c>
      <c r="F50" s="35" t="s">
        <v>150</v>
      </c>
      <c r="G50" s="36"/>
      <c r="H50" s="34"/>
      <c r="I50" s="34"/>
    </row>
    <row r="51" customFormat="false" ht="19.5" hidden="false" customHeight="true" outlineLevel="0" collapsed="false">
      <c r="B51" s="31" t="s">
        <v>151</v>
      </c>
      <c r="C51" s="42" t="n">
        <f aca="false">'🌱 Configuração'!D6+45</f>
        <v>45</v>
      </c>
      <c r="D51" s="41" t="s">
        <v>94</v>
      </c>
      <c r="E51" s="43" t="s">
        <v>145</v>
      </c>
      <c r="F51" s="44"/>
      <c r="G51" s="45"/>
      <c r="H51" s="43"/>
      <c r="I51" s="43"/>
    </row>
    <row r="52" customFormat="false" ht="19.5" hidden="false" customHeight="true" outlineLevel="0" collapsed="false">
      <c r="B52" s="31" t="s">
        <v>152</v>
      </c>
      <c r="C52" s="32" t="n">
        <f aca="false">'🌱 Configuração'!D6+46</f>
        <v>46</v>
      </c>
      <c r="D52" s="41" t="s">
        <v>94</v>
      </c>
      <c r="E52" s="34" t="s">
        <v>145</v>
      </c>
      <c r="F52" s="35"/>
      <c r="G52" s="36"/>
      <c r="H52" s="34"/>
      <c r="I52" s="34"/>
    </row>
    <row r="53" customFormat="false" ht="19.5" hidden="false" customHeight="true" outlineLevel="0" collapsed="false">
      <c r="B53" s="31" t="s">
        <v>153</v>
      </c>
      <c r="C53" s="42" t="n">
        <f aca="false">'🌱 Configuração'!D6+47</f>
        <v>47</v>
      </c>
      <c r="D53" s="41" t="s">
        <v>94</v>
      </c>
      <c r="E53" s="43" t="s">
        <v>145</v>
      </c>
      <c r="F53" s="44"/>
      <c r="G53" s="45"/>
      <c r="H53" s="43"/>
      <c r="I53" s="43"/>
    </row>
    <row r="54" customFormat="false" ht="19.5" hidden="false" customHeight="true" outlineLevel="0" collapsed="false">
      <c r="B54" s="31" t="s">
        <v>154</v>
      </c>
      <c r="C54" s="32" t="n">
        <f aca="false">'🌱 Configuração'!D6+48</f>
        <v>48</v>
      </c>
      <c r="D54" s="41" t="s">
        <v>94</v>
      </c>
      <c r="E54" s="34" t="s">
        <v>145</v>
      </c>
      <c r="F54" s="35"/>
      <c r="G54" s="36" t="s">
        <v>105</v>
      </c>
      <c r="H54" s="34"/>
      <c r="I54" s="34"/>
    </row>
    <row r="55" customFormat="false" ht="19.5" hidden="false" customHeight="true" outlineLevel="0" collapsed="false">
      <c r="B55" s="31" t="s">
        <v>29</v>
      </c>
      <c r="C55" s="42" t="n">
        <f aca="false">'🌱 Configuração'!D6+49</f>
        <v>49</v>
      </c>
      <c r="D55" s="41" t="s">
        <v>94</v>
      </c>
      <c r="E55" s="43" t="s">
        <v>155</v>
      </c>
      <c r="F55" s="44"/>
      <c r="G55" s="45"/>
      <c r="H55" s="43"/>
      <c r="I55" s="43"/>
    </row>
    <row r="56" customFormat="false" ht="19.5" hidden="false" customHeight="true" outlineLevel="0" collapsed="false">
      <c r="B56" s="31" t="s">
        <v>156</v>
      </c>
      <c r="C56" s="32" t="n">
        <f aca="false">'🌱 Configuração'!D6+50</f>
        <v>50</v>
      </c>
      <c r="D56" s="41" t="s">
        <v>94</v>
      </c>
      <c r="E56" s="34" t="s">
        <v>155</v>
      </c>
      <c r="F56" s="35"/>
      <c r="G56" s="36"/>
      <c r="H56" s="34"/>
      <c r="I56" s="34"/>
    </row>
    <row r="57" customFormat="false" ht="19.5" hidden="false" customHeight="true" outlineLevel="0" collapsed="false">
      <c r="B57" s="31" t="s">
        <v>157</v>
      </c>
      <c r="C57" s="42" t="n">
        <f aca="false">'🌱 Configuração'!D6+51</f>
        <v>51</v>
      </c>
      <c r="D57" s="41" t="s">
        <v>94</v>
      </c>
      <c r="E57" s="43" t="s">
        <v>155</v>
      </c>
      <c r="F57" s="44"/>
      <c r="G57" s="45"/>
      <c r="H57" s="43"/>
      <c r="I57" s="43"/>
    </row>
    <row r="58" customFormat="false" ht="19.5" hidden="false" customHeight="true" outlineLevel="0" collapsed="false">
      <c r="B58" s="31" t="s">
        <v>158</v>
      </c>
      <c r="C58" s="32" t="n">
        <f aca="false">'🌱 Configuração'!D6+52</f>
        <v>52</v>
      </c>
      <c r="D58" s="41" t="s">
        <v>94</v>
      </c>
      <c r="E58" s="34" t="s">
        <v>155</v>
      </c>
      <c r="F58" s="35"/>
      <c r="G58" s="36"/>
      <c r="H58" s="34"/>
      <c r="I58" s="34"/>
    </row>
    <row r="59" customFormat="false" ht="19.5" hidden="false" customHeight="true" outlineLevel="0" collapsed="false">
      <c r="B59" s="31" t="s">
        <v>159</v>
      </c>
      <c r="C59" s="42" t="n">
        <f aca="false">'🌱 Configuração'!D6+53</f>
        <v>53</v>
      </c>
      <c r="D59" s="41" t="s">
        <v>94</v>
      </c>
      <c r="E59" s="43" t="s">
        <v>155</v>
      </c>
      <c r="F59" s="44"/>
      <c r="G59" s="45"/>
      <c r="H59" s="43"/>
      <c r="I59" s="43"/>
    </row>
    <row r="60" customFormat="false" ht="19.5" hidden="false" customHeight="true" outlineLevel="0" collapsed="false">
      <c r="B60" s="31" t="s">
        <v>160</v>
      </c>
      <c r="C60" s="32" t="n">
        <f aca="false">'🌱 Configuração'!D6+54</f>
        <v>54</v>
      </c>
      <c r="D60" s="41" t="s">
        <v>94</v>
      </c>
      <c r="E60" s="34" t="s">
        <v>155</v>
      </c>
      <c r="F60" s="35"/>
      <c r="G60" s="36"/>
      <c r="H60" s="34"/>
      <c r="I60" s="34"/>
    </row>
    <row r="61" customFormat="false" ht="19.5" hidden="false" customHeight="true" outlineLevel="0" collapsed="false">
      <c r="B61" s="31" t="s">
        <v>161</v>
      </c>
      <c r="C61" s="42" t="n">
        <f aca="false">'🌱 Configuração'!D6+55</f>
        <v>55</v>
      </c>
      <c r="D61" s="41" t="s">
        <v>94</v>
      </c>
      <c r="E61" s="43" t="s">
        <v>155</v>
      </c>
      <c r="F61" s="44"/>
      <c r="G61" s="45" t="s">
        <v>162</v>
      </c>
      <c r="H61" s="43"/>
      <c r="I61" s="43"/>
    </row>
    <row r="62" customFormat="false" ht="19.5" hidden="false" customHeight="true" outlineLevel="0" collapsed="false">
      <c r="B62" s="31" t="s">
        <v>163</v>
      </c>
      <c r="C62" s="32" t="n">
        <f aca="false">'🌱 Configuração'!D6+56</f>
        <v>56</v>
      </c>
      <c r="D62" s="46" t="s">
        <v>164</v>
      </c>
      <c r="E62" s="34" t="s">
        <v>165</v>
      </c>
      <c r="F62" s="35"/>
      <c r="G62" s="36"/>
      <c r="H62" s="34" t="s">
        <v>166</v>
      </c>
      <c r="I62" s="34" t="s">
        <v>167</v>
      </c>
    </row>
    <row r="63" customFormat="false" ht="19.5" hidden="false" customHeight="true" outlineLevel="0" collapsed="false">
      <c r="B63" s="31" t="s">
        <v>168</v>
      </c>
      <c r="C63" s="47" t="n">
        <f aca="false">'🌱 Configuração'!D6+57</f>
        <v>57</v>
      </c>
      <c r="D63" s="46" t="s">
        <v>164</v>
      </c>
      <c r="E63" s="48" t="s">
        <v>165</v>
      </c>
      <c r="F63" s="49" t="s">
        <v>169</v>
      </c>
      <c r="G63" s="50"/>
      <c r="H63" s="48"/>
      <c r="I63" s="48"/>
    </row>
    <row r="64" customFormat="false" ht="19.5" hidden="false" customHeight="true" outlineLevel="0" collapsed="false">
      <c r="B64" s="31" t="s">
        <v>170</v>
      </c>
      <c r="C64" s="32" t="n">
        <f aca="false">'🌱 Configuração'!D6+58</f>
        <v>58</v>
      </c>
      <c r="D64" s="46" t="s">
        <v>164</v>
      </c>
      <c r="E64" s="34" t="s">
        <v>165</v>
      </c>
      <c r="F64" s="35"/>
      <c r="G64" s="36"/>
      <c r="H64" s="34"/>
      <c r="I64" s="34"/>
    </row>
    <row r="65" customFormat="false" ht="19.5" hidden="false" customHeight="true" outlineLevel="0" collapsed="false">
      <c r="B65" s="31" t="s">
        <v>171</v>
      </c>
      <c r="C65" s="47" t="n">
        <f aca="false">'🌱 Configuração'!D6+59</f>
        <v>59</v>
      </c>
      <c r="D65" s="46" t="s">
        <v>164</v>
      </c>
      <c r="E65" s="48" t="s">
        <v>165</v>
      </c>
      <c r="F65" s="49"/>
      <c r="G65" s="50"/>
      <c r="H65" s="48"/>
      <c r="I65" s="48"/>
    </row>
    <row r="66" customFormat="false" ht="19.5" hidden="false" customHeight="true" outlineLevel="0" collapsed="false">
      <c r="B66" s="31" t="s">
        <v>172</v>
      </c>
      <c r="C66" s="32" t="n">
        <f aca="false">'🌱 Configuração'!D6+60</f>
        <v>60</v>
      </c>
      <c r="D66" s="46" t="s">
        <v>164</v>
      </c>
      <c r="E66" s="34" t="s">
        <v>165</v>
      </c>
      <c r="F66" s="35"/>
      <c r="G66" s="36"/>
      <c r="H66" s="34"/>
      <c r="I66" s="34"/>
    </row>
    <row r="67" customFormat="false" ht="19.5" hidden="false" customHeight="true" outlineLevel="0" collapsed="false">
      <c r="B67" s="31" t="s">
        <v>173</v>
      </c>
      <c r="C67" s="47" t="n">
        <f aca="false">'🌱 Configuração'!D6+61</f>
        <v>61</v>
      </c>
      <c r="D67" s="46" t="s">
        <v>164</v>
      </c>
      <c r="E67" s="48" t="s">
        <v>165</v>
      </c>
      <c r="F67" s="49"/>
      <c r="G67" s="50"/>
      <c r="H67" s="48"/>
      <c r="I67" s="48"/>
    </row>
    <row r="68" customFormat="false" ht="19.5" hidden="false" customHeight="true" outlineLevel="0" collapsed="false">
      <c r="B68" s="31" t="s">
        <v>12</v>
      </c>
      <c r="C68" s="32" t="n">
        <f aca="false">'🌱 Configuração'!D6+62</f>
        <v>62</v>
      </c>
      <c r="D68" s="46" t="s">
        <v>164</v>
      </c>
      <c r="E68" s="34" t="s">
        <v>165</v>
      </c>
      <c r="F68" s="35" t="s">
        <v>174</v>
      </c>
      <c r="G68" s="36" t="s">
        <v>175</v>
      </c>
      <c r="H68" s="34" t="s">
        <v>176</v>
      </c>
      <c r="I68" s="34"/>
    </row>
    <row r="69" customFormat="false" ht="19.5" hidden="false" customHeight="true" outlineLevel="0" collapsed="false">
      <c r="B69" s="31" t="s">
        <v>177</v>
      </c>
      <c r="C69" s="47" t="n">
        <f aca="false">'🌱 Configuração'!D6+63</f>
        <v>63</v>
      </c>
      <c r="D69" s="46" t="s">
        <v>164</v>
      </c>
      <c r="E69" s="48" t="s">
        <v>178</v>
      </c>
      <c r="F69" s="49"/>
      <c r="G69" s="50"/>
      <c r="H69" s="48"/>
      <c r="I69" s="48"/>
    </row>
    <row r="70" customFormat="false" ht="19.5" hidden="false" customHeight="true" outlineLevel="0" collapsed="false">
      <c r="B70" s="31" t="s">
        <v>27</v>
      </c>
      <c r="C70" s="32" t="n">
        <f aca="false">'🌱 Configuração'!D6+64</f>
        <v>64</v>
      </c>
      <c r="D70" s="46" t="s">
        <v>164</v>
      </c>
      <c r="E70" s="34" t="s">
        <v>178</v>
      </c>
      <c r="F70" s="35"/>
      <c r="G70" s="36"/>
      <c r="H70" s="34"/>
      <c r="I70" s="34"/>
    </row>
    <row r="71" customFormat="false" ht="19.5" hidden="false" customHeight="true" outlineLevel="0" collapsed="false">
      <c r="B71" s="31" t="s">
        <v>179</v>
      </c>
      <c r="C71" s="47" t="n">
        <f aca="false">'🌱 Configuração'!D6+65</f>
        <v>65</v>
      </c>
      <c r="D71" s="46" t="s">
        <v>164</v>
      </c>
      <c r="E71" s="48" t="s">
        <v>178</v>
      </c>
      <c r="F71" s="49"/>
      <c r="G71" s="50"/>
      <c r="H71" s="48"/>
      <c r="I71" s="48"/>
    </row>
    <row r="72" customFormat="false" ht="19.5" hidden="false" customHeight="true" outlineLevel="0" collapsed="false">
      <c r="B72" s="31" t="s">
        <v>180</v>
      </c>
      <c r="C72" s="32" t="n">
        <f aca="false">'🌱 Configuração'!D6+66</f>
        <v>66</v>
      </c>
      <c r="D72" s="46" t="s">
        <v>164</v>
      </c>
      <c r="E72" s="34" t="s">
        <v>178</v>
      </c>
      <c r="F72" s="35"/>
      <c r="G72" s="36"/>
      <c r="H72" s="34"/>
      <c r="I72" s="34"/>
    </row>
    <row r="73" customFormat="false" ht="19.5" hidden="false" customHeight="true" outlineLevel="0" collapsed="false">
      <c r="B73" s="31" t="s">
        <v>181</v>
      </c>
      <c r="C73" s="47" t="n">
        <f aca="false">'🌱 Configuração'!D6+67</f>
        <v>67</v>
      </c>
      <c r="D73" s="46" t="s">
        <v>164</v>
      </c>
      <c r="E73" s="48" t="s">
        <v>178</v>
      </c>
      <c r="F73" s="49"/>
      <c r="G73" s="50"/>
      <c r="H73" s="48"/>
      <c r="I73" s="48"/>
    </row>
    <row r="74" customFormat="false" ht="19.5" hidden="false" customHeight="true" outlineLevel="0" collapsed="false">
      <c r="B74" s="31" t="s">
        <v>182</v>
      </c>
      <c r="C74" s="32" t="n">
        <f aca="false">'🌱 Configuração'!D6+68</f>
        <v>68</v>
      </c>
      <c r="D74" s="46" t="s">
        <v>164</v>
      </c>
      <c r="E74" s="34" t="s">
        <v>178</v>
      </c>
      <c r="F74" s="35"/>
      <c r="G74" s="36"/>
      <c r="H74" s="34"/>
      <c r="I74" s="34"/>
    </row>
    <row r="75" customFormat="false" ht="19.5" hidden="false" customHeight="true" outlineLevel="0" collapsed="false">
      <c r="B75" s="31" t="s">
        <v>183</v>
      </c>
      <c r="C75" s="47" t="n">
        <f aca="false">'🌱 Configuração'!D6+69</f>
        <v>69</v>
      </c>
      <c r="D75" s="46" t="s">
        <v>164</v>
      </c>
      <c r="E75" s="48" t="s">
        <v>178</v>
      </c>
      <c r="F75" s="49" t="s">
        <v>184</v>
      </c>
      <c r="G75" s="50" t="s">
        <v>185</v>
      </c>
      <c r="H75" s="48" t="s">
        <v>186</v>
      </c>
      <c r="I75" s="48" t="s">
        <v>187</v>
      </c>
    </row>
    <row r="76" customFormat="false" ht="19.5" hidden="false" customHeight="true" outlineLevel="0" collapsed="false">
      <c r="B76" s="31" t="s">
        <v>188</v>
      </c>
      <c r="C76" s="32" t="n">
        <f aca="false">'🌱 Configuração'!D6+70</f>
        <v>70</v>
      </c>
      <c r="D76" s="46" t="s">
        <v>164</v>
      </c>
      <c r="E76" s="34" t="s">
        <v>189</v>
      </c>
      <c r="F76" s="35"/>
      <c r="G76" s="36"/>
      <c r="H76" s="34"/>
      <c r="I76" s="34"/>
    </row>
    <row r="77" customFormat="false" ht="19.5" hidden="false" customHeight="true" outlineLevel="0" collapsed="false">
      <c r="B77" s="31" t="s">
        <v>190</v>
      </c>
      <c r="C77" s="47" t="n">
        <f aca="false">'🌱 Configuração'!D6+71</f>
        <v>71</v>
      </c>
      <c r="D77" s="46" t="s">
        <v>164</v>
      </c>
      <c r="E77" s="48" t="s">
        <v>189</v>
      </c>
      <c r="F77" s="49"/>
      <c r="G77" s="50"/>
      <c r="H77" s="48"/>
      <c r="I77" s="48"/>
    </row>
    <row r="78" customFormat="false" ht="19.5" hidden="false" customHeight="true" outlineLevel="0" collapsed="false">
      <c r="B78" s="31" t="s">
        <v>191</v>
      </c>
      <c r="C78" s="32" t="n">
        <f aca="false">'🌱 Configuração'!D6+72</f>
        <v>72</v>
      </c>
      <c r="D78" s="46" t="s">
        <v>164</v>
      </c>
      <c r="E78" s="34" t="s">
        <v>189</v>
      </c>
      <c r="F78" s="35"/>
      <c r="G78" s="36"/>
      <c r="H78" s="34"/>
      <c r="I78" s="34"/>
    </row>
    <row r="79" customFormat="false" ht="19.5" hidden="false" customHeight="true" outlineLevel="0" collapsed="false">
      <c r="B79" s="31" t="s">
        <v>192</v>
      </c>
      <c r="C79" s="47" t="n">
        <f aca="false">'🌱 Configuração'!D6+73</f>
        <v>73</v>
      </c>
      <c r="D79" s="46" t="s">
        <v>164</v>
      </c>
      <c r="E79" s="48" t="s">
        <v>189</v>
      </c>
      <c r="F79" s="49"/>
      <c r="G79" s="50"/>
      <c r="H79" s="48"/>
      <c r="I79" s="48"/>
    </row>
    <row r="80" customFormat="false" ht="19.5" hidden="false" customHeight="true" outlineLevel="0" collapsed="false">
      <c r="B80" s="31" t="s">
        <v>193</v>
      </c>
      <c r="C80" s="32" t="n">
        <f aca="false">'🌱 Configuração'!D6+74</f>
        <v>74</v>
      </c>
      <c r="D80" s="46" t="s">
        <v>164</v>
      </c>
      <c r="E80" s="34" t="s">
        <v>189</v>
      </c>
      <c r="F80" s="35"/>
      <c r="G80" s="36"/>
      <c r="H80" s="34"/>
      <c r="I80" s="34"/>
    </row>
    <row r="81" customFormat="false" ht="19.5" hidden="false" customHeight="true" outlineLevel="0" collapsed="false">
      <c r="B81" s="31" t="s">
        <v>194</v>
      </c>
      <c r="C81" s="47" t="n">
        <f aca="false">'🌱 Configuração'!D6+75</f>
        <v>75</v>
      </c>
      <c r="D81" s="46" t="s">
        <v>164</v>
      </c>
      <c r="E81" s="48" t="s">
        <v>189</v>
      </c>
      <c r="F81" s="49"/>
      <c r="G81" s="50"/>
      <c r="H81" s="48"/>
      <c r="I81" s="48"/>
    </row>
    <row r="82" customFormat="false" ht="19.5" hidden="false" customHeight="true" outlineLevel="0" collapsed="false">
      <c r="B82" s="31" t="s">
        <v>195</v>
      </c>
      <c r="C82" s="32" t="n">
        <f aca="false">'🌱 Configuração'!D6+76</f>
        <v>76</v>
      </c>
      <c r="D82" s="46" t="s">
        <v>164</v>
      </c>
      <c r="E82" s="34" t="s">
        <v>189</v>
      </c>
      <c r="F82" s="35" t="s">
        <v>196</v>
      </c>
      <c r="G82" s="36" t="s">
        <v>175</v>
      </c>
      <c r="H82" s="34" t="s">
        <v>197</v>
      </c>
      <c r="I82" s="34"/>
    </row>
    <row r="83" customFormat="false" ht="19.5" hidden="false" customHeight="true" outlineLevel="0" collapsed="false">
      <c r="B83" s="31" t="s">
        <v>198</v>
      </c>
      <c r="C83" s="47" t="n">
        <f aca="false">'🌱 Configuração'!D6+77</f>
        <v>77</v>
      </c>
      <c r="D83" s="46" t="s">
        <v>164</v>
      </c>
      <c r="E83" s="48" t="s">
        <v>199</v>
      </c>
      <c r="F83" s="49"/>
      <c r="G83" s="50"/>
      <c r="H83" s="48"/>
      <c r="I83" s="48"/>
    </row>
    <row r="84" customFormat="false" ht="19.5" hidden="false" customHeight="true" outlineLevel="0" collapsed="false">
      <c r="B84" s="31" t="s">
        <v>200</v>
      </c>
      <c r="C84" s="32" t="n">
        <f aca="false">'🌱 Configuração'!D6+78</f>
        <v>78</v>
      </c>
      <c r="D84" s="46" t="s">
        <v>164</v>
      </c>
      <c r="E84" s="34" t="s">
        <v>199</v>
      </c>
      <c r="F84" s="35"/>
      <c r="G84" s="36"/>
      <c r="H84" s="34"/>
      <c r="I84" s="34"/>
    </row>
    <row r="85" customFormat="false" ht="19.5" hidden="false" customHeight="true" outlineLevel="0" collapsed="false">
      <c r="B85" s="31" t="s">
        <v>201</v>
      </c>
      <c r="C85" s="47" t="n">
        <f aca="false">'🌱 Configuração'!D6+79</f>
        <v>79</v>
      </c>
      <c r="D85" s="46" t="s">
        <v>164</v>
      </c>
      <c r="E85" s="48" t="s">
        <v>199</v>
      </c>
      <c r="F85" s="49"/>
      <c r="G85" s="50"/>
      <c r="H85" s="48"/>
      <c r="I85" s="48"/>
    </row>
    <row r="86" customFormat="false" ht="19.5" hidden="false" customHeight="true" outlineLevel="0" collapsed="false">
      <c r="B86" s="31" t="s">
        <v>202</v>
      </c>
      <c r="C86" s="32" t="n">
        <f aca="false">'🌱 Configuração'!D6+80</f>
        <v>80</v>
      </c>
      <c r="D86" s="46" t="s">
        <v>164</v>
      </c>
      <c r="E86" s="34" t="s">
        <v>199</v>
      </c>
      <c r="F86" s="35"/>
      <c r="G86" s="36"/>
      <c r="H86" s="34"/>
      <c r="I86" s="34"/>
    </row>
    <row r="87" customFormat="false" ht="19.5" hidden="false" customHeight="true" outlineLevel="0" collapsed="false">
      <c r="B87" s="31" t="s">
        <v>203</v>
      </c>
      <c r="C87" s="47" t="n">
        <f aca="false">'🌱 Configuração'!D6+81</f>
        <v>81</v>
      </c>
      <c r="D87" s="46" t="s">
        <v>164</v>
      </c>
      <c r="E87" s="48" t="s">
        <v>199</v>
      </c>
      <c r="F87" s="49"/>
      <c r="G87" s="50"/>
      <c r="H87" s="48"/>
      <c r="I87" s="48"/>
    </row>
    <row r="88" customFormat="false" ht="19.5" hidden="false" customHeight="true" outlineLevel="0" collapsed="false">
      <c r="B88" s="31" t="s">
        <v>204</v>
      </c>
      <c r="C88" s="32" t="n">
        <f aca="false">'🌱 Configuração'!D6+82</f>
        <v>82</v>
      </c>
      <c r="D88" s="46" t="s">
        <v>164</v>
      </c>
      <c r="E88" s="34" t="s">
        <v>199</v>
      </c>
      <c r="F88" s="35"/>
      <c r="G88" s="36"/>
      <c r="H88" s="34"/>
      <c r="I88" s="34"/>
    </row>
    <row r="89" customFormat="false" ht="19.5" hidden="false" customHeight="true" outlineLevel="0" collapsed="false">
      <c r="B89" s="31" t="s">
        <v>205</v>
      </c>
      <c r="C89" s="47" t="n">
        <f aca="false">'🌱 Configuração'!D6+83</f>
        <v>83</v>
      </c>
      <c r="D89" s="46" t="s">
        <v>164</v>
      </c>
      <c r="E89" s="48" t="s">
        <v>199</v>
      </c>
      <c r="F89" s="49" t="s">
        <v>206</v>
      </c>
      <c r="G89" s="50"/>
      <c r="H89" s="48" t="s">
        <v>207</v>
      </c>
      <c r="I89" s="48" t="s">
        <v>208</v>
      </c>
    </row>
    <row r="90" customFormat="false" ht="19.5" hidden="false" customHeight="true" outlineLevel="0" collapsed="false">
      <c r="B90" s="31" t="s">
        <v>209</v>
      </c>
      <c r="C90" s="32" t="n">
        <f aca="false">'🌱 Configuração'!D6+84</f>
        <v>84</v>
      </c>
      <c r="D90" s="46" t="s">
        <v>164</v>
      </c>
      <c r="E90" s="34" t="s">
        <v>210</v>
      </c>
      <c r="F90" s="35"/>
      <c r="G90" s="36"/>
      <c r="H90" s="34"/>
      <c r="I90" s="34"/>
    </row>
    <row r="91" customFormat="false" ht="19.5" hidden="false" customHeight="true" outlineLevel="0" collapsed="false">
      <c r="B91" s="31" t="s">
        <v>211</v>
      </c>
      <c r="C91" s="47" t="n">
        <f aca="false">'🌱 Configuração'!D6+85</f>
        <v>85</v>
      </c>
      <c r="D91" s="46" t="s">
        <v>164</v>
      </c>
      <c r="E91" s="48" t="s">
        <v>210</v>
      </c>
      <c r="F91" s="49"/>
      <c r="G91" s="50"/>
      <c r="H91" s="48"/>
      <c r="I91" s="48"/>
    </row>
    <row r="92" customFormat="false" ht="19.5" hidden="false" customHeight="true" outlineLevel="0" collapsed="false">
      <c r="B92" s="31" t="s">
        <v>212</v>
      </c>
      <c r="C92" s="32" t="n">
        <f aca="false">'🌱 Configuração'!D6+86</f>
        <v>86</v>
      </c>
      <c r="D92" s="46" t="s">
        <v>164</v>
      </c>
      <c r="E92" s="34" t="s">
        <v>210</v>
      </c>
      <c r="F92" s="35"/>
      <c r="G92" s="36"/>
      <c r="H92" s="34"/>
      <c r="I92" s="34"/>
    </row>
    <row r="93" customFormat="false" ht="19.5" hidden="false" customHeight="true" outlineLevel="0" collapsed="false">
      <c r="B93" s="31" t="s">
        <v>213</v>
      </c>
      <c r="C93" s="47" t="n">
        <f aca="false">'🌱 Configuração'!D6+87</f>
        <v>87</v>
      </c>
      <c r="D93" s="46" t="s">
        <v>164</v>
      </c>
      <c r="E93" s="48" t="s">
        <v>210</v>
      </c>
      <c r="F93" s="49"/>
      <c r="G93" s="50"/>
      <c r="H93" s="48"/>
      <c r="I93" s="48"/>
    </row>
    <row r="94" customFormat="false" ht="19.5" hidden="false" customHeight="true" outlineLevel="0" collapsed="false">
      <c r="B94" s="31" t="s">
        <v>214</v>
      </c>
      <c r="C94" s="32" t="n">
        <f aca="false">'🌱 Configuração'!D6+88</f>
        <v>88</v>
      </c>
      <c r="D94" s="46" t="s">
        <v>164</v>
      </c>
      <c r="E94" s="34" t="s">
        <v>210</v>
      </c>
      <c r="F94" s="35"/>
      <c r="G94" s="36"/>
      <c r="H94" s="34"/>
      <c r="I94" s="34"/>
    </row>
    <row r="95" customFormat="false" ht="19.5" hidden="false" customHeight="true" outlineLevel="0" collapsed="false">
      <c r="B95" s="31" t="s">
        <v>215</v>
      </c>
      <c r="C95" s="47" t="n">
        <f aca="false">'🌱 Configuração'!D6+89</f>
        <v>89</v>
      </c>
      <c r="D95" s="46" t="s">
        <v>164</v>
      </c>
      <c r="E95" s="48" t="s">
        <v>210</v>
      </c>
      <c r="F95" s="49"/>
      <c r="G95" s="50"/>
      <c r="H95" s="48"/>
      <c r="I95" s="48"/>
    </row>
    <row r="96" customFormat="false" ht="19.5" hidden="false" customHeight="true" outlineLevel="0" collapsed="false">
      <c r="B96" s="31" t="s">
        <v>216</v>
      </c>
      <c r="C96" s="32" t="n">
        <f aca="false">'🌱 Configuração'!D6+90</f>
        <v>90</v>
      </c>
      <c r="D96" s="46" t="s">
        <v>164</v>
      </c>
      <c r="E96" s="34" t="s">
        <v>210</v>
      </c>
      <c r="F96" s="35" t="s">
        <v>217</v>
      </c>
      <c r="G96" s="36" t="s">
        <v>218</v>
      </c>
      <c r="H96" s="34" t="s">
        <v>219</v>
      </c>
      <c r="I96" s="34" t="s">
        <v>220</v>
      </c>
    </row>
    <row r="97" customFormat="false" ht="19.5" hidden="false" customHeight="true" outlineLevel="0" collapsed="false">
      <c r="B97" s="31" t="s">
        <v>221</v>
      </c>
      <c r="C97" s="47" t="n">
        <f aca="false">'🌱 Configuração'!D6+91</f>
        <v>91</v>
      </c>
      <c r="D97" s="46" t="s">
        <v>164</v>
      </c>
      <c r="E97" s="48" t="s">
        <v>222</v>
      </c>
      <c r="F97" s="49"/>
      <c r="G97" s="50"/>
      <c r="H97" s="48"/>
      <c r="I97" s="48"/>
    </row>
    <row r="98" customFormat="false" ht="19.5" hidden="false" customHeight="true" outlineLevel="0" collapsed="false">
      <c r="B98" s="31" t="s">
        <v>223</v>
      </c>
      <c r="C98" s="32" t="n">
        <f aca="false">'🌱 Configuração'!D6+92</f>
        <v>92</v>
      </c>
      <c r="D98" s="46" t="s">
        <v>164</v>
      </c>
      <c r="E98" s="34" t="s">
        <v>222</v>
      </c>
      <c r="F98" s="35"/>
      <c r="G98" s="36"/>
      <c r="H98" s="34"/>
      <c r="I98" s="34"/>
    </row>
    <row r="99" customFormat="false" ht="19.5" hidden="false" customHeight="true" outlineLevel="0" collapsed="false">
      <c r="B99" s="31" t="s">
        <v>224</v>
      </c>
      <c r="C99" s="47" t="n">
        <f aca="false">'🌱 Configuração'!D6+93</f>
        <v>93</v>
      </c>
      <c r="D99" s="46" t="s">
        <v>164</v>
      </c>
      <c r="E99" s="48" t="s">
        <v>222</v>
      </c>
      <c r="F99" s="49"/>
      <c r="G99" s="50"/>
      <c r="H99" s="48"/>
      <c r="I99" s="48"/>
    </row>
    <row r="100" customFormat="false" ht="19.5" hidden="false" customHeight="true" outlineLevel="0" collapsed="false">
      <c r="B100" s="31" t="s">
        <v>225</v>
      </c>
      <c r="C100" s="32" t="n">
        <f aca="false">'🌱 Configuração'!D6+94</f>
        <v>94</v>
      </c>
      <c r="D100" s="46" t="s">
        <v>164</v>
      </c>
      <c r="E100" s="34" t="s">
        <v>222</v>
      </c>
      <c r="F100" s="35"/>
      <c r="G100" s="36"/>
      <c r="H100" s="34"/>
      <c r="I100" s="34"/>
    </row>
    <row r="101" customFormat="false" ht="19.5" hidden="false" customHeight="true" outlineLevel="0" collapsed="false">
      <c r="B101" s="31" t="s">
        <v>226</v>
      </c>
      <c r="C101" s="47" t="n">
        <f aca="false">'🌱 Configuração'!D6+95</f>
        <v>95</v>
      </c>
      <c r="D101" s="46" t="s">
        <v>164</v>
      </c>
      <c r="E101" s="48" t="s">
        <v>222</v>
      </c>
      <c r="F101" s="49"/>
      <c r="G101" s="50"/>
      <c r="H101" s="48"/>
      <c r="I101" s="48"/>
    </row>
    <row r="102" customFormat="false" ht="19.5" hidden="false" customHeight="true" outlineLevel="0" collapsed="false">
      <c r="B102" s="31" t="s">
        <v>227</v>
      </c>
      <c r="C102" s="32" t="n">
        <f aca="false">'🌱 Configuração'!D6+96</f>
        <v>96</v>
      </c>
      <c r="D102" s="46" t="s">
        <v>164</v>
      </c>
      <c r="E102" s="34" t="s">
        <v>222</v>
      </c>
      <c r="F102" s="35"/>
      <c r="G102" s="36"/>
      <c r="H102" s="34"/>
      <c r="I102" s="34"/>
    </row>
    <row r="103" customFormat="false" ht="19.5" hidden="false" customHeight="true" outlineLevel="0" collapsed="false">
      <c r="B103" s="31" t="s">
        <v>228</v>
      </c>
      <c r="C103" s="47" t="n">
        <f aca="false">'🌱 Configuração'!D6+97</f>
        <v>97</v>
      </c>
      <c r="D103" s="46" t="s">
        <v>164</v>
      </c>
      <c r="E103" s="48" t="s">
        <v>222</v>
      </c>
      <c r="F103" s="49" t="s">
        <v>229</v>
      </c>
      <c r="G103" s="50"/>
      <c r="H103" s="48" t="s">
        <v>230</v>
      </c>
      <c r="I103" s="48"/>
    </row>
    <row r="104" customFormat="false" ht="19.5" hidden="false" customHeight="true" outlineLevel="0" collapsed="false">
      <c r="B104" s="31" t="s">
        <v>231</v>
      </c>
      <c r="C104" s="32" t="n">
        <f aca="false">'🌱 Configuração'!D6+98</f>
        <v>98</v>
      </c>
      <c r="D104" s="46" t="s">
        <v>164</v>
      </c>
      <c r="E104" s="34" t="s">
        <v>232</v>
      </c>
      <c r="F104" s="35"/>
      <c r="G104" s="36"/>
      <c r="H104" s="34"/>
      <c r="I104" s="34"/>
    </row>
    <row r="105" customFormat="false" ht="19.5" hidden="false" customHeight="true" outlineLevel="0" collapsed="false">
      <c r="B105" s="31" t="s">
        <v>233</v>
      </c>
      <c r="C105" s="47" t="n">
        <f aca="false">'🌱 Configuração'!D6+99</f>
        <v>99</v>
      </c>
      <c r="D105" s="46" t="s">
        <v>164</v>
      </c>
      <c r="E105" s="48" t="s">
        <v>232</v>
      </c>
      <c r="F105" s="49"/>
      <c r="G105" s="50"/>
      <c r="H105" s="48"/>
      <c r="I105" s="48"/>
    </row>
    <row r="106" customFormat="false" ht="19.5" hidden="false" customHeight="true" outlineLevel="0" collapsed="false">
      <c r="B106" s="31" t="s">
        <v>234</v>
      </c>
      <c r="C106" s="32" t="n">
        <f aca="false">'🌱 Configuração'!D6+100</f>
        <v>100</v>
      </c>
      <c r="D106" s="46" t="s">
        <v>164</v>
      </c>
      <c r="E106" s="34" t="s">
        <v>232</v>
      </c>
      <c r="F106" s="35"/>
      <c r="G106" s="36"/>
      <c r="H106" s="34"/>
      <c r="I106" s="34"/>
    </row>
    <row r="107" customFormat="false" ht="19.5" hidden="false" customHeight="true" outlineLevel="0" collapsed="false">
      <c r="B107" s="31" t="s">
        <v>235</v>
      </c>
      <c r="C107" s="47" t="n">
        <f aca="false">'🌱 Configuração'!D6+101</f>
        <v>101</v>
      </c>
      <c r="D107" s="46" t="s">
        <v>164</v>
      </c>
      <c r="E107" s="48" t="s">
        <v>232</v>
      </c>
      <c r="F107" s="49"/>
      <c r="G107" s="50"/>
      <c r="H107" s="48"/>
      <c r="I107" s="48"/>
    </row>
    <row r="108" customFormat="false" ht="19.5" hidden="false" customHeight="true" outlineLevel="0" collapsed="false">
      <c r="B108" s="31" t="s">
        <v>236</v>
      </c>
      <c r="C108" s="32" t="n">
        <f aca="false">'🌱 Configuração'!D6+102</f>
        <v>102</v>
      </c>
      <c r="D108" s="46" t="s">
        <v>164</v>
      </c>
      <c r="E108" s="34" t="s">
        <v>232</v>
      </c>
      <c r="F108" s="35"/>
      <c r="G108" s="36"/>
      <c r="H108" s="34"/>
      <c r="I108" s="34"/>
    </row>
    <row r="109" customFormat="false" ht="19.5" hidden="false" customHeight="true" outlineLevel="0" collapsed="false">
      <c r="B109" s="31" t="s">
        <v>237</v>
      </c>
      <c r="C109" s="47" t="n">
        <f aca="false">'🌱 Configuração'!D6+103</f>
        <v>103</v>
      </c>
      <c r="D109" s="46" t="s">
        <v>164</v>
      </c>
      <c r="E109" s="48" t="s">
        <v>232</v>
      </c>
      <c r="F109" s="49"/>
      <c r="G109" s="50"/>
      <c r="H109" s="48"/>
      <c r="I109" s="48"/>
    </row>
    <row r="110" customFormat="false" ht="19.5" hidden="false" customHeight="true" outlineLevel="0" collapsed="false">
      <c r="B110" s="31" t="s">
        <v>238</v>
      </c>
      <c r="C110" s="32" t="n">
        <f aca="false">'🌱 Configuração'!D6+104</f>
        <v>104</v>
      </c>
      <c r="D110" s="46" t="s">
        <v>164</v>
      </c>
      <c r="E110" s="34" t="s">
        <v>232</v>
      </c>
      <c r="F110" s="35" t="s">
        <v>239</v>
      </c>
      <c r="G110" s="36"/>
      <c r="H110" s="34" t="s">
        <v>240</v>
      </c>
      <c r="I110" s="34" t="s">
        <v>241</v>
      </c>
    </row>
    <row r="111" customFormat="false" ht="19.5" hidden="false" customHeight="true" outlineLevel="0" collapsed="false">
      <c r="B111" s="31" t="s">
        <v>242</v>
      </c>
      <c r="C111" s="47" t="n">
        <f aca="false">'🌱 Configuração'!D6+105</f>
        <v>105</v>
      </c>
      <c r="D111" s="46" t="s">
        <v>164</v>
      </c>
      <c r="E111" s="48" t="s">
        <v>243</v>
      </c>
      <c r="F111" s="49"/>
      <c r="G111" s="50"/>
      <c r="H111" s="48"/>
      <c r="I111" s="48"/>
    </row>
    <row r="112" customFormat="false" ht="19.5" hidden="false" customHeight="true" outlineLevel="0" collapsed="false">
      <c r="B112" s="31" t="s">
        <v>244</v>
      </c>
      <c r="C112" s="32" t="n">
        <f aca="false">'🌱 Configuração'!D6+106</f>
        <v>106</v>
      </c>
      <c r="D112" s="46" t="s">
        <v>164</v>
      </c>
      <c r="E112" s="34" t="s">
        <v>243</v>
      </c>
      <c r="F112" s="35"/>
      <c r="G112" s="36"/>
      <c r="H112" s="34"/>
      <c r="I112" s="34"/>
    </row>
    <row r="113" customFormat="false" ht="19.5" hidden="false" customHeight="true" outlineLevel="0" collapsed="false">
      <c r="B113" s="31" t="s">
        <v>245</v>
      </c>
      <c r="C113" s="47" t="n">
        <f aca="false">'🌱 Configuração'!D6+107</f>
        <v>107</v>
      </c>
      <c r="D113" s="46" t="s">
        <v>164</v>
      </c>
      <c r="E113" s="48" t="s">
        <v>243</v>
      </c>
      <c r="F113" s="49"/>
      <c r="G113" s="50"/>
      <c r="H113" s="48"/>
      <c r="I113" s="48"/>
    </row>
    <row r="114" customFormat="false" ht="19.5" hidden="false" customHeight="true" outlineLevel="0" collapsed="false">
      <c r="B114" s="31" t="s">
        <v>246</v>
      </c>
      <c r="C114" s="32" t="n">
        <f aca="false">'🌱 Configuração'!D6+108</f>
        <v>108</v>
      </c>
      <c r="D114" s="46" t="s">
        <v>164</v>
      </c>
      <c r="E114" s="34" t="s">
        <v>243</v>
      </c>
      <c r="F114" s="35"/>
      <c r="G114" s="36"/>
      <c r="H114" s="34"/>
      <c r="I114" s="34"/>
    </row>
    <row r="115" customFormat="false" ht="19.5" hidden="false" customHeight="true" outlineLevel="0" collapsed="false">
      <c r="B115" s="31" t="s">
        <v>247</v>
      </c>
      <c r="C115" s="47" t="n">
        <f aca="false">'🌱 Configuração'!D6+109</f>
        <v>109</v>
      </c>
      <c r="D115" s="46" t="s">
        <v>164</v>
      </c>
      <c r="E115" s="48" t="s">
        <v>243</v>
      </c>
      <c r="F115" s="49"/>
      <c r="G115" s="50"/>
      <c r="H115" s="48"/>
      <c r="I115" s="48"/>
    </row>
    <row r="116" customFormat="false" ht="19.5" hidden="false" customHeight="true" outlineLevel="0" collapsed="false">
      <c r="B116" s="31" t="s">
        <v>248</v>
      </c>
      <c r="C116" s="32" t="n">
        <f aca="false">'🌱 Configuração'!D6+110</f>
        <v>110</v>
      </c>
      <c r="D116" s="46" t="s">
        <v>164</v>
      </c>
      <c r="E116" s="34" t="s">
        <v>243</v>
      </c>
      <c r="F116" s="35"/>
      <c r="G116" s="36"/>
      <c r="H116" s="34"/>
      <c r="I116" s="34"/>
    </row>
    <row r="117" customFormat="false" ht="19.5" hidden="false" customHeight="true" outlineLevel="0" collapsed="false">
      <c r="B117" s="31" t="s">
        <v>249</v>
      </c>
      <c r="C117" s="47" t="n">
        <f aca="false">'🌱 Configuração'!D6+111</f>
        <v>111</v>
      </c>
      <c r="D117" s="46" t="s">
        <v>164</v>
      </c>
      <c r="E117" s="48" t="s">
        <v>243</v>
      </c>
      <c r="F117" s="49" t="s">
        <v>250</v>
      </c>
      <c r="G117" s="50"/>
      <c r="H117" s="48" t="s">
        <v>251</v>
      </c>
      <c r="I117" s="48"/>
    </row>
    <row r="118" customFormat="false" ht="19.5" hidden="false" customHeight="true" outlineLevel="0" collapsed="false">
      <c r="B118" s="31" t="s">
        <v>252</v>
      </c>
      <c r="C118" s="32" t="n">
        <f aca="false">'🌱 Configuração'!D6+112</f>
        <v>112</v>
      </c>
      <c r="D118" s="46" t="s">
        <v>164</v>
      </c>
      <c r="E118" s="34" t="s">
        <v>253</v>
      </c>
      <c r="F118" s="35"/>
      <c r="G118" s="36"/>
      <c r="H118" s="34"/>
      <c r="I118" s="34"/>
    </row>
    <row r="119" customFormat="false" ht="19.5" hidden="false" customHeight="true" outlineLevel="0" collapsed="false">
      <c r="B119" s="31" t="s">
        <v>254</v>
      </c>
      <c r="C119" s="47" t="n">
        <f aca="false">'🌱 Configuração'!D6+113</f>
        <v>113</v>
      </c>
      <c r="D119" s="46" t="s">
        <v>164</v>
      </c>
      <c r="E119" s="48" t="s">
        <v>253</v>
      </c>
      <c r="F119" s="49"/>
      <c r="G119" s="50"/>
      <c r="H119" s="48"/>
      <c r="I119" s="48"/>
    </row>
    <row r="120" customFormat="false" ht="19.5" hidden="false" customHeight="true" outlineLevel="0" collapsed="false">
      <c r="B120" s="31" t="s">
        <v>255</v>
      </c>
      <c r="C120" s="32" t="n">
        <f aca="false">'🌱 Configuração'!D6+114</f>
        <v>114</v>
      </c>
      <c r="D120" s="46" t="s">
        <v>164</v>
      </c>
      <c r="E120" s="34" t="s">
        <v>253</v>
      </c>
      <c r="F120" s="35"/>
      <c r="G120" s="36"/>
      <c r="H120" s="34"/>
      <c r="I120" s="34"/>
    </row>
    <row r="121" customFormat="false" ht="19.5" hidden="false" customHeight="true" outlineLevel="0" collapsed="false">
      <c r="B121" s="31" t="s">
        <v>256</v>
      </c>
      <c r="C121" s="47" t="n">
        <f aca="false">'🌱 Configuração'!D6+115</f>
        <v>115</v>
      </c>
      <c r="D121" s="46" t="s">
        <v>164</v>
      </c>
      <c r="E121" s="48" t="s">
        <v>253</v>
      </c>
      <c r="F121" s="49" t="s">
        <v>257</v>
      </c>
      <c r="G121" s="50"/>
      <c r="H121" s="48"/>
      <c r="I121" s="48"/>
    </row>
    <row r="122" customFormat="false" ht="19.5" hidden="false" customHeight="true" outlineLevel="0" collapsed="false">
      <c r="B122" s="31" t="s">
        <v>258</v>
      </c>
      <c r="C122" s="32" t="n">
        <f aca="false">'🌱 Configuração'!D6+116</f>
        <v>116</v>
      </c>
      <c r="D122" s="46" t="s">
        <v>164</v>
      </c>
      <c r="E122" s="34" t="s">
        <v>253</v>
      </c>
      <c r="F122" s="35"/>
      <c r="G122" s="36"/>
      <c r="H122" s="34"/>
      <c r="I122" s="34"/>
    </row>
    <row r="123" customFormat="false" ht="19.5" hidden="false" customHeight="true" outlineLevel="0" collapsed="false">
      <c r="B123" s="31" t="s">
        <v>259</v>
      </c>
      <c r="C123" s="47" t="n">
        <f aca="false">'🌱 Configuração'!D6+117</f>
        <v>117</v>
      </c>
      <c r="D123" s="46" t="s">
        <v>164</v>
      </c>
      <c r="E123" s="48" t="s">
        <v>253</v>
      </c>
      <c r="F123" s="49"/>
      <c r="G123" s="50"/>
      <c r="H123" s="48"/>
      <c r="I123" s="48"/>
    </row>
    <row r="124" customFormat="false" ht="19.5" hidden="false" customHeight="true" outlineLevel="0" collapsed="false">
      <c r="B124" s="31" t="s">
        <v>260</v>
      </c>
      <c r="C124" s="32" t="n">
        <f aca="false">'🌱 Configuração'!D6+118</f>
        <v>118</v>
      </c>
      <c r="D124" s="46" t="s">
        <v>164</v>
      </c>
      <c r="E124" s="34" t="s">
        <v>253</v>
      </c>
      <c r="F124" s="35" t="s">
        <v>261</v>
      </c>
      <c r="G124" s="36"/>
      <c r="H124" s="34" t="s">
        <v>262</v>
      </c>
      <c r="I124" s="34" t="s">
        <v>263</v>
      </c>
    </row>
    <row r="125" customFormat="false" ht="19.5" hidden="false" customHeight="true" outlineLevel="0" collapsed="false">
      <c r="B125" s="31" t="s">
        <v>264</v>
      </c>
      <c r="C125" s="51" t="n">
        <f aca="false">'🌱 Configuração'!D6+119</f>
        <v>119</v>
      </c>
      <c r="D125" s="52" t="s">
        <v>265</v>
      </c>
      <c r="E125" s="53" t="s">
        <v>266</v>
      </c>
      <c r="F125" s="54"/>
      <c r="G125" s="55"/>
      <c r="H125" s="53"/>
      <c r="I125" s="53"/>
    </row>
    <row r="126" customFormat="false" ht="19.5" hidden="false" customHeight="true" outlineLevel="0" collapsed="false">
      <c r="B126" s="31" t="s">
        <v>267</v>
      </c>
      <c r="C126" s="32" t="n">
        <f aca="false">'🌱 Configuração'!D6+120</f>
        <v>120</v>
      </c>
      <c r="D126" s="52" t="s">
        <v>265</v>
      </c>
      <c r="E126" s="34" t="s">
        <v>266</v>
      </c>
      <c r="F126" s="35"/>
      <c r="G126" s="36"/>
      <c r="H126" s="34"/>
      <c r="I126" s="34"/>
    </row>
    <row r="127" customFormat="false" ht="19.5" hidden="false" customHeight="true" outlineLevel="0" collapsed="false">
      <c r="B127" s="31" t="s">
        <v>268</v>
      </c>
      <c r="C127" s="51" t="n">
        <f aca="false">'🌱 Configuração'!D6+121</f>
        <v>121</v>
      </c>
      <c r="D127" s="52" t="s">
        <v>265</v>
      </c>
      <c r="E127" s="53" t="s">
        <v>266</v>
      </c>
      <c r="F127" s="54"/>
      <c r="G127" s="55"/>
      <c r="H127" s="53" t="s">
        <v>269</v>
      </c>
      <c r="I127" s="53"/>
    </row>
    <row r="128" customFormat="false" ht="19.5" hidden="false" customHeight="true" outlineLevel="0" collapsed="false">
      <c r="B128" s="31" t="s">
        <v>270</v>
      </c>
      <c r="C128" s="32" t="n">
        <f aca="false">'🌱 Configuração'!D6+122</f>
        <v>122</v>
      </c>
      <c r="D128" s="52" t="s">
        <v>265</v>
      </c>
      <c r="E128" s="34" t="s">
        <v>266</v>
      </c>
      <c r="F128" s="35"/>
      <c r="G128" s="36"/>
      <c r="H128" s="34"/>
      <c r="I128" s="34"/>
    </row>
    <row r="129" customFormat="false" ht="19.5" hidden="false" customHeight="true" outlineLevel="0" collapsed="false">
      <c r="B129" s="31" t="s">
        <v>271</v>
      </c>
      <c r="C129" s="51" t="n">
        <f aca="false">'🌱 Configuração'!D6+123</f>
        <v>123</v>
      </c>
      <c r="D129" s="52" t="s">
        <v>265</v>
      </c>
      <c r="E129" s="53" t="s">
        <v>266</v>
      </c>
      <c r="F129" s="54"/>
      <c r="G129" s="55"/>
      <c r="H129" s="53"/>
      <c r="I129" s="53"/>
    </row>
    <row r="130" customFormat="false" ht="19.5" hidden="false" customHeight="true" outlineLevel="0" collapsed="false">
      <c r="B130" s="31" t="s">
        <v>272</v>
      </c>
      <c r="C130" s="32" t="n">
        <f aca="false">'🌱 Configuração'!D6+124</f>
        <v>124</v>
      </c>
      <c r="D130" s="52" t="s">
        <v>265</v>
      </c>
      <c r="E130" s="34" t="s">
        <v>266</v>
      </c>
      <c r="F130" s="35"/>
      <c r="G130" s="36"/>
      <c r="H130" s="34"/>
      <c r="I130" s="34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B2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3"/>
  </cols>
  <sheetData>
    <row r="2" customFormat="false" ht="45" hidden="false" customHeight="true" outlineLevel="0" collapsed="false">
      <c r="B2" s="29" t="s">
        <v>273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30" t="s">
        <v>274</v>
      </c>
      <c r="C3" s="30"/>
      <c r="D3" s="30"/>
      <c r="E3" s="30"/>
      <c r="F3" s="30"/>
      <c r="G3" s="30"/>
      <c r="H3" s="30"/>
      <c r="I3" s="30"/>
    </row>
    <row r="5" customFormat="false" ht="27.75" hidden="false" customHeight="true" outlineLevel="0" collapsed="false">
      <c r="B5" s="56" t="s">
        <v>275</v>
      </c>
      <c r="C5" s="56"/>
      <c r="D5" s="56"/>
      <c r="E5" s="56"/>
      <c r="F5" s="56"/>
      <c r="G5" s="56"/>
      <c r="H5" s="56"/>
      <c r="I5" s="56"/>
    </row>
    <row r="6" customFormat="false" ht="24" hidden="false" customHeight="true" outlineLevel="0" collapsed="false">
      <c r="B6" s="31" t="s">
        <v>276</v>
      </c>
      <c r="C6" s="31" t="s">
        <v>277</v>
      </c>
      <c r="D6" s="31" t="s">
        <v>278</v>
      </c>
      <c r="E6" s="31" t="s">
        <v>279</v>
      </c>
      <c r="F6" s="31" t="s">
        <v>280</v>
      </c>
      <c r="G6" s="31" t="s">
        <v>281</v>
      </c>
      <c r="H6" s="31" t="s">
        <v>282</v>
      </c>
      <c r="I6" s="31" t="s">
        <v>283</v>
      </c>
      <c r="J6" s="31" t="s">
        <v>284</v>
      </c>
      <c r="K6" s="31" t="s">
        <v>285</v>
      </c>
    </row>
    <row r="7" customFormat="false" ht="19.5" hidden="false" customHeight="true" outlineLevel="0" collapsed="false">
      <c r="B7" s="57" t="s">
        <v>286</v>
      </c>
      <c r="C7" s="34" t="s">
        <v>287</v>
      </c>
      <c r="D7" s="58" t="s">
        <v>288</v>
      </c>
      <c r="E7" s="58" t="s">
        <v>289</v>
      </c>
      <c r="F7" s="58" t="s">
        <v>289</v>
      </c>
      <c r="G7" s="58" t="s">
        <v>289</v>
      </c>
      <c r="H7" s="58" t="s">
        <v>289</v>
      </c>
      <c r="I7" s="58" t="s">
        <v>290</v>
      </c>
      <c r="J7" s="58" t="s">
        <v>291</v>
      </c>
      <c r="K7" s="34" t="s">
        <v>292</v>
      </c>
    </row>
    <row r="8" customFormat="false" ht="19.5" hidden="false" customHeight="true" outlineLevel="0" collapsed="false">
      <c r="B8" s="59" t="s">
        <v>293</v>
      </c>
      <c r="C8" s="38" t="s">
        <v>287</v>
      </c>
      <c r="D8" s="60" t="s">
        <v>288</v>
      </c>
      <c r="E8" s="60" t="s">
        <v>289</v>
      </c>
      <c r="F8" s="60" t="s">
        <v>289</v>
      </c>
      <c r="G8" s="60" t="s">
        <v>289</v>
      </c>
      <c r="H8" s="60" t="s">
        <v>289</v>
      </c>
      <c r="I8" s="60" t="s">
        <v>290</v>
      </c>
      <c r="J8" s="60" t="s">
        <v>291</v>
      </c>
      <c r="K8" s="38" t="s">
        <v>294</v>
      </c>
    </row>
    <row r="9" customFormat="false" ht="19.5" hidden="false" customHeight="true" outlineLevel="0" collapsed="false">
      <c r="B9" s="57" t="s">
        <v>295</v>
      </c>
      <c r="C9" s="34" t="s">
        <v>296</v>
      </c>
      <c r="D9" s="58" t="s">
        <v>288</v>
      </c>
      <c r="E9" s="58" t="s">
        <v>288</v>
      </c>
      <c r="F9" s="58" t="s">
        <v>289</v>
      </c>
      <c r="G9" s="58" t="s">
        <v>289</v>
      </c>
      <c r="H9" s="58" t="s">
        <v>289</v>
      </c>
      <c r="I9" s="58" t="s">
        <v>290</v>
      </c>
      <c r="J9" s="58" t="s">
        <v>291</v>
      </c>
      <c r="K9" s="34" t="s">
        <v>297</v>
      </c>
    </row>
    <row r="10" customFormat="false" ht="19.5" hidden="false" customHeight="true" outlineLevel="0" collapsed="false">
      <c r="B10" s="59" t="s">
        <v>298</v>
      </c>
      <c r="C10" s="38" t="s">
        <v>287</v>
      </c>
      <c r="D10" s="60" t="s">
        <v>288</v>
      </c>
      <c r="E10" s="60" t="s">
        <v>289</v>
      </c>
      <c r="F10" s="60" t="s">
        <v>289</v>
      </c>
      <c r="G10" s="60" t="s">
        <v>289</v>
      </c>
      <c r="H10" s="60" t="s">
        <v>299</v>
      </c>
      <c r="I10" s="60" t="s">
        <v>300</v>
      </c>
      <c r="J10" s="60" t="s">
        <v>301</v>
      </c>
      <c r="K10" s="38" t="s">
        <v>302</v>
      </c>
    </row>
    <row r="12" customFormat="false" ht="27.75" hidden="false" customHeight="true" outlineLevel="0" collapsed="false">
      <c r="B12" s="61" t="s">
        <v>303</v>
      </c>
      <c r="C12" s="61"/>
      <c r="D12" s="61"/>
      <c r="E12" s="61"/>
      <c r="F12" s="61"/>
      <c r="G12" s="61"/>
      <c r="H12" s="61"/>
      <c r="I12" s="61"/>
    </row>
    <row r="13" customFormat="false" ht="24" hidden="false" customHeight="true" outlineLevel="0" collapsed="false">
      <c r="B13" s="31" t="s">
        <v>276</v>
      </c>
      <c r="C13" s="31" t="s">
        <v>277</v>
      </c>
      <c r="D13" s="31" t="s">
        <v>278</v>
      </c>
      <c r="E13" s="31" t="s">
        <v>279</v>
      </c>
      <c r="F13" s="31" t="s">
        <v>280</v>
      </c>
      <c r="G13" s="31" t="s">
        <v>281</v>
      </c>
      <c r="H13" s="31" t="s">
        <v>282</v>
      </c>
      <c r="I13" s="31" t="s">
        <v>283</v>
      </c>
      <c r="J13" s="31" t="s">
        <v>284</v>
      </c>
      <c r="K13" s="31" t="s">
        <v>285</v>
      </c>
    </row>
    <row r="14" customFormat="false" ht="19.5" hidden="false" customHeight="true" outlineLevel="0" collapsed="false">
      <c r="B14" s="62" t="s">
        <v>304</v>
      </c>
      <c r="C14" s="43" t="s">
        <v>305</v>
      </c>
      <c r="D14" s="63" t="s">
        <v>306</v>
      </c>
      <c r="E14" s="63" t="s">
        <v>307</v>
      </c>
      <c r="F14" s="63" t="s">
        <v>289</v>
      </c>
      <c r="G14" s="63" t="s">
        <v>289</v>
      </c>
      <c r="H14" s="63" t="s">
        <v>289</v>
      </c>
      <c r="I14" s="63" t="s">
        <v>300</v>
      </c>
      <c r="J14" s="63" t="s">
        <v>308</v>
      </c>
      <c r="K14" s="43" t="s">
        <v>309</v>
      </c>
    </row>
    <row r="15" customFormat="false" ht="19.5" hidden="false" customHeight="true" outlineLevel="0" collapsed="false">
      <c r="B15" s="64" t="s">
        <v>310</v>
      </c>
      <c r="C15" s="34" t="s">
        <v>305</v>
      </c>
      <c r="D15" s="58" t="s">
        <v>311</v>
      </c>
      <c r="E15" s="58" t="s">
        <v>312</v>
      </c>
      <c r="F15" s="58" t="s">
        <v>289</v>
      </c>
      <c r="G15" s="58" t="s">
        <v>289</v>
      </c>
      <c r="H15" s="58" t="s">
        <v>313</v>
      </c>
      <c r="I15" s="58" t="s">
        <v>314</v>
      </c>
      <c r="J15" s="58" t="s">
        <v>315</v>
      </c>
      <c r="K15" s="34" t="s">
        <v>316</v>
      </c>
    </row>
    <row r="16" customFormat="false" ht="19.5" hidden="false" customHeight="true" outlineLevel="0" collapsed="false">
      <c r="B16" s="62" t="s">
        <v>317</v>
      </c>
      <c r="C16" s="43" t="s">
        <v>305</v>
      </c>
      <c r="D16" s="63" t="s">
        <v>318</v>
      </c>
      <c r="E16" s="63" t="s">
        <v>312</v>
      </c>
      <c r="F16" s="63" t="s">
        <v>289</v>
      </c>
      <c r="G16" s="63" t="s">
        <v>289</v>
      </c>
      <c r="H16" s="63" t="s">
        <v>299</v>
      </c>
      <c r="I16" s="63" t="s">
        <v>314</v>
      </c>
      <c r="J16" s="63" t="s">
        <v>14</v>
      </c>
      <c r="K16" s="43" t="s">
        <v>319</v>
      </c>
    </row>
    <row r="17" customFormat="false" ht="19.5" hidden="false" customHeight="true" outlineLevel="0" collapsed="false">
      <c r="B17" s="64" t="s">
        <v>320</v>
      </c>
      <c r="C17" s="34" t="s">
        <v>305</v>
      </c>
      <c r="D17" s="58" t="s">
        <v>318</v>
      </c>
      <c r="E17" s="58" t="s">
        <v>321</v>
      </c>
      <c r="F17" s="58" t="s">
        <v>289</v>
      </c>
      <c r="G17" s="58" t="s">
        <v>289</v>
      </c>
      <c r="H17" s="58" t="s">
        <v>313</v>
      </c>
      <c r="I17" s="58" t="s">
        <v>322</v>
      </c>
      <c r="J17" s="58" t="s">
        <v>323</v>
      </c>
      <c r="K17" s="34" t="s">
        <v>324</v>
      </c>
    </row>
    <row r="18" customFormat="false" ht="19.5" hidden="false" customHeight="true" outlineLevel="0" collapsed="false">
      <c r="B18" s="62" t="s">
        <v>325</v>
      </c>
      <c r="C18" s="43" t="s">
        <v>305</v>
      </c>
      <c r="D18" s="63" t="s">
        <v>318</v>
      </c>
      <c r="E18" s="63" t="s">
        <v>321</v>
      </c>
      <c r="F18" s="63" t="s">
        <v>289</v>
      </c>
      <c r="G18" s="63" t="s">
        <v>289</v>
      </c>
      <c r="H18" s="63" t="s">
        <v>289</v>
      </c>
      <c r="I18" s="63" t="s">
        <v>322</v>
      </c>
      <c r="J18" s="63" t="s">
        <v>326</v>
      </c>
      <c r="K18" s="43" t="s">
        <v>327</v>
      </c>
    </row>
    <row r="19" customFormat="false" ht="19.5" hidden="false" customHeight="true" outlineLevel="0" collapsed="false">
      <c r="B19" s="64" t="s">
        <v>328</v>
      </c>
      <c r="C19" s="34" t="s">
        <v>329</v>
      </c>
      <c r="D19" s="58" t="s">
        <v>306</v>
      </c>
      <c r="E19" s="58" t="s">
        <v>312</v>
      </c>
      <c r="F19" s="58" t="s">
        <v>330</v>
      </c>
      <c r="G19" s="58" t="s">
        <v>289</v>
      </c>
      <c r="H19" s="58" t="s">
        <v>289</v>
      </c>
      <c r="I19" s="58" t="s">
        <v>300</v>
      </c>
      <c r="J19" s="58" t="s">
        <v>323</v>
      </c>
      <c r="K19" s="34" t="s">
        <v>331</v>
      </c>
    </row>
    <row r="21" customFormat="false" ht="27.75" hidden="false" customHeight="true" outlineLevel="0" collapsed="false">
      <c r="B21" s="65" t="s">
        <v>332</v>
      </c>
      <c r="C21" s="65"/>
      <c r="D21" s="65"/>
      <c r="E21" s="65"/>
      <c r="F21" s="65"/>
      <c r="G21" s="65"/>
      <c r="H21" s="65"/>
      <c r="I21" s="65"/>
    </row>
    <row r="22" customFormat="false" ht="24" hidden="false" customHeight="true" outlineLevel="0" collapsed="false">
      <c r="B22" s="31" t="s">
        <v>276</v>
      </c>
      <c r="C22" s="31" t="s">
        <v>277</v>
      </c>
      <c r="D22" s="31" t="s">
        <v>278</v>
      </c>
      <c r="E22" s="31" t="s">
        <v>279</v>
      </c>
      <c r="F22" s="31" t="s">
        <v>280</v>
      </c>
      <c r="G22" s="31" t="s">
        <v>281</v>
      </c>
      <c r="H22" s="31" t="s">
        <v>282</v>
      </c>
      <c r="I22" s="31" t="s">
        <v>283</v>
      </c>
      <c r="J22" s="31" t="s">
        <v>284</v>
      </c>
      <c r="K22" s="31" t="s">
        <v>285</v>
      </c>
    </row>
    <row r="23" customFormat="false" ht="19.5" hidden="false" customHeight="true" outlineLevel="0" collapsed="false">
      <c r="B23" s="66" t="s">
        <v>333</v>
      </c>
      <c r="C23" s="34" t="s">
        <v>329</v>
      </c>
      <c r="D23" s="58" t="s">
        <v>318</v>
      </c>
      <c r="E23" s="58" t="s">
        <v>312</v>
      </c>
      <c r="F23" s="58" t="s">
        <v>289</v>
      </c>
      <c r="G23" s="58" t="s">
        <v>334</v>
      </c>
      <c r="H23" s="58" t="s">
        <v>289</v>
      </c>
      <c r="I23" s="58" t="s">
        <v>300</v>
      </c>
      <c r="J23" s="58" t="s">
        <v>335</v>
      </c>
      <c r="K23" s="34" t="s">
        <v>336</v>
      </c>
    </row>
    <row r="24" customFormat="false" ht="19.5" hidden="false" customHeight="true" outlineLevel="0" collapsed="false">
      <c r="B24" s="67" t="s">
        <v>337</v>
      </c>
      <c r="C24" s="48" t="s">
        <v>329</v>
      </c>
      <c r="D24" s="68" t="s">
        <v>318</v>
      </c>
      <c r="E24" s="68" t="s">
        <v>312</v>
      </c>
      <c r="F24" s="68" t="s">
        <v>330</v>
      </c>
      <c r="G24" s="68" t="s">
        <v>338</v>
      </c>
      <c r="H24" s="68" t="s">
        <v>289</v>
      </c>
      <c r="I24" s="68" t="s">
        <v>300</v>
      </c>
      <c r="J24" s="68" t="s">
        <v>339</v>
      </c>
      <c r="K24" s="48" t="s">
        <v>340</v>
      </c>
    </row>
    <row r="25" customFormat="false" ht="19.5" hidden="false" customHeight="true" outlineLevel="0" collapsed="false">
      <c r="B25" s="66" t="s">
        <v>341</v>
      </c>
      <c r="C25" s="34" t="s">
        <v>329</v>
      </c>
      <c r="D25" s="58" t="s">
        <v>342</v>
      </c>
      <c r="E25" s="58" t="s">
        <v>312</v>
      </c>
      <c r="F25" s="58" t="s">
        <v>343</v>
      </c>
      <c r="G25" s="58" t="s">
        <v>338</v>
      </c>
      <c r="H25" s="58" t="s">
        <v>344</v>
      </c>
      <c r="I25" s="58" t="s">
        <v>314</v>
      </c>
      <c r="J25" s="58" t="s">
        <v>345</v>
      </c>
      <c r="K25" s="34" t="s">
        <v>346</v>
      </c>
    </row>
    <row r="26" customFormat="false" ht="19.5" hidden="false" customHeight="true" outlineLevel="0" collapsed="false">
      <c r="B26" s="67" t="s">
        <v>347</v>
      </c>
      <c r="C26" s="48" t="s">
        <v>329</v>
      </c>
      <c r="D26" s="68" t="s">
        <v>342</v>
      </c>
      <c r="E26" s="68" t="s">
        <v>312</v>
      </c>
      <c r="F26" s="68" t="s">
        <v>348</v>
      </c>
      <c r="G26" s="68" t="s">
        <v>338</v>
      </c>
      <c r="H26" s="68" t="s">
        <v>344</v>
      </c>
      <c r="I26" s="68" t="s">
        <v>314</v>
      </c>
      <c r="J26" s="68" t="s">
        <v>349</v>
      </c>
      <c r="K26" s="48" t="s">
        <v>350</v>
      </c>
    </row>
    <row r="27" customFormat="false" ht="19.5" hidden="false" customHeight="true" outlineLevel="0" collapsed="false">
      <c r="B27" s="66" t="s">
        <v>351</v>
      </c>
      <c r="C27" s="34" t="s">
        <v>329</v>
      </c>
      <c r="D27" s="58" t="s">
        <v>318</v>
      </c>
      <c r="E27" s="58" t="s">
        <v>352</v>
      </c>
      <c r="F27" s="58" t="s">
        <v>343</v>
      </c>
      <c r="G27" s="58" t="s">
        <v>338</v>
      </c>
      <c r="H27" s="58" t="s">
        <v>313</v>
      </c>
      <c r="I27" s="58" t="s">
        <v>314</v>
      </c>
      <c r="J27" s="58" t="s">
        <v>345</v>
      </c>
      <c r="K27" s="34" t="s">
        <v>353</v>
      </c>
    </row>
    <row r="28" customFormat="false" ht="19.5" hidden="false" customHeight="true" outlineLevel="0" collapsed="false">
      <c r="B28" s="67" t="s">
        <v>354</v>
      </c>
      <c r="C28" s="48" t="s">
        <v>329</v>
      </c>
      <c r="D28" s="68" t="s">
        <v>318</v>
      </c>
      <c r="E28" s="68" t="s">
        <v>289</v>
      </c>
      <c r="F28" s="68" t="s">
        <v>289</v>
      </c>
      <c r="G28" s="68" t="s">
        <v>334</v>
      </c>
      <c r="H28" s="68" t="s">
        <v>313</v>
      </c>
      <c r="I28" s="68" t="s">
        <v>300</v>
      </c>
      <c r="J28" s="68" t="s">
        <v>335</v>
      </c>
      <c r="K28" s="48" t="s">
        <v>355</v>
      </c>
    </row>
    <row r="29" customFormat="false" ht="19.5" hidden="false" customHeight="true" outlineLevel="0" collapsed="false">
      <c r="B29" s="66" t="s">
        <v>356</v>
      </c>
      <c r="C29" s="34" t="s">
        <v>329</v>
      </c>
      <c r="D29" s="58" t="s">
        <v>311</v>
      </c>
      <c r="E29" s="58" t="s">
        <v>289</v>
      </c>
      <c r="F29" s="58" t="s">
        <v>289</v>
      </c>
      <c r="G29" s="58" t="s">
        <v>289</v>
      </c>
      <c r="H29" s="58" t="s">
        <v>289</v>
      </c>
      <c r="I29" s="58" t="s">
        <v>300</v>
      </c>
      <c r="J29" s="58" t="s">
        <v>323</v>
      </c>
      <c r="K29" s="34" t="s">
        <v>357</v>
      </c>
    </row>
    <row r="30" customFormat="false" ht="19.5" hidden="false" customHeight="true" outlineLevel="0" collapsed="false">
      <c r="B30" s="67" t="s">
        <v>358</v>
      </c>
      <c r="C30" s="48" t="s">
        <v>329</v>
      </c>
      <c r="D30" s="68" t="s">
        <v>306</v>
      </c>
      <c r="E30" s="68" t="s">
        <v>289</v>
      </c>
      <c r="F30" s="68" t="s">
        <v>289</v>
      </c>
      <c r="G30" s="68" t="s">
        <v>289</v>
      </c>
      <c r="H30" s="68" t="s">
        <v>313</v>
      </c>
      <c r="I30" s="68" t="s">
        <v>300</v>
      </c>
      <c r="J30" s="68" t="s">
        <v>308</v>
      </c>
      <c r="K30" s="48" t="s">
        <v>359</v>
      </c>
    </row>
    <row r="32" customFormat="false" ht="27.75" hidden="false" customHeight="true" outlineLevel="0" collapsed="false">
      <c r="B32" s="69" t="s">
        <v>360</v>
      </c>
      <c r="C32" s="69"/>
      <c r="D32" s="69"/>
      <c r="E32" s="69"/>
      <c r="F32" s="69"/>
      <c r="G32" s="69"/>
      <c r="H32" s="69"/>
      <c r="I32" s="69"/>
    </row>
    <row r="33" customFormat="false" ht="24" hidden="false" customHeight="true" outlineLevel="0" collapsed="false">
      <c r="B33" s="31" t="s">
        <v>276</v>
      </c>
      <c r="C33" s="31" t="s">
        <v>277</v>
      </c>
      <c r="D33" s="31" t="s">
        <v>278</v>
      </c>
      <c r="E33" s="31" t="s">
        <v>279</v>
      </c>
      <c r="F33" s="31" t="s">
        <v>280</v>
      </c>
      <c r="G33" s="31" t="s">
        <v>281</v>
      </c>
      <c r="H33" s="31" t="s">
        <v>282</v>
      </c>
      <c r="I33" s="31" t="s">
        <v>283</v>
      </c>
      <c r="J33" s="31" t="s">
        <v>284</v>
      </c>
      <c r="K33" s="31" t="s">
        <v>285</v>
      </c>
    </row>
    <row r="34" customFormat="false" ht="19.5" hidden="false" customHeight="true" outlineLevel="0" collapsed="false">
      <c r="B34" s="70" t="s">
        <v>361</v>
      </c>
      <c r="C34" s="53" t="s">
        <v>362</v>
      </c>
      <c r="D34" s="71" t="s">
        <v>289</v>
      </c>
      <c r="E34" s="71" t="s">
        <v>289</v>
      </c>
      <c r="F34" s="71" t="s">
        <v>289</v>
      </c>
      <c r="G34" s="71" t="s">
        <v>289</v>
      </c>
      <c r="H34" s="71" t="s">
        <v>363</v>
      </c>
      <c r="I34" s="71" t="s">
        <v>300</v>
      </c>
      <c r="J34" s="71" t="s">
        <v>364</v>
      </c>
      <c r="K34" s="53" t="s">
        <v>365</v>
      </c>
    </row>
    <row r="35" customFormat="false" ht="19.5" hidden="false" customHeight="true" outlineLevel="0" collapsed="false">
      <c r="B35" s="72" t="s">
        <v>366</v>
      </c>
      <c r="C35" s="34" t="s">
        <v>362</v>
      </c>
      <c r="D35" s="58" t="s">
        <v>289</v>
      </c>
      <c r="E35" s="58" t="s">
        <v>289</v>
      </c>
      <c r="F35" s="58" t="s">
        <v>289</v>
      </c>
      <c r="G35" s="58" t="s">
        <v>289</v>
      </c>
      <c r="H35" s="58" t="s">
        <v>289</v>
      </c>
      <c r="I35" s="58" t="s">
        <v>300</v>
      </c>
      <c r="J35" s="58" t="s">
        <v>367</v>
      </c>
      <c r="K35" s="34" t="s">
        <v>368</v>
      </c>
    </row>
  </sheetData>
  <mergeCells count="6">
    <mergeCell ref="B2:I2"/>
    <mergeCell ref="B3:I3"/>
    <mergeCell ref="B5:I5"/>
    <mergeCell ref="B12:I12"/>
    <mergeCell ref="B21:I21"/>
    <mergeCell ref="B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3946"/>
    <pageSetUpPr fitToPage="false"/>
  </sheetPr>
  <dimension ref="B2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7" min="5" style="1" width="20"/>
    <col collapsed="false" customWidth="true" hidden="false" outlineLevel="0" max="8" min="8" style="1" width="18"/>
    <col collapsed="false" customWidth="true" hidden="false" outlineLevel="0" max="9" min="9" style="1" width="3"/>
  </cols>
  <sheetData>
    <row r="2" customFormat="false" ht="45" hidden="false" customHeight="true" outlineLevel="0" collapsed="false">
      <c r="B2" s="29" t="s">
        <v>369</v>
      </c>
      <c r="C2" s="29"/>
      <c r="D2" s="29"/>
      <c r="E2" s="29"/>
      <c r="F2" s="29"/>
      <c r="G2" s="29"/>
      <c r="H2" s="29"/>
    </row>
    <row r="3" customFormat="false" ht="18" hidden="false" customHeight="true" outlineLevel="0" collapsed="false">
      <c r="B3" s="73" t="s">
        <v>370</v>
      </c>
      <c r="C3" s="73"/>
      <c r="D3" s="73"/>
      <c r="E3" s="73"/>
      <c r="F3" s="73"/>
      <c r="G3" s="73"/>
      <c r="H3" s="73"/>
    </row>
    <row r="5" customFormat="false" ht="27.75" hidden="false" customHeight="true" outlineLevel="0" collapsed="false">
      <c r="B5" s="74" t="s">
        <v>371</v>
      </c>
      <c r="C5" s="74"/>
      <c r="D5" s="74"/>
      <c r="E5" s="74"/>
      <c r="F5" s="74"/>
      <c r="G5" s="74"/>
      <c r="H5" s="74"/>
    </row>
    <row r="6" customFormat="false" ht="24" hidden="false" customHeight="true" outlineLevel="0" collapsed="false">
      <c r="B6" s="75" t="s">
        <v>372</v>
      </c>
      <c r="C6" s="75" t="s">
        <v>278</v>
      </c>
      <c r="D6" s="75" t="s">
        <v>373</v>
      </c>
      <c r="E6" s="75" t="s">
        <v>374</v>
      </c>
      <c r="F6" s="75" t="s">
        <v>375</v>
      </c>
      <c r="G6" s="75" t="s">
        <v>285</v>
      </c>
    </row>
    <row r="7" customFormat="false" ht="21.75" hidden="false" customHeight="true" outlineLevel="0" collapsed="false">
      <c r="B7" s="76" t="s">
        <v>376</v>
      </c>
      <c r="C7" s="76" t="s">
        <v>377</v>
      </c>
      <c r="D7" s="76" t="s">
        <v>378</v>
      </c>
      <c r="E7" s="76" t="s">
        <v>379</v>
      </c>
      <c r="F7" s="76" t="s">
        <v>380</v>
      </c>
      <c r="G7" s="76" t="s">
        <v>381</v>
      </c>
    </row>
    <row r="8" customFormat="false" ht="21.75" hidden="false" customHeight="true" outlineLevel="0" collapsed="false">
      <c r="B8" s="34" t="s">
        <v>382</v>
      </c>
      <c r="C8" s="34" t="s">
        <v>383</v>
      </c>
      <c r="D8" s="34" t="s">
        <v>384</v>
      </c>
      <c r="E8" s="34" t="s">
        <v>385</v>
      </c>
      <c r="F8" s="34" t="s">
        <v>386</v>
      </c>
      <c r="G8" s="34" t="s">
        <v>387</v>
      </c>
    </row>
    <row r="9" customFormat="false" ht="21.75" hidden="false" customHeight="true" outlineLevel="0" collapsed="false">
      <c r="B9" s="76" t="s">
        <v>388</v>
      </c>
      <c r="C9" s="76" t="s">
        <v>389</v>
      </c>
      <c r="D9" s="76" t="s">
        <v>390</v>
      </c>
      <c r="E9" s="76" t="s">
        <v>391</v>
      </c>
      <c r="F9" s="76" t="s">
        <v>392</v>
      </c>
      <c r="G9" s="76" t="s">
        <v>393</v>
      </c>
    </row>
    <row r="10" customFormat="false" ht="21.75" hidden="false" customHeight="true" outlineLevel="0" collapsed="false">
      <c r="B10" s="34" t="s">
        <v>394</v>
      </c>
      <c r="C10" s="34" t="s">
        <v>318</v>
      </c>
      <c r="D10" s="34" t="s">
        <v>395</v>
      </c>
      <c r="E10" s="34" t="s">
        <v>396</v>
      </c>
      <c r="F10" s="34" t="s">
        <v>397</v>
      </c>
      <c r="G10" s="34" t="s">
        <v>398</v>
      </c>
    </row>
    <row r="11" customFormat="false" ht="21.75" hidden="false" customHeight="true" outlineLevel="0" collapsed="false">
      <c r="B11" s="76" t="s">
        <v>399</v>
      </c>
      <c r="C11" s="76" t="s">
        <v>400</v>
      </c>
      <c r="D11" s="76" t="s">
        <v>395</v>
      </c>
      <c r="E11" s="76" t="s">
        <v>401</v>
      </c>
      <c r="F11" s="76" t="s">
        <v>402</v>
      </c>
      <c r="G11" s="76" t="s">
        <v>403</v>
      </c>
    </row>
    <row r="12" customFormat="false" ht="21.75" hidden="false" customHeight="true" outlineLevel="0" collapsed="false">
      <c r="B12" s="34" t="s">
        <v>404</v>
      </c>
      <c r="C12" s="34" t="s">
        <v>318</v>
      </c>
      <c r="D12" s="34" t="s">
        <v>395</v>
      </c>
      <c r="E12" s="34" t="s">
        <v>405</v>
      </c>
      <c r="F12" s="34" t="s">
        <v>406</v>
      </c>
      <c r="G12" s="34" t="s">
        <v>407</v>
      </c>
    </row>
    <row r="13" customFormat="false" ht="36" hidden="false" customHeight="true" outlineLevel="0" collapsed="false">
      <c r="B13" s="77" t="s">
        <v>408</v>
      </c>
      <c r="C13" s="78" t="s">
        <v>409</v>
      </c>
      <c r="D13" s="78" t="s">
        <v>410</v>
      </c>
      <c r="E13" s="78" t="s">
        <v>411</v>
      </c>
      <c r="F13" s="78" t="s">
        <v>412</v>
      </c>
      <c r="G13" s="78" t="s">
        <v>413</v>
      </c>
    </row>
    <row r="14" customFormat="false" ht="36" hidden="false" customHeight="true" outlineLevel="0" collapsed="false">
      <c r="B14" s="79" t="s">
        <v>414</v>
      </c>
      <c r="C14" s="79" t="s">
        <v>415</v>
      </c>
      <c r="D14" s="79" t="s">
        <v>416</v>
      </c>
      <c r="E14" s="79" t="s">
        <v>417</v>
      </c>
      <c r="F14" s="79" t="s">
        <v>418</v>
      </c>
      <c r="G14" s="79" t="s">
        <v>419</v>
      </c>
      <c r="H14" s="79"/>
    </row>
    <row r="15" customFormat="false" ht="24" hidden="false" customHeight="true" outlineLevel="0" collapsed="false"/>
    <row r="16" customFormat="false" ht="21.75" hidden="false" customHeight="true" outlineLevel="0" collapsed="false">
      <c r="B16" s="74" t="s">
        <v>420</v>
      </c>
      <c r="C16" s="80"/>
      <c r="D16" s="80"/>
      <c r="E16" s="80"/>
      <c r="F16" s="80"/>
      <c r="G16" s="80"/>
      <c r="H16" s="80"/>
    </row>
    <row r="17" customFormat="false" ht="21.75" hidden="false" customHeight="true" outlineLevel="0" collapsed="false">
      <c r="B17" s="10" t="s">
        <v>62</v>
      </c>
      <c r="C17" s="10" t="s">
        <v>63</v>
      </c>
      <c r="D17" s="10" t="s">
        <v>31</v>
      </c>
      <c r="E17" s="10" t="s">
        <v>372</v>
      </c>
      <c r="F17" s="10" t="s">
        <v>278</v>
      </c>
      <c r="G17" s="10" t="s">
        <v>421</v>
      </c>
      <c r="H17" s="10" t="s">
        <v>285</v>
      </c>
    </row>
    <row r="18" customFormat="false" ht="21.75" hidden="false" customHeight="true" outlineLevel="0" collapsed="false">
      <c r="B18" s="60" t="s">
        <v>73</v>
      </c>
      <c r="C18" s="37" t="n">
        <f aca="false">'🌱 Configuração'!D6+1</f>
        <v>1</v>
      </c>
      <c r="D18" s="38" t="s">
        <v>70</v>
      </c>
      <c r="E18" s="38" t="s">
        <v>422</v>
      </c>
      <c r="F18" s="38" t="s">
        <v>311</v>
      </c>
      <c r="G18" s="38" t="s">
        <v>423</v>
      </c>
      <c r="H18" s="38" t="s">
        <v>424</v>
      </c>
    </row>
    <row r="19" customFormat="false" ht="21.75" hidden="false" customHeight="true" outlineLevel="0" collapsed="false">
      <c r="B19" s="58" t="s">
        <v>16</v>
      </c>
      <c r="C19" s="32" t="n">
        <f aca="false">'🌱 Configuração'!D6+6</f>
        <v>6</v>
      </c>
      <c r="D19" s="34" t="s">
        <v>70</v>
      </c>
      <c r="E19" s="34" t="s">
        <v>425</v>
      </c>
      <c r="F19" s="34" t="s">
        <v>426</v>
      </c>
      <c r="G19" s="34" t="s">
        <v>427</v>
      </c>
      <c r="H19" s="34" t="s">
        <v>428</v>
      </c>
    </row>
    <row r="20" customFormat="false" ht="21.75" hidden="false" customHeight="true" outlineLevel="0" collapsed="false">
      <c r="B20" s="60" t="s">
        <v>86</v>
      </c>
      <c r="C20" s="37" t="n">
        <f aca="false">'🌱 Configuração'!D6+9</f>
        <v>9</v>
      </c>
      <c r="D20" s="38" t="s">
        <v>70</v>
      </c>
      <c r="E20" s="38" t="s">
        <v>429</v>
      </c>
      <c r="F20" s="38" t="s">
        <v>318</v>
      </c>
      <c r="G20" s="38" t="s">
        <v>395</v>
      </c>
      <c r="H20" s="38" t="s">
        <v>430</v>
      </c>
    </row>
    <row r="21" customFormat="false" ht="21.75" hidden="false" customHeight="true" outlineLevel="0" collapsed="false">
      <c r="B21" s="58" t="s">
        <v>5</v>
      </c>
      <c r="C21" s="32" t="n">
        <f aca="false">'🌱 Configuração'!D6+13</f>
        <v>13</v>
      </c>
      <c r="D21" s="34" t="s">
        <v>70</v>
      </c>
      <c r="E21" s="34" t="s">
        <v>422</v>
      </c>
      <c r="F21" s="34" t="s">
        <v>311</v>
      </c>
      <c r="G21" s="34" t="s">
        <v>395</v>
      </c>
      <c r="H21" s="34" t="s">
        <v>431</v>
      </c>
    </row>
    <row r="22" customFormat="false" ht="21.75" hidden="false" customHeight="true" outlineLevel="0" collapsed="false">
      <c r="B22" s="63" t="s">
        <v>103</v>
      </c>
      <c r="C22" s="42" t="n">
        <f aca="false">'🌱 Configuração'!D6+20</f>
        <v>20</v>
      </c>
      <c r="D22" s="43" t="s">
        <v>94</v>
      </c>
      <c r="E22" s="43" t="s">
        <v>425</v>
      </c>
      <c r="F22" s="43" t="s">
        <v>426</v>
      </c>
      <c r="G22" s="43" t="s">
        <v>427</v>
      </c>
      <c r="H22" s="43"/>
    </row>
    <row r="23" customFormat="false" ht="21.75" hidden="false" customHeight="true" outlineLevel="0" collapsed="false">
      <c r="B23" s="58" t="s">
        <v>115</v>
      </c>
      <c r="C23" s="32" t="n">
        <f aca="false">'🌱 Configuração'!D6+27</f>
        <v>27</v>
      </c>
      <c r="D23" s="34" t="s">
        <v>94</v>
      </c>
      <c r="E23" s="34" t="s">
        <v>432</v>
      </c>
      <c r="F23" s="34" t="s">
        <v>433</v>
      </c>
      <c r="G23" s="34" t="s">
        <v>395</v>
      </c>
      <c r="H23" s="34" t="s">
        <v>434</v>
      </c>
    </row>
    <row r="24" customFormat="false" ht="21.75" hidden="false" customHeight="true" outlineLevel="0" collapsed="false">
      <c r="B24" s="63" t="s">
        <v>127</v>
      </c>
      <c r="C24" s="42" t="n">
        <f aca="false">'🌱 Configuração'!D6+34</f>
        <v>34</v>
      </c>
      <c r="D24" s="43" t="s">
        <v>94</v>
      </c>
      <c r="E24" s="43" t="s">
        <v>435</v>
      </c>
      <c r="F24" s="43" t="s">
        <v>436</v>
      </c>
      <c r="G24" s="43" t="s">
        <v>437</v>
      </c>
      <c r="H24" s="43" t="s">
        <v>438</v>
      </c>
    </row>
    <row r="25" customFormat="false" ht="21.75" hidden="false" customHeight="true" outlineLevel="0" collapsed="false">
      <c r="B25" s="58" t="s">
        <v>8</v>
      </c>
      <c r="C25" s="32" t="n">
        <f aca="false">'🌱 Configuração'!D6+41</f>
        <v>41</v>
      </c>
      <c r="D25" s="34" t="s">
        <v>94</v>
      </c>
      <c r="E25" s="34" t="s">
        <v>422</v>
      </c>
      <c r="F25" s="34" t="s">
        <v>311</v>
      </c>
      <c r="G25" s="34" t="s">
        <v>395</v>
      </c>
      <c r="H25" s="34" t="s">
        <v>439</v>
      </c>
    </row>
    <row r="26" customFormat="false" ht="21.75" hidden="false" customHeight="true" outlineLevel="0" collapsed="false">
      <c r="B26" s="68" t="s">
        <v>154</v>
      </c>
      <c r="C26" s="47" t="n">
        <f aca="false">'🌱 Configuração'!D6+48</f>
        <v>48</v>
      </c>
      <c r="D26" s="48" t="s">
        <v>164</v>
      </c>
      <c r="E26" s="48" t="s">
        <v>425</v>
      </c>
      <c r="F26" s="48" t="s">
        <v>426</v>
      </c>
      <c r="G26" s="48" t="s">
        <v>440</v>
      </c>
      <c r="H26" s="48" t="s">
        <v>441</v>
      </c>
    </row>
    <row r="27" customFormat="false" ht="21.75" hidden="false" customHeight="true" outlineLevel="0" collapsed="false">
      <c r="B27" s="58" t="s">
        <v>161</v>
      </c>
      <c r="C27" s="32" t="n">
        <f aca="false">'🌱 Configuração'!D6+55</f>
        <v>55</v>
      </c>
      <c r="D27" s="34" t="s">
        <v>164</v>
      </c>
      <c r="E27" s="34" t="s">
        <v>435</v>
      </c>
      <c r="F27" s="34" t="s">
        <v>436</v>
      </c>
      <c r="G27" s="34" t="s">
        <v>437</v>
      </c>
      <c r="H27" s="34"/>
    </row>
    <row r="28" customFormat="false" ht="21.75" hidden="false" customHeight="true" outlineLevel="0" collapsed="false">
      <c r="B28" s="68" t="s">
        <v>12</v>
      </c>
      <c r="C28" s="47" t="n">
        <f aca="false">'🌱 Configuração'!D6+62</f>
        <v>62</v>
      </c>
      <c r="D28" s="48" t="s">
        <v>164</v>
      </c>
      <c r="E28" s="48" t="s">
        <v>442</v>
      </c>
      <c r="F28" s="48" t="s">
        <v>400</v>
      </c>
      <c r="G28" s="48" t="s">
        <v>440</v>
      </c>
      <c r="H28" s="48" t="s">
        <v>443</v>
      </c>
    </row>
    <row r="29" customFormat="false" ht="21.75" hidden="false" customHeight="true" outlineLevel="0" collapsed="false">
      <c r="B29" s="58" t="s">
        <v>183</v>
      </c>
      <c r="C29" s="32" t="n">
        <f aca="false">'🌱 Configuração'!D6+69</f>
        <v>69</v>
      </c>
      <c r="D29" s="34" t="s">
        <v>164</v>
      </c>
      <c r="E29" s="34" t="s">
        <v>425</v>
      </c>
      <c r="F29" s="34" t="s">
        <v>426</v>
      </c>
      <c r="G29" s="34" t="s">
        <v>440</v>
      </c>
      <c r="H29" s="34" t="s">
        <v>444</v>
      </c>
    </row>
    <row r="30" customFormat="false" ht="21.75" hidden="false" customHeight="true" outlineLevel="0" collapsed="false">
      <c r="B30" s="68" t="s">
        <v>195</v>
      </c>
      <c r="C30" s="47" t="n">
        <f aca="false">'🌱 Configuração'!D6+76</f>
        <v>76</v>
      </c>
      <c r="D30" s="48" t="s">
        <v>164</v>
      </c>
      <c r="E30" s="48" t="s">
        <v>435</v>
      </c>
      <c r="F30" s="48" t="s">
        <v>436</v>
      </c>
      <c r="G30" s="48" t="s">
        <v>437</v>
      </c>
      <c r="H30" s="48"/>
    </row>
    <row r="31" customFormat="false" ht="22.35" hidden="false" customHeight="false" outlineLevel="0" collapsed="false">
      <c r="B31" s="58" t="s">
        <v>205</v>
      </c>
      <c r="C31" s="32" t="n">
        <f aca="false">'🌱 Configuração'!D6+83</f>
        <v>83</v>
      </c>
      <c r="D31" s="34" t="s">
        <v>164</v>
      </c>
      <c r="E31" s="34" t="s">
        <v>445</v>
      </c>
      <c r="F31" s="34" t="s">
        <v>289</v>
      </c>
      <c r="G31" s="34" t="s">
        <v>446</v>
      </c>
      <c r="H31" s="34" t="s">
        <v>447</v>
      </c>
    </row>
    <row r="32" customFormat="false" ht="22.35" hidden="false" customHeight="false" outlineLevel="0" collapsed="false">
      <c r="B32" s="68" t="s">
        <v>216</v>
      </c>
      <c r="C32" s="47" t="n">
        <f aca="false">'🌱 Configuração'!D6+90</f>
        <v>90</v>
      </c>
      <c r="D32" s="48" t="s">
        <v>164</v>
      </c>
      <c r="E32" s="48" t="s">
        <v>448</v>
      </c>
      <c r="F32" s="48" t="s">
        <v>289</v>
      </c>
      <c r="G32" s="48" t="s">
        <v>449</v>
      </c>
      <c r="H32" s="48" t="s">
        <v>450</v>
      </c>
    </row>
    <row r="37" customFormat="false" ht="21.75" hidden="false" customHeight="true" outlineLevel="0" collapsed="false">
      <c r="B37" s="31" t="s">
        <v>5</v>
      </c>
      <c r="C37" s="37" t="n">
        <f aca="false">'🌱 Configuração'!D6+13</f>
        <v>13</v>
      </c>
      <c r="D37" s="81" t="s">
        <v>70</v>
      </c>
      <c r="E37" s="81" t="s">
        <v>451</v>
      </c>
      <c r="F37" s="60" t="s">
        <v>452</v>
      </c>
      <c r="G37" s="38" t="s">
        <v>453</v>
      </c>
      <c r="H37" s="38" t="s">
        <v>454</v>
      </c>
    </row>
    <row r="38" customFormat="false" ht="21.75" hidden="false" customHeight="true" outlineLevel="0" collapsed="false">
      <c r="B38" s="31" t="s">
        <v>115</v>
      </c>
      <c r="C38" s="42" t="n">
        <f aca="false">'🌱 Configuração'!D6+27</f>
        <v>27</v>
      </c>
      <c r="D38" s="82" t="s">
        <v>94</v>
      </c>
      <c r="E38" s="82" t="s">
        <v>455</v>
      </c>
      <c r="F38" s="63" t="s">
        <v>456</v>
      </c>
      <c r="G38" s="43" t="s">
        <v>453</v>
      </c>
      <c r="H38" s="43" t="s">
        <v>457</v>
      </c>
    </row>
    <row r="39" customFormat="false" ht="21.75" hidden="false" customHeight="true" outlineLevel="0" collapsed="false">
      <c r="B39" s="31" t="s">
        <v>127</v>
      </c>
      <c r="C39" s="42" t="n">
        <f aca="false">'🌱 Configuração'!D6+34</f>
        <v>34</v>
      </c>
      <c r="D39" s="82" t="s">
        <v>94</v>
      </c>
      <c r="E39" s="82" t="s">
        <v>451</v>
      </c>
      <c r="F39" s="63" t="s">
        <v>452</v>
      </c>
      <c r="G39" s="43" t="s">
        <v>395</v>
      </c>
      <c r="H39" s="43" t="s">
        <v>458</v>
      </c>
    </row>
    <row r="40" customFormat="false" ht="21.75" hidden="false" customHeight="true" outlineLevel="0" collapsed="false">
      <c r="B40" s="31" t="s">
        <v>8</v>
      </c>
      <c r="C40" s="42" t="n">
        <f aca="false">'🌱 Configuração'!D6+41</f>
        <v>41</v>
      </c>
      <c r="D40" s="82" t="s">
        <v>94</v>
      </c>
      <c r="E40" s="82" t="s">
        <v>455</v>
      </c>
      <c r="F40" s="63" t="s">
        <v>456</v>
      </c>
      <c r="G40" s="43" t="s">
        <v>395</v>
      </c>
      <c r="H40" s="43" t="s">
        <v>459</v>
      </c>
    </row>
    <row r="42" customFormat="false" ht="27.75" hidden="false" customHeight="true" outlineLevel="0" collapsed="false">
      <c r="B42" s="83" t="s">
        <v>460</v>
      </c>
      <c r="C42" s="83"/>
      <c r="D42" s="83"/>
      <c r="E42" s="83"/>
      <c r="F42" s="83"/>
      <c r="G42" s="83"/>
      <c r="H42" s="83"/>
    </row>
    <row r="43" customFormat="false" ht="21.75" hidden="false" customHeight="true" outlineLevel="0" collapsed="false">
      <c r="B43" s="84" t="s">
        <v>461</v>
      </c>
      <c r="C43" s="84"/>
      <c r="D43" s="84" t="s">
        <v>462</v>
      </c>
      <c r="E43" s="84"/>
      <c r="F43" s="84"/>
      <c r="G43" s="84"/>
      <c r="H43" s="84"/>
    </row>
    <row r="44" customFormat="false" ht="19.5" hidden="false" customHeight="true" outlineLevel="0" collapsed="false">
      <c r="B44" s="85" t="s">
        <v>463</v>
      </c>
      <c r="C44" s="85"/>
      <c r="D44" s="86" t="s">
        <v>464</v>
      </c>
      <c r="E44" s="86"/>
      <c r="F44" s="86"/>
      <c r="G44" s="86"/>
      <c r="H44" s="86"/>
    </row>
    <row r="45" customFormat="false" ht="19.5" hidden="false" customHeight="true" outlineLevel="0" collapsed="false">
      <c r="B45" s="85" t="s">
        <v>463</v>
      </c>
      <c r="C45" s="85"/>
      <c r="D45" s="86" t="s">
        <v>465</v>
      </c>
      <c r="E45" s="86"/>
      <c r="F45" s="86"/>
      <c r="G45" s="86"/>
      <c r="H45" s="86"/>
    </row>
    <row r="46" customFormat="false" ht="19.5" hidden="false" customHeight="true" outlineLevel="0" collapsed="false">
      <c r="B46" s="85" t="s">
        <v>466</v>
      </c>
      <c r="C46" s="85"/>
      <c r="D46" s="86" t="s">
        <v>467</v>
      </c>
      <c r="E46" s="86"/>
      <c r="F46" s="86"/>
      <c r="G46" s="86"/>
      <c r="H46" s="86"/>
    </row>
    <row r="47" customFormat="false" ht="19.5" hidden="false" customHeight="true" outlineLevel="0" collapsed="false">
      <c r="B47" s="87" t="s">
        <v>468</v>
      </c>
      <c r="C47" s="87"/>
      <c r="D47" s="88" t="s">
        <v>469</v>
      </c>
      <c r="E47" s="88"/>
      <c r="F47" s="88"/>
      <c r="G47" s="88"/>
      <c r="H47" s="88"/>
    </row>
    <row r="48" customFormat="false" ht="19.5" hidden="false" customHeight="true" outlineLevel="0" collapsed="false">
      <c r="B48" s="87" t="s">
        <v>470</v>
      </c>
      <c r="C48" s="87"/>
      <c r="D48" s="88" t="s">
        <v>471</v>
      </c>
      <c r="E48" s="88"/>
      <c r="F48" s="88"/>
      <c r="G48" s="88"/>
      <c r="H48" s="88"/>
    </row>
    <row r="49" customFormat="false" ht="19.5" hidden="false" customHeight="true" outlineLevel="0" collapsed="false">
      <c r="B49" s="89" t="s">
        <v>472</v>
      </c>
      <c r="C49" s="89"/>
      <c r="D49" s="90" t="s">
        <v>473</v>
      </c>
      <c r="E49" s="90"/>
      <c r="F49" s="90"/>
      <c r="G49" s="90"/>
      <c r="H49" s="90"/>
    </row>
    <row r="50" customFormat="false" ht="19.5" hidden="false" customHeight="true" outlineLevel="0" collapsed="false">
      <c r="B50" s="79" t="s">
        <v>474</v>
      </c>
      <c r="C50" s="79"/>
      <c r="D50" s="91" t="s">
        <v>475</v>
      </c>
      <c r="E50" s="91"/>
      <c r="F50" s="91"/>
      <c r="G50" s="91"/>
      <c r="H50" s="91"/>
    </row>
    <row r="51" customFormat="false" ht="19.5" hidden="false" customHeight="true" outlineLevel="0" collapsed="false">
      <c r="B51" s="79" t="s">
        <v>474</v>
      </c>
      <c r="C51" s="79"/>
      <c r="D51" s="91" t="s">
        <v>476</v>
      </c>
      <c r="E51" s="91"/>
      <c r="F51" s="91"/>
      <c r="G51" s="91"/>
      <c r="H51" s="91"/>
    </row>
  </sheetData>
  <mergeCells count="23">
    <mergeCell ref="B2:H2"/>
    <mergeCell ref="B3:H3"/>
    <mergeCell ref="B5:H5"/>
    <mergeCell ref="B14:H14"/>
    <mergeCell ref="B42:H42"/>
    <mergeCell ref="B43:C43"/>
    <mergeCell ref="D43:H43"/>
    <mergeCell ref="B44:C44"/>
    <mergeCell ref="D44:H44"/>
    <mergeCell ref="B45:C45"/>
    <mergeCell ref="D45:H45"/>
    <mergeCell ref="B46:C46"/>
    <mergeCell ref="D46:H46"/>
    <mergeCell ref="B47:C47"/>
    <mergeCell ref="D47:H47"/>
    <mergeCell ref="B48:C48"/>
    <mergeCell ref="D48:H48"/>
    <mergeCell ref="B49:C49"/>
    <mergeCell ref="D49:H49"/>
    <mergeCell ref="B50:C50"/>
    <mergeCell ref="D50:H50"/>
    <mergeCell ref="B51:C51"/>
    <mergeCell ref="D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D8B"/>
    <pageSetUpPr fitToPage="false"/>
  </sheetPr>
  <dimension ref="B2:L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9" min="4" style="1" width="12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3"/>
  </cols>
  <sheetData>
    <row r="2" customFormat="false" ht="45" hidden="false" customHeight="true" outlineLevel="0" collapsed="false">
      <c r="B2" s="29" t="s">
        <v>477</v>
      </c>
      <c r="C2" s="29"/>
      <c r="D2" s="29"/>
      <c r="E2" s="29"/>
      <c r="F2" s="29"/>
      <c r="G2" s="29"/>
      <c r="H2" s="29"/>
      <c r="I2" s="29"/>
      <c r="J2" s="29"/>
      <c r="K2" s="29"/>
    </row>
    <row r="3" customFormat="false" ht="18" hidden="false" customHeight="true" outlineLevel="0" collapsed="false">
      <c r="B3" s="92" t="s">
        <v>478</v>
      </c>
      <c r="C3" s="92"/>
      <c r="D3" s="92"/>
      <c r="E3" s="92"/>
      <c r="F3" s="92"/>
      <c r="G3" s="92"/>
      <c r="H3" s="92"/>
      <c r="I3" s="92"/>
      <c r="J3" s="92"/>
      <c r="K3" s="92"/>
    </row>
    <row r="5" customFormat="false" ht="30" hidden="false" customHeight="true" outlineLevel="0" collapsed="false">
      <c r="B5" s="10" t="s">
        <v>62</v>
      </c>
      <c r="C5" s="10" t="s">
        <v>63</v>
      </c>
      <c r="D5" s="10" t="s">
        <v>31</v>
      </c>
      <c r="E5" s="10" t="s">
        <v>479</v>
      </c>
      <c r="F5" s="10" t="s">
        <v>480</v>
      </c>
      <c r="G5" s="10" t="s">
        <v>481</v>
      </c>
      <c r="H5" s="10" t="s">
        <v>482</v>
      </c>
      <c r="I5" s="10" t="s">
        <v>483</v>
      </c>
      <c r="J5" s="10" t="s">
        <v>484</v>
      </c>
      <c r="K5" s="10" t="s">
        <v>485</v>
      </c>
      <c r="L5" s="10" t="s">
        <v>486</v>
      </c>
    </row>
    <row r="6" customFormat="false" ht="19.5" hidden="false" customHeight="true" outlineLevel="0" collapsed="false">
      <c r="B6" s="31" t="s">
        <v>69</v>
      </c>
      <c r="C6" s="32" t="n">
        <f aca="false">'🌱 Configuração'!D6+0</f>
        <v>0</v>
      </c>
      <c r="D6" s="33" t="s">
        <v>70</v>
      </c>
      <c r="F6" s="58"/>
      <c r="G6" s="58"/>
      <c r="H6" s="58"/>
      <c r="I6" s="58"/>
      <c r="J6" s="58"/>
      <c r="K6" s="34"/>
      <c r="L6" s="93" t="str">
        <f aca="false">IF(AND(F6&lt;&gt;"",F6&lt;22),"⚠️ Temp baixa",IF(AND(F6&lt;&gt;"",F6&gt;28),"⚠️ Temp alta",IF(AND(H6&lt;&gt;"",H6&lt;5.5),"⚠️ pH baixo",IF(AND(H6&lt;&gt;"",H6&gt;6.8),"⚠️ pH alto","✅ OK"))))</f>
        <v>✅ OK</v>
      </c>
    </row>
    <row r="7" customFormat="false" ht="19.5" hidden="false" customHeight="true" outlineLevel="0" collapsed="false">
      <c r="B7" s="31" t="s">
        <v>73</v>
      </c>
      <c r="C7" s="37" t="n">
        <f aca="false">'🌱 Configuração'!D6+1</f>
        <v>1</v>
      </c>
      <c r="D7" s="33" t="s">
        <v>70</v>
      </c>
      <c r="F7" s="60"/>
      <c r="G7" s="60"/>
      <c r="H7" s="60"/>
      <c r="I7" s="60"/>
      <c r="J7" s="60"/>
      <c r="K7" s="38"/>
      <c r="L7" s="33" t="str">
        <f aca="false">IF(AND(F7&lt;&gt;"",F7&lt;22),"⚠️ Temp baixa",IF(AND(F7&lt;&gt;"",F7&gt;28),"⚠️ Temp alta",IF(AND(H7&lt;&gt;"",H7&lt;5.5),"⚠️ pH baixo",IF(AND(H7&lt;&gt;"",H7&gt;6.8),"⚠️ pH alto","✅ OK"))))</f>
        <v>✅ OK</v>
      </c>
    </row>
    <row r="8" customFormat="false" ht="19.5" hidden="false" customHeight="true" outlineLevel="0" collapsed="false">
      <c r="B8" s="31" t="s">
        <v>75</v>
      </c>
      <c r="C8" s="32" t="n">
        <f aca="false">'🌱 Configuração'!D6+2</f>
        <v>2</v>
      </c>
      <c r="D8" s="33" t="s">
        <v>70</v>
      </c>
      <c r="F8" s="58"/>
      <c r="G8" s="58"/>
      <c r="H8" s="58"/>
      <c r="I8" s="58"/>
      <c r="J8" s="58"/>
      <c r="K8" s="34"/>
      <c r="L8" s="93" t="str">
        <f aca="false">IF(AND(F8&lt;&gt;"",F8&lt;22),"⚠️ Temp baixa",IF(AND(F8&lt;&gt;"",F8&gt;28),"⚠️ Temp alta",IF(AND(H8&lt;&gt;"",H8&lt;5.5),"⚠️ pH baixo",IF(AND(H8&lt;&gt;"",H8&gt;6.8),"⚠️ pH alto","✅ OK"))))</f>
        <v>✅ OK</v>
      </c>
    </row>
    <row r="9" customFormat="false" ht="19.5" hidden="false" customHeight="true" outlineLevel="0" collapsed="false">
      <c r="B9" s="31" t="s">
        <v>23</v>
      </c>
      <c r="C9" s="37" t="n">
        <f aca="false">'🌱 Configuração'!D6+3</f>
        <v>3</v>
      </c>
      <c r="D9" s="33" t="s">
        <v>70</v>
      </c>
      <c r="F9" s="60"/>
      <c r="G9" s="60"/>
      <c r="H9" s="60"/>
      <c r="I9" s="60"/>
      <c r="J9" s="60"/>
      <c r="K9" s="38"/>
      <c r="L9" s="33" t="str">
        <f aca="false">IF(AND(F9&lt;&gt;"",F9&lt;22),"⚠️ Temp baixa",IF(AND(F9&lt;&gt;"",F9&gt;28),"⚠️ Temp alta",IF(AND(H9&lt;&gt;"",H9&lt;5.5),"⚠️ pH baixo",IF(AND(H9&lt;&gt;"",H9&gt;6.8),"⚠️ pH alto","✅ OK"))))</f>
        <v>✅ OK</v>
      </c>
    </row>
    <row r="10" customFormat="false" ht="19.5" hidden="false" customHeight="true" outlineLevel="0" collapsed="false">
      <c r="B10" s="31" t="s">
        <v>78</v>
      </c>
      <c r="C10" s="32" t="n">
        <f aca="false">'🌱 Configuração'!D6+4</f>
        <v>4</v>
      </c>
      <c r="D10" s="33" t="s">
        <v>70</v>
      </c>
      <c r="F10" s="58"/>
      <c r="G10" s="58"/>
      <c r="H10" s="58"/>
      <c r="I10" s="58"/>
      <c r="J10" s="58"/>
      <c r="K10" s="34"/>
      <c r="L10" s="93" t="str">
        <f aca="false">IF(AND(F10&lt;&gt;"",F10&lt;22),"⚠️ Temp baixa",IF(AND(F10&lt;&gt;"",F10&gt;28),"⚠️ Temp alta",IF(AND(H10&lt;&gt;"",H10&lt;5.5),"⚠️ pH baixo",IF(AND(H10&lt;&gt;"",H10&gt;6.8),"⚠️ pH alto","✅ OK"))))</f>
        <v>✅ OK</v>
      </c>
    </row>
    <row r="11" customFormat="false" ht="19.5" hidden="false" customHeight="true" outlineLevel="0" collapsed="false">
      <c r="B11" s="31" t="s">
        <v>79</v>
      </c>
      <c r="C11" s="37" t="n">
        <f aca="false">'🌱 Configuração'!D6+5</f>
        <v>5</v>
      </c>
      <c r="D11" s="33" t="s">
        <v>70</v>
      </c>
      <c r="F11" s="60"/>
      <c r="G11" s="60"/>
      <c r="H11" s="60"/>
      <c r="I11" s="60"/>
      <c r="J11" s="60"/>
      <c r="K11" s="38"/>
      <c r="L11" s="33" t="str">
        <f aca="false">IF(AND(F11&lt;&gt;"",F11&lt;22),"⚠️ Temp baixa",IF(AND(F11&lt;&gt;"",F11&gt;28),"⚠️ Temp alta",IF(AND(H11&lt;&gt;"",H11&lt;5.5),"⚠️ pH baixo",IF(AND(H11&lt;&gt;"",H11&gt;6.8),"⚠️ pH alto","✅ OK"))))</f>
        <v>✅ OK</v>
      </c>
    </row>
    <row r="12" customFormat="false" ht="19.5" hidden="false" customHeight="true" outlineLevel="0" collapsed="false">
      <c r="B12" s="31" t="s">
        <v>16</v>
      </c>
      <c r="C12" s="32" t="n">
        <f aca="false">'🌱 Configuração'!D6+6</f>
        <v>6</v>
      </c>
      <c r="D12" s="33" t="s">
        <v>70</v>
      </c>
      <c r="F12" s="58"/>
      <c r="G12" s="58"/>
      <c r="H12" s="58"/>
      <c r="I12" s="58"/>
      <c r="J12" s="58"/>
      <c r="K12" s="34"/>
      <c r="L12" s="93" t="str">
        <f aca="false">IF(AND(F12&lt;&gt;"",F12&lt;22),"⚠️ Temp baixa",IF(AND(F12&lt;&gt;"",F12&gt;28),"⚠️ Temp alta",IF(AND(H12&lt;&gt;"",H12&lt;5.5),"⚠️ pH baixo",IF(AND(H12&lt;&gt;"",H12&gt;6.8),"⚠️ pH alto","✅ OK"))))</f>
        <v>✅ OK</v>
      </c>
    </row>
    <row r="13" customFormat="false" ht="19.5" hidden="false" customHeight="true" outlineLevel="0" collapsed="false">
      <c r="B13" s="31" t="s">
        <v>82</v>
      </c>
      <c r="C13" s="37" t="n">
        <f aca="false">'🌱 Configuração'!D6+7</f>
        <v>7</v>
      </c>
      <c r="D13" s="33" t="s">
        <v>70</v>
      </c>
      <c r="F13" s="60"/>
      <c r="G13" s="60"/>
      <c r="H13" s="60"/>
      <c r="I13" s="60"/>
      <c r="J13" s="60"/>
      <c r="K13" s="38"/>
      <c r="L13" s="33" t="str">
        <f aca="false">IF(AND(F13&lt;&gt;"",F13&lt;22),"⚠️ Temp baixa",IF(AND(F13&lt;&gt;"",F13&gt;28),"⚠️ Temp alta",IF(AND(H13&lt;&gt;"",H13&lt;5.5),"⚠️ pH baixo",IF(AND(H13&lt;&gt;"",H13&gt;6.8),"⚠️ pH alto","✅ OK"))))</f>
        <v>✅ OK</v>
      </c>
    </row>
    <row r="14" customFormat="false" ht="19.5" hidden="false" customHeight="true" outlineLevel="0" collapsed="false">
      <c r="B14" s="31" t="s">
        <v>84</v>
      </c>
      <c r="C14" s="32" t="n">
        <f aca="false">'🌱 Configuração'!D6+8</f>
        <v>8</v>
      </c>
      <c r="D14" s="33" t="s">
        <v>70</v>
      </c>
      <c r="F14" s="58"/>
      <c r="G14" s="58"/>
      <c r="H14" s="58"/>
      <c r="I14" s="58"/>
      <c r="J14" s="58"/>
      <c r="K14" s="34"/>
      <c r="L14" s="93" t="str">
        <f aca="false">IF(AND(F14&lt;&gt;"",F14&lt;22),"⚠️ Temp baixa",IF(AND(F14&lt;&gt;"",F14&gt;28),"⚠️ Temp alta",IF(AND(H14&lt;&gt;"",H14&lt;5.5),"⚠️ pH baixo",IF(AND(H14&lt;&gt;"",H14&gt;6.8),"⚠️ pH alto","✅ OK"))))</f>
        <v>✅ OK</v>
      </c>
    </row>
    <row r="15" customFormat="false" ht="19.5" hidden="false" customHeight="true" outlineLevel="0" collapsed="false">
      <c r="B15" s="31" t="s">
        <v>86</v>
      </c>
      <c r="C15" s="37" t="n">
        <f aca="false">'🌱 Configuração'!D6+9</f>
        <v>9</v>
      </c>
      <c r="D15" s="33" t="s">
        <v>70</v>
      </c>
      <c r="F15" s="60"/>
      <c r="G15" s="60"/>
      <c r="H15" s="60"/>
      <c r="I15" s="60"/>
      <c r="J15" s="60"/>
      <c r="K15" s="38"/>
      <c r="L15" s="33" t="str">
        <f aca="false">IF(AND(F15&lt;&gt;"",F15&lt;22),"⚠️ Temp baixa",IF(AND(F15&lt;&gt;"",F15&gt;28),"⚠️ Temp alta",IF(AND(H15&lt;&gt;"",H15&lt;5.5),"⚠️ pH baixo",IF(AND(H15&lt;&gt;"",H15&gt;6.8),"⚠️ pH alto","✅ OK"))))</f>
        <v>✅ OK</v>
      </c>
    </row>
    <row r="16" customFormat="false" ht="19.5" hidden="false" customHeight="true" outlineLevel="0" collapsed="false">
      <c r="B16" s="31" t="s">
        <v>87</v>
      </c>
      <c r="C16" s="32" t="n">
        <f aca="false">'🌱 Configuração'!D6+10</f>
        <v>10</v>
      </c>
      <c r="D16" s="33" t="s">
        <v>70</v>
      </c>
      <c r="F16" s="58"/>
      <c r="G16" s="58"/>
      <c r="H16" s="58"/>
      <c r="I16" s="58"/>
      <c r="J16" s="58"/>
      <c r="K16" s="34"/>
      <c r="L16" s="93" t="str">
        <f aca="false">IF(AND(F16&lt;&gt;"",F16&lt;22),"⚠️ Temp baixa",IF(AND(F16&lt;&gt;"",F16&gt;28),"⚠️ Temp alta",IF(AND(H16&lt;&gt;"",H16&lt;5.5),"⚠️ pH baixo",IF(AND(H16&lt;&gt;"",H16&gt;6.8),"⚠️ pH alto","✅ OK"))))</f>
        <v>✅ OK</v>
      </c>
    </row>
    <row r="17" customFormat="false" ht="19.5" hidden="false" customHeight="true" outlineLevel="0" collapsed="false">
      <c r="B17" s="31" t="s">
        <v>21</v>
      </c>
      <c r="C17" s="37" t="n">
        <f aca="false">'🌱 Configuração'!D6+11</f>
        <v>11</v>
      </c>
      <c r="D17" s="33" t="s">
        <v>70</v>
      </c>
      <c r="F17" s="60"/>
      <c r="G17" s="60"/>
      <c r="H17" s="60"/>
      <c r="I17" s="60"/>
      <c r="J17" s="60"/>
      <c r="K17" s="38"/>
      <c r="L17" s="33" t="str">
        <f aca="false">IF(AND(F17&lt;&gt;"",F17&lt;22),"⚠️ Temp baixa",IF(AND(F17&lt;&gt;"",F17&gt;28),"⚠️ Temp alta",IF(AND(H17&lt;&gt;"",H17&lt;5.5),"⚠️ pH baixo",IF(AND(H17&lt;&gt;"",H17&gt;6.8),"⚠️ pH alto","✅ OK"))))</f>
        <v>✅ OK</v>
      </c>
    </row>
    <row r="18" customFormat="false" ht="19.5" hidden="false" customHeight="true" outlineLevel="0" collapsed="false">
      <c r="B18" s="31" t="s">
        <v>89</v>
      </c>
      <c r="C18" s="32" t="n">
        <f aca="false">'🌱 Configuração'!D6+12</f>
        <v>12</v>
      </c>
      <c r="D18" s="33" t="s">
        <v>70</v>
      </c>
      <c r="F18" s="58"/>
      <c r="G18" s="58"/>
      <c r="H18" s="58"/>
      <c r="I18" s="58"/>
      <c r="J18" s="58"/>
      <c r="K18" s="34"/>
      <c r="L18" s="93" t="str">
        <f aca="false">IF(AND(F18&lt;&gt;"",F18&lt;22),"⚠️ Temp baixa",IF(AND(F18&lt;&gt;"",F18&gt;28),"⚠️ Temp alta",IF(AND(H18&lt;&gt;"",H18&lt;5.5),"⚠️ pH baixo",IF(AND(H18&lt;&gt;"",H18&gt;6.8),"⚠️ pH alto","✅ OK"))))</f>
        <v>✅ OK</v>
      </c>
    </row>
    <row r="19" customFormat="false" ht="19.5" hidden="false" customHeight="true" outlineLevel="0" collapsed="false">
      <c r="B19" s="31" t="s">
        <v>5</v>
      </c>
      <c r="C19" s="37" t="n">
        <f aca="false">'🌱 Configuração'!D6+13</f>
        <v>13</v>
      </c>
      <c r="D19" s="33" t="s">
        <v>70</v>
      </c>
      <c r="F19" s="60"/>
      <c r="G19" s="60"/>
      <c r="H19" s="60"/>
      <c r="I19" s="60"/>
      <c r="J19" s="60"/>
      <c r="K19" s="38"/>
      <c r="L19" s="33" t="str">
        <f aca="false">IF(AND(F19&lt;&gt;"",F19&lt;22),"⚠️ Temp baixa",IF(AND(F19&lt;&gt;"",F19&gt;28),"⚠️ Temp alta",IF(AND(H19&lt;&gt;"",H19&lt;5.5),"⚠️ pH baixo",IF(AND(H19&lt;&gt;"",H19&gt;6.8),"⚠️ pH alto","✅ OK"))))</f>
        <v>✅ OK</v>
      </c>
    </row>
    <row r="20" customFormat="false" ht="19.5" hidden="false" customHeight="true" outlineLevel="0" collapsed="false">
      <c r="B20" s="31" t="s">
        <v>93</v>
      </c>
      <c r="C20" s="32" t="n">
        <f aca="false">'🌱 Configuração'!D6+14</f>
        <v>14</v>
      </c>
      <c r="D20" s="41" t="s">
        <v>94</v>
      </c>
      <c r="F20" s="58"/>
      <c r="G20" s="58"/>
      <c r="H20" s="58"/>
      <c r="I20" s="58"/>
      <c r="J20" s="58"/>
      <c r="K20" s="34"/>
      <c r="L20" s="93" t="str">
        <f aca="false">IF(AND(F20&lt;&gt;"",F20&lt;22),"⚠️ Temp baixa",IF(AND(F20&lt;&gt;"",F20&gt;28),"⚠️ Temp alta",IF(AND(H20&lt;&gt;"",H20&lt;5.5),"⚠️ pH baixo",IF(AND(H20&lt;&gt;"",H20&gt;6.8),"⚠️ pH alto","✅ OK"))))</f>
        <v>✅ OK</v>
      </c>
    </row>
    <row r="21" customFormat="false" ht="19.5" hidden="false" customHeight="true" outlineLevel="0" collapsed="false">
      <c r="B21" s="31" t="s">
        <v>97</v>
      </c>
      <c r="C21" s="42" t="n">
        <f aca="false">'🌱 Configuração'!D6+15</f>
        <v>15</v>
      </c>
      <c r="D21" s="41" t="s">
        <v>94</v>
      </c>
      <c r="F21" s="63"/>
      <c r="G21" s="63"/>
      <c r="H21" s="63"/>
      <c r="I21" s="63"/>
      <c r="J21" s="63"/>
      <c r="K21" s="43"/>
      <c r="L21" s="94" t="str">
        <f aca="false">IF(AND(F21&lt;&gt;"",F21&lt;22),"⚠️ Temp baixa",IF(AND(F21&lt;&gt;"",F21&gt;28),"⚠️ Temp alta",IF(AND(H21&lt;&gt;"",H21&lt;5.5),"⚠️ pH baixo",IF(AND(H21&lt;&gt;"",H21&gt;6.8),"⚠️ pH alto","✅ OK"))))</f>
        <v>✅ OK</v>
      </c>
    </row>
    <row r="22" customFormat="false" ht="19.5" hidden="false" customHeight="true" outlineLevel="0" collapsed="false">
      <c r="B22" s="31" t="s">
        <v>100</v>
      </c>
      <c r="C22" s="32" t="n">
        <f aca="false">'🌱 Configuração'!D6+16</f>
        <v>16</v>
      </c>
      <c r="D22" s="41" t="s">
        <v>94</v>
      </c>
      <c r="F22" s="58"/>
      <c r="G22" s="58"/>
      <c r="H22" s="58"/>
      <c r="I22" s="58"/>
      <c r="J22" s="58"/>
      <c r="K22" s="34"/>
      <c r="L22" s="93" t="str">
        <f aca="false">IF(AND(F22&lt;&gt;"",F22&lt;22),"⚠️ Temp baixa",IF(AND(F22&lt;&gt;"",F22&gt;28),"⚠️ Temp alta",IF(AND(H22&lt;&gt;"",H22&lt;5.5),"⚠️ pH baixo",IF(AND(H22&lt;&gt;"",H22&gt;6.8),"⚠️ pH alto","✅ OK"))))</f>
        <v>✅ OK</v>
      </c>
    </row>
    <row r="23" customFormat="false" ht="19.5" hidden="false" customHeight="true" outlineLevel="0" collapsed="false">
      <c r="B23" s="31" t="s">
        <v>18</v>
      </c>
      <c r="C23" s="42" t="n">
        <f aca="false">'🌱 Configuração'!D6+17</f>
        <v>17</v>
      </c>
      <c r="D23" s="41" t="s">
        <v>94</v>
      </c>
      <c r="F23" s="63"/>
      <c r="G23" s="63"/>
      <c r="H23" s="63"/>
      <c r="I23" s="63"/>
      <c r="J23" s="63"/>
      <c r="K23" s="43"/>
      <c r="L23" s="94" t="str">
        <f aca="false">IF(AND(F23&lt;&gt;"",F23&lt;22),"⚠️ Temp baixa",IF(AND(F23&lt;&gt;"",F23&gt;28),"⚠️ Temp alta",IF(AND(H23&lt;&gt;"",H23&lt;5.5),"⚠️ pH baixo",IF(AND(H23&lt;&gt;"",H23&gt;6.8),"⚠️ pH alto","✅ OK"))))</f>
        <v>✅ OK</v>
      </c>
    </row>
    <row r="24" customFormat="false" ht="19.5" hidden="false" customHeight="true" outlineLevel="0" collapsed="false">
      <c r="B24" s="31" t="s">
        <v>101</v>
      </c>
      <c r="C24" s="32" t="n">
        <f aca="false">'🌱 Configuração'!D6+18</f>
        <v>18</v>
      </c>
      <c r="D24" s="41" t="s">
        <v>94</v>
      </c>
      <c r="F24" s="58"/>
      <c r="G24" s="58"/>
      <c r="H24" s="58"/>
      <c r="I24" s="58"/>
      <c r="J24" s="58"/>
      <c r="K24" s="34"/>
      <c r="L24" s="93" t="str">
        <f aca="false">IF(AND(F24&lt;&gt;"",F24&lt;22),"⚠️ Temp baixa",IF(AND(F24&lt;&gt;"",F24&gt;28),"⚠️ Temp alta",IF(AND(H24&lt;&gt;"",H24&lt;5.5),"⚠️ pH baixo",IF(AND(H24&lt;&gt;"",H24&gt;6.8),"⚠️ pH alto","✅ OK"))))</f>
        <v>✅ OK</v>
      </c>
    </row>
    <row r="25" customFormat="false" ht="19.5" hidden="false" customHeight="true" outlineLevel="0" collapsed="false">
      <c r="B25" s="31" t="s">
        <v>102</v>
      </c>
      <c r="C25" s="42" t="n">
        <f aca="false">'🌱 Configuração'!D6+19</f>
        <v>19</v>
      </c>
      <c r="D25" s="41" t="s">
        <v>94</v>
      </c>
      <c r="F25" s="63"/>
      <c r="G25" s="63"/>
      <c r="H25" s="63"/>
      <c r="I25" s="63"/>
      <c r="J25" s="63"/>
      <c r="K25" s="43"/>
      <c r="L25" s="94" t="str">
        <f aca="false">IF(AND(F25&lt;&gt;"",F25&lt;22),"⚠️ Temp baixa",IF(AND(F25&lt;&gt;"",F25&gt;28),"⚠️ Temp alta",IF(AND(H25&lt;&gt;"",H25&lt;5.5),"⚠️ pH baixo",IF(AND(H25&lt;&gt;"",H25&gt;6.8),"⚠️ pH alto","✅ OK"))))</f>
        <v>✅ OK</v>
      </c>
    </row>
    <row r="26" customFormat="false" ht="19.5" hidden="false" customHeight="true" outlineLevel="0" collapsed="false">
      <c r="B26" s="31" t="s">
        <v>103</v>
      </c>
      <c r="C26" s="32" t="n">
        <f aca="false">'🌱 Configuração'!D6+20</f>
        <v>20</v>
      </c>
      <c r="D26" s="41" t="s">
        <v>94</v>
      </c>
      <c r="F26" s="58"/>
      <c r="G26" s="58"/>
      <c r="H26" s="58"/>
      <c r="I26" s="58"/>
      <c r="J26" s="58"/>
      <c r="K26" s="34"/>
      <c r="L26" s="93" t="str">
        <f aca="false">IF(AND(F26&lt;&gt;"",F26&lt;22),"⚠️ Temp baixa",IF(AND(F26&lt;&gt;"",F26&gt;28),"⚠️ Temp alta",IF(AND(H26&lt;&gt;"",H26&lt;5.5),"⚠️ pH baixo",IF(AND(H26&lt;&gt;"",H26&gt;6.8),"⚠️ pH alto","✅ OK"))))</f>
        <v>✅ OK</v>
      </c>
    </row>
    <row r="27" customFormat="false" ht="19.5" hidden="false" customHeight="true" outlineLevel="0" collapsed="false">
      <c r="B27" s="31" t="s">
        <v>108</v>
      </c>
      <c r="C27" s="42" t="n">
        <f aca="false">'🌱 Configuração'!D6+21</f>
        <v>21</v>
      </c>
      <c r="D27" s="41" t="s">
        <v>94</v>
      </c>
      <c r="F27" s="63"/>
      <c r="G27" s="63"/>
      <c r="H27" s="63"/>
      <c r="I27" s="63"/>
      <c r="J27" s="63"/>
      <c r="K27" s="43"/>
      <c r="L27" s="94" t="str">
        <f aca="false">IF(AND(F27&lt;&gt;"",F27&lt;22),"⚠️ Temp baixa",IF(AND(F27&lt;&gt;"",F27&gt;28),"⚠️ Temp alta",IF(AND(H27&lt;&gt;"",H27&lt;5.5),"⚠️ pH baixo",IF(AND(H27&lt;&gt;"",H27&gt;6.8),"⚠️ pH alto","✅ OK"))))</f>
        <v>✅ OK</v>
      </c>
    </row>
    <row r="28" customFormat="false" ht="19.5" hidden="false" customHeight="true" outlineLevel="0" collapsed="false">
      <c r="B28" s="31" t="s">
        <v>110</v>
      </c>
      <c r="C28" s="32" t="n">
        <f aca="false">'🌱 Configuração'!D6+22</f>
        <v>22</v>
      </c>
      <c r="D28" s="41" t="s">
        <v>94</v>
      </c>
      <c r="F28" s="58"/>
      <c r="G28" s="58"/>
      <c r="H28" s="58"/>
      <c r="I28" s="58"/>
      <c r="J28" s="58"/>
      <c r="K28" s="34"/>
      <c r="L28" s="93" t="str">
        <f aca="false">IF(AND(F28&lt;&gt;"",F28&lt;22),"⚠️ Temp baixa",IF(AND(F28&lt;&gt;"",F28&gt;28),"⚠️ Temp alta",IF(AND(H28&lt;&gt;"",H28&lt;5.5),"⚠️ pH baixo",IF(AND(H28&lt;&gt;"",H28&gt;6.8),"⚠️ pH alto","✅ OK"))))</f>
        <v>✅ OK</v>
      </c>
    </row>
    <row r="29" customFormat="false" ht="19.5" hidden="false" customHeight="true" outlineLevel="0" collapsed="false">
      <c r="B29" s="31" t="s">
        <v>25</v>
      </c>
      <c r="C29" s="42" t="n">
        <f aca="false">'🌱 Configuração'!D6+23</f>
        <v>23</v>
      </c>
      <c r="D29" s="41" t="s">
        <v>94</v>
      </c>
      <c r="F29" s="63"/>
      <c r="G29" s="63"/>
      <c r="H29" s="63"/>
      <c r="I29" s="63"/>
      <c r="J29" s="63"/>
      <c r="K29" s="43"/>
      <c r="L29" s="94" t="str">
        <f aca="false">IF(AND(F29&lt;&gt;"",F29&lt;22),"⚠️ Temp baixa",IF(AND(F29&lt;&gt;"",F29&gt;28),"⚠️ Temp alta",IF(AND(H29&lt;&gt;"",H29&lt;5.5),"⚠️ pH baixo",IF(AND(H29&lt;&gt;"",H29&gt;6.8),"⚠️ pH alto","✅ OK"))))</f>
        <v>✅ OK</v>
      </c>
    </row>
    <row r="30" customFormat="false" ht="19.5" hidden="false" customHeight="true" outlineLevel="0" collapsed="false">
      <c r="B30" s="31" t="s">
        <v>111</v>
      </c>
      <c r="C30" s="32" t="n">
        <f aca="false">'🌱 Configuração'!D6+24</f>
        <v>24</v>
      </c>
      <c r="D30" s="41" t="s">
        <v>94</v>
      </c>
      <c r="F30" s="58"/>
      <c r="G30" s="58"/>
      <c r="H30" s="58"/>
      <c r="I30" s="58"/>
      <c r="J30" s="58"/>
      <c r="K30" s="34"/>
      <c r="L30" s="93" t="str">
        <f aca="false">IF(AND(F30&lt;&gt;"",F30&lt;22),"⚠️ Temp baixa",IF(AND(F30&lt;&gt;"",F30&gt;28),"⚠️ Temp alta",IF(AND(H30&lt;&gt;"",H30&lt;5.5),"⚠️ pH baixo",IF(AND(H30&lt;&gt;"",H30&gt;6.8),"⚠️ pH alto","✅ OK"))))</f>
        <v>✅ OK</v>
      </c>
    </row>
    <row r="31" customFormat="false" ht="19.5" hidden="false" customHeight="true" outlineLevel="0" collapsed="false">
      <c r="B31" s="31" t="s">
        <v>113</v>
      </c>
      <c r="C31" s="42" t="n">
        <f aca="false">'🌱 Configuração'!D6+25</f>
        <v>25</v>
      </c>
      <c r="D31" s="41" t="s">
        <v>94</v>
      </c>
      <c r="F31" s="63"/>
      <c r="G31" s="63"/>
      <c r="H31" s="63"/>
      <c r="I31" s="63"/>
      <c r="J31" s="63"/>
      <c r="K31" s="43"/>
      <c r="L31" s="94" t="str">
        <f aca="false">IF(AND(F31&lt;&gt;"",F31&lt;22),"⚠️ Temp baixa",IF(AND(F31&lt;&gt;"",F31&gt;28),"⚠️ Temp alta",IF(AND(H31&lt;&gt;"",H31&lt;5.5),"⚠️ pH baixo",IF(AND(H31&lt;&gt;"",H31&gt;6.8),"⚠️ pH alto","✅ OK"))))</f>
        <v>✅ OK</v>
      </c>
    </row>
    <row r="32" customFormat="false" ht="19.5" hidden="false" customHeight="true" outlineLevel="0" collapsed="false">
      <c r="B32" s="31" t="s">
        <v>114</v>
      </c>
      <c r="C32" s="32" t="n">
        <f aca="false">'🌱 Configuração'!D6+26</f>
        <v>26</v>
      </c>
      <c r="D32" s="41" t="s">
        <v>94</v>
      </c>
      <c r="F32" s="58"/>
      <c r="G32" s="58"/>
      <c r="H32" s="58"/>
      <c r="I32" s="58"/>
      <c r="J32" s="58"/>
      <c r="K32" s="34"/>
      <c r="L32" s="93" t="str">
        <f aca="false">IF(AND(F32&lt;&gt;"",F32&lt;22),"⚠️ Temp baixa",IF(AND(F32&lt;&gt;"",F32&gt;28),"⚠️ Temp alta",IF(AND(H32&lt;&gt;"",H32&lt;5.5),"⚠️ pH baixo",IF(AND(H32&lt;&gt;"",H32&gt;6.8),"⚠️ pH alto","✅ OK"))))</f>
        <v>✅ OK</v>
      </c>
    </row>
    <row r="33" customFormat="false" ht="19.5" hidden="false" customHeight="true" outlineLevel="0" collapsed="false">
      <c r="B33" s="31" t="s">
        <v>115</v>
      </c>
      <c r="C33" s="42" t="n">
        <f aca="false">'🌱 Configuração'!D6+27</f>
        <v>27</v>
      </c>
      <c r="D33" s="41" t="s">
        <v>94</v>
      </c>
      <c r="F33" s="63"/>
      <c r="G33" s="63"/>
      <c r="H33" s="63"/>
      <c r="I33" s="63"/>
      <c r="J33" s="63"/>
      <c r="K33" s="43"/>
      <c r="L33" s="94" t="str">
        <f aca="false">IF(AND(F33&lt;&gt;"",F33&lt;22),"⚠️ Temp baixa",IF(AND(F33&lt;&gt;"",F33&gt;28),"⚠️ Temp alta",IF(AND(H33&lt;&gt;"",H33&lt;5.5),"⚠️ pH baixo",IF(AND(H33&lt;&gt;"",H33&gt;6.8),"⚠️ pH alto","✅ OK"))))</f>
        <v>✅ OK</v>
      </c>
    </row>
    <row r="34" customFormat="false" ht="19.5" hidden="false" customHeight="true" outlineLevel="0" collapsed="false">
      <c r="B34" s="31" t="s">
        <v>119</v>
      </c>
      <c r="C34" s="32" t="n">
        <f aca="false">'🌱 Configuração'!D6+28</f>
        <v>28</v>
      </c>
      <c r="D34" s="41" t="s">
        <v>94</v>
      </c>
      <c r="F34" s="58"/>
      <c r="G34" s="58"/>
      <c r="H34" s="58"/>
      <c r="I34" s="58"/>
      <c r="J34" s="58"/>
      <c r="K34" s="34"/>
      <c r="L34" s="93" t="str">
        <f aca="false">IF(AND(F34&lt;&gt;"",F34&lt;22),"⚠️ Temp baixa",IF(AND(F34&lt;&gt;"",F34&gt;28),"⚠️ Temp alta",IF(AND(H34&lt;&gt;"",H34&lt;5.5),"⚠️ pH baixo",IF(AND(H34&lt;&gt;"",H34&gt;6.8),"⚠️ pH alto","✅ OK"))))</f>
        <v>✅ OK</v>
      </c>
    </row>
    <row r="35" customFormat="false" ht="19.5" hidden="false" customHeight="true" outlineLevel="0" collapsed="false">
      <c r="B35" s="31" t="s">
        <v>121</v>
      </c>
      <c r="C35" s="42" t="n">
        <f aca="false">'🌱 Configuração'!D6+29</f>
        <v>29</v>
      </c>
      <c r="D35" s="41" t="s">
        <v>94</v>
      </c>
      <c r="F35" s="63"/>
      <c r="G35" s="63"/>
      <c r="H35" s="63"/>
      <c r="I35" s="63"/>
      <c r="J35" s="63"/>
      <c r="K35" s="43"/>
      <c r="L35" s="94" t="str">
        <f aca="false">IF(AND(F35&lt;&gt;"",F35&lt;22),"⚠️ Temp baixa",IF(AND(F35&lt;&gt;"",F35&gt;28),"⚠️ Temp alta",IF(AND(H35&lt;&gt;"",H35&lt;5.5),"⚠️ pH baixo",IF(AND(H35&lt;&gt;"",H35&gt;6.8),"⚠️ pH alto","✅ OK"))))</f>
        <v>✅ OK</v>
      </c>
    </row>
    <row r="36" customFormat="false" ht="19.5" hidden="false" customHeight="true" outlineLevel="0" collapsed="false">
      <c r="B36" s="31" t="s">
        <v>122</v>
      </c>
      <c r="C36" s="32" t="n">
        <f aca="false">'🌱 Configuração'!D6+30</f>
        <v>30</v>
      </c>
      <c r="D36" s="41" t="s">
        <v>94</v>
      </c>
      <c r="F36" s="58"/>
      <c r="G36" s="58"/>
      <c r="H36" s="58"/>
      <c r="I36" s="58"/>
      <c r="J36" s="58"/>
      <c r="K36" s="34"/>
      <c r="L36" s="93" t="str">
        <f aca="false">IF(AND(F36&lt;&gt;"",F36&lt;22),"⚠️ Temp baixa",IF(AND(F36&lt;&gt;"",F36&gt;28),"⚠️ Temp alta",IF(AND(H36&lt;&gt;"",H36&lt;5.5),"⚠️ pH baixo",IF(AND(H36&lt;&gt;"",H36&gt;6.8),"⚠️ pH alto","✅ OK"))))</f>
        <v>✅ OK</v>
      </c>
    </row>
    <row r="37" customFormat="false" ht="19.5" hidden="false" customHeight="true" outlineLevel="0" collapsed="false">
      <c r="B37" s="31" t="s">
        <v>123</v>
      </c>
      <c r="C37" s="42" t="n">
        <f aca="false">'🌱 Configuração'!D6+31</f>
        <v>31</v>
      </c>
      <c r="D37" s="41" t="s">
        <v>94</v>
      </c>
      <c r="F37" s="63"/>
      <c r="G37" s="63"/>
      <c r="H37" s="63"/>
      <c r="I37" s="63"/>
      <c r="J37" s="63"/>
      <c r="K37" s="43"/>
      <c r="L37" s="94" t="str">
        <f aca="false">IF(AND(F37&lt;&gt;"",F37&lt;22),"⚠️ Temp baixa",IF(AND(F37&lt;&gt;"",F37&gt;28),"⚠️ Temp alta",IF(AND(H37&lt;&gt;"",H37&lt;5.5),"⚠️ pH baixo",IF(AND(H37&lt;&gt;"",H37&gt;6.8),"⚠️ pH alto","✅ OK"))))</f>
        <v>✅ OK</v>
      </c>
    </row>
    <row r="38" customFormat="false" ht="19.5" hidden="false" customHeight="true" outlineLevel="0" collapsed="false">
      <c r="B38" s="31" t="s">
        <v>125</v>
      </c>
      <c r="C38" s="32" t="n">
        <f aca="false">'🌱 Configuração'!D6+32</f>
        <v>32</v>
      </c>
      <c r="D38" s="41" t="s">
        <v>94</v>
      </c>
      <c r="F38" s="58"/>
      <c r="G38" s="58"/>
      <c r="H38" s="58"/>
      <c r="I38" s="58"/>
      <c r="J38" s="58"/>
      <c r="K38" s="34"/>
      <c r="L38" s="93" t="str">
        <f aca="false">IF(AND(F38&lt;&gt;"",F38&lt;22),"⚠️ Temp baixa",IF(AND(F38&lt;&gt;"",F38&gt;28),"⚠️ Temp alta",IF(AND(H38&lt;&gt;"",H38&lt;5.5),"⚠️ pH baixo",IF(AND(H38&lt;&gt;"",H38&gt;6.8),"⚠️ pH alto","✅ OK"))))</f>
        <v>✅ OK</v>
      </c>
    </row>
    <row r="39" customFormat="false" ht="19.5" hidden="false" customHeight="true" outlineLevel="0" collapsed="false">
      <c r="B39" s="31" t="s">
        <v>126</v>
      </c>
      <c r="C39" s="42" t="n">
        <f aca="false">'🌱 Configuração'!D6+33</f>
        <v>33</v>
      </c>
      <c r="D39" s="41" t="s">
        <v>94</v>
      </c>
      <c r="F39" s="63"/>
      <c r="G39" s="63"/>
      <c r="H39" s="63"/>
      <c r="I39" s="63"/>
      <c r="J39" s="63"/>
      <c r="K39" s="43"/>
      <c r="L39" s="94" t="str">
        <f aca="false">IF(AND(F39&lt;&gt;"",F39&lt;22),"⚠️ Temp baixa",IF(AND(F39&lt;&gt;"",F39&gt;28),"⚠️ Temp alta",IF(AND(H39&lt;&gt;"",H39&lt;5.5),"⚠️ pH baixo",IF(AND(H39&lt;&gt;"",H39&gt;6.8),"⚠️ pH alto","✅ OK"))))</f>
        <v>✅ OK</v>
      </c>
    </row>
    <row r="40" customFormat="false" ht="19.5" hidden="false" customHeight="true" outlineLevel="0" collapsed="false">
      <c r="B40" s="31" t="s">
        <v>127</v>
      </c>
      <c r="C40" s="32" t="n">
        <f aca="false">'🌱 Configuração'!D6+34</f>
        <v>34</v>
      </c>
      <c r="D40" s="41" t="s">
        <v>94</v>
      </c>
      <c r="F40" s="58"/>
      <c r="G40" s="58"/>
      <c r="H40" s="58"/>
      <c r="I40" s="58"/>
      <c r="J40" s="58"/>
      <c r="K40" s="34"/>
      <c r="L40" s="93" t="str">
        <f aca="false">IF(AND(F40&lt;&gt;"",F40&lt;22),"⚠️ Temp baixa",IF(AND(F40&lt;&gt;"",F40&gt;28),"⚠️ Temp alta",IF(AND(H40&lt;&gt;"",H40&lt;5.5),"⚠️ pH baixo",IF(AND(H40&lt;&gt;"",H40&gt;6.8),"⚠️ pH alto","✅ OK"))))</f>
        <v>✅ OK</v>
      </c>
    </row>
    <row r="41" customFormat="false" ht="19.5" hidden="false" customHeight="true" outlineLevel="0" collapsed="false">
      <c r="B41" s="31" t="s">
        <v>132</v>
      </c>
      <c r="C41" s="42" t="n">
        <f aca="false">'🌱 Configuração'!D6+35</f>
        <v>35</v>
      </c>
      <c r="D41" s="41" t="s">
        <v>94</v>
      </c>
      <c r="F41" s="63"/>
      <c r="G41" s="63"/>
      <c r="H41" s="63"/>
      <c r="I41" s="63"/>
      <c r="J41" s="63"/>
      <c r="K41" s="43"/>
      <c r="L41" s="94" t="str">
        <f aca="false">IF(AND(F41&lt;&gt;"",F41&lt;22),"⚠️ Temp baixa",IF(AND(F41&lt;&gt;"",F41&gt;28),"⚠️ Temp alta",IF(AND(H41&lt;&gt;"",H41&lt;5.5),"⚠️ pH baixo",IF(AND(H41&lt;&gt;"",H41&gt;6.8),"⚠️ pH alto","✅ OK"))))</f>
        <v>✅ OK</v>
      </c>
    </row>
    <row r="42" customFormat="false" ht="19.5" hidden="false" customHeight="true" outlineLevel="0" collapsed="false">
      <c r="B42" s="31" t="s">
        <v>134</v>
      </c>
      <c r="C42" s="32" t="n">
        <f aca="false">'🌱 Configuração'!D6+36</f>
        <v>36</v>
      </c>
      <c r="D42" s="41" t="s">
        <v>94</v>
      </c>
      <c r="F42" s="58"/>
      <c r="G42" s="58"/>
      <c r="H42" s="58"/>
      <c r="I42" s="58"/>
      <c r="J42" s="58"/>
      <c r="K42" s="34"/>
      <c r="L42" s="93" t="str">
        <f aca="false">IF(AND(F42&lt;&gt;"",F42&lt;22),"⚠️ Temp baixa",IF(AND(F42&lt;&gt;"",F42&gt;28),"⚠️ Temp alta",IF(AND(H42&lt;&gt;"",H42&lt;5.5),"⚠️ pH baixo",IF(AND(H42&lt;&gt;"",H42&gt;6.8),"⚠️ pH alto","✅ OK"))))</f>
        <v>✅ OK</v>
      </c>
    </row>
    <row r="43" customFormat="false" ht="19.5" hidden="false" customHeight="true" outlineLevel="0" collapsed="false">
      <c r="B43" s="31" t="s">
        <v>135</v>
      </c>
      <c r="C43" s="42" t="n">
        <f aca="false">'🌱 Configuração'!D6+37</f>
        <v>37</v>
      </c>
      <c r="D43" s="41" t="s">
        <v>94</v>
      </c>
      <c r="F43" s="63"/>
      <c r="G43" s="63"/>
      <c r="H43" s="63"/>
      <c r="I43" s="63"/>
      <c r="J43" s="63"/>
      <c r="K43" s="43"/>
      <c r="L43" s="94" t="str">
        <f aca="false">IF(AND(F43&lt;&gt;"",F43&lt;22),"⚠️ Temp baixa",IF(AND(F43&lt;&gt;"",F43&gt;28),"⚠️ Temp alta",IF(AND(H43&lt;&gt;"",H43&lt;5.5),"⚠️ pH baixo",IF(AND(H43&lt;&gt;"",H43&gt;6.8),"⚠️ pH alto","✅ OK"))))</f>
        <v>✅ OK</v>
      </c>
    </row>
    <row r="44" customFormat="false" ht="19.5" hidden="false" customHeight="true" outlineLevel="0" collapsed="false">
      <c r="B44" s="31" t="s">
        <v>137</v>
      </c>
      <c r="C44" s="32" t="n">
        <f aca="false">'🌱 Configuração'!D6+38</f>
        <v>38</v>
      </c>
      <c r="D44" s="41" t="s">
        <v>94</v>
      </c>
      <c r="F44" s="58"/>
      <c r="G44" s="58"/>
      <c r="H44" s="58"/>
      <c r="I44" s="58"/>
      <c r="J44" s="58"/>
      <c r="K44" s="34"/>
      <c r="L44" s="93" t="str">
        <f aca="false">IF(AND(F44&lt;&gt;"",F44&lt;22),"⚠️ Temp baixa",IF(AND(F44&lt;&gt;"",F44&gt;28),"⚠️ Temp alta",IF(AND(H44&lt;&gt;"",H44&lt;5.5),"⚠️ pH baixo",IF(AND(H44&lt;&gt;"",H44&gt;6.8),"⚠️ pH alto","✅ OK"))))</f>
        <v>✅ OK</v>
      </c>
    </row>
    <row r="45" customFormat="false" ht="19.5" hidden="false" customHeight="true" outlineLevel="0" collapsed="false">
      <c r="B45" s="31" t="s">
        <v>138</v>
      </c>
      <c r="C45" s="42" t="n">
        <f aca="false">'🌱 Configuração'!D6+39</f>
        <v>39</v>
      </c>
      <c r="D45" s="41" t="s">
        <v>94</v>
      </c>
      <c r="F45" s="63"/>
      <c r="G45" s="63"/>
      <c r="H45" s="63"/>
      <c r="I45" s="63"/>
      <c r="J45" s="63"/>
      <c r="K45" s="43"/>
      <c r="L45" s="94" t="str">
        <f aca="false">IF(AND(F45&lt;&gt;"",F45&lt;22),"⚠️ Temp baixa",IF(AND(F45&lt;&gt;"",F45&gt;28),"⚠️ Temp alta",IF(AND(H45&lt;&gt;"",H45&lt;5.5),"⚠️ pH baixo",IF(AND(H45&lt;&gt;"",H45&gt;6.8),"⚠️ pH alto","✅ OK"))))</f>
        <v>✅ OK</v>
      </c>
    </row>
    <row r="46" customFormat="false" ht="19.5" hidden="false" customHeight="true" outlineLevel="0" collapsed="false">
      <c r="B46" s="31" t="s">
        <v>139</v>
      </c>
      <c r="C46" s="32" t="n">
        <f aca="false">'🌱 Configuração'!D6+40</f>
        <v>40</v>
      </c>
      <c r="D46" s="41" t="s">
        <v>94</v>
      </c>
      <c r="F46" s="58"/>
      <c r="G46" s="58"/>
      <c r="H46" s="58"/>
      <c r="I46" s="58"/>
      <c r="J46" s="58"/>
      <c r="K46" s="34"/>
      <c r="L46" s="93" t="str">
        <f aca="false">IF(AND(F46&lt;&gt;"",F46&lt;22),"⚠️ Temp baixa",IF(AND(F46&lt;&gt;"",F46&gt;28),"⚠️ Temp alta",IF(AND(H46&lt;&gt;"",H46&lt;5.5),"⚠️ pH baixo",IF(AND(H46&lt;&gt;"",H46&gt;6.8),"⚠️ pH alto","✅ OK"))))</f>
        <v>✅ OK</v>
      </c>
    </row>
    <row r="47" customFormat="false" ht="19.5" hidden="false" customHeight="true" outlineLevel="0" collapsed="false">
      <c r="B47" s="31" t="s">
        <v>8</v>
      </c>
      <c r="C47" s="42" t="n">
        <f aca="false">'🌱 Configuração'!D6+41</f>
        <v>41</v>
      </c>
      <c r="D47" s="41" t="s">
        <v>94</v>
      </c>
      <c r="F47" s="63"/>
      <c r="G47" s="63"/>
      <c r="H47" s="63"/>
      <c r="I47" s="63"/>
      <c r="J47" s="63"/>
      <c r="K47" s="43"/>
      <c r="L47" s="94" t="str">
        <f aca="false">IF(AND(F47&lt;&gt;"",F47&lt;22),"⚠️ Temp baixa",IF(AND(F47&lt;&gt;"",F47&gt;28),"⚠️ Temp alta",IF(AND(H47&lt;&gt;"",H47&lt;5.5),"⚠️ pH baixo",IF(AND(H47&lt;&gt;"",H47&gt;6.8),"⚠️ pH alto","✅ OK"))))</f>
        <v>✅ OK</v>
      </c>
    </row>
    <row r="48" customFormat="false" ht="19.5" hidden="false" customHeight="true" outlineLevel="0" collapsed="false">
      <c r="B48" s="31" t="s">
        <v>144</v>
      </c>
      <c r="C48" s="32" t="n">
        <f aca="false">'🌱 Configuração'!D6+42</f>
        <v>42</v>
      </c>
      <c r="D48" s="41" t="s">
        <v>94</v>
      </c>
      <c r="F48" s="58"/>
      <c r="G48" s="58"/>
      <c r="H48" s="58"/>
      <c r="I48" s="58"/>
      <c r="J48" s="58"/>
      <c r="K48" s="34"/>
      <c r="L48" s="93" t="str">
        <f aca="false">IF(AND(F48&lt;&gt;"",F48&lt;22),"⚠️ Temp baixa",IF(AND(F48&lt;&gt;"",F48&gt;28),"⚠️ Temp alta",IF(AND(H48&lt;&gt;"",H48&lt;5.5),"⚠️ pH baixo",IF(AND(H48&lt;&gt;"",H48&gt;6.8),"⚠️ pH alto","✅ OK"))))</f>
        <v>✅ OK</v>
      </c>
    </row>
    <row r="49" customFormat="false" ht="19.5" hidden="false" customHeight="true" outlineLevel="0" collapsed="false">
      <c r="B49" s="31" t="s">
        <v>148</v>
      </c>
      <c r="C49" s="42" t="n">
        <f aca="false">'🌱 Configuração'!D6+43</f>
        <v>43</v>
      </c>
      <c r="D49" s="41" t="s">
        <v>94</v>
      </c>
      <c r="F49" s="63"/>
      <c r="G49" s="63"/>
      <c r="H49" s="63"/>
      <c r="I49" s="63"/>
      <c r="J49" s="63"/>
      <c r="K49" s="43"/>
      <c r="L49" s="94" t="str">
        <f aca="false">IF(AND(F49&lt;&gt;"",F49&lt;22),"⚠️ Temp baixa",IF(AND(F49&lt;&gt;"",F49&gt;28),"⚠️ Temp alta",IF(AND(H49&lt;&gt;"",H49&lt;5.5),"⚠️ pH baixo",IF(AND(H49&lt;&gt;"",H49&gt;6.8),"⚠️ pH alto","✅ OK"))))</f>
        <v>✅ OK</v>
      </c>
    </row>
    <row r="50" customFormat="false" ht="19.5" hidden="false" customHeight="true" outlineLevel="0" collapsed="false">
      <c r="B50" s="31" t="s">
        <v>149</v>
      </c>
      <c r="C50" s="32" t="n">
        <f aca="false">'🌱 Configuração'!D6+44</f>
        <v>44</v>
      </c>
      <c r="D50" s="41" t="s">
        <v>94</v>
      </c>
      <c r="F50" s="58"/>
      <c r="G50" s="58"/>
      <c r="H50" s="58"/>
      <c r="I50" s="58"/>
      <c r="J50" s="58"/>
      <c r="K50" s="34"/>
      <c r="L50" s="93" t="str">
        <f aca="false">IF(AND(F50&lt;&gt;"",F50&lt;22),"⚠️ Temp baixa",IF(AND(F50&lt;&gt;"",F50&gt;28),"⚠️ Temp alta",IF(AND(H50&lt;&gt;"",H50&lt;5.5),"⚠️ pH baixo",IF(AND(H50&lt;&gt;"",H50&gt;6.8),"⚠️ pH alto","✅ OK"))))</f>
        <v>✅ OK</v>
      </c>
    </row>
    <row r="51" customFormat="false" ht="19.5" hidden="false" customHeight="true" outlineLevel="0" collapsed="false">
      <c r="B51" s="31" t="s">
        <v>151</v>
      </c>
      <c r="C51" s="42" t="n">
        <f aca="false">'🌱 Configuração'!D6+45</f>
        <v>45</v>
      </c>
      <c r="D51" s="41" t="s">
        <v>94</v>
      </c>
      <c r="F51" s="63"/>
      <c r="G51" s="63"/>
      <c r="H51" s="63"/>
      <c r="I51" s="63"/>
      <c r="J51" s="63"/>
      <c r="K51" s="43"/>
      <c r="L51" s="94" t="str">
        <f aca="false">IF(AND(F51&lt;&gt;"",F51&lt;22),"⚠️ Temp baixa",IF(AND(F51&lt;&gt;"",F51&gt;28),"⚠️ Temp alta",IF(AND(H51&lt;&gt;"",H51&lt;5.5),"⚠️ pH baixo",IF(AND(H51&lt;&gt;"",H51&gt;6.8),"⚠️ pH alto","✅ OK"))))</f>
        <v>✅ OK</v>
      </c>
    </row>
    <row r="52" customFormat="false" ht="19.5" hidden="false" customHeight="true" outlineLevel="0" collapsed="false">
      <c r="B52" s="31" t="s">
        <v>152</v>
      </c>
      <c r="C52" s="32" t="n">
        <f aca="false">'🌱 Configuração'!D6+46</f>
        <v>46</v>
      </c>
      <c r="D52" s="41" t="s">
        <v>94</v>
      </c>
      <c r="F52" s="58"/>
      <c r="G52" s="58"/>
      <c r="H52" s="58"/>
      <c r="I52" s="58"/>
      <c r="J52" s="58"/>
      <c r="K52" s="34"/>
      <c r="L52" s="93" t="str">
        <f aca="false">IF(AND(F52&lt;&gt;"",F52&lt;22),"⚠️ Temp baixa",IF(AND(F52&lt;&gt;"",F52&gt;28),"⚠️ Temp alta",IF(AND(H52&lt;&gt;"",H52&lt;5.5),"⚠️ pH baixo",IF(AND(H52&lt;&gt;"",H52&gt;6.8),"⚠️ pH alto","✅ OK"))))</f>
        <v>✅ OK</v>
      </c>
    </row>
    <row r="53" customFormat="false" ht="19.5" hidden="false" customHeight="true" outlineLevel="0" collapsed="false">
      <c r="B53" s="31" t="s">
        <v>153</v>
      </c>
      <c r="C53" s="42" t="n">
        <f aca="false">'🌱 Configuração'!D6+47</f>
        <v>47</v>
      </c>
      <c r="D53" s="41" t="s">
        <v>94</v>
      </c>
      <c r="F53" s="63"/>
      <c r="G53" s="63"/>
      <c r="H53" s="63"/>
      <c r="I53" s="63"/>
      <c r="J53" s="63"/>
      <c r="K53" s="43"/>
      <c r="L53" s="94" t="str">
        <f aca="false">IF(AND(F53&lt;&gt;"",F53&lt;22),"⚠️ Temp baixa",IF(AND(F53&lt;&gt;"",F53&gt;28),"⚠️ Temp alta",IF(AND(H53&lt;&gt;"",H53&lt;5.5),"⚠️ pH baixo",IF(AND(H53&lt;&gt;"",H53&gt;6.8),"⚠️ pH alto","✅ OK"))))</f>
        <v>✅ OK</v>
      </c>
    </row>
    <row r="54" customFormat="false" ht="19.5" hidden="false" customHeight="true" outlineLevel="0" collapsed="false">
      <c r="B54" s="31" t="s">
        <v>154</v>
      </c>
      <c r="C54" s="32" t="n">
        <f aca="false">'🌱 Configuração'!D6+48</f>
        <v>48</v>
      </c>
      <c r="D54" s="41" t="s">
        <v>94</v>
      </c>
      <c r="F54" s="58"/>
      <c r="G54" s="58"/>
      <c r="H54" s="58"/>
      <c r="I54" s="58"/>
      <c r="J54" s="58"/>
      <c r="K54" s="34"/>
      <c r="L54" s="93" t="str">
        <f aca="false">IF(AND(F54&lt;&gt;"",F54&lt;22),"⚠️ Temp baixa",IF(AND(F54&lt;&gt;"",F54&gt;28),"⚠️ Temp alta",IF(AND(H54&lt;&gt;"",H54&lt;5.5),"⚠️ pH baixo",IF(AND(H54&lt;&gt;"",H54&gt;6.8),"⚠️ pH alto","✅ OK"))))</f>
        <v>✅ OK</v>
      </c>
    </row>
    <row r="55" customFormat="false" ht="19.5" hidden="false" customHeight="true" outlineLevel="0" collapsed="false">
      <c r="B55" s="31" t="s">
        <v>29</v>
      </c>
      <c r="C55" s="42" t="n">
        <f aca="false">'🌱 Configuração'!D6+49</f>
        <v>49</v>
      </c>
      <c r="D55" s="41" t="s">
        <v>94</v>
      </c>
      <c r="F55" s="63"/>
      <c r="G55" s="63"/>
      <c r="H55" s="63"/>
      <c r="I55" s="63"/>
      <c r="J55" s="63"/>
      <c r="K55" s="43"/>
      <c r="L55" s="94" t="str">
        <f aca="false">IF(AND(F55&lt;&gt;"",F55&lt;22),"⚠️ Temp baixa",IF(AND(F55&lt;&gt;"",F55&gt;28),"⚠️ Temp alta",IF(AND(H55&lt;&gt;"",H55&lt;5.5),"⚠️ pH baixo",IF(AND(H55&lt;&gt;"",H55&gt;6.8),"⚠️ pH alto","✅ OK"))))</f>
        <v>✅ OK</v>
      </c>
    </row>
    <row r="56" customFormat="false" ht="19.5" hidden="false" customHeight="true" outlineLevel="0" collapsed="false">
      <c r="B56" s="31" t="s">
        <v>156</v>
      </c>
      <c r="C56" s="32" t="n">
        <f aca="false">'🌱 Configuração'!D6+50</f>
        <v>50</v>
      </c>
      <c r="D56" s="41" t="s">
        <v>94</v>
      </c>
      <c r="F56" s="58"/>
      <c r="G56" s="58"/>
      <c r="H56" s="58"/>
      <c r="I56" s="58"/>
      <c r="J56" s="58"/>
      <c r="K56" s="34"/>
      <c r="L56" s="93" t="str">
        <f aca="false">IF(AND(F56&lt;&gt;"",F56&lt;22),"⚠️ Temp baixa",IF(AND(F56&lt;&gt;"",F56&gt;28),"⚠️ Temp alta",IF(AND(H56&lt;&gt;"",H56&lt;5.5),"⚠️ pH baixo",IF(AND(H56&lt;&gt;"",H56&gt;6.8),"⚠️ pH alto","✅ OK"))))</f>
        <v>✅ OK</v>
      </c>
    </row>
    <row r="57" customFormat="false" ht="19.5" hidden="false" customHeight="true" outlineLevel="0" collapsed="false">
      <c r="B57" s="31" t="s">
        <v>157</v>
      </c>
      <c r="C57" s="42" t="n">
        <f aca="false">'🌱 Configuração'!D6+51</f>
        <v>51</v>
      </c>
      <c r="D57" s="41" t="s">
        <v>94</v>
      </c>
      <c r="F57" s="63"/>
      <c r="G57" s="63"/>
      <c r="H57" s="63"/>
      <c r="I57" s="63"/>
      <c r="J57" s="63"/>
      <c r="K57" s="43"/>
      <c r="L57" s="94" t="str">
        <f aca="false">IF(AND(F57&lt;&gt;"",F57&lt;22),"⚠️ Temp baixa",IF(AND(F57&lt;&gt;"",F57&gt;28),"⚠️ Temp alta",IF(AND(H57&lt;&gt;"",H57&lt;5.5),"⚠️ pH baixo",IF(AND(H57&lt;&gt;"",H57&gt;6.8),"⚠️ pH alto","✅ OK"))))</f>
        <v>✅ OK</v>
      </c>
    </row>
    <row r="58" customFormat="false" ht="19.5" hidden="false" customHeight="true" outlineLevel="0" collapsed="false">
      <c r="B58" s="31" t="s">
        <v>158</v>
      </c>
      <c r="C58" s="32" t="n">
        <f aca="false">'🌱 Configuração'!D6+52</f>
        <v>52</v>
      </c>
      <c r="D58" s="41" t="s">
        <v>94</v>
      </c>
      <c r="F58" s="58"/>
      <c r="G58" s="58"/>
      <c r="H58" s="58"/>
      <c r="I58" s="58"/>
      <c r="J58" s="58"/>
      <c r="K58" s="34"/>
      <c r="L58" s="93" t="str">
        <f aca="false">IF(AND(F58&lt;&gt;"",F58&lt;22),"⚠️ Temp baixa",IF(AND(F58&lt;&gt;"",F58&gt;28),"⚠️ Temp alta",IF(AND(H58&lt;&gt;"",H58&lt;5.5),"⚠️ pH baixo",IF(AND(H58&lt;&gt;"",H58&gt;6.8),"⚠️ pH alto","✅ OK"))))</f>
        <v>✅ OK</v>
      </c>
    </row>
    <row r="59" customFormat="false" ht="19.5" hidden="false" customHeight="true" outlineLevel="0" collapsed="false">
      <c r="B59" s="31" t="s">
        <v>159</v>
      </c>
      <c r="C59" s="42" t="n">
        <f aca="false">'🌱 Configuração'!D6+53</f>
        <v>53</v>
      </c>
      <c r="D59" s="41" t="s">
        <v>94</v>
      </c>
      <c r="F59" s="63"/>
      <c r="G59" s="63"/>
      <c r="H59" s="63"/>
      <c r="I59" s="63"/>
      <c r="J59" s="63"/>
      <c r="K59" s="43"/>
      <c r="L59" s="94" t="str">
        <f aca="false">IF(AND(F59&lt;&gt;"",F59&lt;22),"⚠️ Temp baixa",IF(AND(F59&lt;&gt;"",F59&gt;28),"⚠️ Temp alta",IF(AND(H59&lt;&gt;"",H59&lt;5.5),"⚠️ pH baixo",IF(AND(H59&lt;&gt;"",H59&gt;6.8),"⚠️ pH alto","✅ OK"))))</f>
        <v>✅ OK</v>
      </c>
    </row>
    <row r="60" customFormat="false" ht="19.5" hidden="false" customHeight="true" outlineLevel="0" collapsed="false">
      <c r="B60" s="31" t="s">
        <v>160</v>
      </c>
      <c r="C60" s="32" t="n">
        <f aca="false">'🌱 Configuração'!D6+54</f>
        <v>54</v>
      </c>
      <c r="D60" s="41" t="s">
        <v>94</v>
      </c>
      <c r="F60" s="58"/>
      <c r="G60" s="58"/>
      <c r="H60" s="58"/>
      <c r="I60" s="58"/>
      <c r="J60" s="58"/>
      <c r="K60" s="34"/>
      <c r="L60" s="93" t="str">
        <f aca="false">IF(AND(F60&lt;&gt;"",F60&lt;22),"⚠️ Temp baixa",IF(AND(F60&lt;&gt;"",F60&gt;28),"⚠️ Temp alta",IF(AND(H60&lt;&gt;"",H60&lt;5.5),"⚠️ pH baixo",IF(AND(H60&lt;&gt;"",H60&gt;6.8),"⚠️ pH alto","✅ OK"))))</f>
        <v>✅ OK</v>
      </c>
    </row>
    <row r="61" customFormat="false" ht="19.5" hidden="false" customHeight="true" outlineLevel="0" collapsed="false">
      <c r="B61" s="31" t="s">
        <v>161</v>
      </c>
      <c r="C61" s="42" t="n">
        <f aca="false">'🌱 Configuração'!D6+55</f>
        <v>55</v>
      </c>
      <c r="D61" s="41" t="s">
        <v>94</v>
      </c>
      <c r="F61" s="63"/>
      <c r="G61" s="63"/>
      <c r="H61" s="63"/>
      <c r="I61" s="63"/>
      <c r="J61" s="63"/>
      <c r="K61" s="43"/>
      <c r="L61" s="94" t="str">
        <f aca="false">IF(AND(F61&lt;&gt;"",F61&lt;22),"⚠️ Temp baixa",IF(AND(F61&lt;&gt;"",F61&gt;28),"⚠️ Temp alta",IF(AND(H61&lt;&gt;"",H61&lt;5.5),"⚠️ pH baixo",IF(AND(H61&lt;&gt;"",H61&gt;6.8),"⚠️ pH alto","✅ OK"))))</f>
        <v>✅ OK</v>
      </c>
    </row>
    <row r="62" customFormat="false" ht="19.5" hidden="false" customHeight="true" outlineLevel="0" collapsed="false">
      <c r="B62" s="31" t="s">
        <v>163</v>
      </c>
      <c r="C62" s="32" t="n">
        <f aca="false">'🌱 Configuração'!D6+56</f>
        <v>56</v>
      </c>
      <c r="D62" s="46" t="s">
        <v>164</v>
      </c>
      <c r="F62" s="58"/>
      <c r="G62" s="58"/>
      <c r="H62" s="58"/>
      <c r="I62" s="58"/>
      <c r="J62" s="58"/>
      <c r="K62" s="34"/>
      <c r="L62" s="93" t="str">
        <f aca="false">IF(AND(F62&lt;&gt;"",F62&lt;22),"⚠️ Temp baixa",IF(AND(F62&lt;&gt;"",F62&gt;28),"⚠️ Temp alta",IF(AND(H62&lt;&gt;"",H62&lt;5.5),"⚠️ pH baixo",IF(AND(H62&lt;&gt;"",H62&gt;6.8),"⚠️ pH alto","✅ OK"))))</f>
        <v>✅ OK</v>
      </c>
    </row>
    <row r="63" customFormat="false" ht="19.5" hidden="false" customHeight="true" outlineLevel="0" collapsed="false">
      <c r="B63" s="31" t="s">
        <v>168</v>
      </c>
      <c r="C63" s="47" t="n">
        <f aca="false">'🌱 Configuração'!D6+57</f>
        <v>57</v>
      </c>
      <c r="D63" s="46" t="s">
        <v>164</v>
      </c>
      <c r="F63" s="68"/>
      <c r="G63" s="68"/>
      <c r="H63" s="68"/>
      <c r="I63" s="68"/>
      <c r="J63" s="68"/>
      <c r="K63" s="48"/>
      <c r="L63" s="95" t="str">
        <f aca="false">IF(AND(F63&lt;&gt;"",F63&lt;22),"⚠️ Temp baixa",IF(AND(F63&lt;&gt;"",F63&gt;28),"⚠️ Temp alta",IF(AND(H63&lt;&gt;"",H63&lt;5.5),"⚠️ pH baixo",IF(AND(H63&lt;&gt;"",H63&gt;6.8),"⚠️ pH alto","✅ OK"))))</f>
        <v>✅ OK</v>
      </c>
    </row>
    <row r="64" customFormat="false" ht="19.5" hidden="false" customHeight="true" outlineLevel="0" collapsed="false">
      <c r="B64" s="31" t="s">
        <v>170</v>
      </c>
      <c r="C64" s="32" t="n">
        <f aca="false">'🌱 Configuração'!D6+58</f>
        <v>58</v>
      </c>
      <c r="D64" s="46" t="s">
        <v>164</v>
      </c>
      <c r="F64" s="58"/>
      <c r="G64" s="58"/>
      <c r="H64" s="58"/>
      <c r="I64" s="58"/>
      <c r="J64" s="58"/>
      <c r="K64" s="34"/>
      <c r="L64" s="93" t="str">
        <f aca="false">IF(AND(F64&lt;&gt;"",F64&lt;22),"⚠️ Temp baixa",IF(AND(F64&lt;&gt;"",F64&gt;28),"⚠️ Temp alta",IF(AND(H64&lt;&gt;"",H64&lt;5.5),"⚠️ pH baixo",IF(AND(H64&lt;&gt;"",H64&gt;6.8),"⚠️ pH alto","✅ OK"))))</f>
        <v>✅ OK</v>
      </c>
    </row>
    <row r="65" customFormat="false" ht="19.5" hidden="false" customHeight="true" outlineLevel="0" collapsed="false">
      <c r="B65" s="31" t="s">
        <v>171</v>
      </c>
      <c r="C65" s="47" t="n">
        <f aca="false">'🌱 Configuração'!D6+59</f>
        <v>59</v>
      </c>
      <c r="D65" s="46" t="s">
        <v>164</v>
      </c>
      <c r="F65" s="68"/>
      <c r="G65" s="68"/>
      <c r="H65" s="68"/>
      <c r="I65" s="68"/>
      <c r="J65" s="68"/>
      <c r="K65" s="48"/>
      <c r="L65" s="95" t="str">
        <f aca="false">IF(AND(F65&lt;&gt;"",F65&lt;22),"⚠️ Temp baixa",IF(AND(F65&lt;&gt;"",F65&gt;28),"⚠️ Temp alta",IF(AND(H65&lt;&gt;"",H65&lt;5.5),"⚠️ pH baixo",IF(AND(H65&lt;&gt;"",H65&gt;6.8),"⚠️ pH alto","✅ OK"))))</f>
        <v>✅ OK</v>
      </c>
    </row>
    <row r="66" customFormat="false" ht="19.5" hidden="false" customHeight="true" outlineLevel="0" collapsed="false">
      <c r="B66" s="31" t="s">
        <v>172</v>
      </c>
      <c r="C66" s="32" t="n">
        <f aca="false">'🌱 Configuração'!D6+60</f>
        <v>60</v>
      </c>
      <c r="D66" s="46" t="s">
        <v>164</v>
      </c>
      <c r="F66" s="58"/>
      <c r="G66" s="58"/>
      <c r="H66" s="58"/>
      <c r="I66" s="58"/>
      <c r="J66" s="58"/>
      <c r="K66" s="34"/>
      <c r="L66" s="93" t="str">
        <f aca="false">IF(AND(F66&lt;&gt;"",F66&lt;22),"⚠️ Temp baixa",IF(AND(F66&lt;&gt;"",F66&gt;28),"⚠️ Temp alta",IF(AND(H66&lt;&gt;"",H66&lt;5.5),"⚠️ pH baixo",IF(AND(H66&lt;&gt;"",H66&gt;6.8),"⚠️ pH alto","✅ OK"))))</f>
        <v>✅ OK</v>
      </c>
    </row>
    <row r="67" customFormat="false" ht="19.5" hidden="false" customHeight="true" outlineLevel="0" collapsed="false">
      <c r="B67" s="31" t="s">
        <v>173</v>
      </c>
      <c r="C67" s="47" t="n">
        <f aca="false">'🌱 Configuração'!D6+61</f>
        <v>61</v>
      </c>
      <c r="D67" s="46" t="s">
        <v>164</v>
      </c>
      <c r="F67" s="68"/>
      <c r="G67" s="68"/>
      <c r="H67" s="68"/>
      <c r="I67" s="68"/>
      <c r="J67" s="68"/>
      <c r="K67" s="48"/>
      <c r="L67" s="95" t="str">
        <f aca="false">IF(AND(F67&lt;&gt;"",F67&lt;22),"⚠️ Temp baixa",IF(AND(F67&lt;&gt;"",F67&gt;28),"⚠️ Temp alta",IF(AND(H67&lt;&gt;"",H67&lt;5.5),"⚠️ pH baixo",IF(AND(H67&lt;&gt;"",H67&gt;6.8),"⚠️ pH alto","✅ OK"))))</f>
        <v>✅ OK</v>
      </c>
    </row>
    <row r="68" customFormat="false" ht="19.5" hidden="false" customHeight="true" outlineLevel="0" collapsed="false">
      <c r="B68" s="31" t="s">
        <v>12</v>
      </c>
      <c r="C68" s="32" t="n">
        <f aca="false">'🌱 Configuração'!D6+62</f>
        <v>62</v>
      </c>
      <c r="D68" s="46" t="s">
        <v>164</v>
      </c>
      <c r="F68" s="58"/>
      <c r="G68" s="58"/>
      <c r="H68" s="58"/>
      <c r="I68" s="58"/>
      <c r="J68" s="58"/>
      <c r="K68" s="34"/>
      <c r="L68" s="93" t="str">
        <f aca="false">IF(AND(F68&lt;&gt;"",F68&lt;22),"⚠️ Temp baixa",IF(AND(F68&lt;&gt;"",F68&gt;28),"⚠️ Temp alta",IF(AND(H68&lt;&gt;"",H68&lt;5.5),"⚠️ pH baixo",IF(AND(H68&lt;&gt;"",H68&gt;6.8),"⚠️ pH alto","✅ OK"))))</f>
        <v>✅ OK</v>
      </c>
    </row>
    <row r="69" customFormat="false" ht="19.5" hidden="false" customHeight="true" outlineLevel="0" collapsed="false">
      <c r="B69" s="31" t="s">
        <v>177</v>
      </c>
      <c r="C69" s="47" t="n">
        <f aca="false">'🌱 Configuração'!D6+63</f>
        <v>63</v>
      </c>
      <c r="D69" s="46" t="s">
        <v>164</v>
      </c>
      <c r="F69" s="68"/>
      <c r="G69" s="68"/>
      <c r="H69" s="68"/>
      <c r="I69" s="68"/>
      <c r="J69" s="68"/>
      <c r="K69" s="48"/>
      <c r="L69" s="95" t="str">
        <f aca="false">IF(AND(F69&lt;&gt;"",F69&lt;22),"⚠️ Temp baixa",IF(AND(F69&lt;&gt;"",F69&gt;28),"⚠️ Temp alta",IF(AND(H69&lt;&gt;"",H69&lt;5.5),"⚠️ pH baixo",IF(AND(H69&lt;&gt;"",H69&gt;6.8),"⚠️ pH alto","✅ OK"))))</f>
        <v>✅ OK</v>
      </c>
    </row>
    <row r="70" customFormat="false" ht="19.5" hidden="false" customHeight="true" outlineLevel="0" collapsed="false">
      <c r="B70" s="31" t="s">
        <v>27</v>
      </c>
      <c r="C70" s="32" t="n">
        <f aca="false">'🌱 Configuração'!D6+64</f>
        <v>64</v>
      </c>
      <c r="D70" s="46" t="s">
        <v>164</v>
      </c>
      <c r="F70" s="58"/>
      <c r="G70" s="58"/>
      <c r="H70" s="58"/>
      <c r="I70" s="58"/>
      <c r="J70" s="58"/>
      <c r="K70" s="34"/>
      <c r="L70" s="93" t="str">
        <f aca="false">IF(AND(F70&lt;&gt;"",F70&lt;22),"⚠️ Temp baixa",IF(AND(F70&lt;&gt;"",F70&gt;28),"⚠️ Temp alta",IF(AND(H70&lt;&gt;"",H70&lt;5.5),"⚠️ pH baixo",IF(AND(H70&lt;&gt;"",H70&gt;6.8),"⚠️ pH alto","✅ OK"))))</f>
        <v>✅ OK</v>
      </c>
    </row>
    <row r="71" customFormat="false" ht="19.5" hidden="false" customHeight="true" outlineLevel="0" collapsed="false">
      <c r="B71" s="31" t="s">
        <v>179</v>
      </c>
      <c r="C71" s="47" t="n">
        <f aca="false">'🌱 Configuração'!D6+65</f>
        <v>65</v>
      </c>
      <c r="D71" s="46" t="s">
        <v>164</v>
      </c>
      <c r="F71" s="68"/>
      <c r="G71" s="68"/>
      <c r="H71" s="68"/>
      <c r="I71" s="68"/>
      <c r="J71" s="68"/>
      <c r="K71" s="48"/>
      <c r="L71" s="95" t="str">
        <f aca="false">IF(AND(F71&lt;&gt;"",F71&lt;22),"⚠️ Temp baixa",IF(AND(F71&lt;&gt;"",F71&gt;28),"⚠️ Temp alta",IF(AND(H71&lt;&gt;"",H71&lt;5.5),"⚠️ pH baixo",IF(AND(H71&lt;&gt;"",H71&gt;6.8),"⚠️ pH alto","✅ OK"))))</f>
        <v>✅ OK</v>
      </c>
    </row>
    <row r="72" customFormat="false" ht="19.5" hidden="false" customHeight="true" outlineLevel="0" collapsed="false">
      <c r="B72" s="31" t="s">
        <v>180</v>
      </c>
      <c r="C72" s="32" t="n">
        <f aca="false">'🌱 Configuração'!D6+66</f>
        <v>66</v>
      </c>
      <c r="D72" s="46" t="s">
        <v>164</v>
      </c>
      <c r="F72" s="58"/>
      <c r="G72" s="58"/>
      <c r="H72" s="58"/>
      <c r="I72" s="58"/>
      <c r="J72" s="58"/>
      <c r="K72" s="34"/>
      <c r="L72" s="93" t="str">
        <f aca="false">IF(AND(F72&lt;&gt;"",F72&lt;22),"⚠️ Temp baixa",IF(AND(F72&lt;&gt;"",F72&gt;28),"⚠️ Temp alta",IF(AND(H72&lt;&gt;"",H72&lt;5.5),"⚠️ pH baixo",IF(AND(H72&lt;&gt;"",H72&gt;6.8),"⚠️ pH alto","✅ OK"))))</f>
        <v>✅ OK</v>
      </c>
    </row>
    <row r="73" customFormat="false" ht="19.5" hidden="false" customHeight="true" outlineLevel="0" collapsed="false">
      <c r="B73" s="31" t="s">
        <v>181</v>
      </c>
      <c r="C73" s="47" t="n">
        <f aca="false">'🌱 Configuração'!D6+67</f>
        <v>67</v>
      </c>
      <c r="D73" s="46" t="s">
        <v>164</v>
      </c>
      <c r="F73" s="68"/>
      <c r="G73" s="68"/>
      <c r="H73" s="68"/>
      <c r="I73" s="68"/>
      <c r="J73" s="68"/>
      <c r="K73" s="48"/>
      <c r="L73" s="95" t="str">
        <f aca="false">IF(AND(F73&lt;&gt;"",F73&lt;22),"⚠️ Temp baixa",IF(AND(F73&lt;&gt;"",F73&gt;28),"⚠️ Temp alta",IF(AND(H73&lt;&gt;"",H73&lt;5.5),"⚠️ pH baixo",IF(AND(H73&lt;&gt;"",H73&gt;6.8),"⚠️ pH alto","✅ OK"))))</f>
        <v>✅ OK</v>
      </c>
    </row>
    <row r="74" customFormat="false" ht="19.5" hidden="false" customHeight="true" outlineLevel="0" collapsed="false">
      <c r="B74" s="31" t="s">
        <v>182</v>
      </c>
      <c r="C74" s="32" t="n">
        <f aca="false">'🌱 Configuração'!D6+68</f>
        <v>68</v>
      </c>
      <c r="D74" s="46" t="s">
        <v>164</v>
      </c>
      <c r="F74" s="58"/>
      <c r="G74" s="58"/>
      <c r="H74" s="58"/>
      <c r="I74" s="58"/>
      <c r="J74" s="58"/>
      <c r="K74" s="34"/>
      <c r="L74" s="93" t="str">
        <f aca="false">IF(AND(F74&lt;&gt;"",F74&lt;22),"⚠️ Temp baixa",IF(AND(F74&lt;&gt;"",F74&gt;28),"⚠️ Temp alta",IF(AND(H74&lt;&gt;"",H74&lt;5.5),"⚠️ pH baixo",IF(AND(H74&lt;&gt;"",H74&gt;6.8),"⚠️ pH alto","✅ OK"))))</f>
        <v>✅ OK</v>
      </c>
    </row>
    <row r="75" customFormat="false" ht="19.5" hidden="false" customHeight="true" outlineLevel="0" collapsed="false">
      <c r="B75" s="31" t="s">
        <v>183</v>
      </c>
      <c r="C75" s="47" t="n">
        <f aca="false">'🌱 Configuração'!D6+69</f>
        <v>69</v>
      </c>
      <c r="D75" s="46" t="s">
        <v>164</v>
      </c>
      <c r="F75" s="68"/>
      <c r="G75" s="68"/>
      <c r="H75" s="68"/>
      <c r="I75" s="68"/>
      <c r="J75" s="68"/>
      <c r="K75" s="48"/>
      <c r="L75" s="95" t="str">
        <f aca="false">IF(AND(F75&lt;&gt;"",F75&lt;22),"⚠️ Temp baixa",IF(AND(F75&lt;&gt;"",F75&gt;28),"⚠️ Temp alta",IF(AND(H75&lt;&gt;"",H75&lt;5.5),"⚠️ pH baixo",IF(AND(H75&lt;&gt;"",H75&gt;6.8),"⚠️ pH alto","✅ OK"))))</f>
        <v>✅ OK</v>
      </c>
    </row>
    <row r="76" customFormat="false" ht="19.5" hidden="false" customHeight="true" outlineLevel="0" collapsed="false">
      <c r="B76" s="31" t="s">
        <v>188</v>
      </c>
      <c r="C76" s="32" t="n">
        <f aca="false">'🌱 Configuração'!D6+70</f>
        <v>70</v>
      </c>
      <c r="D76" s="46" t="s">
        <v>164</v>
      </c>
      <c r="F76" s="58"/>
      <c r="G76" s="58"/>
      <c r="H76" s="58"/>
      <c r="I76" s="58"/>
      <c r="J76" s="58"/>
      <c r="K76" s="34"/>
      <c r="L76" s="93" t="str">
        <f aca="false">IF(AND(F76&lt;&gt;"",F76&lt;22),"⚠️ Temp baixa",IF(AND(F76&lt;&gt;"",F76&gt;28),"⚠️ Temp alta",IF(AND(H76&lt;&gt;"",H76&lt;5.5),"⚠️ pH baixo",IF(AND(H76&lt;&gt;"",H76&gt;6.8),"⚠️ pH alto","✅ OK"))))</f>
        <v>✅ OK</v>
      </c>
    </row>
    <row r="77" customFormat="false" ht="19.5" hidden="false" customHeight="true" outlineLevel="0" collapsed="false">
      <c r="B77" s="31" t="s">
        <v>190</v>
      </c>
      <c r="C77" s="47" t="n">
        <f aca="false">'🌱 Configuração'!D6+71</f>
        <v>71</v>
      </c>
      <c r="D77" s="46" t="s">
        <v>164</v>
      </c>
      <c r="F77" s="68"/>
      <c r="G77" s="68"/>
      <c r="H77" s="68"/>
      <c r="I77" s="68"/>
      <c r="J77" s="68"/>
      <c r="K77" s="48"/>
      <c r="L77" s="95" t="str">
        <f aca="false">IF(AND(F77&lt;&gt;"",F77&lt;22),"⚠️ Temp baixa",IF(AND(F77&lt;&gt;"",F77&gt;28),"⚠️ Temp alta",IF(AND(H77&lt;&gt;"",H77&lt;5.5),"⚠️ pH baixo",IF(AND(H77&lt;&gt;"",H77&gt;6.8),"⚠️ pH alto","✅ OK"))))</f>
        <v>✅ OK</v>
      </c>
    </row>
    <row r="78" customFormat="false" ht="19.5" hidden="false" customHeight="true" outlineLevel="0" collapsed="false">
      <c r="B78" s="31" t="s">
        <v>191</v>
      </c>
      <c r="C78" s="32" t="n">
        <f aca="false">'🌱 Configuração'!D6+72</f>
        <v>72</v>
      </c>
      <c r="D78" s="46" t="s">
        <v>164</v>
      </c>
      <c r="F78" s="58"/>
      <c r="G78" s="58"/>
      <c r="H78" s="58"/>
      <c r="I78" s="58"/>
      <c r="J78" s="58"/>
      <c r="K78" s="34"/>
      <c r="L78" s="93" t="str">
        <f aca="false">IF(AND(F78&lt;&gt;"",F78&lt;22),"⚠️ Temp baixa",IF(AND(F78&lt;&gt;"",F78&gt;28),"⚠️ Temp alta",IF(AND(H78&lt;&gt;"",H78&lt;5.5),"⚠️ pH baixo",IF(AND(H78&lt;&gt;"",H78&gt;6.8),"⚠️ pH alto","✅ OK"))))</f>
        <v>✅ OK</v>
      </c>
    </row>
    <row r="79" customFormat="false" ht="19.5" hidden="false" customHeight="true" outlineLevel="0" collapsed="false">
      <c r="B79" s="31" t="s">
        <v>192</v>
      </c>
      <c r="C79" s="47" t="n">
        <f aca="false">'🌱 Configuração'!D6+73</f>
        <v>73</v>
      </c>
      <c r="D79" s="46" t="s">
        <v>164</v>
      </c>
      <c r="F79" s="68"/>
      <c r="G79" s="68"/>
      <c r="H79" s="68"/>
      <c r="I79" s="68"/>
      <c r="J79" s="68"/>
      <c r="K79" s="48"/>
      <c r="L79" s="95" t="str">
        <f aca="false">IF(AND(F79&lt;&gt;"",F79&lt;22),"⚠️ Temp baixa",IF(AND(F79&lt;&gt;"",F79&gt;28),"⚠️ Temp alta",IF(AND(H79&lt;&gt;"",H79&lt;5.5),"⚠️ pH baixo",IF(AND(H79&lt;&gt;"",H79&gt;6.8),"⚠️ pH alto","✅ OK"))))</f>
        <v>✅ OK</v>
      </c>
    </row>
    <row r="80" customFormat="false" ht="19.5" hidden="false" customHeight="true" outlineLevel="0" collapsed="false">
      <c r="B80" s="31" t="s">
        <v>193</v>
      </c>
      <c r="C80" s="32" t="n">
        <f aca="false">'🌱 Configuração'!D6+74</f>
        <v>74</v>
      </c>
      <c r="D80" s="46" t="s">
        <v>164</v>
      </c>
      <c r="F80" s="58"/>
      <c r="G80" s="58"/>
      <c r="H80" s="58"/>
      <c r="I80" s="58"/>
      <c r="J80" s="58"/>
      <c r="K80" s="34"/>
      <c r="L80" s="93" t="str">
        <f aca="false">IF(AND(F80&lt;&gt;"",F80&lt;22),"⚠️ Temp baixa",IF(AND(F80&lt;&gt;"",F80&gt;28),"⚠️ Temp alta",IF(AND(H80&lt;&gt;"",H80&lt;5.5),"⚠️ pH baixo",IF(AND(H80&lt;&gt;"",H80&gt;6.8),"⚠️ pH alto","✅ OK"))))</f>
        <v>✅ OK</v>
      </c>
    </row>
    <row r="81" customFormat="false" ht="19.5" hidden="false" customHeight="true" outlineLevel="0" collapsed="false">
      <c r="B81" s="31" t="s">
        <v>194</v>
      </c>
      <c r="C81" s="47" t="n">
        <f aca="false">'🌱 Configuração'!D6+75</f>
        <v>75</v>
      </c>
      <c r="D81" s="46" t="s">
        <v>164</v>
      </c>
      <c r="F81" s="68"/>
      <c r="G81" s="68"/>
      <c r="H81" s="68"/>
      <c r="I81" s="68"/>
      <c r="J81" s="68"/>
      <c r="K81" s="48"/>
      <c r="L81" s="95" t="str">
        <f aca="false">IF(AND(F81&lt;&gt;"",F81&lt;22),"⚠️ Temp baixa",IF(AND(F81&lt;&gt;"",F81&gt;28),"⚠️ Temp alta",IF(AND(H81&lt;&gt;"",H81&lt;5.5),"⚠️ pH baixo",IF(AND(H81&lt;&gt;"",H81&gt;6.8),"⚠️ pH alto","✅ OK"))))</f>
        <v>✅ OK</v>
      </c>
    </row>
    <row r="82" customFormat="false" ht="19.5" hidden="false" customHeight="true" outlineLevel="0" collapsed="false">
      <c r="B82" s="31" t="s">
        <v>195</v>
      </c>
      <c r="C82" s="32" t="n">
        <f aca="false">'🌱 Configuração'!D6+76</f>
        <v>76</v>
      </c>
      <c r="D82" s="46" t="s">
        <v>164</v>
      </c>
      <c r="F82" s="58"/>
      <c r="G82" s="58"/>
      <c r="H82" s="58"/>
      <c r="I82" s="58"/>
      <c r="J82" s="58"/>
      <c r="K82" s="34"/>
      <c r="L82" s="93" t="str">
        <f aca="false">IF(AND(F82&lt;&gt;"",F82&lt;22),"⚠️ Temp baixa",IF(AND(F82&lt;&gt;"",F82&gt;28),"⚠️ Temp alta",IF(AND(H82&lt;&gt;"",H82&lt;5.5),"⚠️ pH baixo",IF(AND(H82&lt;&gt;"",H82&gt;6.8),"⚠️ pH alto","✅ OK"))))</f>
        <v>✅ OK</v>
      </c>
    </row>
    <row r="83" customFormat="false" ht="19.5" hidden="false" customHeight="true" outlineLevel="0" collapsed="false">
      <c r="B83" s="31" t="s">
        <v>198</v>
      </c>
      <c r="C83" s="47" t="n">
        <f aca="false">'🌱 Configuração'!D6+77</f>
        <v>77</v>
      </c>
      <c r="D83" s="46" t="s">
        <v>164</v>
      </c>
      <c r="F83" s="68"/>
      <c r="G83" s="68"/>
      <c r="H83" s="68"/>
      <c r="I83" s="68"/>
      <c r="J83" s="68"/>
      <c r="K83" s="48"/>
      <c r="L83" s="95" t="str">
        <f aca="false">IF(AND(F83&lt;&gt;"",F83&lt;22),"⚠️ Temp baixa",IF(AND(F83&lt;&gt;"",F83&gt;28),"⚠️ Temp alta",IF(AND(H83&lt;&gt;"",H83&lt;5.5),"⚠️ pH baixo",IF(AND(H83&lt;&gt;"",H83&gt;6.8),"⚠️ pH alto","✅ OK"))))</f>
        <v>✅ OK</v>
      </c>
    </row>
    <row r="84" customFormat="false" ht="19.5" hidden="false" customHeight="true" outlineLevel="0" collapsed="false">
      <c r="B84" s="31" t="s">
        <v>200</v>
      </c>
      <c r="C84" s="32" t="n">
        <f aca="false">'🌱 Configuração'!D6+78</f>
        <v>78</v>
      </c>
      <c r="D84" s="46" t="s">
        <v>164</v>
      </c>
      <c r="F84" s="58"/>
      <c r="G84" s="58"/>
      <c r="H84" s="58"/>
      <c r="I84" s="58"/>
      <c r="J84" s="58"/>
      <c r="K84" s="34"/>
      <c r="L84" s="93" t="str">
        <f aca="false">IF(AND(F84&lt;&gt;"",F84&lt;22),"⚠️ Temp baixa",IF(AND(F84&lt;&gt;"",F84&gt;28),"⚠️ Temp alta",IF(AND(H84&lt;&gt;"",H84&lt;5.5),"⚠️ pH baixo",IF(AND(H84&lt;&gt;"",H84&gt;6.8),"⚠️ pH alto","✅ OK"))))</f>
        <v>✅ OK</v>
      </c>
    </row>
    <row r="85" customFormat="false" ht="19.5" hidden="false" customHeight="true" outlineLevel="0" collapsed="false">
      <c r="B85" s="31" t="s">
        <v>201</v>
      </c>
      <c r="C85" s="47" t="n">
        <f aca="false">'🌱 Configuração'!D6+79</f>
        <v>79</v>
      </c>
      <c r="D85" s="46" t="s">
        <v>164</v>
      </c>
      <c r="F85" s="68"/>
      <c r="G85" s="68"/>
      <c r="H85" s="68"/>
      <c r="I85" s="68"/>
      <c r="J85" s="68"/>
      <c r="K85" s="48"/>
      <c r="L85" s="95" t="str">
        <f aca="false">IF(AND(F85&lt;&gt;"",F85&lt;22),"⚠️ Temp baixa",IF(AND(F85&lt;&gt;"",F85&gt;28),"⚠️ Temp alta",IF(AND(H85&lt;&gt;"",H85&lt;5.5),"⚠️ pH baixo",IF(AND(H85&lt;&gt;"",H85&gt;6.8),"⚠️ pH alto","✅ OK"))))</f>
        <v>✅ OK</v>
      </c>
    </row>
    <row r="86" customFormat="false" ht="19.5" hidden="false" customHeight="true" outlineLevel="0" collapsed="false">
      <c r="B86" s="31" t="s">
        <v>202</v>
      </c>
      <c r="C86" s="32" t="n">
        <f aca="false">'🌱 Configuração'!D6+80</f>
        <v>80</v>
      </c>
      <c r="D86" s="46" t="s">
        <v>164</v>
      </c>
      <c r="F86" s="58"/>
      <c r="G86" s="58"/>
      <c r="H86" s="58"/>
      <c r="I86" s="58"/>
      <c r="J86" s="58"/>
      <c r="K86" s="34"/>
      <c r="L86" s="93" t="str">
        <f aca="false">IF(AND(F86&lt;&gt;"",F86&lt;22),"⚠️ Temp baixa",IF(AND(F86&lt;&gt;"",F86&gt;28),"⚠️ Temp alta",IF(AND(H86&lt;&gt;"",H86&lt;5.5),"⚠️ pH baixo",IF(AND(H86&lt;&gt;"",H86&gt;6.8),"⚠️ pH alto","✅ OK"))))</f>
        <v>✅ OK</v>
      </c>
    </row>
    <row r="87" customFormat="false" ht="19.5" hidden="false" customHeight="true" outlineLevel="0" collapsed="false">
      <c r="B87" s="31" t="s">
        <v>203</v>
      </c>
      <c r="C87" s="47" t="n">
        <f aca="false">'🌱 Configuração'!D6+81</f>
        <v>81</v>
      </c>
      <c r="D87" s="46" t="s">
        <v>164</v>
      </c>
      <c r="F87" s="68"/>
      <c r="G87" s="68"/>
      <c r="H87" s="68"/>
      <c r="I87" s="68"/>
      <c r="J87" s="68"/>
      <c r="K87" s="48"/>
      <c r="L87" s="95" t="str">
        <f aca="false">IF(AND(F87&lt;&gt;"",F87&lt;22),"⚠️ Temp baixa",IF(AND(F87&lt;&gt;"",F87&gt;28),"⚠️ Temp alta",IF(AND(H87&lt;&gt;"",H87&lt;5.5),"⚠️ pH baixo",IF(AND(H87&lt;&gt;"",H87&gt;6.8),"⚠️ pH alto","✅ OK"))))</f>
        <v>✅ OK</v>
      </c>
    </row>
    <row r="88" customFormat="false" ht="19.5" hidden="false" customHeight="true" outlineLevel="0" collapsed="false">
      <c r="B88" s="31" t="s">
        <v>204</v>
      </c>
      <c r="C88" s="32" t="n">
        <f aca="false">'🌱 Configuração'!D6+82</f>
        <v>82</v>
      </c>
      <c r="D88" s="46" t="s">
        <v>164</v>
      </c>
      <c r="F88" s="58"/>
      <c r="G88" s="58"/>
      <c r="H88" s="58"/>
      <c r="I88" s="58"/>
      <c r="J88" s="58"/>
      <c r="K88" s="34"/>
      <c r="L88" s="93" t="str">
        <f aca="false">IF(AND(F88&lt;&gt;"",F88&lt;22),"⚠️ Temp baixa",IF(AND(F88&lt;&gt;"",F88&gt;28),"⚠️ Temp alta",IF(AND(H88&lt;&gt;"",H88&lt;5.5),"⚠️ pH baixo",IF(AND(H88&lt;&gt;"",H88&gt;6.8),"⚠️ pH alto","✅ OK"))))</f>
        <v>✅ OK</v>
      </c>
    </row>
    <row r="89" customFormat="false" ht="19.5" hidden="false" customHeight="true" outlineLevel="0" collapsed="false">
      <c r="B89" s="31" t="s">
        <v>205</v>
      </c>
      <c r="C89" s="47" t="n">
        <f aca="false">'🌱 Configuração'!D6+83</f>
        <v>83</v>
      </c>
      <c r="D89" s="46" t="s">
        <v>164</v>
      </c>
      <c r="F89" s="68"/>
      <c r="G89" s="68"/>
      <c r="H89" s="68"/>
      <c r="I89" s="68"/>
      <c r="J89" s="68"/>
      <c r="K89" s="48"/>
      <c r="L89" s="95" t="str">
        <f aca="false">IF(AND(F89&lt;&gt;"",F89&lt;22),"⚠️ Temp baixa",IF(AND(F89&lt;&gt;"",F89&gt;28),"⚠️ Temp alta",IF(AND(H89&lt;&gt;"",H89&lt;5.5),"⚠️ pH baixo",IF(AND(H89&lt;&gt;"",H89&gt;6.8),"⚠️ pH alto","✅ OK"))))</f>
        <v>✅ OK</v>
      </c>
    </row>
    <row r="90" customFormat="false" ht="19.5" hidden="false" customHeight="true" outlineLevel="0" collapsed="false">
      <c r="B90" s="31" t="s">
        <v>209</v>
      </c>
      <c r="C90" s="32" t="n">
        <f aca="false">'🌱 Configuração'!D6+84</f>
        <v>84</v>
      </c>
      <c r="D90" s="46" t="s">
        <v>164</v>
      </c>
      <c r="F90" s="58"/>
      <c r="G90" s="58"/>
      <c r="H90" s="58"/>
      <c r="I90" s="58"/>
      <c r="J90" s="58"/>
      <c r="K90" s="34"/>
      <c r="L90" s="93" t="str">
        <f aca="false">IF(AND(F90&lt;&gt;"",F90&lt;22),"⚠️ Temp baixa",IF(AND(F90&lt;&gt;"",F90&gt;28),"⚠️ Temp alta",IF(AND(H90&lt;&gt;"",H90&lt;5.5),"⚠️ pH baixo",IF(AND(H90&lt;&gt;"",H90&gt;6.8),"⚠️ pH alto","✅ OK"))))</f>
        <v>✅ OK</v>
      </c>
    </row>
    <row r="91" customFormat="false" ht="19.5" hidden="false" customHeight="true" outlineLevel="0" collapsed="false">
      <c r="B91" s="31" t="s">
        <v>211</v>
      </c>
      <c r="C91" s="47" t="n">
        <f aca="false">'🌱 Configuração'!D6+85</f>
        <v>85</v>
      </c>
      <c r="D91" s="46" t="s">
        <v>164</v>
      </c>
      <c r="F91" s="68"/>
      <c r="G91" s="68"/>
      <c r="H91" s="68"/>
      <c r="I91" s="68"/>
      <c r="J91" s="68"/>
      <c r="K91" s="48"/>
      <c r="L91" s="95" t="str">
        <f aca="false">IF(AND(F91&lt;&gt;"",F91&lt;22),"⚠️ Temp baixa",IF(AND(F91&lt;&gt;"",F91&gt;28),"⚠️ Temp alta",IF(AND(H91&lt;&gt;"",H91&lt;5.5),"⚠️ pH baixo",IF(AND(H91&lt;&gt;"",H91&gt;6.8),"⚠️ pH alto","✅ OK"))))</f>
        <v>✅ OK</v>
      </c>
    </row>
    <row r="92" customFormat="false" ht="19.5" hidden="false" customHeight="true" outlineLevel="0" collapsed="false">
      <c r="B92" s="31" t="s">
        <v>212</v>
      </c>
      <c r="C92" s="32" t="n">
        <f aca="false">'🌱 Configuração'!D6+86</f>
        <v>86</v>
      </c>
      <c r="D92" s="46" t="s">
        <v>164</v>
      </c>
      <c r="F92" s="58"/>
      <c r="G92" s="58"/>
      <c r="H92" s="58"/>
      <c r="I92" s="58"/>
      <c r="J92" s="58"/>
      <c r="K92" s="34"/>
      <c r="L92" s="93" t="str">
        <f aca="false">IF(AND(F92&lt;&gt;"",F92&lt;22),"⚠️ Temp baixa",IF(AND(F92&lt;&gt;"",F92&gt;28),"⚠️ Temp alta",IF(AND(H92&lt;&gt;"",H92&lt;5.5),"⚠️ pH baixo",IF(AND(H92&lt;&gt;"",H92&gt;6.8),"⚠️ pH alto","✅ OK"))))</f>
        <v>✅ OK</v>
      </c>
    </row>
    <row r="93" customFormat="false" ht="19.5" hidden="false" customHeight="true" outlineLevel="0" collapsed="false">
      <c r="B93" s="31" t="s">
        <v>213</v>
      </c>
      <c r="C93" s="47" t="n">
        <f aca="false">'🌱 Configuração'!D6+87</f>
        <v>87</v>
      </c>
      <c r="D93" s="46" t="s">
        <v>164</v>
      </c>
      <c r="F93" s="68"/>
      <c r="G93" s="68"/>
      <c r="H93" s="68"/>
      <c r="I93" s="68"/>
      <c r="J93" s="68"/>
      <c r="K93" s="48"/>
      <c r="L93" s="95" t="str">
        <f aca="false">IF(AND(F93&lt;&gt;"",F93&lt;22),"⚠️ Temp baixa",IF(AND(F93&lt;&gt;"",F93&gt;28),"⚠️ Temp alta",IF(AND(H93&lt;&gt;"",H93&lt;5.5),"⚠️ pH baixo",IF(AND(H93&lt;&gt;"",H93&gt;6.8),"⚠️ pH alto","✅ OK"))))</f>
        <v>✅ OK</v>
      </c>
    </row>
    <row r="94" customFormat="false" ht="19.5" hidden="false" customHeight="true" outlineLevel="0" collapsed="false">
      <c r="B94" s="31" t="s">
        <v>214</v>
      </c>
      <c r="C94" s="32" t="n">
        <f aca="false">'🌱 Configuração'!D6+88</f>
        <v>88</v>
      </c>
      <c r="D94" s="46" t="s">
        <v>164</v>
      </c>
      <c r="F94" s="58"/>
      <c r="G94" s="58"/>
      <c r="H94" s="58"/>
      <c r="I94" s="58"/>
      <c r="J94" s="58"/>
      <c r="K94" s="34"/>
      <c r="L94" s="93" t="str">
        <f aca="false">IF(AND(F94&lt;&gt;"",F94&lt;22),"⚠️ Temp baixa",IF(AND(F94&lt;&gt;"",F94&gt;28),"⚠️ Temp alta",IF(AND(H94&lt;&gt;"",H94&lt;5.5),"⚠️ pH baixo",IF(AND(H94&lt;&gt;"",H94&gt;6.8),"⚠️ pH alto","✅ OK"))))</f>
        <v>✅ OK</v>
      </c>
    </row>
    <row r="95" customFormat="false" ht="19.5" hidden="false" customHeight="true" outlineLevel="0" collapsed="false">
      <c r="B95" s="31" t="s">
        <v>215</v>
      </c>
      <c r="C95" s="47" t="n">
        <f aca="false">'🌱 Configuração'!D6+89</f>
        <v>89</v>
      </c>
      <c r="D95" s="46" t="s">
        <v>164</v>
      </c>
      <c r="F95" s="68"/>
      <c r="G95" s="68"/>
      <c r="H95" s="68"/>
      <c r="I95" s="68"/>
      <c r="J95" s="68"/>
      <c r="K95" s="48"/>
      <c r="L95" s="95" t="str">
        <f aca="false">IF(AND(F95&lt;&gt;"",F95&lt;22),"⚠️ Temp baixa",IF(AND(F95&lt;&gt;"",F95&gt;28),"⚠️ Temp alta",IF(AND(H95&lt;&gt;"",H95&lt;5.5),"⚠️ pH baixo",IF(AND(H95&lt;&gt;"",H95&gt;6.8),"⚠️ pH alto","✅ OK"))))</f>
        <v>✅ OK</v>
      </c>
    </row>
    <row r="96" customFormat="false" ht="19.5" hidden="false" customHeight="true" outlineLevel="0" collapsed="false">
      <c r="B96" s="31" t="s">
        <v>216</v>
      </c>
      <c r="C96" s="32" t="n">
        <f aca="false">'🌱 Configuração'!D6+90</f>
        <v>90</v>
      </c>
      <c r="D96" s="46" t="s">
        <v>164</v>
      </c>
      <c r="F96" s="58"/>
      <c r="G96" s="58"/>
      <c r="H96" s="58"/>
      <c r="I96" s="58"/>
      <c r="J96" s="58"/>
      <c r="K96" s="34"/>
      <c r="L96" s="93" t="str">
        <f aca="false">IF(AND(F96&lt;&gt;"",F96&lt;22),"⚠️ Temp baixa",IF(AND(F96&lt;&gt;"",F96&gt;28),"⚠️ Temp alta",IF(AND(H96&lt;&gt;"",H96&lt;5.5),"⚠️ pH baixo",IF(AND(H96&lt;&gt;"",H96&gt;6.8),"⚠️ pH alto","✅ OK"))))</f>
        <v>✅ OK</v>
      </c>
    </row>
    <row r="97" customFormat="false" ht="19.5" hidden="false" customHeight="true" outlineLevel="0" collapsed="false">
      <c r="B97" s="31" t="s">
        <v>221</v>
      </c>
      <c r="C97" s="47" t="n">
        <f aca="false">'🌱 Configuração'!D6+91</f>
        <v>91</v>
      </c>
      <c r="D97" s="46" t="s">
        <v>164</v>
      </c>
      <c r="F97" s="68"/>
      <c r="G97" s="68"/>
      <c r="H97" s="68"/>
      <c r="I97" s="68"/>
      <c r="J97" s="68"/>
      <c r="K97" s="48"/>
      <c r="L97" s="95" t="str">
        <f aca="false">IF(AND(F97&lt;&gt;"",F97&lt;22),"⚠️ Temp baixa",IF(AND(F97&lt;&gt;"",F97&gt;28),"⚠️ Temp alta",IF(AND(H97&lt;&gt;"",H97&lt;5.5),"⚠️ pH baixo",IF(AND(H97&lt;&gt;"",H97&gt;6.8),"⚠️ pH alto","✅ OK"))))</f>
        <v>✅ OK</v>
      </c>
    </row>
    <row r="98" customFormat="false" ht="19.5" hidden="false" customHeight="true" outlineLevel="0" collapsed="false">
      <c r="B98" s="31" t="s">
        <v>223</v>
      </c>
      <c r="C98" s="32" t="n">
        <f aca="false">'🌱 Configuração'!D6+92</f>
        <v>92</v>
      </c>
      <c r="D98" s="46" t="s">
        <v>164</v>
      </c>
      <c r="F98" s="58"/>
      <c r="G98" s="58"/>
      <c r="H98" s="58"/>
      <c r="I98" s="58"/>
      <c r="J98" s="58"/>
      <c r="K98" s="34"/>
      <c r="L98" s="93" t="str">
        <f aca="false">IF(AND(F98&lt;&gt;"",F98&lt;22),"⚠️ Temp baixa",IF(AND(F98&lt;&gt;"",F98&gt;28),"⚠️ Temp alta",IF(AND(H98&lt;&gt;"",H98&lt;5.5),"⚠️ pH baixo",IF(AND(H98&lt;&gt;"",H98&gt;6.8),"⚠️ pH alto","✅ OK"))))</f>
        <v>✅ OK</v>
      </c>
    </row>
    <row r="99" customFormat="false" ht="19.5" hidden="false" customHeight="true" outlineLevel="0" collapsed="false">
      <c r="B99" s="31" t="s">
        <v>224</v>
      </c>
      <c r="C99" s="47" t="n">
        <f aca="false">'🌱 Configuração'!D6+93</f>
        <v>93</v>
      </c>
      <c r="D99" s="46" t="s">
        <v>164</v>
      </c>
      <c r="F99" s="68"/>
      <c r="G99" s="68"/>
      <c r="H99" s="68"/>
      <c r="I99" s="68"/>
      <c r="J99" s="68"/>
      <c r="K99" s="48"/>
      <c r="L99" s="95" t="str">
        <f aca="false">IF(AND(F99&lt;&gt;"",F99&lt;22),"⚠️ Temp baixa",IF(AND(F99&lt;&gt;"",F99&gt;28),"⚠️ Temp alta",IF(AND(H99&lt;&gt;"",H99&lt;5.5),"⚠️ pH baixo",IF(AND(H99&lt;&gt;"",H99&gt;6.8),"⚠️ pH alto","✅ OK"))))</f>
        <v>✅ OK</v>
      </c>
    </row>
    <row r="100" customFormat="false" ht="19.5" hidden="false" customHeight="true" outlineLevel="0" collapsed="false">
      <c r="B100" s="31" t="s">
        <v>225</v>
      </c>
      <c r="C100" s="32" t="n">
        <f aca="false">'🌱 Configuração'!D6+94</f>
        <v>94</v>
      </c>
      <c r="D100" s="46" t="s">
        <v>164</v>
      </c>
      <c r="F100" s="58"/>
      <c r="G100" s="58"/>
      <c r="H100" s="58"/>
      <c r="I100" s="58"/>
      <c r="J100" s="58"/>
      <c r="K100" s="34"/>
      <c r="L100" s="93" t="str">
        <f aca="false">IF(AND(F100&lt;&gt;"",F100&lt;22),"⚠️ Temp baixa",IF(AND(F100&lt;&gt;"",F100&gt;28),"⚠️ Temp alta",IF(AND(H100&lt;&gt;"",H100&lt;5.5),"⚠️ pH baixo",IF(AND(H100&lt;&gt;"",H100&gt;6.8),"⚠️ pH alto","✅ OK"))))</f>
        <v>✅ OK</v>
      </c>
    </row>
    <row r="101" customFormat="false" ht="19.5" hidden="false" customHeight="true" outlineLevel="0" collapsed="false">
      <c r="B101" s="31" t="s">
        <v>226</v>
      </c>
      <c r="C101" s="47" t="n">
        <f aca="false">'🌱 Configuração'!D6+95</f>
        <v>95</v>
      </c>
      <c r="D101" s="46" t="s">
        <v>164</v>
      </c>
      <c r="F101" s="68"/>
      <c r="G101" s="68"/>
      <c r="H101" s="68"/>
      <c r="I101" s="68"/>
      <c r="J101" s="68"/>
      <c r="K101" s="48"/>
      <c r="L101" s="95" t="str">
        <f aca="false">IF(AND(F101&lt;&gt;"",F101&lt;22),"⚠️ Temp baixa",IF(AND(F101&lt;&gt;"",F101&gt;28),"⚠️ Temp alta",IF(AND(H101&lt;&gt;"",H101&lt;5.5),"⚠️ pH baixo",IF(AND(H101&lt;&gt;"",H101&gt;6.8),"⚠️ pH alto","✅ OK"))))</f>
        <v>✅ OK</v>
      </c>
    </row>
    <row r="102" customFormat="false" ht="19.5" hidden="false" customHeight="true" outlineLevel="0" collapsed="false">
      <c r="B102" s="31" t="s">
        <v>227</v>
      </c>
      <c r="C102" s="32" t="n">
        <f aca="false">'🌱 Configuração'!D6+96</f>
        <v>96</v>
      </c>
      <c r="D102" s="46" t="s">
        <v>164</v>
      </c>
      <c r="F102" s="58"/>
      <c r="G102" s="58"/>
      <c r="H102" s="58"/>
      <c r="I102" s="58"/>
      <c r="J102" s="58"/>
      <c r="K102" s="34"/>
      <c r="L102" s="93" t="str">
        <f aca="false">IF(AND(F102&lt;&gt;"",F102&lt;22),"⚠️ Temp baixa",IF(AND(F102&lt;&gt;"",F102&gt;28),"⚠️ Temp alta",IF(AND(H102&lt;&gt;"",H102&lt;5.5),"⚠️ pH baixo",IF(AND(H102&lt;&gt;"",H102&gt;6.8),"⚠️ pH alto","✅ OK"))))</f>
        <v>✅ OK</v>
      </c>
    </row>
    <row r="103" customFormat="false" ht="19.5" hidden="false" customHeight="true" outlineLevel="0" collapsed="false">
      <c r="B103" s="31" t="s">
        <v>228</v>
      </c>
      <c r="C103" s="47" t="n">
        <f aca="false">'🌱 Configuração'!D6+97</f>
        <v>97</v>
      </c>
      <c r="D103" s="46" t="s">
        <v>164</v>
      </c>
      <c r="F103" s="68"/>
      <c r="G103" s="68"/>
      <c r="H103" s="68"/>
      <c r="I103" s="68"/>
      <c r="J103" s="68"/>
      <c r="K103" s="48"/>
      <c r="L103" s="95" t="str">
        <f aca="false">IF(AND(F103&lt;&gt;"",F103&lt;22),"⚠️ Temp baixa",IF(AND(F103&lt;&gt;"",F103&gt;28),"⚠️ Temp alta",IF(AND(H103&lt;&gt;"",H103&lt;5.5),"⚠️ pH baixo",IF(AND(H103&lt;&gt;"",H103&gt;6.8),"⚠️ pH alto","✅ OK"))))</f>
        <v>✅ OK</v>
      </c>
    </row>
    <row r="104" customFormat="false" ht="19.5" hidden="false" customHeight="true" outlineLevel="0" collapsed="false">
      <c r="B104" s="31" t="s">
        <v>231</v>
      </c>
      <c r="C104" s="32" t="n">
        <f aca="false">'🌱 Configuração'!D6+98</f>
        <v>98</v>
      </c>
      <c r="D104" s="46" t="s">
        <v>164</v>
      </c>
      <c r="F104" s="58"/>
      <c r="G104" s="58"/>
      <c r="H104" s="58"/>
      <c r="I104" s="58"/>
      <c r="J104" s="58"/>
      <c r="K104" s="34"/>
      <c r="L104" s="93" t="str">
        <f aca="false">IF(AND(F104&lt;&gt;"",F104&lt;22),"⚠️ Temp baixa",IF(AND(F104&lt;&gt;"",F104&gt;28),"⚠️ Temp alta",IF(AND(H104&lt;&gt;"",H104&lt;5.5),"⚠️ pH baixo",IF(AND(H104&lt;&gt;"",H104&gt;6.8),"⚠️ pH alto","✅ OK"))))</f>
        <v>✅ OK</v>
      </c>
    </row>
    <row r="105" customFormat="false" ht="19.5" hidden="false" customHeight="true" outlineLevel="0" collapsed="false">
      <c r="B105" s="31" t="s">
        <v>233</v>
      </c>
      <c r="C105" s="47" t="n">
        <f aca="false">'🌱 Configuração'!D6+99</f>
        <v>99</v>
      </c>
      <c r="D105" s="46" t="s">
        <v>164</v>
      </c>
      <c r="F105" s="68"/>
      <c r="G105" s="68"/>
      <c r="H105" s="68"/>
      <c r="I105" s="68"/>
      <c r="J105" s="68"/>
      <c r="K105" s="48"/>
      <c r="L105" s="95" t="str">
        <f aca="false">IF(AND(F105&lt;&gt;"",F105&lt;22),"⚠️ Temp baixa",IF(AND(F105&lt;&gt;"",F105&gt;28),"⚠️ Temp alta",IF(AND(H105&lt;&gt;"",H105&lt;5.5),"⚠️ pH baixo",IF(AND(H105&lt;&gt;"",H105&gt;6.8),"⚠️ pH alto","✅ OK"))))</f>
        <v>✅ OK</v>
      </c>
    </row>
    <row r="106" customFormat="false" ht="19.5" hidden="false" customHeight="true" outlineLevel="0" collapsed="false">
      <c r="B106" s="31" t="s">
        <v>234</v>
      </c>
      <c r="C106" s="32" t="n">
        <f aca="false">'🌱 Configuração'!D6+100</f>
        <v>100</v>
      </c>
      <c r="D106" s="46" t="s">
        <v>164</v>
      </c>
      <c r="F106" s="58"/>
      <c r="G106" s="58"/>
      <c r="H106" s="58"/>
      <c r="I106" s="58"/>
      <c r="J106" s="58"/>
      <c r="K106" s="34"/>
      <c r="L106" s="93" t="str">
        <f aca="false">IF(AND(F106&lt;&gt;"",F106&lt;22),"⚠️ Temp baixa",IF(AND(F106&lt;&gt;"",F106&gt;28),"⚠️ Temp alta",IF(AND(H106&lt;&gt;"",H106&lt;5.5),"⚠️ pH baixo",IF(AND(H106&lt;&gt;"",H106&gt;6.8),"⚠️ pH alto","✅ OK"))))</f>
        <v>✅ OK</v>
      </c>
    </row>
    <row r="107" customFormat="false" ht="19.5" hidden="false" customHeight="true" outlineLevel="0" collapsed="false">
      <c r="B107" s="31" t="s">
        <v>235</v>
      </c>
      <c r="C107" s="47" t="n">
        <f aca="false">'🌱 Configuração'!D6+101</f>
        <v>101</v>
      </c>
      <c r="D107" s="46" t="s">
        <v>164</v>
      </c>
      <c r="F107" s="68"/>
      <c r="G107" s="68"/>
      <c r="H107" s="68"/>
      <c r="I107" s="68"/>
      <c r="J107" s="68"/>
      <c r="K107" s="48"/>
      <c r="L107" s="95" t="str">
        <f aca="false">IF(AND(F107&lt;&gt;"",F107&lt;22),"⚠️ Temp baixa",IF(AND(F107&lt;&gt;"",F107&gt;28),"⚠️ Temp alta",IF(AND(H107&lt;&gt;"",H107&lt;5.5),"⚠️ pH baixo",IF(AND(H107&lt;&gt;"",H107&gt;6.8),"⚠️ pH alto","✅ OK"))))</f>
        <v>✅ OK</v>
      </c>
    </row>
    <row r="108" customFormat="false" ht="19.5" hidden="false" customHeight="true" outlineLevel="0" collapsed="false">
      <c r="B108" s="31" t="s">
        <v>236</v>
      </c>
      <c r="C108" s="32" t="n">
        <f aca="false">'🌱 Configuração'!D6+102</f>
        <v>102</v>
      </c>
      <c r="D108" s="46" t="s">
        <v>164</v>
      </c>
      <c r="F108" s="58"/>
      <c r="G108" s="58"/>
      <c r="H108" s="58"/>
      <c r="I108" s="58"/>
      <c r="J108" s="58"/>
      <c r="K108" s="34"/>
      <c r="L108" s="93" t="str">
        <f aca="false">IF(AND(F108&lt;&gt;"",F108&lt;22),"⚠️ Temp baixa",IF(AND(F108&lt;&gt;"",F108&gt;28),"⚠️ Temp alta",IF(AND(H108&lt;&gt;"",H108&lt;5.5),"⚠️ pH baixo",IF(AND(H108&lt;&gt;"",H108&gt;6.8),"⚠️ pH alto","✅ OK"))))</f>
        <v>✅ OK</v>
      </c>
    </row>
    <row r="109" customFormat="false" ht="19.5" hidden="false" customHeight="true" outlineLevel="0" collapsed="false">
      <c r="B109" s="31" t="s">
        <v>237</v>
      </c>
      <c r="C109" s="47" t="n">
        <f aca="false">'🌱 Configuração'!D6+103</f>
        <v>103</v>
      </c>
      <c r="D109" s="46" t="s">
        <v>164</v>
      </c>
      <c r="F109" s="68"/>
      <c r="G109" s="68"/>
      <c r="H109" s="68"/>
      <c r="I109" s="68"/>
      <c r="J109" s="68"/>
      <c r="K109" s="48"/>
      <c r="L109" s="95" t="str">
        <f aca="false">IF(AND(F109&lt;&gt;"",F109&lt;22),"⚠️ Temp baixa",IF(AND(F109&lt;&gt;"",F109&gt;28),"⚠️ Temp alta",IF(AND(H109&lt;&gt;"",H109&lt;5.5),"⚠️ pH baixo",IF(AND(H109&lt;&gt;"",H109&gt;6.8),"⚠️ pH alto","✅ OK"))))</f>
        <v>✅ OK</v>
      </c>
    </row>
    <row r="110" customFormat="false" ht="19.5" hidden="false" customHeight="true" outlineLevel="0" collapsed="false">
      <c r="B110" s="31" t="s">
        <v>238</v>
      </c>
      <c r="C110" s="32" t="n">
        <f aca="false">'🌱 Configuração'!D6+104</f>
        <v>104</v>
      </c>
      <c r="D110" s="46" t="s">
        <v>164</v>
      </c>
      <c r="F110" s="58"/>
      <c r="G110" s="58"/>
      <c r="H110" s="58"/>
      <c r="I110" s="58"/>
      <c r="J110" s="58"/>
      <c r="K110" s="34"/>
      <c r="L110" s="93" t="str">
        <f aca="false">IF(AND(F110&lt;&gt;"",F110&lt;22),"⚠️ Temp baixa",IF(AND(F110&lt;&gt;"",F110&gt;28),"⚠️ Temp alta",IF(AND(H110&lt;&gt;"",H110&lt;5.5),"⚠️ pH baixo",IF(AND(H110&lt;&gt;"",H110&gt;6.8),"⚠️ pH alto","✅ OK"))))</f>
        <v>✅ OK</v>
      </c>
    </row>
    <row r="111" customFormat="false" ht="19.5" hidden="false" customHeight="true" outlineLevel="0" collapsed="false">
      <c r="B111" s="31" t="s">
        <v>242</v>
      </c>
      <c r="C111" s="47" t="n">
        <f aca="false">'🌱 Configuração'!D6+105</f>
        <v>105</v>
      </c>
      <c r="D111" s="46" t="s">
        <v>164</v>
      </c>
      <c r="F111" s="68"/>
      <c r="G111" s="68"/>
      <c r="H111" s="68"/>
      <c r="I111" s="68"/>
      <c r="J111" s="68"/>
      <c r="K111" s="48"/>
      <c r="L111" s="95" t="str">
        <f aca="false">IF(AND(F111&lt;&gt;"",F111&lt;22),"⚠️ Temp baixa",IF(AND(F111&lt;&gt;"",F111&gt;28),"⚠️ Temp alta",IF(AND(H111&lt;&gt;"",H111&lt;5.5),"⚠️ pH baixo",IF(AND(H111&lt;&gt;"",H111&gt;6.8),"⚠️ pH alto","✅ OK"))))</f>
        <v>✅ OK</v>
      </c>
    </row>
    <row r="112" customFormat="false" ht="19.5" hidden="false" customHeight="true" outlineLevel="0" collapsed="false">
      <c r="B112" s="31" t="s">
        <v>244</v>
      </c>
      <c r="C112" s="32" t="n">
        <f aca="false">'🌱 Configuração'!D6+106</f>
        <v>106</v>
      </c>
      <c r="D112" s="46" t="s">
        <v>164</v>
      </c>
      <c r="F112" s="58"/>
      <c r="G112" s="58"/>
      <c r="H112" s="58"/>
      <c r="I112" s="58"/>
      <c r="J112" s="58"/>
      <c r="K112" s="34"/>
      <c r="L112" s="93" t="str">
        <f aca="false">IF(AND(F112&lt;&gt;"",F112&lt;22),"⚠️ Temp baixa",IF(AND(F112&lt;&gt;"",F112&gt;28),"⚠️ Temp alta",IF(AND(H112&lt;&gt;"",H112&lt;5.5),"⚠️ pH baixo",IF(AND(H112&lt;&gt;"",H112&gt;6.8),"⚠️ pH alto","✅ OK"))))</f>
        <v>✅ OK</v>
      </c>
    </row>
    <row r="113" customFormat="false" ht="19.5" hidden="false" customHeight="true" outlineLevel="0" collapsed="false">
      <c r="B113" s="31" t="s">
        <v>245</v>
      </c>
      <c r="C113" s="47" t="n">
        <f aca="false">'🌱 Configuração'!D6+107</f>
        <v>107</v>
      </c>
      <c r="D113" s="46" t="s">
        <v>164</v>
      </c>
      <c r="F113" s="68"/>
      <c r="G113" s="68"/>
      <c r="H113" s="68"/>
      <c r="I113" s="68"/>
      <c r="J113" s="68"/>
      <c r="K113" s="48"/>
      <c r="L113" s="95" t="str">
        <f aca="false">IF(AND(F113&lt;&gt;"",F113&lt;22),"⚠️ Temp baixa",IF(AND(F113&lt;&gt;"",F113&gt;28),"⚠️ Temp alta",IF(AND(H113&lt;&gt;"",H113&lt;5.5),"⚠️ pH baixo",IF(AND(H113&lt;&gt;"",H113&gt;6.8),"⚠️ pH alto","✅ OK"))))</f>
        <v>✅ OK</v>
      </c>
    </row>
    <row r="114" customFormat="false" ht="19.5" hidden="false" customHeight="true" outlineLevel="0" collapsed="false">
      <c r="B114" s="31" t="s">
        <v>246</v>
      </c>
      <c r="C114" s="32" t="n">
        <f aca="false">'🌱 Configuração'!D6+108</f>
        <v>108</v>
      </c>
      <c r="D114" s="46" t="s">
        <v>164</v>
      </c>
      <c r="F114" s="58"/>
      <c r="G114" s="58"/>
      <c r="H114" s="58"/>
      <c r="I114" s="58"/>
      <c r="J114" s="58"/>
      <c r="K114" s="34"/>
      <c r="L114" s="93" t="str">
        <f aca="false">IF(AND(F114&lt;&gt;"",F114&lt;22),"⚠️ Temp baixa",IF(AND(F114&lt;&gt;"",F114&gt;28),"⚠️ Temp alta",IF(AND(H114&lt;&gt;"",H114&lt;5.5),"⚠️ pH baixo",IF(AND(H114&lt;&gt;"",H114&gt;6.8),"⚠️ pH alto","✅ OK"))))</f>
        <v>✅ OK</v>
      </c>
    </row>
    <row r="115" customFormat="false" ht="19.5" hidden="false" customHeight="true" outlineLevel="0" collapsed="false">
      <c r="B115" s="31" t="s">
        <v>247</v>
      </c>
      <c r="C115" s="47" t="n">
        <f aca="false">'🌱 Configuração'!D6+109</f>
        <v>109</v>
      </c>
      <c r="D115" s="46" t="s">
        <v>164</v>
      </c>
      <c r="F115" s="68"/>
      <c r="G115" s="68"/>
      <c r="H115" s="68"/>
      <c r="I115" s="68"/>
      <c r="J115" s="68"/>
      <c r="K115" s="48"/>
      <c r="L115" s="95" t="str">
        <f aca="false">IF(AND(F115&lt;&gt;"",F115&lt;22),"⚠️ Temp baixa",IF(AND(F115&lt;&gt;"",F115&gt;28),"⚠️ Temp alta",IF(AND(H115&lt;&gt;"",H115&lt;5.5),"⚠️ pH baixo",IF(AND(H115&lt;&gt;"",H115&gt;6.8),"⚠️ pH alto","✅ OK"))))</f>
        <v>✅ OK</v>
      </c>
    </row>
    <row r="116" customFormat="false" ht="19.5" hidden="false" customHeight="true" outlineLevel="0" collapsed="false">
      <c r="B116" s="31" t="s">
        <v>248</v>
      </c>
      <c r="C116" s="32" t="n">
        <f aca="false">'🌱 Configuração'!D6+110</f>
        <v>110</v>
      </c>
      <c r="D116" s="46" t="s">
        <v>164</v>
      </c>
      <c r="F116" s="58"/>
      <c r="G116" s="58"/>
      <c r="H116" s="58"/>
      <c r="I116" s="58"/>
      <c r="J116" s="58"/>
      <c r="K116" s="34"/>
      <c r="L116" s="93" t="str">
        <f aca="false">IF(AND(F116&lt;&gt;"",F116&lt;22),"⚠️ Temp baixa",IF(AND(F116&lt;&gt;"",F116&gt;28),"⚠️ Temp alta",IF(AND(H116&lt;&gt;"",H116&lt;5.5),"⚠️ pH baixo",IF(AND(H116&lt;&gt;"",H116&gt;6.8),"⚠️ pH alto","✅ OK"))))</f>
        <v>✅ OK</v>
      </c>
    </row>
    <row r="117" customFormat="false" ht="19.5" hidden="false" customHeight="true" outlineLevel="0" collapsed="false">
      <c r="B117" s="31" t="s">
        <v>249</v>
      </c>
      <c r="C117" s="47" t="n">
        <f aca="false">'🌱 Configuração'!D6+111</f>
        <v>111</v>
      </c>
      <c r="D117" s="46" t="s">
        <v>164</v>
      </c>
      <c r="F117" s="68"/>
      <c r="G117" s="68"/>
      <c r="H117" s="68"/>
      <c r="I117" s="68"/>
      <c r="J117" s="68"/>
      <c r="K117" s="48"/>
      <c r="L117" s="95" t="str">
        <f aca="false">IF(AND(F117&lt;&gt;"",F117&lt;22),"⚠️ Temp baixa",IF(AND(F117&lt;&gt;"",F117&gt;28),"⚠️ Temp alta",IF(AND(H117&lt;&gt;"",H117&lt;5.5),"⚠️ pH baixo",IF(AND(H117&lt;&gt;"",H117&gt;6.8),"⚠️ pH alto","✅ OK"))))</f>
        <v>✅ OK</v>
      </c>
    </row>
    <row r="118" customFormat="false" ht="19.5" hidden="false" customHeight="true" outlineLevel="0" collapsed="false">
      <c r="B118" s="31" t="s">
        <v>252</v>
      </c>
      <c r="C118" s="32" t="n">
        <f aca="false">'🌱 Configuração'!D6+112</f>
        <v>112</v>
      </c>
      <c r="D118" s="46" t="s">
        <v>164</v>
      </c>
      <c r="F118" s="58"/>
      <c r="G118" s="58"/>
      <c r="H118" s="58"/>
      <c r="I118" s="58"/>
      <c r="J118" s="58"/>
      <c r="K118" s="34"/>
      <c r="L118" s="93" t="str">
        <f aca="false">IF(AND(F118&lt;&gt;"",F118&lt;22),"⚠️ Temp baixa",IF(AND(F118&lt;&gt;"",F118&gt;28),"⚠️ Temp alta",IF(AND(H118&lt;&gt;"",H118&lt;5.5),"⚠️ pH baixo",IF(AND(H118&lt;&gt;"",H118&gt;6.8),"⚠️ pH alto","✅ OK"))))</f>
        <v>✅ OK</v>
      </c>
    </row>
    <row r="119" customFormat="false" ht="19.5" hidden="false" customHeight="true" outlineLevel="0" collapsed="false">
      <c r="B119" s="31" t="s">
        <v>254</v>
      </c>
      <c r="C119" s="47" t="n">
        <f aca="false">'🌱 Configuração'!D6+113</f>
        <v>113</v>
      </c>
      <c r="D119" s="46" t="s">
        <v>164</v>
      </c>
      <c r="F119" s="68"/>
      <c r="G119" s="68"/>
      <c r="H119" s="68"/>
      <c r="I119" s="68"/>
      <c r="J119" s="68"/>
      <c r="K119" s="48"/>
      <c r="L119" s="95" t="str">
        <f aca="false">IF(AND(F119&lt;&gt;"",F119&lt;22),"⚠️ Temp baixa",IF(AND(F119&lt;&gt;"",F119&gt;28),"⚠️ Temp alta",IF(AND(H119&lt;&gt;"",H119&lt;5.5),"⚠️ pH baixo",IF(AND(H119&lt;&gt;"",H119&gt;6.8),"⚠️ pH alto","✅ OK"))))</f>
        <v>✅ OK</v>
      </c>
    </row>
    <row r="120" customFormat="false" ht="19.5" hidden="false" customHeight="true" outlineLevel="0" collapsed="false">
      <c r="B120" s="31" t="s">
        <v>255</v>
      </c>
      <c r="C120" s="32" t="n">
        <f aca="false">'🌱 Configuração'!D6+114</f>
        <v>114</v>
      </c>
      <c r="D120" s="46" t="s">
        <v>164</v>
      </c>
      <c r="F120" s="58"/>
      <c r="G120" s="58"/>
      <c r="H120" s="58"/>
      <c r="I120" s="58"/>
      <c r="J120" s="58"/>
      <c r="K120" s="34"/>
      <c r="L120" s="93" t="str">
        <f aca="false">IF(AND(F120&lt;&gt;"",F120&lt;22),"⚠️ Temp baixa",IF(AND(F120&lt;&gt;"",F120&gt;28),"⚠️ Temp alta",IF(AND(H120&lt;&gt;"",H120&lt;5.5),"⚠️ pH baixo",IF(AND(H120&lt;&gt;"",H120&gt;6.8),"⚠️ pH alto","✅ OK"))))</f>
        <v>✅ OK</v>
      </c>
    </row>
    <row r="121" customFormat="false" ht="19.5" hidden="false" customHeight="true" outlineLevel="0" collapsed="false">
      <c r="B121" s="31" t="s">
        <v>256</v>
      </c>
      <c r="C121" s="47" t="n">
        <f aca="false">'🌱 Configuração'!D6+115</f>
        <v>115</v>
      </c>
      <c r="D121" s="46" t="s">
        <v>164</v>
      </c>
      <c r="F121" s="68"/>
      <c r="G121" s="68"/>
      <c r="H121" s="68"/>
      <c r="I121" s="68"/>
      <c r="J121" s="68"/>
      <c r="K121" s="48"/>
      <c r="L121" s="95" t="str">
        <f aca="false">IF(AND(F121&lt;&gt;"",F121&lt;22),"⚠️ Temp baixa",IF(AND(F121&lt;&gt;"",F121&gt;28),"⚠️ Temp alta",IF(AND(H121&lt;&gt;"",H121&lt;5.5),"⚠️ pH baixo",IF(AND(H121&lt;&gt;"",H121&gt;6.8),"⚠️ pH alto","✅ OK"))))</f>
        <v>✅ OK</v>
      </c>
    </row>
    <row r="122" customFormat="false" ht="19.5" hidden="false" customHeight="true" outlineLevel="0" collapsed="false">
      <c r="B122" s="31" t="s">
        <v>258</v>
      </c>
      <c r="C122" s="32" t="n">
        <f aca="false">'🌱 Configuração'!D6+116</f>
        <v>116</v>
      </c>
      <c r="D122" s="46" t="s">
        <v>164</v>
      </c>
      <c r="F122" s="58"/>
      <c r="G122" s="58"/>
      <c r="H122" s="58"/>
      <c r="I122" s="58"/>
      <c r="J122" s="58"/>
      <c r="K122" s="34"/>
      <c r="L122" s="93" t="str">
        <f aca="false">IF(AND(F122&lt;&gt;"",F122&lt;22),"⚠️ Temp baixa",IF(AND(F122&lt;&gt;"",F122&gt;28),"⚠️ Temp alta",IF(AND(H122&lt;&gt;"",H122&lt;5.5),"⚠️ pH baixo",IF(AND(H122&lt;&gt;"",H122&gt;6.8),"⚠️ pH alto","✅ OK"))))</f>
        <v>✅ OK</v>
      </c>
    </row>
    <row r="123" customFormat="false" ht="19.5" hidden="false" customHeight="true" outlineLevel="0" collapsed="false">
      <c r="B123" s="31" t="s">
        <v>259</v>
      </c>
      <c r="C123" s="47" t="n">
        <f aca="false">'🌱 Configuração'!D6+117</f>
        <v>117</v>
      </c>
      <c r="D123" s="46" t="s">
        <v>164</v>
      </c>
      <c r="F123" s="68"/>
      <c r="G123" s="68"/>
      <c r="H123" s="68"/>
      <c r="I123" s="68"/>
      <c r="J123" s="68"/>
      <c r="K123" s="48"/>
      <c r="L123" s="95" t="str">
        <f aca="false">IF(AND(F123&lt;&gt;"",F123&lt;22),"⚠️ Temp baixa",IF(AND(F123&lt;&gt;"",F123&gt;28),"⚠️ Temp alta",IF(AND(H123&lt;&gt;"",H123&lt;5.5),"⚠️ pH baixo",IF(AND(H123&lt;&gt;"",H123&gt;6.8),"⚠️ pH alto","✅ OK"))))</f>
        <v>✅ OK</v>
      </c>
    </row>
    <row r="124" customFormat="false" ht="19.5" hidden="false" customHeight="true" outlineLevel="0" collapsed="false">
      <c r="B124" s="31" t="s">
        <v>260</v>
      </c>
      <c r="C124" s="32" t="n">
        <f aca="false">'🌱 Configuração'!D6+118</f>
        <v>118</v>
      </c>
      <c r="D124" s="46" t="s">
        <v>164</v>
      </c>
      <c r="F124" s="58"/>
      <c r="G124" s="58"/>
      <c r="H124" s="58"/>
      <c r="I124" s="58"/>
      <c r="J124" s="58"/>
      <c r="K124" s="34"/>
      <c r="L124" s="93" t="str">
        <f aca="false">IF(AND(F124&lt;&gt;"",F124&lt;22),"⚠️ Temp baixa",IF(AND(F124&lt;&gt;"",F124&gt;28),"⚠️ Temp alta",IF(AND(H124&lt;&gt;"",H124&lt;5.5),"⚠️ pH baixo",IF(AND(H124&lt;&gt;"",H124&gt;6.8),"⚠️ pH alto","✅ OK"))))</f>
        <v>✅ OK</v>
      </c>
    </row>
    <row r="125" customFormat="false" ht="19.5" hidden="false" customHeight="true" outlineLevel="0" collapsed="false">
      <c r="B125" s="31" t="s">
        <v>264</v>
      </c>
      <c r="C125" s="51" t="n">
        <f aca="false">'🌱 Configuração'!D6+119</f>
        <v>119</v>
      </c>
      <c r="D125" s="52" t="s">
        <v>265</v>
      </c>
      <c r="F125" s="71"/>
      <c r="G125" s="71"/>
      <c r="H125" s="71"/>
      <c r="I125" s="71"/>
      <c r="J125" s="71"/>
      <c r="K125" s="53"/>
      <c r="L125" s="96" t="str">
        <f aca="false">IF(AND(F125&lt;&gt;"",F125&lt;22),"⚠️ Temp baixa",IF(AND(F125&lt;&gt;"",F125&gt;28),"⚠️ Temp alta",IF(AND(H125&lt;&gt;"",H125&lt;5.5),"⚠️ pH baixo",IF(AND(H125&lt;&gt;"",H125&gt;6.8),"⚠️ pH alto","✅ OK"))))</f>
        <v>✅ OK</v>
      </c>
    </row>
    <row r="126" customFormat="false" ht="19.5" hidden="false" customHeight="true" outlineLevel="0" collapsed="false">
      <c r="B126" s="31" t="s">
        <v>267</v>
      </c>
      <c r="C126" s="32" t="n">
        <f aca="false">'🌱 Configuração'!D6+120</f>
        <v>120</v>
      </c>
      <c r="D126" s="52" t="s">
        <v>265</v>
      </c>
      <c r="F126" s="58"/>
      <c r="G126" s="58"/>
      <c r="H126" s="58"/>
      <c r="I126" s="58"/>
      <c r="J126" s="58"/>
      <c r="K126" s="34"/>
      <c r="L126" s="93" t="str">
        <f aca="false">IF(AND(F126&lt;&gt;"",F126&lt;22),"⚠️ Temp baixa",IF(AND(F126&lt;&gt;"",F126&gt;28),"⚠️ Temp alta",IF(AND(H126&lt;&gt;"",H126&lt;5.5),"⚠️ pH baixo",IF(AND(H126&lt;&gt;"",H126&gt;6.8),"⚠️ pH alto","✅ OK"))))</f>
        <v>✅ OK</v>
      </c>
    </row>
    <row r="127" customFormat="false" ht="19.5" hidden="false" customHeight="true" outlineLevel="0" collapsed="false">
      <c r="B127" s="31" t="s">
        <v>268</v>
      </c>
      <c r="C127" s="51" t="n">
        <f aca="false">'🌱 Configuração'!D6+121</f>
        <v>121</v>
      </c>
      <c r="D127" s="52" t="s">
        <v>265</v>
      </c>
      <c r="F127" s="71"/>
      <c r="G127" s="71"/>
      <c r="H127" s="71"/>
      <c r="I127" s="71"/>
      <c r="J127" s="71"/>
      <c r="K127" s="53"/>
      <c r="L127" s="96" t="str">
        <f aca="false">IF(AND(F127&lt;&gt;"",F127&lt;22),"⚠️ Temp baixa",IF(AND(F127&lt;&gt;"",F127&gt;28),"⚠️ Temp alta",IF(AND(H127&lt;&gt;"",H127&lt;5.5),"⚠️ pH baixo",IF(AND(H127&lt;&gt;"",H127&gt;6.8),"⚠️ pH alto","✅ OK"))))</f>
        <v>✅ OK</v>
      </c>
    </row>
    <row r="128" customFormat="false" ht="19.5" hidden="false" customHeight="true" outlineLevel="0" collapsed="false">
      <c r="B128" s="31" t="s">
        <v>270</v>
      </c>
      <c r="C128" s="32" t="n">
        <f aca="false">'🌱 Configuração'!D6+122</f>
        <v>122</v>
      </c>
      <c r="D128" s="52" t="s">
        <v>265</v>
      </c>
      <c r="F128" s="58"/>
      <c r="G128" s="58"/>
      <c r="H128" s="58"/>
      <c r="I128" s="58"/>
      <c r="J128" s="58"/>
      <c r="K128" s="34"/>
      <c r="L128" s="93" t="str">
        <f aca="false">IF(AND(F128&lt;&gt;"",F128&lt;22),"⚠️ Temp baixa",IF(AND(F128&lt;&gt;"",F128&gt;28),"⚠️ Temp alta",IF(AND(H128&lt;&gt;"",H128&lt;5.5),"⚠️ pH baixo",IF(AND(H128&lt;&gt;"",H128&gt;6.8),"⚠️ pH alto","✅ OK"))))</f>
        <v>✅ OK</v>
      </c>
    </row>
    <row r="129" customFormat="false" ht="19.5" hidden="false" customHeight="true" outlineLevel="0" collapsed="false">
      <c r="B129" s="31" t="s">
        <v>271</v>
      </c>
      <c r="C129" s="51" t="n">
        <f aca="false">'🌱 Configuração'!D6+123</f>
        <v>123</v>
      </c>
      <c r="D129" s="52" t="s">
        <v>265</v>
      </c>
      <c r="F129" s="71"/>
      <c r="G129" s="71"/>
      <c r="H129" s="71"/>
      <c r="I129" s="71"/>
      <c r="J129" s="71"/>
      <c r="K129" s="53"/>
      <c r="L129" s="96" t="str">
        <f aca="false">IF(AND(F129&lt;&gt;"",F129&lt;22),"⚠️ Temp baixa",IF(AND(F129&lt;&gt;"",F129&gt;28),"⚠️ Temp alta",IF(AND(H129&lt;&gt;"",H129&lt;5.5),"⚠️ pH baixo",IF(AND(H129&lt;&gt;"",H129&gt;6.8),"⚠️ pH alto","✅ OK"))))</f>
        <v>✅ OK</v>
      </c>
    </row>
    <row r="130" customFormat="false" ht="19.5" hidden="false" customHeight="true" outlineLevel="0" collapsed="false">
      <c r="B130" s="31" t="s">
        <v>272</v>
      </c>
      <c r="C130" s="32" t="n">
        <f aca="false">'🌱 Configuração'!D6+124</f>
        <v>124</v>
      </c>
      <c r="D130" s="52" t="s">
        <v>265</v>
      </c>
      <c r="F130" s="58"/>
      <c r="G130" s="58"/>
      <c r="H130" s="58"/>
      <c r="I130" s="58"/>
      <c r="J130" s="58"/>
      <c r="K130" s="34"/>
      <c r="L130" s="93" t="str">
        <f aca="false">IF(AND(F130&lt;&gt;"",F130&lt;22),"⚠️ Temp baixa",IF(AND(F130&lt;&gt;"",F130&gt;28),"⚠️ Temp alta",IF(AND(H130&lt;&gt;"",H130&lt;5.5),"⚠️ pH baixo",IF(AND(H130&lt;&gt;"",H130&gt;6.8),"⚠️ pH alto","✅ OK"))))</f>
        <v>✅ OK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166"/>
    <pageSetUpPr fitToPage="false"/>
  </sheetPr>
  <dimension ref="B2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28"/>
    <col collapsed="false" customWidth="true" hidden="false" outlineLevel="0" max="5" min="5" style="1" width="3"/>
  </cols>
  <sheetData>
    <row r="2" customFormat="false" ht="45" hidden="false" customHeight="true" outlineLevel="0" collapsed="false">
      <c r="B2" s="29" t="s">
        <v>487</v>
      </c>
      <c r="C2" s="29"/>
      <c r="D2" s="29"/>
    </row>
    <row r="4" customFormat="false" ht="27.75" hidden="false" customHeight="true" outlineLevel="0" collapsed="false">
      <c r="B4" s="4" t="s">
        <v>488</v>
      </c>
      <c r="C4" s="4"/>
      <c r="D4" s="4"/>
    </row>
    <row r="5" customFormat="false" ht="21.75" hidden="false" customHeight="true" outlineLevel="0" collapsed="false">
      <c r="B5" s="75" t="s">
        <v>489</v>
      </c>
      <c r="C5" s="75" t="s">
        <v>490</v>
      </c>
      <c r="D5" s="75"/>
    </row>
    <row r="6" customFormat="false" ht="19.5" hidden="false" customHeight="true" outlineLevel="0" collapsed="false">
      <c r="B6" s="27" t="s">
        <v>491</v>
      </c>
      <c r="C6" s="28" t="s">
        <v>492</v>
      </c>
      <c r="D6" s="28"/>
    </row>
    <row r="7" customFormat="false" ht="19.5" hidden="false" customHeight="true" outlineLevel="0" collapsed="false">
      <c r="B7" s="97" t="s">
        <v>493</v>
      </c>
      <c r="C7" s="98" t="s">
        <v>494</v>
      </c>
      <c r="D7" s="98"/>
    </row>
    <row r="8" customFormat="false" ht="19.5" hidden="false" customHeight="true" outlineLevel="0" collapsed="false">
      <c r="B8" s="27" t="s">
        <v>495</v>
      </c>
      <c r="C8" s="28" t="s">
        <v>496</v>
      </c>
      <c r="D8" s="28"/>
    </row>
    <row r="9" customFormat="false" ht="19.5" hidden="false" customHeight="true" outlineLevel="0" collapsed="false">
      <c r="B9" s="97" t="s">
        <v>497</v>
      </c>
      <c r="C9" s="98" t="s">
        <v>498</v>
      </c>
      <c r="D9" s="98"/>
    </row>
    <row r="11" customFormat="false" ht="27.75" hidden="false" customHeight="true" outlineLevel="0" collapsed="false">
      <c r="B11" s="4" t="s">
        <v>499</v>
      </c>
      <c r="C11" s="4"/>
      <c r="D11" s="4"/>
    </row>
    <row r="12" customFormat="false" ht="21.75" hidden="false" customHeight="true" outlineLevel="0" collapsed="false">
      <c r="B12" s="75" t="s">
        <v>489</v>
      </c>
      <c r="C12" s="75" t="s">
        <v>490</v>
      </c>
      <c r="D12" s="75"/>
    </row>
    <row r="13" customFormat="false" ht="19.5" hidden="false" customHeight="true" outlineLevel="0" collapsed="false">
      <c r="B13" s="27" t="s">
        <v>70</v>
      </c>
      <c r="C13" s="28" t="s">
        <v>500</v>
      </c>
      <c r="D13" s="28"/>
    </row>
    <row r="14" customFormat="false" ht="19.5" hidden="false" customHeight="true" outlineLevel="0" collapsed="false">
      <c r="B14" s="97" t="s">
        <v>94</v>
      </c>
      <c r="C14" s="98" t="s">
        <v>501</v>
      </c>
      <c r="D14" s="98"/>
    </row>
    <row r="15" customFormat="false" ht="19.5" hidden="false" customHeight="true" outlineLevel="0" collapsed="false">
      <c r="B15" s="27" t="s">
        <v>502</v>
      </c>
      <c r="C15" s="28" t="s">
        <v>503</v>
      </c>
      <c r="D15" s="28"/>
    </row>
    <row r="16" customFormat="false" ht="19.5" hidden="false" customHeight="true" outlineLevel="0" collapsed="false">
      <c r="B16" s="97" t="s">
        <v>504</v>
      </c>
      <c r="C16" s="98" t="s">
        <v>505</v>
      </c>
      <c r="D16" s="98"/>
    </row>
    <row r="17" customFormat="false" ht="19.5" hidden="false" customHeight="true" outlineLevel="0" collapsed="false">
      <c r="B17" s="27" t="s">
        <v>506</v>
      </c>
      <c r="C17" s="28" t="s">
        <v>507</v>
      </c>
      <c r="D17" s="28"/>
    </row>
    <row r="19" customFormat="false" ht="27.75" hidden="false" customHeight="true" outlineLevel="0" collapsed="false">
      <c r="B19" s="4" t="s">
        <v>508</v>
      </c>
      <c r="C19" s="4"/>
      <c r="D19" s="4"/>
    </row>
    <row r="20" customFormat="false" ht="21.75" hidden="false" customHeight="true" outlineLevel="0" collapsed="false">
      <c r="B20" s="75" t="s">
        <v>489</v>
      </c>
      <c r="C20" s="75" t="s">
        <v>490</v>
      </c>
      <c r="D20" s="75"/>
    </row>
    <row r="21" customFormat="false" ht="19.5" hidden="false" customHeight="true" outlineLevel="0" collapsed="false">
      <c r="B21" s="27" t="s">
        <v>509</v>
      </c>
      <c r="C21" s="28" t="s">
        <v>510</v>
      </c>
      <c r="D21" s="28"/>
    </row>
    <row r="22" customFormat="false" ht="19.5" hidden="false" customHeight="true" outlineLevel="0" collapsed="false">
      <c r="B22" s="97" t="s">
        <v>511</v>
      </c>
      <c r="C22" s="98" t="s">
        <v>512</v>
      </c>
      <c r="D22" s="98"/>
    </row>
    <row r="23" customFormat="false" ht="19.5" hidden="false" customHeight="true" outlineLevel="0" collapsed="false">
      <c r="B23" s="27" t="s">
        <v>513</v>
      </c>
      <c r="C23" s="28" t="s">
        <v>514</v>
      </c>
      <c r="D23" s="28"/>
    </row>
    <row r="24" customFormat="false" ht="19.5" hidden="false" customHeight="true" outlineLevel="0" collapsed="false">
      <c r="B24" s="97" t="s">
        <v>515</v>
      </c>
      <c r="C24" s="98" t="s">
        <v>516</v>
      </c>
      <c r="D24" s="98"/>
    </row>
    <row r="26" customFormat="false" ht="27.75" hidden="false" customHeight="true" outlineLevel="0" collapsed="false">
      <c r="B26" s="4" t="s">
        <v>517</v>
      </c>
      <c r="C26" s="4"/>
      <c r="D26" s="4"/>
    </row>
    <row r="27" customFormat="false" ht="21.75" hidden="false" customHeight="true" outlineLevel="0" collapsed="false">
      <c r="B27" s="75" t="s">
        <v>489</v>
      </c>
      <c r="C27" s="75" t="s">
        <v>490</v>
      </c>
      <c r="D27" s="75"/>
    </row>
    <row r="28" customFormat="false" ht="19.5" hidden="false" customHeight="true" outlineLevel="0" collapsed="false">
      <c r="B28" s="27" t="s">
        <v>70</v>
      </c>
      <c r="C28" s="28" t="s">
        <v>518</v>
      </c>
      <c r="D28" s="28"/>
    </row>
    <row r="29" customFormat="false" ht="19.5" hidden="false" customHeight="true" outlineLevel="0" collapsed="false">
      <c r="B29" s="97" t="s">
        <v>519</v>
      </c>
      <c r="C29" s="98" t="s">
        <v>520</v>
      </c>
      <c r="D29" s="98"/>
    </row>
    <row r="30" customFormat="false" ht="19.5" hidden="false" customHeight="true" outlineLevel="0" collapsed="false">
      <c r="B30" s="27" t="s">
        <v>521</v>
      </c>
      <c r="C30" s="28" t="s">
        <v>522</v>
      </c>
      <c r="D30" s="28"/>
    </row>
    <row r="31" customFormat="false" ht="19.5" hidden="false" customHeight="true" outlineLevel="0" collapsed="false">
      <c r="B31" s="97" t="s">
        <v>523</v>
      </c>
      <c r="C31" s="98" t="s">
        <v>524</v>
      </c>
      <c r="D31" s="98"/>
    </row>
    <row r="32" customFormat="false" ht="19.5" hidden="false" customHeight="true" outlineLevel="0" collapsed="false">
      <c r="B32" s="27" t="s">
        <v>525</v>
      </c>
      <c r="C32" s="28" t="s">
        <v>526</v>
      </c>
      <c r="D32" s="28"/>
    </row>
    <row r="33" customFormat="false" ht="19.5" hidden="false" customHeight="true" outlineLevel="0" collapsed="false">
      <c r="B33" s="97" t="s">
        <v>265</v>
      </c>
      <c r="C33" s="98" t="s">
        <v>527</v>
      </c>
      <c r="D33" s="98"/>
    </row>
    <row r="35" customFormat="false" ht="27.75" hidden="false" customHeight="true" outlineLevel="0" collapsed="false">
      <c r="B35" s="4" t="s">
        <v>528</v>
      </c>
      <c r="C35" s="4"/>
      <c r="D35" s="4"/>
    </row>
    <row r="36" customFormat="false" ht="21.75" hidden="false" customHeight="true" outlineLevel="0" collapsed="false">
      <c r="B36" s="75" t="s">
        <v>489</v>
      </c>
      <c r="C36" s="75" t="s">
        <v>490</v>
      </c>
      <c r="D36" s="75"/>
    </row>
    <row r="37" customFormat="false" ht="19.5" hidden="false" customHeight="true" outlineLevel="0" collapsed="false">
      <c r="B37" s="27" t="s">
        <v>529</v>
      </c>
      <c r="C37" s="28" t="s">
        <v>530</v>
      </c>
      <c r="D37" s="28"/>
    </row>
    <row r="38" customFormat="false" ht="19.5" hidden="false" customHeight="true" outlineLevel="0" collapsed="false">
      <c r="B38" s="97" t="s">
        <v>531</v>
      </c>
      <c r="C38" s="98" t="s">
        <v>532</v>
      </c>
      <c r="D38" s="98"/>
    </row>
    <row r="39" customFormat="false" ht="19.5" hidden="false" customHeight="true" outlineLevel="0" collapsed="false">
      <c r="B39" s="27" t="s">
        <v>533</v>
      </c>
      <c r="C39" s="28" t="s">
        <v>534</v>
      </c>
      <c r="D39" s="28"/>
    </row>
    <row r="40" customFormat="false" ht="19.5" hidden="false" customHeight="true" outlineLevel="0" collapsed="false">
      <c r="B40" s="97" t="s">
        <v>535</v>
      </c>
      <c r="C40" s="98" t="s">
        <v>536</v>
      </c>
      <c r="D40" s="98"/>
    </row>
    <row r="41" customFormat="false" ht="19.5" hidden="false" customHeight="true" outlineLevel="0" collapsed="false">
      <c r="B41" s="27" t="s">
        <v>537</v>
      </c>
      <c r="C41" s="28" t="s">
        <v>538</v>
      </c>
      <c r="D41" s="28"/>
    </row>
    <row r="43" customFormat="false" ht="27.75" hidden="false" customHeight="true" outlineLevel="0" collapsed="false">
      <c r="B43" s="4" t="s">
        <v>539</v>
      </c>
      <c r="C43" s="4"/>
      <c r="D43" s="4"/>
    </row>
    <row r="44" customFormat="false" ht="21.75" hidden="false" customHeight="true" outlineLevel="0" collapsed="false">
      <c r="B44" s="75" t="s">
        <v>489</v>
      </c>
      <c r="C44" s="75" t="s">
        <v>490</v>
      </c>
      <c r="D44" s="75"/>
    </row>
    <row r="45" customFormat="false" ht="19.5" hidden="false" customHeight="true" outlineLevel="0" collapsed="false">
      <c r="B45" s="27" t="s">
        <v>540</v>
      </c>
      <c r="C45" s="28" t="s">
        <v>541</v>
      </c>
      <c r="D45" s="28"/>
    </row>
    <row r="46" customFormat="false" ht="19.5" hidden="false" customHeight="true" outlineLevel="0" collapsed="false">
      <c r="B46" s="97" t="s">
        <v>94</v>
      </c>
      <c r="C46" s="98" t="s">
        <v>542</v>
      </c>
      <c r="D46" s="98"/>
    </row>
    <row r="47" customFormat="false" ht="19.5" hidden="false" customHeight="true" outlineLevel="0" collapsed="false">
      <c r="B47" s="27" t="s">
        <v>543</v>
      </c>
      <c r="C47" s="28" t="s">
        <v>544</v>
      </c>
      <c r="D47" s="28"/>
    </row>
    <row r="48" customFormat="false" ht="19.5" hidden="false" customHeight="true" outlineLevel="0" collapsed="false">
      <c r="B48" s="97" t="s">
        <v>545</v>
      </c>
      <c r="C48" s="98" t="s">
        <v>546</v>
      </c>
      <c r="D48" s="98"/>
    </row>
  </sheetData>
  <mergeCells count="41">
    <mergeCell ref="B2:D2"/>
    <mergeCell ref="B4:D4"/>
    <mergeCell ref="C5:D5"/>
    <mergeCell ref="C6:D6"/>
    <mergeCell ref="C7:D7"/>
    <mergeCell ref="C8:D8"/>
    <mergeCell ref="C9:D9"/>
    <mergeCell ref="B11:D11"/>
    <mergeCell ref="C12:D12"/>
    <mergeCell ref="C13:D13"/>
    <mergeCell ref="C14:D14"/>
    <mergeCell ref="C15:D15"/>
    <mergeCell ref="C16:D16"/>
    <mergeCell ref="C17:D17"/>
    <mergeCell ref="B19:D19"/>
    <mergeCell ref="C20:D20"/>
    <mergeCell ref="C21:D21"/>
    <mergeCell ref="C22:D22"/>
    <mergeCell ref="C23:D23"/>
    <mergeCell ref="C24:D24"/>
    <mergeCell ref="B26:D26"/>
    <mergeCell ref="C27:D27"/>
    <mergeCell ref="C28:D28"/>
    <mergeCell ref="C29:D29"/>
    <mergeCell ref="C30:D30"/>
    <mergeCell ref="C31:D31"/>
    <mergeCell ref="C32:D32"/>
    <mergeCell ref="C33:D33"/>
    <mergeCell ref="B35:D35"/>
    <mergeCell ref="C36:D36"/>
    <mergeCell ref="C37:D37"/>
    <mergeCell ref="C38:D38"/>
    <mergeCell ref="C39:D39"/>
    <mergeCell ref="C40:D40"/>
    <mergeCell ref="C41:D41"/>
    <mergeCell ref="B43:D43"/>
    <mergeCell ref="C44:D44"/>
    <mergeCell ref="C45:D45"/>
    <mergeCell ref="C46:D46"/>
    <mergeCell ref="C47:D47"/>
    <mergeCell ref="C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2026-03-25T11:45:54Z</dcterms:created>
  <dc:creator>openpyxl</dc:creator>
  <dc:description/>
  <dc:language>en-US</dc:language>
  <cp:lastModifiedBy/>
  <dcterms:modified xsi:type="dcterms:W3CDTF">2026-03-25T14:34:20Z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