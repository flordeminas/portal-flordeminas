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🌱 Configuração" sheetId="1" state="visible" r:id="rId3"/>
    <sheet name="💊 Adubação" sheetId="2" state="visible" r:id="rId4"/>
    <sheet name="📅 Cronograma" sheetId="3" state="visible" r:id="rId5"/>
    <sheet name="🐛 MIP — Pragas" sheetId="4" state="visible" r:id="rId6"/>
    <sheet name="📊 Diário" sheetId="5" state="visible" r:id="rId7"/>
    <sheet name="📖 Guia Rápid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<sst xmlns="http://schemas.openxmlformats.org/spreadsheetml/2006/main" count="1655" uniqueCount="426">
  <si>
    <t xml:space="preserve">🌿  PLANILHA MESTRA DE CULTIVO  —  Cannabis Medicinal Indoor  v3</t>
  </si>
  <si>
    <t xml:space="preserve">Configure abaixo. Toda a planilha se recalcula automaticamente.</t>
  </si>
  <si>
    <t xml:space="preserve">⚙️  CONFIGURAÇÕES GERAIS</t>
  </si>
  <si>
    <t xml:space="preserve">📅 Data Dia 1 (Clone)</t>
  </si>
  <si>
    <t xml:space="preserve">🌱 Semanas de Clone</t>
  </si>
  <si>
    <t xml:space="preserve">← semanas</t>
  </si>
  <si>
    <t xml:space="preserve">🌿 Strain / Cultivar</t>
  </si>
  <si>
    <t xml:space="preserve">Ex: OG Kush</t>
  </si>
  <si>
    <t xml:space="preserve">🌿 Semanas de Vegetativo</t>
  </si>
  <si>
    <t xml:space="preserve">💡 Ambiente</t>
  </si>
  <si>
    <t xml:space="preserve">Indoor LED</t>
  </si>
  <si>
    <t xml:space="preserve">🌸 Semanas de Floração</t>
  </si>
  <si>
    <t xml:space="preserve">📐 Área (m²)</t>
  </si>
  <si>
    <t xml:space="preserve">1.2</t>
  </si>
  <si>
    <t xml:space="preserve">🚿 Semanas de Flush</t>
  </si>
  <si>
    <t xml:space="preserve">🪴 Nº de Plantas</t>
  </si>
  <si>
    <t xml:space="preserve">4</t>
  </si>
  <si>
    <t xml:space="preserve">💊  PROTOCOLO DE NUTRIÇÃO  —  Escolha sua linha de produtos</t>
  </si>
  <si>
    <t xml:space="preserve">🧪 Linha de Adubação</t>
  </si>
  <si>
    <t xml:space="preserve">BioBizz</t>
  </si>
  <si>
    <t xml:space="preserve">← Escolha no dropdown</t>
  </si>
  <si>
    <t xml:space="preserve">Orgânico certificado (Holanda). Solo. Produtos: Bio·Grow, Bio·Bloom, Top·Max, Fish·Mix, Root Juice, Alg·A·Mic. pH: 6.2–6.5</t>
  </si>
  <si>
    <t xml:space="preserve">Remo Nutrients</t>
  </si>
  <si>
    <t xml:space="preserve">Mineral/orgânico (Canadá). Solo, coco, hidro. Produtos: Micro, Grow, Bloom, Magnifical, Astroflower, Kelp, Roots. pH: 5.8–6.3</t>
  </si>
  <si>
    <t xml:space="preserve">General Organics</t>
  </si>
  <si>
    <t xml:space="preserve">GO Box da GH (EUA). Solo orgânico. Produtos: BioThrive Grow/Bloom, BioRoot, BioBud, BioWeed, CaMg+, BioMarine. pH: auto</t>
  </si>
  <si>
    <t xml:space="preserve">SuperSoil</t>
  </si>
  <si>
    <t xml:space="preserve">Solo vivo preparado. Coberturas secas: farinha de osso, torta de mamona, guano de morcego, farinha de alga, cinzas. pH: auto</t>
  </si>
  <si>
    <t xml:space="preserve">Genérico</t>
  </si>
  <si>
    <t xml:space="preserve">Campos em branco para você preencher com seus próprios produtos e doses. Totalmente personalizável.</t>
  </si>
  <si>
    <t xml:space="preserve">📆  CALENDÁRIO DE FASES  (automático)</t>
  </si>
  <si>
    <t xml:space="preserve">Fase</t>
  </si>
  <si>
    <t xml:space="preserve">Semanas</t>
  </si>
  <si>
    <t xml:space="preserve">Início</t>
  </si>
  <si>
    <t xml:space="preserve">Fim</t>
  </si>
  <si>
    <t xml:space="preserve">Total dias</t>
  </si>
  <si>
    <t xml:space="preserve">🌱 CLONE</t>
  </si>
  <si>
    <t xml:space="preserve">🌿 VEGETATIVO</t>
  </si>
  <si>
    <t xml:space="preserve">🌸 FLORAÇÃO</t>
  </si>
  <si>
    <t xml:space="preserve">🚿 FLUSH</t>
  </si>
  <si>
    <t xml:space="preserve">✂️ COLHEITA</t>
  </si>
  <si>
    <t xml:space="preserve">"—"</t>
  </si>
  <si>
    <t xml:space="preserve">"1 dia"</t>
  </si>
  <si>
    <t xml:space="preserve">💊  PROTOCOLO DE ADUBAÇÃO  —  Personalizado conforme linha escolhida na Configuração</t>
  </si>
  <si>
    <t xml:space="preserve">Protocolo ativo: veja célula H12 na aba Configuração  |  Altere lá para mudar todos os produtos e doses</t>
  </si>
  <si>
    <t xml:space="preserve">Semana</t>
  </si>
  <si>
    <t xml:space="preserve">Data início</t>
  </si>
  <si>
    <t xml:space="preserve">Produto 1</t>
  </si>
  <si>
    <t xml:space="preserve">Dose 1</t>
  </si>
  <si>
    <t xml:space="preserve">Produto 2</t>
  </si>
  <si>
    <t xml:space="preserve">Dose 2</t>
  </si>
  <si>
    <t xml:space="preserve">Produto 3</t>
  </si>
  <si>
    <t xml:space="preserve">Dose 3</t>
  </si>
  <si>
    <t xml:space="preserve">Suplemento</t>
  </si>
  <si>
    <t xml:space="preserve">pH alvo</t>
  </si>
  <si>
    <t xml:space="preserve">EC alvo</t>
  </si>
  <si>
    <t xml:space="preserve">Observação</t>
  </si>
  <si>
    <t xml:space="preserve">💡  Altere o Protocolo de Nutrição na aba 🌱 Configuração para mudar todos os produtos e doses automaticamente</t>
  </si>
  <si>
    <t xml:space="preserve">Root Juice</t>
  </si>
  <si>
    <t xml:space="preserve">0.3 mL/L</t>
  </si>
  <si>
    <t xml:space="preserve">—</t>
  </si>
  <si>
    <t xml:space="preserve">6.2–6.5</t>
  </si>
  <si>
    <t xml:space="preserve">baixo</t>
  </si>
  <si>
    <t xml:space="preserve">Solo úmido — estimular raízes</t>
  </si>
  <si>
    <t xml:space="preserve">Alg·A·Mic</t>
  </si>
  <si>
    <t xml:space="preserve">0.5 mL/L</t>
  </si>
  <si>
    <t xml:space="preserve">Alg·A·Mic recupera e fortalece</t>
  </si>
  <si>
    <t xml:space="preserve">Bio·Grow</t>
  </si>
  <si>
    <t xml:space="preserve">Início suave de N antes da vega</t>
  </si>
  <si>
    <t xml:space="preserve">1 mL/L</t>
  </si>
  <si>
    <t xml:space="preserve">Pronto para vegetativo</t>
  </si>
  <si>
    <t xml:space="preserve">Fish·Mix</t>
  </si>
  <si>
    <t xml:space="preserve">Alg·A·Mic 1mL</t>
  </si>
  <si>
    <t xml:space="preserve">0.8</t>
  </si>
  <si>
    <t xml:space="preserve">Fish·Mix em veg = mais N orgânico</t>
  </si>
  <si>
    <t xml:space="preserve">2 mL/L</t>
  </si>
  <si>
    <t xml:space="preserve">1.0</t>
  </si>
  <si>
    <t xml:space="preserve">Aumentar progressivamente</t>
  </si>
  <si>
    <t xml:space="preserve">Foliar: Fish·Mix + Alg·A·Mic 1mL/L</t>
  </si>
  <si>
    <t xml:space="preserve">3 mL/L</t>
  </si>
  <si>
    <t xml:space="preserve">1.4</t>
  </si>
  <si>
    <t xml:space="preserve">LST / estrutura vegetativa</t>
  </si>
  <si>
    <t xml:space="preserve">4 mL/L</t>
  </si>
  <si>
    <t xml:space="preserve">1.5</t>
  </si>
  <si>
    <t xml:space="preserve">Pré-floração — reduzir Fish·Mix</t>
  </si>
  <si>
    <t xml:space="preserve">Substituir Fish·Mix por Bio·Grow antes da flora</t>
  </si>
  <si>
    <t xml:space="preserve">Bio·Bloom</t>
  </si>
  <si>
    <t xml:space="preserve">Semana de transição — introduzir Bloom</t>
  </si>
  <si>
    <t xml:space="preserve">Semana extra de vega</t>
  </si>
  <si>
    <t xml:space="preserve">Top·Max</t>
  </si>
  <si>
    <t xml:space="preserve">1.6</t>
  </si>
  <si>
    <t xml:space="preserve">Manter Bio·Grow em S1–S3 flora</t>
  </si>
  <si>
    <t xml:space="preserve">1.7</t>
  </si>
  <si>
    <t xml:space="preserve">Formação de pistils</t>
  </si>
  <si>
    <t xml:space="preserve">1.8</t>
  </si>
  <si>
    <t xml:space="preserve">Início do enchimento</t>
  </si>
  <si>
    <t xml:space="preserve">1.9</t>
  </si>
  <si>
    <t xml:space="preserve">Parar Bio·Grow — fase de flora plena</t>
  </si>
  <si>
    <t xml:space="preserve">2.0</t>
  </si>
  <si>
    <t xml:space="preserve">Pico de floração</t>
  </si>
  <si>
    <t xml:space="preserve">Enchimento máximo</t>
  </si>
  <si>
    <t xml:space="preserve">Amadurecimento — manter bloom alto</t>
  </si>
  <si>
    <t xml:space="preserve">Pré-flush — analisar tricomas</t>
  </si>
  <si>
    <t xml:space="preserve">Semana extra (sativa)</t>
  </si>
  <si>
    <t xml:space="preserve">Reduzir — semana final</t>
  </si>
  <si>
    <t xml:space="preserve">Último adubo antes flush</t>
  </si>
  <si>
    <t xml:space="preserve">Água pura</t>
  </si>
  <si>
    <t xml:space="preserve">Enzimas 1mL</t>
  </si>
  <si>
    <t xml:space="preserve">6.2</t>
  </si>
  <si>
    <t xml:space="preserve">&lt; 0.3</t>
  </si>
  <si>
    <t xml:space="preserve">Lavar substrato — analisar tricomas</t>
  </si>
  <si>
    <t xml:space="preserve">&lt; 0.2</t>
  </si>
  <si>
    <t xml:space="preserve">Tricomas âmbar? Colheita próxima</t>
  </si>
  <si>
    <t xml:space="preserve">Remo Roots</t>
  </si>
  <si>
    <t xml:space="preserve">Magnifical</t>
  </si>
  <si>
    <t xml:space="preserve">5.8–6.0</t>
  </si>
  <si>
    <t xml:space="preserve">Roots = estimulador de raízes Remo</t>
  </si>
  <si>
    <t xml:space="preserve">Magnifical = CalMag Remo</t>
  </si>
  <si>
    <t xml:space="preserve">Micro</t>
  </si>
  <si>
    <t xml:space="preserve">Grow</t>
  </si>
  <si>
    <t xml:space="preserve">5.8–6.2</t>
  </si>
  <si>
    <t xml:space="preserve">0.4</t>
  </si>
  <si>
    <t xml:space="preserve">Introduzir base suave antes da vega</t>
  </si>
  <si>
    <t xml:space="preserve">0.6</t>
  </si>
  <si>
    <t xml:space="preserve">Pronto para vega — confirmar raízes</t>
  </si>
  <si>
    <t xml:space="preserve">1.3 mL/L</t>
  </si>
  <si>
    <t xml:space="preserve">Magnifical 0.5</t>
  </si>
  <si>
    <t xml:space="preserve">6.0–6.3</t>
  </si>
  <si>
    <t xml:space="preserve">Micro+Grow = base Remo para vega</t>
  </si>
  <si>
    <t xml:space="preserve">1.5 mL/L</t>
  </si>
  <si>
    <t xml:space="preserve">Aumentar conforme tabela oficial</t>
  </si>
  <si>
    <t xml:space="preserve">1.8 mL/L</t>
  </si>
  <si>
    <t xml:space="preserve">Magnifical 1.0</t>
  </si>
  <si>
    <t xml:space="preserve">Semana 3 da tabela Remo</t>
  </si>
  <si>
    <t xml:space="preserve">2.1 mL/L</t>
  </si>
  <si>
    <t xml:space="preserve">Semana 4 da tabela Remo — pico vega</t>
  </si>
  <si>
    <t xml:space="preserve">Manter se continuar vega</t>
  </si>
  <si>
    <t xml:space="preserve">Bloom</t>
  </si>
  <si>
    <t xml:space="preserve">1.0 mL/L</t>
  </si>
  <si>
    <t xml:space="preserve">Introduzir Bloom — transição</t>
  </si>
  <si>
    <t xml:space="preserve">Reduzir Grow, aumentar Bloom</t>
  </si>
  <si>
    <t xml:space="preserve">Apenas Micro+Bloom em floração Remo</t>
  </si>
  <si>
    <t xml:space="preserve">Sem Grow a partir daqui</t>
  </si>
  <si>
    <t xml:space="preserve">Tabela oficial: 2.1 mL/L S1–S4</t>
  </si>
  <si>
    <t xml:space="preserve">Astroflower</t>
  </si>
  <si>
    <t xml:space="preserve">Astroflower = estimulante floração</t>
  </si>
  <si>
    <t xml:space="preserve">2.6 mL/L</t>
  </si>
  <si>
    <t xml:space="preserve">2.0 mL/L</t>
  </si>
  <si>
    <t xml:space="preserve">Kelp 1.0 mL</t>
  </si>
  <si>
    <t xml:space="preserve">Tabela oficial: 2.6 mL/L S5–S7</t>
  </si>
  <si>
    <t xml:space="preserve">Pico de floração Remo</t>
  </si>
  <si>
    <t xml:space="preserve">Tabela oficial S7</t>
  </si>
  <si>
    <t xml:space="preserve">Semana extra — sativa</t>
  </si>
  <si>
    <t xml:space="preserve">Semana extra</t>
  </si>
  <si>
    <t xml:space="preserve">Reduzir para flush</t>
  </si>
  <si>
    <t xml:space="preserve">Último adubo</t>
  </si>
  <si>
    <t xml:space="preserve">Flush Remo — 1 semana padrão</t>
  </si>
  <si>
    <t xml:space="preserve">Analisar tricomas — colheita?</t>
  </si>
  <si>
    <t xml:space="preserve">BioRoot</t>
  </si>
  <si>
    <t xml:space="preserve">CaMg+</t>
  </si>
  <si>
    <t xml:space="preserve">6.2–7.0</t>
  </si>
  <si>
    <t xml:space="preserve">GO não precisa ajustar pH em solo</t>
  </si>
  <si>
    <t xml:space="preserve">BioWeed</t>
  </si>
  <si>
    <t xml:space="preserve">0.7 mL/L</t>
  </si>
  <si>
    <t xml:space="preserve">BioWeed = extrato de algas GO</t>
  </si>
  <si>
    <t xml:space="preserve">BioThrive G</t>
  </si>
  <si>
    <t xml:space="preserve">Introduzir BioThrive Grow suave</t>
  </si>
  <si>
    <t xml:space="preserve">Pronto para vega</t>
  </si>
  <si>
    <t xml:space="preserve">BioWeed 0.7</t>
  </si>
  <si>
    <t xml:space="preserve">N/A</t>
  </si>
  <si>
    <t xml:space="preserve">GO não requer EC — pH auto-regula</t>
  </si>
  <si>
    <t xml:space="preserve">Sem necessidade de ajuste pH em solo</t>
  </si>
  <si>
    <t xml:space="preserve">Semana 3 veg GO</t>
  </si>
  <si>
    <t xml:space="preserve">Reduzir BioRoot gradualmente</t>
  </si>
  <si>
    <t xml:space="preserve">Manter Grow puro na vega</t>
  </si>
  <si>
    <t xml:space="preserve">BioThrive B</t>
  </si>
  <si>
    <t xml:space="preserve">Semana transição — introduzir Bloom</t>
  </si>
  <si>
    <t xml:space="preserve">Transição flora — reduzir Grow</t>
  </si>
  <si>
    <t xml:space="preserve">Semana extra de vega GO</t>
  </si>
  <si>
    <t xml:space="preserve">BioBud</t>
  </si>
  <si>
    <t xml:space="preserve">BioBud = estimulante flores GO</t>
  </si>
  <si>
    <t xml:space="preserve">Early Flower GO</t>
  </si>
  <si>
    <t xml:space="preserve">Mid Flower GO</t>
  </si>
  <si>
    <t xml:space="preserve">BioMarine 0.7</t>
  </si>
  <si>
    <t xml:space="preserve">BioMarine = peixe fermentado GO</t>
  </si>
  <si>
    <t xml:space="preserve">Pico floração GO</t>
  </si>
  <si>
    <t xml:space="preserve">Late Flower GO</t>
  </si>
  <si>
    <t xml:space="preserve">Reduzir CaMg+ final</t>
  </si>
  <si>
    <t xml:space="preserve">Late Flower GO — pré-flush</t>
  </si>
  <si>
    <t xml:space="preserve">Semana extra — reduzir dose</t>
  </si>
  <si>
    <t xml:space="preserve">Semana extra GO (sativa)</t>
  </si>
  <si>
    <t xml:space="preserve">Semana extra GO</t>
  </si>
  <si>
    <t xml:space="preserve">Último adubo GO</t>
  </si>
  <si>
    <t xml:space="preserve">GO: ripen/rinse — 1 semana</t>
  </si>
  <si>
    <t xml:space="preserve">Analisar tricomas</t>
  </si>
  <si>
    <t xml:space="preserve">Chá de compostagem</t>
  </si>
  <si>
    <t xml:space="preserve">1–2L/planta</t>
  </si>
  <si>
    <t xml:space="preserve">Biorrizas</t>
  </si>
  <si>
    <t xml:space="preserve">auto</t>
  </si>
  <si>
    <t xml:space="preserve">Solo vivo — sem adubação química</t>
  </si>
  <si>
    <t xml:space="preserve">Manter solo úmido e vivo</t>
  </si>
  <si>
    <t xml:space="preserve">Cobertura: farinha de alga</t>
  </si>
  <si>
    <t xml:space="preserve">5g/L solo</t>
  </si>
  <si>
    <t xml:space="preserve">Farinha de alga = fósforo e K suave</t>
  </si>
  <si>
    <t xml:space="preserve">Molasses 2 mL/L</t>
  </si>
  <si>
    <t xml:space="preserve">Mel de cana alimenta microbioma</t>
  </si>
  <si>
    <t xml:space="preserve">2L/planta</t>
  </si>
  <si>
    <t xml:space="preserve">Vermicomposto</t>
  </si>
  <si>
    <t xml:space="preserve">SuperSoil já contém todos os nutrientes</t>
  </si>
  <si>
    <t xml:space="preserve">Cobertura: torta de mamona</t>
  </si>
  <si>
    <t xml:space="preserve">10g/vaso</t>
  </si>
  <si>
    <t xml:space="preserve">Cobertura: farinha de osso</t>
  </si>
  <si>
    <t xml:space="preserve">Torta de mamona = N lento | Osso = P</t>
  </si>
  <si>
    <t xml:space="preserve">Mel de cana alimenta fungos e bactérias</t>
  </si>
  <si>
    <t xml:space="preserve">Observar vigor — solo vivo trabalha</t>
  </si>
  <si>
    <t xml:space="preserve">Cobertura: cinzas de madeira</t>
  </si>
  <si>
    <t xml:space="preserve">3g/L</t>
  </si>
  <si>
    <t xml:space="preserve">Alga = micro. | Cinzas = K e Ca</t>
  </si>
  <si>
    <t xml:space="preserve">Microrganismos</t>
  </si>
  <si>
    <t xml:space="preserve">Pré-flora — ativar P e K no solo</t>
  </si>
  <si>
    <t xml:space="preserve">Cobertura: guano de morcego</t>
  </si>
  <si>
    <t xml:space="preserve">5g/L</t>
  </si>
  <si>
    <t xml:space="preserve">Guano P alto = preparo para flora</t>
  </si>
  <si>
    <t xml:space="preserve">Semana extra de vega SuperSoil</t>
  </si>
  <si>
    <t xml:space="preserve">Chá</t>
  </si>
  <si>
    <t xml:space="preserve">Guano P alto = floração forte</t>
  </si>
  <si>
    <t xml:space="preserve">Solo vivo em pico — não interferir</t>
  </si>
  <si>
    <t xml:space="preserve">Molasses 2mL</t>
  </si>
  <si>
    <t xml:space="preserve">Alga = K e micronutrientes florais</t>
  </si>
  <si>
    <t xml:space="preserve">Cobertura: fosfato natural</t>
  </si>
  <si>
    <t xml:space="preserve">Fósforo natural = buds densos</t>
  </si>
  <si>
    <t xml:space="preserve">Alimentar microbioma — enchimento</t>
  </si>
  <si>
    <t xml:space="preserve">Semana de pico — micro + K</t>
  </si>
  <si>
    <t xml:space="preserve">Reduzir intervenções — amadurecimento</t>
  </si>
  <si>
    <t xml:space="preserve">Pré-flush SuperSoil</t>
  </si>
  <si>
    <t xml:space="preserve">Parar coberturas — lavar suave</t>
  </si>
  <si>
    <t xml:space="preserve">Última semana — observar tricomas</t>
  </si>
  <si>
    <t xml:space="preserve">SuperSoil: flush mais curto — solo limpo</t>
  </si>
  <si>
    <t xml:space="preserve">Analisar tricomas — colheita próxima</t>
  </si>
  <si>
    <t xml:space="preserve">← Preencha</t>
  </si>
  <si>
    <t xml:space="preserve">Personalize suas doses</t>
  </si>
  <si>
    <t xml:space="preserve">📅  CRONOGRAMA COMPLETO DO CULTIVO  —  Dinâmico por Semanas</t>
  </si>
  <si>
    <t xml:space="preserve">Calculado automaticamente. Mostra apenas os dias do seu cultivo configurado.</t>
  </si>
  <si>
    <t xml:space="preserve">Dia</t>
  </si>
  <si>
    <t xml:space="preserve">Data</t>
  </si>
  <si>
    <t xml:space="preserve">Ação / Marco</t>
  </si>
  <si>
    <t xml:space="preserve">Observação / Alerta</t>
  </si>
  <si>
    <t xml:space="preserve">🐛  MIP — CONTROLE INTEGRADO DE PRAGAS  (Preventivo)</t>
  </si>
  <si>
    <t xml:space="preserve">Datas calculadas automaticamente. Sem foliar em floração avançada (&gt; S3).</t>
  </si>
  <si>
    <t xml:space="preserve">🛡️  PRODUTOS</t>
  </si>
  <si>
    <t xml:space="preserve">Produto</t>
  </si>
  <si>
    <t xml:space="preserve">Dose</t>
  </si>
  <si>
    <t xml:space="preserve">Aplicação</t>
  </si>
  <si>
    <t xml:space="preserve">Alvo</t>
  </si>
  <si>
    <t xml:space="preserve">Freq.</t>
  </si>
  <si>
    <t xml:space="preserve">🌿 Óleo de Nim</t>
  </si>
  <si>
    <t xml:space="preserve">2–3 mL/L</t>
  </si>
  <si>
    <t xml:space="preserve">Foliar (clone/vega) | Solo (flora)</t>
  </si>
  <si>
    <t xml:space="preserve">Acaricida, inseticida, fungicida</t>
  </si>
  <si>
    <t xml:space="preserve">A cada 7 dias</t>
  </si>
  <si>
    <t xml:space="preserve">⚠️ NÃO foliar em flora &gt; S3</t>
  </si>
  <si>
    <t xml:space="preserve">🍄 Beauveria bassiana</t>
  </si>
  <si>
    <t xml:space="preserve">5–10 g/L</t>
  </si>
  <si>
    <t xml:space="preserve">Foliar e solo</t>
  </si>
  <si>
    <t xml:space="preserve">Tripes, mosca branca</t>
  </si>
  <si>
    <t xml:space="preserve">A cada 14 dias</t>
  </si>
  <si>
    <t xml:space="preserve">Refrigerar após abrir</t>
  </si>
  <si>
    <t xml:space="preserve">🦠 Trichoderma</t>
  </si>
  <si>
    <t xml:space="preserve">2–5 g/L</t>
  </si>
  <si>
    <t xml:space="preserve">Solo / substrato</t>
  </si>
  <si>
    <t xml:space="preserve">Fungos solo, Pythium</t>
  </si>
  <si>
    <t xml:space="preserve">A cada 21 dias</t>
  </si>
  <si>
    <t xml:space="preserve">Aplicar ao regar</t>
  </si>
  <si>
    <t xml:space="preserve">🌱 Extrato de Alho</t>
  </si>
  <si>
    <t xml:space="preserve">Foliar</t>
  </si>
  <si>
    <t xml:space="preserve">Repelente geral</t>
  </si>
  <si>
    <t xml:space="preserve">A cada 10 dias</t>
  </si>
  <si>
    <t xml:space="preserve">Combina com Nim</t>
  </si>
  <si>
    <t xml:space="preserve">🐞 B. thuringiensis</t>
  </si>
  <si>
    <t xml:space="preserve">5 mL/L</t>
  </si>
  <si>
    <t xml:space="preserve">Lagartas</t>
  </si>
  <si>
    <t xml:space="preserve">Quando necessário</t>
  </si>
  <si>
    <t xml:space="preserve">Bioinseticida</t>
  </si>
  <si>
    <t xml:space="preserve">🟡 Calda Sulfocálcica</t>
  </si>
  <si>
    <t xml:space="preserve">1–3%</t>
  </si>
  <si>
    <t xml:space="preserve">Foliar (clone/vega)</t>
  </si>
  <si>
    <t xml:space="preserve">Ácaros, oídio</t>
  </si>
  <si>
    <t xml:space="preserve">A cada 14–21 dias</t>
  </si>
  <si>
    <t xml:space="preserve">⚠️ Não misturar com Nim</t>
  </si>
  <si>
    <t xml:space="preserve">🔵 Calda Bordalesa</t>
  </si>
  <si>
    <t xml:space="preserve">0.5–1%</t>
  </si>
  <si>
    <t xml:space="preserve">Foliar até Flora S2</t>
  </si>
  <si>
    <t xml:space="preserve">Fungos, Botrytis</t>
  </si>
  <si>
    <t xml:space="preserve">A cada 15–21 dias</t>
  </si>
  <si>
    <t xml:space="preserve">⚠️ NÃO em flora avançada</t>
  </si>
  <si>
    <t xml:space="preserve">📅  CALENDÁRIO DE APLICAÇÕES  —  Datas calculadas automaticamente</t>
  </si>
  <si>
    <t xml:space="preserve">Via</t>
  </si>
  <si>
    <t xml:space="preserve">Clon S1</t>
  </si>
  <si>
    <t xml:space="preserve">Clone</t>
  </si>
  <si>
    <t xml:space="preserve">Nim (2 mL/L)</t>
  </si>
  <si>
    <t xml:space="preserve">Foliar leve</t>
  </si>
  <si>
    <t xml:space="preserve">Preventivo geral</t>
  </si>
  <si>
    <t xml:space="preserve">Clon S2</t>
  </si>
  <si>
    <t xml:space="preserve">Beauveria bassiana (5 g/L)</t>
  </si>
  <si>
    <t xml:space="preserve">Foliar + solo</t>
  </si>
  <si>
    <t xml:space="preserve">Vege S1</t>
  </si>
  <si>
    <t xml:space="preserve">Vegetativo</t>
  </si>
  <si>
    <t xml:space="preserve">Vege S2</t>
  </si>
  <si>
    <t xml:space="preserve">Vege S3</t>
  </si>
  <si>
    <t xml:space="preserve">Calda Sulfocálcica (1%)</t>
  </si>
  <si>
    <t xml:space="preserve">Vege S4</t>
  </si>
  <si>
    <t xml:space="preserve">Trichoderma (3 g/L)</t>
  </si>
  <si>
    <t xml:space="preserve">Solo (rega)</t>
  </si>
  <si>
    <t xml:space="preserve">Solo saudável = planta forte</t>
  </si>
  <si>
    <t xml:space="preserve">Vege S5</t>
  </si>
  <si>
    <t xml:space="preserve">Calda Bordalesa (0.5%)</t>
  </si>
  <si>
    <t xml:space="preserve">⚠️ Não combinar com Nim</t>
  </si>
  <si>
    <t xml:space="preserve">Vege S6</t>
  </si>
  <si>
    <t xml:space="preserve">⚠️ ÚLTIMA foliar com Nim</t>
  </si>
  <si>
    <t xml:space="preserve">Flor S1</t>
  </si>
  <si>
    <t xml:space="preserve">Floração</t>
  </si>
  <si>
    <t xml:space="preserve">Solo apenas</t>
  </si>
  <si>
    <t xml:space="preserve">⚠️ SEM FOLIAR em floração</t>
  </si>
  <si>
    <t xml:space="preserve">Flor S2</t>
  </si>
  <si>
    <t xml:space="preserve">Flor S3</t>
  </si>
  <si>
    <t xml:space="preserve">⚠️ Umidade &lt; 45%</t>
  </si>
  <si>
    <t xml:space="preserve">Flor S4</t>
  </si>
  <si>
    <t xml:space="preserve">Inspecionar buds</t>
  </si>
  <si>
    <t xml:space="preserve">Flor S5</t>
  </si>
  <si>
    <t xml:space="preserve">Inspeção + Trichoderma</t>
  </si>
  <si>
    <t xml:space="preserve">⚠️ Verificar mofo</t>
  </si>
  <si>
    <t xml:space="preserve">Flus S1</t>
  </si>
  <si>
    <t xml:space="preserve">Flush</t>
  </si>
  <si>
    <t xml:space="preserve">Inspeção final</t>
  </si>
  <si>
    <t xml:space="preserve">Visual</t>
  </si>
  <si>
    <t xml:space="preserve">Sem aplicações — analisar tricomas</t>
  </si>
  <si>
    <t xml:space="preserve">⚠️  COMPATIBILIDADE</t>
  </si>
  <si>
    <t xml:space="preserve">Regra</t>
  </si>
  <si>
    <t xml:space="preserve">Detalhe</t>
  </si>
  <si>
    <t xml:space="preserve">❌ Não misturar</t>
  </si>
  <si>
    <t xml:space="preserve">Sulfocálcica + Nim — fitotoxidade grave</t>
  </si>
  <si>
    <t xml:space="preserve">Sulfocálcica + Bordalesa — nunca mesma semana</t>
  </si>
  <si>
    <t xml:space="preserve">❌ Nunca foliar</t>
  </si>
  <si>
    <t xml:space="preserve">Qualquer foliar após Flora S3</t>
  </si>
  <si>
    <t xml:space="preserve">⏱️ Intervalo</t>
  </si>
  <si>
    <t xml:space="preserve">7–10 dias entre Sulfocálcica e outro foliar</t>
  </si>
  <si>
    <t xml:space="preserve">🌙 Horário</t>
  </si>
  <si>
    <t xml:space="preserve">Sempre ao entardecer — evitar sol forte</t>
  </si>
  <si>
    <t xml:space="preserve">✅ Combina</t>
  </si>
  <si>
    <t xml:space="preserve">Bordalesa + Trichoderma solo (dias diferentes)</t>
  </si>
  <si>
    <t xml:space="preserve">📊  DIÁRIO DE CULTIVO — Registro Diário de Parâmetros</t>
  </si>
  <si>
    <t xml:space="preserve">Linhas geradas conforme duração configurada. Alertas automáticos.</t>
  </si>
  <si>
    <t xml:space="preserve">Temp °C</t>
  </si>
  <si>
    <t xml:space="preserve">Umid %</t>
  </si>
  <si>
    <t xml:space="preserve">pH água</t>
  </si>
  <si>
    <t xml:space="preserve">CE mS/cm</t>
  </si>
  <si>
    <t xml:space="preserve">pH runoff</t>
  </si>
  <si>
    <t xml:space="preserve">Rega L</t>
  </si>
  <si>
    <t xml:space="preserve">Observações</t>
  </si>
  <si>
    <t xml:space="preserve">Status</t>
  </si>
  <si>
    <t xml:space="preserve">📖  GUIA RÁPIDO — Parâmetros e Referências</t>
  </si>
  <si>
    <t xml:space="preserve">🌡️ TEMPERATURA</t>
  </si>
  <si>
    <t xml:space="preserve">Parâmetro</t>
  </si>
  <si>
    <t xml:space="preserve">Valor ideal</t>
  </si>
  <si>
    <t xml:space="preserve">Dia (luz acesa)</t>
  </si>
  <si>
    <t xml:space="preserve">22–26°C (ideal 24°C)</t>
  </si>
  <si>
    <t xml:space="preserve">Noite</t>
  </si>
  <si>
    <t xml:space="preserve">18–22°C</t>
  </si>
  <si>
    <t xml:space="preserve">Máximo</t>
  </si>
  <si>
    <t xml:space="preserve">30°C</t>
  </si>
  <si>
    <t xml:space="preserve">23–26°C</t>
  </si>
  <si>
    <t xml:space="preserve">💧 UMIDADE</t>
  </si>
  <si>
    <t xml:space="preserve">70–80%</t>
  </si>
  <si>
    <t xml:space="preserve">55–70%</t>
  </si>
  <si>
    <t xml:space="preserve">Floração S1–S4</t>
  </si>
  <si>
    <t xml:space="preserve">45–55%</t>
  </si>
  <si>
    <t xml:space="preserve">Floração S5+</t>
  </si>
  <si>
    <t xml:space="preserve">35–45%</t>
  </si>
  <si>
    <t xml:space="preserve">&lt; 40%</t>
  </si>
  <si>
    <t xml:space="preserve">⚗️ pH DA ÁGUA</t>
  </si>
  <si>
    <t xml:space="preserve">Terra orgânica</t>
  </si>
  <si>
    <t xml:space="preserve">6.0–6.8</t>
  </si>
  <si>
    <t xml:space="preserve">Coco</t>
  </si>
  <si>
    <t xml:space="preserve">Hidro</t>
  </si>
  <si>
    <t xml:space="preserve">5.5–6.1</t>
  </si>
  <si>
    <t xml:space="preserve">Run-off</t>
  </si>
  <si>
    <t xml:space="preserve">±0.3 do pH entrada</t>
  </si>
  <si>
    <t xml:space="preserve">📊 EC (mS/cm)</t>
  </si>
  <si>
    <t xml:space="preserve">0.0–0.4</t>
  </si>
  <si>
    <t xml:space="preserve">Vega inicial</t>
  </si>
  <si>
    <t xml:space="preserve">0.8–1.2</t>
  </si>
  <si>
    <t xml:space="preserve">Vega pleno</t>
  </si>
  <si>
    <t xml:space="preserve">1.2–1.6</t>
  </si>
  <si>
    <t xml:space="preserve">Flora início</t>
  </si>
  <si>
    <t xml:space="preserve">1.4–1.8</t>
  </si>
  <si>
    <t xml:space="preserve">Flora pico</t>
  </si>
  <si>
    <t xml:space="preserve">1.8–2.2</t>
  </si>
  <si>
    <t xml:space="preserve">🔬 TRICOMAS</t>
  </si>
  <si>
    <t xml:space="preserve">Transparentes</t>
  </si>
  <si>
    <t xml:space="preserve">Imaturos — não colher</t>
  </si>
  <si>
    <t xml:space="preserve">Leitosos</t>
  </si>
  <si>
    <t xml:space="preserve">Efeito cerebral</t>
  </si>
  <si>
    <t xml:space="preserve">Âmbar 10–20%</t>
  </si>
  <si>
    <t xml:space="preserve">Efeito equilibrado (ideal médico)</t>
  </si>
  <si>
    <t xml:space="preserve">Âmbar 30–50%</t>
  </si>
  <si>
    <t xml:space="preserve">Sedativo / corporal</t>
  </si>
  <si>
    <t xml:space="preserve">Âmbar &gt; 50%</t>
  </si>
  <si>
    <t xml:space="preserve">THC → CBN</t>
  </si>
  <si>
    <t xml:space="preserve">💡 FOTOPERÍODO</t>
  </si>
  <si>
    <t xml:space="preserve">18–24h luz</t>
  </si>
  <si>
    <t xml:space="preserve">Vega</t>
  </si>
  <si>
    <t xml:space="preserve">18h/6h</t>
  </si>
  <si>
    <t xml:space="preserve">12h/12h</t>
  </si>
  <si>
    <t xml:space="preserve">Oscilação</t>
  </si>
  <si>
    <t xml:space="preserve">Máx ±15 min</t>
  </si>
  <si>
    <t xml:space="preserve">📐 FLORA POR CEPA</t>
  </si>
  <si>
    <t xml:space="preserve">Índica pura</t>
  </si>
  <si>
    <t xml:space="preserve">8–9 sem</t>
  </si>
  <si>
    <t xml:space="preserve">Índica-dom.</t>
  </si>
  <si>
    <t xml:space="preserve">9–10 sem</t>
  </si>
  <si>
    <t xml:space="preserve">Híbrido</t>
  </si>
  <si>
    <t xml:space="preserve">9–11 sem</t>
  </si>
  <si>
    <t xml:space="preserve">Sativa-dom.</t>
  </si>
  <si>
    <t xml:space="preserve">11–13 sem</t>
  </si>
  <si>
    <t xml:space="preserve">Sativa pura</t>
  </si>
  <si>
    <t xml:space="preserve">13–16 sem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</si>
</sst>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4332"/>
      <name val="Arial"/>
      <family val="0"/>
      <charset val="1"/>
    </font>
    <font>
      <b val="true"/>
      <sz val="11"/>
      <color rgb="FF212529"/>
      <name val="Arial"/>
      <family val="0"/>
      <charset val="1"/>
    </font>
    <font>
      <b val="true"/>
      <sz val="14"/>
      <color rgb="FF212529"/>
      <name val="Arial"/>
      <family val="0"/>
      <charset val="1"/>
    </font>
    <font>
      <i val="true"/>
      <sz val="9"/>
      <color rgb="FF2D6A4F"/>
      <name val="Arial"/>
      <family val="0"/>
      <charset val="1"/>
    </font>
    <font>
      <sz val="11"/>
      <color rgb="FF21252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B4332"/>
      <name val="Arial"/>
      <family val="0"/>
      <charset val="1"/>
    </font>
    <font>
      <b val="true"/>
      <sz val="13"/>
      <color rgb="FF212529"/>
      <name val="Arial"/>
      <family val="0"/>
      <charset val="1"/>
    </font>
    <font>
      <sz val="9"/>
      <color rgb="FF212529"/>
      <name val="Arial"/>
      <family val="0"/>
      <charset val="1"/>
    </font>
    <font>
      <b val="true"/>
      <sz val="10"/>
      <color rgb="FF2196F3"/>
      <name val="Arial"/>
      <family val="0"/>
      <charset val="1"/>
    </font>
    <font>
      <b val="true"/>
      <sz val="10"/>
      <color rgb="FF7B2D8B"/>
      <name val="Arial"/>
      <family val="0"/>
      <charset val="1"/>
    </font>
    <font>
      <b val="true"/>
      <sz val="10"/>
      <color rgb="FF21252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1B4332"/>
      <name val="Arial"/>
      <family val="0"/>
      <charset val="1"/>
    </font>
    <font>
      <sz val="11"/>
      <color rgb="FF2196F3"/>
      <name val="Arial"/>
      <family val="0"/>
      <charset val="1"/>
    </font>
    <font>
      <sz val="11"/>
      <color rgb="FF7B2D8B"/>
      <name val="Arial"/>
      <family val="0"/>
      <charset val="1"/>
    </font>
    <font>
      <b val="true"/>
      <sz val="10"/>
      <color rgb="FFE63946"/>
      <name val="Arial"/>
      <family val="0"/>
      <charset val="1"/>
    </font>
    <font>
      <sz val="11"/>
      <color rgb="FFE63946"/>
      <name val="Arial"/>
      <family val="0"/>
      <charset val="1"/>
    </font>
    <font>
      <sz val="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1B433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2196F3"/>
      <name val="Arial"/>
      <family val="0"/>
      <charset val="1"/>
    </font>
    <font>
      <b val="true"/>
      <sz val="12"/>
      <color rgb="FF7B2D8B"/>
      <name val="Arial"/>
      <family val="0"/>
      <charset val="1"/>
    </font>
    <font>
      <b val="true"/>
      <sz val="12"/>
      <color rgb="FFE6394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1B4332"/>
      <name val="Arial"/>
      <family val="0"/>
      <charset val="1"/>
    </font>
    <font>
      <sz val="9"/>
      <color rgb="FFE63946"/>
      <name val="Arial"/>
      <family val="0"/>
      <charset val="1"/>
    </font>
    <font>
      <b val="true"/>
      <sz val="9"/>
      <color rgb="FF212529"/>
      <name val="Arial"/>
      <family val="0"/>
      <charset val="1"/>
    </font>
    <font>
      <b val="true"/>
      <sz val="9"/>
      <color rgb="FF2196F3"/>
      <name val="Arial"/>
      <family val="0"/>
      <charset val="1"/>
    </font>
    <font>
      <b val="true"/>
      <sz val="9"/>
      <color rgb="FF7B2D8B"/>
      <name val="Arial"/>
      <family val="0"/>
      <charset val="1"/>
    </font>
    <font>
      <b val="true"/>
      <sz val="9"/>
      <color rgb="FFE63946"/>
      <name val="Arial"/>
      <family val="0"/>
      <charset val="1"/>
    </font>
    <font>
      <sz val="10"/>
      <color rgb="FF21252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4332"/>
        <bgColor rgb="FF212529"/>
      </patternFill>
    </fill>
    <fill>
      <patternFill patternType="solid">
        <fgColor rgb="FF2D6A4F"/>
        <bgColor rgb="FF1B4332"/>
      </patternFill>
    </fill>
    <fill>
      <patternFill patternType="solid">
        <fgColor rgb="FFB7E4C7"/>
        <bgColor rgb="FFD8F3DC"/>
      </patternFill>
    </fill>
    <fill>
      <patternFill patternType="solid">
        <fgColor rgb="FFFFD166"/>
        <bgColor rgb="FFFFCC00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  <fill>
      <patternFill patternType="solid">
        <fgColor rgb="FFDBEAFE"/>
        <bgColor rgb="FFE9ECEF"/>
      </patternFill>
    </fill>
    <fill>
      <patternFill patternType="solid">
        <fgColor rgb="FFE9D5F0"/>
        <bgColor rgb="FFDEE2E6"/>
      </patternFill>
    </fill>
    <fill>
      <patternFill patternType="solid">
        <fgColor rgb="FFFFF3CD"/>
        <bgColor rgb="FFFFE5E5"/>
      </patternFill>
    </fill>
    <fill>
      <patternFill patternType="solid">
        <fgColor rgb="FFE9ECEF"/>
        <bgColor rgb="FFEBF5FB"/>
      </patternFill>
    </fill>
    <fill>
      <patternFill patternType="solid">
        <fgColor rgb="FFFFE5E5"/>
        <bgColor rgb="FFFFF3CD"/>
      </patternFill>
    </fill>
    <fill>
      <patternFill patternType="solid">
        <fgColor rgb="FFD8F3DC"/>
        <bgColor rgb="FFE9ECEF"/>
      </patternFill>
    </fill>
    <fill>
      <patternFill patternType="solid">
        <fgColor rgb="FFEBF5FB"/>
        <bgColor rgb="FFF8F9FA"/>
      </patternFill>
    </fill>
    <fill>
      <patternFill patternType="solid">
        <fgColor rgb="FFE63946"/>
        <bgColor rgb="FFFF6600"/>
      </patternFill>
    </fill>
    <fill>
      <patternFill patternType="solid">
        <fgColor rgb="FF7B2D8B"/>
        <bgColor rgb="FF8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7E4C7"/>
      <rgbColor rgb="FF808080"/>
      <rgbColor rgb="FF9999FF"/>
      <rgbColor rgb="FF7B2D8B"/>
      <rgbColor rgb="FFFFF3CD"/>
      <rgbColor rgb="FFDBEAFE"/>
      <rgbColor rgb="FF660066"/>
      <rgbColor rgb="FFFF8080"/>
      <rgbColor rgb="FF0066CC"/>
      <rgbColor rgb="FFE9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8F3DC"/>
      <rgbColor rgb="FFFFE5E5"/>
      <rgbColor rgb="FFDEE2E6"/>
      <rgbColor rgb="FFE9ECEF"/>
      <rgbColor rgb="FFF8F9FA"/>
      <rgbColor rgb="FFFFD166"/>
      <rgbColor rgb="FF2196F3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2B788"/>
      <rgbColor rgb="FF003300"/>
      <rgbColor rgb="FF1B4332"/>
      <rgbColor rgb="FF993300"/>
      <rgbColor rgb="FFE6394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B2:K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3"/>
    <col collapsed="false" customWidth="true" hidden="false" outlineLevel="0" max="4" min="4" style="1" width="18"/>
    <col collapsed="false" customWidth="true" hidden="false" outlineLevel="0" max="5" min="5" style="1" width="3"/>
    <col collapsed="false" customWidth="true" hidden="false" outlineLevel="0" max="6" min="6" style="1" width="26"/>
    <col collapsed="false" customWidth="true" hidden="false" outlineLevel="0" max="7" min="7" style="1" width="3"/>
    <col collapsed="false" customWidth="true" hidden="false" outlineLevel="0" max="8" min="8" style="1" width="18"/>
    <col collapsed="false" customWidth="true" hidden="false" outlineLevel="0" max="9" min="9" style="1" width="3"/>
    <col collapsed="false" customWidth="true" hidden="false" outlineLevel="0" max="10" min="10" style="1" width="22"/>
    <col collapsed="false" customWidth="true" hidden="false" outlineLevel="0" max="11" min="11" style="1" width="3"/>
  </cols>
  <sheetData>
    <row r="2" customFormat="false" ht="51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5" customFormat="false" ht="27.7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  <c r="J5" s="4"/>
    </row>
    <row r="6" customFormat="false" ht="25.5" hidden="false" customHeight="true" outlineLevel="0" collapsed="false">
      <c r="B6" s="5" t="s">
        <v>3</v>
      </c>
      <c r="D6" s="6"/>
      <c r="F6" s="5" t="s">
        <v>4</v>
      </c>
      <c r="H6" s="7" t="n">
        <v>2</v>
      </c>
      <c r="J6" s="8" t="s">
        <v>5</v>
      </c>
    </row>
    <row r="7" customFormat="false" ht="25.5" hidden="false" customHeight="true" outlineLevel="0" collapsed="false">
      <c r="B7" s="5" t="s">
        <v>6</v>
      </c>
      <c r="D7" s="9" t="s">
        <v>7</v>
      </c>
      <c r="F7" s="5" t="s">
        <v>8</v>
      </c>
      <c r="H7" s="7" t="n">
        <v>6</v>
      </c>
      <c r="J7" s="8" t="s">
        <v>5</v>
      </c>
    </row>
    <row r="8" customFormat="false" ht="25.5" hidden="false" customHeight="true" outlineLevel="0" collapsed="false">
      <c r="B8" s="5" t="s">
        <v>9</v>
      </c>
      <c r="D8" s="9" t="s">
        <v>10</v>
      </c>
      <c r="F8" s="5" t="s">
        <v>11</v>
      </c>
      <c r="H8" s="7" t="n">
        <v>9</v>
      </c>
      <c r="J8" s="8" t="s">
        <v>5</v>
      </c>
    </row>
    <row r="9" customFormat="false" ht="25.5" hidden="false" customHeight="true" outlineLevel="0" collapsed="false">
      <c r="B9" s="5" t="s">
        <v>12</v>
      </c>
      <c r="D9" s="9" t="s">
        <v>13</v>
      </c>
      <c r="F9" s="5" t="s">
        <v>14</v>
      </c>
      <c r="H9" s="7" t="n">
        <v>1</v>
      </c>
      <c r="J9" s="8" t="s">
        <v>5</v>
      </c>
    </row>
    <row r="10" customFormat="false" ht="25.5" hidden="false" customHeight="true" outlineLevel="0" collapsed="false">
      <c r="B10" s="5" t="s">
        <v>15</v>
      </c>
      <c r="D10" s="9" t="s">
        <v>16</v>
      </c>
    </row>
    <row r="11" customFormat="false" ht="31.5" hidden="false" customHeight="true" outlineLevel="0" collapsed="false">
      <c r="B11" s="10" t="s">
        <v>17</v>
      </c>
      <c r="C11" s="10"/>
      <c r="D11" s="10"/>
      <c r="E11" s="10"/>
      <c r="F11" s="10"/>
      <c r="G11" s="10"/>
      <c r="H11" s="10"/>
      <c r="I11" s="10"/>
      <c r="J11" s="10"/>
    </row>
    <row r="12" customFormat="false" ht="39.75" hidden="false" customHeight="true" outlineLevel="0" collapsed="false">
      <c r="B12" s="11" t="s">
        <v>18</v>
      </c>
      <c r="H12" s="12" t="s">
        <v>19</v>
      </c>
      <c r="J12" s="8" t="s">
        <v>20</v>
      </c>
    </row>
    <row r="13" customFormat="false" ht="36" hidden="false" customHeight="true" outlineLevel="0" collapsed="false">
      <c r="B13" s="5" t="s">
        <v>19</v>
      </c>
      <c r="C13" s="5"/>
      <c r="D13" s="13" t="s">
        <v>21</v>
      </c>
      <c r="E13" s="13"/>
      <c r="F13" s="13"/>
      <c r="G13" s="13"/>
      <c r="H13" s="13"/>
      <c r="I13" s="13"/>
      <c r="J13" s="13"/>
    </row>
    <row r="14" customFormat="false" ht="36" hidden="false" customHeight="true" outlineLevel="0" collapsed="false">
      <c r="B14" s="14" t="s">
        <v>22</v>
      </c>
      <c r="C14" s="14"/>
      <c r="D14" s="13" t="s">
        <v>23</v>
      </c>
      <c r="E14" s="13"/>
      <c r="F14" s="13"/>
      <c r="G14" s="13"/>
      <c r="H14" s="13"/>
      <c r="I14" s="13"/>
      <c r="J14" s="13"/>
    </row>
    <row r="15" customFormat="false" ht="36" hidden="false" customHeight="true" outlineLevel="0" collapsed="false">
      <c r="B15" s="15" t="s">
        <v>24</v>
      </c>
      <c r="C15" s="15"/>
      <c r="D15" s="13" t="s">
        <v>25</v>
      </c>
      <c r="E15" s="13"/>
      <c r="F15" s="13"/>
      <c r="G15" s="13"/>
      <c r="H15" s="13"/>
      <c r="I15" s="13"/>
      <c r="J15" s="13"/>
    </row>
    <row r="16" customFormat="false" ht="36" hidden="false" customHeight="true" outlineLevel="0" collapsed="false">
      <c r="B16" s="16" t="s">
        <v>26</v>
      </c>
      <c r="C16" s="16"/>
      <c r="D16" s="13" t="s">
        <v>27</v>
      </c>
      <c r="E16" s="13"/>
      <c r="F16" s="13"/>
      <c r="G16" s="13"/>
      <c r="H16" s="13"/>
      <c r="I16" s="13"/>
      <c r="J16" s="13"/>
    </row>
    <row r="17" customFormat="false" ht="36" hidden="false" customHeight="true" outlineLevel="0" collapsed="false">
      <c r="B17" s="17" t="s">
        <v>28</v>
      </c>
      <c r="C17" s="17"/>
      <c r="D17" s="13" t="s">
        <v>29</v>
      </c>
      <c r="E17" s="13"/>
      <c r="F17" s="13"/>
      <c r="G17" s="13"/>
      <c r="H17" s="13"/>
      <c r="I17" s="13"/>
      <c r="J17" s="13"/>
    </row>
    <row r="19" customFormat="false" ht="27.75" hidden="false" customHeight="true" outlineLevel="0" collapsed="false">
      <c r="B19" s="18" t="s">
        <v>30</v>
      </c>
      <c r="C19" s="18"/>
      <c r="D19" s="18"/>
      <c r="E19" s="18"/>
      <c r="F19" s="18"/>
      <c r="G19" s="18"/>
      <c r="H19" s="18"/>
      <c r="I19" s="18"/>
      <c r="J19" s="18"/>
    </row>
    <row r="20" customFormat="false" ht="24" hidden="false" customHeight="true" outlineLevel="0" collapsed="false">
      <c r="B20" s="19" t="s">
        <v>31</v>
      </c>
      <c r="C20" s="19"/>
      <c r="D20" s="19" t="s">
        <v>32</v>
      </c>
      <c r="E20" s="19"/>
      <c r="F20" s="19" t="s">
        <v>33</v>
      </c>
      <c r="G20" s="19"/>
      <c r="H20" s="19" t="s">
        <v>34</v>
      </c>
      <c r="I20" s="19"/>
      <c r="J20" s="19" t="s">
        <v>35</v>
      </c>
      <c r="K20" s="19"/>
    </row>
    <row r="21" customFormat="false" ht="25.5" hidden="false" customHeight="true" outlineLevel="0" collapsed="false">
      <c r="B21" s="20" t="s">
        <v>36</v>
      </c>
      <c r="C21" s="20"/>
      <c r="D21" s="21" t="str">
        <f aca="false">H6&amp;" sem"</f>
        <v>2 sem</v>
      </c>
      <c r="E21" s="21"/>
      <c r="F21" s="22" t="n">
        <f aca="false">B56</f>
        <v>0</v>
      </c>
      <c r="G21" s="22"/>
      <c r="H21" s="22" t="n">
        <f aca="false">B56+B55-1</f>
        <v>13</v>
      </c>
      <c r="I21" s="22"/>
      <c r="J21" s="21" t="n">
        <f aca="false">B55</f>
        <v>14</v>
      </c>
      <c r="K21" s="21"/>
    </row>
    <row r="22" customFormat="false" ht="25.5" hidden="false" customHeight="true" outlineLevel="0" collapsed="false">
      <c r="B22" s="23" t="s">
        <v>37</v>
      </c>
      <c r="C22" s="23"/>
      <c r="D22" s="24" t="str">
        <f aca="false">H7&amp;" sem"</f>
        <v>6 sem</v>
      </c>
      <c r="E22" s="24"/>
      <c r="F22" s="25" t="n">
        <f aca="false">C56</f>
        <v>14</v>
      </c>
      <c r="G22" s="25"/>
      <c r="H22" s="25" t="n">
        <f aca="false">C56+C55-1</f>
        <v>55</v>
      </c>
      <c r="I22" s="25"/>
      <c r="J22" s="24" t="n">
        <f aca="false">C55</f>
        <v>42</v>
      </c>
      <c r="K22" s="24"/>
    </row>
    <row r="23" customFormat="false" ht="25.5" hidden="false" customHeight="true" outlineLevel="0" collapsed="false">
      <c r="B23" s="26" t="s">
        <v>38</v>
      </c>
      <c r="C23" s="26"/>
      <c r="D23" s="27" t="str">
        <f aca="false">H8&amp;" sem"</f>
        <v>9 sem</v>
      </c>
      <c r="E23" s="27"/>
      <c r="F23" s="28" t="n">
        <f aca="false">D56</f>
        <v>56</v>
      </c>
      <c r="G23" s="28"/>
      <c r="H23" s="28" t="n">
        <f aca="false">D56+D55-1</f>
        <v>118</v>
      </c>
      <c r="I23" s="28"/>
      <c r="J23" s="27" t="n">
        <f aca="false">D55</f>
        <v>63</v>
      </c>
      <c r="K23" s="27"/>
    </row>
    <row r="24" customFormat="false" ht="25.5" hidden="false" customHeight="true" outlineLevel="0" collapsed="false">
      <c r="B24" s="29" t="s">
        <v>39</v>
      </c>
      <c r="C24" s="29"/>
      <c r="D24" s="30" t="str">
        <f aca="false">H9&amp;" sem"</f>
        <v>1 sem</v>
      </c>
      <c r="E24" s="30"/>
      <c r="F24" s="31" t="n">
        <f aca="false">E56</f>
        <v>119</v>
      </c>
      <c r="G24" s="31"/>
      <c r="H24" s="31" t="n">
        <f aca="false">E56+E55-1</f>
        <v>125</v>
      </c>
      <c r="I24" s="31"/>
      <c r="J24" s="30" t="n">
        <f aca="false">E55</f>
        <v>7</v>
      </c>
      <c r="K24" s="30"/>
    </row>
    <row r="25" customFormat="false" ht="25.5" hidden="false" customHeight="true" outlineLevel="0" collapsed="false">
      <c r="B25" s="32" t="s">
        <v>40</v>
      </c>
      <c r="C25" s="32"/>
      <c r="D25" s="33" t="s">
        <v>41</v>
      </c>
      <c r="E25" s="33"/>
      <c r="F25" s="34" t="n">
        <f aca="false">F56</f>
        <v>126</v>
      </c>
      <c r="G25" s="34"/>
      <c r="H25" s="34" t="n">
        <f aca="false">F56</f>
        <v>126</v>
      </c>
      <c r="I25" s="34"/>
      <c r="J25" s="33" t="s">
        <v>42</v>
      </c>
      <c r="K25" s="33"/>
    </row>
    <row r="55" customFormat="false" ht="1.5" hidden="false" customHeight="true" outlineLevel="0" collapsed="false">
      <c r="B55" s="35" t="n">
        <f aca="false">H6*7</f>
        <v>14</v>
      </c>
      <c r="C55" s="35" t="n">
        <f aca="false">H7*7</f>
        <v>42</v>
      </c>
      <c r="D55" s="35" t="n">
        <f aca="false">H8*7</f>
        <v>63</v>
      </c>
      <c r="E55" s="35" t="n">
        <f aca="false">H9*7</f>
        <v>7</v>
      </c>
      <c r="F55" s="35" t="n">
        <f aca="false">B55+C55+D55+E55</f>
        <v>126</v>
      </c>
    </row>
    <row r="56" customFormat="false" ht="1.5" hidden="false" customHeight="true" outlineLevel="0" collapsed="false">
      <c r="B56" s="36" t="n">
        <f aca="false">D6</f>
        <v>0</v>
      </c>
      <c r="C56" s="36" t="n">
        <f aca="false">B56+B55</f>
        <v>14</v>
      </c>
      <c r="D56" s="36" t="n">
        <f aca="false">C56+C55</f>
        <v>56</v>
      </c>
      <c r="E56" s="36" t="n">
        <f aca="false">D56+D55</f>
        <v>119</v>
      </c>
      <c r="F56" s="36" t="n">
        <f aca="false">E56+E55</f>
        <v>126</v>
      </c>
    </row>
  </sheetData>
  <mergeCells count="45">
    <mergeCell ref="B2:J2"/>
    <mergeCell ref="B3:J3"/>
    <mergeCell ref="B5:J5"/>
    <mergeCell ref="B11:J11"/>
    <mergeCell ref="B13:C13"/>
    <mergeCell ref="D13:J13"/>
    <mergeCell ref="B14:C14"/>
    <mergeCell ref="D14:J14"/>
    <mergeCell ref="B15:C15"/>
    <mergeCell ref="D15:J15"/>
    <mergeCell ref="B16:C16"/>
    <mergeCell ref="D16:J16"/>
    <mergeCell ref="B17:C17"/>
    <mergeCell ref="D17:J17"/>
    <mergeCell ref="B19:J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</mergeCells>
  <dataValidations count="6">
    <dataValidation allowBlank="false" errorStyle="stop" operator="between" showDropDown="false" showErrorMessage="false" showInputMessage="false" sqref="H6" type="list">
      <formula1>"1,2,3,4"</formula1>
      <formula2>0</formula2>
    </dataValidation>
    <dataValidation allowBlank="false" errorStyle="stop" operator="between" showDropDown="false" showErrorMessage="false" showInputMessage="false" sqref="H7" type="list">
      <formula1>"4,5,6,7,8,9,10,11,12"</formula1>
      <formula2>0</formula2>
    </dataValidation>
    <dataValidation allowBlank="false" errorStyle="stop" operator="between" showDropDown="false" showErrorMessage="false" showInputMessage="false" sqref="H8" type="list">
      <formula1>"8,9,10,11,12,13,14,15,16"</formula1>
      <formula2>0</formula2>
    </dataValidation>
    <dataValidation allowBlank="false" errorStyle="stop" operator="between" showDropDown="false" showErrorMessage="false" showInputMessage="false" sqref="H9" type="list">
      <formula1>"1,2"</formula1>
      <formula2>0</formula2>
    </dataValidation>
    <dataValidation allowBlank="false" errorStyle="stop" operator="between" showDropDown="false" showErrorMessage="false" showInputMessage="false" sqref="D8" type="list">
      <formula1>"Indoor LED,Indoor HPS,Indoor CMH,Indoor Misto"</formula1>
      <formula2>0</formula2>
    </dataValidation>
    <dataValidation allowBlank="false" error="Escolha: BioBizz, Remo Nutrients, General Organics, SuperSoil ou Genérico" errorStyle="stop" errorTitle="Protocolo inválido" operator="between" showDropDown="false" showErrorMessage="true" showInputMessage="false" sqref="H12" type="list">
      <formula1>"BioBizz,Remo Nutrients,General Organics,SuperSoil,Genérico"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B788"/>
    <pageSetUpPr fitToPage="false"/>
  </sheetPr>
  <dimension ref="A2:O3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2" min="11" style="1" width="14"/>
    <col collapsed="false" customWidth="true" hidden="false" outlineLevel="0" max="13" min="13" style="1" width="20"/>
    <col collapsed="false" customWidth="true" hidden="false" outlineLevel="0" max="14" min="14" style="1" width="3"/>
  </cols>
  <sheetData>
    <row r="2" customFormat="false" ht="45" hidden="false" customHeight="true" outlineLevel="0" collapsed="false">
      <c r="B2" s="37" t="s">
        <v>43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customFormat="false" ht="27.75" hidden="false" customHeight="true" outlineLevel="0" collapsed="false">
      <c r="B3" s="38" t="s">
        <v>44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5" customFormat="false" ht="27.75" hidden="false" customHeight="true" outlineLevel="0" collapsed="false">
      <c r="B5" s="39" t="s">
        <v>36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customFormat="false" ht="24" hidden="false" customHeight="true" outlineLevel="0" collapsed="false">
      <c r="B6" s="40" t="s">
        <v>45</v>
      </c>
      <c r="C6" s="40" t="s">
        <v>46</v>
      </c>
      <c r="D6" s="40" t="s">
        <v>47</v>
      </c>
      <c r="E6" s="40" t="s">
        <v>48</v>
      </c>
      <c r="F6" s="40" t="s">
        <v>49</v>
      </c>
      <c r="G6" s="40" t="s">
        <v>50</v>
      </c>
      <c r="H6" s="40" t="s">
        <v>51</v>
      </c>
      <c r="I6" s="40" t="s">
        <v>52</v>
      </c>
      <c r="J6" s="40" t="s">
        <v>53</v>
      </c>
      <c r="K6" s="40" t="s">
        <v>54</v>
      </c>
      <c r="L6" s="40" t="s">
        <v>55</v>
      </c>
      <c r="M6" s="40" t="s">
        <v>56</v>
      </c>
    </row>
    <row r="7" customFormat="false" ht="21.75" hidden="false" customHeight="true" outlineLevel="0" collapsed="false">
      <c r="B7" s="20" t="str">
        <f aca="false">IF(1&lt;='🌱 Configuração'!$H$6,"S1","—")</f>
        <v>S1</v>
      </c>
      <c r="C7" s="41" t="n">
        <f aca="false">IF(1&lt;='🌱 Configuração'!$H$6,'🌱 Configuração'!$B$56+0,"")</f>
        <v>0</v>
      </c>
      <c r="D7" s="42" t="str">
        <f aca="false">IF('🌱 Configuração'!$B$56="","",IF(1&lt;1,"",IF(1&gt;'🌱 Configuração'!$H$6,"",IF(IFERROR(MATCH('🌱 Configuração'!$H$12,{"BioBizz","Remo Nutrients","General Organics","SuperSoil","Genérico"},0),1)=1,IF(1=1,"Root Juice",IF(1=2,"Root Juice",IF(1=3,"Root Juice",IF(1=4,"Root Juice","")))),IF(IFERROR(MATCH('🌱 Configuração'!$H$12,{"BioBizz","Remo Nutrients","General Organics","SuperSoil","Genérico"},0),1)=2,IF(1=1,"Remo Roots",IF(1=2,"Remo Roots",IF(1=3,"Remo Roots",IF(1=4,"Remo Roots","")))),IF(IFERROR(MATCH('🌱 Configuração'!$H$12,{"BioBizz","Remo Nutrients","General Organics","SuperSoil","Genérico"},0),1)=3,IF(1=1,"BioRoot",IF(1=2,"BioRoot",IF(1=3,"BioRoot",IF(1=4,"BioRoot","")))),IF(IFERROR(MATCH('🌱 Configuração'!$H$12,{"BioBizz","Remo Nutrients","General Organics","SuperSoil","Genérico"},0),1)=4,IF(1=1,"Chá de compostagem",IF(1=2,"Chá de compostagem",IF(1=3,"Cobertura: farinha de alga",IF(1=4,"Molasses 2 mL/L","")))),IF(1=1,"← Preencha",IF(1=2,"← Preencha",IF(1=3,"← Preencha",IF(1=4,"← Preencha","")))))))))))</f>
        <v/>
      </c>
      <c r="E7" s="43" t="str">
        <f aca="false">IF('🌱 Configuração'!$B$56="","",IF(1&lt;1,"",IF(1&gt;'🌱 Configuração'!$H$6,"",IF(IFERROR(MATCH('🌱 Configuração'!$H$12,{"BioBizz","Remo Nutrients","General Organics","SuperSoil","Genérico"},0),1)=1,IF(1=1,"0.3 mL/L",IF(1=2,"0.3 mL/L",IF(1=3,"0.5 mL/L",IF(1=4,"0.5 mL/L","")))),IF(IFERROR(MATCH('🌱 Configuração'!$H$12,{"BioBizz","Remo Nutrients","General Organics","SuperSoil","Genérico"},0),1)=2,IF(1=1,"0.5 mL/L",IF(1=2,"1 mL/L",IF(1=3,"1 mL/L",IF(1=4,"1 mL/L","")))),IF(IFERROR(MATCH('🌱 Configuração'!$H$12,{"BioBizz","Remo Nutrients","General Organics","SuperSoil","Genérico"},0),1)=3,IF(1=1,"1.3 mL/L",IF(1=2,"1.3 mL/L",IF(1=3,"2.6 mL/L",IF(1=4,"2.6 mL/L","")))),IF(IFERROR(MATCH('🌱 Configuração'!$H$12,{"BioBizz","Remo Nutrients","General Organics","SuperSoil","Genérico"},0),1)=4,IF(1=1,"1–2L/planta",IF(1=2,"1–2L/planta",IF(1=3,"5g/L solo",IF(1=4,"—","")))),IF(1=1,"—",IF(1=2,"—",IF(1=3,"—",IF(1=4,"—","")))))))))))</f>
        <v/>
      </c>
      <c r="F7" s="42" t="str">
        <f aca="false">IF('🌱 Configuração'!$B$56="","",IF(1&lt;1,"",IF(1&gt;'🌱 Configuração'!$H$6,"",IF(IFERROR(MATCH('🌱 Configuração'!$H$12,{"BioBizz","Remo Nutrients","General Organics","SuperSoil","Genérico"},0),1)=1,IF(1=1,"—",IF(1=2,"Alg·A·Mic",IF(1=3,"Bio·Grow",IF(1=4,"Bio·Grow","")))),IF(IFERROR(MATCH('🌱 Configuração'!$H$12,{"BioBizz","Remo Nutrients","General Organics","SuperSoil","Genérico"},0),1)=2,IF(1=1,"Magnifical",IF(1=2,"Magnifical",IF(1=3,"Micro",IF(1=4,"Micro","")))),IF(IFERROR(MATCH('🌱 Configuração'!$H$12,{"BioBizz","Remo Nutrients","General Organics","SuperSoil","Genérico"},0),1)=3,IF(1=1,"CaMg+",IF(1=2,"CaMg+",IF(1=3,"CaMg+",IF(1=4,"CaMg+","")))),IF(IFERROR(MATCH('🌱 Configuração'!$H$12,{"BioBizz","Remo Nutrients","General Organics","SuperSoil","Genérico"},0),1)=4,IF(1=1,"—",IF(1=2,"—",IF(1=3,"—",IF(1=4,"—","")))),IF(1=1,"—",IF(1=2,"—",IF(1=3,"—",IF(1=4,"—","")))))))))))</f>
        <v/>
      </c>
      <c r="G7" s="43" t="str">
        <f aca="false">IF('🌱 Configuração'!$B$56="","",IF(1&lt;1,"",IF(1&gt;'🌱 Configuração'!$H$6,"",IF(IFERROR(MATCH('🌱 Configuração'!$H$12,{"BioBizz","Remo Nutrients","General Organics","SuperSoil","Genérico"},0),1)=1,IF(1=1,"—",IF(1=2,"0.5 mL/L",IF(1=3,"0.5 mL/L",IF(1=4,"1 mL/L","")))),IF(IFERROR(MATCH('🌱 Configuração'!$H$12,{"BioBizz","Remo Nutrients","General Organics","SuperSoil","Genérico"},0),1)=2,IF(1=1,"0.5 mL/L",IF(1=2,"0.5 mL/L",IF(1=3,"0.5 mL/L",IF(1=4,"1 mL/L","")))),IF(IFERROR(MATCH('🌱 Configuração'!$H$12,{"BioBizz","Remo Nutrients","General Organics","SuperSoil","Genérico"},0),1)=3,IF(1=1,"1.3 mL/L",IF(1=2,"1.3 mL/L",IF(1=3,"1.3 mL/L",IF(1=4,"1.3 mL/L","")))),IF(IFERROR(MATCH('🌱 Configuração'!$H$12,{"BioBizz","Remo Nutrients","General Organics","SuperSoil","Genérico"},0),1)=4,IF(1=1,"—",IF(1=2,"—",IF(1=3,"—",IF(1=4,"—","")))),IF(1=1,"—",IF(1=2,"—",IF(1=3,"—",IF(1=4,"—","")))))))))))</f>
        <v/>
      </c>
      <c r="H7" s="42" t="str">
        <f aca="false">IF('🌱 Configuração'!$B$56="","",IF(1&lt;1,"",IF(1&gt;'🌱 Configuração'!$H$6,"",IF(IFERROR(MATCH('🌱 Configuração'!$H$12,{"BioBizz","Remo Nutrients","General Organics","SuperSoil","Genérico"},0),1)=1,IF(1=1,"—",IF(1=2,"—",IF(1=3,"—",IF(1=4,"—","")))),IF(IFERROR(MATCH('🌱 Configuração'!$H$12,{"BioBizz","Remo Nutrients","General Organics","SuperSoil","Genérico"},0),1)=2,IF(1=1,"—",IF(1=2,"—",IF(1=3,"Grow",IF(1=4,"Grow","")))),IF(IFERROR(MATCH('🌱 Configuração'!$H$12,{"BioBizz","Remo Nutrients","General Organics","SuperSoil","Genérico"},0),1)=3,IF(1=1,"—",IF(1=2,"BioWeed",IF(1=3,"BioThrive G",IF(1=4,"BioThrive G","")))),IF(IFERROR(MATCH('🌱 Configuração'!$H$12,{"BioBizz","Remo Nutrients","General Organics","SuperSoil","Genérico"},0),1)=4,IF(1=1,"—",IF(1=2,"—",IF(1=3,"—",IF(1=4,"—","")))),IF(1=1,"—",IF(1=2,"—",IF(1=3,"—",IF(1=4,"—","")))))))))))</f>
        <v/>
      </c>
      <c r="I7" s="43" t="str">
        <f aca="false">IF('🌱 Configuração'!$B$56="","",IF(1&lt;1,"",IF(1&gt;'🌱 Configuração'!$H$6,"",IF(IFERROR(MATCH('🌱 Configuração'!$H$12,{"BioBizz","Remo Nutrients","General Organics","SuperSoil","Genérico"},0),1)=1,IF(1=1,"—",IF(1=2,"—",IF(1=3,"—",IF(1=4,"—","")))),IF(IFERROR(MATCH('🌱 Configuração'!$H$12,{"BioBizz","Remo Nutrients","General Organics","SuperSoil","Genérico"},0),1)=2,IF(1=1,"—",IF(1=2,"—",IF(1=3,"0.5 mL/L",IF(1=4,"1 mL/L","")))),IF(IFERROR(MATCH('🌱 Configuração'!$H$12,{"BioBizz","Remo Nutrients","General Organics","SuperSoil","Genérico"},0),1)=3,IF(1=1,"—",IF(1=2,"0.7 mL/L",IF(1=3,"1.3 mL/L",IF(1=4,"2.6 mL/L","")))),IF(IFERROR(MATCH('🌱 Configuração'!$H$12,{"BioBizz","Remo Nutrients","General Organics","SuperSoil","Genérico"},0),1)=4,IF(1=1,"—",IF(1=2,"—",IF(1=3,"—",IF(1=4,"—","")))),IF(1=1,"—",IF(1=2,"—",IF(1=3,"—",IF(1=4,"—","")))))))))))</f>
        <v/>
      </c>
      <c r="J7" s="42" t="str">
        <f aca="false">IF('🌱 Configuração'!$B$56="","",IF(1&lt;1,"",IF(1&gt;'🌱 Configuração'!$H$6,"",IF(IFERROR(MATCH('🌱 Configuração'!$H$12,{"BioBizz","Remo Nutrients","General Organics","SuperSoil","Genérico"},0),1)=1,IF(1=1,"—",IF(1=2,"—",IF(1=3,"—",IF(1=4,"—","")))),IF(IFERROR(MATCH('🌱 Configuração'!$H$12,{"BioBizz","Remo Nutrients","General Organics","SuperSoil","Genérico"},0),1)=2,IF(1=1,"—",IF(1=2,"—",IF(1=3,"—",IF(1=4,"—","")))),IF(IFERROR(MATCH('🌱 Configuração'!$H$12,{"BioBizz","Remo Nutrients","General Organics","SuperSoil","Genérico"},0),1)=3,IF(1=1,"—",IF(1=2,"—",IF(1=3,"—",IF(1=4,"—","")))),IF(IFERROR(MATCH('🌱 Configuração'!$H$12,{"BioBizz","Remo Nutrients","General Organics","SuperSoil","Genérico"},0),1)=4,IF(1=1,"Biorrizas",IF(1=2,"—",IF(1=3,"—",IF(1=4,"Biorrizas","")))),IF(1=1,"—",IF(1=2,"—",IF(1=3,"—",IF(1=4,"—","")))))))))))</f>
        <v/>
      </c>
      <c r="K7" s="44" t="str">
        <f aca="false">IF('🌱 Configuração'!$B$56="","",IF(1&lt;1,"",IF(1&gt;'🌱 Configuração'!$H$6,"",IF(IFERROR(MATCH('🌱 Configuração'!$H$12,{"BioBizz","Remo Nutrients","General Organics","SuperSoil","Genérico"},0),1)=1,IF(1=1,"6.2–6.5",IF(1=2,"6.2–6.5",IF(1=3,"6.2–6.5",IF(1=4,"6.2–6.5","")))),IF(IFERROR(MATCH('🌱 Configuração'!$H$12,{"BioBizz","Remo Nutrients","General Organics","SuperSoil","Genérico"},0),1)=2,IF(1=1,"5.8–6.0",IF(1=2,"5.8–6.0",IF(1=3,"5.8–6.2",IF(1=4,"5.8–6.2","")))),IF(IFERROR(MATCH('🌱 Configuração'!$H$12,{"BioBizz","Remo Nutrients","General Organics","SuperSoil","Genérico"},0),1)=3,IF(1=1,"6.2–7.0",IF(1=2,"6.2–7.0",IF(1=3,"6.2–7.0",IF(1=4,"6.2–7.0","")))),IF(IFERROR(MATCH('🌱 Configuração'!$H$12,{"BioBizz","Remo Nutrients","General Organics","SuperSoil","Genérico"},0),1)=4,IF(1=1,"auto",IF(1=2,"auto",IF(1=3,"auto",IF(1=4,"auto","")))),IF(1=1,"—",IF(1=2,"—",IF(1=3,"—",IF(1=4,"—","")))))))))))</f>
        <v/>
      </c>
      <c r="L7" s="45" t="str">
        <f aca="false">IF('🌱 Configuração'!$B$56="","",IF(1&lt;1,"",IF(1&gt;'🌱 Configuração'!$H$6,"",IF(IFERROR(MATCH('🌱 Configuração'!$H$12,{"BioBizz","Remo Nutrients","General Organics","SuperSoil","Genérico"},0),1)=1,IF(1=1,"baixo",IF(1=2,"baixo",IF(1=3,"baixo",IF(1=4,"baixo","")))),IF(IFERROR(MATCH('🌱 Configuração'!$H$12,{"BioBizz","Remo Nutrients","General Organics","SuperSoil","Genérico"},0),1)=2,IF(1=1,"baixo",IF(1=2,"baixo",IF(1=3,"0.4",IF(1=4,"0.6","")))),IF(IFERROR(MATCH('🌱 Configuração'!$H$12,{"BioBizz","Remo Nutrients","General Organics","SuperSoil","Genérico"},0),1)=3,IF(1=1,"baixo",IF(1=2,"baixo",IF(1=3,"baixo",IF(1=4,"baixo","")))),IF(IFERROR(MATCH('🌱 Configuração'!$H$12,{"BioBizz","Remo Nutrients","General Organics","SuperSoil","Genérico"},0),1)=4,IF(1=1,"auto",IF(1=2,"auto",IF(1=3,"auto",IF(1=4,"auto","")))),IF(1=1,"—",IF(1=2,"—",IF(1=3,"—",IF(1=4,"—","")))))))))))</f>
        <v/>
      </c>
      <c r="M7" s="42" t="str">
        <f aca="false">IF('🌱 Configuração'!$B$56="","",IF(1&lt;1,"",IF(1&gt;'🌱 Configuração'!$H$6,"",IF(IFERROR(MATCH('🌱 Configuração'!$H$12,{"BioBizz","Remo Nutrients","General Organics","SuperSoil","Genérico"},0),1)=1,IF(1=1,"Solo úmido — estimular raízes",IF(1=2,"Alg·A·Mic recupera e fortalece",IF(1=3,"Início suave de N antes da vega",IF(1=4,"Pronto para vegetativo","")))),IF(IFERROR(MATCH('🌱 Configuração'!$H$12,{"BioBizz","Remo Nutrients","General Organics","SuperSoil","Genérico"},0),1)=2,IF(1=1,"Roots = estimulador de raízes Remo",IF(1=2,"Magnifical = CalMag Remo",IF(1=3,"Introduzir base suave antes da vega",IF(1=4,"Pronto para vega — confirmar raízes","")))),IF(IFERROR(MATCH('🌱 Configuração'!$H$12,{"BioBizz","Remo Nutrients","General Organics","SuperSoil","Genérico"},0),1)=3,IF(1=1,"GO não precisa ajustar pH em solo",IF(1=2,"BioWeed = extrato de algas GO",IF(1=3,"Introduzir BioThrive Grow suave",IF(1=4,"Pronto para vega","")))),IF(IFERROR(MATCH('🌱 Configuração'!$H$12,{"BioBizz","Remo Nutrients","General Organics","SuperSoil","Genérico"},0),1)=4,IF(1=1,"Solo vivo — sem adubação química",IF(1=2,"Manter solo úmido e vivo",IF(1=3,"Farinha de alga = fósforo e K suave",IF(1=4,"Mel de cana alimenta microbioma","")))),IF(1=1,"Personalize suas doses",IF(1=2,"Personalize suas doses",IF(1=3,"Personalize suas doses",IF(1=4,"Personalize suas doses","")))))))))))</f>
        <v/>
      </c>
    </row>
    <row r="8" customFormat="false" ht="21.75" hidden="false" customHeight="true" outlineLevel="0" collapsed="false">
      <c r="B8" s="20" t="str">
        <f aca="false">IF(2&lt;='🌱 Configuração'!$H$6,"S2","—")</f>
        <v>S2</v>
      </c>
      <c r="C8" s="46" t="n">
        <f aca="false">IF(2&lt;='🌱 Configuração'!$H$6,'🌱 Configuração'!$B$56+7,"")</f>
        <v>7</v>
      </c>
      <c r="D8" s="47" t="str">
        <f aca="false">IF('🌱 Configuração'!$B$56="","",IF(2&lt;1,"",IF(2&gt;'🌱 Configuração'!$H$6,"",IF(IFERROR(MATCH('🌱 Configuração'!$H$12,{"BioBizz","Remo Nutrients","General Organics","SuperSoil","Genérico"},0),1)=1,IF(2=1,"Root Juice",IF(2=2,"Root Juice",IF(2=3,"Root Juice",IF(2=4,"Root Juice","")))),IF(IFERROR(MATCH('🌱 Configuração'!$H$12,{"BioBizz","Remo Nutrients","General Organics","SuperSoil","Genérico"},0),1)=2,IF(2=1,"Remo Roots",IF(2=2,"Remo Roots",IF(2=3,"Remo Roots",IF(2=4,"Remo Roots","")))),IF(IFERROR(MATCH('🌱 Configuração'!$H$12,{"BioBizz","Remo Nutrients","General Organics","SuperSoil","Genérico"},0),1)=3,IF(2=1,"BioRoot",IF(2=2,"BioRoot",IF(2=3,"BioRoot",IF(2=4,"BioRoot","")))),IF(IFERROR(MATCH('🌱 Configuração'!$H$12,{"BioBizz","Remo Nutrients","General Organics","SuperSoil","Genérico"},0),1)=4,IF(2=1,"Chá de compostagem",IF(2=2,"Chá de compostagem",IF(2=3,"Cobertura: farinha de alga",IF(2=4,"Molasses 2 mL/L","")))),IF(2=1,"← Preencha",IF(2=2,"← Preencha",IF(2=3,"← Preencha",IF(2=4,"← Preencha","")))))))))))</f>
        <v/>
      </c>
      <c r="E8" s="48" t="str">
        <f aca="false">IF('🌱 Configuração'!$B$56="","",IF(2&lt;1,"",IF(2&gt;'🌱 Configuração'!$H$6,"",IF(IFERROR(MATCH('🌱 Configuração'!$H$12,{"BioBizz","Remo Nutrients","General Organics","SuperSoil","Genérico"},0),1)=1,IF(2=1,"0.3 mL/L",IF(2=2,"0.3 mL/L",IF(2=3,"0.5 mL/L",IF(2=4,"0.5 mL/L","")))),IF(IFERROR(MATCH('🌱 Configuração'!$H$12,{"BioBizz","Remo Nutrients","General Organics","SuperSoil","Genérico"},0),1)=2,IF(2=1,"0.5 mL/L",IF(2=2,"1 mL/L",IF(2=3,"1 mL/L",IF(2=4,"1 mL/L","")))),IF(IFERROR(MATCH('🌱 Configuração'!$H$12,{"BioBizz","Remo Nutrients","General Organics","SuperSoil","Genérico"},0),1)=3,IF(2=1,"1.3 mL/L",IF(2=2,"1.3 mL/L",IF(2=3,"2.6 mL/L",IF(2=4,"2.6 mL/L","")))),IF(IFERROR(MATCH('🌱 Configuração'!$H$12,{"BioBizz","Remo Nutrients","General Organics","SuperSoil","Genérico"},0),1)=4,IF(2=1,"1–2L/planta",IF(2=2,"1–2L/planta",IF(2=3,"5g/L solo",IF(2=4,"—","")))),IF(2=1,"—",IF(2=2,"—",IF(2=3,"—",IF(2=4,"—","")))))))))))</f>
        <v/>
      </c>
      <c r="F8" s="47" t="str">
        <f aca="false">IF('🌱 Configuração'!$B$56="","",IF(2&lt;1,"",IF(2&gt;'🌱 Configuração'!$H$6,"",IF(IFERROR(MATCH('🌱 Configuração'!$H$12,{"BioBizz","Remo Nutrients","General Organics","SuperSoil","Genérico"},0),1)=1,IF(2=1,"—",IF(2=2,"Alg·A·Mic",IF(2=3,"Bio·Grow",IF(2=4,"Bio·Grow","")))),IF(IFERROR(MATCH('🌱 Configuração'!$H$12,{"BioBizz","Remo Nutrients","General Organics","SuperSoil","Genérico"},0),1)=2,IF(2=1,"Magnifical",IF(2=2,"Magnifical",IF(2=3,"Micro",IF(2=4,"Micro","")))),IF(IFERROR(MATCH('🌱 Configuração'!$H$12,{"BioBizz","Remo Nutrients","General Organics","SuperSoil","Genérico"},0),1)=3,IF(2=1,"CaMg+",IF(2=2,"CaMg+",IF(2=3,"CaMg+",IF(2=4,"CaMg+","")))),IF(IFERROR(MATCH('🌱 Configuração'!$H$12,{"BioBizz","Remo Nutrients","General Organics","SuperSoil","Genérico"},0),1)=4,IF(2=1,"—",IF(2=2,"—",IF(2=3,"—",IF(2=4,"—","")))),IF(2=1,"—",IF(2=2,"—",IF(2=3,"—",IF(2=4,"—","")))))))))))</f>
        <v/>
      </c>
      <c r="G8" s="48" t="str">
        <f aca="false">IF('🌱 Configuração'!$B$56="","",IF(2&lt;1,"",IF(2&gt;'🌱 Configuração'!$H$6,"",IF(IFERROR(MATCH('🌱 Configuração'!$H$12,{"BioBizz","Remo Nutrients","General Organics","SuperSoil","Genérico"},0),1)=1,IF(2=1,"—",IF(2=2,"0.5 mL/L",IF(2=3,"0.5 mL/L",IF(2=4,"1 mL/L","")))),IF(IFERROR(MATCH('🌱 Configuração'!$H$12,{"BioBizz","Remo Nutrients","General Organics","SuperSoil","Genérico"},0),1)=2,IF(2=1,"0.5 mL/L",IF(2=2,"0.5 mL/L",IF(2=3,"0.5 mL/L",IF(2=4,"1 mL/L","")))),IF(IFERROR(MATCH('🌱 Configuração'!$H$12,{"BioBizz","Remo Nutrients","General Organics","SuperSoil","Genérico"},0),1)=3,IF(2=1,"1.3 mL/L",IF(2=2,"1.3 mL/L",IF(2=3,"1.3 mL/L",IF(2=4,"1.3 mL/L","")))),IF(IFERROR(MATCH('🌱 Configuração'!$H$12,{"BioBizz","Remo Nutrients","General Organics","SuperSoil","Genérico"},0),1)=4,IF(2=1,"—",IF(2=2,"—",IF(2=3,"—",IF(2=4,"—","")))),IF(2=1,"—",IF(2=2,"—",IF(2=3,"—",IF(2=4,"—","")))))))))))</f>
        <v/>
      </c>
      <c r="H8" s="47" t="str">
        <f aca="false">IF('🌱 Configuração'!$B$56="","",IF(2&lt;1,"",IF(2&gt;'🌱 Configuração'!$H$6,"",IF(IFERROR(MATCH('🌱 Configuração'!$H$12,{"BioBizz","Remo Nutrients","General Organics","SuperSoil","Genérico"},0),1)=1,IF(2=1,"—",IF(2=2,"—",IF(2=3,"—",IF(2=4,"—","")))),IF(IFERROR(MATCH('🌱 Configuração'!$H$12,{"BioBizz","Remo Nutrients","General Organics","SuperSoil","Genérico"},0),1)=2,IF(2=1,"—",IF(2=2,"—",IF(2=3,"Grow",IF(2=4,"Grow","")))),IF(IFERROR(MATCH('🌱 Configuração'!$H$12,{"BioBizz","Remo Nutrients","General Organics","SuperSoil","Genérico"},0),1)=3,IF(2=1,"—",IF(2=2,"BioWeed",IF(2=3,"BioThrive G",IF(2=4,"BioThrive G","")))),IF(IFERROR(MATCH('🌱 Configuração'!$H$12,{"BioBizz","Remo Nutrients","General Organics","SuperSoil","Genérico"},0),1)=4,IF(2=1,"—",IF(2=2,"—",IF(2=3,"—",IF(2=4,"—","")))),IF(2=1,"—",IF(2=2,"—",IF(2=3,"—",IF(2=4,"—","")))))))))))</f>
        <v/>
      </c>
      <c r="I8" s="48" t="str">
        <f aca="false">IF('🌱 Configuração'!$B$56="","",IF(2&lt;1,"",IF(2&gt;'🌱 Configuração'!$H$6,"",IF(IFERROR(MATCH('🌱 Configuração'!$H$12,{"BioBizz","Remo Nutrients","General Organics","SuperSoil","Genérico"},0),1)=1,IF(2=1,"—",IF(2=2,"—",IF(2=3,"—",IF(2=4,"—","")))),IF(IFERROR(MATCH('🌱 Configuração'!$H$12,{"BioBizz","Remo Nutrients","General Organics","SuperSoil","Genérico"},0),1)=2,IF(2=1,"—",IF(2=2,"—",IF(2=3,"0.5 mL/L",IF(2=4,"1 mL/L","")))),IF(IFERROR(MATCH('🌱 Configuração'!$H$12,{"BioBizz","Remo Nutrients","General Organics","SuperSoil","Genérico"},0),1)=3,IF(2=1,"—",IF(2=2,"0.7 mL/L",IF(2=3,"1.3 mL/L",IF(2=4,"2.6 mL/L","")))),IF(IFERROR(MATCH('🌱 Configuração'!$H$12,{"BioBizz","Remo Nutrients","General Organics","SuperSoil","Genérico"},0),1)=4,IF(2=1,"—",IF(2=2,"—",IF(2=3,"—",IF(2=4,"—","")))),IF(2=1,"—",IF(2=2,"—",IF(2=3,"—",IF(2=4,"—","")))))))))))</f>
        <v/>
      </c>
      <c r="J8" s="47" t="str">
        <f aca="false">IF('🌱 Configuração'!$B$56="","",IF(2&lt;1,"",IF(2&gt;'🌱 Configuração'!$H$6,"",IF(IFERROR(MATCH('🌱 Configuração'!$H$12,{"BioBizz","Remo Nutrients","General Organics","SuperSoil","Genérico"},0),1)=1,IF(2=1,"—",IF(2=2,"—",IF(2=3,"—",IF(2=4,"—","")))),IF(IFERROR(MATCH('🌱 Configuração'!$H$12,{"BioBizz","Remo Nutrients","General Organics","SuperSoil","Genérico"},0),1)=2,IF(2=1,"—",IF(2=2,"—",IF(2=3,"—",IF(2=4,"—","")))),IF(IFERROR(MATCH('🌱 Configuração'!$H$12,{"BioBizz","Remo Nutrients","General Organics","SuperSoil","Genérico"},0),1)=3,IF(2=1,"—",IF(2=2,"—",IF(2=3,"—",IF(2=4,"—","")))),IF(IFERROR(MATCH('🌱 Configuração'!$H$12,{"BioBizz","Remo Nutrients","General Organics","SuperSoil","Genérico"},0),1)=4,IF(2=1,"Biorrizas",IF(2=2,"—",IF(2=3,"—",IF(2=4,"Biorrizas","")))),IF(2=1,"—",IF(2=2,"—",IF(2=3,"—",IF(2=4,"—","")))))))))))</f>
        <v/>
      </c>
      <c r="K8" s="44" t="str">
        <f aca="false">IF('🌱 Configuração'!$B$56="","",IF(2&lt;1,"",IF(2&gt;'🌱 Configuração'!$H$6,"",IF(IFERROR(MATCH('🌱 Configuração'!$H$12,{"BioBizz","Remo Nutrients","General Organics","SuperSoil","Genérico"},0),1)=1,IF(2=1,"6.2–6.5",IF(2=2,"6.2–6.5",IF(2=3,"6.2–6.5",IF(2=4,"6.2–6.5","")))),IF(IFERROR(MATCH('🌱 Configuração'!$H$12,{"BioBizz","Remo Nutrients","General Organics","SuperSoil","Genérico"},0),1)=2,IF(2=1,"5.8–6.0",IF(2=2,"5.8–6.0",IF(2=3,"5.8–6.2",IF(2=4,"5.8–6.2","")))),IF(IFERROR(MATCH('🌱 Configuração'!$H$12,{"BioBizz","Remo Nutrients","General Organics","SuperSoil","Genérico"},0),1)=3,IF(2=1,"6.2–7.0",IF(2=2,"6.2–7.0",IF(2=3,"6.2–7.0",IF(2=4,"6.2–7.0","")))),IF(IFERROR(MATCH('🌱 Configuração'!$H$12,{"BioBizz","Remo Nutrients","General Organics","SuperSoil","Genérico"},0),1)=4,IF(2=1,"auto",IF(2=2,"auto",IF(2=3,"auto",IF(2=4,"auto","")))),IF(2=1,"—",IF(2=2,"—",IF(2=3,"—",IF(2=4,"—","")))))))))))</f>
        <v/>
      </c>
      <c r="L8" s="45" t="str">
        <f aca="false">IF('🌱 Configuração'!$B$56="","",IF(2&lt;1,"",IF(2&gt;'🌱 Configuração'!$H$6,"",IF(IFERROR(MATCH('🌱 Configuração'!$H$12,{"BioBizz","Remo Nutrients","General Organics","SuperSoil","Genérico"},0),1)=1,IF(2=1,"baixo",IF(2=2,"baixo",IF(2=3,"baixo",IF(2=4,"baixo","")))),IF(IFERROR(MATCH('🌱 Configuração'!$H$12,{"BioBizz","Remo Nutrients","General Organics","SuperSoil","Genérico"},0),1)=2,IF(2=1,"baixo",IF(2=2,"baixo",IF(2=3,"0.4",IF(2=4,"0.6","")))),IF(IFERROR(MATCH('🌱 Configuração'!$H$12,{"BioBizz","Remo Nutrients","General Organics","SuperSoil","Genérico"},0),1)=3,IF(2=1,"baixo",IF(2=2,"baixo",IF(2=3,"baixo",IF(2=4,"baixo","")))),IF(IFERROR(MATCH('🌱 Configuração'!$H$12,{"BioBizz","Remo Nutrients","General Organics","SuperSoil","Genérico"},0),1)=4,IF(2=1,"auto",IF(2=2,"auto",IF(2=3,"auto",IF(2=4,"auto","")))),IF(2=1,"—",IF(2=2,"—",IF(2=3,"—",IF(2=4,"—","")))))))))))</f>
        <v/>
      </c>
      <c r="M8" s="47" t="str">
        <f aca="false">IF('🌱 Configuração'!$B$56="","",IF(2&lt;1,"",IF(2&gt;'🌱 Configuração'!$H$6,"",IF(IFERROR(MATCH('🌱 Configuração'!$H$12,{"BioBizz","Remo Nutrients","General Organics","SuperSoil","Genérico"},0),1)=1,IF(2=1,"Solo úmido — estimular raízes",IF(2=2,"Alg·A·Mic recupera e fortalece",IF(2=3,"Início suave de N antes da vega",IF(2=4,"Pronto para vegetativo","")))),IF(IFERROR(MATCH('🌱 Configuração'!$H$12,{"BioBizz","Remo Nutrients","General Organics","SuperSoil","Genérico"},0),1)=2,IF(2=1,"Roots = estimulador de raízes Remo",IF(2=2,"Magnifical = CalMag Remo",IF(2=3,"Introduzir base suave antes da vega",IF(2=4,"Pronto para vega — confirmar raízes","")))),IF(IFERROR(MATCH('🌱 Configuração'!$H$12,{"BioBizz","Remo Nutrients","General Organics","SuperSoil","Genérico"},0),1)=3,IF(2=1,"GO não precisa ajustar pH em solo",IF(2=2,"BioWeed = extrato de algas GO",IF(2=3,"Introduzir BioThrive Grow suave",IF(2=4,"Pronto para vega","")))),IF(IFERROR(MATCH('🌱 Configuração'!$H$12,{"BioBizz","Remo Nutrients","General Organics","SuperSoil","Genérico"},0),1)=4,IF(2=1,"Solo vivo — sem adubação química",IF(2=2,"Manter solo úmido e vivo",IF(2=3,"Farinha de alga = fósforo e K suave",IF(2=4,"Mel de cana alimenta microbioma","")))),IF(2=1,"Personalize suas doses",IF(2=2,"Personalize suas doses",IF(2=3,"Personalize suas doses",IF(2=4,"Personalize suas doses","")))))))))))</f>
        <v/>
      </c>
    </row>
    <row r="9" customFormat="false" ht="21.75" hidden="false" customHeight="true" outlineLevel="0" collapsed="false">
      <c r="B9" s="20" t="str">
        <f aca="false">IF(3&lt;='🌱 Configuração'!$H$6,"S3","—")</f>
        <v>—</v>
      </c>
      <c r="C9" s="41" t="str">
        <f aca="false">IF(3&lt;='🌱 Configuração'!$H$6,'🌱 Configuração'!$B$56+14,"")</f>
        <v/>
      </c>
      <c r="D9" s="42" t="str">
        <f aca="false">IF('🌱 Configuração'!$B$56="","",IF(3&lt;1,"",IF(3&gt;'🌱 Configuração'!$H$6,"",IF(IFERROR(MATCH('🌱 Configuração'!$H$12,{"BioBizz","Remo Nutrients","General Organics","SuperSoil","Genérico"},0),1)=1,IF(3=1,"Root Juice",IF(3=2,"Root Juice",IF(3=3,"Root Juice",IF(3=4,"Root Juice","")))),IF(IFERROR(MATCH('🌱 Configuração'!$H$12,{"BioBizz","Remo Nutrients","General Organics","SuperSoil","Genérico"},0),1)=2,IF(3=1,"Remo Roots",IF(3=2,"Remo Roots",IF(3=3,"Remo Roots",IF(3=4,"Remo Roots","")))),IF(IFERROR(MATCH('🌱 Configuração'!$H$12,{"BioBizz","Remo Nutrients","General Organics","SuperSoil","Genérico"},0),1)=3,IF(3=1,"BioRoot",IF(3=2,"BioRoot",IF(3=3,"BioRoot",IF(3=4,"BioRoot","")))),IF(IFERROR(MATCH('🌱 Configuração'!$H$12,{"BioBizz","Remo Nutrients","General Organics","SuperSoil","Genérico"},0),1)=4,IF(3=1,"Chá de compostagem",IF(3=2,"Chá de compostagem",IF(3=3,"Cobertura: farinha de alga",IF(3=4,"Molasses 2 mL/L","")))),IF(3=1,"← Preencha",IF(3=2,"← Preencha",IF(3=3,"← Preencha",IF(3=4,"← Preencha","")))))))))))</f>
        <v/>
      </c>
      <c r="E9" s="43" t="str">
        <f aca="false">IF('🌱 Configuração'!$B$56="","",IF(3&lt;1,"",IF(3&gt;'🌱 Configuração'!$H$6,"",IF(IFERROR(MATCH('🌱 Configuração'!$H$12,{"BioBizz","Remo Nutrients","General Organics","SuperSoil","Genérico"},0),1)=1,IF(3=1,"0.3 mL/L",IF(3=2,"0.3 mL/L",IF(3=3,"0.5 mL/L",IF(3=4,"0.5 mL/L","")))),IF(IFERROR(MATCH('🌱 Configuração'!$H$12,{"BioBizz","Remo Nutrients","General Organics","SuperSoil","Genérico"},0),1)=2,IF(3=1,"0.5 mL/L",IF(3=2,"1 mL/L",IF(3=3,"1 mL/L",IF(3=4,"1 mL/L","")))),IF(IFERROR(MATCH('🌱 Configuração'!$H$12,{"BioBizz","Remo Nutrients","General Organics","SuperSoil","Genérico"},0),1)=3,IF(3=1,"1.3 mL/L",IF(3=2,"1.3 mL/L",IF(3=3,"2.6 mL/L",IF(3=4,"2.6 mL/L","")))),IF(IFERROR(MATCH('🌱 Configuração'!$H$12,{"BioBizz","Remo Nutrients","General Organics","SuperSoil","Genérico"},0),1)=4,IF(3=1,"1–2L/planta",IF(3=2,"1–2L/planta",IF(3=3,"5g/L solo",IF(3=4,"—","")))),IF(3=1,"—",IF(3=2,"—",IF(3=3,"—",IF(3=4,"—","")))))))))))</f>
        <v/>
      </c>
      <c r="F9" s="42" t="str">
        <f aca="false">IF('🌱 Configuração'!$B$56="","",IF(3&lt;1,"",IF(3&gt;'🌱 Configuração'!$H$6,"",IF(IFERROR(MATCH('🌱 Configuração'!$H$12,{"BioBizz","Remo Nutrients","General Organics","SuperSoil","Genérico"},0),1)=1,IF(3=1,"—",IF(3=2,"Alg·A·Mic",IF(3=3,"Bio·Grow",IF(3=4,"Bio·Grow","")))),IF(IFERROR(MATCH('🌱 Configuração'!$H$12,{"BioBizz","Remo Nutrients","General Organics","SuperSoil","Genérico"},0),1)=2,IF(3=1,"Magnifical",IF(3=2,"Magnifical",IF(3=3,"Micro",IF(3=4,"Micro","")))),IF(IFERROR(MATCH('🌱 Configuração'!$H$12,{"BioBizz","Remo Nutrients","General Organics","SuperSoil","Genérico"},0),1)=3,IF(3=1,"CaMg+",IF(3=2,"CaMg+",IF(3=3,"CaMg+",IF(3=4,"CaMg+","")))),IF(IFERROR(MATCH('🌱 Configuração'!$H$12,{"BioBizz","Remo Nutrients","General Organics","SuperSoil","Genérico"},0),1)=4,IF(3=1,"—",IF(3=2,"—",IF(3=3,"—",IF(3=4,"—","")))),IF(3=1,"—",IF(3=2,"—",IF(3=3,"—",IF(3=4,"—","")))))))))))</f>
        <v/>
      </c>
      <c r="G9" s="43" t="str">
        <f aca="false">IF('🌱 Configuração'!$B$56="","",IF(3&lt;1,"",IF(3&gt;'🌱 Configuração'!$H$6,"",IF(IFERROR(MATCH('🌱 Configuração'!$H$12,{"BioBizz","Remo Nutrients","General Organics","SuperSoil","Genérico"},0),1)=1,IF(3=1,"—",IF(3=2,"0.5 mL/L",IF(3=3,"0.5 mL/L",IF(3=4,"1 mL/L","")))),IF(IFERROR(MATCH('🌱 Configuração'!$H$12,{"BioBizz","Remo Nutrients","General Organics","SuperSoil","Genérico"},0),1)=2,IF(3=1,"0.5 mL/L",IF(3=2,"0.5 mL/L",IF(3=3,"0.5 mL/L",IF(3=4,"1 mL/L","")))),IF(IFERROR(MATCH('🌱 Configuração'!$H$12,{"BioBizz","Remo Nutrients","General Organics","SuperSoil","Genérico"},0),1)=3,IF(3=1,"1.3 mL/L",IF(3=2,"1.3 mL/L",IF(3=3,"1.3 mL/L",IF(3=4,"1.3 mL/L","")))),IF(IFERROR(MATCH('🌱 Configuração'!$H$12,{"BioBizz","Remo Nutrients","General Organics","SuperSoil","Genérico"},0),1)=4,IF(3=1,"—",IF(3=2,"—",IF(3=3,"—",IF(3=4,"—","")))),IF(3=1,"—",IF(3=2,"—",IF(3=3,"—",IF(3=4,"—","")))))))))))</f>
        <v/>
      </c>
      <c r="H9" s="42" t="str">
        <f aca="false">IF('🌱 Configuração'!$B$56="","",IF(3&lt;1,"",IF(3&gt;'🌱 Configuração'!$H$6,"",IF(IFERROR(MATCH('🌱 Configuração'!$H$12,{"BioBizz","Remo Nutrients","General Organics","SuperSoil","Genérico"},0),1)=1,IF(3=1,"—",IF(3=2,"—",IF(3=3,"—",IF(3=4,"—","")))),IF(IFERROR(MATCH('🌱 Configuração'!$H$12,{"BioBizz","Remo Nutrients","General Organics","SuperSoil","Genérico"},0),1)=2,IF(3=1,"—",IF(3=2,"—",IF(3=3,"Grow",IF(3=4,"Grow","")))),IF(IFERROR(MATCH('🌱 Configuração'!$H$12,{"BioBizz","Remo Nutrients","General Organics","SuperSoil","Genérico"},0),1)=3,IF(3=1,"—",IF(3=2,"BioWeed",IF(3=3,"BioThrive G",IF(3=4,"BioThrive G","")))),IF(IFERROR(MATCH('🌱 Configuração'!$H$12,{"BioBizz","Remo Nutrients","General Organics","SuperSoil","Genérico"},0),1)=4,IF(3=1,"—",IF(3=2,"—",IF(3=3,"—",IF(3=4,"—","")))),IF(3=1,"—",IF(3=2,"—",IF(3=3,"—",IF(3=4,"—","")))))))))))</f>
        <v/>
      </c>
      <c r="I9" s="43" t="str">
        <f aca="false">IF('🌱 Configuração'!$B$56="","",IF(3&lt;1,"",IF(3&gt;'🌱 Configuração'!$H$6,"",IF(IFERROR(MATCH('🌱 Configuração'!$H$12,{"BioBizz","Remo Nutrients","General Organics","SuperSoil","Genérico"},0),1)=1,IF(3=1,"—",IF(3=2,"—",IF(3=3,"—",IF(3=4,"—","")))),IF(IFERROR(MATCH('🌱 Configuração'!$H$12,{"BioBizz","Remo Nutrients","General Organics","SuperSoil","Genérico"},0),1)=2,IF(3=1,"—",IF(3=2,"—",IF(3=3,"0.5 mL/L",IF(3=4,"1 mL/L","")))),IF(IFERROR(MATCH('🌱 Configuração'!$H$12,{"BioBizz","Remo Nutrients","General Organics","SuperSoil","Genérico"},0),1)=3,IF(3=1,"—",IF(3=2,"0.7 mL/L",IF(3=3,"1.3 mL/L",IF(3=4,"2.6 mL/L","")))),IF(IFERROR(MATCH('🌱 Configuração'!$H$12,{"BioBizz","Remo Nutrients","General Organics","SuperSoil","Genérico"},0),1)=4,IF(3=1,"—",IF(3=2,"—",IF(3=3,"—",IF(3=4,"—","")))),IF(3=1,"—",IF(3=2,"—",IF(3=3,"—",IF(3=4,"—","")))))))))))</f>
        <v/>
      </c>
      <c r="J9" s="42" t="str">
        <f aca="false">IF('🌱 Configuração'!$B$56="","",IF(3&lt;1,"",IF(3&gt;'🌱 Configuração'!$H$6,"",IF(IFERROR(MATCH('🌱 Configuração'!$H$12,{"BioBizz","Remo Nutrients","General Organics","SuperSoil","Genérico"},0),1)=1,IF(3=1,"—",IF(3=2,"—",IF(3=3,"—",IF(3=4,"—","")))),IF(IFERROR(MATCH('🌱 Configuração'!$H$12,{"BioBizz","Remo Nutrients","General Organics","SuperSoil","Genérico"},0),1)=2,IF(3=1,"—",IF(3=2,"—",IF(3=3,"—",IF(3=4,"—","")))),IF(IFERROR(MATCH('🌱 Configuração'!$H$12,{"BioBizz","Remo Nutrients","General Organics","SuperSoil","Genérico"},0),1)=3,IF(3=1,"—",IF(3=2,"—",IF(3=3,"—",IF(3=4,"—","")))),IF(IFERROR(MATCH('🌱 Configuração'!$H$12,{"BioBizz","Remo Nutrients","General Organics","SuperSoil","Genérico"},0),1)=4,IF(3=1,"Biorrizas",IF(3=2,"—",IF(3=3,"—",IF(3=4,"Biorrizas","")))),IF(3=1,"—",IF(3=2,"—",IF(3=3,"—",IF(3=4,"—","")))))))))))</f>
        <v/>
      </c>
      <c r="K9" s="44" t="str">
        <f aca="false">IF('🌱 Configuração'!$B$56="","",IF(3&lt;1,"",IF(3&gt;'🌱 Configuração'!$H$6,"",IF(IFERROR(MATCH('🌱 Configuração'!$H$12,{"BioBizz","Remo Nutrients","General Organics","SuperSoil","Genérico"},0),1)=1,IF(3=1,"6.2–6.5",IF(3=2,"6.2–6.5",IF(3=3,"6.2–6.5",IF(3=4,"6.2–6.5","")))),IF(IFERROR(MATCH('🌱 Configuração'!$H$12,{"BioBizz","Remo Nutrients","General Organics","SuperSoil","Genérico"},0),1)=2,IF(3=1,"5.8–6.0",IF(3=2,"5.8–6.0",IF(3=3,"5.8–6.2",IF(3=4,"5.8–6.2","")))),IF(IFERROR(MATCH('🌱 Configuração'!$H$12,{"BioBizz","Remo Nutrients","General Organics","SuperSoil","Genérico"},0),1)=3,IF(3=1,"6.2–7.0",IF(3=2,"6.2–7.0",IF(3=3,"6.2–7.0",IF(3=4,"6.2–7.0","")))),IF(IFERROR(MATCH('🌱 Configuração'!$H$12,{"BioBizz","Remo Nutrients","General Organics","SuperSoil","Genérico"},0),1)=4,IF(3=1,"auto",IF(3=2,"auto",IF(3=3,"auto",IF(3=4,"auto","")))),IF(3=1,"—",IF(3=2,"—",IF(3=3,"—",IF(3=4,"—","")))))))))))</f>
        <v/>
      </c>
      <c r="L9" s="45" t="str">
        <f aca="false">IF('🌱 Configuração'!$B$56="","",IF(3&lt;1,"",IF(3&gt;'🌱 Configuração'!$H$6,"",IF(IFERROR(MATCH('🌱 Configuração'!$H$12,{"BioBizz","Remo Nutrients","General Organics","SuperSoil","Genérico"},0),1)=1,IF(3=1,"baixo",IF(3=2,"baixo",IF(3=3,"baixo",IF(3=4,"baixo","")))),IF(IFERROR(MATCH('🌱 Configuração'!$H$12,{"BioBizz","Remo Nutrients","General Organics","SuperSoil","Genérico"},0),1)=2,IF(3=1,"baixo",IF(3=2,"baixo",IF(3=3,"0.4",IF(3=4,"0.6","")))),IF(IFERROR(MATCH('🌱 Configuração'!$H$12,{"BioBizz","Remo Nutrients","General Organics","SuperSoil","Genérico"},0),1)=3,IF(3=1,"baixo",IF(3=2,"baixo",IF(3=3,"baixo",IF(3=4,"baixo","")))),IF(IFERROR(MATCH('🌱 Configuração'!$H$12,{"BioBizz","Remo Nutrients","General Organics","SuperSoil","Genérico"},0),1)=4,IF(3=1,"auto",IF(3=2,"auto",IF(3=3,"auto",IF(3=4,"auto","")))),IF(3=1,"—",IF(3=2,"—",IF(3=3,"—",IF(3=4,"—","")))))))))))</f>
        <v/>
      </c>
      <c r="M9" s="42" t="str">
        <f aca="false">IF('🌱 Configuração'!$B$56="","",IF(3&lt;1,"",IF(3&gt;'🌱 Configuração'!$H$6,"",IF(IFERROR(MATCH('🌱 Configuração'!$H$12,{"BioBizz","Remo Nutrients","General Organics","SuperSoil","Genérico"},0),1)=1,IF(3=1,"Solo úmido — estimular raízes",IF(3=2,"Alg·A·Mic recupera e fortalece",IF(3=3,"Início suave de N antes da vega",IF(3=4,"Pronto para vegetativo","")))),IF(IFERROR(MATCH('🌱 Configuração'!$H$12,{"BioBizz","Remo Nutrients","General Organics","SuperSoil","Genérico"},0),1)=2,IF(3=1,"Roots = estimulador de raízes Remo",IF(3=2,"Magnifical = CalMag Remo",IF(3=3,"Introduzir base suave antes da vega",IF(3=4,"Pronto para vega — confirmar raízes","")))),IF(IFERROR(MATCH('🌱 Configuração'!$H$12,{"BioBizz","Remo Nutrients","General Organics","SuperSoil","Genérico"},0),1)=3,IF(3=1,"GO não precisa ajustar pH em solo",IF(3=2,"BioWeed = extrato de algas GO",IF(3=3,"Introduzir BioThrive Grow suave",IF(3=4,"Pronto para vega","")))),IF(IFERROR(MATCH('🌱 Configuração'!$H$12,{"BioBizz","Remo Nutrients","General Organics","SuperSoil","Genérico"},0),1)=4,IF(3=1,"Solo vivo — sem adubação química",IF(3=2,"Manter solo úmido e vivo",IF(3=3,"Farinha de alga = fósforo e K suave",IF(3=4,"Mel de cana alimenta microbioma","")))),IF(3=1,"Personalize suas doses",IF(3=2,"Personalize suas doses",IF(3=3,"Personalize suas doses",IF(3=4,"Personalize suas doses","")))))))))))</f>
        <v/>
      </c>
    </row>
    <row r="10" customFormat="false" ht="21.75" hidden="false" customHeight="true" outlineLevel="0" collapsed="false">
      <c r="B10" s="20" t="str">
        <f aca="false">IF(4&lt;='🌱 Configuração'!$H$6,"S4","—")</f>
        <v>—</v>
      </c>
      <c r="C10" s="46" t="str">
        <f aca="false">IF(4&lt;='🌱 Configuração'!$H$6,'🌱 Configuração'!$B$56+21,"")</f>
        <v/>
      </c>
      <c r="D10" s="47" t="str">
        <f aca="false">IF('🌱 Configuração'!$B$56="","",IF(4&lt;1,"",IF(4&gt;'🌱 Configuração'!$H$6,"",IF(IFERROR(MATCH('🌱 Configuração'!$H$12,{"BioBizz","Remo Nutrients","General Organics","SuperSoil","Genérico"},0),1)=1,IF(4=1,"Root Juice",IF(4=2,"Root Juice",IF(4=3,"Root Juice",IF(4=4,"Root Juice","")))),IF(IFERROR(MATCH('🌱 Configuração'!$H$12,{"BioBizz","Remo Nutrients","General Organics","SuperSoil","Genérico"},0),1)=2,IF(4=1,"Remo Roots",IF(4=2,"Remo Roots",IF(4=3,"Remo Roots",IF(4=4,"Remo Roots","")))),IF(IFERROR(MATCH('🌱 Configuração'!$H$12,{"BioBizz","Remo Nutrients","General Organics","SuperSoil","Genérico"},0),1)=3,IF(4=1,"BioRoot",IF(4=2,"BioRoot",IF(4=3,"BioRoot",IF(4=4,"BioRoot","")))),IF(IFERROR(MATCH('🌱 Configuração'!$H$12,{"BioBizz","Remo Nutrients","General Organics","SuperSoil","Genérico"},0),1)=4,IF(4=1,"Chá de compostagem",IF(4=2,"Chá de compostagem",IF(4=3,"Cobertura: farinha de alga",IF(4=4,"Molasses 2 mL/L","")))),IF(4=1,"← Preencha",IF(4=2,"← Preencha",IF(4=3,"← Preencha",IF(4=4,"← Preencha","")))))))))))</f>
        <v/>
      </c>
      <c r="E10" s="48" t="str">
        <f aca="false">IF('🌱 Configuração'!$B$56="","",IF(4&lt;1,"",IF(4&gt;'🌱 Configuração'!$H$6,"",IF(IFERROR(MATCH('🌱 Configuração'!$H$12,{"BioBizz","Remo Nutrients","General Organics","SuperSoil","Genérico"},0),1)=1,IF(4=1,"0.3 mL/L",IF(4=2,"0.3 mL/L",IF(4=3,"0.5 mL/L",IF(4=4,"0.5 mL/L","")))),IF(IFERROR(MATCH('🌱 Configuração'!$H$12,{"BioBizz","Remo Nutrients","General Organics","SuperSoil","Genérico"},0),1)=2,IF(4=1,"0.5 mL/L",IF(4=2,"1 mL/L",IF(4=3,"1 mL/L",IF(4=4,"1 mL/L","")))),IF(IFERROR(MATCH('🌱 Configuração'!$H$12,{"BioBizz","Remo Nutrients","General Organics","SuperSoil","Genérico"},0),1)=3,IF(4=1,"1.3 mL/L",IF(4=2,"1.3 mL/L",IF(4=3,"2.6 mL/L",IF(4=4,"2.6 mL/L","")))),IF(IFERROR(MATCH('🌱 Configuração'!$H$12,{"BioBizz","Remo Nutrients","General Organics","SuperSoil","Genérico"},0),1)=4,IF(4=1,"1–2L/planta",IF(4=2,"1–2L/planta",IF(4=3,"5g/L solo",IF(4=4,"—","")))),IF(4=1,"—",IF(4=2,"—",IF(4=3,"—",IF(4=4,"—","")))))))))))</f>
        <v/>
      </c>
      <c r="F10" s="47" t="str">
        <f aca="false">IF('🌱 Configuração'!$B$56="","",IF(4&lt;1,"",IF(4&gt;'🌱 Configuração'!$H$6,"",IF(IFERROR(MATCH('🌱 Configuração'!$H$12,{"BioBizz","Remo Nutrients","General Organics","SuperSoil","Genérico"},0),1)=1,IF(4=1,"—",IF(4=2,"Alg·A·Mic",IF(4=3,"Bio·Grow",IF(4=4,"Bio·Grow","")))),IF(IFERROR(MATCH('🌱 Configuração'!$H$12,{"BioBizz","Remo Nutrients","General Organics","SuperSoil","Genérico"},0),1)=2,IF(4=1,"Magnifical",IF(4=2,"Magnifical",IF(4=3,"Micro",IF(4=4,"Micro","")))),IF(IFERROR(MATCH('🌱 Configuração'!$H$12,{"BioBizz","Remo Nutrients","General Organics","SuperSoil","Genérico"},0),1)=3,IF(4=1,"CaMg+",IF(4=2,"CaMg+",IF(4=3,"CaMg+",IF(4=4,"CaMg+","")))),IF(IFERROR(MATCH('🌱 Configuração'!$H$12,{"BioBizz","Remo Nutrients","General Organics","SuperSoil","Genérico"},0),1)=4,IF(4=1,"—",IF(4=2,"—",IF(4=3,"—",IF(4=4,"—","")))),IF(4=1,"—",IF(4=2,"—",IF(4=3,"—",IF(4=4,"—","")))))))))))</f>
        <v/>
      </c>
      <c r="G10" s="48" t="str">
        <f aca="false">IF('🌱 Configuração'!$B$56="","",IF(4&lt;1,"",IF(4&gt;'🌱 Configuração'!$H$6,"",IF(IFERROR(MATCH('🌱 Configuração'!$H$12,{"BioBizz","Remo Nutrients","General Organics","SuperSoil","Genérico"},0),1)=1,IF(4=1,"—",IF(4=2,"0.5 mL/L",IF(4=3,"0.5 mL/L",IF(4=4,"1 mL/L","")))),IF(IFERROR(MATCH('🌱 Configuração'!$H$12,{"BioBizz","Remo Nutrients","General Organics","SuperSoil","Genérico"},0),1)=2,IF(4=1,"0.5 mL/L",IF(4=2,"0.5 mL/L",IF(4=3,"0.5 mL/L",IF(4=4,"1 mL/L","")))),IF(IFERROR(MATCH('🌱 Configuração'!$H$12,{"BioBizz","Remo Nutrients","General Organics","SuperSoil","Genérico"},0),1)=3,IF(4=1,"1.3 mL/L",IF(4=2,"1.3 mL/L",IF(4=3,"1.3 mL/L",IF(4=4,"1.3 mL/L","")))),IF(IFERROR(MATCH('🌱 Configuração'!$H$12,{"BioBizz","Remo Nutrients","General Organics","SuperSoil","Genérico"},0),1)=4,IF(4=1,"—",IF(4=2,"—",IF(4=3,"—",IF(4=4,"—","")))),IF(4=1,"—",IF(4=2,"—",IF(4=3,"—",IF(4=4,"—","")))))))))))</f>
        <v/>
      </c>
      <c r="H10" s="47" t="str">
        <f aca="false">IF('🌱 Configuração'!$B$56="","",IF(4&lt;1,"",IF(4&gt;'🌱 Configuração'!$H$6,"",IF(IFERROR(MATCH('🌱 Configuração'!$H$12,{"BioBizz","Remo Nutrients","General Organics","SuperSoil","Genérico"},0),1)=1,IF(4=1,"—",IF(4=2,"—",IF(4=3,"—",IF(4=4,"—","")))),IF(IFERROR(MATCH('🌱 Configuração'!$H$12,{"BioBizz","Remo Nutrients","General Organics","SuperSoil","Genérico"},0),1)=2,IF(4=1,"—",IF(4=2,"—",IF(4=3,"Grow",IF(4=4,"Grow","")))),IF(IFERROR(MATCH('🌱 Configuração'!$H$12,{"BioBizz","Remo Nutrients","General Organics","SuperSoil","Genérico"},0),1)=3,IF(4=1,"—",IF(4=2,"BioWeed",IF(4=3,"BioThrive G",IF(4=4,"BioThrive G","")))),IF(IFERROR(MATCH('🌱 Configuração'!$H$12,{"BioBizz","Remo Nutrients","General Organics","SuperSoil","Genérico"},0),1)=4,IF(4=1,"—",IF(4=2,"—",IF(4=3,"—",IF(4=4,"—","")))),IF(4=1,"—",IF(4=2,"—",IF(4=3,"—",IF(4=4,"—","")))))))))))</f>
        <v/>
      </c>
      <c r="I10" s="48" t="str">
        <f aca="false">IF('🌱 Configuração'!$B$56="","",IF(4&lt;1,"",IF(4&gt;'🌱 Configuração'!$H$6,"",IF(IFERROR(MATCH('🌱 Configuração'!$H$12,{"BioBizz","Remo Nutrients","General Organics","SuperSoil","Genérico"},0),1)=1,IF(4=1,"—",IF(4=2,"—",IF(4=3,"—",IF(4=4,"—","")))),IF(IFERROR(MATCH('🌱 Configuração'!$H$12,{"BioBizz","Remo Nutrients","General Organics","SuperSoil","Genérico"},0),1)=2,IF(4=1,"—",IF(4=2,"—",IF(4=3,"0.5 mL/L",IF(4=4,"1 mL/L","")))),IF(IFERROR(MATCH('🌱 Configuração'!$H$12,{"BioBizz","Remo Nutrients","General Organics","SuperSoil","Genérico"},0),1)=3,IF(4=1,"—",IF(4=2,"0.7 mL/L",IF(4=3,"1.3 mL/L",IF(4=4,"2.6 mL/L","")))),IF(IFERROR(MATCH('🌱 Configuração'!$H$12,{"BioBizz","Remo Nutrients","General Organics","SuperSoil","Genérico"},0),1)=4,IF(4=1,"—",IF(4=2,"—",IF(4=3,"—",IF(4=4,"—","")))),IF(4=1,"—",IF(4=2,"—",IF(4=3,"—",IF(4=4,"—","")))))))))))</f>
        <v/>
      </c>
      <c r="J10" s="47" t="str">
        <f aca="false">IF('🌱 Configuração'!$B$56="","",IF(4&lt;1,"",IF(4&gt;'🌱 Configuração'!$H$6,"",IF(IFERROR(MATCH('🌱 Configuração'!$H$12,{"BioBizz","Remo Nutrients","General Organics","SuperSoil","Genérico"},0),1)=1,IF(4=1,"—",IF(4=2,"—",IF(4=3,"—",IF(4=4,"—","")))),IF(IFERROR(MATCH('🌱 Configuração'!$H$12,{"BioBizz","Remo Nutrients","General Organics","SuperSoil","Genérico"},0),1)=2,IF(4=1,"—",IF(4=2,"—",IF(4=3,"—",IF(4=4,"—","")))),IF(IFERROR(MATCH('🌱 Configuração'!$H$12,{"BioBizz","Remo Nutrients","General Organics","SuperSoil","Genérico"},0),1)=3,IF(4=1,"—",IF(4=2,"—",IF(4=3,"—",IF(4=4,"—","")))),IF(IFERROR(MATCH('🌱 Configuração'!$H$12,{"BioBizz","Remo Nutrients","General Organics","SuperSoil","Genérico"},0),1)=4,IF(4=1,"Biorrizas",IF(4=2,"—",IF(4=3,"—",IF(4=4,"Biorrizas","")))),IF(4=1,"—",IF(4=2,"—",IF(4=3,"—",IF(4=4,"—","")))))))))))</f>
        <v/>
      </c>
      <c r="K10" s="44" t="str">
        <f aca="false">IF('🌱 Configuração'!$B$56="","",IF(4&lt;1,"",IF(4&gt;'🌱 Configuração'!$H$6,"",IF(IFERROR(MATCH('🌱 Configuração'!$H$12,{"BioBizz","Remo Nutrients","General Organics","SuperSoil","Genérico"},0),1)=1,IF(4=1,"6.2–6.5",IF(4=2,"6.2–6.5",IF(4=3,"6.2–6.5",IF(4=4,"6.2–6.5","")))),IF(IFERROR(MATCH('🌱 Configuração'!$H$12,{"BioBizz","Remo Nutrients","General Organics","SuperSoil","Genérico"},0),1)=2,IF(4=1,"5.8–6.0",IF(4=2,"5.8–6.0",IF(4=3,"5.8–6.2",IF(4=4,"5.8–6.2","")))),IF(IFERROR(MATCH('🌱 Configuração'!$H$12,{"BioBizz","Remo Nutrients","General Organics","SuperSoil","Genérico"},0),1)=3,IF(4=1,"6.2–7.0",IF(4=2,"6.2–7.0",IF(4=3,"6.2–7.0",IF(4=4,"6.2–7.0","")))),IF(IFERROR(MATCH('🌱 Configuração'!$H$12,{"BioBizz","Remo Nutrients","General Organics","SuperSoil","Genérico"},0),1)=4,IF(4=1,"auto",IF(4=2,"auto",IF(4=3,"auto",IF(4=4,"auto","")))),IF(4=1,"—",IF(4=2,"—",IF(4=3,"—",IF(4=4,"—","")))))))))))</f>
        <v/>
      </c>
      <c r="L10" s="45" t="str">
        <f aca="false">IF('🌱 Configuração'!$B$56="","",IF(4&lt;1,"",IF(4&gt;'🌱 Configuração'!$H$6,"",IF(IFERROR(MATCH('🌱 Configuração'!$H$12,{"BioBizz","Remo Nutrients","General Organics","SuperSoil","Genérico"},0),1)=1,IF(4=1,"baixo",IF(4=2,"baixo",IF(4=3,"baixo",IF(4=4,"baixo","")))),IF(IFERROR(MATCH('🌱 Configuração'!$H$12,{"BioBizz","Remo Nutrients","General Organics","SuperSoil","Genérico"},0),1)=2,IF(4=1,"baixo",IF(4=2,"baixo",IF(4=3,"0.4",IF(4=4,"0.6","")))),IF(IFERROR(MATCH('🌱 Configuração'!$H$12,{"BioBizz","Remo Nutrients","General Organics","SuperSoil","Genérico"},0),1)=3,IF(4=1,"baixo",IF(4=2,"baixo",IF(4=3,"baixo",IF(4=4,"baixo","")))),IF(IFERROR(MATCH('🌱 Configuração'!$H$12,{"BioBizz","Remo Nutrients","General Organics","SuperSoil","Genérico"},0),1)=4,IF(4=1,"auto",IF(4=2,"auto",IF(4=3,"auto",IF(4=4,"auto","")))),IF(4=1,"—",IF(4=2,"—",IF(4=3,"—",IF(4=4,"—","")))))))))))</f>
        <v/>
      </c>
      <c r="M10" s="47" t="str">
        <f aca="false">IF('🌱 Configuração'!$B$56="","",IF(4&lt;1,"",IF(4&gt;'🌱 Configuração'!$H$6,"",IF(IFERROR(MATCH('🌱 Configuração'!$H$12,{"BioBizz","Remo Nutrients","General Organics","SuperSoil","Genérico"},0),1)=1,IF(4=1,"Solo úmido — estimular raízes",IF(4=2,"Alg·A·Mic recupera e fortalece",IF(4=3,"Início suave de N antes da vega",IF(4=4,"Pronto para vegetativo","")))),IF(IFERROR(MATCH('🌱 Configuração'!$H$12,{"BioBizz","Remo Nutrients","General Organics","SuperSoil","Genérico"},0),1)=2,IF(4=1,"Roots = estimulador de raízes Remo",IF(4=2,"Magnifical = CalMag Remo",IF(4=3,"Introduzir base suave antes da vega",IF(4=4,"Pronto para vega — confirmar raízes","")))),IF(IFERROR(MATCH('🌱 Configuração'!$H$12,{"BioBizz","Remo Nutrients","General Organics","SuperSoil","Genérico"},0),1)=3,IF(4=1,"GO não precisa ajustar pH em solo",IF(4=2,"BioWeed = extrato de algas GO",IF(4=3,"Introduzir BioThrive Grow suave",IF(4=4,"Pronto para vega","")))),IF(IFERROR(MATCH('🌱 Configuração'!$H$12,{"BioBizz","Remo Nutrients","General Organics","SuperSoil","Genérico"},0),1)=4,IF(4=1,"Solo vivo — sem adubação química",IF(4=2,"Manter solo úmido e vivo",IF(4=3,"Farinha de alga = fósforo e K suave",IF(4=4,"Mel de cana alimenta microbioma","")))),IF(4=1,"Personalize suas doses",IF(4=2,"Personalize suas doses",IF(4=3,"Personalize suas doses",IF(4=4,"Personalize suas doses","")))))))))))</f>
        <v/>
      </c>
    </row>
    <row r="12" customFormat="false" ht="27.75" hidden="false" customHeight="true" outlineLevel="0" collapsed="false">
      <c r="B12" s="49" t="s">
        <v>37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</row>
    <row r="13" customFormat="false" ht="24" hidden="false" customHeight="true" outlineLevel="0" collapsed="false">
      <c r="B13" s="40" t="s">
        <v>45</v>
      </c>
      <c r="C13" s="40" t="s">
        <v>46</v>
      </c>
      <c r="D13" s="40" t="s">
        <v>47</v>
      </c>
      <c r="E13" s="40" t="s">
        <v>48</v>
      </c>
      <c r="F13" s="40" t="s">
        <v>49</v>
      </c>
      <c r="G13" s="40" t="s">
        <v>50</v>
      </c>
      <c r="H13" s="40" t="s">
        <v>51</v>
      </c>
      <c r="I13" s="40" t="s">
        <v>52</v>
      </c>
      <c r="J13" s="40" t="s">
        <v>53</v>
      </c>
      <c r="K13" s="40" t="s">
        <v>54</v>
      </c>
      <c r="L13" s="40" t="s">
        <v>55</v>
      </c>
      <c r="M13" s="40" t="s">
        <v>56</v>
      </c>
    </row>
    <row r="14" customFormat="false" ht="21.75" hidden="false" customHeight="true" outlineLevel="0" collapsed="false">
      <c r="B14" s="23" t="str">
        <f aca="false">IF(1&lt;='🌱 Configuração'!$H$7,"S1","—")</f>
        <v>S1</v>
      </c>
      <c r="C14" s="41" t="n">
        <f aca="false">IF(1&lt;='🌱 Configuração'!$H$7,'🌱 Configuração'!$C$56+0,"")</f>
        <v>14</v>
      </c>
      <c r="D14" s="42" t="str">
        <f aca="false">IF('🌱 Configuração'!$C$56="","",IF(1&lt;1,"",IF(1&gt;'🌱 Configuração'!$H$7,"",IF(IFERROR(MATCH('🌱 Configuração'!$H$12,{"BioBizz","Remo Nutrients","General Organics","SuperSoil","Genérico"},0),1)=1,IF(1=1,"Bio·Grow",IF(1=2,"Bio·Grow",IF(1=3,"Bio·Grow",IF(1=4,"Bio·Grow",IF(1=5,"Bio·Grow",IF(1=6,"Bio·Grow",IF(1=7,"Bio·Grow",IF(1=8,"Bio·Grow","")))))))),IF(IFERROR(MATCH('🌱 Configuração'!$H$12,{"BioBizz","Remo Nutrients","General Organics","SuperSoil","Genérico"},0),1)=2,IF(1=1,"Micro",IF(1=2,"Micro",IF(1=3,"Micro",IF(1=4,"Micro",IF(1=5,"Micro",IF(1=6,"Micro",IF(1=7,"Micro",IF(1=8,"Micro","")))))))),IF(IFERROR(MATCH('🌱 Configuração'!$H$12,{"BioBizz","Remo Nutrients","General Organics","SuperSoil","Genérico"},0),1)=3,IF(1=1,"BioThrive G",IF(1=2,"BioThrive G",IF(1=3,"BioThrive G",IF(1=4,"BioThrive G",IF(1=5,"BioThrive G",IF(1=6,"BioThrive G",IF(1=7,"BioThrive G",IF(1=8,"BioThrive G","")))))))),IF(IFERROR(MATCH('🌱 Configuração'!$H$12,{"BioBizz","Remo Nutrients","General Organics","SuperSoil","Genérico"},0),1)=4,IF(1=1,"Chá de compostagem",IF(1=2,"Cobertura: torta de mamona",IF(1=3,"Molasses 2 mL/L",IF(1=4,"Chá de compostagem",IF(1=5,"Cobertura: farinha de alga",IF(1=6,"Molasses 2 mL/L",IF(1=7,"Cobertura: farinha de osso",IF(1=8,"Chá de compostagem","")))))))),IF(1=1,"← Preencha",IF(1=2,"← Preencha",IF(1=3,"← Preencha",IF(1=4,"← Preencha",IF(1=5,"← Preencha",IF(1=6,"← Preencha",IF(1=7,"← Preencha",IF(1=8,"← Preencha","")))))))))))))))</f>
        <v>Bio·Grow</v>
      </c>
      <c r="E14" s="43" t="str">
        <f aca="false">IF('🌱 Configuração'!$C$56="","",IF(1&lt;1,"",IF(1&gt;'🌱 Configuração'!$H$7,"",IF(IFERROR(MATCH('🌱 Configuração'!$H$12,{"BioBizz","Remo Nutrients","General Organics","SuperSoil","Genérico"},0),1)=1,IF(1=1,"1 mL/L",IF(1=2,"2 mL/L",IF(1=3,"2 mL/L",IF(1=4,"3 mL/L",IF(1=5,"4 mL/L",IF(1=6,"4 mL/L",IF(1=7,"4 mL/L",IF(1=8,"4 mL/L","")))))))),IF(IFERROR(MATCH('🌱 Configuração'!$H$12,{"BioBizz","Remo Nutrients","General Organics","SuperSoil","Genérico"},0),1)=2,IF(1=1,"1.3 mL/L",IF(1=2,"1.5 mL/L",IF(1=3,"1.8 mL/L",IF(1=4,"2.1 mL/L",IF(1=5,"2.1 mL/L",IF(1=6,"2.1 mL/L",IF(1=7,"2.1 mL/L",IF(1=8,"2.1 mL/L","")))))))),IF(IFERROR(MATCH('🌱 Configuração'!$H$12,{"BioBizz","Remo Nutrients","General Organics","SuperSoil","Genérico"},0),1)=3,IF(1=1,"1.3 mL/L",IF(1=2,"2.6 mL/L",IF(1=3,"2.6 mL/L",IF(1=4,"2.6 mL/L",IF(1=5,"2.6 mL/L",IF(1=6,"2.6 mL/L",IF(1=7,"1.3 mL/L",IF(1=8,"1.3 mL/L","")))))))),IF(IFERROR(MATCH('🌱 Configuração'!$H$12,{"BioBizz","Remo Nutrients","General Organics","SuperSoil","Genérico"},0),1)=4,IF(1=1,"2L/planta",IF(1=2,"10g/vaso",IF(1=3,"—",IF(1=4,"2L/planta",IF(1=5,"5g/L solo",IF(1=6,"—",IF(1=7,"10g/vaso",IF(1=8,"2L/planta","")))))))),IF(1=1,"—",IF(1=2,"—",IF(1=3,"—",IF(1=4,"—",IF(1=5,"—",IF(1=6,"—",IF(1=7,"—",IF(1=8,"—","")))))))))))))))</f>
        <v>1 mL/L</v>
      </c>
      <c r="F14" s="42" t="str">
        <f aca="false">IF('🌱 Configuração'!$C$56="","",IF(1&lt;1,"",IF(1&gt;'🌱 Configuração'!$H$7,"",IF(IFERROR(MATCH('🌱 Configuração'!$H$12,{"BioBizz","Remo Nutrients","General Organics","SuperSoil","Genérico"},0),1)=1,IF(1=1,"Fish·Mix",IF(1=2,"Fish·Mix",IF(1=3,"Fish·Mix",IF(1=4,"Fish·Mix",IF(1=5,"Fish·Mix",IF(1=6,"—",IF(1=7,"Bio·Bloom",IF(1=8,"Bio·Bloom","")))))))),IF(IFERROR(MATCH('🌱 Configuração'!$H$12,{"BioBizz","Remo Nutrients","General Organics","SuperSoil","Genérico"},0),1)=2,IF(1=1,"Grow",IF(1=2,"Grow",IF(1=3,"Grow",IF(1=4,"Grow",IF(1=5,"Grow",IF(1=6,"Grow",IF(1=7,"Grow",IF(1=8,"Grow","")))))))),IF(IFERROR(MATCH('🌱 Configuração'!$H$12,{"BioBizz","Remo Nutrients","General Organics","SuperSoil","Genérico"},0),1)=3,IF(1=1,"BioRoot",IF(1=2,"BioRoot",IF(1=3,"BioRoot",IF(1=4,"BioRoot",IF(1=5,"CaMg+",IF(1=6,"BioThrive B",IF(1=7,"BioThrive B",IF(1=8,"BioThrive B","")))))))),IF(IFERROR(MATCH('🌱 Configuração'!$H$12,{"BioBizz","Remo Nutrients","General Organics","SuperSoil","Genérico"},0),1)=4,IF(1=1,"—",IF(1=2,"Cobertura: farinha de osso",IF(1=3,"—",IF(1=4,"—",IF(1=5,"Cobertura: cinzas de madeira",IF(1=6,"—",IF(1=7,"Cobertura: guano de morcego",IF(1=8,"—","")))))))),IF(1=1,"—",IF(1=2,"—",IF(1=3,"—",IF(1=4,"—",IF(1=5,"—",IF(1=6,"—",IF(1=7,"—",IF(1=8,"—","")))))))))))))))</f>
        <v>Fish·Mix</v>
      </c>
      <c r="G14" s="43" t="str">
        <f aca="false">IF('🌱 Configuração'!$C$56="","",IF(1&lt;1,"",IF(1&gt;'🌱 Configuração'!$H$7,"",IF(IFERROR(MATCH('🌱 Configuração'!$H$12,{"BioBizz","Remo Nutrients","General Organics","SuperSoil","Genérico"},0),1)=1,IF(1=1,"1 mL/L",IF(1=2,"2 mL/L",IF(1=3,"2 mL/L",IF(1=4,"3 mL/L",IF(1=5,"3 mL/L",IF(1=6,"—",IF(1=7,"1 mL/L",IF(1=8,"2 mL/L","")))))))),IF(IFERROR(MATCH('🌱 Configuração'!$H$12,{"BioBizz","Remo Nutrients","General Organics","SuperSoil","Genérico"},0),1)=2,IF(1=1,"1.3 mL/L",IF(1=2,"1.5 mL/L",IF(1=3,"1.8 mL/L",IF(1=4,"2.1 mL/L",IF(1=5,"2.1 mL/L",IF(1=6,"2.1 mL/L",IF(1=7,"1.0 mL/L",IF(1=8,"0.5 mL/L","")))))))),IF(IFERROR(MATCH('🌱 Configuração'!$H$12,{"BioBizz","Remo Nutrients","General Organics","SuperSoil","Genérico"},0),1)=3,IF(1=1,"2.6 mL/L",IF(1=2,"2.6 mL/L",IF(1=3,"2.6 mL/L",IF(1=4,"1.3 mL/L",IF(1=5,"1.3 mL/L",IF(1=6,"1.3 mL/L",IF(1=7,"2.6 mL/L",IF(1=8,"2.6 mL/L","")))))))),IF(IFERROR(MATCH('🌱 Configuração'!$H$12,{"BioBizz","Remo Nutrients","General Organics","SuperSoil","Genérico"},0),1)=4,IF(1=1,"—",IF(1=2,"10g/vaso",IF(1=3,"—",IF(1=4,"—",IF(1=5,"3g/L",IF(1=6,"—",IF(1=7,"5g/L",IF(1=8,"—","")))))))),IF(1=1,"—",IF(1=2,"—",IF(1=3,"—",IF(1=4,"—",IF(1=5,"—",IF(1=6,"—",IF(1=7,"—",IF(1=8,"—","")))))))))))))))</f>
        <v>1 mL/L</v>
      </c>
      <c r="H14" s="42" t="str">
        <f aca="false">IF('🌱 Configuração'!$C$56="","",IF(1&lt;1,"",IF(1&gt;'🌱 Configuração'!$H$7,"",IF(IFERROR(MATCH('🌱 Configuração'!$H$12,{"BioBizz","Remo Nutrients","General Organics","SuperSoil","Genérico"},0),1)=1,IF(1=1,"—",IF(1=2,"—",IF(1=3,"—",IF(1=4,"—",IF(1=5,"—",IF(1=6,"—",IF(1=7,"—",IF(1=8,"—","")))))))),IF(IFERROR(MATCH('🌱 Configuração'!$H$12,{"BioBizz","Remo Nutrients","General Organics","SuperSoil","Genérico"},0),1)=2,IF(1=1,"—",IF(1=2,"—",IF(1=3,"—",IF(1=4,"—",IF(1=5,"—",IF(1=6,"Bloom",IF(1=7,"Bloom",IF(1=8,"Bloom","")))))))),IF(IFERROR(MATCH('🌱 Configuração'!$H$12,{"BioBizz","Remo Nutrients","General Organics","SuperSoil","Genérico"},0),1)=3,IF(1=1,"CaMg+",IF(1=2,"CaMg+",IF(1=3,"CaMg+",IF(1=4,"CaMg+",IF(1=5,"—",IF(1=6,"CaMg+",IF(1=7,"CaMg+",IF(1=8,"CaMg+","")))))))),IF(IFERROR(MATCH('🌱 Configuração'!$H$12,{"BioBizz","Remo Nutrients","General Organics","SuperSoil","Genérico"},0),1)=4,IF(1=1,"—",IF(1=2,"—",IF(1=3,"—",IF(1=4,"—",IF(1=5,"—",IF(1=6,"—",IF(1=7,"—",IF(1=8,"—","")))))))),IF(1=1,"—",IF(1=2,"—",IF(1=3,"—",IF(1=4,"—",IF(1=5,"—",IF(1=6,"—",IF(1=7,"—",IF(1=8,"—","")))))))))))))))</f>
        <v>—</v>
      </c>
      <c r="I14" s="43" t="str">
        <f aca="false">IF('🌱 Configuração'!$C$56="","",IF(1&lt;1,"",IF(1&gt;'🌱 Configuração'!$H$7,"",IF(IFERROR(MATCH('🌱 Configuração'!$H$12,{"BioBizz","Remo Nutrients","General Organics","SuperSoil","Genérico"},0),1)=1,IF(1=1,"—",IF(1=2,"—",IF(1=3,"—",IF(1=4,"—",IF(1=5,"—",IF(1=6,"—",IF(1=7,"—",IF(1=8,"—","")))))))),IF(IFERROR(MATCH('🌱 Configuração'!$H$12,{"BioBizz","Remo Nutrients","General Organics","SuperSoil","Genérico"},0),1)=2,IF(1=1,"—",IF(1=2,"—",IF(1=3,"—",IF(1=4,"—",IF(1=5,"—",IF(1=6,"1.0 mL/L",IF(1=7,"2.1 mL/L",IF(1=8,"2.1 mL/L","")))))))),IF(IFERROR(MATCH('🌱 Configuração'!$H$12,{"BioBizz","Remo Nutrients","General Organics","SuperSoil","Genérico"},0),1)=3,IF(1=1,"1.3 mL/L",IF(1=2,"1.3 mL/L",IF(1=3,"1.3 mL/L",IF(1=4,"1.3 mL/L",IF(1=5,"—",IF(1=6,"1.3 mL/L",IF(1=7,"1.3 mL/L",IF(1=8,"1.3 mL/L","")))))))),IF(IFERROR(MATCH('🌱 Configuração'!$H$12,{"BioBizz","Remo Nutrients","General Organics","SuperSoil","Genérico"},0),1)=4,IF(1=1,"—",IF(1=2,"—",IF(1=3,"—",IF(1=4,"—",IF(1=5,"—",IF(1=6,"—",IF(1=7,"—",IF(1=8,"—","")))))))),IF(1=1,"—",IF(1=2,"—",IF(1=3,"—",IF(1=4,"—",IF(1=5,"—",IF(1=6,"—",IF(1=7,"—",IF(1=8,"—","")))))))))))))))</f>
        <v>—</v>
      </c>
      <c r="J14" s="42" t="str">
        <f aca="false">IF('🌱 Configuração'!$C$56="","",IF(1&lt;1,"",IF(1&gt;'🌱 Configuração'!$H$7,"",IF(IFERROR(MATCH('🌱 Configuração'!$H$12,{"BioBizz","Remo Nutrients","General Organics","SuperSoil","Genérico"},0),1)=1,IF(1=1,"Alg·A·Mic 1mL",IF(1=2,"—",IF(1=3,"Alg·A·Mic 1mL",IF(1=4,"—",IF(1=5,"Alg·A·Mic 1mL",IF(1=6,"—",IF(1=7,"—",IF(1=8,"—","")))))))),IF(IFERROR(MATCH('🌱 Configuração'!$H$12,{"BioBizz","Remo Nutrients","General Organics","SuperSoil","Genérico"},0),1)=2,IF(1=1,"Magnifical 0.5",IF(1=2,"Magnifical 0.5",IF(1=3,"Magnifical 1.0",IF(1=4,"Magnifical 1.0",IF(1=5,"Magnifical 1.0",IF(1=6,"Magnifical 1.0",IF(1=7,"—",IF(1=8,"—","")))))))),IF(IFERROR(MATCH('🌱 Configuração'!$H$12,{"BioBizz","Remo Nutrients","General Organics","SuperSoil","Genérico"},0),1)=3,IF(1=1,"BioWeed 0.7",IF(1=2,"BioWeed 0.7",IF(1=3,"—",IF(1=4,"—",IF(1=5,"—",IF(1=6,"—",IF(1=7,"—",IF(1=8,"—","")))))))),IF(IFERROR(MATCH('🌱 Configuração'!$H$12,{"BioBizz","Remo Nutrients","General Organics","SuperSoil","Genérico"},0),1)=4,IF(1=1,"Vermicomposto",IF(1=2,"—",IF(1=3,"—",IF(1=4,"—",IF(1=5,"—",IF(1=6,"Microrganismos",IF(1=7,"—",IF(1=8,"—","")))))))),IF(1=1,"—",IF(1=2,"—",IF(1=3,"—",IF(1=4,"—",IF(1=5,"—",IF(1=6,"—",IF(1=7,"—",IF(1=8,"—","")))))))))))))))</f>
        <v>Alg·A·Mic 1mL</v>
      </c>
      <c r="K14" s="44" t="str">
        <f aca="false">IF('🌱 Configuração'!$C$56="","",IF(1&lt;1,"",IF(1&gt;'🌱 Configuração'!$H$7,"",IF(IFERROR(MATCH('🌱 Configuração'!$H$12,{"BioBizz","Remo Nutrients","General Organics","SuperSoil","Genérico"},0),1)=1,IF(1=1,"6.2–6.5",IF(1=2,"6.2–6.5",IF(1=3,"6.2–6.5",IF(1=4,"6.2–6.5",IF(1=5,"6.2–6.5",IF(1=6,"6.2–6.5",IF(1=7,"6.2–6.5",IF(1=8,"6.2–6.5","")))))))),IF(IFERROR(MATCH('🌱 Configuração'!$H$12,{"BioBizz","Remo Nutrients","General Organics","SuperSoil","Genérico"},0),1)=2,IF(1=1,"6.0–6.3",IF(1=2,"6.0–6.3",IF(1=3,"6.0–6.3",IF(1=4,"6.0–6.3",IF(1=5,"6.0–6.3",IF(1=6,"6.0–6.3",IF(1=7,"6.0–6.3",IF(1=8,"6.0–6.3","")))))))),IF(IFERROR(MATCH('🌱 Configuração'!$H$12,{"BioBizz","Remo Nutrients","General Organics","SuperSoil","Genérico"},0),1)=3,IF(1=1,"6.2–7.0",IF(1=2,"6.2–7.0",IF(1=3,"6.2–7.0",IF(1=4,"6.2–7.0",IF(1=5,"6.2–7.0",IF(1=6,"6.2–7.0",IF(1=7,"6.2–7.0",IF(1=8,"6.2–7.0","")))))))),IF(IFERROR(MATCH('🌱 Configuração'!$H$12,{"BioBizz","Remo Nutrients","General Organics","SuperSoil","Genérico"},0),1)=4,IF(1=1,"auto",IF(1=2,"auto",IF(1=3,"auto",IF(1=4,"auto",IF(1=5,"auto",IF(1=6,"auto",IF(1=7,"auto",IF(1=8,"auto","")))))))),IF(1=1,"—",IF(1=2,"—",IF(1=3,"—",IF(1=4,"—",IF(1=5,"—",IF(1=6,"—",IF(1=7,"—",IF(1=8,"—","")))))))))))))))</f>
        <v>6.2–6.5</v>
      </c>
      <c r="L14" s="45" t="str">
        <f aca="false">IF('🌱 Configuração'!$C$56="","",IF(1&lt;1,"",IF(1&gt;'🌱 Configuração'!$H$7,"",IF(IFERROR(MATCH('🌱 Configuração'!$H$12,{"BioBizz","Remo Nutrients","General Organics","SuperSoil","Genérico"},0),1)=1,IF(1=1,"0.8",IF(1=2,"1.0",IF(1=3,"1.2",IF(1=4,"1.4",IF(1=5,"1.5",IF(1=6,"1.4",IF(1=7,"1.4",IF(1=8,"1.4","")))))))),IF(IFERROR(MATCH('🌱 Configuração'!$H$12,{"BioBizz","Remo Nutrients","General Organics","SuperSoil","Genérico"},0),1)=2,IF(1=1,"0.8",IF(1=2,"1.0",IF(1=3,"1.2",IF(1=4,"1.4",IF(1=5,"1.5",IF(1=6,"1.5",IF(1=7,"1.4",IF(1=8,"1.4","")))))))),IF(IFERROR(MATCH('🌱 Configuração'!$H$12,{"BioBizz","Remo Nutrients","General Organics","SuperSoil","Genérico"},0),1)=3,IF(1=1,"N/A",IF(1=2,"N/A",IF(1=3,"N/A",IF(1=4,"N/A",IF(1=5,"N/A",IF(1=6,"N/A",IF(1=7,"N/A",IF(1=8,"N/A","")))))))),IF(IFERROR(MATCH('🌱 Configuração'!$H$12,{"BioBizz","Remo Nutrients","General Organics","SuperSoil","Genérico"},0),1)=4,IF(1=1,"auto",IF(1=2,"auto",IF(1=3,"auto",IF(1=4,"auto",IF(1=5,"auto",IF(1=6,"auto",IF(1=7,"auto",IF(1=8,"auto","")))))))),IF(1=1,"—",IF(1=2,"—",IF(1=3,"—",IF(1=4,"—",IF(1=5,"—",IF(1=6,"—",IF(1=7,"—",IF(1=8,"—","")))))))))))))))</f>
        <v>0.8</v>
      </c>
      <c r="M14" s="42" t="str">
        <f aca="false">IF('🌱 Configuração'!$C$56="","",IF(1&lt;1,"",IF(1&gt;'🌱 Configuração'!$H$7,"",IF(IFERROR(MATCH('🌱 Configuração'!$H$12,{"BioBizz","Remo Nutrients","General Organics","SuperSoil","Genérico"},0),1)=1,IF(1=1,"Fish·Mix em veg = mais N orgânico",IF(1=2,"Aumentar progressivamente",IF(1=3,"Foliar: Fish·Mix + Alg·A·Mic 1mL/L",IF(1=4,"LST / estrutura vegetativa",IF(1=5,"Pré-floração — reduzir Fish·Mix",IF(1=6,"Substituir Fish·Mix por Bio·Grow antes da flora",IF(1=7,"Semana de transição — introduzir Bloom",IF(1=8,"Semana extra de vega","")))))))),IF(IFERROR(MATCH('🌱 Configuração'!$H$12,{"BioBizz","Remo Nutrients","General Organics","SuperSoil","Genérico"},0),1)=2,IF(1=1,"Micro+Grow = base Remo para vega",IF(1=2,"Aumentar conforme tabela oficial",IF(1=3,"Semana 3 da tabela Remo",IF(1=4,"Semana 4 da tabela Remo — pico vega",IF(1=5,"Manter se continuar vega",IF(1=6,"Introduzir Bloom — transição",IF(1=7,"Reduzir Grow, aumentar Bloom",IF(1=8,"Semana extra de vega","")))))))),IF(IFERROR(MATCH('🌱 Configuração'!$H$12,{"BioBizz","Remo Nutrients","General Organics","SuperSoil","Genérico"},0),1)=3,IF(1=1,"GO não requer EC — pH auto-regula",IF(1=2,"Sem necessidade de ajuste pH em solo",IF(1=3,"Semana 3 veg GO",IF(1=4,"Reduzir BioRoot gradualmente",IF(1=5,"Manter Grow puro na vega",IF(1=6,"Semana transição — introduzir Bloom",IF(1=7,"Transição flora — reduzir Grow",IF(1=8,"Semana extra de vega GO","")))))))),IF(IFERROR(MATCH('🌱 Configuração'!$H$12,{"BioBizz","Remo Nutrients","General Organics","SuperSoil","Genérico"},0),1)=4,IF(1=1,"SuperSoil já contém todos os nutrientes",IF(1=2,"Torta de mamona = N lento | Osso = P",IF(1=3,"Mel de cana alimenta fungos e bactérias",IF(1=4,"Observar vigor — solo vivo trabalha",IF(1=5,"Alga = micro. | Cinzas = K e Ca",IF(1=6,"Pré-flora — ativar P e K no solo",IF(1=7,"Guano P alto = preparo para flora",IF(1=8,"Semana extra de vega SuperSoil","")))))))),IF(1=1,"Personalize suas doses",IF(1=2,"Personalize suas doses",IF(1=3,"Personalize suas doses",IF(1=4,"Personalize suas doses",IF(1=5,"Personalize suas doses",IF(1=6,"Personalize suas doses",IF(1=7,"Personalize suas doses",IF(1=8,"Personalize suas doses","")))))))))))))))</f>
        <v>Fish·Mix em veg = mais N orgânico</v>
      </c>
    </row>
    <row r="15" customFormat="false" ht="21.75" hidden="false" customHeight="true" outlineLevel="0" collapsed="false">
      <c r="B15" s="23" t="str">
        <f aca="false">IF(2&lt;='🌱 Configuração'!$H$7,"S2","—")</f>
        <v>S2</v>
      </c>
      <c r="C15" s="50" t="n">
        <f aca="false">IF(2&lt;='🌱 Configuração'!$H$7,'🌱 Configuração'!$C$56+7,"")</f>
        <v>21</v>
      </c>
      <c r="D15" s="51" t="str">
        <f aca="false">IF('🌱 Configuração'!$C$56="","",IF(2&lt;1,"",IF(2&gt;'🌱 Configuração'!$H$7,"",IF(IFERROR(MATCH('🌱 Configuração'!$H$12,{"BioBizz","Remo Nutrients","General Organics","SuperSoil","Genérico"},0),1)=1,IF(2=1,"Bio·Grow",IF(2=2,"Bio·Grow",IF(2=3,"Bio·Grow",IF(2=4,"Bio·Grow",IF(2=5,"Bio·Grow",IF(2=6,"Bio·Grow",IF(2=7,"Bio·Grow",IF(2=8,"Bio·Grow","")))))))),IF(IFERROR(MATCH('🌱 Configuração'!$H$12,{"BioBizz","Remo Nutrients","General Organics","SuperSoil","Genérico"},0),1)=2,IF(2=1,"Micro",IF(2=2,"Micro",IF(2=3,"Micro",IF(2=4,"Micro",IF(2=5,"Micro",IF(2=6,"Micro",IF(2=7,"Micro",IF(2=8,"Micro","")))))))),IF(IFERROR(MATCH('🌱 Configuração'!$H$12,{"BioBizz","Remo Nutrients","General Organics","SuperSoil","Genérico"},0),1)=3,IF(2=1,"BioThrive G",IF(2=2,"BioThrive G",IF(2=3,"BioThrive G",IF(2=4,"BioThrive G",IF(2=5,"BioThrive G",IF(2=6,"BioThrive G",IF(2=7,"BioThrive G",IF(2=8,"BioThrive G","")))))))),IF(IFERROR(MATCH('🌱 Configuração'!$H$12,{"BioBizz","Remo Nutrients","General Organics","SuperSoil","Genérico"},0),1)=4,IF(2=1,"Chá de compostagem",IF(2=2,"Cobertura: torta de mamona",IF(2=3,"Molasses 2 mL/L",IF(2=4,"Chá de compostagem",IF(2=5,"Cobertura: farinha de alga",IF(2=6,"Molasses 2 mL/L",IF(2=7,"Cobertura: farinha de osso",IF(2=8,"Chá de compostagem","")))))))),IF(2=1,"← Preencha",IF(2=2,"← Preencha",IF(2=3,"← Preencha",IF(2=4,"← Preencha",IF(2=5,"← Preencha",IF(2=6,"← Preencha",IF(2=7,"← Preencha",IF(2=8,"← Preencha","")))))))))))))))</f>
        <v>Bio·Grow</v>
      </c>
      <c r="E15" s="52" t="str">
        <f aca="false">IF('🌱 Configuração'!$C$56="","",IF(2&lt;1,"",IF(2&gt;'🌱 Configuração'!$H$7,"",IF(IFERROR(MATCH('🌱 Configuração'!$H$12,{"BioBizz","Remo Nutrients","General Organics","SuperSoil","Genérico"},0),1)=1,IF(2=1,"1 mL/L",IF(2=2,"2 mL/L",IF(2=3,"2 mL/L",IF(2=4,"3 mL/L",IF(2=5,"4 mL/L",IF(2=6,"4 mL/L",IF(2=7,"4 mL/L",IF(2=8,"4 mL/L","")))))))),IF(IFERROR(MATCH('🌱 Configuração'!$H$12,{"BioBizz","Remo Nutrients","General Organics","SuperSoil","Genérico"},0),1)=2,IF(2=1,"1.3 mL/L",IF(2=2,"1.5 mL/L",IF(2=3,"1.8 mL/L",IF(2=4,"2.1 mL/L",IF(2=5,"2.1 mL/L",IF(2=6,"2.1 mL/L",IF(2=7,"2.1 mL/L",IF(2=8,"2.1 mL/L","")))))))),IF(IFERROR(MATCH('🌱 Configuração'!$H$12,{"BioBizz","Remo Nutrients","General Organics","SuperSoil","Genérico"},0),1)=3,IF(2=1,"1.3 mL/L",IF(2=2,"2.6 mL/L",IF(2=3,"2.6 mL/L",IF(2=4,"2.6 mL/L",IF(2=5,"2.6 mL/L",IF(2=6,"2.6 mL/L",IF(2=7,"1.3 mL/L",IF(2=8,"1.3 mL/L","")))))))),IF(IFERROR(MATCH('🌱 Configuração'!$H$12,{"BioBizz","Remo Nutrients","General Organics","SuperSoil","Genérico"},0),1)=4,IF(2=1,"2L/planta",IF(2=2,"10g/vaso",IF(2=3,"—",IF(2=4,"2L/planta",IF(2=5,"5g/L solo",IF(2=6,"—",IF(2=7,"10g/vaso",IF(2=8,"2L/planta","")))))))),IF(2=1,"—",IF(2=2,"—",IF(2=3,"—",IF(2=4,"—",IF(2=5,"—",IF(2=6,"—",IF(2=7,"—",IF(2=8,"—","")))))))))))))))</f>
        <v>2 mL/L</v>
      </c>
      <c r="F15" s="51" t="str">
        <f aca="false">IF('🌱 Configuração'!$C$56="","",IF(2&lt;1,"",IF(2&gt;'🌱 Configuração'!$H$7,"",IF(IFERROR(MATCH('🌱 Configuração'!$H$12,{"BioBizz","Remo Nutrients","General Organics","SuperSoil","Genérico"},0),1)=1,IF(2=1,"Fish·Mix",IF(2=2,"Fish·Mix",IF(2=3,"Fish·Mix",IF(2=4,"Fish·Mix",IF(2=5,"Fish·Mix",IF(2=6,"—",IF(2=7,"Bio·Bloom",IF(2=8,"Bio·Bloom","")))))))),IF(IFERROR(MATCH('🌱 Configuração'!$H$12,{"BioBizz","Remo Nutrients","General Organics","SuperSoil","Genérico"},0),1)=2,IF(2=1,"Grow",IF(2=2,"Grow",IF(2=3,"Grow",IF(2=4,"Grow",IF(2=5,"Grow",IF(2=6,"Grow",IF(2=7,"Grow",IF(2=8,"Grow","")))))))),IF(IFERROR(MATCH('🌱 Configuração'!$H$12,{"BioBizz","Remo Nutrients","General Organics","SuperSoil","Genérico"},0),1)=3,IF(2=1,"BioRoot",IF(2=2,"BioRoot",IF(2=3,"BioRoot",IF(2=4,"BioRoot",IF(2=5,"CaMg+",IF(2=6,"BioThrive B",IF(2=7,"BioThrive B",IF(2=8,"BioThrive B","")))))))),IF(IFERROR(MATCH('🌱 Configuração'!$H$12,{"BioBizz","Remo Nutrients","General Organics","SuperSoil","Genérico"},0),1)=4,IF(2=1,"—",IF(2=2,"Cobertura: farinha de osso",IF(2=3,"—",IF(2=4,"—",IF(2=5,"Cobertura: cinzas de madeira",IF(2=6,"—",IF(2=7,"Cobertura: guano de morcego",IF(2=8,"—","")))))))),IF(2=1,"—",IF(2=2,"—",IF(2=3,"—",IF(2=4,"—",IF(2=5,"—",IF(2=6,"—",IF(2=7,"—",IF(2=8,"—","")))))))))))))))</f>
        <v>Fish·Mix</v>
      </c>
      <c r="G15" s="52" t="str">
        <f aca="false">IF('🌱 Configuração'!$C$56="","",IF(2&lt;1,"",IF(2&gt;'🌱 Configuração'!$H$7,"",IF(IFERROR(MATCH('🌱 Configuração'!$H$12,{"BioBizz","Remo Nutrients","General Organics","SuperSoil","Genérico"},0),1)=1,IF(2=1,"1 mL/L",IF(2=2,"2 mL/L",IF(2=3,"2 mL/L",IF(2=4,"3 mL/L",IF(2=5,"3 mL/L",IF(2=6,"—",IF(2=7,"1 mL/L",IF(2=8,"2 mL/L","")))))))),IF(IFERROR(MATCH('🌱 Configuração'!$H$12,{"BioBizz","Remo Nutrients","General Organics","SuperSoil","Genérico"},0),1)=2,IF(2=1,"1.3 mL/L",IF(2=2,"1.5 mL/L",IF(2=3,"1.8 mL/L",IF(2=4,"2.1 mL/L",IF(2=5,"2.1 mL/L",IF(2=6,"2.1 mL/L",IF(2=7,"1.0 mL/L",IF(2=8,"0.5 mL/L","")))))))),IF(IFERROR(MATCH('🌱 Configuração'!$H$12,{"BioBizz","Remo Nutrients","General Organics","SuperSoil","Genérico"},0),1)=3,IF(2=1,"2.6 mL/L",IF(2=2,"2.6 mL/L",IF(2=3,"2.6 mL/L",IF(2=4,"1.3 mL/L",IF(2=5,"1.3 mL/L",IF(2=6,"1.3 mL/L",IF(2=7,"2.6 mL/L",IF(2=8,"2.6 mL/L","")))))))),IF(IFERROR(MATCH('🌱 Configuração'!$H$12,{"BioBizz","Remo Nutrients","General Organics","SuperSoil","Genérico"},0),1)=4,IF(2=1,"—",IF(2=2,"10g/vaso",IF(2=3,"—",IF(2=4,"—",IF(2=5,"3g/L",IF(2=6,"—",IF(2=7,"5g/L",IF(2=8,"—","")))))))),IF(2=1,"—",IF(2=2,"—",IF(2=3,"—",IF(2=4,"—",IF(2=5,"—",IF(2=6,"—",IF(2=7,"—",IF(2=8,"—","")))))))))))))))</f>
        <v>2 mL/L</v>
      </c>
      <c r="H15" s="51" t="str">
        <f aca="false">IF('🌱 Configuração'!$C$56="","",IF(2&lt;1,"",IF(2&gt;'🌱 Configuração'!$H$7,"",IF(IFERROR(MATCH('🌱 Configuração'!$H$12,{"BioBizz","Remo Nutrients","General Organics","SuperSoil","Genérico"},0),1)=1,IF(2=1,"—",IF(2=2,"—",IF(2=3,"—",IF(2=4,"—",IF(2=5,"—",IF(2=6,"—",IF(2=7,"—",IF(2=8,"—","")))))))),IF(IFERROR(MATCH('🌱 Configuração'!$H$12,{"BioBizz","Remo Nutrients","General Organics","SuperSoil","Genérico"},0),1)=2,IF(2=1,"—",IF(2=2,"—",IF(2=3,"—",IF(2=4,"—",IF(2=5,"—",IF(2=6,"Bloom",IF(2=7,"Bloom",IF(2=8,"Bloom","")))))))),IF(IFERROR(MATCH('🌱 Configuração'!$H$12,{"BioBizz","Remo Nutrients","General Organics","SuperSoil","Genérico"},0),1)=3,IF(2=1,"CaMg+",IF(2=2,"CaMg+",IF(2=3,"CaMg+",IF(2=4,"CaMg+",IF(2=5,"—",IF(2=6,"CaMg+",IF(2=7,"CaMg+",IF(2=8,"CaMg+","")))))))),IF(IFERROR(MATCH('🌱 Configuração'!$H$12,{"BioBizz","Remo Nutrients","General Organics","SuperSoil","Genérico"},0),1)=4,IF(2=1,"—",IF(2=2,"—",IF(2=3,"—",IF(2=4,"—",IF(2=5,"—",IF(2=6,"—",IF(2=7,"—",IF(2=8,"—","")))))))),IF(2=1,"—",IF(2=2,"—",IF(2=3,"—",IF(2=4,"—",IF(2=5,"—",IF(2=6,"—",IF(2=7,"—",IF(2=8,"—","")))))))))))))))</f>
        <v>—</v>
      </c>
      <c r="I15" s="52" t="str">
        <f aca="false">IF('🌱 Configuração'!$C$56="","",IF(2&lt;1,"",IF(2&gt;'🌱 Configuração'!$H$7,"",IF(IFERROR(MATCH('🌱 Configuração'!$H$12,{"BioBizz","Remo Nutrients","General Organics","SuperSoil","Genérico"},0),1)=1,IF(2=1,"—",IF(2=2,"—",IF(2=3,"—",IF(2=4,"—",IF(2=5,"—",IF(2=6,"—",IF(2=7,"—",IF(2=8,"—","")))))))),IF(IFERROR(MATCH('🌱 Configuração'!$H$12,{"BioBizz","Remo Nutrients","General Organics","SuperSoil","Genérico"},0),1)=2,IF(2=1,"—",IF(2=2,"—",IF(2=3,"—",IF(2=4,"—",IF(2=5,"—",IF(2=6,"1.0 mL/L",IF(2=7,"2.1 mL/L",IF(2=8,"2.1 mL/L","")))))))),IF(IFERROR(MATCH('🌱 Configuração'!$H$12,{"BioBizz","Remo Nutrients","General Organics","SuperSoil","Genérico"},0),1)=3,IF(2=1,"1.3 mL/L",IF(2=2,"1.3 mL/L",IF(2=3,"1.3 mL/L",IF(2=4,"1.3 mL/L",IF(2=5,"—",IF(2=6,"1.3 mL/L",IF(2=7,"1.3 mL/L",IF(2=8,"1.3 mL/L","")))))))),IF(IFERROR(MATCH('🌱 Configuração'!$H$12,{"BioBizz","Remo Nutrients","General Organics","SuperSoil","Genérico"},0),1)=4,IF(2=1,"—",IF(2=2,"—",IF(2=3,"—",IF(2=4,"—",IF(2=5,"—",IF(2=6,"—",IF(2=7,"—",IF(2=8,"—","")))))))),IF(2=1,"—",IF(2=2,"—",IF(2=3,"—",IF(2=4,"—",IF(2=5,"—",IF(2=6,"—",IF(2=7,"—",IF(2=8,"—","")))))))))))))))</f>
        <v>—</v>
      </c>
      <c r="J15" s="51" t="str">
        <f aca="false">IF('🌱 Configuração'!$C$56="","",IF(2&lt;1,"",IF(2&gt;'🌱 Configuração'!$H$7,"",IF(IFERROR(MATCH('🌱 Configuração'!$H$12,{"BioBizz","Remo Nutrients","General Organics","SuperSoil","Genérico"},0),1)=1,IF(2=1,"Alg·A·Mic 1mL",IF(2=2,"—",IF(2=3,"Alg·A·Mic 1mL",IF(2=4,"—",IF(2=5,"Alg·A·Mic 1mL",IF(2=6,"—",IF(2=7,"—",IF(2=8,"—","")))))))),IF(IFERROR(MATCH('🌱 Configuração'!$H$12,{"BioBizz","Remo Nutrients","General Organics","SuperSoil","Genérico"},0),1)=2,IF(2=1,"Magnifical 0.5",IF(2=2,"Magnifical 0.5",IF(2=3,"Magnifical 1.0",IF(2=4,"Magnifical 1.0",IF(2=5,"Magnifical 1.0",IF(2=6,"Magnifical 1.0",IF(2=7,"—",IF(2=8,"—","")))))))),IF(IFERROR(MATCH('🌱 Configuração'!$H$12,{"BioBizz","Remo Nutrients","General Organics","SuperSoil","Genérico"},0),1)=3,IF(2=1,"BioWeed 0.7",IF(2=2,"BioWeed 0.7",IF(2=3,"—",IF(2=4,"—",IF(2=5,"—",IF(2=6,"—",IF(2=7,"—",IF(2=8,"—","")))))))),IF(IFERROR(MATCH('🌱 Configuração'!$H$12,{"BioBizz","Remo Nutrients","General Organics","SuperSoil","Genérico"},0),1)=4,IF(2=1,"Vermicomposto",IF(2=2,"—",IF(2=3,"—",IF(2=4,"—",IF(2=5,"—",IF(2=6,"Microrganismos",IF(2=7,"—",IF(2=8,"—","")))))))),IF(2=1,"—",IF(2=2,"—",IF(2=3,"—",IF(2=4,"—",IF(2=5,"—",IF(2=6,"—",IF(2=7,"—",IF(2=8,"—","")))))))))))))))</f>
        <v>—</v>
      </c>
      <c r="K15" s="44" t="str">
        <f aca="false">IF('🌱 Configuração'!$C$56="","",IF(2&lt;1,"",IF(2&gt;'🌱 Configuração'!$H$7,"",IF(IFERROR(MATCH('🌱 Configuração'!$H$12,{"BioBizz","Remo Nutrients","General Organics","SuperSoil","Genérico"},0),1)=1,IF(2=1,"6.2–6.5",IF(2=2,"6.2–6.5",IF(2=3,"6.2–6.5",IF(2=4,"6.2–6.5",IF(2=5,"6.2–6.5",IF(2=6,"6.2–6.5",IF(2=7,"6.2–6.5",IF(2=8,"6.2–6.5","")))))))),IF(IFERROR(MATCH('🌱 Configuração'!$H$12,{"BioBizz","Remo Nutrients","General Organics","SuperSoil","Genérico"},0),1)=2,IF(2=1,"6.0–6.3",IF(2=2,"6.0–6.3",IF(2=3,"6.0–6.3",IF(2=4,"6.0–6.3",IF(2=5,"6.0–6.3",IF(2=6,"6.0–6.3",IF(2=7,"6.0–6.3",IF(2=8,"6.0–6.3","")))))))),IF(IFERROR(MATCH('🌱 Configuração'!$H$12,{"BioBizz","Remo Nutrients","General Organics","SuperSoil","Genérico"},0),1)=3,IF(2=1,"6.2–7.0",IF(2=2,"6.2–7.0",IF(2=3,"6.2–7.0",IF(2=4,"6.2–7.0",IF(2=5,"6.2–7.0",IF(2=6,"6.2–7.0",IF(2=7,"6.2–7.0",IF(2=8,"6.2–7.0","")))))))),IF(IFERROR(MATCH('🌱 Configuração'!$H$12,{"BioBizz","Remo Nutrients","General Organics","SuperSoil","Genérico"},0),1)=4,IF(2=1,"auto",IF(2=2,"auto",IF(2=3,"auto",IF(2=4,"auto",IF(2=5,"auto",IF(2=6,"auto",IF(2=7,"auto",IF(2=8,"auto","")))))))),IF(2=1,"—",IF(2=2,"—",IF(2=3,"—",IF(2=4,"—",IF(2=5,"—",IF(2=6,"—",IF(2=7,"—",IF(2=8,"—","")))))))))))))))</f>
        <v>6.2–6.5</v>
      </c>
      <c r="L15" s="45" t="str">
        <f aca="false">IF('🌱 Configuração'!$C$56="","",IF(2&lt;1,"",IF(2&gt;'🌱 Configuração'!$H$7,"",IF(IFERROR(MATCH('🌱 Configuração'!$H$12,{"BioBizz","Remo Nutrients","General Organics","SuperSoil","Genérico"},0),1)=1,IF(2=1,"0.8",IF(2=2,"1.0",IF(2=3,"1.2",IF(2=4,"1.4",IF(2=5,"1.5",IF(2=6,"1.4",IF(2=7,"1.4",IF(2=8,"1.4","")))))))),IF(IFERROR(MATCH('🌱 Configuração'!$H$12,{"BioBizz","Remo Nutrients","General Organics","SuperSoil","Genérico"},0),1)=2,IF(2=1,"0.8",IF(2=2,"1.0",IF(2=3,"1.2",IF(2=4,"1.4",IF(2=5,"1.5",IF(2=6,"1.5",IF(2=7,"1.4",IF(2=8,"1.4","")))))))),IF(IFERROR(MATCH('🌱 Configuração'!$H$12,{"BioBizz","Remo Nutrients","General Organics","SuperSoil","Genérico"},0),1)=3,IF(2=1,"N/A",IF(2=2,"N/A",IF(2=3,"N/A",IF(2=4,"N/A",IF(2=5,"N/A",IF(2=6,"N/A",IF(2=7,"N/A",IF(2=8,"N/A","")))))))),IF(IFERROR(MATCH('🌱 Configuração'!$H$12,{"BioBizz","Remo Nutrients","General Organics","SuperSoil","Genérico"},0),1)=4,IF(2=1,"auto",IF(2=2,"auto",IF(2=3,"auto",IF(2=4,"auto",IF(2=5,"auto",IF(2=6,"auto",IF(2=7,"auto",IF(2=8,"auto","")))))))),IF(2=1,"—",IF(2=2,"—",IF(2=3,"—",IF(2=4,"—",IF(2=5,"—",IF(2=6,"—",IF(2=7,"—",IF(2=8,"—","")))))))))))))))</f>
        <v>1.0</v>
      </c>
      <c r="M15" s="51" t="str">
        <f aca="false">IF('🌱 Configuração'!$C$56="","",IF(2&lt;1,"",IF(2&gt;'🌱 Configuração'!$H$7,"",IF(IFERROR(MATCH('🌱 Configuração'!$H$12,{"BioBizz","Remo Nutrients","General Organics","SuperSoil","Genérico"},0),1)=1,IF(2=1,"Fish·Mix em veg = mais N orgânico",IF(2=2,"Aumentar progressivamente",IF(2=3,"Foliar: Fish·Mix + Alg·A·Mic 1mL/L",IF(2=4,"LST / estrutura vegetativa",IF(2=5,"Pré-floração — reduzir Fish·Mix",IF(2=6,"Substituir Fish·Mix por Bio·Grow antes da flora",IF(2=7,"Semana de transição — introduzir Bloom",IF(2=8,"Semana extra de vega","")))))))),IF(IFERROR(MATCH('🌱 Configuração'!$H$12,{"BioBizz","Remo Nutrients","General Organics","SuperSoil","Genérico"},0),1)=2,IF(2=1,"Micro+Grow = base Remo para vega",IF(2=2,"Aumentar conforme tabela oficial",IF(2=3,"Semana 3 da tabela Remo",IF(2=4,"Semana 4 da tabela Remo — pico vega",IF(2=5,"Manter se continuar vega",IF(2=6,"Introduzir Bloom — transição",IF(2=7,"Reduzir Grow, aumentar Bloom",IF(2=8,"Semana extra de vega","")))))))),IF(IFERROR(MATCH('🌱 Configuração'!$H$12,{"BioBizz","Remo Nutrients","General Organics","SuperSoil","Genérico"},0),1)=3,IF(2=1,"GO não requer EC — pH auto-regula",IF(2=2,"Sem necessidade de ajuste pH em solo",IF(2=3,"Semana 3 veg GO",IF(2=4,"Reduzir BioRoot gradualmente",IF(2=5,"Manter Grow puro na vega",IF(2=6,"Semana transição — introduzir Bloom",IF(2=7,"Transição flora — reduzir Grow",IF(2=8,"Semana extra de vega GO","")))))))),IF(IFERROR(MATCH('🌱 Configuração'!$H$12,{"BioBizz","Remo Nutrients","General Organics","SuperSoil","Genérico"},0),1)=4,IF(2=1,"SuperSoil já contém todos os nutrientes",IF(2=2,"Torta de mamona = N lento | Osso = P",IF(2=3,"Mel de cana alimenta fungos e bactérias",IF(2=4,"Observar vigor — solo vivo trabalha",IF(2=5,"Alga = micro. | Cinzas = K e Ca",IF(2=6,"Pré-flora — ativar P e K no solo",IF(2=7,"Guano P alto = preparo para flora",IF(2=8,"Semana extra de vega SuperSoil","")))))))),IF(2=1,"Personalize suas doses",IF(2=2,"Personalize suas doses",IF(2=3,"Personalize suas doses",IF(2=4,"Personalize suas doses",IF(2=5,"Personalize suas doses",IF(2=6,"Personalize suas doses",IF(2=7,"Personalize suas doses",IF(2=8,"Personalize suas doses","")))))))))))))))</f>
        <v>Aumentar progressivamente</v>
      </c>
    </row>
    <row r="16" customFormat="false" ht="21.75" hidden="false" customHeight="true" outlineLevel="0" collapsed="false">
      <c r="B16" s="23" t="str">
        <f aca="false">IF(3&lt;='🌱 Configuração'!$H$7,"S3","—")</f>
        <v>S3</v>
      </c>
      <c r="C16" s="41" t="n">
        <f aca="false">IF(3&lt;='🌱 Configuração'!$H$7,'🌱 Configuração'!$C$56+14,"")</f>
        <v>28</v>
      </c>
      <c r="D16" s="42" t="str">
        <f aca="false">IF('🌱 Configuração'!$C$56="","",IF(3&lt;1,"",IF(3&gt;'🌱 Configuração'!$H$7,"",IF(IFERROR(MATCH('🌱 Configuração'!$H$12,{"BioBizz","Remo Nutrients","General Organics","SuperSoil","Genérico"},0),1)=1,IF(3=1,"Bio·Grow",IF(3=2,"Bio·Grow",IF(3=3,"Bio·Grow",IF(3=4,"Bio·Grow",IF(3=5,"Bio·Grow",IF(3=6,"Bio·Grow",IF(3=7,"Bio·Grow",IF(3=8,"Bio·Grow","")))))))),IF(IFERROR(MATCH('🌱 Configuração'!$H$12,{"BioBizz","Remo Nutrients","General Organics","SuperSoil","Genérico"},0),1)=2,IF(3=1,"Micro",IF(3=2,"Micro",IF(3=3,"Micro",IF(3=4,"Micro",IF(3=5,"Micro",IF(3=6,"Micro",IF(3=7,"Micro",IF(3=8,"Micro","")))))))),IF(IFERROR(MATCH('🌱 Configuração'!$H$12,{"BioBizz","Remo Nutrients","General Organics","SuperSoil","Genérico"},0),1)=3,IF(3=1,"BioThrive G",IF(3=2,"BioThrive G",IF(3=3,"BioThrive G",IF(3=4,"BioThrive G",IF(3=5,"BioThrive G",IF(3=6,"BioThrive G",IF(3=7,"BioThrive G",IF(3=8,"BioThrive G","")))))))),IF(IFERROR(MATCH('🌱 Configuração'!$H$12,{"BioBizz","Remo Nutrients","General Organics","SuperSoil","Genérico"},0),1)=4,IF(3=1,"Chá de compostagem",IF(3=2,"Cobertura: torta de mamona",IF(3=3,"Molasses 2 mL/L",IF(3=4,"Chá de compostagem",IF(3=5,"Cobertura: farinha de alga",IF(3=6,"Molasses 2 mL/L",IF(3=7,"Cobertura: farinha de osso",IF(3=8,"Chá de compostagem","")))))))),IF(3=1,"← Preencha",IF(3=2,"← Preencha",IF(3=3,"← Preencha",IF(3=4,"← Preencha",IF(3=5,"← Preencha",IF(3=6,"← Preencha",IF(3=7,"← Preencha",IF(3=8,"← Preencha","")))))))))))))))</f>
        <v>Bio·Grow</v>
      </c>
      <c r="E16" s="43" t="str">
        <f aca="false">IF('🌱 Configuração'!$C$56="","",IF(3&lt;1,"",IF(3&gt;'🌱 Configuração'!$H$7,"",IF(IFERROR(MATCH('🌱 Configuração'!$H$12,{"BioBizz","Remo Nutrients","General Organics","SuperSoil","Genérico"},0),1)=1,IF(3=1,"1 mL/L",IF(3=2,"2 mL/L",IF(3=3,"2 mL/L",IF(3=4,"3 mL/L",IF(3=5,"4 mL/L",IF(3=6,"4 mL/L",IF(3=7,"4 mL/L",IF(3=8,"4 mL/L","")))))))),IF(IFERROR(MATCH('🌱 Configuração'!$H$12,{"BioBizz","Remo Nutrients","General Organics","SuperSoil","Genérico"},0),1)=2,IF(3=1,"1.3 mL/L",IF(3=2,"1.5 mL/L",IF(3=3,"1.8 mL/L",IF(3=4,"2.1 mL/L",IF(3=5,"2.1 mL/L",IF(3=6,"2.1 mL/L",IF(3=7,"2.1 mL/L",IF(3=8,"2.1 mL/L","")))))))),IF(IFERROR(MATCH('🌱 Configuração'!$H$12,{"BioBizz","Remo Nutrients","General Organics","SuperSoil","Genérico"},0),1)=3,IF(3=1,"1.3 mL/L",IF(3=2,"2.6 mL/L",IF(3=3,"2.6 mL/L",IF(3=4,"2.6 mL/L",IF(3=5,"2.6 mL/L",IF(3=6,"2.6 mL/L",IF(3=7,"1.3 mL/L",IF(3=8,"1.3 mL/L","")))))))),IF(IFERROR(MATCH('🌱 Configuração'!$H$12,{"BioBizz","Remo Nutrients","General Organics","SuperSoil","Genérico"},0),1)=4,IF(3=1,"2L/planta",IF(3=2,"10g/vaso",IF(3=3,"—",IF(3=4,"2L/planta",IF(3=5,"5g/L solo",IF(3=6,"—",IF(3=7,"10g/vaso",IF(3=8,"2L/planta","")))))))),IF(3=1,"—",IF(3=2,"—",IF(3=3,"—",IF(3=4,"—",IF(3=5,"—",IF(3=6,"—",IF(3=7,"—",IF(3=8,"—","")))))))))))))))</f>
        <v>2 mL/L</v>
      </c>
      <c r="F16" s="42" t="str">
        <f aca="false">IF('🌱 Configuração'!$C$56="","",IF(3&lt;1,"",IF(3&gt;'🌱 Configuração'!$H$7,"",IF(IFERROR(MATCH('🌱 Configuração'!$H$12,{"BioBizz","Remo Nutrients","General Organics","SuperSoil","Genérico"},0),1)=1,IF(3=1,"Fish·Mix",IF(3=2,"Fish·Mix",IF(3=3,"Fish·Mix",IF(3=4,"Fish·Mix",IF(3=5,"Fish·Mix",IF(3=6,"—",IF(3=7,"Bio·Bloom",IF(3=8,"Bio·Bloom","")))))))),IF(IFERROR(MATCH('🌱 Configuração'!$H$12,{"BioBizz","Remo Nutrients","General Organics","SuperSoil","Genérico"},0),1)=2,IF(3=1,"Grow",IF(3=2,"Grow",IF(3=3,"Grow",IF(3=4,"Grow",IF(3=5,"Grow",IF(3=6,"Grow",IF(3=7,"Grow",IF(3=8,"Grow","")))))))),IF(IFERROR(MATCH('🌱 Configuração'!$H$12,{"BioBizz","Remo Nutrients","General Organics","SuperSoil","Genérico"},0),1)=3,IF(3=1,"BioRoot",IF(3=2,"BioRoot",IF(3=3,"BioRoot",IF(3=4,"BioRoot",IF(3=5,"CaMg+",IF(3=6,"BioThrive B",IF(3=7,"BioThrive B",IF(3=8,"BioThrive B","")))))))),IF(IFERROR(MATCH('🌱 Configuração'!$H$12,{"BioBizz","Remo Nutrients","General Organics","SuperSoil","Genérico"},0),1)=4,IF(3=1,"—",IF(3=2,"Cobertura: farinha de osso",IF(3=3,"—",IF(3=4,"—",IF(3=5,"Cobertura: cinzas de madeira",IF(3=6,"—",IF(3=7,"Cobertura: guano de morcego",IF(3=8,"—","")))))))),IF(3=1,"—",IF(3=2,"—",IF(3=3,"—",IF(3=4,"—",IF(3=5,"—",IF(3=6,"—",IF(3=7,"—",IF(3=8,"—","")))))))))))))))</f>
        <v>Fish·Mix</v>
      </c>
      <c r="G16" s="43" t="str">
        <f aca="false">IF('🌱 Configuração'!$C$56="","",IF(3&lt;1,"",IF(3&gt;'🌱 Configuração'!$H$7,"",IF(IFERROR(MATCH('🌱 Configuração'!$H$12,{"BioBizz","Remo Nutrients","General Organics","SuperSoil","Genérico"},0),1)=1,IF(3=1,"1 mL/L",IF(3=2,"2 mL/L",IF(3=3,"2 mL/L",IF(3=4,"3 mL/L",IF(3=5,"3 mL/L",IF(3=6,"—",IF(3=7,"1 mL/L",IF(3=8,"2 mL/L","")))))))),IF(IFERROR(MATCH('🌱 Configuração'!$H$12,{"BioBizz","Remo Nutrients","General Organics","SuperSoil","Genérico"},0),1)=2,IF(3=1,"1.3 mL/L",IF(3=2,"1.5 mL/L",IF(3=3,"1.8 mL/L",IF(3=4,"2.1 mL/L",IF(3=5,"2.1 mL/L",IF(3=6,"2.1 mL/L",IF(3=7,"1.0 mL/L",IF(3=8,"0.5 mL/L","")))))))),IF(IFERROR(MATCH('🌱 Configuração'!$H$12,{"BioBizz","Remo Nutrients","General Organics","SuperSoil","Genérico"},0),1)=3,IF(3=1,"2.6 mL/L",IF(3=2,"2.6 mL/L",IF(3=3,"2.6 mL/L",IF(3=4,"1.3 mL/L",IF(3=5,"1.3 mL/L",IF(3=6,"1.3 mL/L",IF(3=7,"2.6 mL/L",IF(3=8,"2.6 mL/L","")))))))),IF(IFERROR(MATCH('🌱 Configuração'!$H$12,{"BioBizz","Remo Nutrients","General Organics","SuperSoil","Genérico"},0),1)=4,IF(3=1,"—",IF(3=2,"10g/vaso",IF(3=3,"—",IF(3=4,"—",IF(3=5,"3g/L",IF(3=6,"—",IF(3=7,"5g/L",IF(3=8,"—","")))))))),IF(3=1,"—",IF(3=2,"—",IF(3=3,"—",IF(3=4,"—",IF(3=5,"—",IF(3=6,"—",IF(3=7,"—",IF(3=8,"—","")))))))))))))))</f>
        <v>2 mL/L</v>
      </c>
      <c r="H16" s="42" t="str">
        <f aca="false">IF('🌱 Configuração'!$C$56="","",IF(3&lt;1,"",IF(3&gt;'🌱 Configuração'!$H$7,"",IF(IFERROR(MATCH('🌱 Configuração'!$H$12,{"BioBizz","Remo Nutrients","General Organics","SuperSoil","Genérico"},0),1)=1,IF(3=1,"—",IF(3=2,"—",IF(3=3,"—",IF(3=4,"—",IF(3=5,"—",IF(3=6,"—",IF(3=7,"—",IF(3=8,"—","")))))))),IF(IFERROR(MATCH('🌱 Configuração'!$H$12,{"BioBizz","Remo Nutrients","General Organics","SuperSoil","Genérico"},0),1)=2,IF(3=1,"—",IF(3=2,"—",IF(3=3,"—",IF(3=4,"—",IF(3=5,"—",IF(3=6,"Bloom",IF(3=7,"Bloom",IF(3=8,"Bloom","")))))))),IF(IFERROR(MATCH('🌱 Configuração'!$H$12,{"BioBizz","Remo Nutrients","General Organics","SuperSoil","Genérico"},0),1)=3,IF(3=1,"CaMg+",IF(3=2,"CaMg+",IF(3=3,"CaMg+",IF(3=4,"CaMg+",IF(3=5,"—",IF(3=6,"CaMg+",IF(3=7,"CaMg+",IF(3=8,"CaMg+","")))))))),IF(IFERROR(MATCH('🌱 Configuração'!$H$12,{"BioBizz","Remo Nutrients","General Organics","SuperSoil","Genérico"},0),1)=4,IF(3=1,"—",IF(3=2,"—",IF(3=3,"—",IF(3=4,"—",IF(3=5,"—",IF(3=6,"—",IF(3=7,"—",IF(3=8,"—","")))))))),IF(3=1,"—",IF(3=2,"—",IF(3=3,"—",IF(3=4,"—",IF(3=5,"—",IF(3=6,"—",IF(3=7,"—",IF(3=8,"—","")))))))))))))))</f>
        <v>—</v>
      </c>
      <c r="I16" s="43" t="str">
        <f aca="false">IF('🌱 Configuração'!$C$56="","",IF(3&lt;1,"",IF(3&gt;'🌱 Configuração'!$H$7,"",IF(IFERROR(MATCH('🌱 Configuração'!$H$12,{"BioBizz","Remo Nutrients","General Organics","SuperSoil","Genérico"},0),1)=1,IF(3=1,"—",IF(3=2,"—",IF(3=3,"—",IF(3=4,"—",IF(3=5,"—",IF(3=6,"—",IF(3=7,"—",IF(3=8,"—","")))))))),IF(IFERROR(MATCH('🌱 Configuração'!$H$12,{"BioBizz","Remo Nutrients","General Organics","SuperSoil","Genérico"},0),1)=2,IF(3=1,"—",IF(3=2,"—",IF(3=3,"—",IF(3=4,"—",IF(3=5,"—",IF(3=6,"1.0 mL/L",IF(3=7,"2.1 mL/L",IF(3=8,"2.1 mL/L","")))))))),IF(IFERROR(MATCH('🌱 Configuração'!$H$12,{"BioBizz","Remo Nutrients","General Organics","SuperSoil","Genérico"},0),1)=3,IF(3=1,"1.3 mL/L",IF(3=2,"1.3 mL/L",IF(3=3,"1.3 mL/L",IF(3=4,"1.3 mL/L",IF(3=5,"—",IF(3=6,"1.3 mL/L",IF(3=7,"1.3 mL/L",IF(3=8,"1.3 mL/L","")))))))),IF(IFERROR(MATCH('🌱 Configuração'!$H$12,{"BioBizz","Remo Nutrients","General Organics","SuperSoil","Genérico"},0),1)=4,IF(3=1,"—",IF(3=2,"—",IF(3=3,"—",IF(3=4,"—",IF(3=5,"—",IF(3=6,"—",IF(3=7,"—",IF(3=8,"—","")))))))),IF(3=1,"—",IF(3=2,"—",IF(3=3,"—",IF(3=4,"—",IF(3=5,"—",IF(3=6,"—",IF(3=7,"—",IF(3=8,"—","")))))))))))))))</f>
        <v>—</v>
      </c>
      <c r="J16" s="42" t="str">
        <f aca="false">IF('🌱 Configuração'!$C$56="","",IF(3&lt;1,"",IF(3&gt;'🌱 Configuração'!$H$7,"",IF(IFERROR(MATCH('🌱 Configuração'!$H$12,{"BioBizz","Remo Nutrients","General Organics","SuperSoil","Genérico"},0),1)=1,IF(3=1,"Alg·A·Mic 1mL",IF(3=2,"—",IF(3=3,"Alg·A·Mic 1mL",IF(3=4,"—",IF(3=5,"Alg·A·Mic 1mL",IF(3=6,"—",IF(3=7,"—",IF(3=8,"—","")))))))),IF(IFERROR(MATCH('🌱 Configuração'!$H$12,{"BioBizz","Remo Nutrients","General Organics","SuperSoil","Genérico"},0),1)=2,IF(3=1,"Magnifical 0.5",IF(3=2,"Magnifical 0.5",IF(3=3,"Magnifical 1.0",IF(3=4,"Magnifical 1.0",IF(3=5,"Magnifical 1.0",IF(3=6,"Magnifical 1.0",IF(3=7,"—",IF(3=8,"—","")))))))),IF(IFERROR(MATCH('🌱 Configuração'!$H$12,{"BioBizz","Remo Nutrients","General Organics","SuperSoil","Genérico"},0),1)=3,IF(3=1,"BioWeed 0.7",IF(3=2,"BioWeed 0.7",IF(3=3,"—",IF(3=4,"—",IF(3=5,"—",IF(3=6,"—",IF(3=7,"—",IF(3=8,"—","")))))))),IF(IFERROR(MATCH('🌱 Configuração'!$H$12,{"BioBizz","Remo Nutrients","General Organics","SuperSoil","Genérico"},0),1)=4,IF(3=1,"Vermicomposto",IF(3=2,"—",IF(3=3,"—",IF(3=4,"—",IF(3=5,"—",IF(3=6,"Microrganismos",IF(3=7,"—",IF(3=8,"—","")))))))),IF(3=1,"—",IF(3=2,"—",IF(3=3,"—",IF(3=4,"—",IF(3=5,"—",IF(3=6,"—",IF(3=7,"—",IF(3=8,"—","")))))))))))))))</f>
        <v>Alg·A·Mic 1mL</v>
      </c>
      <c r="K16" s="44" t="str">
        <f aca="false">IF('🌱 Configuração'!$C$56="","",IF(3&lt;1,"",IF(3&gt;'🌱 Configuração'!$H$7,"",IF(IFERROR(MATCH('🌱 Configuração'!$H$12,{"BioBizz","Remo Nutrients","General Organics","SuperSoil","Genérico"},0),1)=1,IF(3=1,"6.2–6.5",IF(3=2,"6.2–6.5",IF(3=3,"6.2–6.5",IF(3=4,"6.2–6.5",IF(3=5,"6.2–6.5",IF(3=6,"6.2–6.5",IF(3=7,"6.2–6.5",IF(3=8,"6.2–6.5","")))))))),IF(IFERROR(MATCH('🌱 Configuração'!$H$12,{"BioBizz","Remo Nutrients","General Organics","SuperSoil","Genérico"},0),1)=2,IF(3=1,"6.0–6.3",IF(3=2,"6.0–6.3",IF(3=3,"6.0–6.3",IF(3=4,"6.0–6.3",IF(3=5,"6.0–6.3",IF(3=6,"6.0–6.3",IF(3=7,"6.0–6.3",IF(3=8,"6.0–6.3","")))))))),IF(IFERROR(MATCH('🌱 Configuração'!$H$12,{"BioBizz","Remo Nutrients","General Organics","SuperSoil","Genérico"},0),1)=3,IF(3=1,"6.2–7.0",IF(3=2,"6.2–7.0",IF(3=3,"6.2–7.0",IF(3=4,"6.2–7.0",IF(3=5,"6.2–7.0",IF(3=6,"6.2–7.0",IF(3=7,"6.2–7.0",IF(3=8,"6.2–7.0","")))))))),IF(IFERROR(MATCH('🌱 Configuração'!$H$12,{"BioBizz","Remo Nutrients","General Organics","SuperSoil","Genérico"},0),1)=4,IF(3=1,"auto",IF(3=2,"auto",IF(3=3,"auto",IF(3=4,"auto",IF(3=5,"auto",IF(3=6,"auto",IF(3=7,"auto",IF(3=8,"auto","")))))))),IF(3=1,"—",IF(3=2,"—",IF(3=3,"—",IF(3=4,"—",IF(3=5,"—",IF(3=6,"—",IF(3=7,"—",IF(3=8,"—","")))))))))))))))</f>
        <v>6.2–6.5</v>
      </c>
      <c r="L16" s="45" t="str">
        <f aca="false">IF('🌱 Configuração'!$C$56="","",IF(3&lt;1,"",IF(3&gt;'🌱 Configuração'!$H$7,"",IF(IFERROR(MATCH('🌱 Configuração'!$H$12,{"BioBizz","Remo Nutrients","General Organics","SuperSoil","Genérico"},0),1)=1,IF(3=1,"0.8",IF(3=2,"1.0",IF(3=3,"1.2",IF(3=4,"1.4",IF(3=5,"1.5",IF(3=6,"1.4",IF(3=7,"1.4",IF(3=8,"1.4","")))))))),IF(IFERROR(MATCH('🌱 Configuração'!$H$12,{"BioBizz","Remo Nutrients","General Organics","SuperSoil","Genérico"},0),1)=2,IF(3=1,"0.8",IF(3=2,"1.0",IF(3=3,"1.2",IF(3=4,"1.4",IF(3=5,"1.5",IF(3=6,"1.5",IF(3=7,"1.4",IF(3=8,"1.4","")))))))),IF(IFERROR(MATCH('🌱 Configuração'!$H$12,{"BioBizz","Remo Nutrients","General Organics","SuperSoil","Genérico"},0),1)=3,IF(3=1,"N/A",IF(3=2,"N/A",IF(3=3,"N/A",IF(3=4,"N/A",IF(3=5,"N/A",IF(3=6,"N/A",IF(3=7,"N/A",IF(3=8,"N/A","")))))))),IF(IFERROR(MATCH('🌱 Configuração'!$H$12,{"BioBizz","Remo Nutrients","General Organics","SuperSoil","Genérico"},0),1)=4,IF(3=1,"auto",IF(3=2,"auto",IF(3=3,"auto",IF(3=4,"auto",IF(3=5,"auto",IF(3=6,"auto",IF(3=7,"auto",IF(3=8,"auto","")))))))),IF(3=1,"—",IF(3=2,"—",IF(3=3,"—",IF(3=4,"—",IF(3=5,"—",IF(3=6,"—",IF(3=7,"—",IF(3=8,"—","")))))))))))))))</f>
        <v>1.2</v>
      </c>
      <c r="M16" s="42" t="str">
        <f aca="false">IF('🌱 Configuração'!$C$56="","",IF(3&lt;1,"",IF(3&gt;'🌱 Configuração'!$H$7,"",IF(IFERROR(MATCH('🌱 Configuração'!$H$12,{"BioBizz","Remo Nutrients","General Organics","SuperSoil","Genérico"},0),1)=1,IF(3=1,"Fish·Mix em veg = mais N orgânico",IF(3=2,"Aumentar progressivamente",IF(3=3,"Foliar: Fish·Mix + Alg·A·Mic 1mL/L",IF(3=4,"LST / estrutura vegetativa",IF(3=5,"Pré-floração — reduzir Fish·Mix",IF(3=6,"Substituir Fish·Mix por Bio·Grow antes da flora",IF(3=7,"Semana de transição — introduzir Bloom",IF(3=8,"Semana extra de vega","")))))))),IF(IFERROR(MATCH('🌱 Configuração'!$H$12,{"BioBizz","Remo Nutrients","General Organics","SuperSoil","Genérico"},0),1)=2,IF(3=1,"Micro+Grow = base Remo para vega",IF(3=2,"Aumentar conforme tabela oficial",IF(3=3,"Semana 3 da tabela Remo",IF(3=4,"Semana 4 da tabela Remo — pico vega",IF(3=5,"Manter se continuar vega",IF(3=6,"Introduzir Bloom — transição",IF(3=7,"Reduzir Grow, aumentar Bloom",IF(3=8,"Semana extra de vega","")))))))),IF(IFERROR(MATCH('🌱 Configuração'!$H$12,{"BioBizz","Remo Nutrients","General Organics","SuperSoil","Genérico"},0),1)=3,IF(3=1,"GO não requer EC — pH auto-regula",IF(3=2,"Sem necessidade de ajuste pH em solo",IF(3=3,"Semana 3 veg GO",IF(3=4,"Reduzir BioRoot gradualmente",IF(3=5,"Manter Grow puro na vega",IF(3=6,"Semana transição — introduzir Bloom",IF(3=7,"Transição flora — reduzir Grow",IF(3=8,"Semana extra de vega GO","")))))))),IF(IFERROR(MATCH('🌱 Configuração'!$H$12,{"BioBizz","Remo Nutrients","General Organics","SuperSoil","Genérico"},0),1)=4,IF(3=1,"SuperSoil já contém todos os nutrientes",IF(3=2,"Torta de mamona = N lento | Osso = P",IF(3=3,"Mel de cana alimenta fungos e bactérias",IF(3=4,"Observar vigor — solo vivo trabalha",IF(3=5,"Alga = micro. | Cinzas = K e Ca",IF(3=6,"Pré-flora — ativar P e K no solo",IF(3=7,"Guano P alto = preparo para flora",IF(3=8,"Semana extra de vega SuperSoil","")))))))),IF(3=1,"Personalize suas doses",IF(3=2,"Personalize suas doses",IF(3=3,"Personalize suas doses",IF(3=4,"Personalize suas doses",IF(3=5,"Personalize suas doses",IF(3=6,"Personalize suas doses",IF(3=7,"Personalize suas doses",IF(3=8,"Personalize suas doses","")))))))))))))))</f>
        <v>Foliar: Fish·Mix + Alg·A·Mic 1mL/L</v>
      </c>
    </row>
    <row r="17" customFormat="false" ht="21.75" hidden="false" customHeight="true" outlineLevel="0" collapsed="false">
      <c r="B17" s="23" t="str">
        <f aca="false">IF(4&lt;='🌱 Configuração'!$H$7,"S4","—")</f>
        <v>S4</v>
      </c>
      <c r="C17" s="50" t="n">
        <f aca="false">IF(4&lt;='🌱 Configuração'!$H$7,'🌱 Configuração'!$C$56+21,"")</f>
        <v>35</v>
      </c>
      <c r="D17" s="51" t="str">
        <f aca="false">IF('🌱 Configuração'!$C$56="","",IF(4&lt;1,"",IF(4&gt;'🌱 Configuração'!$H$7,"",IF(IFERROR(MATCH('🌱 Configuração'!$H$12,{"BioBizz","Remo Nutrients","General Organics","SuperSoil","Genérico"},0),1)=1,IF(4=1,"Bio·Grow",IF(4=2,"Bio·Grow",IF(4=3,"Bio·Grow",IF(4=4,"Bio·Grow",IF(4=5,"Bio·Grow",IF(4=6,"Bio·Grow",IF(4=7,"Bio·Grow",IF(4=8,"Bio·Grow","")))))))),IF(IFERROR(MATCH('🌱 Configuração'!$H$12,{"BioBizz","Remo Nutrients","General Organics","SuperSoil","Genérico"},0),1)=2,IF(4=1,"Micro",IF(4=2,"Micro",IF(4=3,"Micro",IF(4=4,"Micro",IF(4=5,"Micro",IF(4=6,"Micro",IF(4=7,"Micro",IF(4=8,"Micro","")))))))),IF(IFERROR(MATCH('🌱 Configuração'!$H$12,{"BioBizz","Remo Nutrients","General Organics","SuperSoil","Genérico"},0),1)=3,IF(4=1,"BioThrive G",IF(4=2,"BioThrive G",IF(4=3,"BioThrive G",IF(4=4,"BioThrive G",IF(4=5,"BioThrive G",IF(4=6,"BioThrive G",IF(4=7,"BioThrive G",IF(4=8,"BioThrive G","")))))))),IF(IFERROR(MATCH('🌱 Configuração'!$H$12,{"BioBizz","Remo Nutrients","General Organics","SuperSoil","Genérico"},0),1)=4,IF(4=1,"Chá de compostagem",IF(4=2,"Cobertura: torta de mamona",IF(4=3,"Molasses 2 mL/L",IF(4=4,"Chá de compostagem",IF(4=5,"Cobertura: farinha de alga",IF(4=6,"Molasses 2 mL/L",IF(4=7,"Cobertura: farinha de osso",IF(4=8,"Chá de compostagem","")))))))),IF(4=1,"← Preencha",IF(4=2,"← Preencha",IF(4=3,"← Preencha",IF(4=4,"← Preencha",IF(4=5,"← Preencha",IF(4=6,"← Preencha",IF(4=7,"← Preencha",IF(4=8,"← Preencha","")))))))))))))))</f>
        <v>Bio·Grow</v>
      </c>
      <c r="E17" s="52" t="str">
        <f aca="false">IF('🌱 Configuração'!$C$56="","",IF(4&lt;1,"",IF(4&gt;'🌱 Configuração'!$H$7,"",IF(IFERROR(MATCH('🌱 Configuração'!$H$12,{"BioBizz","Remo Nutrients","General Organics","SuperSoil","Genérico"},0),1)=1,IF(4=1,"1 mL/L",IF(4=2,"2 mL/L",IF(4=3,"2 mL/L",IF(4=4,"3 mL/L",IF(4=5,"4 mL/L",IF(4=6,"4 mL/L",IF(4=7,"4 mL/L",IF(4=8,"4 mL/L","")))))))),IF(IFERROR(MATCH('🌱 Configuração'!$H$12,{"BioBizz","Remo Nutrients","General Organics","SuperSoil","Genérico"},0),1)=2,IF(4=1,"1.3 mL/L",IF(4=2,"1.5 mL/L",IF(4=3,"1.8 mL/L",IF(4=4,"2.1 mL/L",IF(4=5,"2.1 mL/L",IF(4=6,"2.1 mL/L",IF(4=7,"2.1 mL/L",IF(4=8,"2.1 mL/L","")))))))),IF(IFERROR(MATCH('🌱 Configuração'!$H$12,{"BioBizz","Remo Nutrients","General Organics","SuperSoil","Genérico"},0),1)=3,IF(4=1,"1.3 mL/L",IF(4=2,"2.6 mL/L",IF(4=3,"2.6 mL/L",IF(4=4,"2.6 mL/L",IF(4=5,"2.6 mL/L",IF(4=6,"2.6 mL/L",IF(4=7,"1.3 mL/L",IF(4=8,"1.3 mL/L","")))))))),IF(IFERROR(MATCH('🌱 Configuração'!$H$12,{"BioBizz","Remo Nutrients","General Organics","SuperSoil","Genérico"},0),1)=4,IF(4=1,"2L/planta",IF(4=2,"10g/vaso",IF(4=3,"—",IF(4=4,"2L/planta",IF(4=5,"5g/L solo",IF(4=6,"—",IF(4=7,"10g/vaso",IF(4=8,"2L/planta","")))))))),IF(4=1,"—",IF(4=2,"—",IF(4=3,"—",IF(4=4,"—",IF(4=5,"—",IF(4=6,"—",IF(4=7,"—",IF(4=8,"—","")))))))))))))))</f>
        <v>3 mL/L</v>
      </c>
      <c r="F17" s="51" t="str">
        <f aca="false">IF('🌱 Configuração'!$C$56="","",IF(4&lt;1,"",IF(4&gt;'🌱 Configuração'!$H$7,"",IF(IFERROR(MATCH('🌱 Configuração'!$H$12,{"BioBizz","Remo Nutrients","General Organics","SuperSoil","Genérico"},0),1)=1,IF(4=1,"Fish·Mix",IF(4=2,"Fish·Mix",IF(4=3,"Fish·Mix",IF(4=4,"Fish·Mix",IF(4=5,"Fish·Mix",IF(4=6,"—",IF(4=7,"Bio·Bloom",IF(4=8,"Bio·Bloom","")))))))),IF(IFERROR(MATCH('🌱 Configuração'!$H$12,{"BioBizz","Remo Nutrients","General Organics","SuperSoil","Genérico"},0),1)=2,IF(4=1,"Grow",IF(4=2,"Grow",IF(4=3,"Grow",IF(4=4,"Grow",IF(4=5,"Grow",IF(4=6,"Grow",IF(4=7,"Grow",IF(4=8,"Grow","")))))))),IF(IFERROR(MATCH('🌱 Configuração'!$H$12,{"BioBizz","Remo Nutrients","General Organics","SuperSoil","Genérico"},0),1)=3,IF(4=1,"BioRoot",IF(4=2,"BioRoot",IF(4=3,"BioRoot",IF(4=4,"BioRoot",IF(4=5,"CaMg+",IF(4=6,"BioThrive B",IF(4=7,"BioThrive B",IF(4=8,"BioThrive B","")))))))),IF(IFERROR(MATCH('🌱 Configuração'!$H$12,{"BioBizz","Remo Nutrients","General Organics","SuperSoil","Genérico"},0),1)=4,IF(4=1,"—",IF(4=2,"Cobertura: farinha de osso",IF(4=3,"—",IF(4=4,"—",IF(4=5,"Cobertura: cinzas de madeira",IF(4=6,"—",IF(4=7,"Cobertura: guano de morcego",IF(4=8,"—","")))))))),IF(4=1,"—",IF(4=2,"—",IF(4=3,"—",IF(4=4,"—",IF(4=5,"—",IF(4=6,"—",IF(4=7,"—",IF(4=8,"—","")))))))))))))))</f>
        <v>Fish·Mix</v>
      </c>
      <c r="G17" s="52" t="str">
        <f aca="false">IF('🌱 Configuração'!$C$56="","",IF(4&lt;1,"",IF(4&gt;'🌱 Configuração'!$H$7,"",IF(IFERROR(MATCH('🌱 Configuração'!$H$12,{"BioBizz","Remo Nutrients","General Organics","SuperSoil","Genérico"},0),1)=1,IF(4=1,"1 mL/L",IF(4=2,"2 mL/L",IF(4=3,"2 mL/L",IF(4=4,"3 mL/L",IF(4=5,"3 mL/L",IF(4=6,"—",IF(4=7,"1 mL/L",IF(4=8,"2 mL/L","")))))))),IF(IFERROR(MATCH('🌱 Configuração'!$H$12,{"BioBizz","Remo Nutrients","General Organics","SuperSoil","Genérico"},0),1)=2,IF(4=1,"1.3 mL/L",IF(4=2,"1.5 mL/L",IF(4=3,"1.8 mL/L",IF(4=4,"2.1 mL/L",IF(4=5,"2.1 mL/L",IF(4=6,"2.1 mL/L",IF(4=7,"1.0 mL/L",IF(4=8,"0.5 mL/L","")))))))),IF(IFERROR(MATCH('🌱 Configuração'!$H$12,{"BioBizz","Remo Nutrients","General Organics","SuperSoil","Genérico"},0),1)=3,IF(4=1,"2.6 mL/L",IF(4=2,"2.6 mL/L",IF(4=3,"2.6 mL/L",IF(4=4,"1.3 mL/L",IF(4=5,"1.3 mL/L",IF(4=6,"1.3 mL/L",IF(4=7,"2.6 mL/L",IF(4=8,"2.6 mL/L","")))))))),IF(IFERROR(MATCH('🌱 Configuração'!$H$12,{"BioBizz","Remo Nutrients","General Organics","SuperSoil","Genérico"},0),1)=4,IF(4=1,"—",IF(4=2,"10g/vaso",IF(4=3,"—",IF(4=4,"—",IF(4=5,"3g/L",IF(4=6,"—",IF(4=7,"5g/L",IF(4=8,"—","")))))))),IF(4=1,"—",IF(4=2,"—",IF(4=3,"—",IF(4=4,"—",IF(4=5,"—",IF(4=6,"—",IF(4=7,"—",IF(4=8,"—","")))))))))))))))</f>
        <v>3 mL/L</v>
      </c>
      <c r="H17" s="51" t="str">
        <f aca="false">IF('🌱 Configuração'!$C$56="","",IF(4&lt;1,"",IF(4&gt;'🌱 Configuração'!$H$7,"",IF(IFERROR(MATCH('🌱 Configuração'!$H$12,{"BioBizz","Remo Nutrients","General Organics","SuperSoil","Genérico"},0),1)=1,IF(4=1,"—",IF(4=2,"—",IF(4=3,"—",IF(4=4,"—",IF(4=5,"—",IF(4=6,"—",IF(4=7,"—",IF(4=8,"—","")))))))),IF(IFERROR(MATCH('🌱 Configuração'!$H$12,{"BioBizz","Remo Nutrients","General Organics","SuperSoil","Genérico"},0),1)=2,IF(4=1,"—",IF(4=2,"—",IF(4=3,"—",IF(4=4,"—",IF(4=5,"—",IF(4=6,"Bloom",IF(4=7,"Bloom",IF(4=8,"Bloom","")))))))),IF(IFERROR(MATCH('🌱 Configuração'!$H$12,{"BioBizz","Remo Nutrients","General Organics","SuperSoil","Genérico"},0),1)=3,IF(4=1,"CaMg+",IF(4=2,"CaMg+",IF(4=3,"CaMg+",IF(4=4,"CaMg+",IF(4=5,"—",IF(4=6,"CaMg+",IF(4=7,"CaMg+",IF(4=8,"CaMg+","")))))))),IF(IFERROR(MATCH('🌱 Configuração'!$H$12,{"BioBizz","Remo Nutrients","General Organics","SuperSoil","Genérico"},0),1)=4,IF(4=1,"—",IF(4=2,"—",IF(4=3,"—",IF(4=4,"—",IF(4=5,"—",IF(4=6,"—",IF(4=7,"—",IF(4=8,"—","")))))))),IF(4=1,"—",IF(4=2,"—",IF(4=3,"—",IF(4=4,"—",IF(4=5,"—",IF(4=6,"—",IF(4=7,"—",IF(4=8,"—","")))))))))))))))</f>
        <v>—</v>
      </c>
      <c r="I17" s="52" t="str">
        <f aca="false">IF('🌱 Configuração'!$C$56="","",IF(4&lt;1,"",IF(4&gt;'🌱 Configuração'!$H$7,"",IF(IFERROR(MATCH('🌱 Configuração'!$H$12,{"BioBizz","Remo Nutrients","General Organics","SuperSoil","Genérico"},0),1)=1,IF(4=1,"—",IF(4=2,"—",IF(4=3,"—",IF(4=4,"—",IF(4=5,"—",IF(4=6,"—",IF(4=7,"—",IF(4=8,"—","")))))))),IF(IFERROR(MATCH('🌱 Configuração'!$H$12,{"BioBizz","Remo Nutrients","General Organics","SuperSoil","Genérico"},0),1)=2,IF(4=1,"—",IF(4=2,"—",IF(4=3,"—",IF(4=4,"—",IF(4=5,"—",IF(4=6,"1.0 mL/L",IF(4=7,"2.1 mL/L",IF(4=8,"2.1 mL/L","")))))))),IF(IFERROR(MATCH('🌱 Configuração'!$H$12,{"BioBizz","Remo Nutrients","General Organics","SuperSoil","Genérico"},0),1)=3,IF(4=1,"1.3 mL/L",IF(4=2,"1.3 mL/L",IF(4=3,"1.3 mL/L",IF(4=4,"1.3 mL/L",IF(4=5,"—",IF(4=6,"1.3 mL/L",IF(4=7,"1.3 mL/L",IF(4=8,"1.3 mL/L","")))))))),IF(IFERROR(MATCH('🌱 Configuração'!$H$12,{"BioBizz","Remo Nutrients","General Organics","SuperSoil","Genérico"},0),1)=4,IF(4=1,"—",IF(4=2,"—",IF(4=3,"—",IF(4=4,"—",IF(4=5,"—",IF(4=6,"—",IF(4=7,"—",IF(4=8,"—","")))))))),IF(4=1,"—",IF(4=2,"—",IF(4=3,"—",IF(4=4,"—",IF(4=5,"—",IF(4=6,"—",IF(4=7,"—",IF(4=8,"—","")))))))))))))))</f>
        <v>—</v>
      </c>
      <c r="J17" s="51" t="str">
        <f aca="false">IF('🌱 Configuração'!$C$56="","",IF(4&lt;1,"",IF(4&gt;'🌱 Configuração'!$H$7,"",IF(IFERROR(MATCH('🌱 Configuração'!$H$12,{"BioBizz","Remo Nutrients","General Organics","SuperSoil","Genérico"},0),1)=1,IF(4=1,"Alg·A·Mic 1mL",IF(4=2,"—",IF(4=3,"Alg·A·Mic 1mL",IF(4=4,"—",IF(4=5,"Alg·A·Mic 1mL",IF(4=6,"—",IF(4=7,"—",IF(4=8,"—","")))))))),IF(IFERROR(MATCH('🌱 Configuração'!$H$12,{"BioBizz","Remo Nutrients","General Organics","SuperSoil","Genérico"},0),1)=2,IF(4=1,"Magnifical 0.5",IF(4=2,"Magnifical 0.5",IF(4=3,"Magnifical 1.0",IF(4=4,"Magnifical 1.0",IF(4=5,"Magnifical 1.0",IF(4=6,"Magnifical 1.0",IF(4=7,"—",IF(4=8,"—","")))))))),IF(IFERROR(MATCH('🌱 Configuração'!$H$12,{"BioBizz","Remo Nutrients","General Organics","SuperSoil","Genérico"},0),1)=3,IF(4=1,"BioWeed 0.7",IF(4=2,"BioWeed 0.7",IF(4=3,"—",IF(4=4,"—",IF(4=5,"—",IF(4=6,"—",IF(4=7,"—",IF(4=8,"—","")))))))),IF(IFERROR(MATCH('🌱 Configuração'!$H$12,{"BioBizz","Remo Nutrients","General Organics","SuperSoil","Genérico"},0),1)=4,IF(4=1,"Vermicomposto",IF(4=2,"—",IF(4=3,"—",IF(4=4,"—",IF(4=5,"—",IF(4=6,"Microrganismos",IF(4=7,"—",IF(4=8,"—","")))))))),IF(4=1,"—",IF(4=2,"—",IF(4=3,"—",IF(4=4,"—",IF(4=5,"—",IF(4=6,"—",IF(4=7,"—",IF(4=8,"—","")))))))))))))))</f>
        <v>—</v>
      </c>
      <c r="K17" s="44" t="str">
        <f aca="false">IF('🌱 Configuração'!$C$56="","",IF(4&lt;1,"",IF(4&gt;'🌱 Configuração'!$H$7,"",IF(IFERROR(MATCH('🌱 Configuração'!$H$12,{"BioBizz","Remo Nutrients","General Organics","SuperSoil","Genérico"},0),1)=1,IF(4=1,"6.2–6.5",IF(4=2,"6.2–6.5",IF(4=3,"6.2–6.5",IF(4=4,"6.2–6.5",IF(4=5,"6.2–6.5",IF(4=6,"6.2–6.5",IF(4=7,"6.2–6.5",IF(4=8,"6.2–6.5","")))))))),IF(IFERROR(MATCH('🌱 Configuração'!$H$12,{"BioBizz","Remo Nutrients","General Organics","SuperSoil","Genérico"},0),1)=2,IF(4=1,"6.0–6.3",IF(4=2,"6.0–6.3",IF(4=3,"6.0–6.3",IF(4=4,"6.0–6.3",IF(4=5,"6.0–6.3",IF(4=6,"6.0–6.3",IF(4=7,"6.0–6.3",IF(4=8,"6.0–6.3","")))))))),IF(IFERROR(MATCH('🌱 Configuração'!$H$12,{"BioBizz","Remo Nutrients","General Organics","SuperSoil","Genérico"},0),1)=3,IF(4=1,"6.2–7.0",IF(4=2,"6.2–7.0",IF(4=3,"6.2–7.0",IF(4=4,"6.2–7.0",IF(4=5,"6.2–7.0",IF(4=6,"6.2–7.0",IF(4=7,"6.2–7.0",IF(4=8,"6.2–7.0","")))))))),IF(IFERROR(MATCH('🌱 Configuração'!$H$12,{"BioBizz","Remo Nutrients","General Organics","SuperSoil","Genérico"},0),1)=4,IF(4=1,"auto",IF(4=2,"auto",IF(4=3,"auto",IF(4=4,"auto",IF(4=5,"auto",IF(4=6,"auto",IF(4=7,"auto",IF(4=8,"auto","")))))))),IF(4=1,"—",IF(4=2,"—",IF(4=3,"—",IF(4=4,"—",IF(4=5,"—",IF(4=6,"—",IF(4=7,"—",IF(4=8,"—","")))))))))))))))</f>
        <v>6.2–6.5</v>
      </c>
      <c r="L17" s="45" t="str">
        <f aca="false">IF('🌱 Configuração'!$C$56="","",IF(4&lt;1,"",IF(4&gt;'🌱 Configuração'!$H$7,"",IF(IFERROR(MATCH('🌱 Configuração'!$H$12,{"BioBizz","Remo Nutrients","General Organics","SuperSoil","Genérico"},0),1)=1,IF(4=1,"0.8",IF(4=2,"1.0",IF(4=3,"1.2",IF(4=4,"1.4",IF(4=5,"1.5",IF(4=6,"1.4",IF(4=7,"1.4",IF(4=8,"1.4","")))))))),IF(IFERROR(MATCH('🌱 Configuração'!$H$12,{"BioBizz","Remo Nutrients","General Organics","SuperSoil","Genérico"},0),1)=2,IF(4=1,"0.8",IF(4=2,"1.0",IF(4=3,"1.2",IF(4=4,"1.4",IF(4=5,"1.5",IF(4=6,"1.5",IF(4=7,"1.4",IF(4=8,"1.4","")))))))),IF(IFERROR(MATCH('🌱 Configuração'!$H$12,{"BioBizz","Remo Nutrients","General Organics","SuperSoil","Genérico"},0),1)=3,IF(4=1,"N/A",IF(4=2,"N/A",IF(4=3,"N/A",IF(4=4,"N/A",IF(4=5,"N/A",IF(4=6,"N/A",IF(4=7,"N/A",IF(4=8,"N/A","")))))))),IF(IFERROR(MATCH('🌱 Configuração'!$H$12,{"BioBizz","Remo Nutrients","General Organics","SuperSoil","Genérico"},0),1)=4,IF(4=1,"auto",IF(4=2,"auto",IF(4=3,"auto",IF(4=4,"auto",IF(4=5,"auto",IF(4=6,"auto",IF(4=7,"auto",IF(4=8,"auto","")))))))),IF(4=1,"—",IF(4=2,"—",IF(4=3,"—",IF(4=4,"—",IF(4=5,"—",IF(4=6,"—",IF(4=7,"—",IF(4=8,"—","")))))))))))))))</f>
        <v>1.4</v>
      </c>
      <c r="M17" s="51" t="str">
        <f aca="false">IF('🌱 Configuração'!$C$56="","",IF(4&lt;1,"",IF(4&gt;'🌱 Configuração'!$H$7,"",IF(IFERROR(MATCH('🌱 Configuração'!$H$12,{"BioBizz","Remo Nutrients","General Organics","SuperSoil","Genérico"},0),1)=1,IF(4=1,"Fish·Mix em veg = mais N orgânico",IF(4=2,"Aumentar progressivamente",IF(4=3,"Foliar: Fish·Mix + Alg·A·Mic 1mL/L",IF(4=4,"LST / estrutura vegetativa",IF(4=5,"Pré-floração — reduzir Fish·Mix",IF(4=6,"Substituir Fish·Mix por Bio·Grow antes da flora",IF(4=7,"Semana de transição — introduzir Bloom",IF(4=8,"Semana extra de vega","")))))))),IF(IFERROR(MATCH('🌱 Configuração'!$H$12,{"BioBizz","Remo Nutrients","General Organics","SuperSoil","Genérico"},0),1)=2,IF(4=1,"Micro+Grow = base Remo para vega",IF(4=2,"Aumentar conforme tabela oficial",IF(4=3,"Semana 3 da tabela Remo",IF(4=4,"Semana 4 da tabela Remo — pico vega",IF(4=5,"Manter se continuar vega",IF(4=6,"Introduzir Bloom — transição",IF(4=7,"Reduzir Grow, aumentar Bloom",IF(4=8,"Semana extra de vega","")))))))),IF(IFERROR(MATCH('🌱 Configuração'!$H$12,{"BioBizz","Remo Nutrients","General Organics","SuperSoil","Genérico"},0),1)=3,IF(4=1,"GO não requer EC — pH auto-regula",IF(4=2,"Sem necessidade de ajuste pH em solo",IF(4=3,"Semana 3 veg GO",IF(4=4,"Reduzir BioRoot gradualmente",IF(4=5,"Manter Grow puro na vega",IF(4=6,"Semana transição — introduzir Bloom",IF(4=7,"Transição flora — reduzir Grow",IF(4=8,"Semana extra de vega GO","")))))))),IF(IFERROR(MATCH('🌱 Configuração'!$H$12,{"BioBizz","Remo Nutrients","General Organics","SuperSoil","Genérico"},0),1)=4,IF(4=1,"SuperSoil já contém todos os nutrientes",IF(4=2,"Torta de mamona = N lento | Osso = P",IF(4=3,"Mel de cana alimenta fungos e bactérias",IF(4=4,"Observar vigor — solo vivo trabalha",IF(4=5,"Alga = micro. | Cinzas = K e Ca",IF(4=6,"Pré-flora — ativar P e K no solo",IF(4=7,"Guano P alto = preparo para flora",IF(4=8,"Semana extra de vega SuperSoil","")))))))),IF(4=1,"Personalize suas doses",IF(4=2,"Personalize suas doses",IF(4=3,"Personalize suas doses",IF(4=4,"Personalize suas doses",IF(4=5,"Personalize suas doses",IF(4=6,"Personalize suas doses",IF(4=7,"Personalize suas doses",IF(4=8,"Personalize suas doses","")))))))))))))))</f>
        <v>LST / estrutura vegetativa</v>
      </c>
    </row>
    <row r="18" customFormat="false" ht="21.75" hidden="false" customHeight="true" outlineLevel="0" collapsed="false">
      <c r="B18" s="23" t="str">
        <f aca="false">IF(5&lt;='🌱 Configuração'!$H$7,"S5","—")</f>
        <v>S5</v>
      </c>
      <c r="C18" s="41" t="n">
        <f aca="false">IF(5&lt;='🌱 Configuração'!$H$7,'🌱 Configuração'!$C$56+28,"")</f>
        <v>42</v>
      </c>
      <c r="D18" s="42" t="str">
        <f aca="false">IF('🌱 Configuração'!$C$56="","",IF(5&lt;1,"",IF(5&gt;'🌱 Configuração'!$H$7,"",IF(IFERROR(MATCH('🌱 Configuração'!$H$12,{"BioBizz","Remo Nutrients","General Organics","SuperSoil","Genérico"},0),1)=1,IF(5=1,"Bio·Grow",IF(5=2,"Bio·Grow",IF(5=3,"Bio·Grow",IF(5=4,"Bio·Grow",IF(5=5,"Bio·Grow",IF(5=6,"Bio·Grow",IF(5=7,"Bio·Grow",IF(5=8,"Bio·Grow","")))))))),IF(IFERROR(MATCH('🌱 Configuração'!$H$12,{"BioBizz","Remo Nutrients","General Organics","SuperSoil","Genérico"},0),1)=2,IF(5=1,"Micro",IF(5=2,"Micro",IF(5=3,"Micro",IF(5=4,"Micro",IF(5=5,"Micro",IF(5=6,"Micro",IF(5=7,"Micro",IF(5=8,"Micro","")))))))),IF(IFERROR(MATCH('🌱 Configuração'!$H$12,{"BioBizz","Remo Nutrients","General Organics","SuperSoil","Genérico"},0),1)=3,IF(5=1,"BioThrive G",IF(5=2,"BioThrive G",IF(5=3,"BioThrive G",IF(5=4,"BioThrive G",IF(5=5,"BioThrive G",IF(5=6,"BioThrive G",IF(5=7,"BioThrive G",IF(5=8,"BioThrive G","")))))))),IF(IFERROR(MATCH('🌱 Configuração'!$H$12,{"BioBizz","Remo Nutrients","General Organics","SuperSoil","Genérico"},0),1)=4,IF(5=1,"Chá de compostagem",IF(5=2,"Cobertura: torta de mamona",IF(5=3,"Molasses 2 mL/L",IF(5=4,"Chá de compostagem",IF(5=5,"Cobertura: farinha de alga",IF(5=6,"Molasses 2 mL/L",IF(5=7,"Cobertura: farinha de osso",IF(5=8,"Chá de compostagem","")))))))),IF(5=1,"← Preencha",IF(5=2,"← Preencha",IF(5=3,"← Preencha",IF(5=4,"← Preencha",IF(5=5,"← Preencha",IF(5=6,"← Preencha",IF(5=7,"← Preencha",IF(5=8,"← Preencha","")))))))))))))))</f>
        <v>Bio·Grow</v>
      </c>
      <c r="E18" s="43" t="str">
        <f aca="false">IF('🌱 Configuração'!$C$56="","",IF(5&lt;1,"",IF(5&gt;'🌱 Configuração'!$H$7,"",IF(IFERROR(MATCH('🌱 Configuração'!$H$12,{"BioBizz","Remo Nutrients","General Organics","SuperSoil","Genérico"},0),1)=1,IF(5=1,"1 mL/L",IF(5=2,"2 mL/L",IF(5=3,"2 mL/L",IF(5=4,"3 mL/L",IF(5=5,"4 mL/L",IF(5=6,"4 mL/L",IF(5=7,"4 mL/L",IF(5=8,"4 mL/L","")))))))),IF(IFERROR(MATCH('🌱 Configuração'!$H$12,{"BioBizz","Remo Nutrients","General Organics","SuperSoil","Genérico"},0),1)=2,IF(5=1,"1.3 mL/L",IF(5=2,"1.5 mL/L",IF(5=3,"1.8 mL/L",IF(5=4,"2.1 mL/L",IF(5=5,"2.1 mL/L",IF(5=6,"2.1 mL/L",IF(5=7,"2.1 mL/L",IF(5=8,"2.1 mL/L","")))))))),IF(IFERROR(MATCH('🌱 Configuração'!$H$12,{"BioBizz","Remo Nutrients","General Organics","SuperSoil","Genérico"},0),1)=3,IF(5=1,"1.3 mL/L",IF(5=2,"2.6 mL/L",IF(5=3,"2.6 mL/L",IF(5=4,"2.6 mL/L",IF(5=5,"2.6 mL/L",IF(5=6,"2.6 mL/L",IF(5=7,"1.3 mL/L",IF(5=8,"1.3 mL/L","")))))))),IF(IFERROR(MATCH('🌱 Configuração'!$H$12,{"BioBizz","Remo Nutrients","General Organics","SuperSoil","Genérico"},0),1)=4,IF(5=1,"2L/planta",IF(5=2,"10g/vaso",IF(5=3,"—",IF(5=4,"2L/planta",IF(5=5,"5g/L solo",IF(5=6,"—",IF(5=7,"10g/vaso",IF(5=8,"2L/planta","")))))))),IF(5=1,"—",IF(5=2,"—",IF(5=3,"—",IF(5=4,"—",IF(5=5,"—",IF(5=6,"—",IF(5=7,"—",IF(5=8,"—","")))))))))))))))</f>
        <v>4 mL/L</v>
      </c>
      <c r="F18" s="42" t="str">
        <f aca="false">IF('🌱 Configuração'!$C$56="","",IF(5&lt;1,"",IF(5&gt;'🌱 Configuração'!$H$7,"",IF(IFERROR(MATCH('🌱 Configuração'!$H$12,{"BioBizz","Remo Nutrients","General Organics","SuperSoil","Genérico"},0),1)=1,IF(5=1,"Fish·Mix",IF(5=2,"Fish·Mix",IF(5=3,"Fish·Mix",IF(5=4,"Fish·Mix",IF(5=5,"Fish·Mix",IF(5=6,"—",IF(5=7,"Bio·Bloom",IF(5=8,"Bio·Bloom","")))))))),IF(IFERROR(MATCH('🌱 Configuração'!$H$12,{"BioBizz","Remo Nutrients","General Organics","SuperSoil","Genérico"},0),1)=2,IF(5=1,"Grow",IF(5=2,"Grow",IF(5=3,"Grow",IF(5=4,"Grow",IF(5=5,"Grow",IF(5=6,"Grow",IF(5=7,"Grow",IF(5=8,"Grow","")))))))),IF(IFERROR(MATCH('🌱 Configuração'!$H$12,{"BioBizz","Remo Nutrients","General Organics","SuperSoil","Genérico"},0),1)=3,IF(5=1,"BioRoot",IF(5=2,"BioRoot",IF(5=3,"BioRoot",IF(5=4,"BioRoot",IF(5=5,"CaMg+",IF(5=6,"BioThrive B",IF(5=7,"BioThrive B",IF(5=8,"BioThrive B","")))))))),IF(IFERROR(MATCH('🌱 Configuração'!$H$12,{"BioBizz","Remo Nutrients","General Organics","SuperSoil","Genérico"},0),1)=4,IF(5=1,"—",IF(5=2,"Cobertura: farinha de osso",IF(5=3,"—",IF(5=4,"—",IF(5=5,"Cobertura: cinzas de madeira",IF(5=6,"—",IF(5=7,"Cobertura: guano de morcego",IF(5=8,"—","")))))))),IF(5=1,"—",IF(5=2,"—",IF(5=3,"—",IF(5=4,"—",IF(5=5,"—",IF(5=6,"—",IF(5=7,"—",IF(5=8,"—","")))))))))))))))</f>
        <v>Fish·Mix</v>
      </c>
      <c r="G18" s="43" t="str">
        <f aca="false">IF('🌱 Configuração'!$C$56="","",IF(5&lt;1,"",IF(5&gt;'🌱 Configuração'!$H$7,"",IF(IFERROR(MATCH('🌱 Configuração'!$H$12,{"BioBizz","Remo Nutrients","General Organics","SuperSoil","Genérico"},0),1)=1,IF(5=1,"1 mL/L",IF(5=2,"2 mL/L",IF(5=3,"2 mL/L",IF(5=4,"3 mL/L",IF(5=5,"3 mL/L",IF(5=6,"—",IF(5=7,"1 mL/L",IF(5=8,"2 mL/L","")))))))),IF(IFERROR(MATCH('🌱 Configuração'!$H$12,{"BioBizz","Remo Nutrients","General Organics","SuperSoil","Genérico"},0),1)=2,IF(5=1,"1.3 mL/L",IF(5=2,"1.5 mL/L",IF(5=3,"1.8 mL/L",IF(5=4,"2.1 mL/L",IF(5=5,"2.1 mL/L",IF(5=6,"2.1 mL/L",IF(5=7,"1.0 mL/L",IF(5=8,"0.5 mL/L","")))))))),IF(IFERROR(MATCH('🌱 Configuração'!$H$12,{"BioBizz","Remo Nutrients","General Organics","SuperSoil","Genérico"},0),1)=3,IF(5=1,"2.6 mL/L",IF(5=2,"2.6 mL/L",IF(5=3,"2.6 mL/L",IF(5=4,"1.3 mL/L",IF(5=5,"1.3 mL/L",IF(5=6,"1.3 mL/L",IF(5=7,"2.6 mL/L",IF(5=8,"2.6 mL/L","")))))))),IF(IFERROR(MATCH('🌱 Configuração'!$H$12,{"BioBizz","Remo Nutrients","General Organics","SuperSoil","Genérico"},0),1)=4,IF(5=1,"—",IF(5=2,"10g/vaso",IF(5=3,"—",IF(5=4,"—",IF(5=5,"3g/L",IF(5=6,"—",IF(5=7,"5g/L",IF(5=8,"—","")))))))),IF(5=1,"—",IF(5=2,"—",IF(5=3,"—",IF(5=4,"—",IF(5=5,"—",IF(5=6,"—",IF(5=7,"—",IF(5=8,"—","")))))))))))))))</f>
        <v>3 mL/L</v>
      </c>
      <c r="H18" s="42" t="str">
        <f aca="false">IF('🌱 Configuração'!$C$56="","",IF(5&lt;1,"",IF(5&gt;'🌱 Configuração'!$H$7,"",IF(IFERROR(MATCH('🌱 Configuração'!$H$12,{"BioBizz","Remo Nutrients","General Organics","SuperSoil","Genérico"},0),1)=1,IF(5=1,"—",IF(5=2,"—",IF(5=3,"—",IF(5=4,"—",IF(5=5,"—",IF(5=6,"—",IF(5=7,"—",IF(5=8,"—","")))))))),IF(IFERROR(MATCH('🌱 Configuração'!$H$12,{"BioBizz","Remo Nutrients","General Organics","SuperSoil","Genérico"},0),1)=2,IF(5=1,"—",IF(5=2,"—",IF(5=3,"—",IF(5=4,"—",IF(5=5,"—",IF(5=6,"Bloom",IF(5=7,"Bloom",IF(5=8,"Bloom","")))))))),IF(IFERROR(MATCH('🌱 Configuração'!$H$12,{"BioBizz","Remo Nutrients","General Organics","SuperSoil","Genérico"},0),1)=3,IF(5=1,"CaMg+",IF(5=2,"CaMg+",IF(5=3,"CaMg+",IF(5=4,"CaMg+",IF(5=5,"—",IF(5=6,"CaMg+",IF(5=7,"CaMg+",IF(5=8,"CaMg+","")))))))),IF(IFERROR(MATCH('🌱 Configuração'!$H$12,{"BioBizz","Remo Nutrients","General Organics","SuperSoil","Genérico"},0),1)=4,IF(5=1,"—",IF(5=2,"—",IF(5=3,"—",IF(5=4,"—",IF(5=5,"—",IF(5=6,"—",IF(5=7,"—",IF(5=8,"—","")))))))),IF(5=1,"—",IF(5=2,"—",IF(5=3,"—",IF(5=4,"—",IF(5=5,"—",IF(5=6,"—",IF(5=7,"—",IF(5=8,"—","")))))))))))))))</f>
        <v>—</v>
      </c>
      <c r="I18" s="43" t="str">
        <f aca="false">IF('🌱 Configuração'!$C$56="","",IF(5&lt;1,"",IF(5&gt;'🌱 Configuração'!$H$7,"",IF(IFERROR(MATCH('🌱 Configuração'!$H$12,{"BioBizz","Remo Nutrients","General Organics","SuperSoil","Genérico"},0),1)=1,IF(5=1,"—",IF(5=2,"—",IF(5=3,"—",IF(5=4,"—",IF(5=5,"—",IF(5=6,"—",IF(5=7,"—",IF(5=8,"—","")))))))),IF(IFERROR(MATCH('🌱 Configuração'!$H$12,{"BioBizz","Remo Nutrients","General Organics","SuperSoil","Genérico"},0),1)=2,IF(5=1,"—",IF(5=2,"—",IF(5=3,"—",IF(5=4,"—",IF(5=5,"—",IF(5=6,"1.0 mL/L",IF(5=7,"2.1 mL/L",IF(5=8,"2.1 mL/L","")))))))),IF(IFERROR(MATCH('🌱 Configuração'!$H$12,{"BioBizz","Remo Nutrients","General Organics","SuperSoil","Genérico"},0),1)=3,IF(5=1,"1.3 mL/L",IF(5=2,"1.3 mL/L",IF(5=3,"1.3 mL/L",IF(5=4,"1.3 mL/L",IF(5=5,"—",IF(5=6,"1.3 mL/L",IF(5=7,"1.3 mL/L",IF(5=8,"1.3 mL/L","")))))))),IF(IFERROR(MATCH('🌱 Configuração'!$H$12,{"BioBizz","Remo Nutrients","General Organics","SuperSoil","Genérico"},0),1)=4,IF(5=1,"—",IF(5=2,"—",IF(5=3,"—",IF(5=4,"—",IF(5=5,"—",IF(5=6,"—",IF(5=7,"—",IF(5=8,"—","")))))))),IF(5=1,"—",IF(5=2,"—",IF(5=3,"—",IF(5=4,"—",IF(5=5,"—",IF(5=6,"—",IF(5=7,"—",IF(5=8,"—","")))))))))))))))</f>
        <v>—</v>
      </c>
      <c r="J18" s="42" t="str">
        <f aca="false">IF('🌱 Configuração'!$C$56="","",IF(5&lt;1,"",IF(5&gt;'🌱 Configuração'!$H$7,"",IF(IFERROR(MATCH('🌱 Configuração'!$H$12,{"BioBizz","Remo Nutrients","General Organics","SuperSoil","Genérico"},0),1)=1,IF(5=1,"Alg·A·Mic 1mL",IF(5=2,"—",IF(5=3,"Alg·A·Mic 1mL",IF(5=4,"—",IF(5=5,"Alg·A·Mic 1mL",IF(5=6,"—",IF(5=7,"—",IF(5=8,"—","")))))))),IF(IFERROR(MATCH('🌱 Configuração'!$H$12,{"BioBizz","Remo Nutrients","General Organics","SuperSoil","Genérico"},0),1)=2,IF(5=1,"Magnifical 0.5",IF(5=2,"Magnifical 0.5",IF(5=3,"Magnifical 1.0",IF(5=4,"Magnifical 1.0",IF(5=5,"Magnifical 1.0",IF(5=6,"Magnifical 1.0",IF(5=7,"—",IF(5=8,"—","")))))))),IF(IFERROR(MATCH('🌱 Configuração'!$H$12,{"BioBizz","Remo Nutrients","General Organics","SuperSoil","Genérico"},0),1)=3,IF(5=1,"BioWeed 0.7",IF(5=2,"BioWeed 0.7",IF(5=3,"—",IF(5=4,"—",IF(5=5,"—",IF(5=6,"—",IF(5=7,"—",IF(5=8,"—","")))))))),IF(IFERROR(MATCH('🌱 Configuração'!$H$12,{"BioBizz","Remo Nutrients","General Organics","SuperSoil","Genérico"},0),1)=4,IF(5=1,"Vermicomposto",IF(5=2,"—",IF(5=3,"—",IF(5=4,"—",IF(5=5,"—",IF(5=6,"Microrganismos",IF(5=7,"—",IF(5=8,"—","")))))))),IF(5=1,"—",IF(5=2,"—",IF(5=3,"—",IF(5=4,"—",IF(5=5,"—",IF(5=6,"—",IF(5=7,"—",IF(5=8,"—","")))))))))))))))</f>
        <v>Alg·A·Mic 1mL</v>
      </c>
      <c r="K18" s="44" t="str">
        <f aca="false">IF('🌱 Configuração'!$C$56="","",IF(5&lt;1,"",IF(5&gt;'🌱 Configuração'!$H$7,"",IF(IFERROR(MATCH('🌱 Configuração'!$H$12,{"BioBizz","Remo Nutrients","General Organics","SuperSoil","Genérico"},0),1)=1,IF(5=1,"6.2–6.5",IF(5=2,"6.2–6.5",IF(5=3,"6.2–6.5",IF(5=4,"6.2–6.5",IF(5=5,"6.2–6.5",IF(5=6,"6.2–6.5",IF(5=7,"6.2–6.5",IF(5=8,"6.2–6.5","")))))))),IF(IFERROR(MATCH('🌱 Configuração'!$H$12,{"BioBizz","Remo Nutrients","General Organics","SuperSoil","Genérico"},0),1)=2,IF(5=1,"6.0–6.3",IF(5=2,"6.0–6.3",IF(5=3,"6.0–6.3",IF(5=4,"6.0–6.3",IF(5=5,"6.0–6.3",IF(5=6,"6.0–6.3",IF(5=7,"6.0–6.3",IF(5=8,"6.0–6.3","")))))))),IF(IFERROR(MATCH('🌱 Configuração'!$H$12,{"BioBizz","Remo Nutrients","General Organics","SuperSoil","Genérico"},0),1)=3,IF(5=1,"6.2–7.0",IF(5=2,"6.2–7.0",IF(5=3,"6.2–7.0",IF(5=4,"6.2–7.0",IF(5=5,"6.2–7.0",IF(5=6,"6.2–7.0",IF(5=7,"6.2–7.0",IF(5=8,"6.2–7.0","")))))))),IF(IFERROR(MATCH('🌱 Configuração'!$H$12,{"BioBizz","Remo Nutrients","General Organics","SuperSoil","Genérico"},0),1)=4,IF(5=1,"auto",IF(5=2,"auto",IF(5=3,"auto",IF(5=4,"auto",IF(5=5,"auto",IF(5=6,"auto",IF(5=7,"auto",IF(5=8,"auto","")))))))),IF(5=1,"—",IF(5=2,"—",IF(5=3,"—",IF(5=4,"—",IF(5=5,"—",IF(5=6,"—",IF(5=7,"—",IF(5=8,"—","")))))))))))))))</f>
        <v>6.2–6.5</v>
      </c>
      <c r="L18" s="45" t="str">
        <f aca="false">IF('🌱 Configuração'!$C$56="","",IF(5&lt;1,"",IF(5&gt;'🌱 Configuração'!$H$7,"",IF(IFERROR(MATCH('🌱 Configuração'!$H$12,{"BioBizz","Remo Nutrients","General Organics","SuperSoil","Genérico"},0),1)=1,IF(5=1,"0.8",IF(5=2,"1.0",IF(5=3,"1.2",IF(5=4,"1.4",IF(5=5,"1.5",IF(5=6,"1.4",IF(5=7,"1.4",IF(5=8,"1.4","")))))))),IF(IFERROR(MATCH('🌱 Configuração'!$H$12,{"BioBizz","Remo Nutrients","General Organics","SuperSoil","Genérico"},0),1)=2,IF(5=1,"0.8",IF(5=2,"1.0",IF(5=3,"1.2",IF(5=4,"1.4",IF(5=5,"1.5",IF(5=6,"1.5",IF(5=7,"1.4",IF(5=8,"1.4","")))))))),IF(IFERROR(MATCH('🌱 Configuração'!$H$12,{"BioBizz","Remo Nutrients","General Organics","SuperSoil","Genérico"},0),1)=3,IF(5=1,"N/A",IF(5=2,"N/A",IF(5=3,"N/A",IF(5=4,"N/A",IF(5=5,"N/A",IF(5=6,"N/A",IF(5=7,"N/A",IF(5=8,"N/A","")))))))),IF(IFERROR(MATCH('🌱 Configuração'!$H$12,{"BioBizz","Remo Nutrients","General Organics","SuperSoil","Genérico"},0),1)=4,IF(5=1,"auto",IF(5=2,"auto",IF(5=3,"auto",IF(5=4,"auto",IF(5=5,"auto",IF(5=6,"auto",IF(5=7,"auto",IF(5=8,"auto","")))))))),IF(5=1,"—",IF(5=2,"—",IF(5=3,"—",IF(5=4,"—",IF(5=5,"—",IF(5=6,"—",IF(5=7,"—",IF(5=8,"—","")))))))))))))))</f>
        <v>1.5</v>
      </c>
      <c r="M18" s="42" t="str">
        <f aca="false">IF('🌱 Configuração'!$C$56="","",IF(5&lt;1,"",IF(5&gt;'🌱 Configuração'!$H$7,"",IF(IFERROR(MATCH('🌱 Configuração'!$H$12,{"BioBizz","Remo Nutrients","General Organics","SuperSoil","Genérico"},0),1)=1,IF(5=1,"Fish·Mix em veg = mais N orgânico",IF(5=2,"Aumentar progressivamente",IF(5=3,"Foliar: Fish·Mix + Alg·A·Mic 1mL/L",IF(5=4,"LST / estrutura vegetativa",IF(5=5,"Pré-floração — reduzir Fish·Mix",IF(5=6,"Substituir Fish·Mix por Bio·Grow antes da flora",IF(5=7,"Semana de transição — introduzir Bloom",IF(5=8,"Semana extra de vega","")))))))),IF(IFERROR(MATCH('🌱 Configuração'!$H$12,{"BioBizz","Remo Nutrients","General Organics","SuperSoil","Genérico"},0),1)=2,IF(5=1,"Micro+Grow = base Remo para vega",IF(5=2,"Aumentar conforme tabela oficial",IF(5=3,"Semana 3 da tabela Remo",IF(5=4,"Semana 4 da tabela Remo — pico vega",IF(5=5,"Manter se continuar vega",IF(5=6,"Introduzir Bloom — transição",IF(5=7,"Reduzir Grow, aumentar Bloom",IF(5=8,"Semana extra de vega","")))))))),IF(IFERROR(MATCH('🌱 Configuração'!$H$12,{"BioBizz","Remo Nutrients","General Organics","SuperSoil","Genérico"},0),1)=3,IF(5=1,"GO não requer EC — pH auto-regula",IF(5=2,"Sem necessidade de ajuste pH em solo",IF(5=3,"Semana 3 veg GO",IF(5=4,"Reduzir BioRoot gradualmente",IF(5=5,"Manter Grow puro na vega",IF(5=6,"Semana transição — introduzir Bloom",IF(5=7,"Transição flora — reduzir Grow",IF(5=8,"Semana extra de vega GO","")))))))),IF(IFERROR(MATCH('🌱 Configuração'!$H$12,{"BioBizz","Remo Nutrients","General Organics","SuperSoil","Genérico"},0),1)=4,IF(5=1,"SuperSoil já contém todos os nutrientes",IF(5=2,"Torta de mamona = N lento | Osso = P",IF(5=3,"Mel de cana alimenta fungos e bactérias",IF(5=4,"Observar vigor — solo vivo trabalha",IF(5=5,"Alga = micro. | Cinzas = K e Ca",IF(5=6,"Pré-flora — ativar P e K no solo",IF(5=7,"Guano P alto = preparo para flora",IF(5=8,"Semana extra de vega SuperSoil","")))))))),IF(5=1,"Personalize suas doses",IF(5=2,"Personalize suas doses",IF(5=3,"Personalize suas doses",IF(5=4,"Personalize suas doses",IF(5=5,"Personalize suas doses",IF(5=6,"Personalize suas doses",IF(5=7,"Personalize suas doses",IF(5=8,"Personalize suas doses","")))))))))))))))</f>
        <v>Pré-floração — reduzir Fish·Mix</v>
      </c>
    </row>
    <row r="19" customFormat="false" ht="21.75" hidden="false" customHeight="true" outlineLevel="0" collapsed="false">
      <c r="B19" s="23" t="str">
        <f aca="false">IF(6&lt;='🌱 Configuração'!$H$7,"S6","—")</f>
        <v>S6</v>
      </c>
      <c r="C19" s="50" t="n">
        <f aca="false">IF(6&lt;='🌱 Configuração'!$H$7,'🌱 Configuração'!$C$56+35,"")</f>
        <v>49</v>
      </c>
      <c r="D19" s="51" t="str">
        <f aca="false">IF('🌱 Configuração'!$C$56="","",IF(6&lt;1,"",IF(6&gt;'🌱 Configuração'!$H$7,"",IF(IFERROR(MATCH('🌱 Configuração'!$H$12,{"BioBizz","Remo Nutrients","General Organics","SuperSoil","Genérico"},0),1)=1,IF(6=1,"Bio·Grow",IF(6=2,"Bio·Grow",IF(6=3,"Bio·Grow",IF(6=4,"Bio·Grow",IF(6=5,"Bio·Grow",IF(6=6,"Bio·Grow",IF(6=7,"Bio·Grow",IF(6=8,"Bio·Grow","")))))))),IF(IFERROR(MATCH('🌱 Configuração'!$H$12,{"BioBizz","Remo Nutrients","General Organics","SuperSoil","Genérico"},0),1)=2,IF(6=1,"Micro",IF(6=2,"Micro",IF(6=3,"Micro",IF(6=4,"Micro",IF(6=5,"Micro",IF(6=6,"Micro",IF(6=7,"Micro",IF(6=8,"Micro","")))))))),IF(IFERROR(MATCH('🌱 Configuração'!$H$12,{"BioBizz","Remo Nutrients","General Organics","SuperSoil","Genérico"},0),1)=3,IF(6=1,"BioThrive G",IF(6=2,"BioThrive G",IF(6=3,"BioThrive G",IF(6=4,"BioThrive G",IF(6=5,"BioThrive G",IF(6=6,"BioThrive G",IF(6=7,"BioThrive G",IF(6=8,"BioThrive G","")))))))),IF(IFERROR(MATCH('🌱 Configuração'!$H$12,{"BioBizz","Remo Nutrients","General Organics","SuperSoil","Genérico"},0),1)=4,IF(6=1,"Chá de compostagem",IF(6=2,"Cobertura: torta de mamona",IF(6=3,"Molasses 2 mL/L",IF(6=4,"Chá de compostagem",IF(6=5,"Cobertura: farinha de alga",IF(6=6,"Molasses 2 mL/L",IF(6=7,"Cobertura: farinha de osso",IF(6=8,"Chá de compostagem","")))))))),IF(6=1,"← Preencha",IF(6=2,"← Preencha",IF(6=3,"← Preencha",IF(6=4,"← Preencha",IF(6=5,"← Preencha",IF(6=6,"← Preencha",IF(6=7,"← Preencha",IF(6=8,"← Preencha","")))))))))))))))</f>
        <v>Bio·Grow</v>
      </c>
      <c r="E19" s="52" t="str">
        <f aca="false">IF('🌱 Configuração'!$C$56="","",IF(6&lt;1,"",IF(6&gt;'🌱 Configuração'!$H$7,"",IF(IFERROR(MATCH('🌱 Configuração'!$H$12,{"BioBizz","Remo Nutrients","General Organics","SuperSoil","Genérico"},0),1)=1,IF(6=1,"1 mL/L",IF(6=2,"2 mL/L",IF(6=3,"2 mL/L",IF(6=4,"3 mL/L",IF(6=5,"4 mL/L",IF(6=6,"4 mL/L",IF(6=7,"4 mL/L",IF(6=8,"4 mL/L","")))))))),IF(IFERROR(MATCH('🌱 Configuração'!$H$12,{"BioBizz","Remo Nutrients","General Organics","SuperSoil","Genérico"},0),1)=2,IF(6=1,"1.3 mL/L",IF(6=2,"1.5 mL/L",IF(6=3,"1.8 mL/L",IF(6=4,"2.1 mL/L",IF(6=5,"2.1 mL/L",IF(6=6,"2.1 mL/L",IF(6=7,"2.1 mL/L",IF(6=8,"2.1 mL/L","")))))))),IF(IFERROR(MATCH('🌱 Configuração'!$H$12,{"BioBizz","Remo Nutrients","General Organics","SuperSoil","Genérico"},0),1)=3,IF(6=1,"1.3 mL/L",IF(6=2,"2.6 mL/L",IF(6=3,"2.6 mL/L",IF(6=4,"2.6 mL/L",IF(6=5,"2.6 mL/L",IF(6=6,"2.6 mL/L",IF(6=7,"1.3 mL/L",IF(6=8,"1.3 mL/L","")))))))),IF(IFERROR(MATCH('🌱 Configuração'!$H$12,{"BioBizz","Remo Nutrients","General Organics","SuperSoil","Genérico"},0),1)=4,IF(6=1,"2L/planta",IF(6=2,"10g/vaso",IF(6=3,"—",IF(6=4,"2L/planta",IF(6=5,"5g/L solo",IF(6=6,"—",IF(6=7,"10g/vaso",IF(6=8,"2L/planta","")))))))),IF(6=1,"—",IF(6=2,"—",IF(6=3,"—",IF(6=4,"—",IF(6=5,"—",IF(6=6,"—",IF(6=7,"—",IF(6=8,"—","")))))))))))))))</f>
        <v>4 mL/L</v>
      </c>
      <c r="F19" s="51" t="str">
        <f aca="false">IF('🌱 Configuração'!$C$56="","",IF(6&lt;1,"",IF(6&gt;'🌱 Configuração'!$H$7,"",IF(IFERROR(MATCH('🌱 Configuração'!$H$12,{"BioBizz","Remo Nutrients","General Organics","SuperSoil","Genérico"},0),1)=1,IF(6=1,"Fish·Mix",IF(6=2,"Fish·Mix",IF(6=3,"Fish·Mix",IF(6=4,"Fish·Mix",IF(6=5,"Fish·Mix",IF(6=6,"—",IF(6=7,"Bio·Bloom",IF(6=8,"Bio·Bloom","")))))))),IF(IFERROR(MATCH('🌱 Configuração'!$H$12,{"BioBizz","Remo Nutrients","General Organics","SuperSoil","Genérico"},0),1)=2,IF(6=1,"Grow",IF(6=2,"Grow",IF(6=3,"Grow",IF(6=4,"Grow",IF(6=5,"Grow",IF(6=6,"Grow",IF(6=7,"Grow",IF(6=8,"Grow","")))))))),IF(IFERROR(MATCH('🌱 Configuração'!$H$12,{"BioBizz","Remo Nutrients","General Organics","SuperSoil","Genérico"},0),1)=3,IF(6=1,"BioRoot",IF(6=2,"BioRoot",IF(6=3,"BioRoot",IF(6=4,"BioRoot",IF(6=5,"CaMg+",IF(6=6,"BioThrive B",IF(6=7,"BioThrive B",IF(6=8,"BioThrive B","")))))))),IF(IFERROR(MATCH('🌱 Configuração'!$H$12,{"BioBizz","Remo Nutrients","General Organics","SuperSoil","Genérico"},0),1)=4,IF(6=1,"—",IF(6=2,"Cobertura: farinha de osso",IF(6=3,"—",IF(6=4,"—",IF(6=5,"Cobertura: cinzas de madeira",IF(6=6,"—",IF(6=7,"Cobertura: guano de morcego",IF(6=8,"—","")))))))),IF(6=1,"—",IF(6=2,"—",IF(6=3,"—",IF(6=4,"—",IF(6=5,"—",IF(6=6,"—",IF(6=7,"—",IF(6=8,"—","")))))))))))))))</f>
        <v>—</v>
      </c>
      <c r="G19" s="52" t="str">
        <f aca="false">IF('🌱 Configuração'!$C$56="","",IF(6&lt;1,"",IF(6&gt;'🌱 Configuração'!$H$7,"",IF(IFERROR(MATCH('🌱 Configuração'!$H$12,{"BioBizz","Remo Nutrients","General Organics","SuperSoil","Genérico"},0),1)=1,IF(6=1,"1 mL/L",IF(6=2,"2 mL/L",IF(6=3,"2 mL/L",IF(6=4,"3 mL/L",IF(6=5,"3 mL/L",IF(6=6,"—",IF(6=7,"1 mL/L",IF(6=8,"2 mL/L","")))))))),IF(IFERROR(MATCH('🌱 Configuração'!$H$12,{"BioBizz","Remo Nutrients","General Organics","SuperSoil","Genérico"},0),1)=2,IF(6=1,"1.3 mL/L",IF(6=2,"1.5 mL/L",IF(6=3,"1.8 mL/L",IF(6=4,"2.1 mL/L",IF(6=5,"2.1 mL/L",IF(6=6,"2.1 mL/L",IF(6=7,"1.0 mL/L",IF(6=8,"0.5 mL/L","")))))))),IF(IFERROR(MATCH('🌱 Configuração'!$H$12,{"BioBizz","Remo Nutrients","General Organics","SuperSoil","Genérico"},0),1)=3,IF(6=1,"2.6 mL/L",IF(6=2,"2.6 mL/L",IF(6=3,"2.6 mL/L",IF(6=4,"1.3 mL/L",IF(6=5,"1.3 mL/L",IF(6=6,"1.3 mL/L",IF(6=7,"2.6 mL/L",IF(6=8,"2.6 mL/L","")))))))),IF(IFERROR(MATCH('🌱 Configuração'!$H$12,{"BioBizz","Remo Nutrients","General Organics","SuperSoil","Genérico"},0),1)=4,IF(6=1,"—",IF(6=2,"10g/vaso",IF(6=3,"—",IF(6=4,"—",IF(6=5,"3g/L",IF(6=6,"—",IF(6=7,"5g/L",IF(6=8,"—","")))))))),IF(6=1,"—",IF(6=2,"—",IF(6=3,"—",IF(6=4,"—",IF(6=5,"—",IF(6=6,"—",IF(6=7,"—",IF(6=8,"—","")))))))))))))))</f>
        <v>—</v>
      </c>
      <c r="H19" s="51" t="str">
        <f aca="false">IF('🌱 Configuração'!$C$56="","",IF(6&lt;1,"",IF(6&gt;'🌱 Configuração'!$H$7,"",IF(IFERROR(MATCH('🌱 Configuração'!$H$12,{"BioBizz","Remo Nutrients","General Organics","SuperSoil","Genérico"},0),1)=1,IF(6=1,"—",IF(6=2,"—",IF(6=3,"—",IF(6=4,"—",IF(6=5,"—",IF(6=6,"—",IF(6=7,"—",IF(6=8,"—","")))))))),IF(IFERROR(MATCH('🌱 Configuração'!$H$12,{"BioBizz","Remo Nutrients","General Organics","SuperSoil","Genérico"},0),1)=2,IF(6=1,"—",IF(6=2,"—",IF(6=3,"—",IF(6=4,"—",IF(6=5,"—",IF(6=6,"Bloom",IF(6=7,"Bloom",IF(6=8,"Bloom","")))))))),IF(IFERROR(MATCH('🌱 Configuração'!$H$12,{"BioBizz","Remo Nutrients","General Organics","SuperSoil","Genérico"},0),1)=3,IF(6=1,"CaMg+",IF(6=2,"CaMg+",IF(6=3,"CaMg+",IF(6=4,"CaMg+",IF(6=5,"—",IF(6=6,"CaMg+",IF(6=7,"CaMg+",IF(6=8,"CaMg+","")))))))),IF(IFERROR(MATCH('🌱 Configuração'!$H$12,{"BioBizz","Remo Nutrients","General Organics","SuperSoil","Genérico"},0),1)=4,IF(6=1,"—",IF(6=2,"—",IF(6=3,"—",IF(6=4,"—",IF(6=5,"—",IF(6=6,"—",IF(6=7,"—",IF(6=8,"—","")))))))),IF(6=1,"—",IF(6=2,"—",IF(6=3,"—",IF(6=4,"—",IF(6=5,"—",IF(6=6,"—",IF(6=7,"—",IF(6=8,"—","")))))))))))))))</f>
        <v>—</v>
      </c>
      <c r="I19" s="52" t="str">
        <f aca="false">IF('🌱 Configuração'!$C$56="","",IF(6&lt;1,"",IF(6&gt;'🌱 Configuração'!$H$7,"",IF(IFERROR(MATCH('🌱 Configuração'!$H$12,{"BioBizz","Remo Nutrients","General Organics","SuperSoil","Genérico"},0),1)=1,IF(6=1,"—",IF(6=2,"—",IF(6=3,"—",IF(6=4,"—",IF(6=5,"—",IF(6=6,"—",IF(6=7,"—",IF(6=8,"—","")))))))),IF(IFERROR(MATCH('🌱 Configuração'!$H$12,{"BioBizz","Remo Nutrients","General Organics","SuperSoil","Genérico"},0),1)=2,IF(6=1,"—",IF(6=2,"—",IF(6=3,"—",IF(6=4,"—",IF(6=5,"—",IF(6=6,"1.0 mL/L",IF(6=7,"2.1 mL/L",IF(6=8,"2.1 mL/L","")))))))),IF(IFERROR(MATCH('🌱 Configuração'!$H$12,{"BioBizz","Remo Nutrients","General Organics","SuperSoil","Genérico"},0),1)=3,IF(6=1,"1.3 mL/L",IF(6=2,"1.3 mL/L",IF(6=3,"1.3 mL/L",IF(6=4,"1.3 mL/L",IF(6=5,"—",IF(6=6,"1.3 mL/L",IF(6=7,"1.3 mL/L",IF(6=8,"1.3 mL/L","")))))))),IF(IFERROR(MATCH('🌱 Configuração'!$H$12,{"BioBizz","Remo Nutrients","General Organics","SuperSoil","Genérico"},0),1)=4,IF(6=1,"—",IF(6=2,"—",IF(6=3,"—",IF(6=4,"—",IF(6=5,"—",IF(6=6,"—",IF(6=7,"—",IF(6=8,"—","")))))))),IF(6=1,"—",IF(6=2,"—",IF(6=3,"—",IF(6=4,"—",IF(6=5,"—",IF(6=6,"—",IF(6=7,"—",IF(6=8,"—","")))))))))))))))</f>
        <v>—</v>
      </c>
      <c r="J19" s="51" t="str">
        <f aca="false">IF('🌱 Configuração'!$C$56="","",IF(6&lt;1,"",IF(6&gt;'🌱 Configuração'!$H$7,"",IF(IFERROR(MATCH('🌱 Configuração'!$H$12,{"BioBizz","Remo Nutrients","General Organics","SuperSoil","Genérico"},0),1)=1,IF(6=1,"Alg·A·Mic 1mL",IF(6=2,"—",IF(6=3,"Alg·A·Mic 1mL",IF(6=4,"—",IF(6=5,"Alg·A·Mic 1mL",IF(6=6,"—",IF(6=7,"—",IF(6=8,"—","")))))))),IF(IFERROR(MATCH('🌱 Configuração'!$H$12,{"BioBizz","Remo Nutrients","General Organics","SuperSoil","Genérico"},0),1)=2,IF(6=1,"Magnifical 0.5",IF(6=2,"Magnifical 0.5",IF(6=3,"Magnifical 1.0",IF(6=4,"Magnifical 1.0",IF(6=5,"Magnifical 1.0",IF(6=6,"Magnifical 1.0",IF(6=7,"—",IF(6=8,"—","")))))))),IF(IFERROR(MATCH('🌱 Configuração'!$H$12,{"BioBizz","Remo Nutrients","General Organics","SuperSoil","Genérico"},0),1)=3,IF(6=1,"BioWeed 0.7",IF(6=2,"BioWeed 0.7",IF(6=3,"—",IF(6=4,"—",IF(6=5,"—",IF(6=6,"—",IF(6=7,"—",IF(6=8,"—","")))))))),IF(IFERROR(MATCH('🌱 Configuração'!$H$12,{"BioBizz","Remo Nutrients","General Organics","SuperSoil","Genérico"},0),1)=4,IF(6=1,"Vermicomposto",IF(6=2,"—",IF(6=3,"—",IF(6=4,"—",IF(6=5,"—",IF(6=6,"Microrganismos",IF(6=7,"—",IF(6=8,"—","")))))))),IF(6=1,"—",IF(6=2,"—",IF(6=3,"—",IF(6=4,"—",IF(6=5,"—",IF(6=6,"—",IF(6=7,"—",IF(6=8,"—","")))))))))))))))</f>
        <v>—</v>
      </c>
      <c r="K19" s="44" t="str">
        <f aca="false">IF('🌱 Configuração'!$C$56="","",IF(6&lt;1,"",IF(6&gt;'🌱 Configuração'!$H$7,"",IF(IFERROR(MATCH('🌱 Configuração'!$H$12,{"BioBizz","Remo Nutrients","General Organics","SuperSoil","Genérico"},0),1)=1,IF(6=1,"6.2–6.5",IF(6=2,"6.2–6.5",IF(6=3,"6.2–6.5",IF(6=4,"6.2–6.5",IF(6=5,"6.2–6.5",IF(6=6,"6.2–6.5",IF(6=7,"6.2–6.5",IF(6=8,"6.2–6.5","")))))))),IF(IFERROR(MATCH('🌱 Configuração'!$H$12,{"BioBizz","Remo Nutrients","General Organics","SuperSoil","Genérico"},0),1)=2,IF(6=1,"6.0–6.3",IF(6=2,"6.0–6.3",IF(6=3,"6.0–6.3",IF(6=4,"6.0–6.3",IF(6=5,"6.0–6.3",IF(6=6,"6.0–6.3",IF(6=7,"6.0–6.3",IF(6=8,"6.0–6.3","")))))))),IF(IFERROR(MATCH('🌱 Configuração'!$H$12,{"BioBizz","Remo Nutrients","General Organics","SuperSoil","Genérico"},0),1)=3,IF(6=1,"6.2–7.0",IF(6=2,"6.2–7.0",IF(6=3,"6.2–7.0",IF(6=4,"6.2–7.0",IF(6=5,"6.2–7.0",IF(6=6,"6.2–7.0",IF(6=7,"6.2–7.0",IF(6=8,"6.2–7.0","")))))))),IF(IFERROR(MATCH('🌱 Configuração'!$H$12,{"BioBizz","Remo Nutrients","General Organics","SuperSoil","Genérico"},0),1)=4,IF(6=1,"auto",IF(6=2,"auto",IF(6=3,"auto",IF(6=4,"auto",IF(6=5,"auto",IF(6=6,"auto",IF(6=7,"auto",IF(6=8,"auto","")))))))),IF(6=1,"—",IF(6=2,"—",IF(6=3,"—",IF(6=4,"—",IF(6=5,"—",IF(6=6,"—",IF(6=7,"—",IF(6=8,"—","")))))))))))))))</f>
        <v>6.2–6.5</v>
      </c>
      <c r="L19" s="45" t="str">
        <f aca="false">IF('🌱 Configuração'!$C$56="","",IF(6&lt;1,"",IF(6&gt;'🌱 Configuração'!$H$7,"",IF(IFERROR(MATCH('🌱 Configuração'!$H$12,{"BioBizz","Remo Nutrients","General Organics","SuperSoil","Genérico"},0),1)=1,IF(6=1,"0.8",IF(6=2,"1.0",IF(6=3,"1.2",IF(6=4,"1.4",IF(6=5,"1.5",IF(6=6,"1.4",IF(6=7,"1.4",IF(6=8,"1.4","")))))))),IF(IFERROR(MATCH('🌱 Configuração'!$H$12,{"BioBizz","Remo Nutrients","General Organics","SuperSoil","Genérico"},0),1)=2,IF(6=1,"0.8",IF(6=2,"1.0",IF(6=3,"1.2",IF(6=4,"1.4",IF(6=5,"1.5",IF(6=6,"1.5",IF(6=7,"1.4",IF(6=8,"1.4","")))))))),IF(IFERROR(MATCH('🌱 Configuração'!$H$12,{"BioBizz","Remo Nutrients","General Organics","SuperSoil","Genérico"},0),1)=3,IF(6=1,"N/A",IF(6=2,"N/A",IF(6=3,"N/A",IF(6=4,"N/A",IF(6=5,"N/A",IF(6=6,"N/A",IF(6=7,"N/A",IF(6=8,"N/A","")))))))),IF(IFERROR(MATCH('🌱 Configuração'!$H$12,{"BioBizz","Remo Nutrients","General Organics","SuperSoil","Genérico"},0),1)=4,IF(6=1,"auto",IF(6=2,"auto",IF(6=3,"auto",IF(6=4,"auto",IF(6=5,"auto",IF(6=6,"auto",IF(6=7,"auto",IF(6=8,"auto","")))))))),IF(6=1,"—",IF(6=2,"—",IF(6=3,"—",IF(6=4,"—",IF(6=5,"—",IF(6=6,"—",IF(6=7,"—",IF(6=8,"—","")))))))))))))))</f>
        <v>1.4</v>
      </c>
      <c r="M19" s="51" t="str">
        <f aca="false">IF('🌱 Configuração'!$C$56="","",IF(6&lt;1,"",IF(6&gt;'🌱 Configuração'!$H$7,"",IF(IFERROR(MATCH('🌱 Configuração'!$H$12,{"BioBizz","Remo Nutrients","General Organics","SuperSoil","Genérico"},0),1)=1,IF(6=1,"Fish·Mix em veg = mais N orgânico",IF(6=2,"Aumentar progressivamente",IF(6=3,"Foliar: Fish·Mix + Alg·A·Mic 1mL/L",IF(6=4,"LST / estrutura vegetativa",IF(6=5,"Pré-floração — reduzir Fish·Mix",IF(6=6,"Substituir Fish·Mix por Bio·Grow antes da flora",IF(6=7,"Semana de transição — introduzir Bloom",IF(6=8,"Semana extra de vega","")))))))),IF(IFERROR(MATCH('🌱 Configuração'!$H$12,{"BioBizz","Remo Nutrients","General Organics","SuperSoil","Genérico"},0),1)=2,IF(6=1,"Micro+Grow = base Remo para vega",IF(6=2,"Aumentar conforme tabela oficial",IF(6=3,"Semana 3 da tabela Remo",IF(6=4,"Semana 4 da tabela Remo — pico vega",IF(6=5,"Manter se continuar vega",IF(6=6,"Introduzir Bloom — transição",IF(6=7,"Reduzir Grow, aumentar Bloom",IF(6=8,"Semana extra de vega","")))))))),IF(IFERROR(MATCH('🌱 Configuração'!$H$12,{"BioBizz","Remo Nutrients","General Organics","SuperSoil","Genérico"},0),1)=3,IF(6=1,"GO não requer EC — pH auto-regula",IF(6=2,"Sem necessidade de ajuste pH em solo",IF(6=3,"Semana 3 veg GO",IF(6=4,"Reduzir BioRoot gradualmente",IF(6=5,"Manter Grow puro na vega",IF(6=6,"Semana transição — introduzir Bloom",IF(6=7,"Transição flora — reduzir Grow",IF(6=8,"Semana extra de vega GO","")))))))),IF(IFERROR(MATCH('🌱 Configuração'!$H$12,{"BioBizz","Remo Nutrients","General Organics","SuperSoil","Genérico"},0),1)=4,IF(6=1,"SuperSoil já contém todos os nutrientes",IF(6=2,"Torta de mamona = N lento | Osso = P",IF(6=3,"Mel de cana alimenta fungos e bactérias",IF(6=4,"Observar vigor — solo vivo trabalha",IF(6=5,"Alga = micro. | Cinzas = K e Ca",IF(6=6,"Pré-flora — ativar P e K no solo",IF(6=7,"Guano P alto = preparo para flora",IF(6=8,"Semana extra de vega SuperSoil","")))))))),IF(6=1,"Personalize suas doses",IF(6=2,"Personalize suas doses",IF(6=3,"Personalize suas doses",IF(6=4,"Personalize suas doses",IF(6=5,"Personalize suas doses",IF(6=6,"Personalize suas doses",IF(6=7,"Personalize suas doses",IF(6=8,"Personalize suas doses","")))))))))))))))</f>
        <v>Substituir Fish·Mix por Bio·Grow antes da flora</v>
      </c>
    </row>
    <row r="20" customFormat="false" ht="21.75" hidden="false" customHeight="true" outlineLevel="0" collapsed="false">
      <c r="B20" s="23" t="str">
        <f aca="false">IF(7&lt;='🌱 Configuração'!$H$7,"S7","—")</f>
        <v>—</v>
      </c>
      <c r="C20" s="41" t="str">
        <f aca="false">IF(7&lt;='🌱 Configuração'!$H$7,'🌱 Configuração'!$C$56+42,"")</f>
        <v/>
      </c>
      <c r="D20" s="42" t="str">
        <f aca="false">IF('🌱 Configuração'!$C$56="","",IF(7&lt;1,"",IF(7&gt;'🌱 Configuração'!$H$7,"",IF(IFERROR(MATCH('🌱 Configuração'!$H$12,{"BioBizz","Remo Nutrients","General Organics","SuperSoil","Genérico"},0),1)=1,IF(7=1,"Bio·Grow",IF(7=2,"Bio·Grow",IF(7=3,"Bio·Grow",IF(7=4,"Bio·Grow",IF(7=5,"Bio·Grow",IF(7=6,"Bio·Grow",IF(7=7,"Bio·Grow",IF(7=8,"Bio·Grow","")))))))),IF(IFERROR(MATCH('🌱 Configuração'!$H$12,{"BioBizz","Remo Nutrients","General Organics","SuperSoil","Genérico"},0),1)=2,IF(7=1,"Micro",IF(7=2,"Micro",IF(7=3,"Micro",IF(7=4,"Micro",IF(7=5,"Micro",IF(7=6,"Micro",IF(7=7,"Micro",IF(7=8,"Micro","")))))))),IF(IFERROR(MATCH('🌱 Configuração'!$H$12,{"BioBizz","Remo Nutrients","General Organics","SuperSoil","Genérico"},0),1)=3,IF(7=1,"BioThrive G",IF(7=2,"BioThrive G",IF(7=3,"BioThrive G",IF(7=4,"BioThrive G",IF(7=5,"BioThrive G",IF(7=6,"BioThrive G",IF(7=7,"BioThrive G",IF(7=8,"BioThrive G","")))))))),IF(IFERROR(MATCH('🌱 Configuração'!$H$12,{"BioBizz","Remo Nutrients","General Organics","SuperSoil","Genérico"},0),1)=4,IF(7=1,"Chá de compostagem",IF(7=2,"Cobertura: torta de mamona",IF(7=3,"Molasses 2 mL/L",IF(7=4,"Chá de compostagem",IF(7=5,"Cobertura: farinha de alga",IF(7=6,"Molasses 2 mL/L",IF(7=7,"Cobertura: farinha de osso",IF(7=8,"Chá de compostagem","")))))))),IF(7=1,"← Preencha",IF(7=2,"← Preencha",IF(7=3,"← Preencha",IF(7=4,"← Preencha",IF(7=5,"← Preencha",IF(7=6,"← Preencha",IF(7=7,"← Preencha",IF(7=8,"← Preencha","")))))))))))))))</f>
        <v/>
      </c>
      <c r="E20" s="43" t="str">
        <f aca="false">IF('🌱 Configuração'!$C$56="","",IF(7&lt;1,"",IF(7&gt;'🌱 Configuração'!$H$7,"",IF(IFERROR(MATCH('🌱 Configuração'!$H$12,{"BioBizz","Remo Nutrients","General Organics","SuperSoil","Genérico"},0),1)=1,IF(7=1,"1 mL/L",IF(7=2,"2 mL/L",IF(7=3,"2 mL/L",IF(7=4,"3 mL/L",IF(7=5,"4 mL/L",IF(7=6,"4 mL/L",IF(7=7,"4 mL/L",IF(7=8,"4 mL/L","")))))))),IF(IFERROR(MATCH('🌱 Configuração'!$H$12,{"BioBizz","Remo Nutrients","General Organics","SuperSoil","Genérico"},0),1)=2,IF(7=1,"1.3 mL/L",IF(7=2,"1.5 mL/L",IF(7=3,"1.8 mL/L",IF(7=4,"2.1 mL/L",IF(7=5,"2.1 mL/L",IF(7=6,"2.1 mL/L",IF(7=7,"2.1 mL/L",IF(7=8,"2.1 mL/L","")))))))),IF(IFERROR(MATCH('🌱 Configuração'!$H$12,{"BioBizz","Remo Nutrients","General Organics","SuperSoil","Genérico"},0),1)=3,IF(7=1,"1.3 mL/L",IF(7=2,"2.6 mL/L",IF(7=3,"2.6 mL/L",IF(7=4,"2.6 mL/L",IF(7=5,"2.6 mL/L",IF(7=6,"2.6 mL/L",IF(7=7,"1.3 mL/L",IF(7=8,"1.3 mL/L","")))))))),IF(IFERROR(MATCH('🌱 Configuração'!$H$12,{"BioBizz","Remo Nutrients","General Organics","SuperSoil","Genérico"},0),1)=4,IF(7=1,"2L/planta",IF(7=2,"10g/vaso",IF(7=3,"—",IF(7=4,"2L/planta",IF(7=5,"5g/L solo",IF(7=6,"—",IF(7=7,"10g/vaso",IF(7=8,"2L/planta","")))))))),IF(7=1,"—",IF(7=2,"—",IF(7=3,"—",IF(7=4,"—",IF(7=5,"—",IF(7=6,"—",IF(7=7,"—",IF(7=8,"—","")))))))))))))))</f>
        <v/>
      </c>
      <c r="F20" s="42" t="str">
        <f aca="false">IF('🌱 Configuração'!$C$56="","",IF(7&lt;1,"",IF(7&gt;'🌱 Configuração'!$H$7,"",IF(IFERROR(MATCH('🌱 Configuração'!$H$12,{"BioBizz","Remo Nutrients","General Organics","SuperSoil","Genérico"},0),1)=1,IF(7=1,"Fish·Mix",IF(7=2,"Fish·Mix",IF(7=3,"Fish·Mix",IF(7=4,"Fish·Mix",IF(7=5,"Fish·Mix",IF(7=6,"—",IF(7=7,"Bio·Bloom",IF(7=8,"Bio·Bloom","")))))))),IF(IFERROR(MATCH('🌱 Configuração'!$H$12,{"BioBizz","Remo Nutrients","General Organics","SuperSoil","Genérico"},0),1)=2,IF(7=1,"Grow",IF(7=2,"Grow",IF(7=3,"Grow",IF(7=4,"Grow",IF(7=5,"Grow",IF(7=6,"Grow",IF(7=7,"Grow",IF(7=8,"Grow","")))))))),IF(IFERROR(MATCH('🌱 Configuração'!$H$12,{"BioBizz","Remo Nutrients","General Organics","SuperSoil","Genérico"},0),1)=3,IF(7=1,"BioRoot",IF(7=2,"BioRoot",IF(7=3,"BioRoot",IF(7=4,"BioRoot",IF(7=5,"CaMg+",IF(7=6,"BioThrive B",IF(7=7,"BioThrive B",IF(7=8,"BioThrive B","")))))))),IF(IFERROR(MATCH('🌱 Configuração'!$H$12,{"BioBizz","Remo Nutrients","General Organics","SuperSoil","Genérico"},0),1)=4,IF(7=1,"—",IF(7=2,"Cobertura: farinha de osso",IF(7=3,"—",IF(7=4,"—",IF(7=5,"Cobertura: cinzas de madeira",IF(7=6,"—",IF(7=7,"Cobertura: guano de morcego",IF(7=8,"—","")))))))),IF(7=1,"—",IF(7=2,"—",IF(7=3,"—",IF(7=4,"—",IF(7=5,"—",IF(7=6,"—",IF(7=7,"—",IF(7=8,"—","")))))))))))))))</f>
        <v/>
      </c>
      <c r="G20" s="43" t="str">
        <f aca="false">IF('🌱 Configuração'!$C$56="","",IF(7&lt;1,"",IF(7&gt;'🌱 Configuração'!$H$7,"",IF(IFERROR(MATCH('🌱 Configuração'!$H$12,{"BioBizz","Remo Nutrients","General Organics","SuperSoil","Genérico"},0),1)=1,IF(7=1,"1 mL/L",IF(7=2,"2 mL/L",IF(7=3,"2 mL/L",IF(7=4,"3 mL/L",IF(7=5,"3 mL/L",IF(7=6,"—",IF(7=7,"1 mL/L",IF(7=8,"2 mL/L","")))))))),IF(IFERROR(MATCH('🌱 Configuração'!$H$12,{"BioBizz","Remo Nutrients","General Organics","SuperSoil","Genérico"},0),1)=2,IF(7=1,"1.3 mL/L",IF(7=2,"1.5 mL/L",IF(7=3,"1.8 mL/L",IF(7=4,"2.1 mL/L",IF(7=5,"2.1 mL/L",IF(7=6,"2.1 mL/L",IF(7=7,"1.0 mL/L",IF(7=8,"0.5 mL/L","")))))))),IF(IFERROR(MATCH('🌱 Configuração'!$H$12,{"BioBizz","Remo Nutrients","General Organics","SuperSoil","Genérico"},0),1)=3,IF(7=1,"2.6 mL/L",IF(7=2,"2.6 mL/L",IF(7=3,"2.6 mL/L",IF(7=4,"1.3 mL/L",IF(7=5,"1.3 mL/L",IF(7=6,"1.3 mL/L",IF(7=7,"2.6 mL/L",IF(7=8,"2.6 mL/L","")))))))),IF(IFERROR(MATCH('🌱 Configuração'!$H$12,{"BioBizz","Remo Nutrients","General Organics","SuperSoil","Genérico"},0),1)=4,IF(7=1,"—",IF(7=2,"10g/vaso",IF(7=3,"—",IF(7=4,"—",IF(7=5,"3g/L",IF(7=6,"—",IF(7=7,"5g/L",IF(7=8,"—","")))))))),IF(7=1,"—",IF(7=2,"—",IF(7=3,"—",IF(7=4,"—",IF(7=5,"—",IF(7=6,"—",IF(7=7,"—",IF(7=8,"—","")))))))))))))))</f>
        <v/>
      </c>
      <c r="H20" s="42" t="str">
        <f aca="false">IF('🌱 Configuração'!$C$56="","",IF(7&lt;1,"",IF(7&gt;'🌱 Configuração'!$H$7,"",IF(IFERROR(MATCH('🌱 Configuração'!$H$12,{"BioBizz","Remo Nutrients","General Organics","SuperSoil","Genérico"},0),1)=1,IF(7=1,"—",IF(7=2,"—",IF(7=3,"—",IF(7=4,"—",IF(7=5,"—",IF(7=6,"—",IF(7=7,"—",IF(7=8,"—","")))))))),IF(IFERROR(MATCH('🌱 Configuração'!$H$12,{"BioBizz","Remo Nutrients","General Organics","SuperSoil","Genérico"},0),1)=2,IF(7=1,"—",IF(7=2,"—",IF(7=3,"—",IF(7=4,"—",IF(7=5,"—",IF(7=6,"Bloom",IF(7=7,"Bloom",IF(7=8,"Bloom","")))))))),IF(IFERROR(MATCH('🌱 Configuração'!$H$12,{"BioBizz","Remo Nutrients","General Organics","SuperSoil","Genérico"},0),1)=3,IF(7=1,"CaMg+",IF(7=2,"CaMg+",IF(7=3,"CaMg+",IF(7=4,"CaMg+",IF(7=5,"—",IF(7=6,"CaMg+",IF(7=7,"CaMg+",IF(7=8,"CaMg+","")))))))),IF(IFERROR(MATCH('🌱 Configuração'!$H$12,{"BioBizz","Remo Nutrients","General Organics","SuperSoil","Genérico"},0),1)=4,IF(7=1,"—",IF(7=2,"—",IF(7=3,"—",IF(7=4,"—",IF(7=5,"—",IF(7=6,"—",IF(7=7,"—",IF(7=8,"—","")))))))),IF(7=1,"—",IF(7=2,"—",IF(7=3,"—",IF(7=4,"—",IF(7=5,"—",IF(7=6,"—",IF(7=7,"—",IF(7=8,"—","")))))))))))))))</f>
        <v/>
      </c>
      <c r="I20" s="43" t="str">
        <f aca="false">IF('🌱 Configuração'!$C$56="","",IF(7&lt;1,"",IF(7&gt;'🌱 Configuração'!$H$7,"",IF(IFERROR(MATCH('🌱 Configuração'!$H$12,{"BioBizz","Remo Nutrients","General Organics","SuperSoil","Genérico"},0),1)=1,IF(7=1,"—",IF(7=2,"—",IF(7=3,"—",IF(7=4,"—",IF(7=5,"—",IF(7=6,"—",IF(7=7,"—",IF(7=8,"—","")))))))),IF(IFERROR(MATCH('🌱 Configuração'!$H$12,{"BioBizz","Remo Nutrients","General Organics","SuperSoil","Genérico"},0),1)=2,IF(7=1,"—",IF(7=2,"—",IF(7=3,"—",IF(7=4,"—",IF(7=5,"—",IF(7=6,"1.0 mL/L",IF(7=7,"2.1 mL/L",IF(7=8,"2.1 mL/L","")))))))),IF(IFERROR(MATCH('🌱 Configuração'!$H$12,{"BioBizz","Remo Nutrients","General Organics","SuperSoil","Genérico"},0),1)=3,IF(7=1,"1.3 mL/L",IF(7=2,"1.3 mL/L",IF(7=3,"1.3 mL/L",IF(7=4,"1.3 mL/L",IF(7=5,"—",IF(7=6,"1.3 mL/L",IF(7=7,"1.3 mL/L",IF(7=8,"1.3 mL/L","")))))))),IF(IFERROR(MATCH('🌱 Configuração'!$H$12,{"BioBizz","Remo Nutrients","General Organics","SuperSoil","Genérico"},0),1)=4,IF(7=1,"—",IF(7=2,"—",IF(7=3,"—",IF(7=4,"—",IF(7=5,"—",IF(7=6,"—",IF(7=7,"—",IF(7=8,"—","")))))))),IF(7=1,"—",IF(7=2,"—",IF(7=3,"—",IF(7=4,"—",IF(7=5,"—",IF(7=6,"—",IF(7=7,"—",IF(7=8,"—","")))))))))))))))</f>
        <v/>
      </c>
      <c r="J20" s="42" t="str">
        <f aca="false">IF('🌱 Configuração'!$C$56="","",IF(7&lt;1,"",IF(7&gt;'🌱 Configuração'!$H$7,"",IF(IFERROR(MATCH('🌱 Configuração'!$H$12,{"BioBizz","Remo Nutrients","General Organics","SuperSoil","Genérico"},0),1)=1,IF(7=1,"Alg·A·Mic 1mL",IF(7=2,"—",IF(7=3,"Alg·A·Mic 1mL",IF(7=4,"—",IF(7=5,"Alg·A·Mic 1mL",IF(7=6,"—",IF(7=7,"—",IF(7=8,"—","")))))))),IF(IFERROR(MATCH('🌱 Configuração'!$H$12,{"BioBizz","Remo Nutrients","General Organics","SuperSoil","Genérico"},0),1)=2,IF(7=1,"Magnifical 0.5",IF(7=2,"Magnifical 0.5",IF(7=3,"Magnifical 1.0",IF(7=4,"Magnifical 1.0",IF(7=5,"Magnifical 1.0",IF(7=6,"Magnifical 1.0",IF(7=7,"—",IF(7=8,"—","")))))))),IF(IFERROR(MATCH('🌱 Configuração'!$H$12,{"BioBizz","Remo Nutrients","General Organics","SuperSoil","Genérico"},0),1)=3,IF(7=1,"BioWeed 0.7",IF(7=2,"BioWeed 0.7",IF(7=3,"—",IF(7=4,"—",IF(7=5,"—",IF(7=6,"—",IF(7=7,"—",IF(7=8,"—","")))))))),IF(IFERROR(MATCH('🌱 Configuração'!$H$12,{"BioBizz","Remo Nutrients","General Organics","SuperSoil","Genérico"},0),1)=4,IF(7=1,"Vermicomposto",IF(7=2,"—",IF(7=3,"—",IF(7=4,"—",IF(7=5,"—",IF(7=6,"Microrganismos",IF(7=7,"—",IF(7=8,"—","")))))))),IF(7=1,"—",IF(7=2,"—",IF(7=3,"—",IF(7=4,"—",IF(7=5,"—",IF(7=6,"—",IF(7=7,"—",IF(7=8,"—","")))))))))))))))</f>
        <v/>
      </c>
      <c r="K20" s="44" t="str">
        <f aca="false">IF('🌱 Configuração'!$C$56="","",IF(7&lt;1,"",IF(7&gt;'🌱 Configuração'!$H$7,"",IF(IFERROR(MATCH('🌱 Configuração'!$H$12,{"BioBizz","Remo Nutrients","General Organics","SuperSoil","Genérico"},0),1)=1,IF(7=1,"6.2–6.5",IF(7=2,"6.2–6.5",IF(7=3,"6.2–6.5",IF(7=4,"6.2–6.5",IF(7=5,"6.2–6.5",IF(7=6,"6.2–6.5",IF(7=7,"6.2–6.5",IF(7=8,"6.2–6.5","")))))))),IF(IFERROR(MATCH('🌱 Configuração'!$H$12,{"BioBizz","Remo Nutrients","General Organics","SuperSoil","Genérico"},0),1)=2,IF(7=1,"6.0–6.3",IF(7=2,"6.0–6.3",IF(7=3,"6.0–6.3",IF(7=4,"6.0–6.3",IF(7=5,"6.0–6.3",IF(7=6,"6.0–6.3",IF(7=7,"6.0–6.3",IF(7=8,"6.0–6.3","")))))))),IF(IFERROR(MATCH('🌱 Configuração'!$H$12,{"BioBizz","Remo Nutrients","General Organics","SuperSoil","Genérico"},0),1)=3,IF(7=1,"6.2–7.0",IF(7=2,"6.2–7.0",IF(7=3,"6.2–7.0",IF(7=4,"6.2–7.0",IF(7=5,"6.2–7.0",IF(7=6,"6.2–7.0",IF(7=7,"6.2–7.0",IF(7=8,"6.2–7.0","")))))))),IF(IFERROR(MATCH('🌱 Configuração'!$H$12,{"BioBizz","Remo Nutrients","General Organics","SuperSoil","Genérico"},0),1)=4,IF(7=1,"auto",IF(7=2,"auto",IF(7=3,"auto",IF(7=4,"auto",IF(7=5,"auto",IF(7=6,"auto",IF(7=7,"auto",IF(7=8,"auto","")))))))),IF(7=1,"—",IF(7=2,"—",IF(7=3,"—",IF(7=4,"—",IF(7=5,"—",IF(7=6,"—",IF(7=7,"—",IF(7=8,"—","")))))))))))))))</f>
        <v/>
      </c>
      <c r="L20" s="45" t="str">
        <f aca="false">IF('🌱 Configuração'!$C$56="","",IF(7&lt;1,"",IF(7&gt;'🌱 Configuração'!$H$7,"",IF(IFERROR(MATCH('🌱 Configuração'!$H$12,{"BioBizz","Remo Nutrients","General Organics","SuperSoil","Genérico"},0),1)=1,IF(7=1,"0.8",IF(7=2,"1.0",IF(7=3,"1.2",IF(7=4,"1.4",IF(7=5,"1.5",IF(7=6,"1.4",IF(7=7,"1.4",IF(7=8,"1.4","")))))))),IF(IFERROR(MATCH('🌱 Configuração'!$H$12,{"BioBizz","Remo Nutrients","General Organics","SuperSoil","Genérico"},0),1)=2,IF(7=1,"0.8",IF(7=2,"1.0",IF(7=3,"1.2",IF(7=4,"1.4",IF(7=5,"1.5",IF(7=6,"1.5",IF(7=7,"1.4",IF(7=8,"1.4","")))))))),IF(IFERROR(MATCH('🌱 Configuração'!$H$12,{"BioBizz","Remo Nutrients","General Organics","SuperSoil","Genérico"},0),1)=3,IF(7=1,"N/A",IF(7=2,"N/A",IF(7=3,"N/A",IF(7=4,"N/A",IF(7=5,"N/A",IF(7=6,"N/A",IF(7=7,"N/A",IF(7=8,"N/A","")))))))),IF(IFERROR(MATCH('🌱 Configuração'!$H$12,{"BioBizz","Remo Nutrients","General Organics","SuperSoil","Genérico"},0),1)=4,IF(7=1,"auto",IF(7=2,"auto",IF(7=3,"auto",IF(7=4,"auto",IF(7=5,"auto",IF(7=6,"auto",IF(7=7,"auto",IF(7=8,"auto","")))))))),IF(7=1,"—",IF(7=2,"—",IF(7=3,"—",IF(7=4,"—",IF(7=5,"—",IF(7=6,"—",IF(7=7,"—",IF(7=8,"—","")))))))))))))))</f>
        <v/>
      </c>
      <c r="M20" s="42" t="str">
        <f aca="false">IF('🌱 Configuração'!$C$56="","",IF(7&lt;1,"",IF(7&gt;'🌱 Configuração'!$H$7,"",IF(IFERROR(MATCH('🌱 Configuração'!$H$12,{"BioBizz","Remo Nutrients","General Organics","SuperSoil","Genérico"},0),1)=1,IF(7=1,"Fish·Mix em veg = mais N orgânico",IF(7=2,"Aumentar progressivamente",IF(7=3,"Foliar: Fish·Mix + Alg·A·Mic 1mL/L",IF(7=4,"LST / estrutura vegetativa",IF(7=5,"Pré-floração — reduzir Fish·Mix",IF(7=6,"Substituir Fish·Mix por Bio·Grow antes da flora",IF(7=7,"Semana de transição — introduzir Bloom",IF(7=8,"Semana extra de vega","")))))))),IF(IFERROR(MATCH('🌱 Configuração'!$H$12,{"BioBizz","Remo Nutrients","General Organics","SuperSoil","Genérico"},0),1)=2,IF(7=1,"Micro+Grow = base Remo para vega",IF(7=2,"Aumentar conforme tabela oficial",IF(7=3,"Semana 3 da tabela Remo",IF(7=4,"Semana 4 da tabela Remo — pico vega",IF(7=5,"Manter se continuar vega",IF(7=6,"Introduzir Bloom — transição",IF(7=7,"Reduzir Grow, aumentar Bloom",IF(7=8,"Semana extra de vega","")))))))),IF(IFERROR(MATCH('🌱 Configuração'!$H$12,{"BioBizz","Remo Nutrients","General Organics","SuperSoil","Genérico"},0),1)=3,IF(7=1,"GO não requer EC — pH auto-regula",IF(7=2,"Sem necessidade de ajuste pH em solo",IF(7=3,"Semana 3 veg GO",IF(7=4,"Reduzir BioRoot gradualmente",IF(7=5,"Manter Grow puro na vega",IF(7=6,"Semana transição — introduzir Bloom",IF(7=7,"Transição flora — reduzir Grow",IF(7=8,"Semana extra de vega GO","")))))))),IF(IFERROR(MATCH('🌱 Configuração'!$H$12,{"BioBizz","Remo Nutrients","General Organics","SuperSoil","Genérico"},0),1)=4,IF(7=1,"SuperSoil já contém todos os nutrientes",IF(7=2,"Torta de mamona = N lento | Osso = P",IF(7=3,"Mel de cana alimenta fungos e bactérias",IF(7=4,"Observar vigor — solo vivo trabalha",IF(7=5,"Alga = micro. | Cinzas = K e Ca",IF(7=6,"Pré-flora — ativar P e K no solo",IF(7=7,"Guano P alto = preparo para flora",IF(7=8,"Semana extra de vega SuperSoil","")))))))),IF(7=1,"Personalize suas doses",IF(7=2,"Personalize suas doses",IF(7=3,"Personalize suas doses",IF(7=4,"Personalize suas doses",IF(7=5,"Personalize suas doses",IF(7=6,"Personalize suas doses",IF(7=7,"Personalize suas doses",IF(7=8,"Personalize suas doses","")))))))))))))))</f>
        <v/>
      </c>
    </row>
    <row r="21" customFormat="false" ht="21.75" hidden="false" customHeight="true" outlineLevel="0" collapsed="false">
      <c r="B21" s="23" t="str">
        <f aca="false">IF(8&lt;='🌱 Configuração'!$H$7,"S8","—")</f>
        <v>—</v>
      </c>
      <c r="C21" s="50" t="str">
        <f aca="false">IF(8&lt;='🌱 Configuração'!$H$7,'🌱 Configuração'!$C$56+49,"")</f>
        <v/>
      </c>
      <c r="D21" s="51" t="str">
        <f aca="false">IF('🌱 Configuração'!$C$56="","",IF(8&lt;1,"",IF(8&gt;'🌱 Configuração'!$H$7,"",IF(IFERROR(MATCH('🌱 Configuração'!$H$12,{"BioBizz","Remo Nutrients","General Organics","SuperSoil","Genérico"},0),1)=1,IF(8=1,"Bio·Grow",IF(8=2,"Bio·Grow",IF(8=3,"Bio·Grow",IF(8=4,"Bio·Grow",IF(8=5,"Bio·Grow",IF(8=6,"Bio·Grow",IF(8=7,"Bio·Grow",IF(8=8,"Bio·Grow","")))))))),IF(IFERROR(MATCH('🌱 Configuração'!$H$12,{"BioBizz","Remo Nutrients","General Organics","SuperSoil","Genérico"},0),1)=2,IF(8=1,"Micro",IF(8=2,"Micro",IF(8=3,"Micro",IF(8=4,"Micro",IF(8=5,"Micro",IF(8=6,"Micro",IF(8=7,"Micro",IF(8=8,"Micro","")))))))),IF(IFERROR(MATCH('🌱 Configuração'!$H$12,{"BioBizz","Remo Nutrients","General Organics","SuperSoil","Genérico"},0),1)=3,IF(8=1,"BioThrive G",IF(8=2,"BioThrive G",IF(8=3,"BioThrive G",IF(8=4,"BioThrive G",IF(8=5,"BioThrive G",IF(8=6,"BioThrive G",IF(8=7,"BioThrive G",IF(8=8,"BioThrive G","")))))))),IF(IFERROR(MATCH('🌱 Configuração'!$H$12,{"BioBizz","Remo Nutrients","General Organics","SuperSoil","Genérico"},0),1)=4,IF(8=1,"Chá de compostagem",IF(8=2,"Cobertura: torta de mamona",IF(8=3,"Molasses 2 mL/L",IF(8=4,"Chá de compostagem",IF(8=5,"Cobertura: farinha de alga",IF(8=6,"Molasses 2 mL/L",IF(8=7,"Cobertura: farinha de osso",IF(8=8,"Chá de compostagem","")))))))),IF(8=1,"← Preencha",IF(8=2,"← Preencha",IF(8=3,"← Preencha",IF(8=4,"← Preencha",IF(8=5,"← Preencha",IF(8=6,"← Preencha",IF(8=7,"← Preencha",IF(8=8,"← Preencha","")))))))))))))))</f>
        <v/>
      </c>
      <c r="E21" s="52" t="str">
        <f aca="false">IF('🌱 Configuração'!$C$56="","",IF(8&lt;1,"",IF(8&gt;'🌱 Configuração'!$H$7,"",IF(IFERROR(MATCH('🌱 Configuração'!$H$12,{"BioBizz","Remo Nutrients","General Organics","SuperSoil","Genérico"},0),1)=1,IF(8=1,"1 mL/L",IF(8=2,"2 mL/L",IF(8=3,"2 mL/L",IF(8=4,"3 mL/L",IF(8=5,"4 mL/L",IF(8=6,"4 mL/L",IF(8=7,"4 mL/L",IF(8=8,"4 mL/L","")))))))),IF(IFERROR(MATCH('🌱 Configuração'!$H$12,{"BioBizz","Remo Nutrients","General Organics","SuperSoil","Genérico"},0),1)=2,IF(8=1,"1.3 mL/L",IF(8=2,"1.5 mL/L",IF(8=3,"1.8 mL/L",IF(8=4,"2.1 mL/L",IF(8=5,"2.1 mL/L",IF(8=6,"2.1 mL/L",IF(8=7,"2.1 mL/L",IF(8=8,"2.1 mL/L","")))))))),IF(IFERROR(MATCH('🌱 Configuração'!$H$12,{"BioBizz","Remo Nutrients","General Organics","SuperSoil","Genérico"},0),1)=3,IF(8=1,"1.3 mL/L",IF(8=2,"2.6 mL/L",IF(8=3,"2.6 mL/L",IF(8=4,"2.6 mL/L",IF(8=5,"2.6 mL/L",IF(8=6,"2.6 mL/L",IF(8=7,"1.3 mL/L",IF(8=8,"1.3 mL/L","")))))))),IF(IFERROR(MATCH('🌱 Configuração'!$H$12,{"BioBizz","Remo Nutrients","General Organics","SuperSoil","Genérico"},0),1)=4,IF(8=1,"2L/planta",IF(8=2,"10g/vaso",IF(8=3,"—",IF(8=4,"2L/planta",IF(8=5,"5g/L solo",IF(8=6,"—",IF(8=7,"10g/vaso",IF(8=8,"2L/planta","")))))))),IF(8=1,"—",IF(8=2,"—",IF(8=3,"—",IF(8=4,"—",IF(8=5,"—",IF(8=6,"—",IF(8=7,"—",IF(8=8,"—","")))))))))))))))</f>
        <v/>
      </c>
      <c r="F21" s="51" t="str">
        <f aca="false">IF('🌱 Configuração'!$C$56="","",IF(8&lt;1,"",IF(8&gt;'🌱 Configuração'!$H$7,"",IF(IFERROR(MATCH('🌱 Configuração'!$H$12,{"BioBizz","Remo Nutrients","General Organics","SuperSoil","Genérico"},0),1)=1,IF(8=1,"Fish·Mix",IF(8=2,"Fish·Mix",IF(8=3,"Fish·Mix",IF(8=4,"Fish·Mix",IF(8=5,"Fish·Mix",IF(8=6,"—",IF(8=7,"Bio·Bloom",IF(8=8,"Bio·Bloom","")))))))),IF(IFERROR(MATCH('🌱 Configuração'!$H$12,{"BioBizz","Remo Nutrients","General Organics","SuperSoil","Genérico"},0),1)=2,IF(8=1,"Grow",IF(8=2,"Grow",IF(8=3,"Grow",IF(8=4,"Grow",IF(8=5,"Grow",IF(8=6,"Grow",IF(8=7,"Grow",IF(8=8,"Grow","")))))))),IF(IFERROR(MATCH('🌱 Configuração'!$H$12,{"BioBizz","Remo Nutrients","General Organics","SuperSoil","Genérico"},0),1)=3,IF(8=1,"BioRoot",IF(8=2,"BioRoot",IF(8=3,"BioRoot",IF(8=4,"BioRoot",IF(8=5,"CaMg+",IF(8=6,"BioThrive B",IF(8=7,"BioThrive B",IF(8=8,"BioThrive B","")))))))),IF(IFERROR(MATCH('🌱 Configuração'!$H$12,{"BioBizz","Remo Nutrients","General Organics","SuperSoil","Genérico"},0),1)=4,IF(8=1,"—",IF(8=2,"Cobertura: farinha de osso",IF(8=3,"—",IF(8=4,"—",IF(8=5,"Cobertura: cinzas de madeira",IF(8=6,"—",IF(8=7,"Cobertura: guano de morcego",IF(8=8,"—","")))))))),IF(8=1,"—",IF(8=2,"—",IF(8=3,"—",IF(8=4,"—",IF(8=5,"—",IF(8=6,"—",IF(8=7,"—",IF(8=8,"—","")))))))))))))))</f>
        <v/>
      </c>
      <c r="G21" s="52" t="str">
        <f aca="false">IF('🌱 Configuração'!$C$56="","",IF(8&lt;1,"",IF(8&gt;'🌱 Configuração'!$H$7,"",IF(IFERROR(MATCH('🌱 Configuração'!$H$12,{"BioBizz","Remo Nutrients","General Organics","SuperSoil","Genérico"},0),1)=1,IF(8=1,"1 mL/L",IF(8=2,"2 mL/L",IF(8=3,"2 mL/L",IF(8=4,"3 mL/L",IF(8=5,"3 mL/L",IF(8=6,"—",IF(8=7,"1 mL/L",IF(8=8,"2 mL/L","")))))))),IF(IFERROR(MATCH('🌱 Configuração'!$H$12,{"BioBizz","Remo Nutrients","General Organics","SuperSoil","Genérico"},0),1)=2,IF(8=1,"1.3 mL/L",IF(8=2,"1.5 mL/L",IF(8=3,"1.8 mL/L",IF(8=4,"2.1 mL/L",IF(8=5,"2.1 mL/L",IF(8=6,"2.1 mL/L",IF(8=7,"1.0 mL/L",IF(8=8,"0.5 mL/L","")))))))),IF(IFERROR(MATCH('🌱 Configuração'!$H$12,{"BioBizz","Remo Nutrients","General Organics","SuperSoil","Genérico"},0),1)=3,IF(8=1,"2.6 mL/L",IF(8=2,"2.6 mL/L",IF(8=3,"2.6 mL/L",IF(8=4,"1.3 mL/L",IF(8=5,"1.3 mL/L",IF(8=6,"1.3 mL/L",IF(8=7,"2.6 mL/L",IF(8=8,"2.6 mL/L","")))))))),IF(IFERROR(MATCH('🌱 Configuração'!$H$12,{"BioBizz","Remo Nutrients","General Organics","SuperSoil","Genérico"},0),1)=4,IF(8=1,"—",IF(8=2,"10g/vaso",IF(8=3,"—",IF(8=4,"—",IF(8=5,"3g/L",IF(8=6,"—",IF(8=7,"5g/L",IF(8=8,"—","")))))))),IF(8=1,"—",IF(8=2,"—",IF(8=3,"—",IF(8=4,"—",IF(8=5,"—",IF(8=6,"—",IF(8=7,"—",IF(8=8,"—","")))))))))))))))</f>
        <v/>
      </c>
      <c r="H21" s="51" t="str">
        <f aca="false">IF('🌱 Configuração'!$C$56="","",IF(8&lt;1,"",IF(8&gt;'🌱 Configuração'!$H$7,"",IF(IFERROR(MATCH('🌱 Configuração'!$H$12,{"BioBizz","Remo Nutrients","General Organics","SuperSoil","Genérico"},0),1)=1,IF(8=1,"—",IF(8=2,"—",IF(8=3,"—",IF(8=4,"—",IF(8=5,"—",IF(8=6,"—",IF(8=7,"—",IF(8=8,"—","")))))))),IF(IFERROR(MATCH('🌱 Configuração'!$H$12,{"BioBizz","Remo Nutrients","General Organics","SuperSoil","Genérico"},0),1)=2,IF(8=1,"—",IF(8=2,"—",IF(8=3,"—",IF(8=4,"—",IF(8=5,"—",IF(8=6,"Bloom",IF(8=7,"Bloom",IF(8=8,"Bloom","")))))))),IF(IFERROR(MATCH('🌱 Configuração'!$H$12,{"BioBizz","Remo Nutrients","General Organics","SuperSoil","Genérico"},0),1)=3,IF(8=1,"CaMg+",IF(8=2,"CaMg+",IF(8=3,"CaMg+",IF(8=4,"CaMg+",IF(8=5,"—",IF(8=6,"CaMg+",IF(8=7,"CaMg+",IF(8=8,"CaMg+","")))))))),IF(IFERROR(MATCH('🌱 Configuração'!$H$12,{"BioBizz","Remo Nutrients","General Organics","SuperSoil","Genérico"},0),1)=4,IF(8=1,"—",IF(8=2,"—",IF(8=3,"—",IF(8=4,"—",IF(8=5,"—",IF(8=6,"—",IF(8=7,"—",IF(8=8,"—","")))))))),IF(8=1,"—",IF(8=2,"—",IF(8=3,"—",IF(8=4,"—",IF(8=5,"—",IF(8=6,"—",IF(8=7,"—",IF(8=8,"—","")))))))))))))))</f>
        <v/>
      </c>
      <c r="I21" s="52" t="str">
        <f aca="false">IF('🌱 Configuração'!$C$56="","",IF(8&lt;1,"",IF(8&gt;'🌱 Configuração'!$H$7,"",IF(IFERROR(MATCH('🌱 Configuração'!$H$12,{"BioBizz","Remo Nutrients","General Organics","SuperSoil","Genérico"},0),1)=1,IF(8=1,"—",IF(8=2,"—",IF(8=3,"—",IF(8=4,"—",IF(8=5,"—",IF(8=6,"—",IF(8=7,"—",IF(8=8,"—","")))))))),IF(IFERROR(MATCH('🌱 Configuração'!$H$12,{"BioBizz","Remo Nutrients","General Organics","SuperSoil","Genérico"},0),1)=2,IF(8=1,"—",IF(8=2,"—",IF(8=3,"—",IF(8=4,"—",IF(8=5,"—",IF(8=6,"1.0 mL/L",IF(8=7,"2.1 mL/L",IF(8=8,"2.1 mL/L","")))))))),IF(IFERROR(MATCH('🌱 Configuração'!$H$12,{"BioBizz","Remo Nutrients","General Organics","SuperSoil","Genérico"},0),1)=3,IF(8=1,"1.3 mL/L",IF(8=2,"1.3 mL/L",IF(8=3,"1.3 mL/L",IF(8=4,"1.3 mL/L",IF(8=5,"—",IF(8=6,"1.3 mL/L",IF(8=7,"1.3 mL/L",IF(8=8,"1.3 mL/L","")))))))),IF(IFERROR(MATCH('🌱 Configuração'!$H$12,{"BioBizz","Remo Nutrients","General Organics","SuperSoil","Genérico"},0),1)=4,IF(8=1,"—",IF(8=2,"—",IF(8=3,"—",IF(8=4,"—",IF(8=5,"—",IF(8=6,"—",IF(8=7,"—",IF(8=8,"—","")))))))),IF(8=1,"—",IF(8=2,"—",IF(8=3,"—",IF(8=4,"—",IF(8=5,"—",IF(8=6,"—",IF(8=7,"—",IF(8=8,"—","")))))))))))))))</f>
        <v/>
      </c>
      <c r="J21" s="51" t="str">
        <f aca="false">IF('🌱 Configuração'!$C$56="","",IF(8&lt;1,"",IF(8&gt;'🌱 Configuração'!$H$7,"",IF(IFERROR(MATCH('🌱 Configuração'!$H$12,{"BioBizz","Remo Nutrients","General Organics","SuperSoil","Genérico"},0),1)=1,IF(8=1,"Alg·A·Mic 1mL",IF(8=2,"—",IF(8=3,"Alg·A·Mic 1mL",IF(8=4,"—",IF(8=5,"Alg·A·Mic 1mL",IF(8=6,"—",IF(8=7,"—",IF(8=8,"—","")))))))),IF(IFERROR(MATCH('🌱 Configuração'!$H$12,{"BioBizz","Remo Nutrients","General Organics","SuperSoil","Genérico"},0),1)=2,IF(8=1,"Magnifical 0.5",IF(8=2,"Magnifical 0.5",IF(8=3,"Magnifical 1.0",IF(8=4,"Magnifical 1.0",IF(8=5,"Magnifical 1.0",IF(8=6,"Magnifical 1.0",IF(8=7,"—",IF(8=8,"—","")))))))),IF(IFERROR(MATCH('🌱 Configuração'!$H$12,{"BioBizz","Remo Nutrients","General Organics","SuperSoil","Genérico"},0),1)=3,IF(8=1,"BioWeed 0.7",IF(8=2,"BioWeed 0.7",IF(8=3,"—",IF(8=4,"—",IF(8=5,"—",IF(8=6,"—",IF(8=7,"—",IF(8=8,"—","")))))))),IF(IFERROR(MATCH('🌱 Configuração'!$H$12,{"BioBizz","Remo Nutrients","General Organics","SuperSoil","Genérico"},0),1)=4,IF(8=1,"Vermicomposto",IF(8=2,"—",IF(8=3,"—",IF(8=4,"—",IF(8=5,"—",IF(8=6,"Microrganismos",IF(8=7,"—",IF(8=8,"—","")))))))),IF(8=1,"—",IF(8=2,"—",IF(8=3,"—",IF(8=4,"—",IF(8=5,"—",IF(8=6,"—",IF(8=7,"—",IF(8=8,"—","")))))))))))))))</f>
        <v/>
      </c>
      <c r="K21" s="44" t="str">
        <f aca="false">IF('🌱 Configuração'!$C$56="","",IF(8&lt;1,"",IF(8&gt;'🌱 Configuração'!$H$7,"",IF(IFERROR(MATCH('🌱 Configuração'!$H$12,{"BioBizz","Remo Nutrients","General Organics","SuperSoil","Genérico"},0),1)=1,IF(8=1,"6.2–6.5",IF(8=2,"6.2–6.5",IF(8=3,"6.2–6.5",IF(8=4,"6.2–6.5",IF(8=5,"6.2–6.5",IF(8=6,"6.2–6.5",IF(8=7,"6.2–6.5",IF(8=8,"6.2–6.5","")))))))),IF(IFERROR(MATCH('🌱 Configuração'!$H$12,{"BioBizz","Remo Nutrients","General Organics","SuperSoil","Genérico"},0),1)=2,IF(8=1,"6.0–6.3",IF(8=2,"6.0–6.3",IF(8=3,"6.0–6.3",IF(8=4,"6.0–6.3",IF(8=5,"6.0–6.3",IF(8=6,"6.0–6.3",IF(8=7,"6.0–6.3",IF(8=8,"6.0–6.3","")))))))),IF(IFERROR(MATCH('🌱 Configuração'!$H$12,{"BioBizz","Remo Nutrients","General Organics","SuperSoil","Genérico"},0),1)=3,IF(8=1,"6.2–7.0",IF(8=2,"6.2–7.0",IF(8=3,"6.2–7.0",IF(8=4,"6.2–7.0",IF(8=5,"6.2–7.0",IF(8=6,"6.2–7.0",IF(8=7,"6.2–7.0",IF(8=8,"6.2–7.0","")))))))),IF(IFERROR(MATCH('🌱 Configuração'!$H$12,{"BioBizz","Remo Nutrients","General Organics","SuperSoil","Genérico"},0),1)=4,IF(8=1,"auto",IF(8=2,"auto",IF(8=3,"auto",IF(8=4,"auto",IF(8=5,"auto",IF(8=6,"auto",IF(8=7,"auto",IF(8=8,"auto","")))))))),IF(8=1,"—",IF(8=2,"—",IF(8=3,"—",IF(8=4,"—",IF(8=5,"—",IF(8=6,"—",IF(8=7,"—",IF(8=8,"—","")))))))))))))))</f>
        <v/>
      </c>
      <c r="L21" s="45" t="str">
        <f aca="false">IF('🌱 Configuração'!$C$56="","",IF(8&lt;1,"",IF(8&gt;'🌱 Configuração'!$H$7,"",IF(IFERROR(MATCH('🌱 Configuração'!$H$12,{"BioBizz","Remo Nutrients","General Organics","SuperSoil","Genérico"},0),1)=1,IF(8=1,"0.8",IF(8=2,"1.0",IF(8=3,"1.2",IF(8=4,"1.4",IF(8=5,"1.5",IF(8=6,"1.4",IF(8=7,"1.4",IF(8=8,"1.4","")))))))),IF(IFERROR(MATCH('🌱 Configuração'!$H$12,{"BioBizz","Remo Nutrients","General Organics","SuperSoil","Genérico"},0),1)=2,IF(8=1,"0.8",IF(8=2,"1.0",IF(8=3,"1.2",IF(8=4,"1.4",IF(8=5,"1.5",IF(8=6,"1.5",IF(8=7,"1.4",IF(8=8,"1.4","")))))))),IF(IFERROR(MATCH('🌱 Configuração'!$H$12,{"BioBizz","Remo Nutrients","General Organics","SuperSoil","Genérico"},0),1)=3,IF(8=1,"N/A",IF(8=2,"N/A",IF(8=3,"N/A",IF(8=4,"N/A",IF(8=5,"N/A",IF(8=6,"N/A",IF(8=7,"N/A",IF(8=8,"N/A","")))))))),IF(IFERROR(MATCH('🌱 Configuração'!$H$12,{"BioBizz","Remo Nutrients","General Organics","SuperSoil","Genérico"},0),1)=4,IF(8=1,"auto",IF(8=2,"auto",IF(8=3,"auto",IF(8=4,"auto",IF(8=5,"auto",IF(8=6,"auto",IF(8=7,"auto",IF(8=8,"auto","")))))))),IF(8=1,"—",IF(8=2,"—",IF(8=3,"—",IF(8=4,"—",IF(8=5,"—",IF(8=6,"—",IF(8=7,"—",IF(8=8,"—","")))))))))))))))</f>
        <v/>
      </c>
      <c r="M21" s="51" t="str">
        <f aca="false">IF('🌱 Configuração'!$C$56="","",IF(8&lt;1,"",IF(8&gt;'🌱 Configuração'!$H$7,"",IF(IFERROR(MATCH('🌱 Configuração'!$H$12,{"BioBizz","Remo Nutrients","General Organics","SuperSoil","Genérico"},0),1)=1,IF(8=1,"Fish·Mix em veg = mais N orgânico",IF(8=2,"Aumentar progressivamente",IF(8=3,"Foliar: Fish·Mix + Alg·A·Mic 1mL/L",IF(8=4,"LST / estrutura vegetativa",IF(8=5,"Pré-floração — reduzir Fish·Mix",IF(8=6,"Substituir Fish·Mix por Bio·Grow antes da flora",IF(8=7,"Semana de transição — introduzir Bloom",IF(8=8,"Semana extra de vega","")))))))),IF(IFERROR(MATCH('🌱 Configuração'!$H$12,{"BioBizz","Remo Nutrients","General Organics","SuperSoil","Genérico"},0),1)=2,IF(8=1,"Micro+Grow = base Remo para vega",IF(8=2,"Aumentar conforme tabela oficial",IF(8=3,"Semana 3 da tabela Remo",IF(8=4,"Semana 4 da tabela Remo — pico vega",IF(8=5,"Manter se continuar vega",IF(8=6,"Introduzir Bloom — transição",IF(8=7,"Reduzir Grow, aumentar Bloom",IF(8=8,"Semana extra de vega","")))))))),IF(IFERROR(MATCH('🌱 Configuração'!$H$12,{"BioBizz","Remo Nutrients","General Organics","SuperSoil","Genérico"},0),1)=3,IF(8=1,"GO não requer EC — pH auto-regula",IF(8=2,"Sem necessidade de ajuste pH em solo",IF(8=3,"Semana 3 veg GO",IF(8=4,"Reduzir BioRoot gradualmente",IF(8=5,"Manter Grow puro na vega",IF(8=6,"Semana transição — introduzir Bloom",IF(8=7,"Transição flora — reduzir Grow",IF(8=8,"Semana extra de vega GO","")))))))),IF(IFERROR(MATCH('🌱 Configuração'!$H$12,{"BioBizz","Remo Nutrients","General Organics","SuperSoil","Genérico"},0),1)=4,IF(8=1,"SuperSoil já contém todos os nutrientes",IF(8=2,"Torta de mamona = N lento | Osso = P",IF(8=3,"Mel de cana alimenta fungos e bactérias",IF(8=4,"Observar vigor — solo vivo trabalha",IF(8=5,"Alga = micro. | Cinzas = K e Ca",IF(8=6,"Pré-flora — ativar P e K no solo",IF(8=7,"Guano P alto = preparo para flora",IF(8=8,"Semana extra de vega SuperSoil","")))))))),IF(8=1,"Personalize suas doses",IF(8=2,"Personalize suas doses",IF(8=3,"Personalize suas doses",IF(8=4,"Personalize suas doses",IF(8=5,"Personalize suas doses",IF(8=6,"Personalize suas doses",IF(8=7,"Personalize suas doses",IF(8=8,"Personalize suas doses","")))))))))))))))</f>
        <v/>
      </c>
    </row>
    <row r="23" customFormat="false" ht="27.75" hidden="false" customHeight="true" outlineLevel="0" collapsed="false">
      <c r="B23" s="53" t="s">
        <v>38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customFormat="false" ht="24" hidden="false" customHeight="true" outlineLevel="0" collapsed="false">
      <c r="B24" s="40" t="s">
        <v>45</v>
      </c>
      <c r="C24" s="40" t="s">
        <v>46</v>
      </c>
      <c r="D24" s="40" t="s">
        <v>47</v>
      </c>
      <c r="E24" s="40" t="s">
        <v>48</v>
      </c>
      <c r="F24" s="40" t="s">
        <v>49</v>
      </c>
      <c r="G24" s="40" t="s">
        <v>50</v>
      </c>
      <c r="H24" s="40" t="s">
        <v>51</v>
      </c>
      <c r="I24" s="40" t="s">
        <v>52</v>
      </c>
      <c r="J24" s="40" t="s">
        <v>53</v>
      </c>
      <c r="K24" s="40" t="s">
        <v>54</v>
      </c>
      <c r="L24" s="40" t="s">
        <v>55</v>
      </c>
      <c r="M24" s="40" t="s">
        <v>56</v>
      </c>
    </row>
    <row r="25" customFormat="false" ht="21.75" hidden="false" customHeight="true" outlineLevel="0" collapsed="false">
      <c r="B25" s="26" t="str">
        <f aca="false">IF(1&lt;='🌱 Configuração'!$H$8,"S1","—")</f>
        <v>S1</v>
      </c>
      <c r="C25" s="41" t="n">
        <f aca="false">IF(1&lt;='🌱 Configuração'!$H$8,'🌱 Configuração'!$D$56+0,"")</f>
        <v>56</v>
      </c>
      <c r="D25" s="42" t="str">
        <f aca="false">IF('🌱 Configuração'!$D$56="","",IF(1&lt;1,"",IF(1&gt;'🌱 Configuração'!$H$8,"",IF(IFERROR(MATCH('🌱 Configuração'!$H$12,{"BioBizz","Remo Nutrients","General Organics","SuperSoil","Genérico"},0),1)=1,IF(1=1,"Bio·Grow",IF(1=2,"Bio·Grow",IF(1=3,"Bio·Grow",IF(1=4,"—",IF(1=5,"—",IF(1=6,"—",IF(1=7,"—",IF(1=8,"—",IF(1=9,"—",IF(1=10,"—",IF(1=11,"—",IF(1=12,"—","")))))))))))),IF(IFERROR(MATCH('🌱 Configuração'!$H$12,{"BioBizz","Remo Nutrients","General Organics","SuperSoil","Genérico"},0),1)=2,IF(1=1,"Micro",IF(1=2,"Micro",IF(1=3,"Micro",IF(1=4,"Micro",IF(1=5,"Micro",IF(1=6,"Micro",IF(1=7,"Micro",IF(1=8,"Micro",IF(1=9,"Micro",IF(1=10,"Micro",IF(1=11,"Micro",IF(1=12,"Micro","")))))))))))),IF(IFERROR(MATCH('🌱 Configuração'!$H$12,{"BioBizz","Remo Nutrients","General Organics","SuperSoil","Genérico"},0),1)=3,IF(1=1,"BioThrive B",IF(1=2,"BioThrive B",IF(1=3,"BioThrive B",IF(1=4,"BioThrive B",IF(1=5,"BioThrive B",IF(1=6,"BioThrive B",IF(1=7,"BioThrive B",IF(1=8,"BioThrive B",IF(1=9,"BioThrive B",IF(1=10,"BioThrive B",IF(1=11,"BioThrive B",IF(1=12,"BioThrive B","")))))))))))),IF(IFERROR(MATCH('🌱 Configuração'!$H$12,{"BioBizz","Remo Nutrients","General Organics","SuperSoil","Genérico"},0),1)=4,IF(1=1,"Cobertura: guano de morcego",IF(1=2,"Chá de compostagem",IF(1=3,"Cobertura: farinha de alga",IF(1=4,"Cobertura: guano de morcego",IF(1=5,"Molasses 2 mL/L",IF(1=6,"Cobertura: farinha de alga",IF(1=7,"Chá de compostagem",IF(1=8,"Molasses 2 mL/L",IF(1=9,"Água pura",IF(1=10,"Água pura",IF(1=11,"Água pura",IF(1=12,"Água pura","")))))))))))),IF(1=1,"← Preencha",IF(1=2,"← Preencha",IF(1=3,"← Preencha",IF(1=4,"← Preencha",IF(1=5,"← Preencha",IF(1=6,"← Preencha",IF(1=7,"← Preencha",IF(1=8,"← Preencha",IF(1=9,"← Preencha",IF(1=10,"← Preencha",IF(1=11,"← Preencha",IF(1=12,"← Preencha","")))))))))))))))))))</f>
        <v>Bio·Grow</v>
      </c>
      <c r="E25" s="43" t="str">
        <f aca="false">IF('🌱 Configuração'!$D$56="","",IF(1&lt;1,"",IF(1&gt;'🌱 Configuração'!$H$8,"",IF(IFERROR(MATCH('🌱 Configuração'!$H$12,{"BioBizz","Remo Nutrients","General Organics","SuperSoil","Genérico"},0),1)=1,IF(1=1,"1 mL/L",IF(1=2,"1 mL/L",IF(1=3,"1 mL/L",IF(1=4,"—",IF(1=5,"—",IF(1=6,"—",IF(1=7,"—",IF(1=8,"—",IF(1=9,"—",IF(1=10,"—",IF(1=11,"—",IF(1=12,"—","")))))))))))),IF(IFERROR(MATCH('🌱 Configuração'!$H$12,{"BioBizz","Remo Nutrients","General Organics","SuperSoil","Genérico"},0),1)=2,IF(1=1,"2.1 mL/L",IF(1=2,"2.1 mL/L",IF(1=3,"2.1 mL/L",IF(1=4,"2.1 mL/L",IF(1=5,"2.6 mL/L",IF(1=6,"2.6 mL/L",IF(1=7,"2.6 mL/L",IF(1=8,"2.1 mL/L",IF(1=9,"2.1 mL/L",IF(1=10,"2.1 mL/L",IF(1=11,"1.5 mL/L",IF(1=12,"1.0 mL/L","")))))))))))),IF(IFERROR(MATCH('🌱 Configuração'!$H$12,{"BioBizz","Remo Nutrients","General Organics","SuperSoil","Genérico"},0),1)=3,IF(1=1,"2.6 mL/L",IF(1=2,"2.6 mL/L",IF(1=3,"2.6 mL/L",IF(1=4,"2.6 mL/L",IF(1=5,"2.6 mL/L",IF(1=6,"2.6 mL/L",IF(1=7,"2.6 mL/L",IF(1=8,"2.6 mL/L",IF(1=9,"1.3 mL/L",IF(1=10,"1.3 mL/L",IF(1=11,"1.3 mL/L",IF(1=12,"1.3 mL/L","")))))))))))),IF(IFERROR(MATCH('🌱 Configuração'!$H$12,{"BioBizz","Remo Nutrients","General Organics","SuperSoil","Genérico"},0),1)=4,IF(1=1,"5g/L solo",IF(1=2,"2L/planta",IF(1=3,"5g/L solo",IF(1=4,"5g/L solo",IF(1=5,"—",IF(1=6,"5g/L solo",IF(1=7,"2L/planta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1 mL/L</v>
      </c>
      <c r="F25" s="42" t="str">
        <f aca="false">IF('🌱 Configuração'!$D$56="","",IF(1&lt;1,"",IF(1&gt;'🌱 Configuração'!$H$8,"",IF(IFERROR(MATCH('🌱 Configuração'!$H$12,{"BioBizz","Remo Nutrients","General Organics","SuperSoil","Genérico"},0),1)=1,IF(1=1,"Bio·Bloom",IF(1=2,"Bio·Bloom",IF(1=3,"Bio·Bloom",IF(1=4,"Bio·Bloom",IF(1=5,"Bio·Bloom",IF(1=6,"Bio·Bloom",IF(1=7,"Bio·Bloom",IF(1=8,"Bio·Bloom",IF(1=9,"Bio·Bloom",IF(1=10,"Bio·Bloom",IF(1=11,"Bio·Bloom",IF(1=12,"Bio·Bloom","")))))))))))),IF(IFERROR(MATCH('🌱 Configuração'!$H$12,{"BioBizz","Remo Nutrients","General Organics","SuperSoil","Genérico"},0),1)=2,IF(1=1,"Bloom",IF(1=2,"Bloom",IF(1=3,"Bloom",IF(1=4,"Bloom",IF(1=5,"Bloom",IF(1=6,"Bloom",IF(1=7,"Bloom",IF(1=8,"Bloom",IF(1=9,"Bloom",IF(1=10,"Bloom",IF(1=11,"Bloom",IF(1=12,"Bloom","")))))))))))),IF(IFERROR(MATCH('🌱 Configuração'!$H$12,{"BioBizz","Remo Nutrients","General Organics","SuperSoil","Genérico"},0),1)=3,IF(1=1,"BioBud",IF(1=2,"BioBud",IF(1=3,"BioBud",IF(1=4,"BioBud",IF(1=5,"BioBud",IF(1=6,"BioBud",IF(1=7,"BioBud",IF(1=8,"—",IF(1=9,"—",IF(1=10,"—",IF(1=11,"—",IF(1=12,"—","")))))))))))),IF(IFERROR(MATCH('🌱 Configuração'!$H$12,{"BioBizz","Remo Nutrients","General Organics","SuperSoil","Genérico"},0),1)=4,IF(1=1,"Molasses 2 mL/L",IF(1=2,"—",IF(1=3,"—",IF(1=4,"Cobertura: fosfato natural",IF(1=5,"—",IF(1=6,"Molasses 2 mL/L",IF(1=7,"—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Bio·Bloom</v>
      </c>
      <c r="G25" s="43" t="str">
        <f aca="false">IF('🌱 Configuração'!$D$56="","",IF(1&lt;1,"",IF(1&gt;'🌱 Configuração'!$H$8,"",IF(IFERROR(MATCH('🌱 Configuração'!$H$12,{"BioBizz","Remo Nutrients","General Organics","SuperSoil","Genérico"},0),1)=1,IF(1=1,"1 mL/L",IF(1=2,"2 mL/L",IF(1=3,"3 mL/L",IF(1=4,"3 mL/L",IF(1=5,"4 mL/L",IF(1=6,"4 mL/L",IF(1=7,"4 mL/L",IF(1=8,"4 mL/L",IF(1=9,"4 mL/L",IF(1=10,"4 mL/L",IF(1=11,"4 mL/L",IF(1=12,"2 mL/L","")))))))))))),IF(IFERROR(MATCH('🌱 Configuração'!$H$12,{"BioBizz","Remo Nutrients","General Organics","SuperSoil","Genérico"},0),1)=2,IF(1=1,"2.1 mL/L",IF(1=2,"2.1 mL/L",IF(1=3,"2.1 mL/L",IF(1=4,"2.1 mL/L",IF(1=5,"2.6 mL/L",IF(1=6,"2.6 mL/L",IF(1=7,"2.6 mL/L",IF(1=8,"2.1 mL/L",IF(1=9,"2.1 mL/L",IF(1=10,"2.1 mL/L",IF(1=11,"1.5 mL/L",IF(1=12,"1.0 mL/L","")))))))))))),IF(IFERROR(MATCH('🌱 Configuração'!$H$12,{"BioBizz","Remo Nutrients","General Organics","SuperSoil","Genérico"},0),1)=3,IF(1=1,"0.7 mL/L",IF(1=2,"0.7 mL/L",IF(1=3,"0.7 mL/L",IF(1=4,"0.7 mL/L",IF(1=5,"0.7 mL/L",IF(1=6,"0.7 mL/L",IF(1=7,"0.7 mL/L",IF(1=8,"—",IF(1=9,"—",IF(1=10,"—",IF(1=11,"—",IF(1=12,"—","")))))))))))),IF(IFERROR(MATCH('🌱 Configuração'!$H$12,{"BioBizz","Remo Nutrients","General Organics","SuperSoil","Genérico"},0),1)=4,IF(1=1,"—",IF(1=2,"—",IF(1=3,"—",IF(1=4,"5g/L",IF(1=5,"—",IF(1=6,"—",IF(1=7,"—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1 mL/L</v>
      </c>
      <c r="H25" s="42" t="str">
        <f aca="false">IF('🌱 Configuração'!$D$56="","",IF(1&lt;1,"",IF(1&gt;'🌱 Configuração'!$H$8,"",IF(IFERROR(MATCH('🌱 Configuração'!$H$12,{"BioBizz","Remo Nutrients","General Organics","SuperSoil","Genérico"},0),1)=1,IF(1=1,"Top·Max",IF(1=2,"Top·Max",IF(1=3,"Top·Max",IF(1=4,"Top·Max",IF(1=5,"Top·Max",IF(1=6,"Top·Max",IF(1=7,"Top·Max",IF(1=8,"Top·Max",IF(1=9,"Top·Max",IF(1=10,"Top·Max",IF(1=11,"Top·Max",IF(1=12,"Top·Max","")))))))))))),IF(IFERROR(MATCH('🌱 Configuração'!$H$12,{"BioBizz","Remo Nutrients","General Organics","SuperSoil","Genérico"},0),1)=2,IF(1=1,"—",IF(1=2,"—",IF(1=3,"—",IF(1=4,"Astroflower",IF(1=5,"Astroflower",IF(1=6,"Astroflower",IF(1=7,"Astroflower",IF(1=8,"—",IF(1=9,"—",IF(1=10,"—",IF(1=11,"—",IF(1=12,"—","")))))))))))),IF(IFERROR(MATCH('🌱 Configuração'!$H$12,{"BioBizz","Remo Nutrients","General Organics","SuperSoil","Genérico"},0),1)=3,IF(1=1,"CaMg+",IF(1=2,"CaMg+",IF(1=3,"CaMg+",IF(1=4,"CaMg+",IF(1=5,"CaMg+",IF(1=6,"CaMg+",IF(1=7,"—",IF(1=8,"—",IF(1=9,"—",IF(1=10,"—",IF(1=11,"—",IF(1=12,"—","")))))))))))),IF(IFERROR(MATCH('🌱 Configuração'!$H$12,{"BioBizz","Remo Nutrients","General Organics","SuperSoil","Genérico"},0),1)=4,IF(1=1,"—",IF(1=2,"—",IF(1=3,"—",IF(1=4,"—",IF(1=5,"—",IF(1=6,"—",IF(1=7,"—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Top·Max</v>
      </c>
      <c r="I25" s="43" t="str">
        <f aca="false">IF('🌱 Configuração'!$D$56="","",IF(1&lt;1,"",IF(1&gt;'🌱 Configuração'!$H$8,"",IF(IFERROR(MATCH('🌱 Configuração'!$H$12,{"BioBizz","Remo Nutrients","General Organics","SuperSoil","Genérico"},0),1)=1,IF(1=1,"1 mL/L",IF(1=2,"1 mL/L",IF(1=3,"2 mL/L",IF(1=4,"2 mL/L",IF(1=5,"3 mL/L",IF(1=6,"3 mL/L",IF(1=7,"4 mL/L",IF(1=8,"4 mL/L",IF(1=9,"4 mL/L",IF(1=10,"4 mL/L",IF(1=11,"4 mL/L",IF(1=12,"2 mL/L","")))))))))))),IF(IFERROR(MATCH('🌱 Configuração'!$H$12,{"BioBizz","Remo Nutrients","General Organics","SuperSoil","Genérico"},0),1)=2,IF(1=1,"—",IF(1=2,"—",IF(1=3,"—",IF(1=4,"1.0 mL/L",IF(1=5,"2.0 mL/L",IF(1=6,"2.0 mL/L",IF(1=7,"1.0 mL/L",IF(1=8,"—",IF(1=9,"—",IF(1=10,"—",IF(1=11,"—",IF(1=12,"—","")))))))))))),IF(IFERROR(MATCH('🌱 Configuração'!$H$12,{"BioBizz","Remo Nutrients","General Organics","SuperSoil","Genérico"},0),1)=3,IF(1=1,"1.3 mL/L",IF(1=2,"1.3 mL/L",IF(1=3,"1.3 mL/L",IF(1=4,"1.3 mL/L",IF(1=5,"1.3 mL/L",IF(1=6,"0.7 mL/L",IF(1=7,"—",IF(1=8,"—",IF(1=9,"—",IF(1=10,"—",IF(1=11,"—",IF(1=12,"—","")))))))))))),IF(IFERROR(MATCH('🌱 Configuração'!$H$12,{"BioBizz","Remo Nutrients","General Organics","SuperSoil","Genérico"},0),1)=4,IF(1=1,"—",IF(1=2,"—",IF(1=3,"—",IF(1=4,"—",IF(1=5,"—",IF(1=6,"—",IF(1=7,"—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1 mL/L</v>
      </c>
      <c r="J25" s="42" t="str">
        <f aca="false">IF('🌱 Configuração'!$D$56="","",IF(1&lt;1,"",IF(1&gt;'🌱 Configuração'!$H$8,"",IF(IFERROR(MATCH('🌱 Configuração'!$H$12,{"BioBizz","Remo Nutrients","General Organics","SuperSoil","Genérico"},0),1)=1,IF(1=1,"Alg·A·Mic 1mL",IF(1=2,"—",IF(1=3,"—",IF(1=4,"—",IF(1=5,"—",IF(1=6,"Alg·A·Mic 1mL",IF(1=7,"—",IF(1=8,"—",IF(1=9,"—",IF(1=10,"—",IF(1=11,"—",IF(1=12,"—","")))))))))))),IF(IFERROR(MATCH('🌱 Configuração'!$H$12,{"BioBizz","Remo Nutrients","General Organics","SuperSoil","Genérico"},0),1)=2,IF(1=1,"Magnifical 1.0",IF(1=2,"Magnifical 1.0",IF(1=3,"Magnifical 1.0",IF(1=4,"Magnifical 1.0",IF(1=5,"Kelp 1.0 mL",IF(1=6,"Kelp 1.0 mL",IF(1=7,"—",IF(1=8,"—",IF(1=9,"—",IF(1=10,"—",IF(1=11,"—",IF(1=12,"—","")))))))))))),IF(IFERROR(MATCH('🌱 Configuração'!$H$12,{"BioBizz","Remo Nutrients","General Organics","SuperSoil","Genérico"},0),1)=3,IF(1=1,"BioWeed 0.7",IF(1=2,"—",IF(1=3,"—",IF(1=4,"BioMarine 0.7",IF(1=5,"BioMarine 0.7",IF(1=6,"—",IF(1=7,"—",IF(1=8,"—",IF(1=9,"—",IF(1=10,"—",IF(1=11,"—",IF(1=12,"—","")))))))))))),IF(IFERROR(MATCH('🌱 Configuração'!$H$12,{"BioBizz","Remo Nutrients","General Organics","SuperSoil","Genérico"},0),1)=4,IF(1=1,"Chá",IF(1=2,"—",IF(1=3,"Molasses 2mL",IF(1=4,"—",IF(1=5,"Chá",IF(1=6,"—",IF(1=7,"—",IF(1=8,"—",IF(1=9,"—",IF(1=10,"—",IF(1=11,"—",IF(1=12,"—","")))))))))))),IF(1=1,"—",IF(1=2,"—",IF(1=3,"—",IF(1=4,"—",IF(1=5,"—",IF(1=6,"—",IF(1=7,"—",IF(1=8,"—",IF(1=9,"—",IF(1=10,"—",IF(1=11,"—",IF(1=12,"—","")))))))))))))))))))</f>
        <v>Alg·A·Mic 1mL</v>
      </c>
      <c r="K25" s="44" t="str">
        <f aca="false">IF('🌱 Configuração'!$D$56="","",IF(1&lt;1,"",IF(1&gt;'🌱 Configuração'!$H$8,"",IF(IFERROR(MATCH('🌱 Configuração'!$H$12,{"BioBizz","Remo Nutrients","General Organics","SuperSoil","Genérico"},0),1)=1,IF(1=1,"6.2–6.5",IF(1=2,"6.2–6.5",IF(1=3,"6.2–6.5",IF(1=4,"6.2–6.5",IF(1=5,"6.2–6.5",IF(1=6,"6.2–6.5",IF(1=7,"6.2–6.5",IF(1=8,"6.2–6.5",IF(1=9,"6.2–6.5",IF(1=10,"6.2–6.5",IF(1=11,"6.2–6.5",IF(1=12,"6.2–6.5","")))))))))))),IF(IFERROR(MATCH('🌱 Configuração'!$H$12,{"BioBizz","Remo Nutrients","General Organics","SuperSoil","Genérico"},0),1)=2,IF(1=1,"6.0–6.3",IF(1=2,"6.0–6.3",IF(1=3,"6.0–6.3",IF(1=4,"6.0–6.3",IF(1=5,"6.0–6.3",IF(1=6,"6.0–6.3",IF(1=7,"6.0–6.3",IF(1=8,"6.0–6.3",IF(1=9,"6.0–6.3",IF(1=10,"6.0–6.3",IF(1=11,"6.0–6.3",IF(1=12,"6.0–6.3","")))))))))))),IF(IFERROR(MATCH('🌱 Configuração'!$H$12,{"BioBizz","Remo Nutrients","General Organics","SuperSoil","Genérico"},0),1)=3,IF(1=1,"6.2–7.0",IF(1=2,"6.2–7.0",IF(1=3,"6.2–7.0",IF(1=4,"6.2–7.0",IF(1=5,"6.2–7.0",IF(1=6,"6.2–7.0",IF(1=7,"6.2–7.0",IF(1=8,"6.2–7.0",IF(1=9,"6.2–7.0",IF(1=10,"6.2–7.0",IF(1=11,"6.2–7.0",IF(1=12,"6.2–7.0","")))))))))))),IF(IFERROR(MATCH('🌱 Configuração'!$H$12,{"BioBizz","Remo Nutrients","General Organics","SuperSoil","Genérico"},0),1)=4,IF(1=1,"auto",IF(1=2,"auto",IF(1=3,"auto",IF(1=4,"auto",IF(1=5,"auto",IF(1=6,"auto",IF(1=7,"auto",IF(1=8,"auto",IF(1=9,"auto",IF(1=10,"auto",IF(1=11,"auto",IF(1=12,"auto","")))))))))))),IF(1=1,"—",IF(1=2,"—",IF(1=3,"—",IF(1=4,"—",IF(1=5,"—",IF(1=6,"—",IF(1=7,"—",IF(1=8,"—",IF(1=9,"—",IF(1=10,"—",IF(1=11,"—",IF(1=12,"—","")))))))))))))))))))</f>
        <v>6.2–6.5</v>
      </c>
      <c r="L25" s="45" t="str">
        <f aca="false">IF('🌱 Configuração'!$D$56="","",IF(1&lt;1,"",IF(1&gt;'🌱 Configuração'!$H$8,"",IF(IFERROR(MATCH('🌱 Configuração'!$H$12,{"BioBizz","Remo Nutrients","General Organics","SuperSoil","Genérico"},0),1)=1,IF(1=1,"1.6",IF(1=2,"1.7",IF(1=3,"1.8",IF(1=4,"1.9",IF(1=5,"2.0",IF(1=6,"2.0",IF(1=7,"1.9",IF(1=8,"1.8",IF(1=9,"1.6",IF(1=10,"1.6",IF(1=11,"1.4",IF(1=12,"1.0","")))))))))))),IF(IFERROR(MATCH('🌱 Configuração'!$H$12,{"BioBizz","Remo Nutrients","General Organics","SuperSoil","Genérico"},0),1)=2,IF(1=1,"1.6",IF(1=2,"1.7",IF(1=3,"1.8",IF(1=4,"1.9",IF(1=5,"2.0",IF(1=6,"2.0",IF(1=7,"1.8",IF(1=8,"1.6",IF(1=9,"1.4",IF(1=10,"1.4",IF(1=11,"1.0",IF(1=12,"0.8","")))))))))))),IF(IFERROR(MATCH('🌱 Configuração'!$H$12,{"BioBizz","Remo Nutrients","General Organics","SuperSoil","Genérico"},0),1)=3,IF(1=1,"N/A",IF(1=2,"N/A",IF(1=3,"N/A",IF(1=4,"N/A",IF(1=5,"N/A",IF(1=6,"N/A",IF(1=7,"N/A",IF(1=8,"N/A",IF(1=9,"N/A",IF(1=10,"N/A",IF(1=11,"N/A",IF(1=12,"N/A","")))))))))))),IF(IFERROR(MATCH('🌱 Configuração'!$H$12,{"BioBizz","Remo Nutrients","General Organics","SuperSoil","Genérico"},0),1)=4,IF(1=1,"auto",IF(1=2,"auto",IF(1=3,"auto",IF(1=4,"auto",IF(1=5,"auto",IF(1=6,"auto",IF(1=7,"auto",IF(1=8,"auto",IF(1=9,"auto",IF(1=10,"auto",IF(1=11,"auto",IF(1=12,"auto","")))))))))))),IF(1=1,"—",IF(1=2,"—",IF(1=3,"—",IF(1=4,"—",IF(1=5,"—",IF(1=6,"—",IF(1=7,"—",IF(1=8,"—",IF(1=9,"—",IF(1=10,"—",IF(1=11,"—",IF(1=12,"—","")))))))))))))))))))</f>
        <v>1.6</v>
      </c>
      <c r="M25" s="42" t="str">
        <f aca="false">IF('🌱 Configuração'!$D$56="","",IF(1&lt;1,"",IF(1&gt;'🌱 Configuração'!$H$8,"",IF(IFERROR(MATCH('🌱 Configuração'!$H$12,{"BioBizz","Remo Nutrients","General Organics","SuperSoil","Genérico"},0),1)=1,IF(1=1,"Manter Bio·Grow em S1–S3 flora",IF(1=2,"Formação de pistils",IF(1=3,"Início do enchimento",IF(1=4,"Parar Bio·Grow — fase de flora plena",IF(1=5,"Pico de floração",IF(1=6,"Enchimento máximo",IF(1=7,"Amadurecimento — manter bloom alto",IF(1=8,"Pré-flush — analisar tricomas",IF(1=9,"Semana extra (sativa)",IF(1=10,"Semana extra (sativa)",IF(1=11,"Reduzir — semana final",IF(1=12,"Último adubo antes flush","")))))))))))),IF(IFERROR(MATCH('🌱 Configuração'!$H$12,{"BioBizz","Remo Nutrients","General Organics","SuperSoil","Genérico"},0),1)=2,IF(1=1,"Apenas Micro+Bloom em floração Remo",IF(1=2,"Sem Grow a partir daqui",IF(1=3,"Tabela oficial: 2.1 mL/L S1–S4",IF(1=4,"Astroflower = estimulante floração",IF(1=5,"Tabela oficial: 2.6 mL/L S5–S7",IF(1=6,"Pico de floração Remo",IF(1=7,"Tabela oficial S7",IF(1=8,"Reduzir — semana final",IF(1=9,"Semana extra — sativa",IF(1=10,"Semana extra",IF(1=11,"Reduzir para flush",IF(1=12,"Último adubo","")))))))))))),IF(IFERROR(MATCH('🌱 Configuração'!$H$12,{"BioBizz","Remo Nutrients","General Organics","SuperSoil","Genérico"},0),1)=3,IF(1=1,"BioBud = estimulante flores GO",IF(1=2,"Early Flower GO",IF(1=3,"Mid Flower GO",IF(1=4,"BioMarine = peixe fermentado GO",IF(1=5,"Pico floração GO",IF(1=6,"Late Flower GO",IF(1=7,"Reduzir CaMg+ final",IF(1=8,"Late Flower GO — pré-flush",IF(1=9,"Semana extra — reduzir dose",IF(1=10,"Semana extra GO (sativa)",IF(1=11,"Semana extra GO",IF(1=12,"Último adubo GO","")))))))))))),IF(IFERROR(MATCH('🌱 Configuração'!$H$12,{"BioBizz","Remo Nutrients","General Organics","SuperSoil","Genérico"},0),1)=4,IF(1=1,"Guano P alto = floração forte",IF(1=2,"Solo vivo em pico — não interferir",IF(1=3,"Alga = K e micronutrientes florais",IF(1=4,"Fósforo natural = buds densos",IF(1=5,"Alimentar microbioma — enchimento",IF(1=6,"Semana de pico — micro + K",IF(1=7,"Reduzir intervenções — amadurecimento",IF(1=8,"Pré-flush SuperSoil",IF(1=9,"Parar coberturas — lavar suave",IF(1=10,"Semana extra (sativa)",IF(1=11,"Semana extra",IF(1=12,"Última semana — observar tricomas","")))))))))))),IF(1=1,"Personalize suas doses",IF(1=2,"Personalize suas doses",IF(1=3,"Personalize suas doses",IF(1=4,"Personalize suas doses",IF(1=5,"Personalize suas doses",IF(1=6,"Personalize suas doses",IF(1=7,"Personalize suas doses",IF(1=8,"Personalize suas doses",IF(1=9,"Personalize suas doses",IF(1=10,"Personalize suas doses",IF(1=11,"Personalize suas doses",IF(1=12,"Personalize suas doses","")))))))))))))))))))</f>
        <v>Manter Bio·Grow em S1–S3 flora</v>
      </c>
    </row>
    <row r="26" customFormat="false" ht="21.75" hidden="false" customHeight="true" outlineLevel="0" collapsed="false">
      <c r="B26" s="26" t="str">
        <f aca="false">IF(2&lt;='🌱 Configuração'!$H$8,"S2","—")</f>
        <v>S2</v>
      </c>
      <c r="C26" s="54" t="n">
        <f aca="false">IF(2&lt;='🌱 Configuração'!$H$8,'🌱 Configuração'!$D$56+7,"")</f>
        <v>63</v>
      </c>
      <c r="D26" s="55" t="str">
        <f aca="false">IF('🌱 Configuração'!$D$56="","",IF(2&lt;1,"",IF(2&gt;'🌱 Configuração'!$H$8,"",IF(IFERROR(MATCH('🌱 Configuração'!$H$12,{"BioBizz","Remo Nutrients","General Organics","SuperSoil","Genérico"},0),1)=1,IF(2=1,"Bio·Grow",IF(2=2,"Bio·Grow",IF(2=3,"Bio·Grow",IF(2=4,"—",IF(2=5,"—",IF(2=6,"—",IF(2=7,"—",IF(2=8,"—",IF(2=9,"—",IF(2=10,"—",IF(2=11,"—",IF(2=12,"—","")))))))))))),IF(IFERROR(MATCH('🌱 Configuração'!$H$12,{"BioBizz","Remo Nutrients","General Organics","SuperSoil","Genérico"},0),1)=2,IF(2=1,"Micro",IF(2=2,"Micro",IF(2=3,"Micro",IF(2=4,"Micro",IF(2=5,"Micro",IF(2=6,"Micro",IF(2=7,"Micro",IF(2=8,"Micro",IF(2=9,"Micro",IF(2=10,"Micro",IF(2=11,"Micro",IF(2=12,"Micro","")))))))))))),IF(IFERROR(MATCH('🌱 Configuração'!$H$12,{"BioBizz","Remo Nutrients","General Organics","SuperSoil","Genérico"},0),1)=3,IF(2=1,"BioThrive B",IF(2=2,"BioThrive B",IF(2=3,"BioThrive B",IF(2=4,"BioThrive B",IF(2=5,"BioThrive B",IF(2=6,"BioThrive B",IF(2=7,"BioThrive B",IF(2=8,"BioThrive B",IF(2=9,"BioThrive B",IF(2=10,"BioThrive B",IF(2=11,"BioThrive B",IF(2=12,"BioThrive B","")))))))))))),IF(IFERROR(MATCH('🌱 Configuração'!$H$12,{"BioBizz","Remo Nutrients","General Organics","SuperSoil","Genérico"},0),1)=4,IF(2=1,"Cobertura: guano de morcego",IF(2=2,"Chá de compostagem",IF(2=3,"Cobertura: farinha de alga",IF(2=4,"Cobertura: guano de morcego",IF(2=5,"Molasses 2 mL/L",IF(2=6,"Cobertura: farinha de alga",IF(2=7,"Chá de compostagem",IF(2=8,"Molasses 2 mL/L",IF(2=9,"Água pura",IF(2=10,"Água pura",IF(2=11,"Água pura",IF(2=12,"Água pura","")))))))))))),IF(2=1,"← Preencha",IF(2=2,"← Preencha",IF(2=3,"← Preencha",IF(2=4,"← Preencha",IF(2=5,"← Preencha",IF(2=6,"← Preencha",IF(2=7,"← Preencha",IF(2=8,"← Preencha",IF(2=9,"← Preencha",IF(2=10,"← Preencha",IF(2=11,"← Preencha",IF(2=12,"← Preencha","")))))))))))))))))))</f>
        <v>Bio·Grow</v>
      </c>
      <c r="E26" s="56" t="str">
        <f aca="false">IF('🌱 Configuração'!$D$56="","",IF(2&lt;1,"",IF(2&gt;'🌱 Configuração'!$H$8,"",IF(IFERROR(MATCH('🌱 Configuração'!$H$12,{"BioBizz","Remo Nutrients","General Organics","SuperSoil","Genérico"},0),1)=1,IF(2=1,"1 mL/L",IF(2=2,"1 mL/L",IF(2=3,"1 mL/L",IF(2=4,"—",IF(2=5,"—",IF(2=6,"—",IF(2=7,"—",IF(2=8,"—",IF(2=9,"—",IF(2=10,"—",IF(2=11,"—",IF(2=12,"—","")))))))))))),IF(IFERROR(MATCH('🌱 Configuração'!$H$12,{"BioBizz","Remo Nutrients","General Organics","SuperSoil","Genérico"},0),1)=2,IF(2=1,"2.1 mL/L",IF(2=2,"2.1 mL/L",IF(2=3,"2.1 mL/L",IF(2=4,"2.1 mL/L",IF(2=5,"2.6 mL/L",IF(2=6,"2.6 mL/L",IF(2=7,"2.6 mL/L",IF(2=8,"2.1 mL/L",IF(2=9,"2.1 mL/L",IF(2=10,"2.1 mL/L",IF(2=11,"1.5 mL/L",IF(2=12,"1.0 mL/L","")))))))))))),IF(IFERROR(MATCH('🌱 Configuração'!$H$12,{"BioBizz","Remo Nutrients","General Organics","SuperSoil","Genérico"},0),1)=3,IF(2=1,"2.6 mL/L",IF(2=2,"2.6 mL/L",IF(2=3,"2.6 mL/L",IF(2=4,"2.6 mL/L",IF(2=5,"2.6 mL/L",IF(2=6,"2.6 mL/L",IF(2=7,"2.6 mL/L",IF(2=8,"2.6 mL/L",IF(2=9,"1.3 mL/L",IF(2=10,"1.3 mL/L",IF(2=11,"1.3 mL/L",IF(2=12,"1.3 mL/L","")))))))))))),IF(IFERROR(MATCH('🌱 Configuração'!$H$12,{"BioBizz","Remo Nutrients","General Organics","SuperSoil","Genérico"},0),1)=4,IF(2=1,"5g/L solo",IF(2=2,"2L/planta",IF(2=3,"5g/L solo",IF(2=4,"5g/L solo",IF(2=5,"—",IF(2=6,"5g/L solo",IF(2=7,"2L/planta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1 mL/L</v>
      </c>
      <c r="F26" s="55" t="str">
        <f aca="false">IF('🌱 Configuração'!$D$56="","",IF(2&lt;1,"",IF(2&gt;'🌱 Configuração'!$H$8,"",IF(IFERROR(MATCH('🌱 Configuração'!$H$12,{"BioBizz","Remo Nutrients","General Organics","SuperSoil","Genérico"},0),1)=1,IF(2=1,"Bio·Bloom",IF(2=2,"Bio·Bloom",IF(2=3,"Bio·Bloom",IF(2=4,"Bio·Bloom",IF(2=5,"Bio·Bloom",IF(2=6,"Bio·Bloom",IF(2=7,"Bio·Bloom",IF(2=8,"Bio·Bloom",IF(2=9,"Bio·Bloom",IF(2=10,"Bio·Bloom",IF(2=11,"Bio·Bloom",IF(2=12,"Bio·Bloom","")))))))))))),IF(IFERROR(MATCH('🌱 Configuração'!$H$12,{"BioBizz","Remo Nutrients","General Organics","SuperSoil","Genérico"},0),1)=2,IF(2=1,"Bloom",IF(2=2,"Bloom",IF(2=3,"Bloom",IF(2=4,"Bloom",IF(2=5,"Bloom",IF(2=6,"Bloom",IF(2=7,"Bloom",IF(2=8,"Bloom",IF(2=9,"Bloom",IF(2=10,"Bloom",IF(2=11,"Bloom",IF(2=12,"Bloom","")))))))))))),IF(IFERROR(MATCH('🌱 Configuração'!$H$12,{"BioBizz","Remo Nutrients","General Organics","SuperSoil","Genérico"},0),1)=3,IF(2=1,"BioBud",IF(2=2,"BioBud",IF(2=3,"BioBud",IF(2=4,"BioBud",IF(2=5,"BioBud",IF(2=6,"BioBud",IF(2=7,"BioBud",IF(2=8,"—",IF(2=9,"—",IF(2=10,"—",IF(2=11,"—",IF(2=12,"—","")))))))))))),IF(IFERROR(MATCH('🌱 Configuração'!$H$12,{"BioBizz","Remo Nutrients","General Organics","SuperSoil","Genérico"},0),1)=4,IF(2=1,"Molasses 2 mL/L",IF(2=2,"—",IF(2=3,"—",IF(2=4,"Cobertura: fosfato natural",IF(2=5,"—",IF(2=6,"Molasses 2 mL/L",IF(2=7,"—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Bio·Bloom</v>
      </c>
      <c r="G26" s="56" t="str">
        <f aca="false">IF('🌱 Configuração'!$D$56="","",IF(2&lt;1,"",IF(2&gt;'🌱 Configuração'!$H$8,"",IF(IFERROR(MATCH('🌱 Configuração'!$H$12,{"BioBizz","Remo Nutrients","General Organics","SuperSoil","Genérico"},0),1)=1,IF(2=1,"1 mL/L",IF(2=2,"2 mL/L",IF(2=3,"3 mL/L",IF(2=4,"3 mL/L",IF(2=5,"4 mL/L",IF(2=6,"4 mL/L",IF(2=7,"4 mL/L",IF(2=8,"4 mL/L",IF(2=9,"4 mL/L",IF(2=10,"4 mL/L",IF(2=11,"4 mL/L",IF(2=12,"2 mL/L","")))))))))))),IF(IFERROR(MATCH('🌱 Configuração'!$H$12,{"BioBizz","Remo Nutrients","General Organics","SuperSoil","Genérico"},0),1)=2,IF(2=1,"2.1 mL/L",IF(2=2,"2.1 mL/L",IF(2=3,"2.1 mL/L",IF(2=4,"2.1 mL/L",IF(2=5,"2.6 mL/L",IF(2=6,"2.6 mL/L",IF(2=7,"2.6 mL/L",IF(2=8,"2.1 mL/L",IF(2=9,"2.1 mL/L",IF(2=10,"2.1 mL/L",IF(2=11,"1.5 mL/L",IF(2=12,"1.0 mL/L","")))))))))))),IF(IFERROR(MATCH('🌱 Configuração'!$H$12,{"BioBizz","Remo Nutrients","General Organics","SuperSoil","Genérico"},0),1)=3,IF(2=1,"0.7 mL/L",IF(2=2,"0.7 mL/L",IF(2=3,"0.7 mL/L",IF(2=4,"0.7 mL/L",IF(2=5,"0.7 mL/L",IF(2=6,"0.7 mL/L",IF(2=7,"0.7 mL/L",IF(2=8,"—",IF(2=9,"—",IF(2=10,"—",IF(2=11,"—",IF(2=12,"—","")))))))))))),IF(IFERROR(MATCH('🌱 Configuração'!$H$12,{"BioBizz","Remo Nutrients","General Organics","SuperSoil","Genérico"},0),1)=4,IF(2=1,"—",IF(2=2,"—",IF(2=3,"—",IF(2=4,"5g/L",IF(2=5,"—",IF(2=6,"—",IF(2=7,"—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2 mL/L</v>
      </c>
      <c r="H26" s="55" t="str">
        <f aca="false">IF('🌱 Configuração'!$D$56="","",IF(2&lt;1,"",IF(2&gt;'🌱 Configuração'!$H$8,"",IF(IFERROR(MATCH('🌱 Configuração'!$H$12,{"BioBizz","Remo Nutrients","General Organics","SuperSoil","Genérico"},0),1)=1,IF(2=1,"Top·Max",IF(2=2,"Top·Max",IF(2=3,"Top·Max",IF(2=4,"Top·Max",IF(2=5,"Top·Max",IF(2=6,"Top·Max",IF(2=7,"Top·Max",IF(2=8,"Top·Max",IF(2=9,"Top·Max",IF(2=10,"Top·Max",IF(2=11,"Top·Max",IF(2=12,"Top·Max","")))))))))))),IF(IFERROR(MATCH('🌱 Configuração'!$H$12,{"BioBizz","Remo Nutrients","General Organics","SuperSoil","Genérico"},0),1)=2,IF(2=1,"—",IF(2=2,"—",IF(2=3,"—",IF(2=4,"Astroflower",IF(2=5,"Astroflower",IF(2=6,"Astroflower",IF(2=7,"Astroflower",IF(2=8,"—",IF(2=9,"—",IF(2=10,"—",IF(2=11,"—",IF(2=12,"—","")))))))))))),IF(IFERROR(MATCH('🌱 Configuração'!$H$12,{"BioBizz","Remo Nutrients","General Organics","SuperSoil","Genérico"},0),1)=3,IF(2=1,"CaMg+",IF(2=2,"CaMg+",IF(2=3,"CaMg+",IF(2=4,"CaMg+",IF(2=5,"CaMg+",IF(2=6,"CaMg+",IF(2=7,"—",IF(2=8,"—",IF(2=9,"—",IF(2=10,"—",IF(2=11,"—",IF(2=12,"—","")))))))))))),IF(IFERROR(MATCH('🌱 Configuração'!$H$12,{"BioBizz","Remo Nutrients","General Organics","SuperSoil","Genérico"},0),1)=4,IF(2=1,"—",IF(2=2,"—",IF(2=3,"—",IF(2=4,"—",IF(2=5,"—",IF(2=6,"—",IF(2=7,"—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Top·Max</v>
      </c>
      <c r="I26" s="56" t="str">
        <f aca="false">IF('🌱 Configuração'!$D$56="","",IF(2&lt;1,"",IF(2&gt;'🌱 Configuração'!$H$8,"",IF(IFERROR(MATCH('🌱 Configuração'!$H$12,{"BioBizz","Remo Nutrients","General Organics","SuperSoil","Genérico"},0),1)=1,IF(2=1,"1 mL/L",IF(2=2,"1 mL/L",IF(2=3,"2 mL/L",IF(2=4,"2 mL/L",IF(2=5,"3 mL/L",IF(2=6,"3 mL/L",IF(2=7,"4 mL/L",IF(2=8,"4 mL/L",IF(2=9,"4 mL/L",IF(2=10,"4 mL/L",IF(2=11,"4 mL/L",IF(2=12,"2 mL/L","")))))))))))),IF(IFERROR(MATCH('🌱 Configuração'!$H$12,{"BioBizz","Remo Nutrients","General Organics","SuperSoil","Genérico"},0),1)=2,IF(2=1,"—",IF(2=2,"—",IF(2=3,"—",IF(2=4,"1.0 mL/L",IF(2=5,"2.0 mL/L",IF(2=6,"2.0 mL/L",IF(2=7,"1.0 mL/L",IF(2=8,"—",IF(2=9,"—",IF(2=10,"—",IF(2=11,"—",IF(2=12,"—","")))))))))))),IF(IFERROR(MATCH('🌱 Configuração'!$H$12,{"BioBizz","Remo Nutrients","General Organics","SuperSoil","Genérico"},0),1)=3,IF(2=1,"1.3 mL/L",IF(2=2,"1.3 mL/L",IF(2=3,"1.3 mL/L",IF(2=4,"1.3 mL/L",IF(2=5,"1.3 mL/L",IF(2=6,"0.7 mL/L",IF(2=7,"—",IF(2=8,"—",IF(2=9,"—",IF(2=10,"—",IF(2=11,"—",IF(2=12,"—","")))))))))))),IF(IFERROR(MATCH('🌱 Configuração'!$H$12,{"BioBizz","Remo Nutrients","General Organics","SuperSoil","Genérico"},0),1)=4,IF(2=1,"—",IF(2=2,"—",IF(2=3,"—",IF(2=4,"—",IF(2=5,"—",IF(2=6,"—",IF(2=7,"—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1 mL/L</v>
      </c>
      <c r="J26" s="55" t="str">
        <f aca="false">IF('🌱 Configuração'!$D$56="","",IF(2&lt;1,"",IF(2&gt;'🌱 Configuração'!$H$8,"",IF(IFERROR(MATCH('🌱 Configuração'!$H$12,{"BioBizz","Remo Nutrients","General Organics","SuperSoil","Genérico"},0),1)=1,IF(2=1,"Alg·A·Mic 1mL",IF(2=2,"—",IF(2=3,"—",IF(2=4,"—",IF(2=5,"—",IF(2=6,"Alg·A·Mic 1mL",IF(2=7,"—",IF(2=8,"—",IF(2=9,"—",IF(2=10,"—",IF(2=11,"—",IF(2=12,"—","")))))))))))),IF(IFERROR(MATCH('🌱 Configuração'!$H$12,{"BioBizz","Remo Nutrients","General Organics","SuperSoil","Genérico"},0),1)=2,IF(2=1,"Magnifical 1.0",IF(2=2,"Magnifical 1.0",IF(2=3,"Magnifical 1.0",IF(2=4,"Magnifical 1.0",IF(2=5,"Kelp 1.0 mL",IF(2=6,"Kelp 1.0 mL",IF(2=7,"—",IF(2=8,"—",IF(2=9,"—",IF(2=10,"—",IF(2=11,"—",IF(2=12,"—","")))))))))))),IF(IFERROR(MATCH('🌱 Configuração'!$H$12,{"BioBizz","Remo Nutrients","General Organics","SuperSoil","Genérico"},0),1)=3,IF(2=1,"BioWeed 0.7",IF(2=2,"—",IF(2=3,"—",IF(2=4,"BioMarine 0.7",IF(2=5,"BioMarine 0.7",IF(2=6,"—",IF(2=7,"—",IF(2=8,"—",IF(2=9,"—",IF(2=10,"—",IF(2=11,"—",IF(2=12,"—","")))))))))))),IF(IFERROR(MATCH('🌱 Configuração'!$H$12,{"BioBizz","Remo Nutrients","General Organics","SuperSoil","Genérico"},0),1)=4,IF(2=1,"Chá",IF(2=2,"—",IF(2=3,"Molasses 2mL",IF(2=4,"—",IF(2=5,"Chá",IF(2=6,"—",IF(2=7,"—",IF(2=8,"—",IF(2=9,"—",IF(2=10,"—",IF(2=11,"—",IF(2=12,"—","")))))))))))),IF(2=1,"—",IF(2=2,"—",IF(2=3,"—",IF(2=4,"—",IF(2=5,"—",IF(2=6,"—",IF(2=7,"—",IF(2=8,"—",IF(2=9,"—",IF(2=10,"—",IF(2=11,"—",IF(2=12,"—","")))))))))))))))))))</f>
        <v>—</v>
      </c>
      <c r="K26" s="44" t="str">
        <f aca="false">IF('🌱 Configuração'!$D$56="","",IF(2&lt;1,"",IF(2&gt;'🌱 Configuração'!$H$8,"",IF(IFERROR(MATCH('🌱 Configuração'!$H$12,{"BioBizz","Remo Nutrients","General Organics","SuperSoil","Genérico"},0),1)=1,IF(2=1,"6.2–6.5",IF(2=2,"6.2–6.5",IF(2=3,"6.2–6.5",IF(2=4,"6.2–6.5",IF(2=5,"6.2–6.5",IF(2=6,"6.2–6.5",IF(2=7,"6.2–6.5",IF(2=8,"6.2–6.5",IF(2=9,"6.2–6.5",IF(2=10,"6.2–6.5",IF(2=11,"6.2–6.5",IF(2=12,"6.2–6.5","")))))))))))),IF(IFERROR(MATCH('🌱 Configuração'!$H$12,{"BioBizz","Remo Nutrients","General Organics","SuperSoil","Genérico"},0),1)=2,IF(2=1,"6.0–6.3",IF(2=2,"6.0–6.3",IF(2=3,"6.0–6.3",IF(2=4,"6.0–6.3",IF(2=5,"6.0–6.3",IF(2=6,"6.0–6.3",IF(2=7,"6.0–6.3",IF(2=8,"6.0–6.3",IF(2=9,"6.0–6.3",IF(2=10,"6.0–6.3",IF(2=11,"6.0–6.3",IF(2=12,"6.0–6.3","")))))))))))),IF(IFERROR(MATCH('🌱 Configuração'!$H$12,{"BioBizz","Remo Nutrients","General Organics","SuperSoil","Genérico"},0),1)=3,IF(2=1,"6.2–7.0",IF(2=2,"6.2–7.0",IF(2=3,"6.2–7.0",IF(2=4,"6.2–7.0",IF(2=5,"6.2–7.0",IF(2=6,"6.2–7.0",IF(2=7,"6.2–7.0",IF(2=8,"6.2–7.0",IF(2=9,"6.2–7.0",IF(2=10,"6.2–7.0",IF(2=11,"6.2–7.0",IF(2=12,"6.2–7.0","")))))))))))),IF(IFERROR(MATCH('🌱 Configuração'!$H$12,{"BioBizz","Remo Nutrients","General Organics","SuperSoil","Genérico"},0),1)=4,IF(2=1,"auto",IF(2=2,"auto",IF(2=3,"auto",IF(2=4,"auto",IF(2=5,"auto",IF(2=6,"auto",IF(2=7,"auto",IF(2=8,"auto",IF(2=9,"auto",IF(2=10,"auto",IF(2=11,"auto",IF(2=12,"auto","")))))))))))),IF(2=1,"—",IF(2=2,"—",IF(2=3,"—",IF(2=4,"—",IF(2=5,"—",IF(2=6,"—",IF(2=7,"—",IF(2=8,"—",IF(2=9,"—",IF(2=10,"—",IF(2=11,"—",IF(2=12,"—","")))))))))))))))))))</f>
        <v>6.2–6.5</v>
      </c>
      <c r="L26" s="45" t="str">
        <f aca="false">IF('🌱 Configuração'!$D$56="","",IF(2&lt;1,"",IF(2&gt;'🌱 Configuração'!$H$8,"",IF(IFERROR(MATCH('🌱 Configuração'!$H$12,{"BioBizz","Remo Nutrients","General Organics","SuperSoil","Genérico"},0),1)=1,IF(2=1,"1.6",IF(2=2,"1.7",IF(2=3,"1.8",IF(2=4,"1.9",IF(2=5,"2.0",IF(2=6,"2.0",IF(2=7,"1.9",IF(2=8,"1.8",IF(2=9,"1.6",IF(2=10,"1.6",IF(2=11,"1.4",IF(2=12,"1.0","")))))))))))),IF(IFERROR(MATCH('🌱 Configuração'!$H$12,{"BioBizz","Remo Nutrients","General Organics","SuperSoil","Genérico"},0),1)=2,IF(2=1,"1.6",IF(2=2,"1.7",IF(2=3,"1.8",IF(2=4,"1.9",IF(2=5,"2.0",IF(2=6,"2.0",IF(2=7,"1.8",IF(2=8,"1.6",IF(2=9,"1.4",IF(2=10,"1.4",IF(2=11,"1.0",IF(2=12,"0.8","")))))))))))),IF(IFERROR(MATCH('🌱 Configuração'!$H$12,{"BioBizz","Remo Nutrients","General Organics","SuperSoil","Genérico"},0),1)=3,IF(2=1,"N/A",IF(2=2,"N/A",IF(2=3,"N/A",IF(2=4,"N/A",IF(2=5,"N/A",IF(2=6,"N/A",IF(2=7,"N/A",IF(2=8,"N/A",IF(2=9,"N/A",IF(2=10,"N/A",IF(2=11,"N/A",IF(2=12,"N/A","")))))))))))),IF(IFERROR(MATCH('🌱 Configuração'!$H$12,{"BioBizz","Remo Nutrients","General Organics","SuperSoil","Genérico"},0),1)=4,IF(2=1,"auto",IF(2=2,"auto",IF(2=3,"auto",IF(2=4,"auto",IF(2=5,"auto",IF(2=6,"auto",IF(2=7,"auto",IF(2=8,"auto",IF(2=9,"auto",IF(2=10,"auto",IF(2=11,"auto",IF(2=12,"auto","")))))))))))),IF(2=1,"—",IF(2=2,"—",IF(2=3,"—",IF(2=4,"—",IF(2=5,"—",IF(2=6,"—",IF(2=7,"—",IF(2=8,"—",IF(2=9,"—",IF(2=10,"—",IF(2=11,"—",IF(2=12,"—","")))))))))))))))))))</f>
        <v>1.7</v>
      </c>
      <c r="M26" s="55" t="str">
        <f aca="false">IF('🌱 Configuração'!$D$56="","",IF(2&lt;1,"",IF(2&gt;'🌱 Configuração'!$H$8,"",IF(IFERROR(MATCH('🌱 Configuração'!$H$12,{"BioBizz","Remo Nutrients","General Organics","SuperSoil","Genérico"},0),1)=1,IF(2=1,"Manter Bio·Grow em S1–S3 flora",IF(2=2,"Formação de pistils",IF(2=3,"Início do enchimento",IF(2=4,"Parar Bio·Grow — fase de flora plena",IF(2=5,"Pico de floração",IF(2=6,"Enchimento máximo",IF(2=7,"Amadurecimento — manter bloom alto",IF(2=8,"Pré-flush — analisar tricomas",IF(2=9,"Semana extra (sativa)",IF(2=10,"Semana extra (sativa)",IF(2=11,"Reduzir — semana final",IF(2=12,"Último adubo antes flush","")))))))))))),IF(IFERROR(MATCH('🌱 Configuração'!$H$12,{"BioBizz","Remo Nutrients","General Organics","SuperSoil","Genérico"},0),1)=2,IF(2=1,"Apenas Micro+Bloom em floração Remo",IF(2=2,"Sem Grow a partir daqui",IF(2=3,"Tabela oficial: 2.1 mL/L S1–S4",IF(2=4,"Astroflower = estimulante floração",IF(2=5,"Tabela oficial: 2.6 mL/L S5–S7",IF(2=6,"Pico de floração Remo",IF(2=7,"Tabela oficial S7",IF(2=8,"Reduzir — semana final",IF(2=9,"Semana extra — sativa",IF(2=10,"Semana extra",IF(2=11,"Reduzir para flush",IF(2=12,"Último adubo","")))))))))))),IF(IFERROR(MATCH('🌱 Configuração'!$H$12,{"BioBizz","Remo Nutrients","General Organics","SuperSoil","Genérico"},0),1)=3,IF(2=1,"BioBud = estimulante flores GO",IF(2=2,"Early Flower GO",IF(2=3,"Mid Flower GO",IF(2=4,"BioMarine = peixe fermentado GO",IF(2=5,"Pico floração GO",IF(2=6,"Late Flower GO",IF(2=7,"Reduzir CaMg+ final",IF(2=8,"Late Flower GO — pré-flush",IF(2=9,"Semana extra — reduzir dose",IF(2=10,"Semana extra GO (sativa)",IF(2=11,"Semana extra GO",IF(2=12,"Último adubo GO","")))))))))))),IF(IFERROR(MATCH('🌱 Configuração'!$H$12,{"BioBizz","Remo Nutrients","General Organics","SuperSoil","Genérico"},0),1)=4,IF(2=1,"Guano P alto = floração forte",IF(2=2,"Solo vivo em pico — não interferir",IF(2=3,"Alga = K e micronutrientes florais",IF(2=4,"Fósforo natural = buds densos",IF(2=5,"Alimentar microbioma — enchimento",IF(2=6,"Semana de pico — micro + K",IF(2=7,"Reduzir intervenções — amadurecimento",IF(2=8,"Pré-flush SuperSoil",IF(2=9,"Parar coberturas — lavar suave",IF(2=10,"Semana extra (sativa)",IF(2=11,"Semana extra",IF(2=12,"Última semana — observar tricomas","")))))))))))),IF(2=1,"Personalize suas doses",IF(2=2,"Personalize suas doses",IF(2=3,"Personalize suas doses",IF(2=4,"Personalize suas doses",IF(2=5,"Personalize suas doses",IF(2=6,"Personalize suas doses",IF(2=7,"Personalize suas doses",IF(2=8,"Personalize suas doses",IF(2=9,"Personalize suas doses",IF(2=10,"Personalize suas doses",IF(2=11,"Personalize suas doses",IF(2=12,"Personalize suas doses","")))))))))))))))))))</f>
        <v>Formação de pistils</v>
      </c>
    </row>
    <row r="27" customFormat="false" ht="21.75" hidden="false" customHeight="true" outlineLevel="0" collapsed="false">
      <c r="B27" s="26" t="str">
        <f aca="false">IF(3&lt;='🌱 Configuração'!$H$8,"S3","—")</f>
        <v>S3</v>
      </c>
      <c r="C27" s="41" t="n">
        <f aca="false">IF(3&lt;='🌱 Configuração'!$H$8,'🌱 Configuração'!$D$56+14,"")</f>
        <v>70</v>
      </c>
      <c r="D27" s="42" t="str">
        <f aca="false">IF('🌱 Configuração'!$D$56="","",IF(3&lt;1,"",IF(3&gt;'🌱 Configuração'!$H$8,"",IF(IFERROR(MATCH('🌱 Configuração'!$H$12,{"BioBizz","Remo Nutrients","General Organics","SuperSoil","Genérico"},0),1)=1,IF(3=1,"Bio·Grow",IF(3=2,"Bio·Grow",IF(3=3,"Bio·Grow",IF(3=4,"—",IF(3=5,"—",IF(3=6,"—",IF(3=7,"—",IF(3=8,"—",IF(3=9,"—",IF(3=10,"—",IF(3=11,"—",IF(3=12,"—","")))))))))))),IF(IFERROR(MATCH('🌱 Configuração'!$H$12,{"BioBizz","Remo Nutrients","General Organics","SuperSoil","Genérico"},0),1)=2,IF(3=1,"Micro",IF(3=2,"Micro",IF(3=3,"Micro",IF(3=4,"Micro",IF(3=5,"Micro",IF(3=6,"Micro",IF(3=7,"Micro",IF(3=8,"Micro",IF(3=9,"Micro",IF(3=10,"Micro",IF(3=11,"Micro",IF(3=12,"Micro","")))))))))))),IF(IFERROR(MATCH('🌱 Configuração'!$H$12,{"BioBizz","Remo Nutrients","General Organics","SuperSoil","Genérico"},0),1)=3,IF(3=1,"BioThrive B",IF(3=2,"BioThrive B",IF(3=3,"BioThrive B",IF(3=4,"BioThrive B",IF(3=5,"BioThrive B",IF(3=6,"BioThrive B",IF(3=7,"BioThrive B",IF(3=8,"BioThrive B",IF(3=9,"BioThrive B",IF(3=10,"BioThrive B",IF(3=11,"BioThrive B",IF(3=12,"BioThrive B","")))))))))))),IF(IFERROR(MATCH('🌱 Configuração'!$H$12,{"BioBizz","Remo Nutrients","General Organics","SuperSoil","Genérico"},0),1)=4,IF(3=1,"Cobertura: guano de morcego",IF(3=2,"Chá de compostagem",IF(3=3,"Cobertura: farinha de alga",IF(3=4,"Cobertura: guano de morcego",IF(3=5,"Molasses 2 mL/L",IF(3=6,"Cobertura: farinha de alga",IF(3=7,"Chá de compostagem",IF(3=8,"Molasses 2 mL/L",IF(3=9,"Água pura",IF(3=10,"Água pura",IF(3=11,"Água pura",IF(3=12,"Água pura","")))))))))))),IF(3=1,"← Preencha",IF(3=2,"← Preencha",IF(3=3,"← Preencha",IF(3=4,"← Preencha",IF(3=5,"← Preencha",IF(3=6,"← Preencha",IF(3=7,"← Preencha",IF(3=8,"← Preencha",IF(3=9,"← Preencha",IF(3=10,"← Preencha",IF(3=11,"← Preencha",IF(3=12,"← Preencha","")))))))))))))))))))</f>
        <v>Bio·Grow</v>
      </c>
      <c r="E27" s="43" t="str">
        <f aca="false">IF('🌱 Configuração'!$D$56="","",IF(3&lt;1,"",IF(3&gt;'🌱 Configuração'!$H$8,"",IF(IFERROR(MATCH('🌱 Configuração'!$H$12,{"BioBizz","Remo Nutrients","General Organics","SuperSoil","Genérico"},0),1)=1,IF(3=1,"1 mL/L",IF(3=2,"1 mL/L",IF(3=3,"1 mL/L",IF(3=4,"—",IF(3=5,"—",IF(3=6,"—",IF(3=7,"—",IF(3=8,"—",IF(3=9,"—",IF(3=10,"—",IF(3=11,"—",IF(3=12,"—","")))))))))))),IF(IFERROR(MATCH('🌱 Configuração'!$H$12,{"BioBizz","Remo Nutrients","General Organics","SuperSoil","Genérico"},0),1)=2,IF(3=1,"2.1 mL/L",IF(3=2,"2.1 mL/L",IF(3=3,"2.1 mL/L",IF(3=4,"2.1 mL/L",IF(3=5,"2.6 mL/L",IF(3=6,"2.6 mL/L",IF(3=7,"2.6 mL/L",IF(3=8,"2.1 mL/L",IF(3=9,"2.1 mL/L",IF(3=10,"2.1 mL/L",IF(3=11,"1.5 mL/L",IF(3=12,"1.0 mL/L","")))))))))))),IF(IFERROR(MATCH('🌱 Configuração'!$H$12,{"BioBizz","Remo Nutrients","General Organics","SuperSoil","Genérico"},0),1)=3,IF(3=1,"2.6 mL/L",IF(3=2,"2.6 mL/L",IF(3=3,"2.6 mL/L",IF(3=4,"2.6 mL/L",IF(3=5,"2.6 mL/L",IF(3=6,"2.6 mL/L",IF(3=7,"2.6 mL/L",IF(3=8,"2.6 mL/L",IF(3=9,"1.3 mL/L",IF(3=10,"1.3 mL/L",IF(3=11,"1.3 mL/L",IF(3=12,"1.3 mL/L","")))))))))))),IF(IFERROR(MATCH('🌱 Configuração'!$H$12,{"BioBizz","Remo Nutrients","General Organics","SuperSoil","Genérico"},0),1)=4,IF(3=1,"5g/L solo",IF(3=2,"2L/planta",IF(3=3,"5g/L solo",IF(3=4,"5g/L solo",IF(3=5,"—",IF(3=6,"5g/L solo",IF(3=7,"2L/planta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1 mL/L</v>
      </c>
      <c r="F27" s="42" t="str">
        <f aca="false">IF('🌱 Configuração'!$D$56="","",IF(3&lt;1,"",IF(3&gt;'🌱 Configuração'!$H$8,"",IF(IFERROR(MATCH('🌱 Configuração'!$H$12,{"BioBizz","Remo Nutrients","General Organics","SuperSoil","Genérico"},0),1)=1,IF(3=1,"Bio·Bloom",IF(3=2,"Bio·Bloom",IF(3=3,"Bio·Bloom",IF(3=4,"Bio·Bloom",IF(3=5,"Bio·Bloom",IF(3=6,"Bio·Bloom",IF(3=7,"Bio·Bloom",IF(3=8,"Bio·Bloom",IF(3=9,"Bio·Bloom",IF(3=10,"Bio·Bloom",IF(3=11,"Bio·Bloom",IF(3=12,"Bio·Bloom","")))))))))))),IF(IFERROR(MATCH('🌱 Configuração'!$H$12,{"BioBizz","Remo Nutrients","General Organics","SuperSoil","Genérico"},0),1)=2,IF(3=1,"Bloom",IF(3=2,"Bloom",IF(3=3,"Bloom",IF(3=4,"Bloom",IF(3=5,"Bloom",IF(3=6,"Bloom",IF(3=7,"Bloom",IF(3=8,"Bloom",IF(3=9,"Bloom",IF(3=10,"Bloom",IF(3=11,"Bloom",IF(3=12,"Bloom","")))))))))))),IF(IFERROR(MATCH('🌱 Configuração'!$H$12,{"BioBizz","Remo Nutrients","General Organics","SuperSoil","Genérico"},0),1)=3,IF(3=1,"BioBud",IF(3=2,"BioBud",IF(3=3,"BioBud",IF(3=4,"BioBud",IF(3=5,"BioBud",IF(3=6,"BioBud",IF(3=7,"BioBud",IF(3=8,"—",IF(3=9,"—",IF(3=10,"—",IF(3=11,"—",IF(3=12,"—","")))))))))))),IF(IFERROR(MATCH('🌱 Configuração'!$H$12,{"BioBizz","Remo Nutrients","General Organics","SuperSoil","Genérico"},0),1)=4,IF(3=1,"Molasses 2 mL/L",IF(3=2,"—",IF(3=3,"—",IF(3=4,"Cobertura: fosfato natural",IF(3=5,"—",IF(3=6,"Molasses 2 mL/L",IF(3=7,"—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Bio·Bloom</v>
      </c>
      <c r="G27" s="43" t="str">
        <f aca="false">IF('🌱 Configuração'!$D$56="","",IF(3&lt;1,"",IF(3&gt;'🌱 Configuração'!$H$8,"",IF(IFERROR(MATCH('🌱 Configuração'!$H$12,{"BioBizz","Remo Nutrients","General Organics","SuperSoil","Genérico"},0),1)=1,IF(3=1,"1 mL/L",IF(3=2,"2 mL/L",IF(3=3,"3 mL/L",IF(3=4,"3 mL/L",IF(3=5,"4 mL/L",IF(3=6,"4 mL/L",IF(3=7,"4 mL/L",IF(3=8,"4 mL/L",IF(3=9,"4 mL/L",IF(3=10,"4 mL/L",IF(3=11,"4 mL/L",IF(3=12,"2 mL/L","")))))))))))),IF(IFERROR(MATCH('🌱 Configuração'!$H$12,{"BioBizz","Remo Nutrients","General Organics","SuperSoil","Genérico"},0),1)=2,IF(3=1,"2.1 mL/L",IF(3=2,"2.1 mL/L",IF(3=3,"2.1 mL/L",IF(3=4,"2.1 mL/L",IF(3=5,"2.6 mL/L",IF(3=6,"2.6 mL/L",IF(3=7,"2.6 mL/L",IF(3=8,"2.1 mL/L",IF(3=9,"2.1 mL/L",IF(3=10,"2.1 mL/L",IF(3=11,"1.5 mL/L",IF(3=12,"1.0 mL/L","")))))))))))),IF(IFERROR(MATCH('🌱 Configuração'!$H$12,{"BioBizz","Remo Nutrients","General Organics","SuperSoil","Genérico"},0),1)=3,IF(3=1,"0.7 mL/L",IF(3=2,"0.7 mL/L",IF(3=3,"0.7 mL/L",IF(3=4,"0.7 mL/L",IF(3=5,"0.7 mL/L",IF(3=6,"0.7 mL/L",IF(3=7,"0.7 mL/L",IF(3=8,"—",IF(3=9,"—",IF(3=10,"—",IF(3=11,"—",IF(3=12,"—","")))))))))))),IF(IFERROR(MATCH('🌱 Configuração'!$H$12,{"BioBizz","Remo Nutrients","General Organics","SuperSoil","Genérico"},0),1)=4,IF(3=1,"—",IF(3=2,"—",IF(3=3,"—",IF(3=4,"5g/L",IF(3=5,"—",IF(3=6,"—",IF(3=7,"—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3 mL/L</v>
      </c>
      <c r="H27" s="42" t="str">
        <f aca="false">IF('🌱 Configuração'!$D$56="","",IF(3&lt;1,"",IF(3&gt;'🌱 Configuração'!$H$8,"",IF(IFERROR(MATCH('🌱 Configuração'!$H$12,{"BioBizz","Remo Nutrients","General Organics","SuperSoil","Genérico"},0),1)=1,IF(3=1,"Top·Max",IF(3=2,"Top·Max",IF(3=3,"Top·Max",IF(3=4,"Top·Max",IF(3=5,"Top·Max",IF(3=6,"Top·Max",IF(3=7,"Top·Max",IF(3=8,"Top·Max",IF(3=9,"Top·Max",IF(3=10,"Top·Max",IF(3=11,"Top·Max",IF(3=12,"Top·Max","")))))))))))),IF(IFERROR(MATCH('🌱 Configuração'!$H$12,{"BioBizz","Remo Nutrients","General Organics","SuperSoil","Genérico"},0),1)=2,IF(3=1,"—",IF(3=2,"—",IF(3=3,"—",IF(3=4,"Astroflower",IF(3=5,"Astroflower",IF(3=6,"Astroflower",IF(3=7,"Astroflower",IF(3=8,"—",IF(3=9,"—",IF(3=10,"—",IF(3=11,"—",IF(3=12,"—","")))))))))))),IF(IFERROR(MATCH('🌱 Configuração'!$H$12,{"BioBizz","Remo Nutrients","General Organics","SuperSoil","Genérico"},0),1)=3,IF(3=1,"CaMg+",IF(3=2,"CaMg+",IF(3=3,"CaMg+",IF(3=4,"CaMg+",IF(3=5,"CaMg+",IF(3=6,"CaMg+",IF(3=7,"—",IF(3=8,"—",IF(3=9,"—",IF(3=10,"—",IF(3=11,"—",IF(3=12,"—","")))))))))))),IF(IFERROR(MATCH('🌱 Configuração'!$H$12,{"BioBizz","Remo Nutrients","General Organics","SuperSoil","Genérico"},0),1)=4,IF(3=1,"—",IF(3=2,"—",IF(3=3,"—",IF(3=4,"—",IF(3=5,"—",IF(3=6,"—",IF(3=7,"—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Top·Max</v>
      </c>
      <c r="I27" s="43" t="str">
        <f aca="false">IF('🌱 Configuração'!$D$56="","",IF(3&lt;1,"",IF(3&gt;'🌱 Configuração'!$H$8,"",IF(IFERROR(MATCH('🌱 Configuração'!$H$12,{"BioBizz","Remo Nutrients","General Organics","SuperSoil","Genérico"},0),1)=1,IF(3=1,"1 mL/L",IF(3=2,"1 mL/L",IF(3=3,"2 mL/L",IF(3=4,"2 mL/L",IF(3=5,"3 mL/L",IF(3=6,"3 mL/L",IF(3=7,"4 mL/L",IF(3=8,"4 mL/L",IF(3=9,"4 mL/L",IF(3=10,"4 mL/L",IF(3=11,"4 mL/L",IF(3=12,"2 mL/L","")))))))))))),IF(IFERROR(MATCH('🌱 Configuração'!$H$12,{"BioBizz","Remo Nutrients","General Organics","SuperSoil","Genérico"},0),1)=2,IF(3=1,"—",IF(3=2,"—",IF(3=3,"—",IF(3=4,"1.0 mL/L",IF(3=5,"2.0 mL/L",IF(3=6,"2.0 mL/L",IF(3=7,"1.0 mL/L",IF(3=8,"—",IF(3=9,"—",IF(3=10,"—",IF(3=11,"—",IF(3=12,"—","")))))))))))),IF(IFERROR(MATCH('🌱 Configuração'!$H$12,{"BioBizz","Remo Nutrients","General Organics","SuperSoil","Genérico"},0),1)=3,IF(3=1,"1.3 mL/L",IF(3=2,"1.3 mL/L",IF(3=3,"1.3 mL/L",IF(3=4,"1.3 mL/L",IF(3=5,"1.3 mL/L",IF(3=6,"0.7 mL/L",IF(3=7,"—",IF(3=8,"—",IF(3=9,"—",IF(3=10,"—",IF(3=11,"—",IF(3=12,"—","")))))))))))),IF(IFERROR(MATCH('🌱 Configuração'!$H$12,{"BioBizz","Remo Nutrients","General Organics","SuperSoil","Genérico"},0),1)=4,IF(3=1,"—",IF(3=2,"—",IF(3=3,"—",IF(3=4,"—",IF(3=5,"—",IF(3=6,"—",IF(3=7,"—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2 mL/L</v>
      </c>
      <c r="J27" s="42" t="str">
        <f aca="false">IF('🌱 Configuração'!$D$56="","",IF(3&lt;1,"",IF(3&gt;'🌱 Configuração'!$H$8,"",IF(IFERROR(MATCH('🌱 Configuração'!$H$12,{"BioBizz","Remo Nutrients","General Organics","SuperSoil","Genérico"},0),1)=1,IF(3=1,"Alg·A·Mic 1mL",IF(3=2,"—",IF(3=3,"—",IF(3=4,"—",IF(3=5,"—",IF(3=6,"Alg·A·Mic 1mL",IF(3=7,"—",IF(3=8,"—",IF(3=9,"—",IF(3=10,"—",IF(3=11,"—",IF(3=12,"—","")))))))))))),IF(IFERROR(MATCH('🌱 Configuração'!$H$12,{"BioBizz","Remo Nutrients","General Organics","SuperSoil","Genérico"},0),1)=2,IF(3=1,"Magnifical 1.0",IF(3=2,"Magnifical 1.0",IF(3=3,"Magnifical 1.0",IF(3=4,"Magnifical 1.0",IF(3=5,"Kelp 1.0 mL",IF(3=6,"Kelp 1.0 mL",IF(3=7,"—",IF(3=8,"—",IF(3=9,"—",IF(3=10,"—",IF(3=11,"—",IF(3=12,"—","")))))))))))),IF(IFERROR(MATCH('🌱 Configuração'!$H$12,{"BioBizz","Remo Nutrients","General Organics","SuperSoil","Genérico"},0),1)=3,IF(3=1,"BioWeed 0.7",IF(3=2,"—",IF(3=3,"—",IF(3=4,"BioMarine 0.7",IF(3=5,"BioMarine 0.7",IF(3=6,"—",IF(3=7,"—",IF(3=8,"—",IF(3=9,"—",IF(3=10,"—",IF(3=11,"—",IF(3=12,"—","")))))))))))),IF(IFERROR(MATCH('🌱 Configuração'!$H$12,{"BioBizz","Remo Nutrients","General Organics","SuperSoil","Genérico"},0),1)=4,IF(3=1,"Chá",IF(3=2,"—",IF(3=3,"Molasses 2mL",IF(3=4,"—",IF(3=5,"Chá",IF(3=6,"—",IF(3=7,"—",IF(3=8,"—",IF(3=9,"—",IF(3=10,"—",IF(3=11,"—",IF(3=12,"—","")))))))))))),IF(3=1,"—",IF(3=2,"—",IF(3=3,"—",IF(3=4,"—",IF(3=5,"—",IF(3=6,"—",IF(3=7,"—",IF(3=8,"—",IF(3=9,"—",IF(3=10,"—",IF(3=11,"—",IF(3=12,"—","")))))))))))))))))))</f>
        <v>—</v>
      </c>
      <c r="K27" s="44" t="str">
        <f aca="false">IF('🌱 Configuração'!$D$56="","",IF(3&lt;1,"",IF(3&gt;'🌱 Configuração'!$H$8,"",IF(IFERROR(MATCH('🌱 Configuração'!$H$12,{"BioBizz","Remo Nutrients","General Organics","SuperSoil","Genérico"},0),1)=1,IF(3=1,"6.2–6.5",IF(3=2,"6.2–6.5",IF(3=3,"6.2–6.5",IF(3=4,"6.2–6.5",IF(3=5,"6.2–6.5",IF(3=6,"6.2–6.5",IF(3=7,"6.2–6.5",IF(3=8,"6.2–6.5",IF(3=9,"6.2–6.5",IF(3=10,"6.2–6.5",IF(3=11,"6.2–6.5",IF(3=12,"6.2–6.5","")))))))))))),IF(IFERROR(MATCH('🌱 Configuração'!$H$12,{"BioBizz","Remo Nutrients","General Organics","SuperSoil","Genérico"},0),1)=2,IF(3=1,"6.0–6.3",IF(3=2,"6.0–6.3",IF(3=3,"6.0–6.3",IF(3=4,"6.0–6.3",IF(3=5,"6.0–6.3",IF(3=6,"6.0–6.3",IF(3=7,"6.0–6.3",IF(3=8,"6.0–6.3",IF(3=9,"6.0–6.3",IF(3=10,"6.0–6.3",IF(3=11,"6.0–6.3",IF(3=12,"6.0–6.3","")))))))))))),IF(IFERROR(MATCH('🌱 Configuração'!$H$12,{"BioBizz","Remo Nutrients","General Organics","SuperSoil","Genérico"},0),1)=3,IF(3=1,"6.2–7.0",IF(3=2,"6.2–7.0",IF(3=3,"6.2–7.0",IF(3=4,"6.2–7.0",IF(3=5,"6.2–7.0",IF(3=6,"6.2–7.0",IF(3=7,"6.2–7.0",IF(3=8,"6.2–7.0",IF(3=9,"6.2–7.0",IF(3=10,"6.2–7.0",IF(3=11,"6.2–7.0",IF(3=12,"6.2–7.0","")))))))))))),IF(IFERROR(MATCH('🌱 Configuração'!$H$12,{"BioBizz","Remo Nutrients","General Organics","SuperSoil","Genérico"},0),1)=4,IF(3=1,"auto",IF(3=2,"auto",IF(3=3,"auto",IF(3=4,"auto",IF(3=5,"auto",IF(3=6,"auto",IF(3=7,"auto",IF(3=8,"auto",IF(3=9,"auto",IF(3=10,"auto",IF(3=11,"auto",IF(3=12,"auto","")))))))))))),IF(3=1,"—",IF(3=2,"—",IF(3=3,"—",IF(3=4,"—",IF(3=5,"—",IF(3=6,"—",IF(3=7,"—",IF(3=8,"—",IF(3=9,"—",IF(3=10,"—",IF(3=11,"—",IF(3=12,"—","")))))))))))))))))))</f>
        <v>6.2–6.5</v>
      </c>
      <c r="L27" s="45" t="str">
        <f aca="false">IF('🌱 Configuração'!$D$56="","",IF(3&lt;1,"",IF(3&gt;'🌱 Configuração'!$H$8,"",IF(IFERROR(MATCH('🌱 Configuração'!$H$12,{"BioBizz","Remo Nutrients","General Organics","SuperSoil","Genérico"},0),1)=1,IF(3=1,"1.6",IF(3=2,"1.7",IF(3=3,"1.8",IF(3=4,"1.9",IF(3=5,"2.0",IF(3=6,"2.0",IF(3=7,"1.9",IF(3=8,"1.8",IF(3=9,"1.6",IF(3=10,"1.6",IF(3=11,"1.4",IF(3=12,"1.0","")))))))))))),IF(IFERROR(MATCH('🌱 Configuração'!$H$12,{"BioBizz","Remo Nutrients","General Organics","SuperSoil","Genérico"},0),1)=2,IF(3=1,"1.6",IF(3=2,"1.7",IF(3=3,"1.8",IF(3=4,"1.9",IF(3=5,"2.0",IF(3=6,"2.0",IF(3=7,"1.8",IF(3=8,"1.6",IF(3=9,"1.4",IF(3=10,"1.4",IF(3=11,"1.0",IF(3=12,"0.8","")))))))))))),IF(IFERROR(MATCH('🌱 Configuração'!$H$12,{"BioBizz","Remo Nutrients","General Organics","SuperSoil","Genérico"},0),1)=3,IF(3=1,"N/A",IF(3=2,"N/A",IF(3=3,"N/A",IF(3=4,"N/A",IF(3=5,"N/A",IF(3=6,"N/A",IF(3=7,"N/A",IF(3=8,"N/A",IF(3=9,"N/A",IF(3=10,"N/A",IF(3=11,"N/A",IF(3=12,"N/A","")))))))))))),IF(IFERROR(MATCH('🌱 Configuração'!$H$12,{"BioBizz","Remo Nutrients","General Organics","SuperSoil","Genérico"},0),1)=4,IF(3=1,"auto",IF(3=2,"auto",IF(3=3,"auto",IF(3=4,"auto",IF(3=5,"auto",IF(3=6,"auto",IF(3=7,"auto",IF(3=8,"auto",IF(3=9,"auto",IF(3=10,"auto",IF(3=11,"auto",IF(3=12,"auto","")))))))))))),IF(3=1,"—",IF(3=2,"—",IF(3=3,"—",IF(3=4,"—",IF(3=5,"—",IF(3=6,"—",IF(3=7,"—",IF(3=8,"—",IF(3=9,"—",IF(3=10,"—",IF(3=11,"—",IF(3=12,"—","")))))))))))))))))))</f>
        <v>1.8</v>
      </c>
      <c r="M27" s="42" t="str">
        <f aca="false">IF('🌱 Configuração'!$D$56="","",IF(3&lt;1,"",IF(3&gt;'🌱 Configuração'!$H$8,"",IF(IFERROR(MATCH('🌱 Configuração'!$H$12,{"BioBizz","Remo Nutrients","General Organics","SuperSoil","Genérico"},0),1)=1,IF(3=1,"Manter Bio·Grow em S1–S3 flora",IF(3=2,"Formação de pistils",IF(3=3,"Início do enchimento",IF(3=4,"Parar Bio·Grow — fase de flora plena",IF(3=5,"Pico de floração",IF(3=6,"Enchimento máximo",IF(3=7,"Amadurecimento — manter bloom alto",IF(3=8,"Pré-flush — analisar tricomas",IF(3=9,"Semana extra (sativa)",IF(3=10,"Semana extra (sativa)",IF(3=11,"Reduzir — semana final",IF(3=12,"Último adubo antes flush","")))))))))))),IF(IFERROR(MATCH('🌱 Configuração'!$H$12,{"BioBizz","Remo Nutrients","General Organics","SuperSoil","Genérico"},0),1)=2,IF(3=1,"Apenas Micro+Bloom em floração Remo",IF(3=2,"Sem Grow a partir daqui",IF(3=3,"Tabela oficial: 2.1 mL/L S1–S4",IF(3=4,"Astroflower = estimulante floração",IF(3=5,"Tabela oficial: 2.6 mL/L S5–S7",IF(3=6,"Pico de floração Remo",IF(3=7,"Tabela oficial S7",IF(3=8,"Reduzir — semana final",IF(3=9,"Semana extra — sativa",IF(3=10,"Semana extra",IF(3=11,"Reduzir para flush",IF(3=12,"Último adubo","")))))))))))),IF(IFERROR(MATCH('🌱 Configuração'!$H$12,{"BioBizz","Remo Nutrients","General Organics","SuperSoil","Genérico"},0),1)=3,IF(3=1,"BioBud = estimulante flores GO",IF(3=2,"Early Flower GO",IF(3=3,"Mid Flower GO",IF(3=4,"BioMarine = peixe fermentado GO",IF(3=5,"Pico floração GO",IF(3=6,"Late Flower GO",IF(3=7,"Reduzir CaMg+ final",IF(3=8,"Late Flower GO — pré-flush",IF(3=9,"Semana extra — reduzir dose",IF(3=10,"Semana extra GO (sativa)",IF(3=11,"Semana extra GO",IF(3=12,"Último adubo GO","")))))))))))),IF(IFERROR(MATCH('🌱 Configuração'!$H$12,{"BioBizz","Remo Nutrients","General Organics","SuperSoil","Genérico"},0),1)=4,IF(3=1,"Guano P alto = floração forte",IF(3=2,"Solo vivo em pico — não interferir",IF(3=3,"Alga = K e micronutrientes florais",IF(3=4,"Fósforo natural = buds densos",IF(3=5,"Alimentar microbioma — enchimento",IF(3=6,"Semana de pico — micro + K",IF(3=7,"Reduzir intervenções — amadurecimento",IF(3=8,"Pré-flush SuperSoil",IF(3=9,"Parar coberturas — lavar suave",IF(3=10,"Semana extra (sativa)",IF(3=11,"Semana extra",IF(3=12,"Última semana — observar tricomas","")))))))))))),IF(3=1,"Personalize suas doses",IF(3=2,"Personalize suas doses",IF(3=3,"Personalize suas doses",IF(3=4,"Personalize suas doses",IF(3=5,"Personalize suas doses",IF(3=6,"Personalize suas doses",IF(3=7,"Personalize suas doses",IF(3=8,"Personalize suas doses",IF(3=9,"Personalize suas doses",IF(3=10,"Personalize suas doses",IF(3=11,"Personalize suas doses",IF(3=12,"Personalize suas doses","")))))))))))))))))))</f>
        <v>Início do enchimento</v>
      </c>
    </row>
    <row r="28" customFormat="false" ht="21.75" hidden="false" customHeight="true" outlineLevel="0" collapsed="false">
      <c r="B28" s="26" t="str">
        <f aca="false">IF(4&lt;='🌱 Configuração'!$H$8,"S4","—")</f>
        <v>S4</v>
      </c>
      <c r="C28" s="54" t="n">
        <f aca="false">IF(4&lt;='🌱 Configuração'!$H$8,'🌱 Configuração'!$D$56+21,"")</f>
        <v>77</v>
      </c>
      <c r="D28" s="55" t="str">
        <f aca="false">IF('🌱 Configuração'!$D$56="","",IF(4&lt;1,"",IF(4&gt;'🌱 Configuração'!$H$8,"",IF(IFERROR(MATCH('🌱 Configuração'!$H$12,{"BioBizz","Remo Nutrients","General Organics","SuperSoil","Genérico"},0),1)=1,IF(4=1,"Bio·Grow",IF(4=2,"Bio·Grow",IF(4=3,"Bio·Grow",IF(4=4,"—",IF(4=5,"—",IF(4=6,"—",IF(4=7,"—",IF(4=8,"—",IF(4=9,"—",IF(4=10,"—",IF(4=11,"—",IF(4=12,"—","")))))))))))),IF(IFERROR(MATCH('🌱 Configuração'!$H$12,{"BioBizz","Remo Nutrients","General Organics","SuperSoil","Genérico"},0),1)=2,IF(4=1,"Micro",IF(4=2,"Micro",IF(4=3,"Micro",IF(4=4,"Micro",IF(4=5,"Micro",IF(4=6,"Micro",IF(4=7,"Micro",IF(4=8,"Micro",IF(4=9,"Micro",IF(4=10,"Micro",IF(4=11,"Micro",IF(4=12,"Micro","")))))))))))),IF(IFERROR(MATCH('🌱 Configuração'!$H$12,{"BioBizz","Remo Nutrients","General Organics","SuperSoil","Genérico"},0),1)=3,IF(4=1,"BioThrive B",IF(4=2,"BioThrive B",IF(4=3,"BioThrive B",IF(4=4,"BioThrive B",IF(4=5,"BioThrive B",IF(4=6,"BioThrive B",IF(4=7,"BioThrive B",IF(4=8,"BioThrive B",IF(4=9,"BioThrive B",IF(4=10,"BioThrive B",IF(4=11,"BioThrive B",IF(4=12,"BioThrive B","")))))))))))),IF(IFERROR(MATCH('🌱 Configuração'!$H$12,{"BioBizz","Remo Nutrients","General Organics","SuperSoil","Genérico"},0),1)=4,IF(4=1,"Cobertura: guano de morcego",IF(4=2,"Chá de compostagem",IF(4=3,"Cobertura: farinha de alga",IF(4=4,"Cobertura: guano de morcego",IF(4=5,"Molasses 2 mL/L",IF(4=6,"Cobertura: farinha de alga",IF(4=7,"Chá de compostagem",IF(4=8,"Molasses 2 mL/L",IF(4=9,"Água pura",IF(4=10,"Água pura",IF(4=11,"Água pura",IF(4=12,"Água pura","")))))))))))),IF(4=1,"← Preencha",IF(4=2,"← Preencha",IF(4=3,"← Preencha",IF(4=4,"← Preencha",IF(4=5,"← Preencha",IF(4=6,"← Preencha",IF(4=7,"← Preencha",IF(4=8,"← Preencha",IF(4=9,"← Preencha",IF(4=10,"← Preencha",IF(4=11,"← Preencha",IF(4=12,"← Preencha","")))))))))))))))))))</f>
        <v>—</v>
      </c>
      <c r="E28" s="56" t="str">
        <f aca="false">IF('🌱 Configuração'!$D$56="","",IF(4&lt;1,"",IF(4&gt;'🌱 Configuração'!$H$8,"",IF(IFERROR(MATCH('🌱 Configuração'!$H$12,{"BioBizz","Remo Nutrients","General Organics","SuperSoil","Genérico"},0),1)=1,IF(4=1,"1 mL/L",IF(4=2,"1 mL/L",IF(4=3,"1 mL/L",IF(4=4,"—",IF(4=5,"—",IF(4=6,"—",IF(4=7,"—",IF(4=8,"—",IF(4=9,"—",IF(4=10,"—",IF(4=11,"—",IF(4=12,"—","")))))))))))),IF(IFERROR(MATCH('🌱 Configuração'!$H$12,{"BioBizz","Remo Nutrients","General Organics","SuperSoil","Genérico"},0),1)=2,IF(4=1,"2.1 mL/L",IF(4=2,"2.1 mL/L",IF(4=3,"2.1 mL/L",IF(4=4,"2.1 mL/L",IF(4=5,"2.6 mL/L",IF(4=6,"2.6 mL/L",IF(4=7,"2.6 mL/L",IF(4=8,"2.1 mL/L",IF(4=9,"2.1 mL/L",IF(4=10,"2.1 mL/L",IF(4=11,"1.5 mL/L",IF(4=12,"1.0 mL/L","")))))))))))),IF(IFERROR(MATCH('🌱 Configuração'!$H$12,{"BioBizz","Remo Nutrients","General Organics","SuperSoil","Genérico"},0),1)=3,IF(4=1,"2.6 mL/L",IF(4=2,"2.6 mL/L",IF(4=3,"2.6 mL/L",IF(4=4,"2.6 mL/L",IF(4=5,"2.6 mL/L",IF(4=6,"2.6 mL/L",IF(4=7,"2.6 mL/L",IF(4=8,"2.6 mL/L",IF(4=9,"1.3 mL/L",IF(4=10,"1.3 mL/L",IF(4=11,"1.3 mL/L",IF(4=12,"1.3 mL/L","")))))))))))),IF(IFERROR(MATCH('🌱 Configuração'!$H$12,{"BioBizz","Remo Nutrients","General Organics","SuperSoil","Genérico"},0),1)=4,IF(4=1,"5g/L solo",IF(4=2,"2L/planta",IF(4=3,"5g/L solo",IF(4=4,"5g/L solo",IF(4=5,"—",IF(4=6,"5g/L solo",IF(4=7,"2L/planta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—</v>
      </c>
      <c r="F28" s="55" t="str">
        <f aca="false">IF('🌱 Configuração'!$D$56="","",IF(4&lt;1,"",IF(4&gt;'🌱 Configuração'!$H$8,"",IF(IFERROR(MATCH('🌱 Configuração'!$H$12,{"BioBizz","Remo Nutrients","General Organics","SuperSoil","Genérico"},0),1)=1,IF(4=1,"Bio·Bloom",IF(4=2,"Bio·Bloom",IF(4=3,"Bio·Bloom",IF(4=4,"Bio·Bloom",IF(4=5,"Bio·Bloom",IF(4=6,"Bio·Bloom",IF(4=7,"Bio·Bloom",IF(4=8,"Bio·Bloom",IF(4=9,"Bio·Bloom",IF(4=10,"Bio·Bloom",IF(4=11,"Bio·Bloom",IF(4=12,"Bio·Bloom","")))))))))))),IF(IFERROR(MATCH('🌱 Configuração'!$H$12,{"BioBizz","Remo Nutrients","General Organics","SuperSoil","Genérico"},0),1)=2,IF(4=1,"Bloom",IF(4=2,"Bloom",IF(4=3,"Bloom",IF(4=4,"Bloom",IF(4=5,"Bloom",IF(4=6,"Bloom",IF(4=7,"Bloom",IF(4=8,"Bloom",IF(4=9,"Bloom",IF(4=10,"Bloom",IF(4=11,"Bloom",IF(4=12,"Bloom","")))))))))))),IF(IFERROR(MATCH('🌱 Configuração'!$H$12,{"BioBizz","Remo Nutrients","General Organics","SuperSoil","Genérico"},0),1)=3,IF(4=1,"BioBud",IF(4=2,"BioBud",IF(4=3,"BioBud",IF(4=4,"BioBud",IF(4=5,"BioBud",IF(4=6,"BioBud",IF(4=7,"BioBud",IF(4=8,"—",IF(4=9,"—",IF(4=10,"—",IF(4=11,"—",IF(4=12,"—","")))))))))))),IF(IFERROR(MATCH('🌱 Configuração'!$H$12,{"BioBizz","Remo Nutrients","General Organics","SuperSoil","Genérico"},0),1)=4,IF(4=1,"Molasses 2 mL/L",IF(4=2,"—",IF(4=3,"—",IF(4=4,"Cobertura: fosfato natural",IF(4=5,"—",IF(4=6,"Molasses 2 mL/L",IF(4=7,"—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Bio·Bloom</v>
      </c>
      <c r="G28" s="56" t="str">
        <f aca="false">IF('🌱 Configuração'!$D$56="","",IF(4&lt;1,"",IF(4&gt;'🌱 Configuração'!$H$8,"",IF(IFERROR(MATCH('🌱 Configuração'!$H$12,{"BioBizz","Remo Nutrients","General Organics","SuperSoil","Genérico"},0),1)=1,IF(4=1,"1 mL/L",IF(4=2,"2 mL/L",IF(4=3,"3 mL/L",IF(4=4,"3 mL/L",IF(4=5,"4 mL/L",IF(4=6,"4 mL/L",IF(4=7,"4 mL/L",IF(4=8,"4 mL/L",IF(4=9,"4 mL/L",IF(4=10,"4 mL/L",IF(4=11,"4 mL/L",IF(4=12,"2 mL/L","")))))))))))),IF(IFERROR(MATCH('🌱 Configuração'!$H$12,{"BioBizz","Remo Nutrients","General Organics","SuperSoil","Genérico"},0),1)=2,IF(4=1,"2.1 mL/L",IF(4=2,"2.1 mL/L",IF(4=3,"2.1 mL/L",IF(4=4,"2.1 mL/L",IF(4=5,"2.6 mL/L",IF(4=6,"2.6 mL/L",IF(4=7,"2.6 mL/L",IF(4=8,"2.1 mL/L",IF(4=9,"2.1 mL/L",IF(4=10,"2.1 mL/L",IF(4=11,"1.5 mL/L",IF(4=12,"1.0 mL/L","")))))))))))),IF(IFERROR(MATCH('🌱 Configuração'!$H$12,{"BioBizz","Remo Nutrients","General Organics","SuperSoil","Genérico"},0),1)=3,IF(4=1,"0.7 mL/L",IF(4=2,"0.7 mL/L",IF(4=3,"0.7 mL/L",IF(4=4,"0.7 mL/L",IF(4=5,"0.7 mL/L",IF(4=6,"0.7 mL/L",IF(4=7,"0.7 mL/L",IF(4=8,"—",IF(4=9,"—",IF(4=10,"—",IF(4=11,"—",IF(4=12,"—","")))))))))))),IF(IFERROR(MATCH('🌱 Configuração'!$H$12,{"BioBizz","Remo Nutrients","General Organics","SuperSoil","Genérico"},0),1)=4,IF(4=1,"—",IF(4=2,"—",IF(4=3,"—",IF(4=4,"5g/L",IF(4=5,"—",IF(4=6,"—",IF(4=7,"—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3 mL/L</v>
      </c>
      <c r="H28" s="55" t="str">
        <f aca="false">IF('🌱 Configuração'!$D$56="","",IF(4&lt;1,"",IF(4&gt;'🌱 Configuração'!$H$8,"",IF(IFERROR(MATCH('🌱 Configuração'!$H$12,{"BioBizz","Remo Nutrients","General Organics","SuperSoil","Genérico"},0),1)=1,IF(4=1,"Top·Max",IF(4=2,"Top·Max",IF(4=3,"Top·Max",IF(4=4,"Top·Max",IF(4=5,"Top·Max",IF(4=6,"Top·Max",IF(4=7,"Top·Max",IF(4=8,"Top·Max",IF(4=9,"Top·Max",IF(4=10,"Top·Max",IF(4=11,"Top·Max",IF(4=12,"Top·Max","")))))))))))),IF(IFERROR(MATCH('🌱 Configuração'!$H$12,{"BioBizz","Remo Nutrients","General Organics","SuperSoil","Genérico"},0),1)=2,IF(4=1,"—",IF(4=2,"—",IF(4=3,"—",IF(4=4,"Astroflower",IF(4=5,"Astroflower",IF(4=6,"Astroflower",IF(4=7,"Astroflower",IF(4=8,"—",IF(4=9,"—",IF(4=10,"—",IF(4=11,"—",IF(4=12,"—","")))))))))))),IF(IFERROR(MATCH('🌱 Configuração'!$H$12,{"BioBizz","Remo Nutrients","General Organics","SuperSoil","Genérico"},0),1)=3,IF(4=1,"CaMg+",IF(4=2,"CaMg+",IF(4=3,"CaMg+",IF(4=4,"CaMg+",IF(4=5,"CaMg+",IF(4=6,"CaMg+",IF(4=7,"—",IF(4=8,"—",IF(4=9,"—",IF(4=10,"—",IF(4=11,"—",IF(4=12,"—","")))))))))))),IF(IFERROR(MATCH('🌱 Configuração'!$H$12,{"BioBizz","Remo Nutrients","General Organics","SuperSoil","Genérico"},0),1)=4,IF(4=1,"—",IF(4=2,"—",IF(4=3,"—",IF(4=4,"—",IF(4=5,"—",IF(4=6,"—",IF(4=7,"—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Top·Max</v>
      </c>
      <c r="I28" s="56" t="str">
        <f aca="false">IF('🌱 Configuração'!$D$56="","",IF(4&lt;1,"",IF(4&gt;'🌱 Configuração'!$H$8,"",IF(IFERROR(MATCH('🌱 Configuração'!$H$12,{"BioBizz","Remo Nutrients","General Organics","SuperSoil","Genérico"},0),1)=1,IF(4=1,"1 mL/L",IF(4=2,"1 mL/L",IF(4=3,"2 mL/L",IF(4=4,"2 mL/L",IF(4=5,"3 mL/L",IF(4=6,"3 mL/L",IF(4=7,"4 mL/L",IF(4=8,"4 mL/L",IF(4=9,"4 mL/L",IF(4=10,"4 mL/L",IF(4=11,"4 mL/L",IF(4=12,"2 mL/L","")))))))))))),IF(IFERROR(MATCH('🌱 Configuração'!$H$12,{"BioBizz","Remo Nutrients","General Organics","SuperSoil","Genérico"},0),1)=2,IF(4=1,"—",IF(4=2,"—",IF(4=3,"—",IF(4=4,"1.0 mL/L",IF(4=5,"2.0 mL/L",IF(4=6,"2.0 mL/L",IF(4=7,"1.0 mL/L",IF(4=8,"—",IF(4=9,"—",IF(4=10,"—",IF(4=11,"—",IF(4=12,"—","")))))))))))),IF(IFERROR(MATCH('🌱 Configuração'!$H$12,{"BioBizz","Remo Nutrients","General Organics","SuperSoil","Genérico"},0),1)=3,IF(4=1,"1.3 mL/L",IF(4=2,"1.3 mL/L",IF(4=3,"1.3 mL/L",IF(4=4,"1.3 mL/L",IF(4=5,"1.3 mL/L",IF(4=6,"0.7 mL/L",IF(4=7,"—",IF(4=8,"—",IF(4=9,"—",IF(4=10,"—",IF(4=11,"—",IF(4=12,"—","")))))))))))),IF(IFERROR(MATCH('🌱 Configuração'!$H$12,{"BioBizz","Remo Nutrients","General Organics","SuperSoil","Genérico"},0),1)=4,IF(4=1,"—",IF(4=2,"—",IF(4=3,"—",IF(4=4,"—",IF(4=5,"—",IF(4=6,"—",IF(4=7,"—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2 mL/L</v>
      </c>
      <c r="J28" s="55" t="str">
        <f aca="false">IF('🌱 Configuração'!$D$56="","",IF(4&lt;1,"",IF(4&gt;'🌱 Configuração'!$H$8,"",IF(IFERROR(MATCH('🌱 Configuração'!$H$12,{"BioBizz","Remo Nutrients","General Organics","SuperSoil","Genérico"},0),1)=1,IF(4=1,"Alg·A·Mic 1mL",IF(4=2,"—",IF(4=3,"—",IF(4=4,"—",IF(4=5,"—",IF(4=6,"Alg·A·Mic 1mL",IF(4=7,"—",IF(4=8,"—",IF(4=9,"—",IF(4=10,"—",IF(4=11,"—",IF(4=12,"—","")))))))))))),IF(IFERROR(MATCH('🌱 Configuração'!$H$12,{"BioBizz","Remo Nutrients","General Organics","SuperSoil","Genérico"},0),1)=2,IF(4=1,"Magnifical 1.0",IF(4=2,"Magnifical 1.0",IF(4=3,"Magnifical 1.0",IF(4=4,"Magnifical 1.0",IF(4=5,"Kelp 1.0 mL",IF(4=6,"Kelp 1.0 mL",IF(4=7,"—",IF(4=8,"—",IF(4=9,"—",IF(4=10,"—",IF(4=11,"—",IF(4=12,"—","")))))))))))),IF(IFERROR(MATCH('🌱 Configuração'!$H$12,{"BioBizz","Remo Nutrients","General Organics","SuperSoil","Genérico"},0),1)=3,IF(4=1,"BioWeed 0.7",IF(4=2,"—",IF(4=3,"—",IF(4=4,"BioMarine 0.7",IF(4=5,"BioMarine 0.7",IF(4=6,"—",IF(4=7,"—",IF(4=8,"—",IF(4=9,"—",IF(4=10,"—",IF(4=11,"—",IF(4=12,"—","")))))))))))),IF(IFERROR(MATCH('🌱 Configuração'!$H$12,{"BioBizz","Remo Nutrients","General Organics","SuperSoil","Genérico"},0),1)=4,IF(4=1,"Chá",IF(4=2,"—",IF(4=3,"Molasses 2mL",IF(4=4,"—",IF(4=5,"Chá",IF(4=6,"—",IF(4=7,"—",IF(4=8,"—",IF(4=9,"—",IF(4=10,"—",IF(4=11,"—",IF(4=12,"—","")))))))))))),IF(4=1,"—",IF(4=2,"—",IF(4=3,"—",IF(4=4,"—",IF(4=5,"—",IF(4=6,"—",IF(4=7,"—",IF(4=8,"—",IF(4=9,"—",IF(4=10,"—",IF(4=11,"—",IF(4=12,"—","")))))))))))))))))))</f>
        <v>—</v>
      </c>
      <c r="K28" s="44" t="str">
        <f aca="false">IF('🌱 Configuração'!$D$56="","",IF(4&lt;1,"",IF(4&gt;'🌱 Configuração'!$H$8,"",IF(IFERROR(MATCH('🌱 Configuração'!$H$12,{"BioBizz","Remo Nutrients","General Organics","SuperSoil","Genérico"},0),1)=1,IF(4=1,"6.2–6.5",IF(4=2,"6.2–6.5",IF(4=3,"6.2–6.5",IF(4=4,"6.2–6.5",IF(4=5,"6.2–6.5",IF(4=6,"6.2–6.5",IF(4=7,"6.2–6.5",IF(4=8,"6.2–6.5",IF(4=9,"6.2–6.5",IF(4=10,"6.2–6.5",IF(4=11,"6.2–6.5",IF(4=12,"6.2–6.5","")))))))))))),IF(IFERROR(MATCH('🌱 Configuração'!$H$12,{"BioBizz","Remo Nutrients","General Organics","SuperSoil","Genérico"},0),1)=2,IF(4=1,"6.0–6.3",IF(4=2,"6.0–6.3",IF(4=3,"6.0–6.3",IF(4=4,"6.0–6.3",IF(4=5,"6.0–6.3",IF(4=6,"6.0–6.3",IF(4=7,"6.0–6.3",IF(4=8,"6.0–6.3",IF(4=9,"6.0–6.3",IF(4=10,"6.0–6.3",IF(4=11,"6.0–6.3",IF(4=12,"6.0–6.3","")))))))))))),IF(IFERROR(MATCH('🌱 Configuração'!$H$12,{"BioBizz","Remo Nutrients","General Organics","SuperSoil","Genérico"},0),1)=3,IF(4=1,"6.2–7.0",IF(4=2,"6.2–7.0",IF(4=3,"6.2–7.0",IF(4=4,"6.2–7.0",IF(4=5,"6.2–7.0",IF(4=6,"6.2–7.0",IF(4=7,"6.2–7.0",IF(4=8,"6.2–7.0",IF(4=9,"6.2–7.0",IF(4=10,"6.2–7.0",IF(4=11,"6.2–7.0",IF(4=12,"6.2–7.0","")))))))))))),IF(IFERROR(MATCH('🌱 Configuração'!$H$12,{"BioBizz","Remo Nutrients","General Organics","SuperSoil","Genérico"},0),1)=4,IF(4=1,"auto",IF(4=2,"auto",IF(4=3,"auto",IF(4=4,"auto",IF(4=5,"auto",IF(4=6,"auto",IF(4=7,"auto",IF(4=8,"auto",IF(4=9,"auto",IF(4=10,"auto",IF(4=11,"auto",IF(4=12,"auto","")))))))))))),IF(4=1,"—",IF(4=2,"—",IF(4=3,"—",IF(4=4,"—",IF(4=5,"—",IF(4=6,"—",IF(4=7,"—",IF(4=8,"—",IF(4=9,"—",IF(4=10,"—",IF(4=11,"—",IF(4=12,"—","")))))))))))))))))))</f>
        <v>6.2–6.5</v>
      </c>
      <c r="L28" s="45" t="str">
        <f aca="false">IF('🌱 Configuração'!$D$56="","",IF(4&lt;1,"",IF(4&gt;'🌱 Configuração'!$H$8,"",IF(IFERROR(MATCH('🌱 Configuração'!$H$12,{"BioBizz","Remo Nutrients","General Organics","SuperSoil","Genérico"},0),1)=1,IF(4=1,"1.6",IF(4=2,"1.7",IF(4=3,"1.8",IF(4=4,"1.9",IF(4=5,"2.0",IF(4=6,"2.0",IF(4=7,"1.9",IF(4=8,"1.8",IF(4=9,"1.6",IF(4=10,"1.6",IF(4=11,"1.4",IF(4=12,"1.0","")))))))))))),IF(IFERROR(MATCH('🌱 Configuração'!$H$12,{"BioBizz","Remo Nutrients","General Organics","SuperSoil","Genérico"},0),1)=2,IF(4=1,"1.6",IF(4=2,"1.7",IF(4=3,"1.8",IF(4=4,"1.9",IF(4=5,"2.0",IF(4=6,"2.0",IF(4=7,"1.8",IF(4=8,"1.6",IF(4=9,"1.4",IF(4=10,"1.4",IF(4=11,"1.0",IF(4=12,"0.8","")))))))))))),IF(IFERROR(MATCH('🌱 Configuração'!$H$12,{"BioBizz","Remo Nutrients","General Organics","SuperSoil","Genérico"},0),1)=3,IF(4=1,"N/A",IF(4=2,"N/A",IF(4=3,"N/A",IF(4=4,"N/A",IF(4=5,"N/A",IF(4=6,"N/A",IF(4=7,"N/A",IF(4=8,"N/A",IF(4=9,"N/A",IF(4=10,"N/A",IF(4=11,"N/A",IF(4=12,"N/A","")))))))))))),IF(IFERROR(MATCH('🌱 Configuração'!$H$12,{"BioBizz","Remo Nutrients","General Organics","SuperSoil","Genérico"},0),1)=4,IF(4=1,"auto",IF(4=2,"auto",IF(4=3,"auto",IF(4=4,"auto",IF(4=5,"auto",IF(4=6,"auto",IF(4=7,"auto",IF(4=8,"auto",IF(4=9,"auto",IF(4=10,"auto",IF(4=11,"auto",IF(4=12,"auto","")))))))))))),IF(4=1,"—",IF(4=2,"—",IF(4=3,"—",IF(4=4,"—",IF(4=5,"—",IF(4=6,"—",IF(4=7,"—",IF(4=8,"—",IF(4=9,"—",IF(4=10,"—",IF(4=11,"—",IF(4=12,"—","")))))))))))))))))))</f>
        <v>1.9</v>
      </c>
      <c r="M28" s="55" t="str">
        <f aca="false">IF('🌱 Configuração'!$D$56="","",IF(4&lt;1,"",IF(4&gt;'🌱 Configuração'!$H$8,"",IF(IFERROR(MATCH('🌱 Configuração'!$H$12,{"BioBizz","Remo Nutrients","General Organics","SuperSoil","Genérico"},0),1)=1,IF(4=1,"Manter Bio·Grow em S1–S3 flora",IF(4=2,"Formação de pistils",IF(4=3,"Início do enchimento",IF(4=4,"Parar Bio·Grow — fase de flora plena",IF(4=5,"Pico de floração",IF(4=6,"Enchimento máximo",IF(4=7,"Amadurecimento — manter bloom alto",IF(4=8,"Pré-flush — analisar tricomas",IF(4=9,"Semana extra (sativa)",IF(4=10,"Semana extra (sativa)",IF(4=11,"Reduzir — semana final",IF(4=12,"Último adubo antes flush","")))))))))))),IF(IFERROR(MATCH('🌱 Configuração'!$H$12,{"BioBizz","Remo Nutrients","General Organics","SuperSoil","Genérico"},0),1)=2,IF(4=1,"Apenas Micro+Bloom em floração Remo",IF(4=2,"Sem Grow a partir daqui",IF(4=3,"Tabela oficial: 2.1 mL/L S1–S4",IF(4=4,"Astroflower = estimulante floração",IF(4=5,"Tabela oficial: 2.6 mL/L S5–S7",IF(4=6,"Pico de floração Remo",IF(4=7,"Tabela oficial S7",IF(4=8,"Reduzir — semana final",IF(4=9,"Semana extra — sativa",IF(4=10,"Semana extra",IF(4=11,"Reduzir para flush",IF(4=12,"Último adubo","")))))))))))),IF(IFERROR(MATCH('🌱 Configuração'!$H$12,{"BioBizz","Remo Nutrients","General Organics","SuperSoil","Genérico"},0),1)=3,IF(4=1,"BioBud = estimulante flores GO",IF(4=2,"Early Flower GO",IF(4=3,"Mid Flower GO",IF(4=4,"BioMarine = peixe fermentado GO",IF(4=5,"Pico floração GO",IF(4=6,"Late Flower GO",IF(4=7,"Reduzir CaMg+ final",IF(4=8,"Late Flower GO — pré-flush",IF(4=9,"Semana extra — reduzir dose",IF(4=10,"Semana extra GO (sativa)",IF(4=11,"Semana extra GO",IF(4=12,"Último adubo GO","")))))))))))),IF(IFERROR(MATCH('🌱 Configuração'!$H$12,{"BioBizz","Remo Nutrients","General Organics","SuperSoil","Genérico"},0),1)=4,IF(4=1,"Guano P alto = floração forte",IF(4=2,"Solo vivo em pico — não interferir",IF(4=3,"Alga = K e micronutrientes florais",IF(4=4,"Fósforo natural = buds densos",IF(4=5,"Alimentar microbioma — enchimento",IF(4=6,"Semana de pico — micro + K",IF(4=7,"Reduzir intervenções — amadurecimento",IF(4=8,"Pré-flush SuperSoil",IF(4=9,"Parar coberturas — lavar suave",IF(4=10,"Semana extra (sativa)",IF(4=11,"Semana extra",IF(4=12,"Última semana — observar tricomas","")))))))))))),IF(4=1,"Personalize suas doses",IF(4=2,"Personalize suas doses",IF(4=3,"Personalize suas doses",IF(4=4,"Personalize suas doses",IF(4=5,"Personalize suas doses",IF(4=6,"Personalize suas doses",IF(4=7,"Personalize suas doses",IF(4=8,"Personalize suas doses",IF(4=9,"Personalize suas doses",IF(4=10,"Personalize suas doses",IF(4=11,"Personalize suas doses",IF(4=12,"Personalize suas doses","")))))))))))))))))))</f>
        <v>Parar Bio·Grow — fase de flora plena</v>
      </c>
    </row>
    <row r="29" customFormat="false" ht="21.75" hidden="false" customHeight="true" outlineLevel="0" collapsed="false">
      <c r="B29" s="26" t="str">
        <f aca="false">IF(5&lt;='🌱 Configuração'!$H$8,"S5","—")</f>
        <v>S5</v>
      </c>
      <c r="C29" s="41" t="n">
        <f aca="false">IF(5&lt;='🌱 Configuração'!$H$8,'🌱 Configuração'!$D$56+28,"")</f>
        <v>84</v>
      </c>
      <c r="D29" s="42" t="str">
        <f aca="false">IF('🌱 Configuração'!$D$56="","",IF(5&lt;1,"",IF(5&gt;'🌱 Configuração'!$H$8,"",IF(IFERROR(MATCH('🌱 Configuração'!$H$12,{"BioBizz","Remo Nutrients","General Organics","SuperSoil","Genérico"},0),1)=1,IF(5=1,"Bio·Grow",IF(5=2,"Bio·Grow",IF(5=3,"Bio·Grow",IF(5=4,"—",IF(5=5,"—",IF(5=6,"—",IF(5=7,"—",IF(5=8,"—",IF(5=9,"—",IF(5=10,"—",IF(5=11,"—",IF(5=12,"—","")))))))))))),IF(IFERROR(MATCH('🌱 Configuração'!$H$12,{"BioBizz","Remo Nutrients","General Organics","SuperSoil","Genérico"},0),1)=2,IF(5=1,"Micro",IF(5=2,"Micro",IF(5=3,"Micro",IF(5=4,"Micro",IF(5=5,"Micro",IF(5=6,"Micro",IF(5=7,"Micro",IF(5=8,"Micro",IF(5=9,"Micro",IF(5=10,"Micro",IF(5=11,"Micro",IF(5=12,"Micro","")))))))))))),IF(IFERROR(MATCH('🌱 Configuração'!$H$12,{"BioBizz","Remo Nutrients","General Organics","SuperSoil","Genérico"},0),1)=3,IF(5=1,"BioThrive B",IF(5=2,"BioThrive B",IF(5=3,"BioThrive B",IF(5=4,"BioThrive B",IF(5=5,"BioThrive B",IF(5=6,"BioThrive B",IF(5=7,"BioThrive B",IF(5=8,"BioThrive B",IF(5=9,"BioThrive B",IF(5=10,"BioThrive B",IF(5=11,"BioThrive B",IF(5=12,"BioThrive B","")))))))))))),IF(IFERROR(MATCH('🌱 Configuração'!$H$12,{"BioBizz","Remo Nutrients","General Organics","SuperSoil","Genérico"},0),1)=4,IF(5=1,"Cobertura: guano de morcego",IF(5=2,"Chá de compostagem",IF(5=3,"Cobertura: farinha de alga",IF(5=4,"Cobertura: guano de morcego",IF(5=5,"Molasses 2 mL/L",IF(5=6,"Cobertura: farinha de alga",IF(5=7,"Chá de compostagem",IF(5=8,"Molasses 2 mL/L",IF(5=9,"Água pura",IF(5=10,"Água pura",IF(5=11,"Água pura",IF(5=12,"Água pura","")))))))))))),IF(5=1,"← Preencha",IF(5=2,"← Preencha",IF(5=3,"← Preencha",IF(5=4,"← Preencha",IF(5=5,"← Preencha",IF(5=6,"← Preencha",IF(5=7,"← Preencha",IF(5=8,"← Preencha",IF(5=9,"← Preencha",IF(5=10,"← Preencha",IF(5=11,"← Preencha",IF(5=12,"← Preencha","")))))))))))))))))))</f>
        <v>—</v>
      </c>
      <c r="E29" s="43" t="str">
        <f aca="false">IF('🌱 Configuração'!$D$56="","",IF(5&lt;1,"",IF(5&gt;'🌱 Configuração'!$H$8,"",IF(IFERROR(MATCH('🌱 Configuração'!$H$12,{"BioBizz","Remo Nutrients","General Organics","SuperSoil","Genérico"},0),1)=1,IF(5=1,"1 mL/L",IF(5=2,"1 mL/L",IF(5=3,"1 mL/L",IF(5=4,"—",IF(5=5,"—",IF(5=6,"—",IF(5=7,"—",IF(5=8,"—",IF(5=9,"—",IF(5=10,"—",IF(5=11,"—",IF(5=12,"—","")))))))))))),IF(IFERROR(MATCH('🌱 Configuração'!$H$12,{"BioBizz","Remo Nutrients","General Organics","SuperSoil","Genérico"},0),1)=2,IF(5=1,"2.1 mL/L",IF(5=2,"2.1 mL/L",IF(5=3,"2.1 mL/L",IF(5=4,"2.1 mL/L",IF(5=5,"2.6 mL/L",IF(5=6,"2.6 mL/L",IF(5=7,"2.6 mL/L",IF(5=8,"2.1 mL/L",IF(5=9,"2.1 mL/L",IF(5=10,"2.1 mL/L",IF(5=11,"1.5 mL/L",IF(5=12,"1.0 mL/L","")))))))))))),IF(IFERROR(MATCH('🌱 Configuração'!$H$12,{"BioBizz","Remo Nutrients","General Organics","SuperSoil","Genérico"},0),1)=3,IF(5=1,"2.6 mL/L",IF(5=2,"2.6 mL/L",IF(5=3,"2.6 mL/L",IF(5=4,"2.6 mL/L",IF(5=5,"2.6 mL/L",IF(5=6,"2.6 mL/L",IF(5=7,"2.6 mL/L",IF(5=8,"2.6 mL/L",IF(5=9,"1.3 mL/L",IF(5=10,"1.3 mL/L",IF(5=11,"1.3 mL/L",IF(5=12,"1.3 mL/L","")))))))))))),IF(IFERROR(MATCH('🌱 Configuração'!$H$12,{"BioBizz","Remo Nutrients","General Organics","SuperSoil","Genérico"},0),1)=4,IF(5=1,"5g/L solo",IF(5=2,"2L/planta",IF(5=3,"5g/L solo",IF(5=4,"5g/L solo",IF(5=5,"—",IF(5=6,"5g/L solo",IF(5=7,"2L/planta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—</v>
      </c>
      <c r="F29" s="42" t="str">
        <f aca="false">IF('🌱 Configuração'!$D$56="","",IF(5&lt;1,"",IF(5&gt;'🌱 Configuração'!$H$8,"",IF(IFERROR(MATCH('🌱 Configuração'!$H$12,{"BioBizz","Remo Nutrients","General Organics","SuperSoil","Genérico"},0),1)=1,IF(5=1,"Bio·Bloom",IF(5=2,"Bio·Bloom",IF(5=3,"Bio·Bloom",IF(5=4,"Bio·Bloom",IF(5=5,"Bio·Bloom",IF(5=6,"Bio·Bloom",IF(5=7,"Bio·Bloom",IF(5=8,"Bio·Bloom",IF(5=9,"Bio·Bloom",IF(5=10,"Bio·Bloom",IF(5=11,"Bio·Bloom",IF(5=12,"Bio·Bloom","")))))))))))),IF(IFERROR(MATCH('🌱 Configuração'!$H$12,{"BioBizz","Remo Nutrients","General Organics","SuperSoil","Genérico"},0),1)=2,IF(5=1,"Bloom",IF(5=2,"Bloom",IF(5=3,"Bloom",IF(5=4,"Bloom",IF(5=5,"Bloom",IF(5=6,"Bloom",IF(5=7,"Bloom",IF(5=8,"Bloom",IF(5=9,"Bloom",IF(5=10,"Bloom",IF(5=11,"Bloom",IF(5=12,"Bloom","")))))))))))),IF(IFERROR(MATCH('🌱 Configuração'!$H$12,{"BioBizz","Remo Nutrients","General Organics","SuperSoil","Genérico"},0),1)=3,IF(5=1,"BioBud",IF(5=2,"BioBud",IF(5=3,"BioBud",IF(5=4,"BioBud",IF(5=5,"BioBud",IF(5=6,"BioBud",IF(5=7,"BioBud",IF(5=8,"—",IF(5=9,"—",IF(5=10,"—",IF(5=11,"—",IF(5=12,"—","")))))))))))),IF(IFERROR(MATCH('🌱 Configuração'!$H$12,{"BioBizz","Remo Nutrients","General Organics","SuperSoil","Genérico"},0),1)=4,IF(5=1,"Molasses 2 mL/L",IF(5=2,"—",IF(5=3,"—",IF(5=4,"Cobertura: fosfato natural",IF(5=5,"—",IF(5=6,"Molasses 2 mL/L",IF(5=7,"—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Bio·Bloom</v>
      </c>
      <c r="G29" s="43" t="str">
        <f aca="false">IF('🌱 Configuração'!$D$56="","",IF(5&lt;1,"",IF(5&gt;'🌱 Configuração'!$H$8,"",IF(IFERROR(MATCH('🌱 Configuração'!$H$12,{"BioBizz","Remo Nutrients","General Organics","SuperSoil","Genérico"},0),1)=1,IF(5=1,"1 mL/L",IF(5=2,"2 mL/L",IF(5=3,"3 mL/L",IF(5=4,"3 mL/L",IF(5=5,"4 mL/L",IF(5=6,"4 mL/L",IF(5=7,"4 mL/L",IF(5=8,"4 mL/L",IF(5=9,"4 mL/L",IF(5=10,"4 mL/L",IF(5=11,"4 mL/L",IF(5=12,"2 mL/L","")))))))))))),IF(IFERROR(MATCH('🌱 Configuração'!$H$12,{"BioBizz","Remo Nutrients","General Organics","SuperSoil","Genérico"},0),1)=2,IF(5=1,"2.1 mL/L",IF(5=2,"2.1 mL/L",IF(5=3,"2.1 mL/L",IF(5=4,"2.1 mL/L",IF(5=5,"2.6 mL/L",IF(5=6,"2.6 mL/L",IF(5=7,"2.6 mL/L",IF(5=8,"2.1 mL/L",IF(5=9,"2.1 mL/L",IF(5=10,"2.1 mL/L",IF(5=11,"1.5 mL/L",IF(5=12,"1.0 mL/L","")))))))))))),IF(IFERROR(MATCH('🌱 Configuração'!$H$12,{"BioBizz","Remo Nutrients","General Organics","SuperSoil","Genérico"},0),1)=3,IF(5=1,"0.7 mL/L",IF(5=2,"0.7 mL/L",IF(5=3,"0.7 mL/L",IF(5=4,"0.7 mL/L",IF(5=5,"0.7 mL/L",IF(5=6,"0.7 mL/L",IF(5=7,"0.7 mL/L",IF(5=8,"—",IF(5=9,"—",IF(5=10,"—",IF(5=11,"—",IF(5=12,"—","")))))))))))),IF(IFERROR(MATCH('🌱 Configuração'!$H$12,{"BioBizz","Remo Nutrients","General Organics","SuperSoil","Genérico"},0),1)=4,IF(5=1,"—",IF(5=2,"—",IF(5=3,"—",IF(5=4,"5g/L",IF(5=5,"—",IF(5=6,"—",IF(5=7,"—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4 mL/L</v>
      </c>
      <c r="H29" s="42" t="str">
        <f aca="false">IF('🌱 Configuração'!$D$56="","",IF(5&lt;1,"",IF(5&gt;'🌱 Configuração'!$H$8,"",IF(IFERROR(MATCH('🌱 Configuração'!$H$12,{"BioBizz","Remo Nutrients","General Organics","SuperSoil","Genérico"},0),1)=1,IF(5=1,"Top·Max",IF(5=2,"Top·Max",IF(5=3,"Top·Max",IF(5=4,"Top·Max",IF(5=5,"Top·Max",IF(5=6,"Top·Max",IF(5=7,"Top·Max",IF(5=8,"Top·Max",IF(5=9,"Top·Max",IF(5=10,"Top·Max",IF(5=11,"Top·Max",IF(5=12,"Top·Max","")))))))))))),IF(IFERROR(MATCH('🌱 Configuração'!$H$12,{"BioBizz","Remo Nutrients","General Organics","SuperSoil","Genérico"},0),1)=2,IF(5=1,"—",IF(5=2,"—",IF(5=3,"—",IF(5=4,"Astroflower",IF(5=5,"Astroflower",IF(5=6,"Astroflower",IF(5=7,"Astroflower",IF(5=8,"—",IF(5=9,"—",IF(5=10,"—",IF(5=11,"—",IF(5=12,"—","")))))))))))),IF(IFERROR(MATCH('🌱 Configuração'!$H$12,{"BioBizz","Remo Nutrients","General Organics","SuperSoil","Genérico"},0),1)=3,IF(5=1,"CaMg+",IF(5=2,"CaMg+",IF(5=3,"CaMg+",IF(5=4,"CaMg+",IF(5=5,"CaMg+",IF(5=6,"CaMg+",IF(5=7,"—",IF(5=8,"—",IF(5=9,"—",IF(5=10,"—",IF(5=11,"—",IF(5=12,"—","")))))))))))),IF(IFERROR(MATCH('🌱 Configuração'!$H$12,{"BioBizz","Remo Nutrients","General Organics","SuperSoil","Genérico"},0),1)=4,IF(5=1,"—",IF(5=2,"—",IF(5=3,"—",IF(5=4,"—",IF(5=5,"—",IF(5=6,"—",IF(5=7,"—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Top·Max</v>
      </c>
      <c r="I29" s="43" t="str">
        <f aca="false">IF('🌱 Configuração'!$D$56="","",IF(5&lt;1,"",IF(5&gt;'🌱 Configuração'!$H$8,"",IF(IFERROR(MATCH('🌱 Configuração'!$H$12,{"BioBizz","Remo Nutrients","General Organics","SuperSoil","Genérico"},0),1)=1,IF(5=1,"1 mL/L",IF(5=2,"1 mL/L",IF(5=3,"2 mL/L",IF(5=4,"2 mL/L",IF(5=5,"3 mL/L",IF(5=6,"3 mL/L",IF(5=7,"4 mL/L",IF(5=8,"4 mL/L",IF(5=9,"4 mL/L",IF(5=10,"4 mL/L",IF(5=11,"4 mL/L",IF(5=12,"2 mL/L","")))))))))))),IF(IFERROR(MATCH('🌱 Configuração'!$H$12,{"BioBizz","Remo Nutrients","General Organics","SuperSoil","Genérico"},0),1)=2,IF(5=1,"—",IF(5=2,"—",IF(5=3,"—",IF(5=4,"1.0 mL/L",IF(5=5,"2.0 mL/L",IF(5=6,"2.0 mL/L",IF(5=7,"1.0 mL/L",IF(5=8,"—",IF(5=9,"—",IF(5=10,"—",IF(5=11,"—",IF(5=12,"—","")))))))))))),IF(IFERROR(MATCH('🌱 Configuração'!$H$12,{"BioBizz","Remo Nutrients","General Organics","SuperSoil","Genérico"},0),1)=3,IF(5=1,"1.3 mL/L",IF(5=2,"1.3 mL/L",IF(5=3,"1.3 mL/L",IF(5=4,"1.3 mL/L",IF(5=5,"1.3 mL/L",IF(5=6,"0.7 mL/L",IF(5=7,"—",IF(5=8,"—",IF(5=9,"—",IF(5=10,"—",IF(5=11,"—",IF(5=12,"—","")))))))))))),IF(IFERROR(MATCH('🌱 Configuração'!$H$12,{"BioBizz","Remo Nutrients","General Organics","SuperSoil","Genérico"},0),1)=4,IF(5=1,"—",IF(5=2,"—",IF(5=3,"—",IF(5=4,"—",IF(5=5,"—",IF(5=6,"—",IF(5=7,"—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3 mL/L</v>
      </c>
      <c r="J29" s="42" t="str">
        <f aca="false">IF('🌱 Configuração'!$D$56="","",IF(5&lt;1,"",IF(5&gt;'🌱 Configuração'!$H$8,"",IF(IFERROR(MATCH('🌱 Configuração'!$H$12,{"BioBizz","Remo Nutrients","General Organics","SuperSoil","Genérico"},0),1)=1,IF(5=1,"Alg·A·Mic 1mL",IF(5=2,"—",IF(5=3,"—",IF(5=4,"—",IF(5=5,"—",IF(5=6,"Alg·A·Mic 1mL",IF(5=7,"—",IF(5=8,"—",IF(5=9,"—",IF(5=10,"—",IF(5=11,"—",IF(5=12,"—","")))))))))))),IF(IFERROR(MATCH('🌱 Configuração'!$H$12,{"BioBizz","Remo Nutrients","General Organics","SuperSoil","Genérico"},0),1)=2,IF(5=1,"Magnifical 1.0",IF(5=2,"Magnifical 1.0",IF(5=3,"Magnifical 1.0",IF(5=4,"Magnifical 1.0",IF(5=5,"Kelp 1.0 mL",IF(5=6,"Kelp 1.0 mL",IF(5=7,"—",IF(5=8,"—",IF(5=9,"—",IF(5=10,"—",IF(5=11,"—",IF(5=12,"—","")))))))))))),IF(IFERROR(MATCH('🌱 Configuração'!$H$12,{"BioBizz","Remo Nutrients","General Organics","SuperSoil","Genérico"},0),1)=3,IF(5=1,"BioWeed 0.7",IF(5=2,"—",IF(5=3,"—",IF(5=4,"BioMarine 0.7",IF(5=5,"BioMarine 0.7",IF(5=6,"—",IF(5=7,"—",IF(5=8,"—",IF(5=9,"—",IF(5=10,"—",IF(5=11,"—",IF(5=12,"—","")))))))))))),IF(IFERROR(MATCH('🌱 Configuração'!$H$12,{"BioBizz","Remo Nutrients","General Organics","SuperSoil","Genérico"},0),1)=4,IF(5=1,"Chá",IF(5=2,"—",IF(5=3,"Molasses 2mL",IF(5=4,"—",IF(5=5,"Chá",IF(5=6,"—",IF(5=7,"—",IF(5=8,"—",IF(5=9,"—",IF(5=10,"—",IF(5=11,"—",IF(5=12,"—","")))))))))))),IF(5=1,"—",IF(5=2,"—",IF(5=3,"—",IF(5=4,"—",IF(5=5,"—",IF(5=6,"—",IF(5=7,"—",IF(5=8,"—",IF(5=9,"—",IF(5=10,"—",IF(5=11,"—",IF(5=12,"—","")))))))))))))))))))</f>
        <v>—</v>
      </c>
      <c r="K29" s="44" t="str">
        <f aca="false">IF('🌱 Configuração'!$D$56="","",IF(5&lt;1,"",IF(5&gt;'🌱 Configuração'!$H$8,"",IF(IFERROR(MATCH('🌱 Configuração'!$H$12,{"BioBizz","Remo Nutrients","General Organics","SuperSoil","Genérico"},0),1)=1,IF(5=1,"6.2–6.5",IF(5=2,"6.2–6.5",IF(5=3,"6.2–6.5",IF(5=4,"6.2–6.5",IF(5=5,"6.2–6.5",IF(5=6,"6.2–6.5",IF(5=7,"6.2–6.5",IF(5=8,"6.2–6.5",IF(5=9,"6.2–6.5",IF(5=10,"6.2–6.5",IF(5=11,"6.2–6.5",IF(5=12,"6.2–6.5","")))))))))))),IF(IFERROR(MATCH('🌱 Configuração'!$H$12,{"BioBizz","Remo Nutrients","General Organics","SuperSoil","Genérico"},0),1)=2,IF(5=1,"6.0–6.3",IF(5=2,"6.0–6.3",IF(5=3,"6.0–6.3",IF(5=4,"6.0–6.3",IF(5=5,"6.0–6.3",IF(5=6,"6.0–6.3",IF(5=7,"6.0–6.3",IF(5=8,"6.0–6.3",IF(5=9,"6.0–6.3",IF(5=10,"6.0–6.3",IF(5=11,"6.0–6.3",IF(5=12,"6.0–6.3","")))))))))))),IF(IFERROR(MATCH('🌱 Configuração'!$H$12,{"BioBizz","Remo Nutrients","General Organics","SuperSoil","Genérico"},0),1)=3,IF(5=1,"6.2–7.0",IF(5=2,"6.2–7.0",IF(5=3,"6.2–7.0",IF(5=4,"6.2–7.0",IF(5=5,"6.2–7.0",IF(5=6,"6.2–7.0",IF(5=7,"6.2–7.0",IF(5=8,"6.2–7.0",IF(5=9,"6.2–7.0",IF(5=10,"6.2–7.0",IF(5=11,"6.2–7.0",IF(5=12,"6.2–7.0","")))))))))))),IF(IFERROR(MATCH('🌱 Configuração'!$H$12,{"BioBizz","Remo Nutrients","General Organics","SuperSoil","Genérico"},0),1)=4,IF(5=1,"auto",IF(5=2,"auto",IF(5=3,"auto",IF(5=4,"auto",IF(5=5,"auto",IF(5=6,"auto",IF(5=7,"auto",IF(5=8,"auto",IF(5=9,"auto",IF(5=10,"auto",IF(5=11,"auto",IF(5=12,"auto","")))))))))))),IF(5=1,"—",IF(5=2,"—",IF(5=3,"—",IF(5=4,"—",IF(5=5,"—",IF(5=6,"—",IF(5=7,"—",IF(5=8,"—",IF(5=9,"—",IF(5=10,"—",IF(5=11,"—",IF(5=12,"—","")))))))))))))))))))</f>
        <v>6.2–6.5</v>
      </c>
      <c r="L29" s="45" t="str">
        <f aca="false">IF('🌱 Configuração'!$D$56="","",IF(5&lt;1,"",IF(5&gt;'🌱 Configuração'!$H$8,"",IF(IFERROR(MATCH('🌱 Configuração'!$H$12,{"BioBizz","Remo Nutrients","General Organics","SuperSoil","Genérico"},0),1)=1,IF(5=1,"1.6",IF(5=2,"1.7",IF(5=3,"1.8",IF(5=4,"1.9",IF(5=5,"2.0",IF(5=6,"2.0",IF(5=7,"1.9",IF(5=8,"1.8",IF(5=9,"1.6",IF(5=10,"1.6",IF(5=11,"1.4",IF(5=12,"1.0","")))))))))))),IF(IFERROR(MATCH('🌱 Configuração'!$H$12,{"BioBizz","Remo Nutrients","General Organics","SuperSoil","Genérico"},0),1)=2,IF(5=1,"1.6",IF(5=2,"1.7",IF(5=3,"1.8",IF(5=4,"1.9",IF(5=5,"2.0",IF(5=6,"2.0",IF(5=7,"1.8",IF(5=8,"1.6",IF(5=9,"1.4",IF(5=10,"1.4",IF(5=11,"1.0",IF(5=12,"0.8","")))))))))))),IF(IFERROR(MATCH('🌱 Configuração'!$H$12,{"BioBizz","Remo Nutrients","General Organics","SuperSoil","Genérico"},0),1)=3,IF(5=1,"N/A",IF(5=2,"N/A",IF(5=3,"N/A",IF(5=4,"N/A",IF(5=5,"N/A",IF(5=6,"N/A",IF(5=7,"N/A",IF(5=8,"N/A",IF(5=9,"N/A",IF(5=10,"N/A",IF(5=11,"N/A",IF(5=12,"N/A","")))))))))))),IF(IFERROR(MATCH('🌱 Configuração'!$H$12,{"BioBizz","Remo Nutrients","General Organics","SuperSoil","Genérico"},0),1)=4,IF(5=1,"auto",IF(5=2,"auto",IF(5=3,"auto",IF(5=4,"auto",IF(5=5,"auto",IF(5=6,"auto",IF(5=7,"auto",IF(5=8,"auto",IF(5=9,"auto",IF(5=10,"auto",IF(5=11,"auto",IF(5=12,"auto","")))))))))))),IF(5=1,"—",IF(5=2,"—",IF(5=3,"—",IF(5=4,"—",IF(5=5,"—",IF(5=6,"—",IF(5=7,"—",IF(5=8,"—",IF(5=9,"—",IF(5=10,"—",IF(5=11,"—",IF(5=12,"—","")))))))))))))))))))</f>
        <v>2.0</v>
      </c>
      <c r="M29" s="42" t="str">
        <f aca="false">IF('🌱 Configuração'!$D$56="","",IF(5&lt;1,"",IF(5&gt;'🌱 Configuração'!$H$8,"",IF(IFERROR(MATCH('🌱 Configuração'!$H$12,{"BioBizz","Remo Nutrients","General Organics","SuperSoil","Genérico"},0),1)=1,IF(5=1,"Manter Bio·Grow em S1–S3 flora",IF(5=2,"Formação de pistils",IF(5=3,"Início do enchimento",IF(5=4,"Parar Bio·Grow — fase de flora plena",IF(5=5,"Pico de floração",IF(5=6,"Enchimento máximo",IF(5=7,"Amadurecimento — manter bloom alto",IF(5=8,"Pré-flush — analisar tricomas",IF(5=9,"Semana extra (sativa)",IF(5=10,"Semana extra (sativa)",IF(5=11,"Reduzir — semana final",IF(5=12,"Último adubo antes flush","")))))))))))),IF(IFERROR(MATCH('🌱 Configuração'!$H$12,{"BioBizz","Remo Nutrients","General Organics","SuperSoil","Genérico"},0),1)=2,IF(5=1,"Apenas Micro+Bloom em floração Remo",IF(5=2,"Sem Grow a partir daqui",IF(5=3,"Tabela oficial: 2.1 mL/L S1–S4",IF(5=4,"Astroflower = estimulante floração",IF(5=5,"Tabela oficial: 2.6 mL/L S5–S7",IF(5=6,"Pico de floração Remo",IF(5=7,"Tabela oficial S7",IF(5=8,"Reduzir — semana final",IF(5=9,"Semana extra — sativa",IF(5=10,"Semana extra",IF(5=11,"Reduzir para flush",IF(5=12,"Último adubo","")))))))))))),IF(IFERROR(MATCH('🌱 Configuração'!$H$12,{"BioBizz","Remo Nutrients","General Organics","SuperSoil","Genérico"},0),1)=3,IF(5=1,"BioBud = estimulante flores GO",IF(5=2,"Early Flower GO",IF(5=3,"Mid Flower GO",IF(5=4,"BioMarine = peixe fermentado GO",IF(5=5,"Pico floração GO",IF(5=6,"Late Flower GO",IF(5=7,"Reduzir CaMg+ final",IF(5=8,"Late Flower GO — pré-flush",IF(5=9,"Semana extra — reduzir dose",IF(5=10,"Semana extra GO (sativa)",IF(5=11,"Semana extra GO",IF(5=12,"Último adubo GO","")))))))))))),IF(IFERROR(MATCH('🌱 Configuração'!$H$12,{"BioBizz","Remo Nutrients","General Organics","SuperSoil","Genérico"},0),1)=4,IF(5=1,"Guano P alto = floração forte",IF(5=2,"Solo vivo em pico — não interferir",IF(5=3,"Alga = K e micronutrientes florais",IF(5=4,"Fósforo natural = buds densos",IF(5=5,"Alimentar microbioma — enchimento",IF(5=6,"Semana de pico — micro + K",IF(5=7,"Reduzir intervenções — amadurecimento",IF(5=8,"Pré-flush SuperSoil",IF(5=9,"Parar coberturas — lavar suave",IF(5=10,"Semana extra (sativa)",IF(5=11,"Semana extra",IF(5=12,"Última semana — observar tricomas","")))))))))))),IF(5=1,"Personalize suas doses",IF(5=2,"Personalize suas doses",IF(5=3,"Personalize suas doses",IF(5=4,"Personalize suas doses",IF(5=5,"Personalize suas doses",IF(5=6,"Personalize suas doses",IF(5=7,"Personalize suas doses",IF(5=8,"Personalize suas doses",IF(5=9,"Personalize suas doses",IF(5=10,"Personalize suas doses",IF(5=11,"Personalize suas doses",IF(5=12,"Personalize suas doses","")))))))))))))))))))</f>
        <v>Pico de floração</v>
      </c>
    </row>
    <row r="30" customFormat="false" ht="21.75" hidden="false" customHeight="true" outlineLevel="0" collapsed="false">
      <c r="B30" s="26" t="str">
        <f aca="false">IF(6&lt;='🌱 Configuração'!$H$8,"S6","—")</f>
        <v>S6</v>
      </c>
      <c r="C30" s="54" t="n">
        <f aca="false">IF(6&lt;='🌱 Configuração'!$H$8,'🌱 Configuração'!$D$56+35,"")</f>
        <v>91</v>
      </c>
      <c r="D30" s="55" t="str">
        <f aca="false">IF('🌱 Configuração'!$D$56="","",IF(6&lt;1,"",IF(6&gt;'🌱 Configuração'!$H$8,"",IF(IFERROR(MATCH('🌱 Configuração'!$H$12,{"BioBizz","Remo Nutrients","General Organics","SuperSoil","Genérico"},0),1)=1,IF(6=1,"Bio·Grow",IF(6=2,"Bio·Grow",IF(6=3,"Bio·Grow",IF(6=4,"—",IF(6=5,"—",IF(6=6,"—",IF(6=7,"—",IF(6=8,"—",IF(6=9,"—",IF(6=10,"—",IF(6=11,"—",IF(6=12,"—","")))))))))))),IF(IFERROR(MATCH('🌱 Configuração'!$H$12,{"BioBizz","Remo Nutrients","General Organics","SuperSoil","Genérico"},0),1)=2,IF(6=1,"Micro",IF(6=2,"Micro",IF(6=3,"Micro",IF(6=4,"Micro",IF(6=5,"Micro",IF(6=6,"Micro",IF(6=7,"Micro",IF(6=8,"Micro",IF(6=9,"Micro",IF(6=10,"Micro",IF(6=11,"Micro",IF(6=12,"Micro","")))))))))))),IF(IFERROR(MATCH('🌱 Configuração'!$H$12,{"BioBizz","Remo Nutrients","General Organics","SuperSoil","Genérico"},0),1)=3,IF(6=1,"BioThrive B",IF(6=2,"BioThrive B",IF(6=3,"BioThrive B",IF(6=4,"BioThrive B",IF(6=5,"BioThrive B",IF(6=6,"BioThrive B",IF(6=7,"BioThrive B",IF(6=8,"BioThrive B",IF(6=9,"BioThrive B",IF(6=10,"BioThrive B",IF(6=11,"BioThrive B",IF(6=12,"BioThrive B","")))))))))))),IF(IFERROR(MATCH('🌱 Configuração'!$H$12,{"BioBizz","Remo Nutrients","General Organics","SuperSoil","Genérico"},0),1)=4,IF(6=1,"Cobertura: guano de morcego",IF(6=2,"Chá de compostagem",IF(6=3,"Cobertura: farinha de alga",IF(6=4,"Cobertura: guano de morcego",IF(6=5,"Molasses 2 mL/L",IF(6=6,"Cobertura: farinha de alga",IF(6=7,"Chá de compostagem",IF(6=8,"Molasses 2 mL/L",IF(6=9,"Água pura",IF(6=10,"Água pura",IF(6=11,"Água pura",IF(6=12,"Água pura","")))))))))))),IF(6=1,"← Preencha",IF(6=2,"← Preencha",IF(6=3,"← Preencha",IF(6=4,"← Preencha",IF(6=5,"← Preencha",IF(6=6,"← Preencha",IF(6=7,"← Preencha",IF(6=8,"← Preencha",IF(6=9,"← Preencha",IF(6=10,"← Preencha",IF(6=11,"← Preencha",IF(6=12,"← Preencha","")))))))))))))))))))</f>
        <v>—</v>
      </c>
      <c r="E30" s="56" t="str">
        <f aca="false">IF('🌱 Configuração'!$D$56="","",IF(6&lt;1,"",IF(6&gt;'🌱 Configuração'!$H$8,"",IF(IFERROR(MATCH('🌱 Configuração'!$H$12,{"BioBizz","Remo Nutrients","General Organics","SuperSoil","Genérico"},0),1)=1,IF(6=1,"1 mL/L",IF(6=2,"1 mL/L",IF(6=3,"1 mL/L",IF(6=4,"—",IF(6=5,"—",IF(6=6,"—",IF(6=7,"—",IF(6=8,"—",IF(6=9,"—",IF(6=10,"—",IF(6=11,"—",IF(6=12,"—","")))))))))))),IF(IFERROR(MATCH('🌱 Configuração'!$H$12,{"BioBizz","Remo Nutrients","General Organics","SuperSoil","Genérico"},0),1)=2,IF(6=1,"2.1 mL/L",IF(6=2,"2.1 mL/L",IF(6=3,"2.1 mL/L",IF(6=4,"2.1 mL/L",IF(6=5,"2.6 mL/L",IF(6=6,"2.6 mL/L",IF(6=7,"2.6 mL/L",IF(6=8,"2.1 mL/L",IF(6=9,"2.1 mL/L",IF(6=10,"2.1 mL/L",IF(6=11,"1.5 mL/L",IF(6=12,"1.0 mL/L","")))))))))))),IF(IFERROR(MATCH('🌱 Configuração'!$H$12,{"BioBizz","Remo Nutrients","General Organics","SuperSoil","Genérico"},0),1)=3,IF(6=1,"2.6 mL/L",IF(6=2,"2.6 mL/L",IF(6=3,"2.6 mL/L",IF(6=4,"2.6 mL/L",IF(6=5,"2.6 mL/L",IF(6=6,"2.6 mL/L",IF(6=7,"2.6 mL/L",IF(6=8,"2.6 mL/L",IF(6=9,"1.3 mL/L",IF(6=10,"1.3 mL/L",IF(6=11,"1.3 mL/L",IF(6=12,"1.3 mL/L","")))))))))))),IF(IFERROR(MATCH('🌱 Configuração'!$H$12,{"BioBizz","Remo Nutrients","General Organics","SuperSoil","Genérico"},0),1)=4,IF(6=1,"5g/L solo",IF(6=2,"2L/planta",IF(6=3,"5g/L solo",IF(6=4,"5g/L solo",IF(6=5,"—",IF(6=6,"5g/L solo",IF(6=7,"2L/planta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—</v>
      </c>
      <c r="F30" s="55" t="str">
        <f aca="false">IF('🌱 Configuração'!$D$56="","",IF(6&lt;1,"",IF(6&gt;'🌱 Configuração'!$H$8,"",IF(IFERROR(MATCH('🌱 Configuração'!$H$12,{"BioBizz","Remo Nutrients","General Organics","SuperSoil","Genérico"},0),1)=1,IF(6=1,"Bio·Bloom",IF(6=2,"Bio·Bloom",IF(6=3,"Bio·Bloom",IF(6=4,"Bio·Bloom",IF(6=5,"Bio·Bloom",IF(6=6,"Bio·Bloom",IF(6=7,"Bio·Bloom",IF(6=8,"Bio·Bloom",IF(6=9,"Bio·Bloom",IF(6=10,"Bio·Bloom",IF(6=11,"Bio·Bloom",IF(6=12,"Bio·Bloom","")))))))))))),IF(IFERROR(MATCH('🌱 Configuração'!$H$12,{"BioBizz","Remo Nutrients","General Organics","SuperSoil","Genérico"},0),1)=2,IF(6=1,"Bloom",IF(6=2,"Bloom",IF(6=3,"Bloom",IF(6=4,"Bloom",IF(6=5,"Bloom",IF(6=6,"Bloom",IF(6=7,"Bloom",IF(6=8,"Bloom",IF(6=9,"Bloom",IF(6=10,"Bloom",IF(6=11,"Bloom",IF(6=12,"Bloom","")))))))))))),IF(IFERROR(MATCH('🌱 Configuração'!$H$12,{"BioBizz","Remo Nutrients","General Organics","SuperSoil","Genérico"},0),1)=3,IF(6=1,"BioBud",IF(6=2,"BioBud",IF(6=3,"BioBud",IF(6=4,"BioBud",IF(6=5,"BioBud",IF(6=6,"BioBud",IF(6=7,"BioBud",IF(6=8,"—",IF(6=9,"—",IF(6=10,"—",IF(6=11,"—",IF(6=12,"—","")))))))))))),IF(IFERROR(MATCH('🌱 Configuração'!$H$12,{"BioBizz","Remo Nutrients","General Organics","SuperSoil","Genérico"},0),1)=4,IF(6=1,"Molasses 2 mL/L",IF(6=2,"—",IF(6=3,"—",IF(6=4,"Cobertura: fosfato natural",IF(6=5,"—",IF(6=6,"Molasses 2 mL/L",IF(6=7,"—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Bio·Bloom</v>
      </c>
      <c r="G30" s="56" t="str">
        <f aca="false">IF('🌱 Configuração'!$D$56="","",IF(6&lt;1,"",IF(6&gt;'🌱 Configuração'!$H$8,"",IF(IFERROR(MATCH('🌱 Configuração'!$H$12,{"BioBizz","Remo Nutrients","General Organics","SuperSoil","Genérico"},0),1)=1,IF(6=1,"1 mL/L",IF(6=2,"2 mL/L",IF(6=3,"3 mL/L",IF(6=4,"3 mL/L",IF(6=5,"4 mL/L",IF(6=6,"4 mL/L",IF(6=7,"4 mL/L",IF(6=8,"4 mL/L",IF(6=9,"4 mL/L",IF(6=10,"4 mL/L",IF(6=11,"4 mL/L",IF(6=12,"2 mL/L","")))))))))))),IF(IFERROR(MATCH('🌱 Configuração'!$H$12,{"BioBizz","Remo Nutrients","General Organics","SuperSoil","Genérico"},0),1)=2,IF(6=1,"2.1 mL/L",IF(6=2,"2.1 mL/L",IF(6=3,"2.1 mL/L",IF(6=4,"2.1 mL/L",IF(6=5,"2.6 mL/L",IF(6=6,"2.6 mL/L",IF(6=7,"2.6 mL/L",IF(6=8,"2.1 mL/L",IF(6=9,"2.1 mL/L",IF(6=10,"2.1 mL/L",IF(6=11,"1.5 mL/L",IF(6=12,"1.0 mL/L","")))))))))))),IF(IFERROR(MATCH('🌱 Configuração'!$H$12,{"BioBizz","Remo Nutrients","General Organics","SuperSoil","Genérico"},0),1)=3,IF(6=1,"0.7 mL/L",IF(6=2,"0.7 mL/L",IF(6=3,"0.7 mL/L",IF(6=4,"0.7 mL/L",IF(6=5,"0.7 mL/L",IF(6=6,"0.7 mL/L",IF(6=7,"0.7 mL/L",IF(6=8,"—",IF(6=9,"—",IF(6=10,"—",IF(6=11,"—",IF(6=12,"—","")))))))))))),IF(IFERROR(MATCH('🌱 Configuração'!$H$12,{"BioBizz","Remo Nutrients","General Organics","SuperSoil","Genérico"},0),1)=4,IF(6=1,"—",IF(6=2,"—",IF(6=3,"—",IF(6=4,"5g/L",IF(6=5,"—",IF(6=6,"—",IF(6=7,"—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4 mL/L</v>
      </c>
      <c r="H30" s="55" t="str">
        <f aca="false">IF('🌱 Configuração'!$D$56="","",IF(6&lt;1,"",IF(6&gt;'🌱 Configuração'!$H$8,"",IF(IFERROR(MATCH('🌱 Configuração'!$H$12,{"BioBizz","Remo Nutrients","General Organics","SuperSoil","Genérico"},0),1)=1,IF(6=1,"Top·Max",IF(6=2,"Top·Max",IF(6=3,"Top·Max",IF(6=4,"Top·Max",IF(6=5,"Top·Max",IF(6=6,"Top·Max",IF(6=7,"Top·Max",IF(6=8,"Top·Max",IF(6=9,"Top·Max",IF(6=10,"Top·Max",IF(6=11,"Top·Max",IF(6=12,"Top·Max","")))))))))))),IF(IFERROR(MATCH('🌱 Configuração'!$H$12,{"BioBizz","Remo Nutrients","General Organics","SuperSoil","Genérico"},0),1)=2,IF(6=1,"—",IF(6=2,"—",IF(6=3,"—",IF(6=4,"Astroflower",IF(6=5,"Astroflower",IF(6=6,"Astroflower",IF(6=7,"Astroflower",IF(6=8,"—",IF(6=9,"—",IF(6=10,"—",IF(6=11,"—",IF(6=12,"—","")))))))))))),IF(IFERROR(MATCH('🌱 Configuração'!$H$12,{"BioBizz","Remo Nutrients","General Organics","SuperSoil","Genérico"},0),1)=3,IF(6=1,"CaMg+",IF(6=2,"CaMg+",IF(6=3,"CaMg+",IF(6=4,"CaMg+",IF(6=5,"CaMg+",IF(6=6,"CaMg+",IF(6=7,"—",IF(6=8,"—",IF(6=9,"—",IF(6=10,"—",IF(6=11,"—",IF(6=12,"—","")))))))))))),IF(IFERROR(MATCH('🌱 Configuração'!$H$12,{"BioBizz","Remo Nutrients","General Organics","SuperSoil","Genérico"},0),1)=4,IF(6=1,"—",IF(6=2,"—",IF(6=3,"—",IF(6=4,"—",IF(6=5,"—",IF(6=6,"—",IF(6=7,"—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Top·Max</v>
      </c>
      <c r="I30" s="56" t="str">
        <f aca="false">IF('🌱 Configuração'!$D$56="","",IF(6&lt;1,"",IF(6&gt;'🌱 Configuração'!$H$8,"",IF(IFERROR(MATCH('🌱 Configuração'!$H$12,{"BioBizz","Remo Nutrients","General Organics","SuperSoil","Genérico"},0),1)=1,IF(6=1,"1 mL/L",IF(6=2,"1 mL/L",IF(6=3,"2 mL/L",IF(6=4,"2 mL/L",IF(6=5,"3 mL/L",IF(6=6,"3 mL/L",IF(6=7,"4 mL/L",IF(6=8,"4 mL/L",IF(6=9,"4 mL/L",IF(6=10,"4 mL/L",IF(6=11,"4 mL/L",IF(6=12,"2 mL/L","")))))))))))),IF(IFERROR(MATCH('🌱 Configuração'!$H$12,{"BioBizz","Remo Nutrients","General Organics","SuperSoil","Genérico"},0),1)=2,IF(6=1,"—",IF(6=2,"—",IF(6=3,"—",IF(6=4,"1.0 mL/L",IF(6=5,"2.0 mL/L",IF(6=6,"2.0 mL/L",IF(6=7,"1.0 mL/L",IF(6=8,"—",IF(6=9,"—",IF(6=10,"—",IF(6=11,"—",IF(6=12,"—","")))))))))))),IF(IFERROR(MATCH('🌱 Configuração'!$H$12,{"BioBizz","Remo Nutrients","General Organics","SuperSoil","Genérico"},0),1)=3,IF(6=1,"1.3 mL/L",IF(6=2,"1.3 mL/L",IF(6=3,"1.3 mL/L",IF(6=4,"1.3 mL/L",IF(6=5,"1.3 mL/L",IF(6=6,"0.7 mL/L",IF(6=7,"—",IF(6=8,"—",IF(6=9,"—",IF(6=10,"—",IF(6=11,"—",IF(6=12,"—","")))))))))))),IF(IFERROR(MATCH('🌱 Configuração'!$H$12,{"BioBizz","Remo Nutrients","General Organics","SuperSoil","Genérico"},0),1)=4,IF(6=1,"—",IF(6=2,"—",IF(6=3,"—",IF(6=4,"—",IF(6=5,"—",IF(6=6,"—",IF(6=7,"—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3 mL/L</v>
      </c>
      <c r="J30" s="55" t="str">
        <f aca="false">IF('🌱 Configuração'!$D$56="","",IF(6&lt;1,"",IF(6&gt;'🌱 Configuração'!$H$8,"",IF(IFERROR(MATCH('🌱 Configuração'!$H$12,{"BioBizz","Remo Nutrients","General Organics","SuperSoil","Genérico"},0),1)=1,IF(6=1,"Alg·A·Mic 1mL",IF(6=2,"—",IF(6=3,"—",IF(6=4,"—",IF(6=5,"—",IF(6=6,"Alg·A·Mic 1mL",IF(6=7,"—",IF(6=8,"—",IF(6=9,"—",IF(6=10,"—",IF(6=11,"—",IF(6=12,"—","")))))))))))),IF(IFERROR(MATCH('🌱 Configuração'!$H$12,{"BioBizz","Remo Nutrients","General Organics","SuperSoil","Genérico"},0),1)=2,IF(6=1,"Magnifical 1.0",IF(6=2,"Magnifical 1.0",IF(6=3,"Magnifical 1.0",IF(6=4,"Magnifical 1.0",IF(6=5,"Kelp 1.0 mL",IF(6=6,"Kelp 1.0 mL",IF(6=7,"—",IF(6=8,"—",IF(6=9,"—",IF(6=10,"—",IF(6=11,"—",IF(6=12,"—","")))))))))))),IF(IFERROR(MATCH('🌱 Configuração'!$H$12,{"BioBizz","Remo Nutrients","General Organics","SuperSoil","Genérico"},0),1)=3,IF(6=1,"BioWeed 0.7",IF(6=2,"—",IF(6=3,"—",IF(6=4,"BioMarine 0.7",IF(6=5,"BioMarine 0.7",IF(6=6,"—",IF(6=7,"—",IF(6=8,"—",IF(6=9,"—",IF(6=10,"—",IF(6=11,"—",IF(6=12,"—","")))))))))))),IF(IFERROR(MATCH('🌱 Configuração'!$H$12,{"BioBizz","Remo Nutrients","General Organics","SuperSoil","Genérico"},0),1)=4,IF(6=1,"Chá",IF(6=2,"—",IF(6=3,"Molasses 2mL",IF(6=4,"—",IF(6=5,"Chá",IF(6=6,"—",IF(6=7,"—",IF(6=8,"—",IF(6=9,"—",IF(6=10,"—",IF(6=11,"—",IF(6=12,"—","")))))))))))),IF(6=1,"—",IF(6=2,"—",IF(6=3,"—",IF(6=4,"—",IF(6=5,"—",IF(6=6,"—",IF(6=7,"—",IF(6=8,"—",IF(6=9,"—",IF(6=10,"—",IF(6=11,"—",IF(6=12,"—","")))))))))))))))))))</f>
        <v>Alg·A·Mic 1mL</v>
      </c>
      <c r="K30" s="44" t="str">
        <f aca="false">IF('🌱 Configuração'!$D$56="","",IF(6&lt;1,"",IF(6&gt;'🌱 Configuração'!$H$8,"",IF(IFERROR(MATCH('🌱 Configuração'!$H$12,{"BioBizz","Remo Nutrients","General Organics","SuperSoil","Genérico"},0),1)=1,IF(6=1,"6.2–6.5",IF(6=2,"6.2–6.5",IF(6=3,"6.2–6.5",IF(6=4,"6.2–6.5",IF(6=5,"6.2–6.5",IF(6=6,"6.2–6.5",IF(6=7,"6.2–6.5",IF(6=8,"6.2–6.5",IF(6=9,"6.2–6.5",IF(6=10,"6.2–6.5",IF(6=11,"6.2–6.5",IF(6=12,"6.2–6.5","")))))))))))),IF(IFERROR(MATCH('🌱 Configuração'!$H$12,{"BioBizz","Remo Nutrients","General Organics","SuperSoil","Genérico"},0),1)=2,IF(6=1,"6.0–6.3",IF(6=2,"6.0–6.3",IF(6=3,"6.0–6.3",IF(6=4,"6.0–6.3",IF(6=5,"6.0–6.3",IF(6=6,"6.0–6.3",IF(6=7,"6.0–6.3",IF(6=8,"6.0–6.3",IF(6=9,"6.0–6.3",IF(6=10,"6.0–6.3",IF(6=11,"6.0–6.3",IF(6=12,"6.0–6.3","")))))))))))),IF(IFERROR(MATCH('🌱 Configuração'!$H$12,{"BioBizz","Remo Nutrients","General Organics","SuperSoil","Genérico"},0),1)=3,IF(6=1,"6.2–7.0",IF(6=2,"6.2–7.0",IF(6=3,"6.2–7.0",IF(6=4,"6.2–7.0",IF(6=5,"6.2–7.0",IF(6=6,"6.2–7.0",IF(6=7,"6.2–7.0",IF(6=8,"6.2–7.0",IF(6=9,"6.2–7.0",IF(6=10,"6.2–7.0",IF(6=11,"6.2–7.0",IF(6=12,"6.2–7.0","")))))))))))),IF(IFERROR(MATCH('🌱 Configuração'!$H$12,{"BioBizz","Remo Nutrients","General Organics","SuperSoil","Genérico"},0),1)=4,IF(6=1,"auto",IF(6=2,"auto",IF(6=3,"auto",IF(6=4,"auto",IF(6=5,"auto",IF(6=6,"auto",IF(6=7,"auto",IF(6=8,"auto",IF(6=9,"auto",IF(6=10,"auto",IF(6=11,"auto",IF(6=12,"auto","")))))))))))),IF(6=1,"—",IF(6=2,"—",IF(6=3,"—",IF(6=4,"—",IF(6=5,"—",IF(6=6,"—",IF(6=7,"—",IF(6=8,"—",IF(6=9,"—",IF(6=10,"—",IF(6=11,"—",IF(6=12,"—","")))))))))))))))))))</f>
        <v>6.2–6.5</v>
      </c>
      <c r="L30" s="45" t="str">
        <f aca="false">IF('🌱 Configuração'!$D$56="","",IF(6&lt;1,"",IF(6&gt;'🌱 Configuração'!$H$8,"",IF(IFERROR(MATCH('🌱 Configuração'!$H$12,{"BioBizz","Remo Nutrients","General Organics","SuperSoil","Genérico"},0),1)=1,IF(6=1,"1.6",IF(6=2,"1.7",IF(6=3,"1.8",IF(6=4,"1.9",IF(6=5,"2.0",IF(6=6,"2.0",IF(6=7,"1.9",IF(6=8,"1.8",IF(6=9,"1.6",IF(6=10,"1.6",IF(6=11,"1.4",IF(6=12,"1.0","")))))))))))),IF(IFERROR(MATCH('🌱 Configuração'!$H$12,{"BioBizz","Remo Nutrients","General Organics","SuperSoil","Genérico"},0),1)=2,IF(6=1,"1.6",IF(6=2,"1.7",IF(6=3,"1.8",IF(6=4,"1.9",IF(6=5,"2.0",IF(6=6,"2.0",IF(6=7,"1.8",IF(6=8,"1.6",IF(6=9,"1.4",IF(6=10,"1.4",IF(6=11,"1.0",IF(6=12,"0.8","")))))))))))),IF(IFERROR(MATCH('🌱 Configuração'!$H$12,{"BioBizz","Remo Nutrients","General Organics","SuperSoil","Genérico"},0),1)=3,IF(6=1,"N/A",IF(6=2,"N/A",IF(6=3,"N/A",IF(6=4,"N/A",IF(6=5,"N/A",IF(6=6,"N/A",IF(6=7,"N/A",IF(6=8,"N/A",IF(6=9,"N/A",IF(6=10,"N/A",IF(6=11,"N/A",IF(6=12,"N/A","")))))))))))),IF(IFERROR(MATCH('🌱 Configuração'!$H$12,{"BioBizz","Remo Nutrients","General Organics","SuperSoil","Genérico"},0),1)=4,IF(6=1,"auto",IF(6=2,"auto",IF(6=3,"auto",IF(6=4,"auto",IF(6=5,"auto",IF(6=6,"auto",IF(6=7,"auto",IF(6=8,"auto",IF(6=9,"auto",IF(6=10,"auto",IF(6=11,"auto",IF(6=12,"auto","")))))))))))),IF(6=1,"—",IF(6=2,"—",IF(6=3,"—",IF(6=4,"—",IF(6=5,"—",IF(6=6,"—",IF(6=7,"—",IF(6=8,"—",IF(6=9,"—",IF(6=10,"—",IF(6=11,"—",IF(6=12,"—","")))))))))))))))))))</f>
        <v>2.0</v>
      </c>
      <c r="M30" s="55" t="str">
        <f aca="false">IF('🌱 Configuração'!$D$56="","",IF(6&lt;1,"",IF(6&gt;'🌱 Configuração'!$H$8,"",IF(IFERROR(MATCH('🌱 Configuração'!$H$12,{"BioBizz","Remo Nutrients","General Organics","SuperSoil","Genérico"},0),1)=1,IF(6=1,"Manter Bio·Grow em S1–S3 flora",IF(6=2,"Formação de pistils",IF(6=3,"Início do enchimento",IF(6=4,"Parar Bio·Grow — fase de flora plena",IF(6=5,"Pico de floração",IF(6=6,"Enchimento máximo",IF(6=7,"Amadurecimento — manter bloom alto",IF(6=8,"Pré-flush — analisar tricomas",IF(6=9,"Semana extra (sativa)",IF(6=10,"Semana extra (sativa)",IF(6=11,"Reduzir — semana final",IF(6=12,"Último adubo antes flush","")))))))))))),IF(IFERROR(MATCH('🌱 Configuração'!$H$12,{"BioBizz","Remo Nutrients","General Organics","SuperSoil","Genérico"},0),1)=2,IF(6=1,"Apenas Micro+Bloom em floração Remo",IF(6=2,"Sem Grow a partir daqui",IF(6=3,"Tabela oficial: 2.1 mL/L S1–S4",IF(6=4,"Astroflower = estimulante floração",IF(6=5,"Tabela oficial: 2.6 mL/L S5–S7",IF(6=6,"Pico de floração Remo",IF(6=7,"Tabela oficial S7",IF(6=8,"Reduzir — semana final",IF(6=9,"Semana extra — sativa",IF(6=10,"Semana extra",IF(6=11,"Reduzir para flush",IF(6=12,"Último adubo","")))))))))))),IF(IFERROR(MATCH('🌱 Configuração'!$H$12,{"BioBizz","Remo Nutrients","General Organics","SuperSoil","Genérico"},0),1)=3,IF(6=1,"BioBud = estimulante flores GO",IF(6=2,"Early Flower GO",IF(6=3,"Mid Flower GO",IF(6=4,"BioMarine = peixe fermentado GO",IF(6=5,"Pico floração GO",IF(6=6,"Late Flower GO",IF(6=7,"Reduzir CaMg+ final",IF(6=8,"Late Flower GO — pré-flush",IF(6=9,"Semana extra — reduzir dose",IF(6=10,"Semana extra GO (sativa)",IF(6=11,"Semana extra GO",IF(6=12,"Último adubo GO","")))))))))))),IF(IFERROR(MATCH('🌱 Configuração'!$H$12,{"BioBizz","Remo Nutrients","General Organics","SuperSoil","Genérico"},0),1)=4,IF(6=1,"Guano P alto = floração forte",IF(6=2,"Solo vivo em pico — não interferir",IF(6=3,"Alga = K e micronutrientes florais",IF(6=4,"Fósforo natural = buds densos",IF(6=5,"Alimentar microbioma — enchimento",IF(6=6,"Semana de pico — micro + K",IF(6=7,"Reduzir intervenções — amadurecimento",IF(6=8,"Pré-flush SuperSoil",IF(6=9,"Parar coberturas — lavar suave",IF(6=10,"Semana extra (sativa)",IF(6=11,"Semana extra",IF(6=12,"Última semana — observar tricomas","")))))))))))),IF(6=1,"Personalize suas doses",IF(6=2,"Personalize suas doses",IF(6=3,"Personalize suas doses",IF(6=4,"Personalize suas doses",IF(6=5,"Personalize suas doses",IF(6=6,"Personalize suas doses",IF(6=7,"Personalize suas doses",IF(6=8,"Personalize suas doses",IF(6=9,"Personalize suas doses",IF(6=10,"Personalize suas doses",IF(6=11,"Personalize suas doses",IF(6=12,"Personalize suas doses","")))))))))))))))))))</f>
        <v>Enchimento máximo</v>
      </c>
    </row>
    <row r="31" customFormat="false" ht="21.75" hidden="false" customHeight="true" outlineLevel="0" collapsed="false">
      <c r="B31" s="26" t="str">
        <f aca="false">IF(7&lt;='🌱 Configuração'!$H$8,"S7","—")</f>
        <v>S7</v>
      </c>
      <c r="C31" s="41" t="n">
        <f aca="false">IF(7&lt;='🌱 Configuração'!$H$8,'🌱 Configuração'!$D$56+42,"")</f>
        <v>98</v>
      </c>
      <c r="D31" s="42" t="str">
        <f aca="false">IF('🌱 Configuração'!$D$56="","",IF(7&lt;1,"",IF(7&gt;'🌱 Configuração'!$H$8,"",IF(IFERROR(MATCH('🌱 Configuração'!$H$12,{"BioBizz","Remo Nutrients","General Organics","SuperSoil","Genérico"},0),1)=1,IF(7=1,"Bio·Grow",IF(7=2,"Bio·Grow",IF(7=3,"Bio·Grow",IF(7=4,"—",IF(7=5,"—",IF(7=6,"—",IF(7=7,"—",IF(7=8,"—",IF(7=9,"—",IF(7=10,"—",IF(7=11,"—",IF(7=12,"—","")))))))))))),IF(IFERROR(MATCH('🌱 Configuração'!$H$12,{"BioBizz","Remo Nutrients","General Organics","SuperSoil","Genérico"},0),1)=2,IF(7=1,"Micro",IF(7=2,"Micro",IF(7=3,"Micro",IF(7=4,"Micro",IF(7=5,"Micro",IF(7=6,"Micro",IF(7=7,"Micro",IF(7=8,"Micro",IF(7=9,"Micro",IF(7=10,"Micro",IF(7=11,"Micro",IF(7=12,"Micro","")))))))))))),IF(IFERROR(MATCH('🌱 Configuração'!$H$12,{"BioBizz","Remo Nutrients","General Organics","SuperSoil","Genérico"},0),1)=3,IF(7=1,"BioThrive B",IF(7=2,"BioThrive B",IF(7=3,"BioThrive B",IF(7=4,"BioThrive B",IF(7=5,"BioThrive B",IF(7=6,"BioThrive B",IF(7=7,"BioThrive B",IF(7=8,"BioThrive B",IF(7=9,"BioThrive B",IF(7=10,"BioThrive B",IF(7=11,"BioThrive B",IF(7=12,"BioThrive B","")))))))))))),IF(IFERROR(MATCH('🌱 Configuração'!$H$12,{"BioBizz","Remo Nutrients","General Organics","SuperSoil","Genérico"},0),1)=4,IF(7=1,"Cobertura: guano de morcego",IF(7=2,"Chá de compostagem",IF(7=3,"Cobertura: farinha de alga",IF(7=4,"Cobertura: guano de morcego",IF(7=5,"Molasses 2 mL/L",IF(7=6,"Cobertura: farinha de alga",IF(7=7,"Chá de compostagem",IF(7=8,"Molasses 2 mL/L",IF(7=9,"Água pura",IF(7=10,"Água pura",IF(7=11,"Água pura",IF(7=12,"Água pura","")))))))))))),IF(7=1,"← Preencha",IF(7=2,"← Preencha",IF(7=3,"← Preencha",IF(7=4,"← Preencha",IF(7=5,"← Preencha",IF(7=6,"← Preencha",IF(7=7,"← Preencha",IF(7=8,"← Preencha",IF(7=9,"← Preencha",IF(7=10,"← Preencha",IF(7=11,"← Preencha",IF(7=12,"← Preencha","")))))))))))))))))))</f>
        <v>—</v>
      </c>
      <c r="E31" s="43" t="str">
        <f aca="false">IF('🌱 Configuração'!$D$56="","",IF(7&lt;1,"",IF(7&gt;'🌱 Configuração'!$H$8,"",IF(IFERROR(MATCH('🌱 Configuração'!$H$12,{"BioBizz","Remo Nutrients","General Organics","SuperSoil","Genérico"},0),1)=1,IF(7=1,"1 mL/L",IF(7=2,"1 mL/L",IF(7=3,"1 mL/L",IF(7=4,"—",IF(7=5,"—",IF(7=6,"—",IF(7=7,"—",IF(7=8,"—",IF(7=9,"—",IF(7=10,"—",IF(7=11,"—",IF(7=12,"—","")))))))))))),IF(IFERROR(MATCH('🌱 Configuração'!$H$12,{"BioBizz","Remo Nutrients","General Organics","SuperSoil","Genérico"},0),1)=2,IF(7=1,"2.1 mL/L",IF(7=2,"2.1 mL/L",IF(7=3,"2.1 mL/L",IF(7=4,"2.1 mL/L",IF(7=5,"2.6 mL/L",IF(7=6,"2.6 mL/L",IF(7=7,"2.6 mL/L",IF(7=8,"2.1 mL/L",IF(7=9,"2.1 mL/L",IF(7=10,"2.1 mL/L",IF(7=11,"1.5 mL/L",IF(7=12,"1.0 mL/L","")))))))))))),IF(IFERROR(MATCH('🌱 Configuração'!$H$12,{"BioBizz","Remo Nutrients","General Organics","SuperSoil","Genérico"},0),1)=3,IF(7=1,"2.6 mL/L",IF(7=2,"2.6 mL/L",IF(7=3,"2.6 mL/L",IF(7=4,"2.6 mL/L",IF(7=5,"2.6 mL/L",IF(7=6,"2.6 mL/L",IF(7=7,"2.6 mL/L",IF(7=8,"2.6 mL/L",IF(7=9,"1.3 mL/L",IF(7=10,"1.3 mL/L",IF(7=11,"1.3 mL/L",IF(7=12,"1.3 mL/L","")))))))))))),IF(IFERROR(MATCH('🌱 Configuração'!$H$12,{"BioBizz","Remo Nutrients","General Organics","SuperSoil","Genérico"},0),1)=4,IF(7=1,"5g/L solo",IF(7=2,"2L/planta",IF(7=3,"5g/L solo",IF(7=4,"5g/L solo",IF(7=5,"—",IF(7=6,"5g/L solo",IF(7=7,"2L/planta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—</v>
      </c>
      <c r="F31" s="42" t="str">
        <f aca="false">IF('🌱 Configuração'!$D$56="","",IF(7&lt;1,"",IF(7&gt;'🌱 Configuração'!$H$8,"",IF(IFERROR(MATCH('🌱 Configuração'!$H$12,{"BioBizz","Remo Nutrients","General Organics","SuperSoil","Genérico"},0),1)=1,IF(7=1,"Bio·Bloom",IF(7=2,"Bio·Bloom",IF(7=3,"Bio·Bloom",IF(7=4,"Bio·Bloom",IF(7=5,"Bio·Bloom",IF(7=6,"Bio·Bloom",IF(7=7,"Bio·Bloom",IF(7=8,"Bio·Bloom",IF(7=9,"Bio·Bloom",IF(7=10,"Bio·Bloom",IF(7=11,"Bio·Bloom",IF(7=12,"Bio·Bloom","")))))))))))),IF(IFERROR(MATCH('🌱 Configuração'!$H$12,{"BioBizz","Remo Nutrients","General Organics","SuperSoil","Genérico"},0),1)=2,IF(7=1,"Bloom",IF(7=2,"Bloom",IF(7=3,"Bloom",IF(7=4,"Bloom",IF(7=5,"Bloom",IF(7=6,"Bloom",IF(7=7,"Bloom",IF(7=8,"Bloom",IF(7=9,"Bloom",IF(7=10,"Bloom",IF(7=11,"Bloom",IF(7=12,"Bloom","")))))))))))),IF(IFERROR(MATCH('🌱 Configuração'!$H$12,{"BioBizz","Remo Nutrients","General Organics","SuperSoil","Genérico"},0),1)=3,IF(7=1,"BioBud",IF(7=2,"BioBud",IF(7=3,"BioBud",IF(7=4,"BioBud",IF(7=5,"BioBud",IF(7=6,"BioBud",IF(7=7,"BioBud",IF(7=8,"—",IF(7=9,"—",IF(7=10,"—",IF(7=11,"—",IF(7=12,"—","")))))))))))),IF(IFERROR(MATCH('🌱 Configuração'!$H$12,{"BioBizz","Remo Nutrients","General Organics","SuperSoil","Genérico"},0),1)=4,IF(7=1,"Molasses 2 mL/L",IF(7=2,"—",IF(7=3,"—",IF(7=4,"Cobertura: fosfato natural",IF(7=5,"—",IF(7=6,"Molasses 2 mL/L",IF(7=7,"—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Bio·Bloom</v>
      </c>
      <c r="G31" s="43" t="str">
        <f aca="false">IF('🌱 Configuração'!$D$56="","",IF(7&lt;1,"",IF(7&gt;'🌱 Configuração'!$H$8,"",IF(IFERROR(MATCH('🌱 Configuração'!$H$12,{"BioBizz","Remo Nutrients","General Organics","SuperSoil","Genérico"},0),1)=1,IF(7=1,"1 mL/L",IF(7=2,"2 mL/L",IF(7=3,"3 mL/L",IF(7=4,"3 mL/L",IF(7=5,"4 mL/L",IF(7=6,"4 mL/L",IF(7=7,"4 mL/L",IF(7=8,"4 mL/L",IF(7=9,"4 mL/L",IF(7=10,"4 mL/L",IF(7=11,"4 mL/L",IF(7=12,"2 mL/L","")))))))))))),IF(IFERROR(MATCH('🌱 Configuração'!$H$12,{"BioBizz","Remo Nutrients","General Organics","SuperSoil","Genérico"},0),1)=2,IF(7=1,"2.1 mL/L",IF(7=2,"2.1 mL/L",IF(7=3,"2.1 mL/L",IF(7=4,"2.1 mL/L",IF(7=5,"2.6 mL/L",IF(7=6,"2.6 mL/L",IF(7=7,"2.6 mL/L",IF(7=8,"2.1 mL/L",IF(7=9,"2.1 mL/L",IF(7=10,"2.1 mL/L",IF(7=11,"1.5 mL/L",IF(7=12,"1.0 mL/L","")))))))))))),IF(IFERROR(MATCH('🌱 Configuração'!$H$12,{"BioBizz","Remo Nutrients","General Organics","SuperSoil","Genérico"},0),1)=3,IF(7=1,"0.7 mL/L",IF(7=2,"0.7 mL/L",IF(7=3,"0.7 mL/L",IF(7=4,"0.7 mL/L",IF(7=5,"0.7 mL/L",IF(7=6,"0.7 mL/L",IF(7=7,"0.7 mL/L",IF(7=8,"—",IF(7=9,"—",IF(7=10,"—",IF(7=11,"—",IF(7=12,"—","")))))))))))),IF(IFERROR(MATCH('🌱 Configuração'!$H$12,{"BioBizz","Remo Nutrients","General Organics","SuperSoil","Genérico"},0),1)=4,IF(7=1,"—",IF(7=2,"—",IF(7=3,"—",IF(7=4,"5g/L",IF(7=5,"—",IF(7=6,"—",IF(7=7,"—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4 mL/L</v>
      </c>
      <c r="H31" s="42" t="str">
        <f aca="false">IF('🌱 Configuração'!$D$56="","",IF(7&lt;1,"",IF(7&gt;'🌱 Configuração'!$H$8,"",IF(IFERROR(MATCH('🌱 Configuração'!$H$12,{"BioBizz","Remo Nutrients","General Organics","SuperSoil","Genérico"},0),1)=1,IF(7=1,"Top·Max",IF(7=2,"Top·Max",IF(7=3,"Top·Max",IF(7=4,"Top·Max",IF(7=5,"Top·Max",IF(7=6,"Top·Max",IF(7=7,"Top·Max",IF(7=8,"Top·Max",IF(7=9,"Top·Max",IF(7=10,"Top·Max",IF(7=11,"Top·Max",IF(7=12,"Top·Max","")))))))))))),IF(IFERROR(MATCH('🌱 Configuração'!$H$12,{"BioBizz","Remo Nutrients","General Organics","SuperSoil","Genérico"},0),1)=2,IF(7=1,"—",IF(7=2,"—",IF(7=3,"—",IF(7=4,"Astroflower",IF(7=5,"Astroflower",IF(7=6,"Astroflower",IF(7=7,"Astroflower",IF(7=8,"—",IF(7=9,"—",IF(7=10,"—",IF(7=11,"—",IF(7=12,"—","")))))))))))),IF(IFERROR(MATCH('🌱 Configuração'!$H$12,{"BioBizz","Remo Nutrients","General Organics","SuperSoil","Genérico"},0),1)=3,IF(7=1,"CaMg+",IF(7=2,"CaMg+",IF(7=3,"CaMg+",IF(7=4,"CaMg+",IF(7=5,"CaMg+",IF(7=6,"CaMg+",IF(7=7,"—",IF(7=8,"—",IF(7=9,"—",IF(7=10,"—",IF(7=11,"—",IF(7=12,"—","")))))))))))),IF(IFERROR(MATCH('🌱 Configuração'!$H$12,{"BioBizz","Remo Nutrients","General Organics","SuperSoil","Genérico"},0),1)=4,IF(7=1,"—",IF(7=2,"—",IF(7=3,"—",IF(7=4,"—",IF(7=5,"—",IF(7=6,"—",IF(7=7,"—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Top·Max</v>
      </c>
      <c r="I31" s="43" t="str">
        <f aca="false">IF('🌱 Configuração'!$D$56="","",IF(7&lt;1,"",IF(7&gt;'🌱 Configuração'!$H$8,"",IF(IFERROR(MATCH('🌱 Configuração'!$H$12,{"BioBizz","Remo Nutrients","General Organics","SuperSoil","Genérico"},0),1)=1,IF(7=1,"1 mL/L",IF(7=2,"1 mL/L",IF(7=3,"2 mL/L",IF(7=4,"2 mL/L",IF(7=5,"3 mL/L",IF(7=6,"3 mL/L",IF(7=7,"4 mL/L",IF(7=8,"4 mL/L",IF(7=9,"4 mL/L",IF(7=10,"4 mL/L",IF(7=11,"4 mL/L",IF(7=12,"2 mL/L","")))))))))))),IF(IFERROR(MATCH('🌱 Configuração'!$H$12,{"BioBizz","Remo Nutrients","General Organics","SuperSoil","Genérico"},0),1)=2,IF(7=1,"—",IF(7=2,"—",IF(7=3,"—",IF(7=4,"1.0 mL/L",IF(7=5,"2.0 mL/L",IF(7=6,"2.0 mL/L",IF(7=7,"1.0 mL/L",IF(7=8,"—",IF(7=9,"—",IF(7=10,"—",IF(7=11,"—",IF(7=12,"—","")))))))))))),IF(IFERROR(MATCH('🌱 Configuração'!$H$12,{"BioBizz","Remo Nutrients","General Organics","SuperSoil","Genérico"},0),1)=3,IF(7=1,"1.3 mL/L",IF(7=2,"1.3 mL/L",IF(7=3,"1.3 mL/L",IF(7=4,"1.3 mL/L",IF(7=5,"1.3 mL/L",IF(7=6,"0.7 mL/L",IF(7=7,"—",IF(7=8,"—",IF(7=9,"—",IF(7=10,"—",IF(7=11,"—",IF(7=12,"—","")))))))))))),IF(IFERROR(MATCH('🌱 Configuração'!$H$12,{"BioBizz","Remo Nutrients","General Organics","SuperSoil","Genérico"},0),1)=4,IF(7=1,"—",IF(7=2,"—",IF(7=3,"—",IF(7=4,"—",IF(7=5,"—",IF(7=6,"—",IF(7=7,"—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4 mL/L</v>
      </c>
      <c r="J31" s="42" t="str">
        <f aca="false">IF('🌱 Configuração'!$D$56="","",IF(7&lt;1,"",IF(7&gt;'🌱 Configuração'!$H$8,"",IF(IFERROR(MATCH('🌱 Configuração'!$H$12,{"BioBizz","Remo Nutrients","General Organics","SuperSoil","Genérico"},0),1)=1,IF(7=1,"Alg·A·Mic 1mL",IF(7=2,"—",IF(7=3,"—",IF(7=4,"—",IF(7=5,"—",IF(7=6,"Alg·A·Mic 1mL",IF(7=7,"—",IF(7=8,"—",IF(7=9,"—",IF(7=10,"—",IF(7=11,"—",IF(7=12,"—","")))))))))))),IF(IFERROR(MATCH('🌱 Configuração'!$H$12,{"BioBizz","Remo Nutrients","General Organics","SuperSoil","Genérico"},0),1)=2,IF(7=1,"Magnifical 1.0",IF(7=2,"Magnifical 1.0",IF(7=3,"Magnifical 1.0",IF(7=4,"Magnifical 1.0",IF(7=5,"Kelp 1.0 mL",IF(7=6,"Kelp 1.0 mL",IF(7=7,"—",IF(7=8,"—",IF(7=9,"—",IF(7=10,"—",IF(7=11,"—",IF(7=12,"—","")))))))))))),IF(IFERROR(MATCH('🌱 Configuração'!$H$12,{"BioBizz","Remo Nutrients","General Organics","SuperSoil","Genérico"},0),1)=3,IF(7=1,"BioWeed 0.7",IF(7=2,"—",IF(7=3,"—",IF(7=4,"BioMarine 0.7",IF(7=5,"BioMarine 0.7",IF(7=6,"—",IF(7=7,"—",IF(7=8,"—",IF(7=9,"—",IF(7=10,"—",IF(7=11,"—",IF(7=12,"—","")))))))))))),IF(IFERROR(MATCH('🌱 Configuração'!$H$12,{"BioBizz","Remo Nutrients","General Organics","SuperSoil","Genérico"},0),1)=4,IF(7=1,"Chá",IF(7=2,"—",IF(7=3,"Molasses 2mL",IF(7=4,"—",IF(7=5,"Chá",IF(7=6,"—",IF(7=7,"—",IF(7=8,"—",IF(7=9,"—",IF(7=10,"—",IF(7=11,"—",IF(7=12,"—","")))))))))))),IF(7=1,"—",IF(7=2,"—",IF(7=3,"—",IF(7=4,"—",IF(7=5,"—",IF(7=6,"—",IF(7=7,"—",IF(7=8,"—",IF(7=9,"—",IF(7=10,"—",IF(7=11,"—",IF(7=12,"—","")))))))))))))))))))</f>
        <v>—</v>
      </c>
      <c r="K31" s="44" t="str">
        <f aca="false">IF('🌱 Configuração'!$D$56="","",IF(7&lt;1,"",IF(7&gt;'🌱 Configuração'!$H$8,"",IF(IFERROR(MATCH('🌱 Configuração'!$H$12,{"BioBizz","Remo Nutrients","General Organics","SuperSoil","Genérico"},0),1)=1,IF(7=1,"6.2–6.5",IF(7=2,"6.2–6.5",IF(7=3,"6.2–6.5",IF(7=4,"6.2–6.5",IF(7=5,"6.2–6.5",IF(7=6,"6.2–6.5",IF(7=7,"6.2–6.5",IF(7=8,"6.2–6.5",IF(7=9,"6.2–6.5",IF(7=10,"6.2–6.5",IF(7=11,"6.2–6.5",IF(7=12,"6.2–6.5","")))))))))))),IF(IFERROR(MATCH('🌱 Configuração'!$H$12,{"BioBizz","Remo Nutrients","General Organics","SuperSoil","Genérico"},0),1)=2,IF(7=1,"6.0–6.3",IF(7=2,"6.0–6.3",IF(7=3,"6.0–6.3",IF(7=4,"6.0–6.3",IF(7=5,"6.0–6.3",IF(7=6,"6.0–6.3",IF(7=7,"6.0–6.3",IF(7=8,"6.0–6.3",IF(7=9,"6.0–6.3",IF(7=10,"6.0–6.3",IF(7=11,"6.0–6.3",IF(7=12,"6.0–6.3","")))))))))))),IF(IFERROR(MATCH('🌱 Configuração'!$H$12,{"BioBizz","Remo Nutrients","General Organics","SuperSoil","Genérico"},0),1)=3,IF(7=1,"6.2–7.0",IF(7=2,"6.2–7.0",IF(7=3,"6.2–7.0",IF(7=4,"6.2–7.0",IF(7=5,"6.2–7.0",IF(7=6,"6.2–7.0",IF(7=7,"6.2–7.0",IF(7=8,"6.2–7.0",IF(7=9,"6.2–7.0",IF(7=10,"6.2–7.0",IF(7=11,"6.2–7.0",IF(7=12,"6.2–7.0","")))))))))))),IF(IFERROR(MATCH('🌱 Configuração'!$H$12,{"BioBizz","Remo Nutrients","General Organics","SuperSoil","Genérico"},0),1)=4,IF(7=1,"auto",IF(7=2,"auto",IF(7=3,"auto",IF(7=4,"auto",IF(7=5,"auto",IF(7=6,"auto",IF(7=7,"auto",IF(7=8,"auto",IF(7=9,"auto",IF(7=10,"auto",IF(7=11,"auto",IF(7=12,"auto","")))))))))))),IF(7=1,"—",IF(7=2,"—",IF(7=3,"—",IF(7=4,"—",IF(7=5,"—",IF(7=6,"—",IF(7=7,"—",IF(7=8,"—",IF(7=9,"—",IF(7=10,"—",IF(7=11,"—",IF(7=12,"—","")))))))))))))))))))</f>
        <v>6.2–6.5</v>
      </c>
      <c r="L31" s="45" t="str">
        <f aca="false">IF('🌱 Configuração'!$D$56="","",IF(7&lt;1,"",IF(7&gt;'🌱 Configuração'!$H$8,"",IF(IFERROR(MATCH('🌱 Configuração'!$H$12,{"BioBizz","Remo Nutrients","General Organics","SuperSoil","Genérico"},0),1)=1,IF(7=1,"1.6",IF(7=2,"1.7",IF(7=3,"1.8",IF(7=4,"1.9",IF(7=5,"2.0",IF(7=6,"2.0",IF(7=7,"1.9",IF(7=8,"1.8",IF(7=9,"1.6",IF(7=10,"1.6",IF(7=11,"1.4",IF(7=12,"1.0","")))))))))))),IF(IFERROR(MATCH('🌱 Configuração'!$H$12,{"BioBizz","Remo Nutrients","General Organics","SuperSoil","Genérico"},0),1)=2,IF(7=1,"1.6",IF(7=2,"1.7",IF(7=3,"1.8",IF(7=4,"1.9",IF(7=5,"2.0",IF(7=6,"2.0",IF(7=7,"1.8",IF(7=8,"1.6",IF(7=9,"1.4",IF(7=10,"1.4",IF(7=11,"1.0",IF(7=12,"0.8","")))))))))))),IF(IFERROR(MATCH('🌱 Configuração'!$H$12,{"BioBizz","Remo Nutrients","General Organics","SuperSoil","Genérico"},0),1)=3,IF(7=1,"N/A",IF(7=2,"N/A",IF(7=3,"N/A",IF(7=4,"N/A",IF(7=5,"N/A",IF(7=6,"N/A",IF(7=7,"N/A",IF(7=8,"N/A",IF(7=9,"N/A",IF(7=10,"N/A",IF(7=11,"N/A",IF(7=12,"N/A","")))))))))))),IF(IFERROR(MATCH('🌱 Configuração'!$H$12,{"BioBizz","Remo Nutrients","General Organics","SuperSoil","Genérico"},0),1)=4,IF(7=1,"auto",IF(7=2,"auto",IF(7=3,"auto",IF(7=4,"auto",IF(7=5,"auto",IF(7=6,"auto",IF(7=7,"auto",IF(7=8,"auto",IF(7=9,"auto",IF(7=10,"auto",IF(7=11,"auto",IF(7=12,"auto","")))))))))))),IF(7=1,"—",IF(7=2,"—",IF(7=3,"—",IF(7=4,"—",IF(7=5,"—",IF(7=6,"—",IF(7=7,"—",IF(7=8,"—",IF(7=9,"—",IF(7=10,"—",IF(7=11,"—",IF(7=12,"—","")))))))))))))))))))</f>
        <v>1.9</v>
      </c>
      <c r="M31" s="42" t="str">
        <f aca="false">IF('🌱 Configuração'!$D$56="","",IF(7&lt;1,"",IF(7&gt;'🌱 Configuração'!$H$8,"",IF(IFERROR(MATCH('🌱 Configuração'!$H$12,{"BioBizz","Remo Nutrients","General Organics","SuperSoil","Genérico"},0),1)=1,IF(7=1,"Manter Bio·Grow em S1–S3 flora",IF(7=2,"Formação de pistils",IF(7=3,"Início do enchimento",IF(7=4,"Parar Bio·Grow — fase de flora plena",IF(7=5,"Pico de floração",IF(7=6,"Enchimento máximo",IF(7=7,"Amadurecimento — manter bloom alto",IF(7=8,"Pré-flush — analisar tricomas",IF(7=9,"Semana extra (sativa)",IF(7=10,"Semana extra (sativa)",IF(7=11,"Reduzir — semana final",IF(7=12,"Último adubo antes flush","")))))))))))),IF(IFERROR(MATCH('🌱 Configuração'!$H$12,{"BioBizz","Remo Nutrients","General Organics","SuperSoil","Genérico"},0),1)=2,IF(7=1,"Apenas Micro+Bloom em floração Remo",IF(7=2,"Sem Grow a partir daqui",IF(7=3,"Tabela oficial: 2.1 mL/L S1–S4",IF(7=4,"Astroflower = estimulante floração",IF(7=5,"Tabela oficial: 2.6 mL/L S5–S7",IF(7=6,"Pico de floração Remo",IF(7=7,"Tabela oficial S7",IF(7=8,"Reduzir — semana final",IF(7=9,"Semana extra — sativa",IF(7=10,"Semana extra",IF(7=11,"Reduzir para flush",IF(7=12,"Último adubo","")))))))))))),IF(IFERROR(MATCH('🌱 Configuração'!$H$12,{"BioBizz","Remo Nutrients","General Organics","SuperSoil","Genérico"},0),1)=3,IF(7=1,"BioBud = estimulante flores GO",IF(7=2,"Early Flower GO",IF(7=3,"Mid Flower GO",IF(7=4,"BioMarine = peixe fermentado GO",IF(7=5,"Pico floração GO",IF(7=6,"Late Flower GO",IF(7=7,"Reduzir CaMg+ final",IF(7=8,"Late Flower GO — pré-flush",IF(7=9,"Semana extra — reduzir dose",IF(7=10,"Semana extra GO (sativa)",IF(7=11,"Semana extra GO",IF(7=12,"Último adubo GO","")))))))))))),IF(IFERROR(MATCH('🌱 Configuração'!$H$12,{"BioBizz","Remo Nutrients","General Organics","SuperSoil","Genérico"},0),1)=4,IF(7=1,"Guano P alto = floração forte",IF(7=2,"Solo vivo em pico — não interferir",IF(7=3,"Alga = K e micronutrientes florais",IF(7=4,"Fósforo natural = buds densos",IF(7=5,"Alimentar microbioma — enchimento",IF(7=6,"Semana de pico — micro + K",IF(7=7,"Reduzir intervenções — amadurecimento",IF(7=8,"Pré-flush SuperSoil",IF(7=9,"Parar coberturas — lavar suave",IF(7=10,"Semana extra (sativa)",IF(7=11,"Semana extra",IF(7=12,"Última semana — observar tricomas","")))))))))))),IF(7=1,"Personalize suas doses",IF(7=2,"Personalize suas doses",IF(7=3,"Personalize suas doses",IF(7=4,"Personalize suas doses",IF(7=5,"Personalize suas doses",IF(7=6,"Personalize suas doses",IF(7=7,"Personalize suas doses",IF(7=8,"Personalize suas doses",IF(7=9,"Personalize suas doses",IF(7=10,"Personalize suas doses",IF(7=11,"Personalize suas doses",IF(7=12,"Personalize suas doses","")))))))))))))))))))</f>
        <v>Amadurecimento — manter bloom alto</v>
      </c>
    </row>
    <row r="32" customFormat="false" ht="21.75" hidden="false" customHeight="true" outlineLevel="0" collapsed="false">
      <c r="B32" s="26" t="str">
        <f aca="false">IF(8&lt;='🌱 Configuração'!$H$8,"S8","—")</f>
        <v>S8</v>
      </c>
      <c r="C32" s="54" t="n">
        <f aca="false">IF(8&lt;='🌱 Configuração'!$H$8,'🌱 Configuração'!$D$56+49,"")</f>
        <v>105</v>
      </c>
      <c r="D32" s="55" t="str">
        <f aca="false">IF('🌱 Configuração'!$D$56="","",IF(8&lt;1,"",IF(8&gt;'🌱 Configuração'!$H$8,"",IF(IFERROR(MATCH('🌱 Configuração'!$H$12,{"BioBizz","Remo Nutrients","General Organics","SuperSoil","Genérico"},0),1)=1,IF(8=1,"Bio·Grow",IF(8=2,"Bio·Grow",IF(8=3,"Bio·Grow",IF(8=4,"—",IF(8=5,"—",IF(8=6,"—",IF(8=7,"—",IF(8=8,"—",IF(8=9,"—",IF(8=10,"—",IF(8=11,"—",IF(8=12,"—","")))))))))))),IF(IFERROR(MATCH('🌱 Configuração'!$H$12,{"BioBizz","Remo Nutrients","General Organics","SuperSoil","Genérico"},0),1)=2,IF(8=1,"Micro",IF(8=2,"Micro",IF(8=3,"Micro",IF(8=4,"Micro",IF(8=5,"Micro",IF(8=6,"Micro",IF(8=7,"Micro",IF(8=8,"Micro",IF(8=9,"Micro",IF(8=10,"Micro",IF(8=11,"Micro",IF(8=12,"Micro","")))))))))))),IF(IFERROR(MATCH('🌱 Configuração'!$H$12,{"BioBizz","Remo Nutrients","General Organics","SuperSoil","Genérico"},0),1)=3,IF(8=1,"BioThrive B",IF(8=2,"BioThrive B",IF(8=3,"BioThrive B",IF(8=4,"BioThrive B",IF(8=5,"BioThrive B",IF(8=6,"BioThrive B",IF(8=7,"BioThrive B",IF(8=8,"BioThrive B",IF(8=9,"BioThrive B",IF(8=10,"BioThrive B",IF(8=11,"BioThrive B",IF(8=12,"BioThrive B","")))))))))))),IF(IFERROR(MATCH('🌱 Configuração'!$H$12,{"BioBizz","Remo Nutrients","General Organics","SuperSoil","Genérico"},0),1)=4,IF(8=1,"Cobertura: guano de morcego",IF(8=2,"Chá de compostagem",IF(8=3,"Cobertura: farinha de alga",IF(8=4,"Cobertura: guano de morcego",IF(8=5,"Molasses 2 mL/L",IF(8=6,"Cobertura: farinha de alga",IF(8=7,"Chá de compostagem",IF(8=8,"Molasses 2 mL/L",IF(8=9,"Água pura",IF(8=10,"Água pura",IF(8=11,"Água pura",IF(8=12,"Água pura","")))))))))))),IF(8=1,"← Preencha",IF(8=2,"← Preencha",IF(8=3,"← Preencha",IF(8=4,"← Preencha",IF(8=5,"← Preencha",IF(8=6,"← Preencha",IF(8=7,"← Preencha",IF(8=8,"← Preencha",IF(8=9,"← Preencha",IF(8=10,"← Preencha",IF(8=11,"← Preencha",IF(8=12,"← Preencha","")))))))))))))))))))</f>
        <v>—</v>
      </c>
      <c r="E32" s="56" t="str">
        <f aca="false">IF('🌱 Configuração'!$D$56="","",IF(8&lt;1,"",IF(8&gt;'🌱 Configuração'!$H$8,"",IF(IFERROR(MATCH('🌱 Configuração'!$H$12,{"BioBizz","Remo Nutrients","General Organics","SuperSoil","Genérico"},0),1)=1,IF(8=1,"1 mL/L",IF(8=2,"1 mL/L",IF(8=3,"1 mL/L",IF(8=4,"—",IF(8=5,"—",IF(8=6,"—",IF(8=7,"—",IF(8=8,"—",IF(8=9,"—",IF(8=10,"—",IF(8=11,"—",IF(8=12,"—","")))))))))))),IF(IFERROR(MATCH('🌱 Configuração'!$H$12,{"BioBizz","Remo Nutrients","General Organics","SuperSoil","Genérico"},0),1)=2,IF(8=1,"2.1 mL/L",IF(8=2,"2.1 mL/L",IF(8=3,"2.1 mL/L",IF(8=4,"2.1 mL/L",IF(8=5,"2.6 mL/L",IF(8=6,"2.6 mL/L",IF(8=7,"2.6 mL/L",IF(8=8,"2.1 mL/L",IF(8=9,"2.1 mL/L",IF(8=10,"2.1 mL/L",IF(8=11,"1.5 mL/L",IF(8=12,"1.0 mL/L","")))))))))))),IF(IFERROR(MATCH('🌱 Configuração'!$H$12,{"BioBizz","Remo Nutrients","General Organics","SuperSoil","Genérico"},0),1)=3,IF(8=1,"2.6 mL/L",IF(8=2,"2.6 mL/L",IF(8=3,"2.6 mL/L",IF(8=4,"2.6 mL/L",IF(8=5,"2.6 mL/L",IF(8=6,"2.6 mL/L",IF(8=7,"2.6 mL/L",IF(8=8,"2.6 mL/L",IF(8=9,"1.3 mL/L",IF(8=10,"1.3 mL/L",IF(8=11,"1.3 mL/L",IF(8=12,"1.3 mL/L","")))))))))))),IF(IFERROR(MATCH('🌱 Configuração'!$H$12,{"BioBizz","Remo Nutrients","General Organics","SuperSoil","Genérico"},0),1)=4,IF(8=1,"5g/L solo",IF(8=2,"2L/planta",IF(8=3,"5g/L solo",IF(8=4,"5g/L solo",IF(8=5,"—",IF(8=6,"5g/L solo",IF(8=7,"2L/planta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—</v>
      </c>
      <c r="F32" s="55" t="str">
        <f aca="false">IF('🌱 Configuração'!$D$56="","",IF(8&lt;1,"",IF(8&gt;'🌱 Configuração'!$H$8,"",IF(IFERROR(MATCH('🌱 Configuração'!$H$12,{"BioBizz","Remo Nutrients","General Organics","SuperSoil","Genérico"},0),1)=1,IF(8=1,"Bio·Bloom",IF(8=2,"Bio·Bloom",IF(8=3,"Bio·Bloom",IF(8=4,"Bio·Bloom",IF(8=5,"Bio·Bloom",IF(8=6,"Bio·Bloom",IF(8=7,"Bio·Bloom",IF(8=8,"Bio·Bloom",IF(8=9,"Bio·Bloom",IF(8=10,"Bio·Bloom",IF(8=11,"Bio·Bloom",IF(8=12,"Bio·Bloom","")))))))))))),IF(IFERROR(MATCH('🌱 Configuração'!$H$12,{"BioBizz","Remo Nutrients","General Organics","SuperSoil","Genérico"},0),1)=2,IF(8=1,"Bloom",IF(8=2,"Bloom",IF(8=3,"Bloom",IF(8=4,"Bloom",IF(8=5,"Bloom",IF(8=6,"Bloom",IF(8=7,"Bloom",IF(8=8,"Bloom",IF(8=9,"Bloom",IF(8=10,"Bloom",IF(8=11,"Bloom",IF(8=12,"Bloom","")))))))))))),IF(IFERROR(MATCH('🌱 Configuração'!$H$12,{"BioBizz","Remo Nutrients","General Organics","SuperSoil","Genérico"},0),1)=3,IF(8=1,"BioBud",IF(8=2,"BioBud",IF(8=3,"BioBud",IF(8=4,"BioBud",IF(8=5,"BioBud",IF(8=6,"BioBud",IF(8=7,"BioBud",IF(8=8,"—",IF(8=9,"—",IF(8=10,"—",IF(8=11,"—",IF(8=12,"—","")))))))))))),IF(IFERROR(MATCH('🌱 Configuração'!$H$12,{"BioBizz","Remo Nutrients","General Organics","SuperSoil","Genérico"},0),1)=4,IF(8=1,"Molasses 2 mL/L",IF(8=2,"—",IF(8=3,"—",IF(8=4,"Cobertura: fosfato natural",IF(8=5,"—",IF(8=6,"Molasses 2 mL/L",IF(8=7,"—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Bio·Bloom</v>
      </c>
      <c r="G32" s="56" t="str">
        <f aca="false">IF('🌱 Configuração'!$D$56="","",IF(8&lt;1,"",IF(8&gt;'🌱 Configuração'!$H$8,"",IF(IFERROR(MATCH('🌱 Configuração'!$H$12,{"BioBizz","Remo Nutrients","General Organics","SuperSoil","Genérico"},0),1)=1,IF(8=1,"1 mL/L",IF(8=2,"2 mL/L",IF(8=3,"3 mL/L",IF(8=4,"3 mL/L",IF(8=5,"4 mL/L",IF(8=6,"4 mL/L",IF(8=7,"4 mL/L",IF(8=8,"4 mL/L",IF(8=9,"4 mL/L",IF(8=10,"4 mL/L",IF(8=11,"4 mL/L",IF(8=12,"2 mL/L","")))))))))))),IF(IFERROR(MATCH('🌱 Configuração'!$H$12,{"BioBizz","Remo Nutrients","General Organics","SuperSoil","Genérico"},0),1)=2,IF(8=1,"2.1 mL/L",IF(8=2,"2.1 mL/L",IF(8=3,"2.1 mL/L",IF(8=4,"2.1 mL/L",IF(8=5,"2.6 mL/L",IF(8=6,"2.6 mL/L",IF(8=7,"2.6 mL/L",IF(8=8,"2.1 mL/L",IF(8=9,"2.1 mL/L",IF(8=10,"2.1 mL/L",IF(8=11,"1.5 mL/L",IF(8=12,"1.0 mL/L","")))))))))))),IF(IFERROR(MATCH('🌱 Configuração'!$H$12,{"BioBizz","Remo Nutrients","General Organics","SuperSoil","Genérico"},0),1)=3,IF(8=1,"0.7 mL/L",IF(8=2,"0.7 mL/L",IF(8=3,"0.7 mL/L",IF(8=4,"0.7 mL/L",IF(8=5,"0.7 mL/L",IF(8=6,"0.7 mL/L",IF(8=7,"0.7 mL/L",IF(8=8,"—",IF(8=9,"—",IF(8=10,"—",IF(8=11,"—",IF(8=12,"—","")))))))))))),IF(IFERROR(MATCH('🌱 Configuração'!$H$12,{"BioBizz","Remo Nutrients","General Organics","SuperSoil","Genérico"},0),1)=4,IF(8=1,"—",IF(8=2,"—",IF(8=3,"—",IF(8=4,"5g/L",IF(8=5,"—",IF(8=6,"—",IF(8=7,"—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4 mL/L</v>
      </c>
      <c r="H32" s="55" t="str">
        <f aca="false">IF('🌱 Configuração'!$D$56="","",IF(8&lt;1,"",IF(8&gt;'🌱 Configuração'!$H$8,"",IF(IFERROR(MATCH('🌱 Configuração'!$H$12,{"BioBizz","Remo Nutrients","General Organics","SuperSoil","Genérico"},0),1)=1,IF(8=1,"Top·Max",IF(8=2,"Top·Max",IF(8=3,"Top·Max",IF(8=4,"Top·Max",IF(8=5,"Top·Max",IF(8=6,"Top·Max",IF(8=7,"Top·Max",IF(8=8,"Top·Max",IF(8=9,"Top·Max",IF(8=10,"Top·Max",IF(8=11,"Top·Max",IF(8=12,"Top·Max","")))))))))))),IF(IFERROR(MATCH('🌱 Configuração'!$H$12,{"BioBizz","Remo Nutrients","General Organics","SuperSoil","Genérico"},0),1)=2,IF(8=1,"—",IF(8=2,"—",IF(8=3,"—",IF(8=4,"Astroflower",IF(8=5,"Astroflower",IF(8=6,"Astroflower",IF(8=7,"Astroflower",IF(8=8,"—",IF(8=9,"—",IF(8=10,"—",IF(8=11,"—",IF(8=12,"—","")))))))))))),IF(IFERROR(MATCH('🌱 Configuração'!$H$12,{"BioBizz","Remo Nutrients","General Organics","SuperSoil","Genérico"},0),1)=3,IF(8=1,"CaMg+",IF(8=2,"CaMg+",IF(8=3,"CaMg+",IF(8=4,"CaMg+",IF(8=5,"CaMg+",IF(8=6,"CaMg+",IF(8=7,"—",IF(8=8,"—",IF(8=9,"—",IF(8=10,"—",IF(8=11,"—",IF(8=12,"—","")))))))))))),IF(IFERROR(MATCH('🌱 Configuração'!$H$12,{"BioBizz","Remo Nutrients","General Organics","SuperSoil","Genérico"},0),1)=4,IF(8=1,"—",IF(8=2,"—",IF(8=3,"—",IF(8=4,"—",IF(8=5,"—",IF(8=6,"—",IF(8=7,"—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Top·Max</v>
      </c>
      <c r="I32" s="56" t="str">
        <f aca="false">IF('🌱 Configuração'!$D$56="","",IF(8&lt;1,"",IF(8&gt;'🌱 Configuração'!$H$8,"",IF(IFERROR(MATCH('🌱 Configuração'!$H$12,{"BioBizz","Remo Nutrients","General Organics","SuperSoil","Genérico"},0),1)=1,IF(8=1,"1 mL/L",IF(8=2,"1 mL/L",IF(8=3,"2 mL/L",IF(8=4,"2 mL/L",IF(8=5,"3 mL/L",IF(8=6,"3 mL/L",IF(8=7,"4 mL/L",IF(8=8,"4 mL/L",IF(8=9,"4 mL/L",IF(8=10,"4 mL/L",IF(8=11,"4 mL/L",IF(8=12,"2 mL/L","")))))))))))),IF(IFERROR(MATCH('🌱 Configuração'!$H$12,{"BioBizz","Remo Nutrients","General Organics","SuperSoil","Genérico"},0),1)=2,IF(8=1,"—",IF(8=2,"—",IF(8=3,"—",IF(8=4,"1.0 mL/L",IF(8=5,"2.0 mL/L",IF(8=6,"2.0 mL/L",IF(8=7,"1.0 mL/L",IF(8=8,"—",IF(8=9,"—",IF(8=10,"—",IF(8=11,"—",IF(8=12,"—","")))))))))))),IF(IFERROR(MATCH('🌱 Configuração'!$H$12,{"BioBizz","Remo Nutrients","General Organics","SuperSoil","Genérico"},0),1)=3,IF(8=1,"1.3 mL/L",IF(8=2,"1.3 mL/L",IF(8=3,"1.3 mL/L",IF(8=4,"1.3 mL/L",IF(8=5,"1.3 mL/L",IF(8=6,"0.7 mL/L",IF(8=7,"—",IF(8=8,"—",IF(8=9,"—",IF(8=10,"—",IF(8=11,"—",IF(8=12,"—","")))))))))))),IF(IFERROR(MATCH('🌱 Configuração'!$H$12,{"BioBizz","Remo Nutrients","General Organics","SuperSoil","Genérico"},0),1)=4,IF(8=1,"—",IF(8=2,"—",IF(8=3,"—",IF(8=4,"—",IF(8=5,"—",IF(8=6,"—",IF(8=7,"—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4 mL/L</v>
      </c>
      <c r="J32" s="55" t="str">
        <f aca="false">IF('🌱 Configuração'!$D$56="","",IF(8&lt;1,"",IF(8&gt;'🌱 Configuração'!$H$8,"",IF(IFERROR(MATCH('🌱 Configuração'!$H$12,{"BioBizz","Remo Nutrients","General Organics","SuperSoil","Genérico"},0),1)=1,IF(8=1,"Alg·A·Mic 1mL",IF(8=2,"—",IF(8=3,"—",IF(8=4,"—",IF(8=5,"—",IF(8=6,"Alg·A·Mic 1mL",IF(8=7,"—",IF(8=8,"—",IF(8=9,"—",IF(8=10,"—",IF(8=11,"—",IF(8=12,"—","")))))))))))),IF(IFERROR(MATCH('🌱 Configuração'!$H$12,{"BioBizz","Remo Nutrients","General Organics","SuperSoil","Genérico"},0),1)=2,IF(8=1,"Magnifical 1.0",IF(8=2,"Magnifical 1.0",IF(8=3,"Magnifical 1.0",IF(8=4,"Magnifical 1.0",IF(8=5,"Kelp 1.0 mL",IF(8=6,"Kelp 1.0 mL",IF(8=7,"—",IF(8=8,"—",IF(8=9,"—",IF(8=10,"—",IF(8=11,"—",IF(8=12,"—","")))))))))))),IF(IFERROR(MATCH('🌱 Configuração'!$H$12,{"BioBizz","Remo Nutrients","General Organics","SuperSoil","Genérico"},0),1)=3,IF(8=1,"BioWeed 0.7",IF(8=2,"—",IF(8=3,"—",IF(8=4,"BioMarine 0.7",IF(8=5,"BioMarine 0.7",IF(8=6,"—",IF(8=7,"—",IF(8=8,"—",IF(8=9,"—",IF(8=10,"—",IF(8=11,"—",IF(8=12,"—","")))))))))))),IF(IFERROR(MATCH('🌱 Configuração'!$H$12,{"BioBizz","Remo Nutrients","General Organics","SuperSoil","Genérico"},0),1)=4,IF(8=1,"Chá",IF(8=2,"—",IF(8=3,"Molasses 2mL",IF(8=4,"—",IF(8=5,"Chá",IF(8=6,"—",IF(8=7,"—",IF(8=8,"—",IF(8=9,"—",IF(8=10,"—",IF(8=11,"—",IF(8=12,"—","")))))))))))),IF(8=1,"—",IF(8=2,"—",IF(8=3,"—",IF(8=4,"—",IF(8=5,"—",IF(8=6,"—",IF(8=7,"—",IF(8=8,"—",IF(8=9,"—",IF(8=10,"—",IF(8=11,"—",IF(8=12,"—","")))))))))))))))))))</f>
        <v>—</v>
      </c>
      <c r="K32" s="44" t="str">
        <f aca="false">IF('🌱 Configuração'!$D$56="","",IF(8&lt;1,"",IF(8&gt;'🌱 Configuração'!$H$8,"",IF(IFERROR(MATCH('🌱 Configuração'!$H$12,{"BioBizz","Remo Nutrients","General Organics","SuperSoil","Genérico"},0),1)=1,IF(8=1,"6.2–6.5",IF(8=2,"6.2–6.5",IF(8=3,"6.2–6.5",IF(8=4,"6.2–6.5",IF(8=5,"6.2–6.5",IF(8=6,"6.2–6.5",IF(8=7,"6.2–6.5",IF(8=8,"6.2–6.5",IF(8=9,"6.2–6.5",IF(8=10,"6.2–6.5",IF(8=11,"6.2–6.5",IF(8=12,"6.2–6.5","")))))))))))),IF(IFERROR(MATCH('🌱 Configuração'!$H$12,{"BioBizz","Remo Nutrients","General Organics","SuperSoil","Genérico"},0),1)=2,IF(8=1,"6.0–6.3",IF(8=2,"6.0–6.3",IF(8=3,"6.0–6.3",IF(8=4,"6.0–6.3",IF(8=5,"6.0–6.3",IF(8=6,"6.0–6.3",IF(8=7,"6.0–6.3",IF(8=8,"6.0–6.3",IF(8=9,"6.0–6.3",IF(8=10,"6.0–6.3",IF(8=11,"6.0–6.3",IF(8=12,"6.0–6.3","")))))))))))),IF(IFERROR(MATCH('🌱 Configuração'!$H$12,{"BioBizz","Remo Nutrients","General Organics","SuperSoil","Genérico"},0),1)=3,IF(8=1,"6.2–7.0",IF(8=2,"6.2–7.0",IF(8=3,"6.2–7.0",IF(8=4,"6.2–7.0",IF(8=5,"6.2–7.0",IF(8=6,"6.2–7.0",IF(8=7,"6.2–7.0",IF(8=8,"6.2–7.0",IF(8=9,"6.2–7.0",IF(8=10,"6.2–7.0",IF(8=11,"6.2–7.0",IF(8=12,"6.2–7.0","")))))))))))),IF(IFERROR(MATCH('🌱 Configuração'!$H$12,{"BioBizz","Remo Nutrients","General Organics","SuperSoil","Genérico"},0),1)=4,IF(8=1,"auto",IF(8=2,"auto",IF(8=3,"auto",IF(8=4,"auto",IF(8=5,"auto",IF(8=6,"auto",IF(8=7,"auto",IF(8=8,"auto",IF(8=9,"auto",IF(8=10,"auto",IF(8=11,"auto",IF(8=12,"auto","")))))))))))),IF(8=1,"—",IF(8=2,"—",IF(8=3,"—",IF(8=4,"—",IF(8=5,"—",IF(8=6,"—",IF(8=7,"—",IF(8=8,"—",IF(8=9,"—",IF(8=10,"—",IF(8=11,"—",IF(8=12,"—","")))))))))))))))))))</f>
        <v>6.2–6.5</v>
      </c>
      <c r="L32" s="45" t="str">
        <f aca="false">IF('🌱 Configuração'!$D$56="","",IF(8&lt;1,"",IF(8&gt;'🌱 Configuração'!$H$8,"",IF(IFERROR(MATCH('🌱 Configuração'!$H$12,{"BioBizz","Remo Nutrients","General Organics","SuperSoil","Genérico"},0),1)=1,IF(8=1,"1.6",IF(8=2,"1.7",IF(8=3,"1.8",IF(8=4,"1.9",IF(8=5,"2.0",IF(8=6,"2.0",IF(8=7,"1.9",IF(8=8,"1.8",IF(8=9,"1.6",IF(8=10,"1.6",IF(8=11,"1.4",IF(8=12,"1.0","")))))))))))),IF(IFERROR(MATCH('🌱 Configuração'!$H$12,{"BioBizz","Remo Nutrients","General Organics","SuperSoil","Genérico"},0),1)=2,IF(8=1,"1.6",IF(8=2,"1.7",IF(8=3,"1.8",IF(8=4,"1.9",IF(8=5,"2.0",IF(8=6,"2.0",IF(8=7,"1.8",IF(8=8,"1.6",IF(8=9,"1.4",IF(8=10,"1.4",IF(8=11,"1.0",IF(8=12,"0.8","")))))))))))),IF(IFERROR(MATCH('🌱 Configuração'!$H$12,{"BioBizz","Remo Nutrients","General Organics","SuperSoil","Genérico"},0),1)=3,IF(8=1,"N/A",IF(8=2,"N/A",IF(8=3,"N/A",IF(8=4,"N/A",IF(8=5,"N/A",IF(8=6,"N/A",IF(8=7,"N/A",IF(8=8,"N/A",IF(8=9,"N/A",IF(8=10,"N/A",IF(8=11,"N/A",IF(8=12,"N/A","")))))))))))),IF(IFERROR(MATCH('🌱 Configuração'!$H$12,{"BioBizz","Remo Nutrients","General Organics","SuperSoil","Genérico"},0),1)=4,IF(8=1,"auto",IF(8=2,"auto",IF(8=3,"auto",IF(8=4,"auto",IF(8=5,"auto",IF(8=6,"auto",IF(8=7,"auto",IF(8=8,"auto",IF(8=9,"auto",IF(8=10,"auto",IF(8=11,"auto",IF(8=12,"auto","")))))))))))),IF(8=1,"—",IF(8=2,"—",IF(8=3,"—",IF(8=4,"—",IF(8=5,"—",IF(8=6,"—",IF(8=7,"—",IF(8=8,"—",IF(8=9,"—",IF(8=10,"—",IF(8=11,"—",IF(8=12,"—","")))))))))))))))))))</f>
        <v>1.8</v>
      </c>
      <c r="M32" s="55" t="str">
        <f aca="false">IF('🌱 Configuração'!$D$56="","",IF(8&lt;1,"",IF(8&gt;'🌱 Configuração'!$H$8,"",IF(IFERROR(MATCH('🌱 Configuração'!$H$12,{"BioBizz","Remo Nutrients","General Organics","SuperSoil","Genérico"},0),1)=1,IF(8=1,"Manter Bio·Grow em S1–S3 flora",IF(8=2,"Formação de pistils",IF(8=3,"Início do enchimento",IF(8=4,"Parar Bio·Grow — fase de flora plena",IF(8=5,"Pico de floração",IF(8=6,"Enchimento máximo",IF(8=7,"Amadurecimento — manter bloom alto",IF(8=8,"Pré-flush — analisar tricomas",IF(8=9,"Semana extra (sativa)",IF(8=10,"Semana extra (sativa)",IF(8=11,"Reduzir — semana final",IF(8=12,"Último adubo antes flush","")))))))))))),IF(IFERROR(MATCH('🌱 Configuração'!$H$12,{"BioBizz","Remo Nutrients","General Organics","SuperSoil","Genérico"},0),1)=2,IF(8=1,"Apenas Micro+Bloom em floração Remo",IF(8=2,"Sem Grow a partir daqui",IF(8=3,"Tabela oficial: 2.1 mL/L S1–S4",IF(8=4,"Astroflower = estimulante floração",IF(8=5,"Tabela oficial: 2.6 mL/L S5–S7",IF(8=6,"Pico de floração Remo",IF(8=7,"Tabela oficial S7",IF(8=8,"Reduzir — semana final",IF(8=9,"Semana extra — sativa",IF(8=10,"Semana extra",IF(8=11,"Reduzir para flush",IF(8=12,"Último adubo","")))))))))))),IF(IFERROR(MATCH('🌱 Configuração'!$H$12,{"BioBizz","Remo Nutrients","General Organics","SuperSoil","Genérico"},0),1)=3,IF(8=1,"BioBud = estimulante flores GO",IF(8=2,"Early Flower GO",IF(8=3,"Mid Flower GO",IF(8=4,"BioMarine = peixe fermentado GO",IF(8=5,"Pico floração GO",IF(8=6,"Late Flower GO",IF(8=7,"Reduzir CaMg+ final",IF(8=8,"Late Flower GO — pré-flush",IF(8=9,"Semana extra — reduzir dose",IF(8=10,"Semana extra GO (sativa)",IF(8=11,"Semana extra GO",IF(8=12,"Último adubo GO","")))))))))))),IF(IFERROR(MATCH('🌱 Configuração'!$H$12,{"BioBizz","Remo Nutrients","General Organics","SuperSoil","Genérico"},0),1)=4,IF(8=1,"Guano P alto = floração forte",IF(8=2,"Solo vivo em pico — não interferir",IF(8=3,"Alga = K e micronutrientes florais",IF(8=4,"Fósforo natural = buds densos",IF(8=5,"Alimentar microbioma — enchimento",IF(8=6,"Semana de pico — micro + K",IF(8=7,"Reduzir intervenções — amadurecimento",IF(8=8,"Pré-flush SuperSoil",IF(8=9,"Parar coberturas — lavar suave",IF(8=10,"Semana extra (sativa)",IF(8=11,"Semana extra",IF(8=12,"Última semana — observar tricomas","")))))))))))),IF(8=1,"Personalize suas doses",IF(8=2,"Personalize suas doses",IF(8=3,"Personalize suas doses",IF(8=4,"Personalize suas doses",IF(8=5,"Personalize suas doses",IF(8=6,"Personalize suas doses",IF(8=7,"Personalize suas doses",IF(8=8,"Personalize suas doses",IF(8=9,"Personalize suas doses",IF(8=10,"Personalize suas doses",IF(8=11,"Personalize suas doses",IF(8=12,"Personalize suas doses","")))))))))))))))))))</f>
        <v>Pré-flush — analisar tricomas</v>
      </c>
    </row>
    <row r="33" customFormat="false" ht="21.75" hidden="false" customHeight="true" outlineLevel="0" collapsed="false">
      <c r="B33" s="26" t="str">
        <f aca="false">IF(9&lt;='🌱 Configuração'!$H$8,"S9","—")</f>
        <v>S9</v>
      </c>
      <c r="C33" s="41" t="n">
        <f aca="false">IF(9&lt;='🌱 Configuração'!$H$8,'🌱 Configuração'!$D$56+56,"")</f>
        <v>112</v>
      </c>
      <c r="D33" s="42" t="str">
        <f aca="false">IF('🌱 Configuração'!$D$56="","",IF(9&lt;1,"",IF(9&gt;'🌱 Configuração'!$H$8,"",IF(IFERROR(MATCH('🌱 Configuração'!$H$12,{"BioBizz","Remo Nutrients","General Organics","SuperSoil","Genérico"},0),1)=1,IF(9=1,"Bio·Grow",IF(9=2,"Bio·Grow",IF(9=3,"Bio·Grow",IF(9=4,"—",IF(9=5,"—",IF(9=6,"—",IF(9=7,"—",IF(9=8,"—",IF(9=9,"—",IF(9=10,"—",IF(9=11,"—",IF(9=12,"—","")))))))))))),IF(IFERROR(MATCH('🌱 Configuração'!$H$12,{"BioBizz","Remo Nutrients","General Organics","SuperSoil","Genérico"},0),1)=2,IF(9=1,"Micro",IF(9=2,"Micro",IF(9=3,"Micro",IF(9=4,"Micro",IF(9=5,"Micro",IF(9=6,"Micro",IF(9=7,"Micro",IF(9=8,"Micro",IF(9=9,"Micro",IF(9=10,"Micro",IF(9=11,"Micro",IF(9=12,"Micro","")))))))))))),IF(IFERROR(MATCH('🌱 Configuração'!$H$12,{"BioBizz","Remo Nutrients","General Organics","SuperSoil","Genérico"},0),1)=3,IF(9=1,"BioThrive B",IF(9=2,"BioThrive B",IF(9=3,"BioThrive B",IF(9=4,"BioThrive B",IF(9=5,"BioThrive B",IF(9=6,"BioThrive B",IF(9=7,"BioThrive B",IF(9=8,"BioThrive B",IF(9=9,"BioThrive B",IF(9=10,"BioThrive B",IF(9=11,"BioThrive B",IF(9=12,"BioThrive B","")))))))))))),IF(IFERROR(MATCH('🌱 Configuração'!$H$12,{"BioBizz","Remo Nutrients","General Organics","SuperSoil","Genérico"},0),1)=4,IF(9=1,"Cobertura: guano de morcego",IF(9=2,"Chá de compostagem",IF(9=3,"Cobertura: farinha de alga",IF(9=4,"Cobertura: guano de morcego",IF(9=5,"Molasses 2 mL/L",IF(9=6,"Cobertura: farinha de alga",IF(9=7,"Chá de compostagem",IF(9=8,"Molasses 2 mL/L",IF(9=9,"Água pura",IF(9=10,"Água pura",IF(9=11,"Água pura",IF(9=12,"Água pura","")))))))))))),IF(9=1,"← Preencha",IF(9=2,"← Preencha",IF(9=3,"← Preencha",IF(9=4,"← Preencha",IF(9=5,"← Preencha",IF(9=6,"← Preencha",IF(9=7,"← Preencha",IF(9=8,"← Preencha",IF(9=9,"← Preencha",IF(9=10,"← Preencha",IF(9=11,"← Preencha",IF(9=12,"← Preencha","")))))))))))))))))))</f>
        <v>—</v>
      </c>
      <c r="E33" s="43" t="str">
        <f aca="false">IF('🌱 Configuração'!$D$56="","",IF(9&lt;1,"",IF(9&gt;'🌱 Configuração'!$H$8,"",IF(IFERROR(MATCH('🌱 Configuração'!$H$12,{"BioBizz","Remo Nutrients","General Organics","SuperSoil","Genérico"},0),1)=1,IF(9=1,"1 mL/L",IF(9=2,"1 mL/L",IF(9=3,"1 mL/L",IF(9=4,"—",IF(9=5,"—",IF(9=6,"—",IF(9=7,"—",IF(9=8,"—",IF(9=9,"—",IF(9=10,"—",IF(9=11,"—",IF(9=12,"—","")))))))))))),IF(IFERROR(MATCH('🌱 Configuração'!$H$12,{"BioBizz","Remo Nutrients","General Organics","SuperSoil","Genérico"},0),1)=2,IF(9=1,"2.1 mL/L",IF(9=2,"2.1 mL/L",IF(9=3,"2.1 mL/L",IF(9=4,"2.1 mL/L",IF(9=5,"2.6 mL/L",IF(9=6,"2.6 mL/L",IF(9=7,"2.6 mL/L",IF(9=8,"2.1 mL/L",IF(9=9,"2.1 mL/L",IF(9=10,"2.1 mL/L",IF(9=11,"1.5 mL/L",IF(9=12,"1.0 mL/L","")))))))))))),IF(IFERROR(MATCH('🌱 Configuração'!$H$12,{"BioBizz","Remo Nutrients","General Organics","SuperSoil","Genérico"},0),1)=3,IF(9=1,"2.6 mL/L",IF(9=2,"2.6 mL/L",IF(9=3,"2.6 mL/L",IF(9=4,"2.6 mL/L",IF(9=5,"2.6 mL/L",IF(9=6,"2.6 mL/L",IF(9=7,"2.6 mL/L",IF(9=8,"2.6 mL/L",IF(9=9,"1.3 mL/L",IF(9=10,"1.3 mL/L",IF(9=11,"1.3 mL/L",IF(9=12,"1.3 mL/L","")))))))))))),IF(IFERROR(MATCH('🌱 Configuração'!$H$12,{"BioBizz","Remo Nutrients","General Organics","SuperSoil","Genérico"},0),1)=4,IF(9=1,"5g/L solo",IF(9=2,"2L/planta",IF(9=3,"5g/L solo",IF(9=4,"5g/L solo",IF(9=5,"—",IF(9=6,"5g/L solo",IF(9=7,"2L/planta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—</v>
      </c>
      <c r="F33" s="42" t="str">
        <f aca="false">IF('🌱 Configuração'!$D$56="","",IF(9&lt;1,"",IF(9&gt;'🌱 Configuração'!$H$8,"",IF(IFERROR(MATCH('🌱 Configuração'!$H$12,{"BioBizz","Remo Nutrients","General Organics","SuperSoil","Genérico"},0),1)=1,IF(9=1,"Bio·Bloom",IF(9=2,"Bio·Bloom",IF(9=3,"Bio·Bloom",IF(9=4,"Bio·Bloom",IF(9=5,"Bio·Bloom",IF(9=6,"Bio·Bloom",IF(9=7,"Bio·Bloom",IF(9=8,"Bio·Bloom",IF(9=9,"Bio·Bloom",IF(9=10,"Bio·Bloom",IF(9=11,"Bio·Bloom",IF(9=12,"Bio·Bloom","")))))))))))),IF(IFERROR(MATCH('🌱 Configuração'!$H$12,{"BioBizz","Remo Nutrients","General Organics","SuperSoil","Genérico"},0),1)=2,IF(9=1,"Bloom",IF(9=2,"Bloom",IF(9=3,"Bloom",IF(9=4,"Bloom",IF(9=5,"Bloom",IF(9=6,"Bloom",IF(9=7,"Bloom",IF(9=8,"Bloom",IF(9=9,"Bloom",IF(9=10,"Bloom",IF(9=11,"Bloom",IF(9=12,"Bloom","")))))))))))),IF(IFERROR(MATCH('🌱 Configuração'!$H$12,{"BioBizz","Remo Nutrients","General Organics","SuperSoil","Genérico"},0),1)=3,IF(9=1,"BioBud",IF(9=2,"BioBud",IF(9=3,"BioBud",IF(9=4,"BioBud",IF(9=5,"BioBud",IF(9=6,"BioBud",IF(9=7,"BioBud",IF(9=8,"—",IF(9=9,"—",IF(9=10,"—",IF(9=11,"—",IF(9=12,"—","")))))))))))),IF(IFERROR(MATCH('🌱 Configuração'!$H$12,{"BioBizz","Remo Nutrients","General Organics","SuperSoil","Genérico"},0),1)=4,IF(9=1,"Molasses 2 mL/L",IF(9=2,"—",IF(9=3,"—",IF(9=4,"Cobertura: fosfato natural",IF(9=5,"—",IF(9=6,"Molasses 2 mL/L",IF(9=7,"—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Bio·Bloom</v>
      </c>
      <c r="G33" s="43" t="str">
        <f aca="false">IF('🌱 Configuração'!$D$56="","",IF(9&lt;1,"",IF(9&gt;'🌱 Configuração'!$H$8,"",IF(IFERROR(MATCH('🌱 Configuração'!$H$12,{"BioBizz","Remo Nutrients","General Organics","SuperSoil","Genérico"},0),1)=1,IF(9=1,"1 mL/L",IF(9=2,"2 mL/L",IF(9=3,"3 mL/L",IF(9=4,"3 mL/L",IF(9=5,"4 mL/L",IF(9=6,"4 mL/L",IF(9=7,"4 mL/L",IF(9=8,"4 mL/L",IF(9=9,"4 mL/L",IF(9=10,"4 mL/L",IF(9=11,"4 mL/L",IF(9=12,"2 mL/L","")))))))))))),IF(IFERROR(MATCH('🌱 Configuração'!$H$12,{"BioBizz","Remo Nutrients","General Organics","SuperSoil","Genérico"},0),1)=2,IF(9=1,"2.1 mL/L",IF(9=2,"2.1 mL/L",IF(9=3,"2.1 mL/L",IF(9=4,"2.1 mL/L",IF(9=5,"2.6 mL/L",IF(9=6,"2.6 mL/L",IF(9=7,"2.6 mL/L",IF(9=8,"2.1 mL/L",IF(9=9,"2.1 mL/L",IF(9=10,"2.1 mL/L",IF(9=11,"1.5 mL/L",IF(9=12,"1.0 mL/L","")))))))))))),IF(IFERROR(MATCH('🌱 Configuração'!$H$12,{"BioBizz","Remo Nutrients","General Organics","SuperSoil","Genérico"},0),1)=3,IF(9=1,"0.7 mL/L",IF(9=2,"0.7 mL/L",IF(9=3,"0.7 mL/L",IF(9=4,"0.7 mL/L",IF(9=5,"0.7 mL/L",IF(9=6,"0.7 mL/L",IF(9=7,"0.7 mL/L",IF(9=8,"—",IF(9=9,"—",IF(9=10,"—",IF(9=11,"—",IF(9=12,"—","")))))))))))),IF(IFERROR(MATCH('🌱 Configuração'!$H$12,{"BioBizz","Remo Nutrients","General Organics","SuperSoil","Genérico"},0),1)=4,IF(9=1,"—",IF(9=2,"—",IF(9=3,"—",IF(9=4,"5g/L",IF(9=5,"—",IF(9=6,"—",IF(9=7,"—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4 mL/L</v>
      </c>
      <c r="H33" s="42" t="str">
        <f aca="false">IF('🌱 Configuração'!$D$56="","",IF(9&lt;1,"",IF(9&gt;'🌱 Configuração'!$H$8,"",IF(IFERROR(MATCH('🌱 Configuração'!$H$12,{"BioBizz","Remo Nutrients","General Organics","SuperSoil","Genérico"},0),1)=1,IF(9=1,"Top·Max",IF(9=2,"Top·Max",IF(9=3,"Top·Max",IF(9=4,"Top·Max",IF(9=5,"Top·Max",IF(9=6,"Top·Max",IF(9=7,"Top·Max",IF(9=8,"Top·Max",IF(9=9,"Top·Max",IF(9=10,"Top·Max",IF(9=11,"Top·Max",IF(9=12,"Top·Max","")))))))))))),IF(IFERROR(MATCH('🌱 Configuração'!$H$12,{"BioBizz","Remo Nutrients","General Organics","SuperSoil","Genérico"},0),1)=2,IF(9=1,"—",IF(9=2,"—",IF(9=3,"—",IF(9=4,"Astroflower",IF(9=5,"Astroflower",IF(9=6,"Astroflower",IF(9=7,"Astroflower",IF(9=8,"—",IF(9=9,"—",IF(9=10,"—",IF(9=11,"—",IF(9=12,"—","")))))))))))),IF(IFERROR(MATCH('🌱 Configuração'!$H$12,{"BioBizz","Remo Nutrients","General Organics","SuperSoil","Genérico"},0),1)=3,IF(9=1,"CaMg+",IF(9=2,"CaMg+",IF(9=3,"CaMg+",IF(9=4,"CaMg+",IF(9=5,"CaMg+",IF(9=6,"CaMg+",IF(9=7,"—",IF(9=8,"—",IF(9=9,"—",IF(9=10,"—",IF(9=11,"—",IF(9=12,"—","")))))))))))),IF(IFERROR(MATCH('🌱 Configuração'!$H$12,{"BioBizz","Remo Nutrients","General Organics","SuperSoil","Genérico"},0),1)=4,IF(9=1,"—",IF(9=2,"—",IF(9=3,"—",IF(9=4,"—",IF(9=5,"—",IF(9=6,"—",IF(9=7,"—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Top·Max</v>
      </c>
      <c r="I33" s="43" t="str">
        <f aca="false">IF('🌱 Configuração'!$D$56="","",IF(9&lt;1,"",IF(9&gt;'🌱 Configuração'!$H$8,"",IF(IFERROR(MATCH('🌱 Configuração'!$H$12,{"BioBizz","Remo Nutrients","General Organics","SuperSoil","Genérico"},0),1)=1,IF(9=1,"1 mL/L",IF(9=2,"1 mL/L",IF(9=3,"2 mL/L",IF(9=4,"2 mL/L",IF(9=5,"3 mL/L",IF(9=6,"3 mL/L",IF(9=7,"4 mL/L",IF(9=8,"4 mL/L",IF(9=9,"4 mL/L",IF(9=10,"4 mL/L",IF(9=11,"4 mL/L",IF(9=12,"2 mL/L","")))))))))))),IF(IFERROR(MATCH('🌱 Configuração'!$H$12,{"BioBizz","Remo Nutrients","General Organics","SuperSoil","Genérico"},0),1)=2,IF(9=1,"—",IF(9=2,"—",IF(9=3,"—",IF(9=4,"1.0 mL/L",IF(9=5,"2.0 mL/L",IF(9=6,"2.0 mL/L",IF(9=7,"1.0 mL/L",IF(9=8,"—",IF(9=9,"—",IF(9=10,"—",IF(9=11,"—",IF(9=12,"—","")))))))))))),IF(IFERROR(MATCH('🌱 Configuração'!$H$12,{"BioBizz","Remo Nutrients","General Organics","SuperSoil","Genérico"},0),1)=3,IF(9=1,"1.3 mL/L",IF(9=2,"1.3 mL/L",IF(9=3,"1.3 mL/L",IF(9=4,"1.3 mL/L",IF(9=5,"1.3 mL/L",IF(9=6,"0.7 mL/L",IF(9=7,"—",IF(9=8,"—",IF(9=9,"—",IF(9=10,"—",IF(9=11,"—",IF(9=12,"—","")))))))))))),IF(IFERROR(MATCH('🌱 Configuração'!$H$12,{"BioBizz","Remo Nutrients","General Organics","SuperSoil","Genérico"},0),1)=4,IF(9=1,"—",IF(9=2,"—",IF(9=3,"—",IF(9=4,"—",IF(9=5,"—",IF(9=6,"—",IF(9=7,"—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4 mL/L</v>
      </c>
      <c r="J33" s="42" t="str">
        <f aca="false">IF('🌱 Configuração'!$D$56="","",IF(9&lt;1,"",IF(9&gt;'🌱 Configuração'!$H$8,"",IF(IFERROR(MATCH('🌱 Configuração'!$H$12,{"BioBizz","Remo Nutrients","General Organics","SuperSoil","Genérico"},0),1)=1,IF(9=1,"Alg·A·Mic 1mL",IF(9=2,"—",IF(9=3,"—",IF(9=4,"—",IF(9=5,"—",IF(9=6,"Alg·A·Mic 1mL",IF(9=7,"—",IF(9=8,"—",IF(9=9,"—",IF(9=10,"—",IF(9=11,"—",IF(9=12,"—","")))))))))))),IF(IFERROR(MATCH('🌱 Configuração'!$H$12,{"BioBizz","Remo Nutrients","General Organics","SuperSoil","Genérico"},0),1)=2,IF(9=1,"Magnifical 1.0",IF(9=2,"Magnifical 1.0",IF(9=3,"Magnifical 1.0",IF(9=4,"Magnifical 1.0",IF(9=5,"Kelp 1.0 mL",IF(9=6,"Kelp 1.0 mL",IF(9=7,"—",IF(9=8,"—",IF(9=9,"—",IF(9=10,"—",IF(9=11,"—",IF(9=12,"—","")))))))))))),IF(IFERROR(MATCH('🌱 Configuração'!$H$12,{"BioBizz","Remo Nutrients","General Organics","SuperSoil","Genérico"},0),1)=3,IF(9=1,"BioWeed 0.7",IF(9=2,"—",IF(9=3,"—",IF(9=4,"BioMarine 0.7",IF(9=5,"BioMarine 0.7",IF(9=6,"—",IF(9=7,"—",IF(9=8,"—",IF(9=9,"—",IF(9=10,"—",IF(9=11,"—",IF(9=12,"—","")))))))))))),IF(IFERROR(MATCH('🌱 Configuração'!$H$12,{"BioBizz","Remo Nutrients","General Organics","SuperSoil","Genérico"},0),1)=4,IF(9=1,"Chá",IF(9=2,"—",IF(9=3,"Molasses 2mL",IF(9=4,"—",IF(9=5,"Chá",IF(9=6,"—",IF(9=7,"—",IF(9=8,"—",IF(9=9,"—",IF(9=10,"—",IF(9=11,"—",IF(9=12,"—","")))))))))))),IF(9=1,"—",IF(9=2,"—",IF(9=3,"—",IF(9=4,"—",IF(9=5,"—",IF(9=6,"—",IF(9=7,"—",IF(9=8,"—",IF(9=9,"—",IF(9=10,"—",IF(9=11,"—",IF(9=12,"—","")))))))))))))))))))</f>
        <v>—</v>
      </c>
      <c r="K33" s="44" t="str">
        <f aca="false">IF('🌱 Configuração'!$D$56="","",IF(9&lt;1,"",IF(9&gt;'🌱 Configuração'!$H$8,"",IF(IFERROR(MATCH('🌱 Configuração'!$H$12,{"BioBizz","Remo Nutrients","General Organics","SuperSoil","Genérico"},0),1)=1,IF(9=1,"6.2–6.5",IF(9=2,"6.2–6.5",IF(9=3,"6.2–6.5",IF(9=4,"6.2–6.5",IF(9=5,"6.2–6.5",IF(9=6,"6.2–6.5",IF(9=7,"6.2–6.5",IF(9=8,"6.2–6.5",IF(9=9,"6.2–6.5",IF(9=10,"6.2–6.5",IF(9=11,"6.2–6.5",IF(9=12,"6.2–6.5","")))))))))))),IF(IFERROR(MATCH('🌱 Configuração'!$H$12,{"BioBizz","Remo Nutrients","General Organics","SuperSoil","Genérico"},0),1)=2,IF(9=1,"6.0–6.3",IF(9=2,"6.0–6.3",IF(9=3,"6.0–6.3",IF(9=4,"6.0–6.3",IF(9=5,"6.0–6.3",IF(9=6,"6.0–6.3",IF(9=7,"6.0–6.3",IF(9=8,"6.0–6.3",IF(9=9,"6.0–6.3",IF(9=10,"6.0–6.3",IF(9=11,"6.0–6.3",IF(9=12,"6.0–6.3","")))))))))))),IF(IFERROR(MATCH('🌱 Configuração'!$H$12,{"BioBizz","Remo Nutrients","General Organics","SuperSoil","Genérico"},0),1)=3,IF(9=1,"6.2–7.0",IF(9=2,"6.2–7.0",IF(9=3,"6.2–7.0",IF(9=4,"6.2–7.0",IF(9=5,"6.2–7.0",IF(9=6,"6.2–7.0",IF(9=7,"6.2–7.0",IF(9=8,"6.2–7.0",IF(9=9,"6.2–7.0",IF(9=10,"6.2–7.0",IF(9=11,"6.2–7.0",IF(9=12,"6.2–7.0","")))))))))))),IF(IFERROR(MATCH('🌱 Configuração'!$H$12,{"BioBizz","Remo Nutrients","General Organics","SuperSoil","Genérico"},0),1)=4,IF(9=1,"auto",IF(9=2,"auto",IF(9=3,"auto",IF(9=4,"auto",IF(9=5,"auto",IF(9=6,"auto",IF(9=7,"auto",IF(9=8,"auto",IF(9=9,"auto",IF(9=10,"auto",IF(9=11,"auto",IF(9=12,"auto","")))))))))))),IF(9=1,"—",IF(9=2,"—",IF(9=3,"—",IF(9=4,"—",IF(9=5,"—",IF(9=6,"—",IF(9=7,"—",IF(9=8,"—",IF(9=9,"—",IF(9=10,"—",IF(9=11,"—",IF(9=12,"—","")))))))))))))))))))</f>
        <v>6.2–6.5</v>
      </c>
      <c r="L33" s="45" t="str">
        <f aca="false">IF('🌱 Configuração'!$D$56="","",IF(9&lt;1,"",IF(9&gt;'🌱 Configuração'!$H$8,"",IF(IFERROR(MATCH('🌱 Configuração'!$H$12,{"BioBizz","Remo Nutrients","General Organics","SuperSoil","Genérico"},0),1)=1,IF(9=1,"1.6",IF(9=2,"1.7",IF(9=3,"1.8",IF(9=4,"1.9",IF(9=5,"2.0",IF(9=6,"2.0",IF(9=7,"1.9",IF(9=8,"1.8",IF(9=9,"1.6",IF(9=10,"1.6",IF(9=11,"1.4",IF(9=12,"1.0","")))))))))))),IF(IFERROR(MATCH('🌱 Configuração'!$H$12,{"BioBizz","Remo Nutrients","General Organics","SuperSoil","Genérico"},0),1)=2,IF(9=1,"1.6",IF(9=2,"1.7",IF(9=3,"1.8",IF(9=4,"1.9",IF(9=5,"2.0",IF(9=6,"2.0",IF(9=7,"1.8",IF(9=8,"1.6",IF(9=9,"1.4",IF(9=10,"1.4",IF(9=11,"1.0",IF(9=12,"0.8","")))))))))))),IF(IFERROR(MATCH('🌱 Configuração'!$H$12,{"BioBizz","Remo Nutrients","General Organics","SuperSoil","Genérico"},0),1)=3,IF(9=1,"N/A",IF(9=2,"N/A",IF(9=3,"N/A",IF(9=4,"N/A",IF(9=5,"N/A",IF(9=6,"N/A",IF(9=7,"N/A",IF(9=8,"N/A",IF(9=9,"N/A",IF(9=10,"N/A",IF(9=11,"N/A",IF(9=12,"N/A","")))))))))))),IF(IFERROR(MATCH('🌱 Configuração'!$H$12,{"BioBizz","Remo Nutrients","General Organics","SuperSoil","Genérico"},0),1)=4,IF(9=1,"auto",IF(9=2,"auto",IF(9=3,"auto",IF(9=4,"auto",IF(9=5,"auto",IF(9=6,"auto",IF(9=7,"auto",IF(9=8,"auto",IF(9=9,"auto",IF(9=10,"auto",IF(9=11,"auto",IF(9=12,"auto","")))))))))))),IF(9=1,"—",IF(9=2,"—",IF(9=3,"—",IF(9=4,"—",IF(9=5,"—",IF(9=6,"—",IF(9=7,"—",IF(9=8,"—",IF(9=9,"—",IF(9=10,"—",IF(9=11,"—",IF(9=12,"—","")))))))))))))))))))</f>
        <v>1.6</v>
      </c>
      <c r="M33" s="42" t="str">
        <f aca="false">IF('🌱 Configuração'!$D$56="","",IF(9&lt;1,"",IF(9&gt;'🌱 Configuração'!$H$8,"",IF(IFERROR(MATCH('🌱 Configuração'!$H$12,{"BioBizz","Remo Nutrients","General Organics","SuperSoil","Genérico"},0),1)=1,IF(9=1,"Manter Bio·Grow em S1–S3 flora",IF(9=2,"Formação de pistils",IF(9=3,"Início do enchimento",IF(9=4,"Parar Bio·Grow — fase de flora plena",IF(9=5,"Pico de floração",IF(9=6,"Enchimento máximo",IF(9=7,"Amadurecimento — manter bloom alto",IF(9=8,"Pré-flush — analisar tricomas",IF(9=9,"Semana extra (sativa)",IF(9=10,"Semana extra (sativa)",IF(9=11,"Reduzir — semana final",IF(9=12,"Último adubo antes flush","")))))))))))),IF(IFERROR(MATCH('🌱 Configuração'!$H$12,{"BioBizz","Remo Nutrients","General Organics","SuperSoil","Genérico"},0),1)=2,IF(9=1,"Apenas Micro+Bloom em floração Remo",IF(9=2,"Sem Grow a partir daqui",IF(9=3,"Tabela oficial: 2.1 mL/L S1–S4",IF(9=4,"Astroflower = estimulante floração",IF(9=5,"Tabela oficial: 2.6 mL/L S5–S7",IF(9=6,"Pico de floração Remo",IF(9=7,"Tabela oficial S7",IF(9=8,"Reduzir — semana final",IF(9=9,"Semana extra — sativa",IF(9=10,"Semana extra",IF(9=11,"Reduzir para flush",IF(9=12,"Último adubo","")))))))))))),IF(IFERROR(MATCH('🌱 Configuração'!$H$12,{"BioBizz","Remo Nutrients","General Organics","SuperSoil","Genérico"},0),1)=3,IF(9=1,"BioBud = estimulante flores GO",IF(9=2,"Early Flower GO",IF(9=3,"Mid Flower GO",IF(9=4,"BioMarine = peixe fermentado GO",IF(9=5,"Pico floração GO",IF(9=6,"Late Flower GO",IF(9=7,"Reduzir CaMg+ final",IF(9=8,"Late Flower GO — pré-flush",IF(9=9,"Semana extra — reduzir dose",IF(9=10,"Semana extra GO (sativa)",IF(9=11,"Semana extra GO",IF(9=12,"Último adubo GO","")))))))))))),IF(IFERROR(MATCH('🌱 Configuração'!$H$12,{"BioBizz","Remo Nutrients","General Organics","SuperSoil","Genérico"},0),1)=4,IF(9=1,"Guano P alto = floração forte",IF(9=2,"Solo vivo em pico — não interferir",IF(9=3,"Alga = K e micronutrientes florais",IF(9=4,"Fósforo natural = buds densos",IF(9=5,"Alimentar microbioma — enchimento",IF(9=6,"Semana de pico — micro + K",IF(9=7,"Reduzir intervenções — amadurecimento",IF(9=8,"Pré-flush SuperSoil",IF(9=9,"Parar coberturas — lavar suave",IF(9=10,"Semana extra (sativa)",IF(9=11,"Semana extra",IF(9=12,"Última semana — observar tricomas","")))))))))))),IF(9=1,"Personalize suas doses",IF(9=2,"Personalize suas doses",IF(9=3,"Personalize suas doses",IF(9=4,"Personalize suas doses",IF(9=5,"Personalize suas doses",IF(9=6,"Personalize suas doses",IF(9=7,"Personalize suas doses",IF(9=8,"Personalize suas doses",IF(9=9,"Personalize suas doses",IF(9=10,"Personalize suas doses",IF(9=11,"Personalize suas doses",IF(9=12,"Personalize suas doses","")))))))))))))))))))</f>
        <v>Semana extra (sativa)</v>
      </c>
    </row>
    <row r="34" customFormat="false" ht="21.75" hidden="false" customHeight="true" outlineLevel="0" collapsed="false">
      <c r="B34" s="26" t="str">
        <f aca="false">IF(10&lt;='🌱 Configuração'!$H$8,"S10","—")</f>
        <v>—</v>
      </c>
      <c r="C34" s="54" t="str">
        <f aca="false">IF(10&lt;='🌱 Configuração'!$H$8,'🌱 Configuração'!$D$56+63,"")</f>
        <v/>
      </c>
      <c r="D34" s="55" t="str">
        <f aca="false">IF('🌱 Configuração'!$D$56="","",IF(10&lt;1,"",IF(10&gt;'🌱 Configuração'!$H$8,"",IF(IFERROR(MATCH('🌱 Configuração'!$H$12,{"BioBizz","Remo Nutrients","General Organics","SuperSoil","Genérico"},0),1)=1,IF(10=1,"Bio·Grow",IF(10=2,"Bio·Grow",IF(10=3,"Bio·Grow",IF(10=4,"—",IF(10=5,"—",IF(10=6,"—",IF(10=7,"—",IF(10=8,"—",IF(10=9,"—",IF(10=10,"—",IF(10=11,"—",IF(10=12,"—","")))))))))))),IF(IFERROR(MATCH('🌱 Configuração'!$H$12,{"BioBizz","Remo Nutrients","General Organics","SuperSoil","Genérico"},0),1)=2,IF(10=1,"Micro",IF(10=2,"Micro",IF(10=3,"Micro",IF(10=4,"Micro",IF(10=5,"Micro",IF(10=6,"Micro",IF(10=7,"Micro",IF(10=8,"Micro",IF(10=9,"Micro",IF(10=10,"Micro",IF(10=11,"Micro",IF(10=12,"Micro","")))))))))))),IF(IFERROR(MATCH('🌱 Configuração'!$H$12,{"BioBizz","Remo Nutrients","General Organics","SuperSoil","Genérico"},0),1)=3,IF(10=1,"BioThrive B",IF(10=2,"BioThrive B",IF(10=3,"BioThrive B",IF(10=4,"BioThrive B",IF(10=5,"BioThrive B",IF(10=6,"BioThrive B",IF(10=7,"BioThrive B",IF(10=8,"BioThrive B",IF(10=9,"BioThrive B",IF(10=10,"BioThrive B",IF(10=11,"BioThrive B",IF(10=12,"BioThrive B","")))))))))))),IF(IFERROR(MATCH('🌱 Configuração'!$H$12,{"BioBizz","Remo Nutrients","General Organics","SuperSoil","Genérico"},0),1)=4,IF(10=1,"Cobertura: guano de morcego",IF(10=2,"Chá de compostagem",IF(10=3,"Cobertura: farinha de alga",IF(10=4,"Cobertura: guano de morcego",IF(10=5,"Molasses 2 mL/L",IF(10=6,"Cobertura: farinha de alga",IF(10=7,"Chá de compostagem",IF(10=8,"Molasses 2 mL/L",IF(10=9,"Água pura",IF(10=10,"Água pura",IF(10=11,"Água pura",IF(10=12,"Água pura","")))))))))))),IF(10=1,"← Preencha",IF(10=2,"← Preencha",IF(10=3,"← Preencha",IF(10=4,"← Preencha",IF(10=5,"← Preencha",IF(10=6,"← Preencha",IF(10=7,"← Preencha",IF(10=8,"← Preencha",IF(10=9,"← Preencha",IF(10=10,"← Preencha",IF(10=11,"← Preencha",IF(10=12,"← Preencha","")))))))))))))))))))</f>
        <v/>
      </c>
      <c r="E34" s="56" t="str">
        <f aca="false">IF('🌱 Configuração'!$D$56="","",IF(10&lt;1,"",IF(10&gt;'🌱 Configuração'!$H$8,"",IF(IFERROR(MATCH('🌱 Configuração'!$H$12,{"BioBizz","Remo Nutrients","General Organics","SuperSoil","Genérico"},0),1)=1,IF(10=1,"1 mL/L",IF(10=2,"1 mL/L",IF(10=3,"1 mL/L",IF(10=4,"—",IF(10=5,"—",IF(10=6,"—",IF(10=7,"—",IF(10=8,"—",IF(10=9,"—",IF(10=10,"—",IF(10=11,"—",IF(10=12,"—","")))))))))))),IF(IFERROR(MATCH('🌱 Configuração'!$H$12,{"BioBizz","Remo Nutrients","General Organics","SuperSoil","Genérico"},0),1)=2,IF(10=1,"2.1 mL/L",IF(10=2,"2.1 mL/L",IF(10=3,"2.1 mL/L",IF(10=4,"2.1 mL/L",IF(10=5,"2.6 mL/L",IF(10=6,"2.6 mL/L",IF(10=7,"2.6 mL/L",IF(10=8,"2.1 mL/L",IF(10=9,"2.1 mL/L",IF(10=10,"2.1 mL/L",IF(10=11,"1.5 mL/L",IF(10=12,"1.0 mL/L","")))))))))))),IF(IFERROR(MATCH('🌱 Configuração'!$H$12,{"BioBizz","Remo Nutrients","General Organics","SuperSoil","Genérico"},0),1)=3,IF(10=1,"2.6 mL/L",IF(10=2,"2.6 mL/L",IF(10=3,"2.6 mL/L",IF(10=4,"2.6 mL/L",IF(10=5,"2.6 mL/L",IF(10=6,"2.6 mL/L",IF(10=7,"2.6 mL/L",IF(10=8,"2.6 mL/L",IF(10=9,"1.3 mL/L",IF(10=10,"1.3 mL/L",IF(10=11,"1.3 mL/L",IF(10=12,"1.3 mL/L","")))))))))))),IF(IFERROR(MATCH('🌱 Configuração'!$H$12,{"BioBizz","Remo Nutrients","General Organics","SuperSoil","Genérico"},0),1)=4,IF(10=1,"5g/L solo",IF(10=2,"2L/planta",IF(10=3,"5g/L solo",IF(10=4,"5g/L solo",IF(10=5,"—",IF(10=6,"5g/L solo",IF(10=7,"2L/planta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F34" s="55" t="str">
        <f aca="false">IF('🌱 Configuração'!$D$56="","",IF(10&lt;1,"",IF(10&gt;'🌱 Configuração'!$H$8,"",IF(IFERROR(MATCH('🌱 Configuração'!$H$12,{"BioBizz","Remo Nutrients","General Organics","SuperSoil","Genérico"},0),1)=1,IF(10=1,"Bio·Bloom",IF(10=2,"Bio·Bloom",IF(10=3,"Bio·Bloom",IF(10=4,"Bio·Bloom",IF(10=5,"Bio·Bloom",IF(10=6,"Bio·Bloom",IF(10=7,"Bio·Bloom",IF(10=8,"Bio·Bloom",IF(10=9,"Bio·Bloom",IF(10=10,"Bio·Bloom",IF(10=11,"Bio·Bloom",IF(10=12,"Bio·Bloom","")))))))))))),IF(IFERROR(MATCH('🌱 Configuração'!$H$12,{"BioBizz","Remo Nutrients","General Organics","SuperSoil","Genérico"},0),1)=2,IF(10=1,"Bloom",IF(10=2,"Bloom",IF(10=3,"Bloom",IF(10=4,"Bloom",IF(10=5,"Bloom",IF(10=6,"Bloom",IF(10=7,"Bloom",IF(10=8,"Bloom",IF(10=9,"Bloom",IF(10=10,"Bloom",IF(10=11,"Bloom",IF(10=12,"Bloom","")))))))))))),IF(IFERROR(MATCH('🌱 Configuração'!$H$12,{"BioBizz","Remo Nutrients","General Organics","SuperSoil","Genérico"},0),1)=3,IF(10=1,"BioBud",IF(10=2,"BioBud",IF(10=3,"BioBud",IF(10=4,"BioBud",IF(10=5,"BioBud",IF(10=6,"BioBud",IF(10=7,"BioBud",IF(10=8,"—",IF(10=9,"—",IF(10=10,"—",IF(10=11,"—",IF(10=12,"—","")))))))))))),IF(IFERROR(MATCH('🌱 Configuração'!$H$12,{"BioBizz","Remo Nutrients","General Organics","SuperSoil","Genérico"},0),1)=4,IF(10=1,"Molasses 2 mL/L",IF(10=2,"—",IF(10=3,"—",IF(10=4,"Cobertura: fosfato natural",IF(10=5,"—",IF(10=6,"Molasses 2 mL/L",IF(10=7,"—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G34" s="56" t="str">
        <f aca="false">IF('🌱 Configuração'!$D$56="","",IF(10&lt;1,"",IF(10&gt;'🌱 Configuração'!$H$8,"",IF(IFERROR(MATCH('🌱 Configuração'!$H$12,{"BioBizz","Remo Nutrients","General Organics","SuperSoil","Genérico"},0),1)=1,IF(10=1,"1 mL/L",IF(10=2,"2 mL/L",IF(10=3,"3 mL/L",IF(10=4,"3 mL/L",IF(10=5,"4 mL/L",IF(10=6,"4 mL/L",IF(10=7,"4 mL/L",IF(10=8,"4 mL/L",IF(10=9,"4 mL/L",IF(10=10,"4 mL/L",IF(10=11,"4 mL/L",IF(10=12,"2 mL/L","")))))))))))),IF(IFERROR(MATCH('🌱 Configuração'!$H$12,{"BioBizz","Remo Nutrients","General Organics","SuperSoil","Genérico"},0),1)=2,IF(10=1,"2.1 mL/L",IF(10=2,"2.1 mL/L",IF(10=3,"2.1 mL/L",IF(10=4,"2.1 mL/L",IF(10=5,"2.6 mL/L",IF(10=6,"2.6 mL/L",IF(10=7,"2.6 mL/L",IF(10=8,"2.1 mL/L",IF(10=9,"2.1 mL/L",IF(10=10,"2.1 mL/L",IF(10=11,"1.5 mL/L",IF(10=12,"1.0 mL/L","")))))))))))),IF(IFERROR(MATCH('🌱 Configuração'!$H$12,{"BioBizz","Remo Nutrients","General Organics","SuperSoil","Genérico"},0),1)=3,IF(10=1,"0.7 mL/L",IF(10=2,"0.7 mL/L",IF(10=3,"0.7 mL/L",IF(10=4,"0.7 mL/L",IF(10=5,"0.7 mL/L",IF(10=6,"0.7 mL/L",IF(10=7,"0.7 mL/L",IF(10=8,"—",IF(10=9,"—",IF(10=10,"—",IF(10=11,"—",IF(10=12,"—","")))))))))))),IF(IFERROR(MATCH('🌱 Configuração'!$H$12,{"BioBizz","Remo Nutrients","General Organics","SuperSoil","Genérico"},0),1)=4,IF(10=1,"—",IF(10=2,"—",IF(10=3,"—",IF(10=4,"5g/L",IF(10=5,"—",IF(10=6,"—",IF(10=7,"—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H34" s="55" t="str">
        <f aca="false">IF('🌱 Configuração'!$D$56="","",IF(10&lt;1,"",IF(10&gt;'🌱 Configuração'!$H$8,"",IF(IFERROR(MATCH('🌱 Configuração'!$H$12,{"BioBizz","Remo Nutrients","General Organics","SuperSoil","Genérico"},0),1)=1,IF(10=1,"Top·Max",IF(10=2,"Top·Max",IF(10=3,"Top·Max",IF(10=4,"Top·Max",IF(10=5,"Top·Max",IF(10=6,"Top·Max",IF(10=7,"Top·Max",IF(10=8,"Top·Max",IF(10=9,"Top·Max",IF(10=10,"Top·Max",IF(10=11,"Top·Max",IF(10=12,"Top·Max","")))))))))))),IF(IFERROR(MATCH('🌱 Configuração'!$H$12,{"BioBizz","Remo Nutrients","General Organics","SuperSoil","Genérico"},0),1)=2,IF(10=1,"—",IF(10=2,"—",IF(10=3,"—",IF(10=4,"Astroflower",IF(10=5,"Astroflower",IF(10=6,"Astroflower",IF(10=7,"Astroflower",IF(10=8,"—",IF(10=9,"—",IF(10=10,"—",IF(10=11,"—",IF(10=12,"—","")))))))))))),IF(IFERROR(MATCH('🌱 Configuração'!$H$12,{"BioBizz","Remo Nutrients","General Organics","SuperSoil","Genérico"},0),1)=3,IF(10=1,"CaMg+",IF(10=2,"CaMg+",IF(10=3,"CaMg+",IF(10=4,"CaMg+",IF(10=5,"CaMg+",IF(10=6,"CaMg+",IF(10=7,"—",IF(10=8,"—",IF(10=9,"—",IF(10=10,"—",IF(10=11,"—",IF(10=12,"—","")))))))))))),IF(IFERROR(MATCH('🌱 Configuração'!$H$12,{"BioBizz","Remo Nutrients","General Organics","SuperSoil","Genérico"},0),1)=4,IF(10=1,"—",IF(10=2,"—",IF(10=3,"—",IF(10=4,"—",IF(10=5,"—",IF(10=6,"—",IF(10=7,"—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I34" s="56" t="str">
        <f aca="false">IF('🌱 Configuração'!$D$56="","",IF(10&lt;1,"",IF(10&gt;'🌱 Configuração'!$H$8,"",IF(IFERROR(MATCH('🌱 Configuração'!$H$12,{"BioBizz","Remo Nutrients","General Organics","SuperSoil","Genérico"},0),1)=1,IF(10=1,"1 mL/L",IF(10=2,"1 mL/L",IF(10=3,"2 mL/L",IF(10=4,"2 mL/L",IF(10=5,"3 mL/L",IF(10=6,"3 mL/L",IF(10=7,"4 mL/L",IF(10=8,"4 mL/L",IF(10=9,"4 mL/L",IF(10=10,"4 mL/L",IF(10=11,"4 mL/L",IF(10=12,"2 mL/L","")))))))))))),IF(IFERROR(MATCH('🌱 Configuração'!$H$12,{"BioBizz","Remo Nutrients","General Organics","SuperSoil","Genérico"},0),1)=2,IF(10=1,"—",IF(10=2,"—",IF(10=3,"—",IF(10=4,"1.0 mL/L",IF(10=5,"2.0 mL/L",IF(10=6,"2.0 mL/L",IF(10=7,"1.0 mL/L",IF(10=8,"—",IF(10=9,"—",IF(10=10,"—",IF(10=11,"—",IF(10=12,"—","")))))))))))),IF(IFERROR(MATCH('🌱 Configuração'!$H$12,{"BioBizz","Remo Nutrients","General Organics","SuperSoil","Genérico"},0),1)=3,IF(10=1,"1.3 mL/L",IF(10=2,"1.3 mL/L",IF(10=3,"1.3 mL/L",IF(10=4,"1.3 mL/L",IF(10=5,"1.3 mL/L",IF(10=6,"0.7 mL/L",IF(10=7,"—",IF(10=8,"—",IF(10=9,"—",IF(10=10,"—",IF(10=11,"—",IF(10=12,"—","")))))))))))),IF(IFERROR(MATCH('🌱 Configuração'!$H$12,{"BioBizz","Remo Nutrients","General Organics","SuperSoil","Genérico"},0),1)=4,IF(10=1,"—",IF(10=2,"—",IF(10=3,"—",IF(10=4,"—",IF(10=5,"—",IF(10=6,"—",IF(10=7,"—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J34" s="55" t="str">
        <f aca="false">IF('🌱 Configuração'!$D$56="","",IF(10&lt;1,"",IF(10&gt;'🌱 Configuração'!$H$8,"",IF(IFERROR(MATCH('🌱 Configuração'!$H$12,{"BioBizz","Remo Nutrients","General Organics","SuperSoil","Genérico"},0),1)=1,IF(10=1,"Alg·A·Mic 1mL",IF(10=2,"—",IF(10=3,"—",IF(10=4,"—",IF(10=5,"—",IF(10=6,"Alg·A·Mic 1mL",IF(10=7,"—",IF(10=8,"—",IF(10=9,"—",IF(10=10,"—",IF(10=11,"—",IF(10=12,"—","")))))))))))),IF(IFERROR(MATCH('🌱 Configuração'!$H$12,{"BioBizz","Remo Nutrients","General Organics","SuperSoil","Genérico"},0),1)=2,IF(10=1,"Magnifical 1.0",IF(10=2,"Magnifical 1.0",IF(10=3,"Magnifical 1.0",IF(10=4,"Magnifical 1.0",IF(10=5,"Kelp 1.0 mL",IF(10=6,"Kelp 1.0 mL",IF(10=7,"—",IF(10=8,"—",IF(10=9,"—",IF(10=10,"—",IF(10=11,"—",IF(10=12,"—","")))))))))))),IF(IFERROR(MATCH('🌱 Configuração'!$H$12,{"BioBizz","Remo Nutrients","General Organics","SuperSoil","Genérico"},0),1)=3,IF(10=1,"BioWeed 0.7",IF(10=2,"—",IF(10=3,"—",IF(10=4,"BioMarine 0.7",IF(10=5,"BioMarine 0.7",IF(10=6,"—",IF(10=7,"—",IF(10=8,"—",IF(10=9,"—",IF(10=10,"—",IF(10=11,"—",IF(10=12,"—","")))))))))))),IF(IFERROR(MATCH('🌱 Configuração'!$H$12,{"BioBizz","Remo Nutrients","General Organics","SuperSoil","Genérico"},0),1)=4,IF(10=1,"Chá",IF(10=2,"—",IF(10=3,"Molasses 2mL",IF(10=4,"—",IF(10=5,"Chá",IF(10=6,"—",IF(10=7,"—",IF(10=8,"—",IF(10=9,"—",IF(10=10,"—",IF(10=11,"—",IF(10=12,"—","")))))))))))),IF(10=1,"—",IF(10=2,"—",IF(10=3,"—",IF(10=4,"—",IF(10=5,"—",IF(10=6,"—",IF(10=7,"—",IF(10=8,"—",IF(10=9,"—",IF(10=10,"—",IF(10=11,"—",IF(10=12,"—","")))))))))))))))))))</f>
        <v/>
      </c>
      <c r="K34" s="44" t="str">
        <f aca="false">IF('🌱 Configuração'!$D$56="","",IF(10&lt;1,"",IF(10&gt;'🌱 Configuração'!$H$8,"",IF(IFERROR(MATCH('🌱 Configuração'!$H$12,{"BioBizz","Remo Nutrients","General Organics","SuperSoil","Genérico"},0),1)=1,IF(10=1,"6.2–6.5",IF(10=2,"6.2–6.5",IF(10=3,"6.2–6.5",IF(10=4,"6.2–6.5",IF(10=5,"6.2–6.5",IF(10=6,"6.2–6.5",IF(10=7,"6.2–6.5",IF(10=8,"6.2–6.5",IF(10=9,"6.2–6.5",IF(10=10,"6.2–6.5",IF(10=11,"6.2–6.5",IF(10=12,"6.2–6.5","")))))))))))),IF(IFERROR(MATCH('🌱 Configuração'!$H$12,{"BioBizz","Remo Nutrients","General Organics","SuperSoil","Genérico"},0),1)=2,IF(10=1,"6.0–6.3",IF(10=2,"6.0–6.3",IF(10=3,"6.0–6.3",IF(10=4,"6.0–6.3",IF(10=5,"6.0–6.3",IF(10=6,"6.0–6.3",IF(10=7,"6.0–6.3",IF(10=8,"6.0–6.3",IF(10=9,"6.0–6.3",IF(10=10,"6.0–6.3",IF(10=11,"6.0–6.3",IF(10=12,"6.0–6.3","")))))))))))),IF(IFERROR(MATCH('🌱 Configuração'!$H$12,{"BioBizz","Remo Nutrients","General Organics","SuperSoil","Genérico"},0),1)=3,IF(10=1,"6.2–7.0",IF(10=2,"6.2–7.0",IF(10=3,"6.2–7.0",IF(10=4,"6.2–7.0",IF(10=5,"6.2–7.0",IF(10=6,"6.2–7.0",IF(10=7,"6.2–7.0",IF(10=8,"6.2–7.0",IF(10=9,"6.2–7.0",IF(10=10,"6.2–7.0",IF(10=11,"6.2–7.0",IF(10=12,"6.2–7.0","")))))))))))),IF(IFERROR(MATCH('🌱 Configuração'!$H$12,{"BioBizz","Remo Nutrients","General Organics","SuperSoil","Genérico"},0),1)=4,IF(10=1,"auto",IF(10=2,"auto",IF(10=3,"auto",IF(10=4,"auto",IF(10=5,"auto",IF(10=6,"auto",IF(10=7,"auto",IF(10=8,"auto",IF(10=9,"auto",IF(10=10,"auto",IF(10=11,"auto",IF(10=12,"auto","")))))))))))),IF(10=1,"—",IF(10=2,"—",IF(10=3,"—",IF(10=4,"—",IF(10=5,"—",IF(10=6,"—",IF(10=7,"—",IF(10=8,"—",IF(10=9,"—",IF(10=10,"—",IF(10=11,"—",IF(10=12,"—","")))))))))))))))))))</f>
        <v/>
      </c>
      <c r="L34" s="45" t="str">
        <f aca="false">IF('🌱 Configuração'!$D$56="","",IF(10&lt;1,"",IF(10&gt;'🌱 Configuração'!$H$8,"",IF(IFERROR(MATCH('🌱 Configuração'!$H$12,{"BioBizz","Remo Nutrients","General Organics","SuperSoil","Genérico"},0),1)=1,IF(10=1,"1.6",IF(10=2,"1.7",IF(10=3,"1.8",IF(10=4,"1.9",IF(10=5,"2.0",IF(10=6,"2.0",IF(10=7,"1.9",IF(10=8,"1.8",IF(10=9,"1.6",IF(10=10,"1.6",IF(10=11,"1.4",IF(10=12,"1.0","")))))))))))),IF(IFERROR(MATCH('🌱 Configuração'!$H$12,{"BioBizz","Remo Nutrients","General Organics","SuperSoil","Genérico"},0),1)=2,IF(10=1,"1.6",IF(10=2,"1.7",IF(10=3,"1.8",IF(10=4,"1.9",IF(10=5,"2.0",IF(10=6,"2.0",IF(10=7,"1.8",IF(10=8,"1.6",IF(10=9,"1.4",IF(10=10,"1.4",IF(10=11,"1.0",IF(10=12,"0.8","")))))))))))),IF(IFERROR(MATCH('🌱 Configuração'!$H$12,{"BioBizz","Remo Nutrients","General Organics","SuperSoil","Genérico"},0),1)=3,IF(10=1,"N/A",IF(10=2,"N/A",IF(10=3,"N/A",IF(10=4,"N/A",IF(10=5,"N/A",IF(10=6,"N/A",IF(10=7,"N/A",IF(10=8,"N/A",IF(10=9,"N/A",IF(10=10,"N/A",IF(10=11,"N/A",IF(10=12,"N/A","")))))))))))),IF(IFERROR(MATCH('🌱 Configuração'!$H$12,{"BioBizz","Remo Nutrients","General Organics","SuperSoil","Genérico"},0),1)=4,IF(10=1,"auto",IF(10=2,"auto",IF(10=3,"auto",IF(10=4,"auto",IF(10=5,"auto",IF(10=6,"auto",IF(10=7,"auto",IF(10=8,"auto",IF(10=9,"auto",IF(10=10,"auto",IF(10=11,"auto",IF(10=12,"auto","")))))))))))),IF(10=1,"—",IF(10=2,"—",IF(10=3,"—",IF(10=4,"—",IF(10=5,"—",IF(10=6,"—",IF(10=7,"—",IF(10=8,"—",IF(10=9,"—",IF(10=10,"—",IF(10=11,"—",IF(10=12,"—","")))))))))))))))))))</f>
        <v/>
      </c>
      <c r="M34" s="55" t="str">
        <f aca="false">IF('🌱 Configuração'!$D$56="","",IF(10&lt;1,"",IF(10&gt;'🌱 Configuração'!$H$8,"",IF(IFERROR(MATCH('🌱 Configuração'!$H$12,{"BioBizz","Remo Nutrients","General Organics","SuperSoil","Genérico"},0),1)=1,IF(10=1,"Manter Bio·Grow em S1–S3 flora",IF(10=2,"Formação de pistils",IF(10=3,"Início do enchimento",IF(10=4,"Parar Bio·Grow — fase de flora plena",IF(10=5,"Pico de floração",IF(10=6,"Enchimento máximo",IF(10=7,"Amadurecimento — manter bloom alto",IF(10=8,"Pré-flush — analisar tricomas",IF(10=9,"Semana extra (sativa)",IF(10=10,"Semana extra (sativa)",IF(10=11,"Reduzir — semana final",IF(10=12,"Último adubo antes flush","")))))))))))),IF(IFERROR(MATCH('🌱 Configuração'!$H$12,{"BioBizz","Remo Nutrients","General Organics","SuperSoil","Genérico"},0),1)=2,IF(10=1,"Apenas Micro+Bloom em floração Remo",IF(10=2,"Sem Grow a partir daqui",IF(10=3,"Tabela oficial: 2.1 mL/L S1–S4",IF(10=4,"Astroflower = estimulante floração",IF(10=5,"Tabela oficial: 2.6 mL/L S5–S7",IF(10=6,"Pico de floração Remo",IF(10=7,"Tabela oficial S7",IF(10=8,"Reduzir — semana final",IF(10=9,"Semana extra — sativa",IF(10=10,"Semana extra",IF(10=11,"Reduzir para flush",IF(10=12,"Último adubo","")))))))))))),IF(IFERROR(MATCH('🌱 Configuração'!$H$12,{"BioBizz","Remo Nutrients","General Organics","SuperSoil","Genérico"},0),1)=3,IF(10=1,"BioBud = estimulante flores GO",IF(10=2,"Early Flower GO",IF(10=3,"Mid Flower GO",IF(10=4,"BioMarine = peixe fermentado GO",IF(10=5,"Pico floração GO",IF(10=6,"Late Flower GO",IF(10=7,"Reduzir CaMg+ final",IF(10=8,"Late Flower GO — pré-flush",IF(10=9,"Semana extra — reduzir dose",IF(10=10,"Semana extra GO (sativa)",IF(10=11,"Semana extra GO",IF(10=12,"Último adubo GO","")))))))))))),IF(IFERROR(MATCH('🌱 Configuração'!$H$12,{"BioBizz","Remo Nutrients","General Organics","SuperSoil","Genérico"},0),1)=4,IF(10=1,"Guano P alto = floração forte",IF(10=2,"Solo vivo em pico — não interferir",IF(10=3,"Alga = K e micronutrientes florais",IF(10=4,"Fósforo natural = buds densos",IF(10=5,"Alimentar microbioma — enchimento",IF(10=6,"Semana de pico — micro + K",IF(10=7,"Reduzir intervenções — amadurecimento",IF(10=8,"Pré-flush SuperSoil",IF(10=9,"Parar coberturas — lavar suave",IF(10=10,"Semana extra (sativa)",IF(10=11,"Semana extra",IF(10=12,"Última semana — observar tricomas","")))))))))))),IF(10=1,"Personalize suas doses",IF(10=2,"Personalize suas doses",IF(10=3,"Personalize suas doses",IF(10=4,"Personalize suas doses",IF(10=5,"Personalize suas doses",IF(10=6,"Personalize suas doses",IF(10=7,"Personalize suas doses",IF(10=8,"Personalize suas doses",IF(10=9,"Personalize suas doses",IF(10=10,"Personalize suas doses",IF(10=11,"Personalize suas doses",IF(10=12,"Personalize suas doses","")))))))))))))))))))</f>
        <v/>
      </c>
    </row>
    <row r="35" customFormat="false" ht="21.75" hidden="false" customHeight="true" outlineLevel="0" collapsed="false">
      <c r="B35" s="26" t="str">
        <f aca="false">IF(11&lt;='🌱 Configuração'!$H$8,"S11","—")</f>
        <v>—</v>
      </c>
      <c r="C35" s="41" t="str">
        <f aca="false">IF(11&lt;='🌱 Configuração'!$H$8,'🌱 Configuração'!$D$56+70,"")</f>
        <v/>
      </c>
      <c r="D35" s="42" t="str">
        <f aca="false">IF('🌱 Configuração'!$D$56="","",IF(11&lt;1,"",IF(11&gt;'🌱 Configuração'!$H$8,"",IF(IFERROR(MATCH('🌱 Configuração'!$H$12,{"BioBizz","Remo Nutrients","General Organics","SuperSoil","Genérico"},0),1)=1,IF(11=1,"Bio·Grow",IF(11=2,"Bio·Grow",IF(11=3,"Bio·Grow",IF(11=4,"—",IF(11=5,"—",IF(11=6,"—",IF(11=7,"—",IF(11=8,"—",IF(11=9,"—",IF(11=10,"—",IF(11=11,"—",IF(11=12,"—","")))))))))))),IF(IFERROR(MATCH('🌱 Configuração'!$H$12,{"BioBizz","Remo Nutrients","General Organics","SuperSoil","Genérico"},0),1)=2,IF(11=1,"Micro",IF(11=2,"Micro",IF(11=3,"Micro",IF(11=4,"Micro",IF(11=5,"Micro",IF(11=6,"Micro",IF(11=7,"Micro",IF(11=8,"Micro",IF(11=9,"Micro",IF(11=10,"Micro",IF(11=11,"Micro",IF(11=12,"Micro","")))))))))))),IF(IFERROR(MATCH('🌱 Configuração'!$H$12,{"BioBizz","Remo Nutrients","General Organics","SuperSoil","Genérico"},0),1)=3,IF(11=1,"BioThrive B",IF(11=2,"BioThrive B",IF(11=3,"BioThrive B",IF(11=4,"BioThrive B",IF(11=5,"BioThrive B",IF(11=6,"BioThrive B",IF(11=7,"BioThrive B",IF(11=8,"BioThrive B",IF(11=9,"BioThrive B",IF(11=10,"BioThrive B",IF(11=11,"BioThrive B",IF(11=12,"BioThrive B","")))))))))))),IF(IFERROR(MATCH('🌱 Configuração'!$H$12,{"BioBizz","Remo Nutrients","General Organics","SuperSoil","Genérico"},0),1)=4,IF(11=1,"Cobertura: guano de morcego",IF(11=2,"Chá de compostagem",IF(11=3,"Cobertura: farinha de alga",IF(11=4,"Cobertura: guano de morcego",IF(11=5,"Molasses 2 mL/L",IF(11=6,"Cobertura: farinha de alga",IF(11=7,"Chá de compostagem",IF(11=8,"Molasses 2 mL/L",IF(11=9,"Água pura",IF(11=10,"Água pura",IF(11=11,"Água pura",IF(11=12,"Água pura","")))))))))))),IF(11=1,"← Preencha",IF(11=2,"← Preencha",IF(11=3,"← Preencha",IF(11=4,"← Preencha",IF(11=5,"← Preencha",IF(11=6,"← Preencha",IF(11=7,"← Preencha",IF(11=8,"← Preencha",IF(11=9,"← Preencha",IF(11=10,"← Preencha",IF(11=11,"← Preencha",IF(11=12,"← Preencha","")))))))))))))))))))</f>
        <v/>
      </c>
      <c r="E35" s="43" t="str">
        <f aca="false">IF('🌱 Configuração'!$D$56="","",IF(11&lt;1,"",IF(11&gt;'🌱 Configuração'!$H$8,"",IF(IFERROR(MATCH('🌱 Configuração'!$H$12,{"BioBizz","Remo Nutrients","General Organics","SuperSoil","Genérico"},0),1)=1,IF(11=1,"1 mL/L",IF(11=2,"1 mL/L",IF(11=3,"1 mL/L",IF(11=4,"—",IF(11=5,"—",IF(11=6,"—",IF(11=7,"—",IF(11=8,"—",IF(11=9,"—",IF(11=10,"—",IF(11=11,"—",IF(11=12,"—","")))))))))))),IF(IFERROR(MATCH('🌱 Configuração'!$H$12,{"BioBizz","Remo Nutrients","General Organics","SuperSoil","Genérico"},0),1)=2,IF(11=1,"2.1 mL/L",IF(11=2,"2.1 mL/L",IF(11=3,"2.1 mL/L",IF(11=4,"2.1 mL/L",IF(11=5,"2.6 mL/L",IF(11=6,"2.6 mL/L",IF(11=7,"2.6 mL/L",IF(11=8,"2.1 mL/L",IF(11=9,"2.1 mL/L",IF(11=10,"2.1 mL/L",IF(11=11,"1.5 mL/L",IF(11=12,"1.0 mL/L","")))))))))))),IF(IFERROR(MATCH('🌱 Configuração'!$H$12,{"BioBizz","Remo Nutrients","General Organics","SuperSoil","Genérico"},0),1)=3,IF(11=1,"2.6 mL/L",IF(11=2,"2.6 mL/L",IF(11=3,"2.6 mL/L",IF(11=4,"2.6 mL/L",IF(11=5,"2.6 mL/L",IF(11=6,"2.6 mL/L",IF(11=7,"2.6 mL/L",IF(11=8,"2.6 mL/L",IF(11=9,"1.3 mL/L",IF(11=10,"1.3 mL/L",IF(11=11,"1.3 mL/L",IF(11=12,"1.3 mL/L","")))))))))))),IF(IFERROR(MATCH('🌱 Configuração'!$H$12,{"BioBizz","Remo Nutrients","General Organics","SuperSoil","Genérico"},0),1)=4,IF(11=1,"5g/L solo",IF(11=2,"2L/planta",IF(11=3,"5g/L solo",IF(11=4,"5g/L solo",IF(11=5,"—",IF(11=6,"5g/L solo",IF(11=7,"2L/planta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F35" s="42" t="str">
        <f aca="false">IF('🌱 Configuração'!$D$56="","",IF(11&lt;1,"",IF(11&gt;'🌱 Configuração'!$H$8,"",IF(IFERROR(MATCH('🌱 Configuração'!$H$12,{"BioBizz","Remo Nutrients","General Organics","SuperSoil","Genérico"},0),1)=1,IF(11=1,"Bio·Bloom",IF(11=2,"Bio·Bloom",IF(11=3,"Bio·Bloom",IF(11=4,"Bio·Bloom",IF(11=5,"Bio·Bloom",IF(11=6,"Bio·Bloom",IF(11=7,"Bio·Bloom",IF(11=8,"Bio·Bloom",IF(11=9,"Bio·Bloom",IF(11=10,"Bio·Bloom",IF(11=11,"Bio·Bloom",IF(11=12,"Bio·Bloom","")))))))))))),IF(IFERROR(MATCH('🌱 Configuração'!$H$12,{"BioBizz","Remo Nutrients","General Organics","SuperSoil","Genérico"},0),1)=2,IF(11=1,"Bloom",IF(11=2,"Bloom",IF(11=3,"Bloom",IF(11=4,"Bloom",IF(11=5,"Bloom",IF(11=6,"Bloom",IF(11=7,"Bloom",IF(11=8,"Bloom",IF(11=9,"Bloom",IF(11=10,"Bloom",IF(11=11,"Bloom",IF(11=12,"Bloom","")))))))))))),IF(IFERROR(MATCH('🌱 Configuração'!$H$12,{"BioBizz","Remo Nutrients","General Organics","SuperSoil","Genérico"},0),1)=3,IF(11=1,"BioBud",IF(11=2,"BioBud",IF(11=3,"BioBud",IF(11=4,"BioBud",IF(11=5,"BioBud",IF(11=6,"BioBud",IF(11=7,"BioBud",IF(11=8,"—",IF(11=9,"—",IF(11=10,"—",IF(11=11,"—",IF(11=12,"—","")))))))))))),IF(IFERROR(MATCH('🌱 Configuração'!$H$12,{"BioBizz","Remo Nutrients","General Organics","SuperSoil","Genérico"},0),1)=4,IF(11=1,"Molasses 2 mL/L",IF(11=2,"—",IF(11=3,"—",IF(11=4,"Cobertura: fosfato natural",IF(11=5,"—",IF(11=6,"Molasses 2 mL/L",IF(11=7,"—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G35" s="43" t="str">
        <f aca="false">IF('🌱 Configuração'!$D$56="","",IF(11&lt;1,"",IF(11&gt;'🌱 Configuração'!$H$8,"",IF(IFERROR(MATCH('🌱 Configuração'!$H$12,{"BioBizz","Remo Nutrients","General Organics","SuperSoil","Genérico"},0),1)=1,IF(11=1,"1 mL/L",IF(11=2,"2 mL/L",IF(11=3,"3 mL/L",IF(11=4,"3 mL/L",IF(11=5,"4 mL/L",IF(11=6,"4 mL/L",IF(11=7,"4 mL/L",IF(11=8,"4 mL/L",IF(11=9,"4 mL/L",IF(11=10,"4 mL/L",IF(11=11,"4 mL/L",IF(11=12,"2 mL/L","")))))))))))),IF(IFERROR(MATCH('🌱 Configuração'!$H$12,{"BioBizz","Remo Nutrients","General Organics","SuperSoil","Genérico"},0),1)=2,IF(11=1,"2.1 mL/L",IF(11=2,"2.1 mL/L",IF(11=3,"2.1 mL/L",IF(11=4,"2.1 mL/L",IF(11=5,"2.6 mL/L",IF(11=6,"2.6 mL/L",IF(11=7,"2.6 mL/L",IF(11=8,"2.1 mL/L",IF(11=9,"2.1 mL/L",IF(11=10,"2.1 mL/L",IF(11=11,"1.5 mL/L",IF(11=12,"1.0 mL/L","")))))))))))),IF(IFERROR(MATCH('🌱 Configuração'!$H$12,{"BioBizz","Remo Nutrients","General Organics","SuperSoil","Genérico"},0),1)=3,IF(11=1,"0.7 mL/L",IF(11=2,"0.7 mL/L",IF(11=3,"0.7 mL/L",IF(11=4,"0.7 mL/L",IF(11=5,"0.7 mL/L",IF(11=6,"0.7 mL/L",IF(11=7,"0.7 mL/L",IF(11=8,"—",IF(11=9,"—",IF(11=10,"—",IF(11=11,"—",IF(11=12,"—","")))))))))))),IF(IFERROR(MATCH('🌱 Configuração'!$H$12,{"BioBizz","Remo Nutrients","General Organics","SuperSoil","Genérico"},0),1)=4,IF(11=1,"—",IF(11=2,"—",IF(11=3,"—",IF(11=4,"5g/L",IF(11=5,"—",IF(11=6,"—",IF(11=7,"—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H35" s="42" t="str">
        <f aca="false">IF('🌱 Configuração'!$D$56="","",IF(11&lt;1,"",IF(11&gt;'🌱 Configuração'!$H$8,"",IF(IFERROR(MATCH('🌱 Configuração'!$H$12,{"BioBizz","Remo Nutrients","General Organics","SuperSoil","Genérico"},0),1)=1,IF(11=1,"Top·Max",IF(11=2,"Top·Max",IF(11=3,"Top·Max",IF(11=4,"Top·Max",IF(11=5,"Top·Max",IF(11=6,"Top·Max",IF(11=7,"Top·Max",IF(11=8,"Top·Max",IF(11=9,"Top·Max",IF(11=10,"Top·Max",IF(11=11,"Top·Max",IF(11=12,"Top·Max","")))))))))))),IF(IFERROR(MATCH('🌱 Configuração'!$H$12,{"BioBizz","Remo Nutrients","General Organics","SuperSoil","Genérico"},0),1)=2,IF(11=1,"—",IF(11=2,"—",IF(11=3,"—",IF(11=4,"Astroflower",IF(11=5,"Astroflower",IF(11=6,"Astroflower",IF(11=7,"Astroflower",IF(11=8,"—",IF(11=9,"—",IF(11=10,"—",IF(11=11,"—",IF(11=12,"—","")))))))))))),IF(IFERROR(MATCH('🌱 Configuração'!$H$12,{"BioBizz","Remo Nutrients","General Organics","SuperSoil","Genérico"},0),1)=3,IF(11=1,"CaMg+",IF(11=2,"CaMg+",IF(11=3,"CaMg+",IF(11=4,"CaMg+",IF(11=5,"CaMg+",IF(11=6,"CaMg+",IF(11=7,"—",IF(11=8,"—",IF(11=9,"—",IF(11=10,"—",IF(11=11,"—",IF(11=12,"—","")))))))))))),IF(IFERROR(MATCH('🌱 Configuração'!$H$12,{"BioBizz","Remo Nutrients","General Organics","SuperSoil","Genérico"},0),1)=4,IF(11=1,"—",IF(11=2,"—",IF(11=3,"—",IF(11=4,"—",IF(11=5,"—",IF(11=6,"—",IF(11=7,"—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I35" s="43" t="str">
        <f aca="false">IF('🌱 Configuração'!$D$56="","",IF(11&lt;1,"",IF(11&gt;'🌱 Configuração'!$H$8,"",IF(IFERROR(MATCH('🌱 Configuração'!$H$12,{"BioBizz","Remo Nutrients","General Organics","SuperSoil","Genérico"},0),1)=1,IF(11=1,"1 mL/L",IF(11=2,"1 mL/L",IF(11=3,"2 mL/L",IF(11=4,"2 mL/L",IF(11=5,"3 mL/L",IF(11=6,"3 mL/L",IF(11=7,"4 mL/L",IF(11=8,"4 mL/L",IF(11=9,"4 mL/L",IF(11=10,"4 mL/L",IF(11=11,"4 mL/L",IF(11=12,"2 mL/L","")))))))))))),IF(IFERROR(MATCH('🌱 Configuração'!$H$12,{"BioBizz","Remo Nutrients","General Organics","SuperSoil","Genérico"},0),1)=2,IF(11=1,"—",IF(11=2,"—",IF(11=3,"—",IF(11=4,"1.0 mL/L",IF(11=5,"2.0 mL/L",IF(11=6,"2.0 mL/L",IF(11=7,"1.0 mL/L",IF(11=8,"—",IF(11=9,"—",IF(11=10,"—",IF(11=11,"—",IF(11=12,"—","")))))))))))),IF(IFERROR(MATCH('🌱 Configuração'!$H$12,{"BioBizz","Remo Nutrients","General Organics","SuperSoil","Genérico"},0),1)=3,IF(11=1,"1.3 mL/L",IF(11=2,"1.3 mL/L",IF(11=3,"1.3 mL/L",IF(11=4,"1.3 mL/L",IF(11=5,"1.3 mL/L",IF(11=6,"0.7 mL/L",IF(11=7,"—",IF(11=8,"—",IF(11=9,"—",IF(11=10,"—",IF(11=11,"—",IF(11=12,"—","")))))))))))),IF(IFERROR(MATCH('🌱 Configuração'!$H$12,{"BioBizz","Remo Nutrients","General Organics","SuperSoil","Genérico"},0),1)=4,IF(11=1,"—",IF(11=2,"—",IF(11=3,"—",IF(11=4,"—",IF(11=5,"—",IF(11=6,"—",IF(11=7,"—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J35" s="42" t="str">
        <f aca="false">IF('🌱 Configuração'!$D$56="","",IF(11&lt;1,"",IF(11&gt;'🌱 Configuração'!$H$8,"",IF(IFERROR(MATCH('🌱 Configuração'!$H$12,{"BioBizz","Remo Nutrients","General Organics","SuperSoil","Genérico"},0),1)=1,IF(11=1,"Alg·A·Mic 1mL",IF(11=2,"—",IF(11=3,"—",IF(11=4,"—",IF(11=5,"—",IF(11=6,"Alg·A·Mic 1mL",IF(11=7,"—",IF(11=8,"—",IF(11=9,"—",IF(11=10,"—",IF(11=11,"—",IF(11=12,"—","")))))))))))),IF(IFERROR(MATCH('🌱 Configuração'!$H$12,{"BioBizz","Remo Nutrients","General Organics","SuperSoil","Genérico"},0),1)=2,IF(11=1,"Magnifical 1.0",IF(11=2,"Magnifical 1.0",IF(11=3,"Magnifical 1.0",IF(11=4,"Magnifical 1.0",IF(11=5,"Kelp 1.0 mL",IF(11=6,"Kelp 1.0 mL",IF(11=7,"—",IF(11=8,"—",IF(11=9,"—",IF(11=10,"—",IF(11=11,"—",IF(11=12,"—","")))))))))))),IF(IFERROR(MATCH('🌱 Configuração'!$H$12,{"BioBizz","Remo Nutrients","General Organics","SuperSoil","Genérico"},0),1)=3,IF(11=1,"BioWeed 0.7",IF(11=2,"—",IF(11=3,"—",IF(11=4,"BioMarine 0.7",IF(11=5,"BioMarine 0.7",IF(11=6,"—",IF(11=7,"—",IF(11=8,"—",IF(11=9,"—",IF(11=10,"—",IF(11=11,"—",IF(11=12,"—","")))))))))))),IF(IFERROR(MATCH('🌱 Configuração'!$H$12,{"BioBizz","Remo Nutrients","General Organics","SuperSoil","Genérico"},0),1)=4,IF(11=1,"Chá",IF(11=2,"—",IF(11=3,"Molasses 2mL",IF(11=4,"—",IF(11=5,"Chá",IF(11=6,"—",IF(11=7,"—",IF(11=8,"—",IF(11=9,"—",IF(11=10,"—",IF(11=11,"—",IF(11=12,"—","")))))))))))),IF(11=1,"—",IF(11=2,"—",IF(11=3,"—",IF(11=4,"—",IF(11=5,"—",IF(11=6,"—",IF(11=7,"—",IF(11=8,"—",IF(11=9,"—",IF(11=10,"—",IF(11=11,"—",IF(11=12,"—","")))))))))))))))))))</f>
        <v/>
      </c>
      <c r="K35" s="44" t="str">
        <f aca="false">IF('🌱 Configuração'!$D$56="","",IF(11&lt;1,"",IF(11&gt;'🌱 Configuração'!$H$8,"",IF(IFERROR(MATCH('🌱 Configuração'!$H$12,{"BioBizz","Remo Nutrients","General Organics","SuperSoil","Genérico"},0),1)=1,IF(11=1,"6.2–6.5",IF(11=2,"6.2–6.5",IF(11=3,"6.2–6.5",IF(11=4,"6.2–6.5",IF(11=5,"6.2–6.5",IF(11=6,"6.2–6.5",IF(11=7,"6.2–6.5",IF(11=8,"6.2–6.5",IF(11=9,"6.2–6.5",IF(11=10,"6.2–6.5",IF(11=11,"6.2–6.5",IF(11=12,"6.2–6.5","")))))))))))),IF(IFERROR(MATCH('🌱 Configuração'!$H$12,{"BioBizz","Remo Nutrients","General Organics","SuperSoil","Genérico"},0),1)=2,IF(11=1,"6.0–6.3",IF(11=2,"6.0–6.3",IF(11=3,"6.0–6.3",IF(11=4,"6.0–6.3",IF(11=5,"6.0–6.3",IF(11=6,"6.0–6.3",IF(11=7,"6.0–6.3",IF(11=8,"6.0–6.3",IF(11=9,"6.0–6.3",IF(11=10,"6.0–6.3",IF(11=11,"6.0–6.3",IF(11=12,"6.0–6.3","")))))))))))),IF(IFERROR(MATCH('🌱 Configuração'!$H$12,{"BioBizz","Remo Nutrients","General Organics","SuperSoil","Genérico"},0),1)=3,IF(11=1,"6.2–7.0",IF(11=2,"6.2–7.0",IF(11=3,"6.2–7.0",IF(11=4,"6.2–7.0",IF(11=5,"6.2–7.0",IF(11=6,"6.2–7.0",IF(11=7,"6.2–7.0",IF(11=8,"6.2–7.0",IF(11=9,"6.2–7.0",IF(11=10,"6.2–7.0",IF(11=11,"6.2–7.0",IF(11=12,"6.2–7.0","")))))))))))),IF(IFERROR(MATCH('🌱 Configuração'!$H$12,{"BioBizz","Remo Nutrients","General Organics","SuperSoil","Genérico"},0),1)=4,IF(11=1,"auto",IF(11=2,"auto",IF(11=3,"auto",IF(11=4,"auto",IF(11=5,"auto",IF(11=6,"auto",IF(11=7,"auto",IF(11=8,"auto",IF(11=9,"auto",IF(11=10,"auto",IF(11=11,"auto",IF(11=12,"auto","")))))))))))),IF(11=1,"—",IF(11=2,"—",IF(11=3,"—",IF(11=4,"—",IF(11=5,"—",IF(11=6,"—",IF(11=7,"—",IF(11=8,"—",IF(11=9,"—",IF(11=10,"—",IF(11=11,"—",IF(11=12,"—","")))))))))))))))))))</f>
        <v/>
      </c>
      <c r="L35" s="45" t="str">
        <f aca="false">IF('🌱 Configuração'!$D$56="","",IF(11&lt;1,"",IF(11&gt;'🌱 Configuração'!$H$8,"",IF(IFERROR(MATCH('🌱 Configuração'!$H$12,{"BioBizz","Remo Nutrients","General Organics","SuperSoil","Genérico"},0),1)=1,IF(11=1,"1.6",IF(11=2,"1.7",IF(11=3,"1.8",IF(11=4,"1.9",IF(11=5,"2.0",IF(11=6,"2.0",IF(11=7,"1.9",IF(11=8,"1.8",IF(11=9,"1.6",IF(11=10,"1.6",IF(11=11,"1.4",IF(11=12,"1.0","")))))))))))),IF(IFERROR(MATCH('🌱 Configuração'!$H$12,{"BioBizz","Remo Nutrients","General Organics","SuperSoil","Genérico"},0),1)=2,IF(11=1,"1.6",IF(11=2,"1.7",IF(11=3,"1.8",IF(11=4,"1.9",IF(11=5,"2.0",IF(11=6,"2.0",IF(11=7,"1.8",IF(11=8,"1.6",IF(11=9,"1.4",IF(11=10,"1.4",IF(11=11,"1.0",IF(11=12,"0.8","")))))))))))),IF(IFERROR(MATCH('🌱 Configuração'!$H$12,{"BioBizz","Remo Nutrients","General Organics","SuperSoil","Genérico"},0),1)=3,IF(11=1,"N/A",IF(11=2,"N/A",IF(11=3,"N/A",IF(11=4,"N/A",IF(11=5,"N/A",IF(11=6,"N/A",IF(11=7,"N/A",IF(11=8,"N/A",IF(11=9,"N/A",IF(11=10,"N/A",IF(11=11,"N/A",IF(11=12,"N/A","")))))))))))),IF(IFERROR(MATCH('🌱 Configuração'!$H$12,{"BioBizz","Remo Nutrients","General Organics","SuperSoil","Genérico"},0),1)=4,IF(11=1,"auto",IF(11=2,"auto",IF(11=3,"auto",IF(11=4,"auto",IF(11=5,"auto",IF(11=6,"auto",IF(11=7,"auto",IF(11=8,"auto",IF(11=9,"auto",IF(11=10,"auto",IF(11=11,"auto",IF(11=12,"auto","")))))))))))),IF(11=1,"—",IF(11=2,"—",IF(11=3,"—",IF(11=4,"—",IF(11=5,"—",IF(11=6,"—",IF(11=7,"—",IF(11=8,"—",IF(11=9,"—",IF(11=10,"—",IF(11=11,"—",IF(11=12,"—","")))))))))))))))))))</f>
        <v/>
      </c>
      <c r="M35" s="42" t="str">
        <f aca="false">IF('🌱 Configuração'!$D$56="","",IF(11&lt;1,"",IF(11&gt;'🌱 Configuração'!$H$8,"",IF(IFERROR(MATCH('🌱 Configuração'!$H$12,{"BioBizz","Remo Nutrients","General Organics","SuperSoil","Genérico"},0),1)=1,IF(11=1,"Manter Bio·Grow em S1–S3 flora",IF(11=2,"Formação de pistils",IF(11=3,"Início do enchimento",IF(11=4,"Parar Bio·Grow — fase de flora plena",IF(11=5,"Pico de floração",IF(11=6,"Enchimento máximo",IF(11=7,"Amadurecimento — manter bloom alto",IF(11=8,"Pré-flush — analisar tricomas",IF(11=9,"Semana extra (sativa)",IF(11=10,"Semana extra (sativa)",IF(11=11,"Reduzir — semana final",IF(11=12,"Último adubo antes flush","")))))))))))),IF(IFERROR(MATCH('🌱 Configuração'!$H$12,{"BioBizz","Remo Nutrients","General Organics","SuperSoil","Genérico"},0),1)=2,IF(11=1,"Apenas Micro+Bloom em floração Remo",IF(11=2,"Sem Grow a partir daqui",IF(11=3,"Tabela oficial: 2.1 mL/L S1–S4",IF(11=4,"Astroflower = estimulante floração",IF(11=5,"Tabela oficial: 2.6 mL/L S5–S7",IF(11=6,"Pico de floração Remo",IF(11=7,"Tabela oficial S7",IF(11=8,"Reduzir — semana final",IF(11=9,"Semana extra — sativa",IF(11=10,"Semana extra",IF(11=11,"Reduzir para flush",IF(11=12,"Último adubo","")))))))))))),IF(IFERROR(MATCH('🌱 Configuração'!$H$12,{"BioBizz","Remo Nutrients","General Organics","SuperSoil","Genérico"},0),1)=3,IF(11=1,"BioBud = estimulante flores GO",IF(11=2,"Early Flower GO",IF(11=3,"Mid Flower GO",IF(11=4,"BioMarine = peixe fermentado GO",IF(11=5,"Pico floração GO",IF(11=6,"Late Flower GO",IF(11=7,"Reduzir CaMg+ final",IF(11=8,"Late Flower GO — pré-flush",IF(11=9,"Semana extra — reduzir dose",IF(11=10,"Semana extra GO (sativa)",IF(11=11,"Semana extra GO",IF(11=12,"Último adubo GO","")))))))))))),IF(IFERROR(MATCH('🌱 Configuração'!$H$12,{"BioBizz","Remo Nutrients","General Organics","SuperSoil","Genérico"},0),1)=4,IF(11=1,"Guano P alto = floração forte",IF(11=2,"Solo vivo em pico — não interferir",IF(11=3,"Alga = K e micronutrientes florais",IF(11=4,"Fósforo natural = buds densos",IF(11=5,"Alimentar microbioma — enchimento",IF(11=6,"Semana de pico — micro + K",IF(11=7,"Reduzir intervenções — amadurecimento",IF(11=8,"Pré-flush SuperSoil",IF(11=9,"Parar coberturas — lavar suave",IF(11=10,"Semana extra (sativa)",IF(11=11,"Semana extra",IF(11=12,"Última semana — observar tricomas","")))))))))))),IF(11=1,"Personalize suas doses",IF(11=2,"Personalize suas doses",IF(11=3,"Personalize suas doses",IF(11=4,"Personalize suas doses",IF(11=5,"Personalize suas doses",IF(11=6,"Personalize suas doses",IF(11=7,"Personalize suas doses",IF(11=8,"Personalize suas doses",IF(11=9,"Personalize suas doses",IF(11=10,"Personalize suas doses",IF(11=11,"Personalize suas doses",IF(11=12,"Personalize suas doses","")))))))))))))))))))</f>
        <v/>
      </c>
    </row>
    <row r="36" customFormat="false" ht="21.75" hidden="false" customHeight="true" outlineLevel="0" collapsed="false">
      <c r="B36" s="26" t="str">
        <f aca="false">IF(12&lt;='🌱 Configuração'!$H$8,"S12","—")</f>
        <v>—</v>
      </c>
      <c r="C36" s="54" t="str">
        <f aca="false">IF(12&lt;='🌱 Configuração'!$H$8,'🌱 Configuração'!$D$56+77,"")</f>
        <v/>
      </c>
      <c r="D36" s="55" t="str">
        <f aca="false">IF('🌱 Configuração'!$D$56="","",IF(12&lt;1,"",IF(12&gt;'🌱 Configuração'!$H$8,"",IF(IFERROR(MATCH('🌱 Configuração'!$H$12,{"BioBizz","Remo Nutrients","General Organics","SuperSoil","Genérico"},0),1)=1,IF(12=1,"Bio·Grow",IF(12=2,"Bio·Grow",IF(12=3,"Bio·Grow",IF(12=4,"—",IF(12=5,"—",IF(12=6,"—",IF(12=7,"—",IF(12=8,"—",IF(12=9,"—",IF(12=10,"—",IF(12=11,"—",IF(12=12,"—","")))))))))))),IF(IFERROR(MATCH('🌱 Configuração'!$H$12,{"BioBizz","Remo Nutrients","General Organics","SuperSoil","Genérico"},0),1)=2,IF(12=1,"Micro",IF(12=2,"Micro",IF(12=3,"Micro",IF(12=4,"Micro",IF(12=5,"Micro",IF(12=6,"Micro",IF(12=7,"Micro",IF(12=8,"Micro",IF(12=9,"Micro",IF(12=10,"Micro",IF(12=11,"Micro",IF(12=12,"Micro","")))))))))))),IF(IFERROR(MATCH('🌱 Configuração'!$H$12,{"BioBizz","Remo Nutrients","General Organics","SuperSoil","Genérico"},0),1)=3,IF(12=1,"BioThrive B",IF(12=2,"BioThrive B",IF(12=3,"BioThrive B",IF(12=4,"BioThrive B",IF(12=5,"BioThrive B",IF(12=6,"BioThrive B",IF(12=7,"BioThrive B",IF(12=8,"BioThrive B",IF(12=9,"BioThrive B",IF(12=10,"BioThrive B",IF(12=11,"BioThrive B",IF(12=12,"BioThrive B","")))))))))))),IF(IFERROR(MATCH('🌱 Configuração'!$H$12,{"BioBizz","Remo Nutrients","General Organics","SuperSoil","Genérico"},0),1)=4,IF(12=1,"Cobertura: guano de morcego",IF(12=2,"Chá de compostagem",IF(12=3,"Cobertura: farinha de alga",IF(12=4,"Cobertura: guano de morcego",IF(12=5,"Molasses 2 mL/L",IF(12=6,"Cobertura: farinha de alga",IF(12=7,"Chá de compostagem",IF(12=8,"Molasses 2 mL/L",IF(12=9,"Água pura",IF(12=10,"Água pura",IF(12=11,"Água pura",IF(12=12,"Água pura","")))))))))))),IF(12=1,"← Preencha",IF(12=2,"← Preencha",IF(12=3,"← Preencha",IF(12=4,"← Preencha",IF(12=5,"← Preencha",IF(12=6,"← Preencha",IF(12=7,"← Preencha",IF(12=8,"← Preencha",IF(12=9,"← Preencha",IF(12=10,"← Preencha",IF(12=11,"← Preencha",IF(12=12,"← Preencha","")))))))))))))))))))</f>
        <v/>
      </c>
      <c r="E36" s="56" t="str">
        <f aca="false">IF('🌱 Configuração'!$D$56="","",IF(12&lt;1,"",IF(12&gt;'🌱 Configuração'!$H$8,"",IF(IFERROR(MATCH('🌱 Configuração'!$H$12,{"BioBizz","Remo Nutrients","General Organics","SuperSoil","Genérico"},0),1)=1,IF(12=1,"1 mL/L",IF(12=2,"1 mL/L",IF(12=3,"1 mL/L",IF(12=4,"—",IF(12=5,"—",IF(12=6,"—",IF(12=7,"—",IF(12=8,"—",IF(12=9,"—",IF(12=10,"—",IF(12=11,"—",IF(12=12,"—","")))))))))))),IF(IFERROR(MATCH('🌱 Configuração'!$H$12,{"BioBizz","Remo Nutrients","General Organics","SuperSoil","Genérico"},0),1)=2,IF(12=1,"2.1 mL/L",IF(12=2,"2.1 mL/L",IF(12=3,"2.1 mL/L",IF(12=4,"2.1 mL/L",IF(12=5,"2.6 mL/L",IF(12=6,"2.6 mL/L",IF(12=7,"2.6 mL/L",IF(12=8,"2.1 mL/L",IF(12=9,"2.1 mL/L",IF(12=10,"2.1 mL/L",IF(12=11,"1.5 mL/L",IF(12=12,"1.0 mL/L","")))))))))))),IF(IFERROR(MATCH('🌱 Configuração'!$H$12,{"BioBizz","Remo Nutrients","General Organics","SuperSoil","Genérico"},0),1)=3,IF(12=1,"2.6 mL/L",IF(12=2,"2.6 mL/L",IF(12=3,"2.6 mL/L",IF(12=4,"2.6 mL/L",IF(12=5,"2.6 mL/L",IF(12=6,"2.6 mL/L",IF(12=7,"2.6 mL/L",IF(12=8,"2.6 mL/L",IF(12=9,"1.3 mL/L",IF(12=10,"1.3 mL/L",IF(12=11,"1.3 mL/L",IF(12=12,"1.3 mL/L","")))))))))))),IF(IFERROR(MATCH('🌱 Configuração'!$H$12,{"BioBizz","Remo Nutrients","General Organics","SuperSoil","Genérico"},0),1)=4,IF(12=1,"5g/L solo",IF(12=2,"2L/planta",IF(12=3,"5g/L solo",IF(12=4,"5g/L solo",IF(12=5,"—",IF(12=6,"5g/L solo",IF(12=7,"2L/planta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F36" s="55" t="str">
        <f aca="false">IF('🌱 Configuração'!$D$56="","",IF(12&lt;1,"",IF(12&gt;'🌱 Configuração'!$H$8,"",IF(IFERROR(MATCH('🌱 Configuração'!$H$12,{"BioBizz","Remo Nutrients","General Organics","SuperSoil","Genérico"},0),1)=1,IF(12=1,"Bio·Bloom",IF(12=2,"Bio·Bloom",IF(12=3,"Bio·Bloom",IF(12=4,"Bio·Bloom",IF(12=5,"Bio·Bloom",IF(12=6,"Bio·Bloom",IF(12=7,"Bio·Bloom",IF(12=8,"Bio·Bloom",IF(12=9,"Bio·Bloom",IF(12=10,"Bio·Bloom",IF(12=11,"Bio·Bloom",IF(12=12,"Bio·Bloom","")))))))))))),IF(IFERROR(MATCH('🌱 Configuração'!$H$12,{"BioBizz","Remo Nutrients","General Organics","SuperSoil","Genérico"},0),1)=2,IF(12=1,"Bloom",IF(12=2,"Bloom",IF(12=3,"Bloom",IF(12=4,"Bloom",IF(12=5,"Bloom",IF(12=6,"Bloom",IF(12=7,"Bloom",IF(12=8,"Bloom",IF(12=9,"Bloom",IF(12=10,"Bloom",IF(12=11,"Bloom",IF(12=12,"Bloom","")))))))))))),IF(IFERROR(MATCH('🌱 Configuração'!$H$12,{"BioBizz","Remo Nutrients","General Organics","SuperSoil","Genérico"},0),1)=3,IF(12=1,"BioBud",IF(12=2,"BioBud",IF(12=3,"BioBud",IF(12=4,"BioBud",IF(12=5,"BioBud",IF(12=6,"BioBud",IF(12=7,"BioBud",IF(12=8,"—",IF(12=9,"—",IF(12=10,"—",IF(12=11,"—",IF(12=12,"—","")))))))))))),IF(IFERROR(MATCH('🌱 Configuração'!$H$12,{"BioBizz","Remo Nutrients","General Organics","SuperSoil","Genérico"},0),1)=4,IF(12=1,"Molasses 2 mL/L",IF(12=2,"—",IF(12=3,"—",IF(12=4,"Cobertura: fosfato natural",IF(12=5,"—",IF(12=6,"Molasses 2 mL/L",IF(12=7,"—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G36" s="56" t="str">
        <f aca="false">IF('🌱 Configuração'!$D$56="","",IF(12&lt;1,"",IF(12&gt;'🌱 Configuração'!$H$8,"",IF(IFERROR(MATCH('🌱 Configuração'!$H$12,{"BioBizz","Remo Nutrients","General Organics","SuperSoil","Genérico"},0),1)=1,IF(12=1,"1 mL/L",IF(12=2,"2 mL/L",IF(12=3,"3 mL/L",IF(12=4,"3 mL/L",IF(12=5,"4 mL/L",IF(12=6,"4 mL/L",IF(12=7,"4 mL/L",IF(12=8,"4 mL/L",IF(12=9,"4 mL/L",IF(12=10,"4 mL/L",IF(12=11,"4 mL/L",IF(12=12,"2 mL/L","")))))))))))),IF(IFERROR(MATCH('🌱 Configuração'!$H$12,{"BioBizz","Remo Nutrients","General Organics","SuperSoil","Genérico"},0),1)=2,IF(12=1,"2.1 mL/L",IF(12=2,"2.1 mL/L",IF(12=3,"2.1 mL/L",IF(12=4,"2.1 mL/L",IF(12=5,"2.6 mL/L",IF(12=6,"2.6 mL/L",IF(12=7,"2.6 mL/L",IF(12=8,"2.1 mL/L",IF(12=9,"2.1 mL/L",IF(12=10,"2.1 mL/L",IF(12=11,"1.5 mL/L",IF(12=12,"1.0 mL/L","")))))))))))),IF(IFERROR(MATCH('🌱 Configuração'!$H$12,{"BioBizz","Remo Nutrients","General Organics","SuperSoil","Genérico"},0),1)=3,IF(12=1,"0.7 mL/L",IF(12=2,"0.7 mL/L",IF(12=3,"0.7 mL/L",IF(12=4,"0.7 mL/L",IF(12=5,"0.7 mL/L",IF(12=6,"0.7 mL/L",IF(12=7,"0.7 mL/L",IF(12=8,"—",IF(12=9,"—",IF(12=10,"—",IF(12=11,"—",IF(12=12,"—","")))))))))))),IF(IFERROR(MATCH('🌱 Configuração'!$H$12,{"BioBizz","Remo Nutrients","General Organics","SuperSoil","Genérico"},0),1)=4,IF(12=1,"—",IF(12=2,"—",IF(12=3,"—",IF(12=4,"5g/L",IF(12=5,"—",IF(12=6,"—",IF(12=7,"—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H36" s="55" t="str">
        <f aca="false">IF('🌱 Configuração'!$D$56="","",IF(12&lt;1,"",IF(12&gt;'🌱 Configuração'!$H$8,"",IF(IFERROR(MATCH('🌱 Configuração'!$H$12,{"BioBizz","Remo Nutrients","General Organics","SuperSoil","Genérico"},0),1)=1,IF(12=1,"Top·Max",IF(12=2,"Top·Max",IF(12=3,"Top·Max",IF(12=4,"Top·Max",IF(12=5,"Top·Max",IF(12=6,"Top·Max",IF(12=7,"Top·Max",IF(12=8,"Top·Max",IF(12=9,"Top·Max",IF(12=10,"Top·Max",IF(12=11,"Top·Max",IF(12=12,"Top·Max","")))))))))))),IF(IFERROR(MATCH('🌱 Configuração'!$H$12,{"BioBizz","Remo Nutrients","General Organics","SuperSoil","Genérico"},0),1)=2,IF(12=1,"—",IF(12=2,"—",IF(12=3,"—",IF(12=4,"Astroflower",IF(12=5,"Astroflower",IF(12=6,"Astroflower",IF(12=7,"Astroflower",IF(12=8,"—",IF(12=9,"—",IF(12=10,"—",IF(12=11,"—",IF(12=12,"—","")))))))))))),IF(IFERROR(MATCH('🌱 Configuração'!$H$12,{"BioBizz","Remo Nutrients","General Organics","SuperSoil","Genérico"},0),1)=3,IF(12=1,"CaMg+",IF(12=2,"CaMg+",IF(12=3,"CaMg+",IF(12=4,"CaMg+",IF(12=5,"CaMg+",IF(12=6,"CaMg+",IF(12=7,"—",IF(12=8,"—",IF(12=9,"—",IF(12=10,"—",IF(12=11,"—",IF(12=12,"—","")))))))))))),IF(IFERROR(MATCH('🌱 Configuração'!$H$12,{"BioBizz","Remo Nutrients","General Organics","SuperSoil","Genérico"},0),1)=4,IF(12=1,"—",IF(12=2,"—",IF(12=3,"—",IF(12=4,"—",IF(12=5,"—",IF(12=6,"—",IF(12=7,"—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I36" s="56" t="str">
        <f aca="false">IF('🌱 Configuração'!$D$56="","",IF(12&lt;1,"",IF(12&gt;'🌱 Configuração'!$H$8,"",IF(IFERROR(MATCH('🌱 Configuração'!$H$12,{"BioBizz","Remo Nutrients","General Organics","SuperSoil","Genérico"},0),1)=1,IF(12=1,"1 mL/L",IF(12=2,"1 mL/L",IF(12=3,"2 mL/L",IF(12=4,"2 mL/L",IF(12=5,"3 mL/L",IF(12=6,"3 mL/L",IF(12=7,"4 mL/L",IF(12=8,"4 mL/L",IF(12=9,"4 mL/L",IF(12=10,"4 mL/L",IF(12=11,"4 mL/L",IF(12=12,"2 mL/L","")))))))))))),IF(IFERROR(MATCH('🌱 Configuração'!$H$12,{"BioBizz","Remo Nutrients","General Organics","SuperSoil","Genérico"},0),1)=2,IF(12=1,"—",IF(12=2,"—",IF(12=3,"—",IF(12=4,"1.0 mL/L",IF(12=5,"2.0 mL/L",IF(12=6,"2.0 mL/L",IF(12=7,"1.0 mL/L",IF(12=8,"—",IF(12=9,"—",IF(12=10,"—",IF(12=11,"—",IF(12=12,"—","")))))))))))),IF(IFERROR(MATCH('🌱 Configuração'!$H$12,{"BioBizz","Remo Nutrients","General Organics","SuperSoil","Genérico"},0),1)=3,IF(12=1,"1.3 mL/L",IF(12=2,"1.3 mL/L",IF(12=3,"1.3 mL/L",IF(12=4,"1.3 mL/L",IF(12=5,"1.3 mL/L",IF(12=6,"0.7 mL/L",IF(12=7,"—",IF(12=8,"—",IF(12=9,"—",IF(12=10,"—",IF(12=11,"—",IF(12=12,"—","")))))))))))),IF(IFERROR(MATCH('🌱 Configuração'!$H$12,{"BioBizz","Remo Nutrients","General Organics","SuperSoil","Genérico"},0),1)=4,IF(12=1,"—",IF(12=2,"—",IF(12=3,"—",IF(12=4,"—",IF(12=5,"—",IF(12=6,"—",IF(12=7,"—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J36" s="55" t="str">
        <f aca="false">IF('🌱 Configuração'!$D$56="","",IF(12&lt;1,"",IF(12&gt;'🌱 Configuração'!$H$8,"",IF(IFERROR(MATCH('🌱 Configuração'!$H$12,{"BioBizz","Remo Nutrients","General Organics","SuperSoil","Genérico"},0),1)=1,IF(12=1,"Alg·A·Mic 1mL",IF(12=2,"—",IF(12=3,"—",IF(12=4,"—",IF(12=5,"—",IF(12=6,"Alg·A·Mic 1mL",IF(12=7,"—",IF(12=8,"—",IF(12=9,"—",IF(12=10,"—",IF(12=11,"—",IF(12=12,"—","")))))))))))),IF(IFERROR(MATCH('🌱 Configuração'!$H$12,{"BioBizz","Remo Nutrients","General Organics","SuperSoil","Genérico"},0),1)=2,IF(12=1,"Magnifical 1.0",IF(12=2,"Magnifical 1.0",IF(12=3,"Magnifical 1.0",IF(12=4,"Magnifical 1.0",IF(12=5,"Kelp 1.0 mL",IF(12=6,"Kelp 1.0 mL",IF(12=7,"—",IF(12=8,"—",IF(12=9,"—",IF(12=10,"—",IF(12=11,"—",IF(12=12,"—","")))))))))))),IF(IFERROR(MATCH('🌱 Configuração'!$H$12,{"BioBizz","Remo Nutrients","General Organics","SuperSoil","Genérico"},0),1)=3,IF(12=1,"BioWeed 0.7",IF(12=2,"—",IF(12=3,"—",IF(12=4,"BioMarine 0.7",IF(12=5,"BioMarine 0.7",IF(12=6,"—",IF(12=7,"—",IF(12=8,"—",IF(12=9,"—",IF(12=10,"—",IF(12=11,"—",IF(12=12,"—","")))))))))))),IF(IFERROR(MATCH('🌱 Configuração'!$H$12,{"BioBizz","Remo Nutrients","General Organics","SuperSoil","Genérico"},0),1)=4,IF(12=1,"Chá",IF(12=2,"—",IF(12=3,"Molasses 2mL",IF(12=4,"—",IF(12=5,"Chá",IF(12=6,"—",IF(12=7,"—",IF(12=8,"—",IF(12=9,"—",IF(12=10,"—",IF(12=11,"—",IF(12=12,"—","")))))))))))),IF(12=1,"—",IF(12=2,"—",IF(12=3,"—",IF(12=4,"—",IF(12=5,"—",IF(12=6,"—",IF(12=7,"—",IF(12=8,"—",IF(12=9,"—",IF(12=10,"—",IF(12=11,"—",IF(12=12,"—","")))))))))))))))))))</f>
        <v/>
      </c>
      <c r="K36" s="44" t="str">
        <f aca="false">IF('🌱 Configuração'!$D$56="","",IF(12&lt;1,"",IF(12&gt;'🌱 Configuração'!$H$8,"",IF(IFERROR(MATCH('🌱 Configuração'!$H$12,{"BioBizz","Remo Nutrients","General Organics","SuperSoil","Genérico"},0),1)=1,IF(12=1,"6.2–6.5",IF(12=2,"6.2–6.5",IF(12=3,"6.2–6.5",IF(12=4,"6.2–6.5",IF(12=5,"6.2–6.5",IF(12=6,"6.2–6.5",IF(12=7,"6.2–6.5",IF(12=8,"6.2–6.5",IF(12=9,"6.2–6.5",IF(12=10,"6.2–6.5",IF(12=11,"6.2–6.5",IF(12=12,"6.2–6.5","")))))))))))),IF(IFERROR(MATCH('🌱 Configuração'!$H$12,{"BioBizz","Remo Nutrients","General Organics","SuperSoil","Genérico"},0),1)=2,IF(12=1,"6.0–6.3",IF(12=2,"6.0–6.3",IF(12=3,"6.0–6.3",IF(12=4,"6.0–6.3",IF(12=5,"6.0–6.3",IF(12=6,"6.0–6.3",IF(12=7,"6.0–6.3",IF(12=8,"6.0–6.3",IF(12=9,"6.0–6.3",IF(12=10,"6.0–6.3",IF(12=11,"6.0–6.3",IF(12=12,"6.0–6.3","")))))))))))),IF(IFERROR(MATCH('🌱 Configuração'!$H$12,{"BioBizz","Remo Nutrients","General Organics","SuperSoil","Genérico"},0),1)=3,IF(12=1,"6.2–7.0",IF(12=2,"6.2–7.0",IF(12=3,"6.2–7.0",IF(12=4,"6.2–7.0",IF(12=5,"6.2–7.0",IF(12=6,"6.2–7.0",IF(12=7,"6.2–7.0",IF(12=8,"6.2–7.0",IF(12=9,"6.2–7.0",IF(12=10,"6.2–7.0",IF(12=11,"6.2–7.0",IF(12=12,"6.2–7.0","")))))))))))),IF(IFERROR(MATCH('🌱 Configuração'!$H$12,{"BioBizz","Remo Nutrients","General Organics","SuperSoil","Genérico"},0),1)=4,IF(12=1,"auto",IF(12=2,"auto",IF(12=3,"auto",IF(12=4,"auto",IF(12=5,"auto",IF(12=6,"auto",IF(12=7,"auto",IF(12=8,"auto",IF(12=9,"auto",IF(12=10,"auto",IF(12=11,"auto",IF(12=12,"auto","")))))))))))),IF(12=1,"—",IF(12=2,"—",IF(12=3,"—",IF(12=4,"—",IF(12=5,"—",IF(12=6,"—",IF(12=7,"—",IF(12=8,"—",IF(12=9,"—",IF(12=10,"—",IF(12=11,"—",IF(12=12,"—","")))))))))))))))))))</f>
        <v/>
      </c>
      <c r="L36" s="45" t="str">
        <f aca="false">IF('🌱 Configuração'!$D$56="","",IF(12&lt;1,"",IF(12&gt;'🌱 Configuração'!$H$8,"",IF(IFERROR(MATCH('🌱 Configuração'!$H$12,{"BioBizz","Remo Nutrients","General Organics","SuperSoil","Genérico"},0),1)=1,IF(12=1,"1.6",IF(12=2,"1.7",IF(12=3,"1.8",IF(12=4,"1.9",IF(12=5,"2.0",IF(12=6,"2.0",IF(12=7,"1.9",IF(12=8,"1.8",IF(12=9,"1.6",IF(12=10,"1.6",IF(12=11,"1.4",IF(12=12,"1.0","")))))))))))),IF(IFERROR(MATCH('🌱 Configuração'!$H$12,{"BioBizz","Remo Nutrients","General Organics","SuperSoil","Genérico"},0),1)=2,IF(12=1,"1.6",IF(12=2,"1.7",IF(12=3,"1.8",IF(12=4,"1.9",IF(12=5,"2.0",IF(12=6,"2.0",IF(12=7,"1.8",IF(12=8,"1.6",IF(12=9,"1.4",IF(12=10,"1.4",IF(12=11,"1.0",IF(12=12,"0.8","")))))))))))),IF(IFERROR(MATCH('🌱 Configuração'!$H$12,{"BioBizz","Remo Nutrients","General Organics","SuperSoil","Genérico"},0),1)=3,IF(12=1,"N/A",IF(12=2,"N/A",IF(12=3,"N/A",IF(12=4,"N/A",IF(12=5,"N/A",IF(12=6,"N/A",IF(12=7,"N/A",IF(12=8,"N/A",IF(12=9,"N/A",IF(12=10,"N/A",IF(12=11,"N/A",IF(12=12,"N/A","")))))))))))),IF(IFERROR(MATCH('🌱 Configuração'!$H$12,{"BioBizz","Remo Nutrients","General Organics","SuperSoil","Genérico"},0),1)=4,IF(12=1,"auto",IF(12=2,"auto",IF(12=3,"auto",IF(12=4,"auto",IF(12=5,"auto",IF(12=6,"auto",IF(12=7,"auto",IF(12=8,"auto",IF(12=9,"auto",IF(12=10,"auto",IF(12=11,"auto",IF(12=12,"auto","")))))))))))),IF(12=1,"—",IF(12=2,"—",IF(12=3,"—",IF(12=4,"—",IF(12=5,"—",IF(12=6,"—",IF(12=7,"—",IF(12=8,"—",IF(12=9,"—",IF(12=10,"—",IF(12=11,"—",IF(12=12,"—","")))))))))))))))))))</f>
        <v/>
      </c>
      <c r="M36" s="55" t="str">
        <f aca="false">IF('🌱 Configuração'!$D$56="","",IF(12&lt;1,"",IF(12&gt;'🌱 Configuração'!$H$8,"",IF(IFERROR(MATCH('🌱 Configuração'!$H$12,{"BioBizz","Remo Nutrients","General Organics","SuperSoil","Genérico"},0),1)=1,IF(12=1,"Manter Bio·Grow em S1–S3 flora",IF(12=2,"Formação de pistils",IF(12=3,"Início do enchimento",IF(12=4,"Parar Bio·Grow — fase de flora plena",IF(12=5,"Pico de floração",IF(12=6,"Enchimento máximo",IF(12=7,"Amadurecimento — manter bloom alto",IF(12=8,"Pré-flush — analisar tricomas",IF(12=9,"Semana extra (sativa)",IF(12=10,"Semana extra (sativa)",IF(12=11,"Reduzir — semana final",IF(12=12,"Último adubo antes flush","")))))))))))),IF(IFERROR(MATCH('🌱 Configuração'!$H$12,{"BioBizz","Remo Nutrients","General Organics","SuperSoil","Genérico"},0),1)=2,IF(12=1,"Apenas Micro+Bloom em floração Remo",IF(12=2,"Sem Grow a partir daqui",IF(12=3,"Tabela oficial: 2.1 mL/L S1–S4",IF(12=4,"Astroflower = estimulante floração",IF(12=5,"Tabela oficial: 2.6 mL/L S5–S7",IF(12=6,"Pico de floração Remo",IF(12=7,"Tabela oficial S7",IF(12=8,"Reduzir — semana final",IF(12=9,"Semana extra — sativa",IF(12=10,"Semana extra",IF(12=11,"Reduzir para flush",IF(12=12,"Último adubo","")))))))))))),IF(IFERROR(MATCH('🌱 Configuração'!$H$12,{"BioBizz","Remo Nutrients","General Organics","SuperSoil","Genérico"},0),1)=3,IF(12=1,"BioBud = estimulante flores GO",IF(12=2,"Early Flower GO",IF(12=3,"Mid Flower GO",IF(12=4,"BioMarine = peixe fermentado GO",IF(12=5,"Pico floração GO",IF(12=6,"Late Flower GO",IF(12=7,"Reduzir CaMg+ final",IF(12=8,"Late Flower GO — pré-flush",IF(12=9,"Semana extra — reduzir dose",IF(12=10,"Semana extra GO (sativa)",IF(12=11,"Semana extra GO",IF(12=12,"Último adubo GO","")))))))))))),IF(IFERROR(MATCH('🌱 Configuração'!$H$12,{"BioBizz","Remo Nutrients","General Organics","SuperSoil","Genérico"},0),1)=4,IF(12=1,"Guano P alto = floração forte",IF(12=2,"Solo vivo em pico — não interferir",IF(12=3,"Alga = K e micronutrientes florais",IF(12=4,"Fósforo natural = buds densos",IF(12=5,"Alimentar microbioma — enchimento",IF(12=6,"Semana de pico — micro + K",IF(12=7,"Reduzir intervenções — amadurecimento",IF(12=8,"Pré-flush SuperSoil",IF(12=9,"Parar coberturas — lavar suave",IF(12=10,"Semana extra (sativa)",IF(12=11,"Semana extra",IF(12=12,"Última semana — observar tricomas","")))))))))))),IF(12=1,"Personalize suas doses",IF(12=2,"Personalize suas doses",IF(12=3,"Personalize suas doses",IF(12=4,"Personalize suas doses",IF(12=5,"Personalize suas doses",IF(12=6,"Personalize suas doses",IF(12=7,"Personalize suas doses",IF(12=8,"Personalize suas doses",IF(12=9,"Personalize suas doses",IF(12=10,"Personalize suas doses",IF(12=11,"Personalize suas doses",IF(12=12,"Personalize suas doses","")))))))))))))))))))</f>
        <v/>
      </c>
    </row>
    <row r="38" customFormat="false" ht="27.75" hidden="false" customHeight="true" outlineLevel="0" collapsed="false">
      <c r="B38" s="57" t="s">
        <v>39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</row>
    <row r="39" customFormat="false" ht="24" hidden="false" customHeight="true" outlineLevel="0" collapsed="false">
      <c r="B39" s="40" t="s">
        <v>45</v>
      </c>
      <c r="C39" s="40" t="s">
        <v>46</v>
      </c>
      <c r="D39" s="40" t="s">
        <v>47</v>
      </c>
      <c r="E39" s="40" t="s">
        <v>48</v>
      </c>
      <c r="F39" s="40" t="s">
        <v>49</v>
      </c>
      <c r="G39" s="40" t="s">
        <v>50</v>
      </c>
      <c r="H39" s="40" t="s">
        <v>51</v>
      </c>
      <c r="I39" s="40" t="s">
        <v>52</v>
      </c>
      <c r="J39" s="40" t="s">
        <v>53</v>
      </c>
      <c r="K39" s="40" t="s">
        <v>54</v>
      </c>
      <c r="L39" s="40" t="s">
        <v>55</v>
      </c>
      <c r="M39" s="40" t="s">
        <v>56</v>
      </c>
    </row>
    <row r="40" customFormat="false" ht="21.75" hidden="false" customHeight="true" outlineLevel="0" collapsed="false">
      <c r="B40" s="29" t="str">
        <f aca="false">IF(1&lt;='🌱 Configuração'!$H$9,"S1","—")</f>
        <v>S1</v>
      </c>
      <c r="C40" s="41" t="n">
        <f aca="false">IF(1&lt;='🌱 Configuração'!$H$9,'🌱 Configuração'!$E$56+0,"")</f>
        <v>119</v>
      </c>
      <c r="D40" s="42" t="str">
        <f aca="false">IF('🌱 Configuração'!$E$56="","",IF(1&lt;1,"",IF(1&gt;'🌱 Configuração'!$H$9,"",IF(IFERROR(MATCH('🌱 Configuração'!$H$12,{"BioBizz","Remo Nutrients","General Organics","SuperSoil","Genérico"},0),1)=1,IF(1=1,"Água pura",IF(1=2,"Água pura","")),IF(IFERROR(MATCH('🌱 Configuração'!$H$12,{"BioBizz","Remo Nutrients","General Organics","SuperSoil","Genérico"},0),1)=2,IF(1=1,"Água pura",IF(1=2,"Água pura","")),IF(IFERROR(MATCH('🌱 Configuração'!$H$12,{"BioBizz","Remo Nutrients","General Organics","SuperSoil","Genérico"},0),1)=3,IF(1=1,"Água pura",IF(1=2,"Água pura","")),IF(IFERROR(MATCH('🌱 Configuração'!$H$12,{"BioBizz","Remo Nutrients","General Organics","SuperSoil","Genérico"},0),1)=4,IF(1=1,"Água pura",IF(1=2,"Água pura","")),IF(1=1,"← Preencha",IF(1=2,"← Preencha","")))))))))</f>
        <v>Água pura</v>
      </c>
      <c r="E40" s="43" t="str">
        <f aca="false">IF('🌱 Configuração'!$E$56="","",IF(1&lt;1,"",IF(1&gt;'🌱 Configuração'!$H$9,"",IF(IFERROR(MATCH('🌱 Configuração'!$H$12,{"BioBizz","Remo Nutrients","General Organics","SuperSoil","Genérico"},0),1)=1,IF(1=1,"—",IF(1=2,"—","")),IF(IFERROR(MATCH('🌱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Organics","SuperSoil","Genérico"},0),1)=4,IF(1=1,"—",IF(1=2,"—","")),IF(1=1,"—",IF(1=2,"—","")))))))))</f>
        <v>—</v>
      </c>
      <c r="F40" s="42" t="str">
        <f aca="false">IF('🌱 Configuração'!$E$56="","",IF(1&lt;1,"",IF(1&gt;'🌱 Configuração'!$H$9,"",IF(IFERROR(MATCH('🌱 Configuração'!$H$12,{"BioBizz","Remo Nutrients","General Organics","SuperSoil","Genérico"},0),1)=1,IF(1=1,"—",IF(1=2,"—","")),IF(IFERROR(MATCH('🌱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Organics","SuperSoil","Genérico"},0),1)=4,IF(1=1,"—",IF(1=2,"—","")),IF(1=1,"—",IF(1=2,"—","")))))))))</f>
        <v>—</v>
      </c>
      <c r="G40" s="43" t="str">
        <f aca="false">IF('🌱 Configuração'!$E$56="","",IF(1&lt;1,"",IF(1&gt;'🌱 Configuração'!$H$9,"",IF(IFERROR(MATCH('🌱 Configuração'!$H$12,{"BioBizz","Remo Nutrients","General Organics","SuperSoil","Genérico"},0),1)=1,IF(1=1,"—",IF(1=2,"—","")),IF(IFERROR(MATCH('🌱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Organics","SuperSoil","Genérico"},0),1)=4,IF(1=1,"—",IF(1=2,"—","")),IF(1=1,"—",IF(1=2,"—","")))))))))</f>
        <v>—</v>
      </c>
      <c r="H40" s="42" t="str">
        <f aca="false">IF('🌱 Configuração'!$E$56="","",IF(1&lt;1,"",IF(1&gt;'🌱 Configuração'!$H$9,"",IF(IFERROR(MATCH('🌱 Configuração'!$H$12,{"BioBizz","Remo Nutrients","General Organics","SuperSoil","Genérico"},0),1)=1,IF(1=1,"—",IF(1=2,"—","")),IF(IFERROR(MATCH('🌱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Organics","SuperSoil","Genérico"},0),1)=4,IF(1=1,"—",IF(1=2,"—","")),IF(1=1,"—",IF(1=2,"—","")))))))))</f>
        <v>—</v>
      </c>
      <c r="I40" s="43" t="str">
        <f aca="false">IF('🌱 Configuração'!$E$56="","",IF(1&lt;1,"",IF(1&gt;'🌱 Configuração'!$H$9,"",IF(IFERROR(MATCH('🌱 Configuração'!$H$12,{"BioBizz","Remo Nutrients","General Organics","SuperSoil","Genérico"},0),1)=1,IF(1=1,"—",IF(1=2,"—","")),IF(IFERROR(MATCH('🌱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Organics","SuperSoil","Genérico"},0),1)=4,IF(1=1,"—",IF(1=2,"—","")),IF(1=1,"—",IF(1=2,"—","")))))))))</f>
        <v>—</v>
      </c>
      <c r="J40" s="42" t="str">
        <f aca="false">IF('🌱 Configuração'!$E$56="","",IF(1&lt;1,"",IF(1&gt;'🌱 Configuração'!$H$9,"",IF(IFERROR(MATCH('🌱 Configuração'!$H$12,{"BioBizz","Remo Nutrients","General Organics","SuperSoil","Genérico"},0),1)=1,IF(1=1,"Enzimas 1mL",IF(1=2,"—","")),IF(IFERROR(MATCH('🌱 Configuração'!$H$12,{"BioBizz","Remo Nutrients","General Organics","SuperSoil","Genérico"},0),1)=2,IF(1=1,"—",IF(1=2,"—","")),IF(IFERROR(MATCH('🌱 Configuração'!$H$12,{"BioBizz","Remo Nutrients","General Organics","SuperSoil","Genérico"},0),1)=3,IF(1=1,"—",IF(1=2,"—","")),IF(IFERROR(MATCH('🌱 Configuração'!$H$12,{"BioBizz","Remo Nutrients","General Organics","SuperSoil","Genérico"},0),1)=4,IF(1=1,"Enzimas 1mL",IF(1=2,"—","")),IF(1=1,"—",IF(1=2,"—","")))))))))</f>
        <v>Enzimas 1mL</v>
      </c>
      <c r="K40" s="44" t="str">
        <f aca="false">IF('🌱 Configuração'!$E$56="","",IF(1&lt;1,"",IF(1&gt;'🌱 Configuração'!$H$9,"",IF(IFERROR(MATCH('🌱 Configuração'!$H$12,{"BioBizz","Remo Nutrients","General Organics","SuperSoil","Genérico"},0),1)=1,IF(1=1,"6.2",IF(1=2,"6.2","")),IF(IFERROR(MATCH('🌱 Configuração'!$H$12,{"BioBizz","Remo Nutrients","General Organics","SuperSoil","Genérico"},0),1)=2,IF(1=1,"5.8–6.0",IF(1=2,"5.8–6.0","")),IF(IFERROR(MATCH('🌱 Configuração'!$H$12,{"BioBizz","Remo Nutrients","General Organics","SuperSoil","Genérico"},0),1)=3,IF(1=1,"6.2–7.0",IF(1=2,"6.2–7.0","")),IF(IFERROR(MATCH('🌱 Configuração'!$H$12,{"BioBizz","Remo Nutrients","General Organics","SuperSoil","Genérico"},0),1)=4,IF(1=1,"auto",IF(1=2,"auto","")),IF(1=1,"—",IF(1=2,"—","")))))))))</f>
        <v>6.2</v>
      </c>
      <c r="L40" s="45" t="str">
        <f aca="false">IF('🌱 Configuração'!$E$56="","",IF(1&lt;1,"",IF(1&gt;'🌱 Configuração'!$H$9,"",IF(IFERROR(MATCH('🌱 Configuração'!$H$12,{"BioBizz","Remo Nutrients","General Organics","SuperSoil","Genérico"},0),1)=1,IF(1=1,"&lt; 0.3",IF(1=2,"&lt; 0.2","")),IF(IFERROR(MATCH('🌱 Configuração'!$H$12,{"BioBizz","Remo Nutrients","General Organics","SuperSoil","Genérico"},0),1)=2,IF(1=1,"&lt; 0.3",IF(1=2,"&lt; 0.2","")),IF(IFERROR(MATCH('🌱 Configuração'!$H$12,{"BioBizz","Remo Nutrients","General Organics","SuperSoil","Genérico"},0),1)=3,IF(1=1,"N/A",IF(1=2,"N/A","")),IF(IFERROR(MATCH('🌱 Configuração'!$H$12,{"BioBizz","Remo Nutrients","General Organics","SuperSoil","Genérico"},0),1)=4,IF(1=1,"auto",IF(1=2,"auto","")),IF(1=1,"—",IF(1=2,"—","")))))))))</f>
        <v>&lt; 0.3</v>
      </c>
      <c r="M40" s="42" t="str">
        <f aca="false">IF('🌱 Configuração'!$E$56="","",IF(1&lt;1,"",IF(1&gt;'🌱 Configuração'!$H$9,"",IF(IFERROR(MATCH('🌱 Configuração'!$H$12,{"BioBizz","Remo Nutrients","General Organics","SuperSoil","Genérico"},0),1)=1,IF(1=1,"Lavar substrato — analisar tricomas",IF(1=2,"Tricomas âmbar? Colheita próxima","")),IF(IFERROR(MATCH('🌱 Configuração'!$H$12,{"BioBizz","Remo Nutrients","General Organics","SuperSoil","Genérico"},0),1)=2,IF(1=1,"Flush Remo — 1 semana padrão",IF(1=2,"Analisar tricomas — colheita?","")),IF(IFERROR(MATCH('🌱 Configuração'!$H$12,{"BioBizz","Remo Nutrients","General Organics","SuperSoil","Genérico"},0),1)=3,IF(1=1,"GO: ripen/rinse — 1 semana",IF(1=2,"Analisar tricomas","")),IF(IFERROR(MATCH('🌱 Configuração'!$H$12,{"BioBizz","Remo Nutrients","General Organics","SuperSoil","Genérico"},0),1)=4,IF(1=1,"SuperSoil: flush mais curto — solo limpo",IF(1=2,"Analisar tricomas — colheita próxima","")),IF(1=1,"Personalize suas doses",IF(1=2,"Personalize suas doses","")))))))))</f>
        <v>Lavar substrato — analisar tricomas</v>
      </c>
    </row>
    <row r="41" customFormat="false" ht="21.75" hidden="false" customHeight="true" outlineLevel="0" collapsed="false">
      <c r="B41" s="29" t="str">
        <f aca="false">IF(2&lt;='🌱 Configuração'!$H$9,"S2","—")</f>
        <v>—</v>
      </c>
      <c r="C41" s="58" t="str">
        <f aca="false">IF(2&lt;='🌱 Configuração'!$H$9,'🌱 Configuração'!$E$56+7,"")</f>
        <v/>
      </c>
      <c r="D41" s="59" t="str">
        <f aca="false">IF('🌱 Configuração'!$E$56="","",IF(2&lt;1,"",IF(2&gt;'🌱 Configuração'!$H$9,"",IF(IFERROR(MATCH('🌱 Configuração'!$H$12,{"BioBizz","Remo Nutrients","General Organics","SuperSoil","Genérico"},0),1)=1,IF(2=1,"Água pura",IF(2=2,"Água pura","")),IF(IFERROR(MATCH('🌱 Configuração'!$H$12,{"BioBizz","Remo Nutrients","General Organics","SuperSoil","Genérico"},0),1)=2,IF(2=1,"Água pura",IF(2=2,"Água pura","")),IF(IFERROR(MATCH('🌱 Configuração'!$H$12,{"BioBizz","Remo Nutrients","General Organics","SuperSoil","Genérico"},0),1)=3,IF(2=1,"Água pura",IF(2=2,"Água pura","")),IF(IFERROR(MATCH('🌱 Configuração'!$H$12,{"BioBizz","Remo Nutrients","General Organics","SuperSoil","Genérico"},0),1)=4,IF(2=1,"Água pura",IF(2=2,"Água pura","")),IF(2=1,"← Preencha",IF(2=2,"← Preencha","")))))))))</f>
        <v/>
      </c>
      <c r="E41" s="60" t="str">
        <f aca="false">IF('🌱 Configuração'!$E$56="","",IF(2&lt;1,"",IF(2&gt;'🌱 Configuração'!$H$9,"",IF(IFERROR(MATCH('🌱 Configuração'!$H$12,{"BioBizz","Remo Nutrients","General Organics","SuperSoil","Genérico"},0),1)=1,IF(2=1,"—",IF(2=2,"—","")),IF(IFERROR(MATCH('🌱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Organics","SuperSoil","Genérico"},0),1)=4,IF(2=1,"—",IF(2=2,"—","")),IF(2=1,"—",IF(2=2,"—","")))))))))</f>
        <v/>
      </c>
      <c r="F41" s="59" t="str">
        <f aca="false">IF('🌱 Configuração'!$E$56="","",IF(2&lt;1,"",IF(2&gt;'🌱 Configuração'!$H$9,"",IF(IFERROR(MATCH('🌱 Configuração'!$H$12,{"BioBizz","Remo Nutrients","General Organics","SuperSoil","Genérico"},0),1)=1,IF(2=1,"—",IF(2=2,"—","")),IF(IFERROR(MATCH('🌱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Organics","SuperSoil","Genérico"},0),1)=4,IF(2=1,"—",IF(2=2,"—","")),IF(2=1,"—",IF(2=2,"—","")))))))))</f>
        <v/>
      </c>
      <c r="G41" s="60" t="str">
        <f aca="false">IF('🌱 Configuração'!$E$56="","",IF(2&lt;1,"",IF(2&gt;'🌱 Configuração'!$H$9,"",IF(IFERROR(MATCH('🌱 Configuração'!$H$12,{"BioBizz","Remo Nutrients","General Organics","SuperSoil","Genérico"},0),1)=1,IF(2=1,"—",IF(2=2,"—","")),IF(IFERROR(MATCH('🌱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Organics","SuperSoil","Genérico"},0),1)=4,IF(2=1,"—",IF(2=2,"—","")),IF(2=1,"—",IF(2=2,"—","")))))))))</f>
        <v/>
      </c>
      <c r="H41" s="59" t="str">
        <f aca="false">IF('🌱 Configuração'!$E$56="","",IF(2&lt;1,"",IF(2&gt;'🌱 Configuração'!$H$9,"",IF(IFERROR(MATCH('🌱 Configuração'!$H$12,{"BioBizz","Remo Nutrients","General Organics","SuperSoil","Genérico"},0),1)=1,IF(2=1,"—",IF(2=2,"—","")),IF(IFERROR(MATCH('🌱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Organics","SuperSoil","Genérico"},0),1)=4,IF(2=1,"—",IF(2=2,"—","")),IF(2=1,"—",IF(2=2,"—","")))))))))</f>
        <v/>
      </c>
      <c r="I41" s="60" t="str">
        <f aca="false">IF('🌱 Configuração'!$E$56="","",IF(2&lt;1,"",IF(2&gt;'🌱 Configuração'!$H$9,"",IF(IFERROR(MATCH('🌱 Configuração'!$H$12,{"BioBizz","Remo Nutrients","General Organics","SuperSoil","Genérico"},0),1)=1,IF(2=1,"—",IF(2=2,"—","")),IF(IFERROR(MATCH('🌱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Organics","SuperSoil","Genérico"},0),1)=4,IF(2=1,"—",IF(2=2,"—","")),IF(2=1,"—",IF(2=2,"—","")))))))))</f>
        <v/>
      </c>
      <c r="J41" s="59" t="str">
        <f aca="false">IF('🌱 Configuração'!$E$56="","",IF(2&lt;1,"",IF(2&gt;'🌱 Configuração'!$H$9,"",IF(IFERROR(MATCH('🌱 Configuração'!$H$12,{"BioBizz","Remo Nutrients","General Organics","SuperSoil","Genérico"},0),1)=1,IF(2=1,"Enzimas 1mL",IF(2=2,"—","")),IF(IFERROR(MATCH('🌱 Configuração'!$H$12,{"BioBizz","Remo Nutrients","General Organics","SuperSoil","Genérico"},0),1)=2,IF(2=1,"—",IF(2=2,"—","")),IF(IFERROR(MATCH('🌱 Configuração'!$H$12,{"BioBizz","Remo Nutrients","General Organics","SuperSoil","Genérico"},0),1)=3,IF(2=1,"—",IF(2=2,"—","")),IF(IFERROR(MATCH('🌱 Configuração'!$H$12,{"BioBizz","Remo Nutrients","General Organics","SuperSoil","Genérico"},0),1)=4,IF(2=1,"Enzimas 1mL",IF(2=2,"—","")),IF(2=1,"—",IF(2=2,"—","")))))))))</f>
        <v/>
      </c>
      <c r="K41" s="44" t="str">
        <f aca="false">IF('🌱 Configuração'!$E$56="","",IF(2&lt;1,"",IF(2&gt;'🌱 Configuração'!$H$9,"",IF(IFERROR(MATCH('🌱 Configuração'!$H$12,{"BioBizz","Remo Nutrients","General Organics","SuperSoil","Genérico"},0),1)=1,IF(2=1,"6.2",IF(2=2,"6.2","")),IF(IFERROR(MATCH('🌱 Configuração'!$H$12,{"BioBizz","Remo Nutrients","General Organics","SuperSoil","Genérico"},0),1)=2,IF(2=1,"5.8–6.0",IF(2=2,"5.8–6.0","")),IF(IFERROR(MATCH('🌱 Configuração'!$H$12,{"BioBizz","Remo Nutrients","General Organics","SuperSoil","Genérico"},0),1)=3,IF(2=1,"6.2–7.0",IF(2=2,"6.2–7.0","")),IF(IFERROR(MATCH('🌱 Configuração'!$H$12,{"BioBizz","Remo Nutrients","General Organics","SuperSoil","Genérico"},0),1)=4,IF(2=1,"auto",IF(2=2,"auto","")),IF(2=1,"—",IF(2=2,"—","")))))))))</f>
        <v/>
      </c>
      <c r="L41" s="45" t="str">
        <f aca="false">IF('🌱 Configuração'!$E$56="","",IF(2&lt;1,"",IF(2&gt;'🌱 Configuração'!$H$9,"",IF(IFERROR(MATCH('🌱 Configuração'!$H$12,{"BioBizz","Remo Nutrients","General Organics","SuperSoil","Genérico"},0),1)=1,IF(2=1,"&lt; 0.3",IF(2=2,"&lt; 0.2","")),IF(IFERROR(MATCH('🌱 Configuração'!$H$12,{"BioBizz","Remo Nutrients","General Organics","SuperSoil","Genérico"},0),1)=2,IF(2=1,"&lt; 0.3",IF(2=2,"&lt; 0.2","")),IF(IFERROR(MATCH('🌱 Configuração'!$H$12,{"BioBizz","Remo Nutrients","General Organics","SuperSoil","Genérico"},0),1)=3,IF(2=1,"N/A",IF(2=2,"N/A","")),IF(IFERROR(MATCH('🌱 Configuração'!$H$12,{"BioBizz","Remo Nutrients","General Organics","SuperSoil","Genérico"},0),1)=4,IF(2=1,"auto",IF(2=2,"auto","")),IF(2=1,"—",IF(2=2,"—","")))))))))</f>
        <v/>
      </c>
      <c r="M41" s="59" t="str">
        <f aca="false">IF('🌱 Configuração'!$E$56="","",IF(2&lt;1,"",IF(2&gt;'🌱 Configuração'!$H$9,"",IF(IFERROR(MATCH('🌱 Configuração'!$H$12,{"BioBizz","Remo Nutrients","General Organics","SuperSoil","Genérico"},0),1)=1,IF(2=1,"Lavar substrato — analisar tricomas",IF(2=2,"Tricomas âmbar? Colheita próxima","")),IF(IFERROR(MATCH('🌱 Configuração'!$H$12,{"BioBizz","Remo Nutrients","General Organics","SuperSoil","Genérico"},0),1)=2,IF(2=1,"Flush Remo — 1 semana padrão",IF(2=2,"Analisar tricomas — colheita?","")),IF(IFERROR(MATCH('🌱 Configuração'!$H$12,{"BioBizz","Remo Nutrients","General Organics","SuperSoil","Genérico"},0),1)=3,IF(2=1,"GO: ripen/rinse — 1 semana",IF(2=2,"Analisar tricomas","")),IF(IFERROR(MATCH('🌱 Configuração'!$H$12,{"BioBizz","Remo Nutrients","General Organics","SuperSoil","Genérico"},0),1)=4,IF(2=1,"SuperSoil: flush mais curto — solo limpo",IF(2=2,"Analisar tricomas — colheita próxima","")),IF(2=1,"Personalize suas doses",IF(2=2,"Personalize suas doses","")))))))))</f>
        <v/>
      </c>
    </row>
    <row r="43" customFormat="false" ht="27.75" hidden="false" customHeight="true" outlineLevel="0" collapsed="false">
      <c r="B43" s="61" t="s">
        <v>57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</row>
    <row r="195" customFormat="false" ht="1.5" hidden="false" customHeight="true" outlineLevel="0" collapsed="false">
      <c r="A195" s="35" t="s">
        <v>19</v>
      </c>
      <c r="B195" s="35" t="s">
        <v>22</v>
      </c>
      <c r="C195" s="35" t="s">
        <v>24</v>
      </c>
      <c r="D195" s="35" t="s">
        <v>26</v>
      </c>
      <c r="E195" s="35" t="s">
        <v>28</v>
      </c>
    </row>
    <row r="200" customFormat="false" ht="1.5" hidden="false" customHeight="true" outlineLevel="0" collapsed="false">
      <c r="A200" s="35" t="n">
        <v>1</v>
      </c>
      <c r="B200" s="35" t="s">
        <v>58</v>
      </c>
      <c r="C200" s="35" t="s">
        <v>59</v>
      </c>
      <c r="D200" s="35" t="s">
        <v>60</v>
      </c>
      <c r="E200" s="35" t="s">
        <v>60</v>
      </c>
      <c r="F200" s="35" t="s">
        <v>60</v>
      </c>
      <c r="G200" s="35" t="s">
        <v>60</v>
      </c>
      <c r="H200" s="35" t="s">
        <v>60</v>
      </c>
      <c r="I200" s="35" t="s">
        <v>61</v>
      </c>
      <c r="J200" s="35" t="s">
        <v>62</v>
      </c>
      <c r="K200" s="35" t="s">
        <v>63</v>
      </c>
      <c r="L200" s="35"/>
      <c r="M200" s="35"/>
      <c r="N200" s="35" t="n">
        <v>1</v>
      </c>
      <c r="O200" s="35" t="n">
        <v>1</v>
      </c>
    </row>
    <row r="201" customFormat="false" ht="1.5" hidden="false" customHeight="true" outlineLevel="0" collapsed="false">
      <c r="A201" s="35" t="n">
        <v>2</v>
      </c>
      <c r="B201" s="35" t="s">
        <v>58</v>
      </c>
      <c r="C201" s="35" t="s">
        <v>59</v>
      </c>
      <c r="D201" s="35" t="s">
        <v>64</v>
      </c>
      <c r="E201" s="35" t="s">
        <v>65</v>
      </c>
      <c r="F201" s="35" t="s">
        <v>60</v>
      </c>
      <c r="G201" s="35" t="s">
        <v>60</v>
      </c>
      <c r="H201" s="35" t="s">
        <v>60</v>
      </c>
      <c r="I201" s="35" t="s">
        <v>61</v>
      </c>
      <c r="J201" s="35" t="s">
        <v>62</v>
      </c>
      <c r="K201" s="35" t="s">
        <v>66</v>
      </c>
      <c r="L201" s="35"/>
      <c r="M201" s="35"/>
      <c r="N201" s="35" t="n">
        <v>1</v>
      </c>
      <c r="O201" s="35" t="n">
        <v>1</v>
      </c>
    </row>
    <row r="202" customFormat="false" ht="1.5" hidden="false" customHeight="true" outlineLevel="0" collapsed="false">
      <c r="A202" s="35" t="n">
        <v>3</v>
      </c>
      <c r="B202" s="35" t="s">
        <v>58</v>
      </c>
      <c r="C202" s="35" t="s">
        <v>65</v>
      </c>
      <c r="D202" s="35" t="s">
        <v>67</v>
      </c>
      <c r="E202" s="35" t="s">
        <v>65</v>
      </c>
      <c r="F202" s="35" t="s">
        <v>60</v>
      </c>
      <c r="G202" s="35" t="s">
        <v>60</v>
      </c>
      <c r="H202" s="35" t="s">
        <v>60</v>
      </c>
      <c r="I202" s="35" t="s">
        <v>61</v>
      </c>
      <c r="J202" s="35" t="s">
        <v>62</v>
      </c>
      <c r="K202" s="35" t="s">
        <v>68</v>
      </c>
      <c r="L202" s="35"/>
      <c r="M202" s="35"/>
      <c r="N202" s="35" t="n">
        <v>1</v>
      </c>
      <c r="O202" s="35" t="n">
        <v>1</v>
      </c>
    </row>
    <row r="203" customFormat="false" ht="1.5" hidden="false" customHeight="true" outlineLevel="0" collapsed="false">
      <c r="A203" s="35" t="n">
        <v>4</v>
      </c>
      <c r="B203" s="35" t="s">
        <v>58</v>
      </c>
      <c r="C203" s="35" t="s">
        <v>65</v>
      </c>
      <c r="D203" s="35" t="s">
        <v>67</v>
      </c>
      <c r="E203" s="35" t="s">
        <v>69</v>
      </c>
      <c r="F203" s="35" t="s">
        <v>60</v>
      </c>
      <c r="G203" s="35" t="s">
        <v>60</v>
      </c>
      <c r="H203" s="35" t="s">
        <v>60</v>
      </c>
      <c r="I203" s="35" t="s">
        <v>61</v>
      </c>
      <c r="J203" s="35" t="s">
        <v>62</v>
      </c>
      <c r="K203" s="35" t="s">
        <v>70</v>
      </c>
      <c r="L203" s="35"/>
      <c r="M203" s="35"/>
      <c r="N203" s="35" t="n">
        <v>1</v>
      </c>
      <c r="O203" s="35" t="n">
        <v>1</v>
      </c>
    </row>
    <row r="204" customFormat="false" ht="1.5" hidden="false" customHeight="true" outlineLevel="0" collapsed="false">
      <c r="A204" s="35" t="n">
        <v>1</v>
      </c>
      <c r="B204" s="35" t="s">
        <v>67</v>
      </c>
      <c r="C204" s="35" t="s">
        <v>69</v>
      </c>
      <c r="D204" s="35" t="s">
        <v>71</v>
      </c>
      <c r="E204" s="35" t="s">
        <v>69</v>
      </c>
      <c r="F204" s="35" t="s">
        <v>60</v>
      </c>
      <c r="G204" s="35" t="s">
        <v>60</v>
      </c>
      <c r="H204" s="35" t="s">
        <v>72</v>
      </c>
      <c r="I204" s="35" t="s">
        <v>61</v>
      </c>
      <c r="J204" s="35" t="s">
        <v>73</v>
      </c>
      <c r="K204" s="35" t="s">
        <v>74</v>
      </c>
      <c r="L204" s="35"/>
      <c r="M204" s="35"/>
      <c r="N204" s="35" t="n">
        <v>1</v>
      </c>
      <c r="O204" s="35" t="n">
        <v>2</v>
      </c>
    </row>
    <row r="205" customFormat="false" ht="1.5" hidden="false" customHeight="true" outlineLevel="0" collapsed="false">
      <c r="A205" s="35" t="n">
        <v>2</v>
      </c>
      <c r="B205" s="35" t="s">
        <v>67</v>
      </c>
      <c r="C205" s="35" t="s">
        <v>75</v>
      </c>
      <c r="D205" s="35" t="s">
        <v>71</v>
      </c>
      <c r="E205" s="35" t="s">
        <v>75</v>
      </c>
      <c r="F205" s="35" t="s">
        <v>60</v>
      </c>
      <c r="G205" s="35" t="s">
        <v>60</v>
      </c>
      <c r="H205" s="35" t="s">
        <v>60</v>
      </c>
      <c r="I205" s="35" t="s">
        <v>61</v>
      </c>
      <c r="J205" s="35" t="s">
        <v>76</v>
      </c>
      <c r="K205" s="35" t="s">
        <v>77</v>
      </c>
      <c r="L205" s="35"/>
      <c r="M205" s="35"/>
      <c r="N205" s="35" t="n">
        <v>1</v>
      </c>
      <c r="O205" s="35" t="n">
        <v>2</v>
      </c>
    </row>
    <row r="206" customFormat="false" ht="1.5" hidden="false" customHeight="true" outlineLevel="0" collapsed="false">
      <c r="A206" s="35" t="n">
        <v>3</v>
      </c>
      <c r="B206" s="35" t="s">
        <v>67</v>
      </c>
      <c r="C206" s="35" t="s">
        <v>75</v>
      </c>
      <c r="D206" s="35" t="s">
        <v>71</v>
      </c>
      <c r="E206" s="35" t="s">
        <v>75</v>
      </c>
      <c r="F206" s="35" t="s">
        <v>60</v>
      </c>
      <c r="G206" s="35" t="s">
        <v>60</v>
      </c>
      <c r="H206" s="35" t="s">
        <v>72</v>
      </c>
      <c r="I206" s="35" t="s">
        <v>61</v>
      </c>
      <c r="J206" s="35" t="s">
        <v>13</v>
      </c>
      <c r="K206" s="35" t="s">
        <v>78</v>
      </c>
      <c r="L206" s="35"/>
      <c r="M206" s="35"/>
      <c r="N206" s="35" t="n">
        <v>1</v>
      </c>
      <c r="O206" s="35" t="n">
        <v>2</v>
      </c>
    </row>
    <row r="207" customFormat="false" ht="1.5" hidden="false" customHeight="true" outlineLevel="0" collapsed="false">
      <c r="A207" s="35" t="n">
        <v>4</v>
      </c>
      <c r="B207" s="35" t="s">
        <v>67</v>
      </c>
      <c r="C207" s="35" t="s">
        <v>79</v>
      </c>
      <c r="D207" s="35" t="s">
        <v>71</v>
      </c>
      <c r="E207" s="35" t="s">
        <v>79</v>
      </c>
      <c r="F207" s="35" t="s">
        <v>60</v>
      </c>
      <c r="G207" s="35" t="s">
        <v>60</v>
      </c>
      <c r="H207" s="35" t="s">
        <v>60</v>
      </c>
      <c r="I207" s="35" t="s">
        <v>61</v>
      </c>
      <c r="J207" s="35" t="s">
        <v>80</v>
      </c>
      <c r="K207" s="35" t="s">
        <v>81</v>
      </c>
      <c r="L207" s="35"/>
      <c r="M207" s="35"/>
      <c r="N207" s="35" t="n">
        <v>1</v>
      </c>
      <c r="O207" s="35" t="n">
        <v>2</v>
      </c>
    </row>
    <row r="208" customFormat="false" ht="1.5" hidden="false" customHeight="true" outlineLevel="0" collapsed="false">
      <c r="A208" s="35" t="n">
        <v>5</v>
      </c>
      <c r="B208" s="35" t="s">
        <v>67</v>
      </c>
      <c r="C208" s="35" t="s">
        <v>82</v>
      </c>
      <c r="D208" s="35" t="s">
        <v>71</v>
      </c>
      <c r="E208" s="35" t="s">
        <v>79</v>
      </c>
      <c r="F208" s="35" t="s">
        <v>60</v>
      </c>
      <c r="G208" s="35" t="s">
        <v>60</v>
      </c>
      <c r="H208" s="35" t="s">
        <v>72</v>
      </c>
      <c r="I208" s="35" t="s">
        <v>61</v>
      </c>
      <c r="J208" s="35" t="s">
        <v>83</v>
      </c>
      <c r="K208" s="35" t="s">
        <v>84</v>
      </c>
      <c r="L208" s="35"/>
      <c r="M208" s="35"/>
      <c r="N208" s="35" t="n">
        <v>1</v>
      </c>
      <c r="O208" s="35" t="n">
        <v>2</v>
      </c>
    </row>
    <row r="209" customFormat="false" ht="1.5" hidden="false" customHeight="true" outlineLevel="0" collapsed="false">
      <c r="A209" s="35" t="n">
        <v>6</v>
      </c>
      <c r="B209" s="35" t="s">
        <v>67</v>
      </c>
      <c r="C209" s="35" t="s">
        <v>82</v>
      </c>
      <c r="D209" s="35" t="s">
        <v>60</v>
      </c>
      <c r="E209" s="35" t="s">
        <v>60</v>
      </c>
      <c r="F209" s="35" t="s">
        <v>60</v>
      </c>
      <c r="G209" s="35" t="s">
        <v>60</v>
      </c>
      <c r="H209" s="35" t="s">
        <v>60</v>
      </c>
      <c r="I209" s="35" t="s">
        <v>61</v>
      </c>
      <c r="J209" s="35" t="s">
        <v>80</v>
      </c>
      <c r="K209" s="35" t="s">
        <v>85</v>
      </c>
      <c r="L209" s="35"/>
      <c r="M209" s="35"/>
      <c r="N209" s="35" t="n">
        <v>1</v>
      </c>
      <c r="O209" s="35" t="n">
        <v>2</v>
      </c>
    </row>
    <row r="210" customFormat="false" ht="1.5" hidden="false" customHeight="true" outlineLevel="0" collapsed="false">
      <c r="A210" s="35" t="n">
        <v>7</v>
      </c>
      <c r="B210" s="35" t="s">
        <v>67</v>
      </c>
      <c r="C210" s="35" t="s">
        <v>82</v>
      </c>
      <c r="D210" s="35" t="s">
        <v>86</v>
      </c>
      <c r="E210" s="35" t="s">
        <v>69</v>
      </c>
      <c r="F210" s="35" t="s">
        <v>60</v>
      </c>
      <c r="G210" s="35" t="s">
        <v>60</v>
      </c>
      <c r="H210" s="35" t="s">
        <v>60</v>
      </c>
      <c r="I210" s="35" t="s">
        <v>61</v>
      </c>
      <c r="J210" s="35" t="s">
        <v>80</v>
      </c>
      <c r="K210" s="35" t="s">
        <v>87</v>
      </c>
      <c r="L210" s="35"/>
      <c r="M210" s="35"/>
      <c r="N210" s="35" t="n">
        <v>1</v>
      </c>
      <c r="O210" s="35" t="n">
        <v>2</v>
      </c>
    </row>
    <row r="211" customFormat="false" ht="1.5" hidden="false" customHeight="true" outlineLevel="0" collapsed="false">
      <c r="A211" s="35" t="n">
        <v>8</v>
      </c>
      <c r="B211" s="35" t="s">
        <v>67</v>
      </c>
      <c r="C211" s="35" t="s">
        <v>82</v>
      </c>
      <c r="D211" s="35" t="s">
        <v>86</v>
      </c>
      <c r="E211" s="35" t="s">
        <v>75</v>
      </c>
      <c r="F211" s="35" t="s">
        <v>60</v>
      </c>
      <c r="G211" s="35" t="s">
        <v>60</v>
      </c>
      <c r="H211" s="35" t="s">
        <v>60</v>
      </c>
      <c r="I211" s="35" t="s">
        <v>61</v>
      </c>
      <c r="J211" s="35" t="s">
        <v>80</v>
      </c>
      <c r="K211" s="35" t="s">
        <v>88</v>
      </c>
      <c r="L211" s="35"/>
      <c r="M211" s="35"/>
      <c r="N211" s="35" t="n">
        <v>1</v>
      </c>
      <c r="O211" s="35" t="n">
        <v>2</v>
      </c>
    </row>
    <row r="212" customFormat="false" ht="1.5" hidden="false" customHeight="true" outlineLevel="0" collapsed="false">
      <c r="A212" s="35" t="n">
        <v>1</v>
      </c>
      <c r="B212" s="35" t="s">
        <v>67</v>
      </c>
      <c r="C212" s="35" t="s">
        <v>69</v>
      </c>
      <c r="D212" s="35" t="s">
        <v>86</v>
      </c>
      <c r="E212" s="35" t="s">
        <v>69</v>
      </c>
      <c r="F212" s="35" t="s">
        <v>89</v>
      </c>
      <c r="G212" s="35" t="s">
        <v>69</v>
      </c>
      <c r="H212" s="35" t="s">
        <v>72</v>
      </c>
      <c r="I212" s="35" t="s">
        <v>61</v>
      </c>
      <c r="J212" s="35" t="s">
        <v>90</v>
      </c>
      <c r="K212" s="35" t="s">
        <v>91</v>
      </c>
      <c r="L212" s="35"/>
      <c r="M212" s="35"/>
      <c r="N212" s="35" t="n">
        <v>1</v>
      </c>
      <c r="O212" s="35" t="n">
        <v>3</v>
      </c>
    </row>
    <row r="213" customFormat="false" ht="1.5" hidden="false" customHeight="true" outlineLevel="0" collapsed="false">
      <c r="A213" s="35" t="n">
        <v>2</v>
      </c>
      <c r="B213" s="35" t="s">
        <v>67</v>
      </c>
      <c r="C213" s="35" t="s">
        <v>69</v>
      </c>
      <c r="D213" s="35" t="s">
        <v>86</v>
      </c>
      <c r="E213" s="35" t="s">
        <v>75</v>
      </c>
      <c r="F213" s="35" t="s">
        <v>89</v>
      </c>
      <c r="G213" s="35" t="s">
        <v>69</v>
      </c>
      <c r="H213" s="35" t="s">
        <v>60</v>
      </c>
      <c r="I213" s="35" t="s">
        <v>61</v>
      </c>
      <c r="J213" s="35" t="s">
        <v>92</v>
      </c>
      <c r="K213" s="35" t="s">
        <v>93</v>
      </c>
      <c r="L213" s="35"/>
      <c r="M213" s="35"/>
      <c r="N213" s="35" t="n">
        <v>1</v>
      </c>
      <c r="O213" s="35" t="n">
        <v>3</v>
      </c>
    </row>
    <row r="214" customFormat="false" ht="1.5" hidden="false" customHeight="true" outlineLevel="0" collapsed="false">
      <c r="A214" s="35" t="n">
        <v>3</v>
      </c>
      <c r="B214" s="35" t="s">
        <v>67</v>
      </c>
      <c r="C214" s="35" t="s">
        <v>69</v>
      </c>
      <c r="D214" s="35" t="s">
        <v>86</v>
      </c>
      <c r="E214" s="35" t="s">
        <v>79</v>
      </c>
      <c r="F214" s="35" t="s">
        <v>89</v>
      </c>
      <c r="G214" s="35" t="s">
        <v>75</v>
      </c>
      <c r="H214" s="35" t="s">
        <v>60</v>
      </c>
      <c r="I214" s="35" t="s">
        <v>61</v>
      </c>
      <c r="J214" s="35" t="s">
        <v>94</v>
      </c>
      <c r="K214" s="35" t="s">
        <v>95</v>
      </c>
      <c r="L214" s="35"/>
      <c r="M214" s="35"/>
      <c r="N214" s="35" t="n">
        <v>1</v>
      </c>
      <c r="O214" s="35" t="n">
        <v>3</v>
      </c>
    </row>
    <row r="215" customFormat="false" ht="1.5" hidden="false" customHeight="true" outlineLevel="0" collapsed="false">
      <c r="A215" s="35" t="n">
        <v>4</v>
      </c>
      <c r="B215" s="35" t="s">
        <v>60</v>
      </c>
      <c r="C215" s="35" t="s">
        <v>60</v>
      </c>
      <c r="D215" s="35" t="s">
        <v>86</v>
      </c>
      <c r="E215" s="35" t="s">
        <v>79</v>
      </c>
      <c r="F215" s="35" t="s">
        <v>89</v>
      </c>
      <c r="G215" s="35" t="s">
        <v>75</v>
      </c>
      <c r="H215" s="35" t="s">
        <v>60</v>
      </c>
      <c r="I215" s="35" t="s">
        <v>61</v>
      </c>
      <c r="J215" s="35" t="s">
        <v>96</v>
      </c>
      <c r="K215" s="35" t="s">
        <v>97</v>
      </c>
      <c r="L215" s="35"/>
      <c r="M215" s="35"/>
      <c r="N215" s="35" t="n">
        <v>1</v>
      </c>
      <c r="O215" s="35" t="n">
        <v>3</v>
      </c>
    </row>
    <row r="216" customFormat="false" ht="1.5" hidden="false" customHeight="true" outlineLevel="0" collapsed="false">
      <c r="A216" s="35" t="n">
        <v>5</v>
      </c>
      <c r="B216" s="35" t="s">
        <v>60</v>
      </c>
      <c r="C216" s="35" t="s">
        <v>60</v>
      </c>
      <c r="D216" s="35" t="s">
        <v>86</v>
      </c>
      <c r="E216" s="35" t="s">
        <v>82</v>
      </c>
      <c r="F216" s="35" t="s">
        <v>89</v>
      </c>
      <c r="G216" s="35" t="s">
        <v>79</v>
      </c>
      <c r="H216" s="35" t="s">
        <v>60</v>
      </c>
      <c r="I216" s="35" t="s">
        <v>61</v>
      </c>
      <c r="J216" s="35" t="s">
        <v>98</v>
      </c>
      <c r="K216" s="35" t="s">
        <v>99</v>
      </c>
      <c r="L216" s="35"/>
      <c r="M216" s="35"/>
      <c r="N216" s="35" t="n">
        <v>1</v>
      </c>
      <c r="O216" s="35" t="n">
        <v>3</v>
      </c>
    </row>
    <row r="217" customFormat="false" ht="1.5" hidden="false" customHeight="true" outlineLevel="0" collapsed="false">
      <c r="A217" s="35" t="n">
        <v>6</v>
      </c>
      <c r="B217" s="35" t="s">
        <v>60</v>
      </c>
      <c r="C217" s="35" t="s">
        <v>60</v>
      </c>
      <c r="D217" s="35" t="s">
        <v>86</v>
      </c>
      <c r="E217" s="35" t="s">
        <v>82</v>
      </c>
      <c r="F217" s="35" t="s">
        <v>89</v>
      </c>
      <c r="G217" s="35" t="s">
        <v>79</v>
      </c>
      <c r="H217" s="35" t="s">
        <v>72</v>
      </c>
      <c r="I217" s="35" t="s">
        <v>61</v>
      </c>
      <c r="J217" s="35" t="s">
        <v>98</v>
      </c>
      <c r="K217" s="35" t="s">
        <v>100</v>
      </c>
      <c r="L217" s="35"/>
      <c r="M217" s="35"/>
      <c r="N217" s="35" t="n">
        <v>1</v>
      </c>
      <c r="O217" s="35" t="n">
        <v>3</v>
      </c>
    </row>
    <row r="218" customFormat="false" ht="1.5" hidden="false" customHeight="true" outlineLevel="0" collapsed="false">
      <c r="A218" s="35" t="n">
        <v>7</v>
      </c>
      <c r="B218" s="35" t="s">
        <v>60</v>
      </c>
      <c r="C218" s="35" t="s">
        <v>60</v>
      </c>
      <c r="D218" s="35" t="s">
        <v>86</v>
      </c>
      <c r="E218" s="35" t="s">
        <v>82</v>
      </c>
      <c r="F218" s="35" t="s">
        <v>89</v>
      </c>
      <c r="G218" s="35" t="s">
        <v>82</v>
      </c>
      <c r="H218" s="35" t="s">
        <v>60</v>
      </c>
      <c r="I218" s="35" t="s">
        <v>61</v>
      </c>
      <c r="J218" s="35" t="s">
        <v>96</v>
      </c>
      <c r="K218" s="35" t="s">
        <v>101</v>
      </c>
      <c r="L218" s="35"/>
      <c r="M218" s="35"/>
      <c r="N218" s="35" t="n">
        <v>1</v>
      </c>
      <c r="O218" s="35" t="n">
        <v>3</v>
      </c>
    </row>
    <row r="219" customFormat="false" ht="1.5" hidden="false" customHeight="true" outlineLevel="0" collapsed="false">
      <c r="A219" s="35" t="n">
        <v>8</v>
      </c>
      <c r="B219" s="35" t="s">
        <v>60</v>
      </c>
      <c r="C219" s="35" t="s">
        <v>60</v>
      </c>
      <c r="D219" s="35" t="s">
        <v>86</v>
      </c>
      <c r="E219" s="35" t="s">
        <v>82</v>
      </c>
      <c r="F219" s="35" t="s">
        <v>89</v>
      </c>
      <c r="G219" s="35" t="s">
        <v>82</v>
      </c>
      <c r="H219" s="35" t="s">
        <v>60</v>
      </c>
      <c r="I219" s="35" t="s">
        <v>61</v>
      </c>
      <c r="J219" s="35" t="s">
        <v>94</v>
      </c>
      <c r="K219" s="35" t="s">
        <v>102</v>
      </c>
      <c r="L219" s="35"/>
      <c r="M219" s="35"/>
      <c r="N219" s="35" t="n">
        <v>1</v>
      </c>
      <c r="O219" s="35" t="n">
        <v>3</v>
      </c>
    </row>
    <row r="220" customFormat="false" ht="1.5" hidden="false" customHeight="true" outlineLevel="0" collapsed="false">
      <c r="A220" s="35" t="n">
        <v>9</v>
      </c>
      <c r="B220" s="35" t="s">
        <v>60</v>
      </c>
      <c r="C220" s="35" t="s">
        <v>60</v>
      </c>
      <c r="D220" s="35" t="s">
        <v>86</v>
      </c>
      <c r="E220" s="35" t="s">
        <v>82</v>
      </c>
      <c r="F220" s="35" t="s">
        <v>89</v>
      </c>
      <c r="G220" s="35" t="s">
        <v>82</v>
      </c>
      <c r="H220" s="35" t="s">
        <v>60</v>
      </c>
      <c r="I220" s="35" t="s">
        <v>61</v>
      </c>
      <c r="J220" s="35" t="s">
        <v>90</v>
      </c>
      <c r="K220" s="35" t="s">
        <v>103</v>
      </c>
      <c r="L220" s="35"/>
      <c r="M220" s="35"/>
      <c r="N220" s="35" t="n">
        <v>1</v>
      </c>
      <c r="O220" s="35" t="n">
        <v>3</v>
      </c>
    </row>
    <row r="221" customFormat="false" ht="1.5" hidden="false" customHeight="true" outlineLevel="0" collapsed="false">
      <c r="A221" s="35" t="n">
        <v>10</v>
      </c>
      <c r="B221" s="35" t="s">
        <v>60</v>
      </c>
      <c r="C221" s="35" t="s">
        <v>60</v>
      </c>
      <c r="D221" s="35" t="s">
        <v>86</v>
      </c>
      <c r="E221" s="35" t="s">
        <v>82</v>
      </c>
      <c r="F221" s="35" t="s">
        <v>89</v>
      </c>
      <c r="G221" s="35" t="s">
        <v>82</v>
      </c>
      <c r="H221" s="35" t="s">
        <v>60</v>
      </c>
      <c r="I221" s="35" t="s">
        <v>61</v>
      </c>
      <c r="J221" s="35" t="s">
        <v>90</v>
      </c>
      <c r="K221" s="35" t="s">
        <v>103</v>
      </c>
      <c r="L221" s="35"/>
      <c r="M221" s="35"/>
      <c r="N221" s="35" t="n">
        <v>1</v>
      </c>
      <c r="O221" s="35" t="n">
        <v>3</v>
      </c>
    </row>
    <row r="222" customFormat="false" ht="1.5" hidden="false" customHeight="true" outlineLevel="0" collapsed="false">
      <c r="A222" s="35" t="n">
        <v>11</v>
      </c>
      <c r="B222" s="35" t="s">
        <v>60</v>
      </c>
      <c r="C222" s="35" t="s">
        <v>60</v>
      </c>
      <c r="D222" s="35" t="s">
        <v>86</v>
      </c>
      <c r="E222" s="35" t="s">
        <v>82</v>
      </c>
      <c r="F222" s="35" t="s">
        <v>89</v>
      </c>
      <c r="G222" s="35" t="s">
        <v>82</v>
      </c>
      <c r="H222" s="35" t="s">
        <v>60</v>
      </c>
      <c r="I222" s="35" t="s">
        <v>61</v>
      </c>
      <c r="J222" s="35" t="s">
        <v>80</v>
      </c>
      <c r="K222" s="35" t="s">
        <v>104</v>
      </c>
      <c r="L222" s="35"/>
      <c r="M222" s="35"/>
      <c r="N222" s="35" t="n">
        <v>1</v>
      </c>
      <c r="O222" s="35" t="n">
        <v>3</v>
      </c>
    </row>
    <row r="223" customFormat="false" ht="1.5" hidden="false" customHeight="true" outlineLevel="0" collapsed="false">
      <c r="A223" s="35" t="n">
        <v>12</v>
      </c>
      <c r="B223" s="35" t="s">
        <v>60</v>
      </c>
      <c r="C223" s="35" t="s">
        <v>60</v>
      </c>
      <c r="D223" s="35" t="s">
        <v>86</v>
      </c>
      <c r="E223" s="35" t="s">
        <v>75</v>
      </c>
      <c r="F223" s="35" t="s">
        <v>89</v>
      </c>
      <c r="G223" s="35" t="s">
        <v>75</v>
      </c>
      <c r="H223" s="35" t="s">
        <v>60</v>
      </c>
      <c r="I223" s="35" t="s">
        <v>61</v>
      </c>
      <c r="J223" s="35" t="s">
        <v>76</v>
      </c>
      <c r="K223" s="35" t="s">
        <v>105</v>
      </c>
      <c r="L223" s="35"/>
      <c r="M223" s="35"/>
      <c r="N223" s="35" t="n">
        <v>1</v>
      </c>
      <c r="O223" s="35" t="n">
        <v>3</v>
      </c>
    </row>
    <row r="224" customFormat="false" ht="1.5" hidden="false" customHeight="true" outlineLevel="0" collapsed="false">
      <c r="A224" s="35" t="n">
        <v>1</v>
      </c>
      <c r="B224" s="35" t="s">
        <v>106</v>
      </c>
      <c r="C224" s="35" t="s">
        <v>60</v>
      </c>
      <c r="D224" s="35" t="s">
        <v>60</v>
      </c>
      <c r="E224" s="35" t="s">
        <v>60</v>
      </c>
      <c r="F224" s="35" t="s">
        <v>60</v>
      </c>
      <c r="G224" s="35" t="s">
        <v>60</v>
      </c>
      <c r="H224" s="35" t="s">
        <v>107</v>
      </c>
      <c r="I224" s="35" t="s">
        <v>108</v>
      </c>
      <c r="J224" s="35" t="s">
        <v>109</v>
      </c>
      <c r="K224" s="35" t="s">
        <v>110</v>
      </c>
      <c r="L224" s="35"/>
      <c r="M224" s="35"/>
      <c r="N224" s="35" t="n">
        <v>1</v>
      </c>
      <c r="O224" s="35" t="n">
        <v>4</v>
      </c>
    </row>
    <row r="225" customFormat="false" ht="1.5" hidden="false" customHeight="true" outlineLevel="0" collapsed="false">
      <c r="A225" s="35" t="n">
        <v>2</v>
      </c>
      <c r="B225" s="35" t="s">
        <v>106</v>
      </c>
      <c r="C225" s="35" t="s">
        <v>60</v>
      </c>
      <c r="D225" s="35" t="s">
        <v>60</v>
      </c>
      <c r="E225" s="35" t="s">
        <v>60</v>
      </c>
      <c r="F225" s="35" t="s">
        <v>60</v>
      </c>
      <c r="G225" s="35" t="s">
        <v>60</v>
      </c>
      <c r="H225" s="35" t="s">
        <v>60</v>
      </c>
      <c r="I225" s="35" t="s">
        <v>108</v>
      </c>
      <c r="J225" s="35" t="s">
        <v>111</v>
      </c>
      <c r="K225" s="35" t="s">
        <v>112</v>
      </c>
      <c r="L225" s="35"/>
      <c r="M225" s="35"/>
      <c r="N225" s="35" t="n">
        <v>1</v>
      </c>
      <c r="O225" s="35" t="n">
        <v>4</v>
      </c>
    </row>
    <row r="226" customFormat="false" ht="1.5" hidden="false" customHeight="true" outlineLevel="0" collapsed="false">
      <c r="A226" s="35" t="n">
        <v>1</v>
      </c>
      <c r="B226" s="35" t="s">
        <v>113</v>
      </c>
      <c r="C226" s="35" t="s">
        <v>65</v>
      </c>
      <c r="D226" s="35" t="s">
        <v>114</v>
      </c>
      <c r="E226" s="35" t="s">
        <v>65</v>
      </c>
      <c r="F226" s="35" t="s">
        <v>60</v>
      </c>
      <c r="G226" s="35" t="s">
        <v>60</v>
      </c>
      <c r="H226" s="35" t="s">
        <v>60</v>
      </c>
      <c r="I226" s="35" t="s">
        <v>115</v>
      </c>
      <c r="J226" s="35" t="s">
        <v>62</v>
      </c>
      <c r="K226" s="35" t="s">
        <v>116</v>
      </c>
      <c r="L226" s="35"/>
      <c r="M226" s="35"/>
      <c r="N226" s="35" t="n">
        <v>2</v>
      </c>
      <c r="O226" s="35" t="n">
        <v>1</v>
      </c>
    </row>
    <row r="227" customFormat="false" ht="1.5" hidden="false" customHeight="true" outlineLevel="0" collapsed="false">
      <c r="A227" s="35" t="n">
        <v>2</v>
      </c>
      <c r="B227" s="35" t="s">
        <v>113</v>
      </c>
      <c r="C227" s="35" t="s">
        <v>69</v>
      </c>
      <c r="D227" s="35" t="s">
        <v>114</v>
      </c>
      <c r="E227" s="35" t="s">
        <v>65</v>
      </c>
      <c r="F227" s="35" t="s">
        <v>60</v>
      </c>
      <c r="G227" s="35" t="s">
        <v>60</v>
      </c>
      <c r="H227" s="35" t="s">
        <v>60</v>
      </c>
      <c r="I227" s="35" t="s">
        <v>115</v>
      </c>
      <c r="J227" s="35" t="s">
        <v>62</v>
      </c>
      <c r="K227" s="35" t="s">
        <v>117</v>
      </c>
      <c r="L227" s="35"/>
      <c r="M227" s="35"/>
      <c r="N227" s="35" t="n">
        <v>2</v>
      </c>
      <c r="O227" s="35" t="n">
        <v>1</v>
      </c>
    </row>
    <row r="228" customFormat="false" ht="1.5" hidden="false" customHeight="true" outlineLevel="0" collapsed="false">
      <c r="A228" s="35" t="n">
        <v>3</v>
      </c>
      <c r="B228" s="35" t="s">
        <v>113</v>
      </c>
      <c r="C228" s="35" t="s">
        <v>69</v>
      </c>
      <c r="D228" s="35" t="s">
        <v>118</v>
      </c>
      <c r="E228" s="35" t="s">
        <v>65</v>
      </c>
      <c r="F228" s="35" t="s">
        <v>119</v>
      </c>
      <c r="G228" s="35" t="s">
        <v>65</v>
      </c>
      <c r="H228" s="35" t="s">
        <v>60</v>
      </c>
      <c r="I228" s="35" t="s">
        <v>120</v>
      </c>
      <c r="J228" s="35" t="s">
        <v>121</v>
      </c>
      <c r="K228" s="35" t="s">
        <v>122</v>
      </c>
      <c r="L228" s="35"/>
      <c r="M228" s="35"/>
      <c r="N228" s="35" t="n">
        <v>2</v>
      </c>
      <c r="O228" s="35" t="n">
        <v>1</v>
      </c>
    </row>
    <row r="229" customFormat="false" ht="1.5" hidden="false" customHeight="true" outlineLevel="0" collapsed="false">
      <c r="A229" s="35" t="n">
        <v>4</v>
      </c>
      <c r="B229" s="35" t="s">
        <v>113</v>
      </c>
      <c r="C229" s="35" t="s">
        <v>69</v>
      </c>
      <c r="D229" s="35" t="s">
        <v>118</v>
      </c>
      <c r="E229" s="35" t="s">
        <v>69</v>
      </c>
      <c r="F229" s="35" t="s">
        <v>119</v>
      </c>
      <c r="G229" s="35" t="s">
        <v>69</v>
      </c>
      <c r="H229" s="35" t="s">
        <v>60</v>
      </c>
      <c r="I229" s="35" t="s">
        <v>120</v>
      </c>
      <c r="J229" s="35" t="s">
        <v>123</v>
      </c>
      <c r="K229" s="35" t="s">
        <v>124</v>
      </c>
      <c r="L229" s="35"/>
      <c r="M229" s="35"/>
      <c r="N229" s="35" t="n">
        <v>2</v>
      </c>
      <c r="O229" s="35" t="n">
        <v>1</v>
      </c>
    </row>
    <row r="230" customFormat="false" ht="1.5" hidden="false" customHeight="true" outlineLevel="0" collapsed="false">
      <c r="A230" s="35" t="n">
        <v>1</v>
      </c>
      <c r="B230" s="35" t="s">
        <v>118</v>
      </c>
      <c r="C230" s="35" t="s">
        <v>125</v>
      </c>
      <c r="D230" s="35" t="s">
        <v>119</v>
      </c>
      <c r="E230" s="35" t="s">
        <v>125</v>
      </c>
      <c r="F230" s="35" t="s">
        <v>60</v>
      </c>
      <c r="G230" s="35" t="s">
        <v>60</v>
      </c>
      <c r="H230" s="35" t="s">
        <v>126</v>
      </c>
      <c r="I230" s="35" t="s">
        <v>127</v>
      </c>
      <c r="J230" s="35" t="s">
        <v>73</v>
      </c>
      <c r="K230" s="35" t="s">
        <v>128</v>
      </c>
      <c r="L230" s="35"/>
      <c r="M230" s="35"/>
      <c r="N230" s="35" t="n">
        <v>2</v>
      </c>
      <c r="O230" s="35" t="n">
        <v>2</v>
      </c>
    </row>
    <row r="231" customFormat="false" ht="1.5" hidden="false" customHeight="true" outlineLevel="0" collapsed="false">
      <c r="A231" s="35" t="n">
        <v>2</v>
      </c>
      <c r="B231" s="35" t="s">
        <v>118</v>
      </c>
      <c r="C231" s="35" t="s">
        <v>129</v>
      </c>
      <c r="D231" s="35" t="s">
        <v>119</v>
      </c>
      <c r="E231" s="35" t="s">
        <v>129</v>
      </c>
      <c r="F231" s="35" t="s">
        <v>60</v>
      </c>
      <c r="G231" s="35" t="s">
        <v>60</v>
      </c>
      <c r="H231" s="35" t="s">
        <v>126</v>
      </c>
      <c r="I231" s="35" t="s">
        <v>127</v>
      </c>
      <c r="J231" s="35" t="s">
        <v>76</v>
      </c>
      <c r="K231" s="35" t="s">
        <v>130</v>
      </c>
      <c r="L231" s="35"/>
      <c r="M231" s="35"/>
      <c r="N231" s="35" t="n">
        <v>2</v>
      </c>
      <c r="O231" s="35" t="n">
        <v>2</v>
      </c>
    </row>
    <row r="232" customFormat="false" ht="1.5" hidden="false" customHeight="true" outlineLevel="0" collapsed="false">
      <c r="A232" s="35" t="n">
        <v>3</v>
      </c>
      <c r="B232" s="35" t="s">
        <v>118</v>
      </c>
      <c r="C232" s="35" t="s">
        <v>131</v>
      </c>
      <c r="D232" s="35" t="s">
        <v>119</v>
      </c>
      <c r="E232" s="35" t="s">
        <v>131</v>
      </c>
      <c r="F232" s="35" t="s">
        <v>60</v>
      </c>
      <c r="G232" s="35" t="s">
        <v>60</v>
      </c>
      <c r="H232" s="35" t="s">
        <v>132</v>
      </c>
      <c r="I232" s="35" t="s">
        <v>127</v>
      </c>
      <c r="J232" s="35" t="s">
        <v>13</v>
      </c>
      <c r="K232" s="35" t="s">
        <v>133</v>
      </c>
      <c r="L232" s="35"/>
      <c r="M232" s="35"/>
      <c r="N232" s="35" t="n">
        <v>2</v>
      </c>
      <c r="O232" s="35" t="n">
        <v>2</v>
      </c>
    </row>
    <row r="233" customFormat="false" ht="1.5" hidden="false" customHeight="true" outlineLevel="0" collapsed="false">
      <c r="A233" s="35" t="n">
        <v>4</v>
      </c>
      <c r="B233" s="35" t="s">
        <v>118</v>
      </c>
      <c r="C233" s="35" t="s">
        <v>134</v>
      </c>
      <c r="D233" s="35" t="s">
        <v>119</v>
      </c>
      <c r="E233" s="35" t="s">
        <v>134</v>
      </c>
      <c r="F233" s="35" t="s">
        <v>60</v>
      </c>
      <c r="G233" s="35" t="s">
        <v>60</v>
      </c>
      <c r="H233" s="35" t="s">
        <v>132</v>
      </c>
      <c r="I233" s="35" t="s">
        <v>127</v>
      </c>
      <c r="J233" s="35" t="s">
        <v>80</v>
      </c>
      <c r="K233" s="35" t="s">
        <v>135</v>
      </c>
      <c r="L233" s="35"/>
      <c r="M233" s="35"/>
      <c r="N233" s="35" t="n">
        <v>2</v>
      </c>
      <c r="O233" s="35" t="n">
        <v>2</v>
      </c>
    </row>
    <row r="234" customFormat="false" ht="1.5" hidden="false" customHeight="true" outlineLevel="0" collapsed="false">
      <c r="A234" s="35" t="n">
        <v>5</v>
      </c>
      <c r="B234" s="35" t="s">
        <v>118</v>
      </c>
      <c r="C234" s="35" t="s">
        <v>134</v>
      </c>
      <c r="D234" s="35" t="s">
        <v>119</v>
      </c>
      <c r="E234" s="35" t="s">
        <v>134</v>
      </c>
      <c r="F234" s="35" t="s">
        <v>60</v>
      </c>
      <c r="G234" s="35" t="s">
        <v>60</v>
      </c>
      <c r="H234" s="35" t="s">
        <v>132</v>
      </c>
      <c r="I234" s="35" t="s">
        <v>127</v>
      </c>
      <c r="J234" s="35" t="s">
        <v>83</v>
      </c>
      <c r="K234" s="35" t="s">
        <v>136</v>
      </c>
      <c r="L234" s="35"/>
      <c r="M234" s="35"/>
      <c r="N234" s="35" t="n">
        <v>2</v>
      </c>
      <c r="O234" s="35" t="n">
        <v>2</v>
      </c>
    </row>
    <row r="235" customFormat="false" ht="1.5" hidden="false" customHeight="true" outlineLevel="0" collapsed="false">
      <c r="A235" s="35" t="n">
        <v>6</v>
      </c>
      <c r="B235" s="35" t="s">
        <v>118</v>
      </c>
      <c r="C235" s="35" t="s">
        <v>134</v>
      </c>
      <c r="D235" s="35" t="s">
        <v>119</v>
      </c>
      <c r="E235" s="35" t="s">
        <v>134</v>
      </c>
      <c r="F235" s="35" t="s">
        <v>137</v>
      </c>
      <c r="G235" s="35" t="s">
        <v>138</v>
      </c>
      <c r="H235" s="35" t="s">
        <v>132</v>
      </c>
      <c r="I235" s="35" t="s">
        <v>127</v>
      </c>
      <c r="J235" s="35" t="s">
        <v>83</v>
      </c>
      <c r="K235" s="35" t="s">
        <v>139</v>
      </c>
      <c r="L235" s="35"/>
      <c r="M235" s="35"/>
      <c r="N235" s="35" t="n">
        <v>2</v>
      </c>
      <c r="O235" s="35" t="n">
        <v>2</v>
      </c>
    </row>
    <row r="236" customFormat="false" ht="1.5" hidden="false" customHeight="true" outlineLevel="0" collapsed="false">
      <c r="A236" s="35" t="n">
        <v>7</v>
      </c>
      <c r="B236" s="35" t="s">
        <v>118</v>
      </c>
      <c r="C236" s="35" t="s">
        <v>134</v>
      </c>
      <c r="D236" s="35" t="s">
        <v>119</v>
      </c>
      <c r="E236" s="35" t="s">
        <v>138</v>
      </c>
      <c r="F236" s="35" t="s">
        <v>137</v>
      </c>
      <c r="G236" s="35" t="s">
        <v>134</v>
      </c>
      <c r="H236" s="35" t="s">
        <v>60</v>
      </c>
      <c r="I236" s="35" t="s">
        <v>127</v>
      </c>
      <c r="J236" s="35" t="s">
        <v>80</v>
      </c>
      <c r="K236" s="35" t="s">
        <v>140</v>
      </c>
      <c r="L236" s="35"/>
      <c r="M236" s="35"/>
      <c r="N236" s="35" t="n">
        <v>2</v>
      </c>
      <c r="O236" s="35" t="n">
        <v>2</v>
      </c>
    </row>
    <row r="237" customFormat="false" ht="1.5" hidden="false" customHeight="true" outlineLevel="0" collapsed="false">
      <c r="A237" s="35" t="n">
        <v>8</v>
      </c>
      <c r="B237" s="35" t="s">
        <v>118</v>
      </c>
      <c r="C237" s="35" t="s">
        <v>134</v>
      </c>
      <c r="D237" s="35" t="s">
        <v>119</v>
      </c>
      <c r="E237" s="35" t="s">
        <v>65</v>
      </c>
      <c r="F237" s="35" t="s">
        <v>137</v>
      </c>
      <c r="G237" s="35" t="s">
        <v>134</v>
      </c>
      <c r="H237" s="35" t="s">
        <v>60</v>
      </c>
      <c r="I237" s="35" t="s">
        <v>127</v>
      </c>
      <c r="J237" s="35" t="s">
        <v>80</v>
      </c>
      <c r="K237" s="35" t="s">
        <v>88</v>
      </c>
      <c r="L237" s="35"/>
      <c r="M237" s="35"/>
      <c r="N237" s="35" t="n">
        <v>2</v>
      </c>
      <c r="O237" s="35" t="n">
        <v>2</v>
      </c>
    </row>
    <row r="238" customFormat="false" ht="1.5" hidden="false" customHeight="true" outlineLevel="0" collapsed="false">
      <c r="A238" s="35" t="n">
        <v>1</v>
      </c>
      <c r="B238" s="35" t="s">
        <v>118</v>
      </c>
      <c r="C238" s="35" t="s">
        <v>134</v>
      </c>
      <c r="D238" s="35" t="s">
        <v>137</v>
      </c>
      <c r="E238" s="35" t="s">
        <v>134</v>
      </c>
      <c r="F238" s="35" t="s">
        <v>60</v>
      </c>
      <c r="G238" s="35" t="s">
        <v>60</v>
      </c>
      <c r="H238" s="35" t="s">
        <v>132</v>
      </c>
      <c r="I238" s="35" t="s">
        <v>127</v>
      </c>
      <c r="J238" s="35" t="s">
        <v>90</v>
      </c>
      <c r="K238" s="35" t="s">
        <v>141</v>
      </c>
      <c r="L238" s="35"/>
      <c r="M238" s="35"/>
      <c r="N238" s="35" t="n">
        <v>2</v>
      </c>
      <c r="O238" s="35" t="n">
        <v>3</v>
      </c>
    </row>
    <row r="239" customFormat="false" ht="1.5" hidden="false" customHeight="true" outlineLevel="0" collapsed="false">
      <c r="A239" s="35" t="n">
        <v>2</v>
      </c>
      <c r="B239" s="35" t="s">
        <v>118</v>
      </c>
      <c r="C239" s="35" t="s">
        <v>134</v>
      </c>
      <c r="D239" s="35" t="s">
        <v>137</v>
      </c>
      <c r="E239" s="35" t="s">
        <v>134</v>
      </c>
      <c r="F239" s="35" t="s">
        <v>60</v>
      </c>
      <c r="G239" s="35" t="s">
        <v>60</v>
      </c>
      <c r="H239" s="35" t="s">
        <v>132</v>
      </c>
      <c r="I239" s="35" t="s">
        <v>127</v>
      </c>
      <c r="J239" s="35" t="s">
        <v>92</v>
      </c>
      <c r="K239" s="35" t="s">
        <v>142</v>
      </c>
      <c r="L239" s="35"/>
      <c r="M239" s="35"/>
      <c r="N239" s="35" t="n">
        <v>2</v>
      </c>
      <c r="O239" s="35" t="n">
        <v>3</v>
      </c>
    </row>
    <row r="240" customFormat="false" ht="1.5" hidden="false" customHeight="true" outlineLevel="0" collapsed="false">
      <c r="A240" s="35" t="n">
        <v>3</v>
      </c>
      <c r="B240" s="35" t="s">
        <v>118</v>
      </c>
      <c r="C240" s="35" t="s">
        <v>134</v>
      </c>
      <c r="D240" s="35" t="s">
        <v>137</v>
      </c>
      <c r="E240" s="35" t="s">
        <v>134</v>
      </c>
      <c r="F240" s="35" t="s">
        <v>60</v>
      </c>
      <c r="G240" s="35" t="s">
        <v>60</v>
      </c>
      <c r="H240" s="35" t="s">
        <v>132</v>
      </c>
      <c r="I240" s="35" t="s">
        <v>127</v>
      </c>
      <c r="J240" s="35" t="s">
        <v>94</v>
      </c>
      <c r="K240" s="35" t="s">
        <v>143</v>
      </c>
      <c r="L240" s="35"/>
      <c r="M240" s="35"/>
      <c r="N240" s="35" t="n">
        <v>2</v>
      </c>
      <c r="O240" s="35" t="n">
        <v>3</v>
      </c>
    </row>
    <row r="241" customFormat="false" ht="1.5" hidden="false" customHeight="true" outlineLevel="0" collapsed="false">
      <c r="A241" s="35" t="n">
        <v>4</v>
      </c>
      <c r="B241" s="35" t="s">
        <v>118</v>
      </c>
      <c r="C241" s="35" t="s">
        <v>134</v>
      </c>
      <c r="D241" s="35" t="s">
        <v>137</v>
      </c>
      <c r="E241" s="35" t="s">
        <v>134</v>
      </c>
      <c r="F241" s="35" t="s">
        <v>144</v>
      </c>
      <c r="G241" s="35" t="s">
        <v>138</v>
      </c>
      <c r="H241" s="35" t="s">
        <v>132</v>
      </c>
      <c r="I241" s="35" t="s">
        <v>127</v>
      </c>
      <c r="J241" s="35" t="s">
        <v>96</v>
      </c>
      <c r="K241" s="35" t="s">
        <v>145</v>
      </c>
      <c r="L241" s="35"/>
      <c r="M241" s="35"/>
      <c r="N241" s="35" t="n">
        <v>2</v>
      </c>
      <c r="O241" s="35" t="n">
        <v>3</v>
      </c>
    </row>
    <row r="242" customFormat="false" ht="1.5" hidden="false" customHeight="true" outlineLevel="0" collapsed="false">
      <c r="A242" s="35" t="n">
        <v>5</v>
      </c>
      <c r="B242" s="35" t="s">
        <v>118</v>
      </c>
      <c r="C242" s="35" t="s">
        <v>146</v>
      </c>
      <c r="D242" s="35" t="s">
        <v>137</v>
      </c>
      <c r="E242" s="35" t="s">
        <v>146</v>
      </c>
      <c r="F242" s="35" t="s">
        <v>144</v>
      </c>
      <c r="G242" s="35" t="s">
        <v>147</v>
      </c>
      <c r="H242" s="35" t="s">
        <v>148</v>
      </c>
      <c r="I242" s="35" t="s">
        <v>127</v>
      </c>
      <c r="J242" s="35" t="s">
        <v>98</v>
      </c>
      <c r="K242" s="35" t="s">
        <v>149</v>
      </c>
      <c r="L242" s="35"/>
      <c r="M242" s="35"/>
      <c r="N242" s="35" t="n">
        <v>2</v>
      </c>
      <c r="O242" s="35" t="n">
        <v>3</v>
      </c>
    </row>
    <row r="243" customFormat="false" ht="1.5" hidden="false" customHeight="true" outlineLevel="0" collapsed="false">
      <c r="A243" s="35" t="n">
        <v>6</v>
      </c>
      <c r="B243" s="35" t="s">
        <v>118</v>
      </c>
      <c r="C243" s="35" t="s">
        <v>146</v>
      </c>
      <c r="D243" s="35" t="s">
        <v>137</v>
      </c>
      <c r="E243" s="35" t="s">
        <v>146</v>
      </c>
      <c r="F243" s="35" t="s">
        <v>144</v>
      </c>
      <c r="G243" s="35" t="s">
        <v>147</v>
      </c>
      <c r="H243" s="35" t="s">
        <v>148</v>
      </c>
      <c r="I243" s="35" t="s">
        <v>127</v>
      </c>
      <c r="J243" s="35" t="s">
        <v>98</v>
      </c>
      <c r="K243" s="35" t="s">
        <v>150</v>
      </c>
      <c r="L243" s="35"/>
      <c r="M243" s="35"/>
      <c r="N243" s="35" t="n">
        <v>2</v>
      </c>
      <c r="O243" s="35" t="n">
        <v>3</v>
      </c>
    </row>
    <row r="244" customFormat="false" ht="1.5" hidden="false" customHeight="true" outlineLevel="0" collapsed="false">
      <c r="A244" s="35" t="n">
        <v>7</v>
      </c>
      <c r="B244" s="35" t="s">
        <v>118</v>
      </c>
      <c r="C244" s="35" t="s">
        <v>146</v>
      </c>
      <c r="D244" s="35" t="s">
        <v>137</v>
      </c>
      <c r="E244" s="35" t="s">
        <v>146</v>
      </c>
      <c r="F244" s="35" t="s">
        <v>144</v>
      </c>
      <c r="G244" s="35" t="s">
        <v>138</v>
      </c>
      <c r="H244" s="35" t="s">
        <v>60</v>
      </c>
      <c r="I244" s="35" t="s">
        <v>127</v>
      </c>
      <c r="J244" s="35" t="s">
        <v>94</v>
      </c>
      <c r="K244" s="35" t="s">
        <v>151</v>
      </c>
      <c r="L244" s="35"/>
      <c r="M244" s="35"/>
      <c r="N244" s="35" t="n">
        <v>2</v>
      </c>
      <c r="O244" s="35" t="n">
        <v>3</v>
      </c>
    </row>
    <row r="245" customFormat="false" ht="1.5" hidden="false" customHeight="true" outlineLevel="0" collapsed="false">
      <c r="A245" s="35" t="n">
        <v>8</v>
      </c>
      <c r="B245" s="35" t="s">
        <v>118</v>
      </c>
      <c r="C245" s="35" t="s">
        <v>134</v>
      </c>
      <c r="D245" s="35" t="s">
        <v>137</v>
      </c>
      <c r="E245" s="35" t="s">
        <v>134</v>
      </c>
      <c r="F245" s="35" t="s">
        <v>60</v>
      </c>
      <c r="G245" s="35" t="s">
        <v>60</v>
      </c>
      <c r="H245" s="35" t="s">
        <v>60</v>
      </c>
      <c r="I245" s="35" t="s">
        <v>127</v>
      </c>
      <c r="J245" s="35" t="s">
        <v>90</v>
      </c>
      <c r="K245" s="35" t="s">
        <v>104</v>
      </c>
      <c r="L245" s="35"/>
      <c r="M245" s="35"/>
      <c r="N245" s="35" t="n">
        <v>2</v>
      </c>
      <c r="O245" s="35" t="n">
        <v>3</v>
      </c>
    </row>
    <row r="246" customFormat="false" ht="1.5" hidden="false" customHeight="true" outlineLevel="0" collapsed="false">
      <c r="A246" s="35" t="n">
        <v>9</v>
      </c>
      <c r="B246" s="35" t="s">
        <v>118</v>
      </c>
      <c r="C246" s="35" t="s">
        <v>134</v>
      </c>
      <c r="D246" s="35" t="s">
        <v>137</v>
      </c>
      <c r="E246" s="35" t="s">
        <v>134</v>
      </c>
      <c r="F246" s="35" t="s">
        <v>60</v>
      </c>
      <c r="G246" s="35" t="s">
        <v>60</v>
      </c>
      <c r="H246" s="35" t="s">
        <v>60</v>
      </c>
      <c r="I246" s="35" t="s">
        <v>127</v>
      </c>
      <c r="J246" s="35" t="s">
        <v>80</v>
      </c>
      <c r="K246" s="35" t="s">
        <v>152</v>
      </c>
      <c r="L246" s="35"/>
      <c r="M246" s="35"/>
      <c r="N246" s="35" t="n">
        <v>2</v>
      </c>
      <c r="O246" s="35" t="n">
        <v>3</v>
      </c>
    </row>
    <row r="247" customFormat="false" ht="1.5" hidden="false" customHeight="true" outlineLevel="0" collapsed="false">
      <c r="A247" s="35" t="n">
        <v>10</v>
      </c>
      <c r="B247" s="35" t="s">
        <v>118</v>
      </c>
      <c r="C247" s="35" t="s">
        <v>134</v>
      </c>
      <c r="D247" s="35" t="s">
        <v>137</v>
      </c>
      <c r="E247" s="35" t="s">
        <v>134</v>
      </c>
      <c r="F247" s="35" t="s">
        <v>60</v>
      </c>
      <c r="G247" s="35" t="s">
        <v>60</v>
      </c>
      <c r="H247" s="35" t="s">
        <v>60</v>
      </c>
      <c r="I247" s="35" t="s">
        <v>127</v>
      </c>
      <c r="J247" s="35" t="s">
        <v>80</v>
      </c>
      <c r="K247" s="35" t="s">
        <v>153</v>
      </c>
      <c r="L247" s="35"/>
      <c r="M247" s="35"/>
      <c r="N247" s="35" t="n">
        <v>2</v>
      </c>
      <c r="O247" s="35" t="n">
        <v>3</v>
      </c>
    </row>
    <row r="248" customFormat="false" ht="1.5" hidden="false" customHeight="true" outlineLevel="0" collapsed="false">
      <c r="A248" s="35" t="n">
        <v>11</v>
      </c>
      <c r="B248" s="35" t="s">
        <v>118</v>
      </c>
      <c r="C248" s="35" t="s">
        <v>129</v>
      </c>
      <c r="D248" s="35" t="s">
        <v>137</v>
      </c>
      <c r="E248" s="35" t="s">
        <v>129</v>
      </c>
      <c r="F248" s="35" t="s">
        <v>60</v>
      </c>
      <c r="G248" s="35" t="s">
        <v>60</v>
      </c>
      <c r="H248" s="35" t="s">
        <v>60</v>
      </c>
      <c r="I248" s="35" t="s">
        <v>127</v>
      </c>
      <c r="J248" s="35" t="s">
        <v>76</v>
      </c>
      <c r="K248" s="35" t="s">
        <v>154</v>
      </c>
      <c r="L248" s="35"/>
      <c r="M248" s="35"/>
      <c r="N248" s="35" t="n">
        <v>2</v>
      </c>
      <c r="O248" s="35" t="n">
        <v>3</v>
      </c>
    </row>
    <row r="249" customFormat="false" ht="1.5" hidden="false" customHeight="true" outlineLevel="0" collapsed="false">
      <c r="A249" s="35" t="n">
        <v>12</v>
      </c>
      <c r="B249" s="35" t="s">
        <v>118</v>
      </c>
      <c r="C249" s="35" t="s">
        <v>138</v>
      </c>
      <c r="D249" s="35" t="s">
        <v>137</v>
      </c>
      <c r="E249" s="35" t="s">
        <v>138</v>
      </c>
      <c r="F249" s="35" t="s">
        <v>60</v>
      </c>
      <c r="G249" s="35" t="s">
        <v>60</v>
      </c>
      <c r="H249" s="35" t="s">
        <v>60</v>
      </c>
      <c r="I249" s="35" t="s">
        <v>127</v>
      </c>
      <c r="J249" s="35" t="s">
        <v>73</v>
      </c>
      <c r="K249" s="35" t="s">
        <v>155</v>
      </c>
      <c r="L249" s="35"/>
      <c r="M249" s="35"/>
      <c r="N249" s="35" t="n">
        <v>2</v>
      </c>
      <c r="O249" s="35" t="n">
        <v>3</v>
      </c>
    </row>
    <row r="250" customFormat="false" ht="1.5" hidden="false" customHeight="true" outlineLevel="0" collapsed="false">
      <c r="A250" s="35" t="n">
        <v>1</v>
      </c>
      <c r="B250" s="35" t="s">
        <v>106</v>
      </c>
      <c r="C250" s="35" t="s">
        <v>60</v>
      </c>
      <c r="D250" s="35" t="s">
        <v>60</v>
      </c>
      <c r="E250" s="35" t="s">
        <v>60</v>
      </c>
      <c r="F250" s="35" t="s">
        <v>60</v>
      </c>
      <c r="G250" s="35" t="s">
        <v>60</v>
      </c>
      <c r="H250" s="35" t="s">
        <v>60</v>
      </c>
      <c r="I250" s="35" t="s">
        <v>115</v>
      </c>
      <c r="J250" s="35" t="s">
        <v>109</v>
      </c>
      <c r="K250" s="35" t="s">
        <v>156</v>
      </c>
      <c r="L250" s="35"/>
      <c r="M250" s="35"/>
      <c r="N250" s="35" t="n">
        <v>2</v>
      </c>
      <c r="O250" s="35" t="n">
        <v>4</v>
      </c>
    </row>
    <row r="251" customFormat="false" ht="1.5" hidden="false" customHeight="true" outlineLevel="0" collapsed="false">
      <c r="A251" s="35" t="n">
        <v>2</v>
      </c>
      <c r="B251" s="35" t="s">
        <v>106</v>
      </c>
      <c r="C251" s="35" t="s">
        <v>60</v>
      </c>
      <c r="D251" s="35" t="s">
        <v>60</v>
      </c>
      <c r="E251" s="35" t="s">
        <v>60</v>
      </c>
      <c r="F251" s="35" t="s">
        <v>60</v>
      </c>
      <c r="G251" s="35" t="s">
        <v>60</v>
      </c>
      <c r="H251" s="35" t="s">
        <v>60</v>
      </c>
      <c r="I251" s="35" t="s">
        <v>115</v>
      </c>
      <c r="J251" s="35" t="s">
        <v>111</v>
      </c>
      <c r="K251" s="35" t="s">
        <v>157</v>
      </c>
      <c r="L251" s="35"/>
      <c r="M251" s="35"/>
      <c r="N251" s="35" t="n">
        <v>2</v>
      </c>
      <c r="O251" s="35" t="n">
        <v>4</v>
      </c>
    </row>
    <row r="252" customFormat="false" ht="1.5" hidden="false" customHeight="true" outlineLevel="0" collapsed="false">
      <c r="A252" s="35" t="n">
        <v>1</v>
      </c>
      <c r="B252" s="35" t="s">
        <v>158</v>
      </c>
      <c r="C252" s="35" t="s">
        <v>125</v>
      </c>
      <c r="D252" s="35" t="s">
        <v>159</v>
      </c>
      <c r="E252" s="35" t="s">
        <v>125</v>
      </c>
      <c r="F252" s="35" t="s">
        <v>60</v>
      </c>
      <c r="G252" s="35" t="s">
        <v>60</v>
      </c>
      <c r="H252" s="35" t="s">
        <v>60</v>
      </c>
      <c r="I252" s="35" t="s">
        <v>160</v>
      </c>
      <c r="J252" s="35" t="s">
        <v>62</v>
      </c>
      <c r="K252" s="35" t="s">
        <v>161</v>
      </c>
      <c r="L252" s="35"/>
      <c r="M252" s="35"/>
      <c r="N252" s="35" t="n">
        <v>3</v>
      </c>
      <c r="O252" s="35" t="n">
        <v>1</v>
      </c>
    </row>
    <row r="253" customFormat="false" ht="1.5" hidden="false" customHeight="true" outlineLevel="0" collapsed="false">
      <c r="A253" s="35" t="n">
        <v>2</v>
      </c>
      <c r="B253" s="35" t="s">
        <v>158</v>
      </c>
      <c r="C253" s="35" t="s">
        <v>125</v>
      </c>
      <c r="D253" s="35" t="s">
        <v>159</v>
      </c>
      <c r="E253" s="35" t="s">
        <v>125</v>
      </c>
      <c r="F253" s="35" t="s">
        <v>162</v>
      </c>
      <c r="G253" s="35" t="s">
        <v>163</v>
      </c>
      <c r="H253" s="35" t="s">
        <v>60</v>
      </c>
      <c r="I253" s="35" t="s">
        <v>160</v>
      </c>
      <c r="J253" s="35" t="s">
        <v>62</v>
      </c>
      <c r="K253" s="35" t="s">
        <v>164</v>
      </c>
      <c r="L253" s="35"/>
      <c r="M253" s="35"/>
      <c r="N253" s="35" t="n">
        <v>3</v>
      </c>
      <c r="O253" s="35" t="n">
        <v>1</v>
      </c>
    </row>
    <row r="254" customFormat="false" ht="1.5" hidden="false" customHeight="true" outlineLevel="0" collapsed="false">
      <c r="A254" s="35" t="n">
        <v>3</v>
      </c>
      <c r="B254" s="35" t="s">
        <v>158</v>
      </c>
      <c r="C254" s="35" t="s">
        <v>146</v>
      </c>
      <c r="D254" s="35" t="s">
        <v>159</v>
      </c>
      <c r="E254" s="35" t="s">
        <v>125</v>
      </c>
      <c r="F254" s="35" t="s">
        <v>165</v>
      </c>
      <c r="G254" s="35" t="s">
        <v>125</v>
      </c>
      <c r="H254" s="35" t="s">
        <v>60</v>
      </c>
      <c r="I254" s="35" t="s">
        <v>160</v>
      </c>
      <c r="J254" s="35" t="s">
        <v>62</v>
      </c>
      <c r="K254" s="35" t="s">
        <v>166</v>
      </c>
      <c r="L254" s="35"/>
      <c r="M254" s="35"/>
      <c r="N254" s="35" t="n">
        <v>3</v>
      </c>
      <c r="O254" s="35" t="n">
        <v>1</v>
      </c>
    </row>
    <row r="255" customFormat="false" ht="1.5" hidden="false" customHeight="true" outlineLevel="0" collapsed="false">
      <c r="A255" s="35" t="n">
        <v>4</v>
      </c>
      <c r="B255" s="35" t="s">
        <v>158</v>
      </c>
      <c r="C255" s="35" t="s">
        <v>146</v>
      </c>
      <c r="D255" s="35" t="s">
        <v>159</v>
      </c>
      <c r="E255" s="35" t="s">
        <v>125</v>
      </c>
      <c r="F255" s="35" t="s">
        <v>165</v>
      </c>
      <c r="G255" s="35" t="s">
        <v>146</v>
      </c>
      <c r="H255" s="35" t="s">
        <v>60</v>
      </c>
      <c r="I255" s="35" t="s">
        <v>160</v>
      </c>
      <c r="J255" s="35" t="s">
        <v>62</v>
      </c>
      <c r="K255" s="35" t="s">
        <v>167</v>
      </c>
      <c r="L255" s="35"/>
      <c r="M255" s="35"/>
      <c r="N255" s="35" t="n">
        <v>3</v>
      </c>
      <c r="O255" s="35" t="n">
        <v>1</v>
      </c>
    </row>
    <row r="256" customFormat="false" ht="1.5" hidden="false" customHeight="true" outlineLevel="0" collapsed="false">
      <c r="A256" s="35" t="n">
        <v>1</v>
      </c>
      <c r="B256" s="35" t="s">
        <v>165</v>
      </c>
      <c r="C256" s="35" t="s">
        <v>125</v>
      </c>
      <c r="D256" s="35" t="s">
        <v>158</v>
      </c>
      <c r="E256" s="35" t="s">
        <v>146</v>
      </c>
      <c r="F256" s="35" t="s">
        <v>159</v>
      </c>
      <c r="G256" s="35" t="s">
        <v>125</v>
      </c>
      <c r="H256" s="35" t="s">
        <v>168</v>
      </c>
      <c r="I256" s="35" t="s">
        <v>160</v>
      </c>
      <c r="J256" s="35" t="s">
        <v>169</v>
      </c>
      <c r="K256" s="35" t="s">
        <v>170</v>
      </c>
      <c r="L256" s="35"/>
      <c r="M256" s="35"/>
      <c r="N256" s="35" t="n">
        <v>3</v>
      </c>
      <c r="O256" s="35" t="n">
        <v>2</v>
      </c>
    </row>
    <row r="257" customFormat="false" ht="1.5" hidden="false" customHeight="true" outlineLevel="0" collapsed="false">
      <c r="A257" s="35" t="n">
        <v>2</v>
      </c>
      <c r="B257" s="35" t="s">
        <v>165</v>
      </c>
      <c r="C257" s="35" t="s">
        <v>146</v>
      </c>
      <c r="D257" s="35" t="s">
        <v>158</v>
      </c>
      <c r="E257" s="35" t="s">
        <v>146</v>
      </c>
      <c r="F257" s="35" t="s">
        <v>159</v>
      </c>
      <c r="G257" s="35" t="s">
        <v>125</v>
      </c>
      <c r="H257" s="35" t="s">
        <v>168</v>
      </c>
      <c r="I257" s="35" t="s">
        <v>160</v>
      </c>
      <c r="J257" s="35" t="s">
        <v>169</v>
      </c>
      <c r="K257" s="35" t="s">
        <v>171</v>
      </c>
      <c r="L257" s="35"/>
      <c r="M257" s="35"/>
      <c r="N257" s="35" t="n">
        <v>3</v>
      </c>
      <c r="O257" s="35" t="n">
        <v>2</v>
      </c>
    </row>
    <row r="258" customFormat="false" ht="1.5" hidden="false" customHeight="true" outlineLevel="0" collapsed="false">
      <c r="A258" s="35" t="n">
        <v>3</v>
      </c>
      <c r="B258" s="35" t="s">
        <v>165</v>
      </c>
      <c r="C258" s="35" t="s">
        <v>146</v>
      </c>
      <c r="D258" s="35" t="s">
        <v>158</v>
      </c>
      <c r="E258" s="35" t="s">
        <v>146</v>
      </c>
      <c r="F258" s="35" t="s">
        <v>159</v>
      </c>
      <c r="G258" s="35" t="s">
        <v>125</v>
      </c>
      <c r="H258" s="35" t="s">
        <v>60</v>
      </c>
      <c r="I258" s="35" t="s">
        <v>160</v>
      </c>
      <c r="J258" s="35" t="s">
        <v>169</v>
      </c>
      <c r="K258" s="35" t="s">
        <v>172</v>
      </c>
      <c r="L258" s="35"/>
      <c r="M258" s="35"/>
      <c r="N258" s="35" t="n">
        <v>3</v>
      </c>
      <c r="O258" s="35" t="n">
        <v>2</v>
      </c>
    </row>
    <row r="259" customFormat="false" ht="1.5" hidden="false" customHeight="true" outlineLevel="0" collapsed="false">
      <c r="A259" s="35" t="n">
        <v>4</v>
      </c>
      <c r="B259" s="35" t="s">
        <v>165</v>
      </c>
      <c r="C259" s="35" t="s">
        <v>146</v>
      </c>
      <c r="D259" s="35" t="s">
        <v>158</v>
      </c>
      <c r="E259" s="35" t="s">
        <v>125</v>
      </c>
      <c r="F259" s="35" t="s">
        <v>159</v>
      </c>
      <c r="G259" s="35" t="s">
        <v>125</v>
      </c>
      <c r="H259" s="35" t="s">
        <v>60</v>
      </c>
      <c r="I259" s="35" t="s">
        <v>160</v>
      </c>
      <c r="J259" s="35" t="s">
        <v>169</v>
      </c>
      <c r="K259" s="35" t="s">
        <v>173</v>
      </c>
      <c r="L259" s="35"/>
      <c r="M259" s="35"/>
      <c r="N259" s="35" t="n">
        <v>3</v>
      </c>
      <c r="O259" s="35" t="n">
        <v>2</v>
      </c>
    </row>
    <row r="260" customFormat="false" ht="1.5" hidden="false" customHeight="true" outlineLevel="0" collapsed="false">
      <c r="A260" s="35" t="n">
        <v>5</v>
      </c>
      <c r="B260" s="35" t="s">
        <v>165</v>
      </c>
      <c r="C260" s="35" t="s">
        <v>146</v>
      </c>
      <c r="D260" s="35" t="s">
        <v>159</v>
      </c>
      <c r="E260" s="35" t="s">
        <v>125</v>
      </c>
      <c r="F260" s="35" t="s">
        <v>60</v>
      </c>
      <c r="G260" s="35" t="s">
        <v>60</v>
      </c>
      <c r="H260" s="35" t="s">
        <v>60</v>
      </c>
      <c r="I260" s="35" t="s">
        <v>160</v>
      </c>
      <c r="J260" s="35" t="s">
        <v>169</v>
      </c>
      <c r="K260" s="35" t="s">
        <v>174</v>
      </c>
      <c r="L260" s="35"/>
      <c r="M260" s="35"/>
      <c r="N260" s="35" t="n">
        <v>3</v>
      </c>
      <c r="O260" s="35" t="n">
        <v>2</v>
      </c>
    </row>
    <row r="261" customFormat="false" ht="1.5" hidden="false" customHeight="true" outlineLevel="0" collapsed="false">
      <c r="A261" s="35" t="n">
        <v>6</v>
      </c>
      <c r="B261" s="35" t="s">
        <v>165</v>
      </c>
      <c r="C261" s="35" t="s">
        <v>146</v>
      </c>
      <c r="D261" s="35" t="s">
        <v>175</v>
      </c>
      <c r="E261" s="35" t="s">
        <v>125</v>
      </c>
      <c r="F261" s="35" t="s">
        <v>159</v>
      </c>
      <c r="G261" s="35" t="s">
        <v>125</v>
      </c>
      <c r="H261" s="35" t="s">
        <v>60</v>
      </c>
      <c r="I261" s="35" t="s">
        <v>160</v>
      </c>
      <c r="J261" s="35" t="s">
        <v>169</v>
      </c>
      <c r="K261" s="35" t="s">
        <v>176</v>
      </c>
      <c r="L261" s="35"/>
      <c r="M261" s="35"/>
      <c r="N261" s="35" t="n">
        <v>3</v>
      </c>
      <c r="O261" s="35" t="n">
        <v>2</v>
      </c>
    </row>
    <row r="262" customFormat="false" ht="1.5" hidden="false" customHeight="true" outlineLevel="0" collapsed="false">
      <c r="A262" s="35" t="n">
        <v>7</v>
      </c>
      <c r="B262" s="35" t="s">
        <v>165</v>
      </c>
      <c r="C262" s="35" t="s">
        <v>125</v>
      </c>
      <c r="D262" s="35" t="s">
        <v>175</v>
      </c>
      <c r="E262" s="35" t="s">
        <v>146</v>
      </c>
      <c r="F262" s="35" t="s">
        <v>159</v>
      </c>
      <c r="G262" s="35" t="s">
        <v>125</v>
      </c>
      <c r="H262" s="35" t="s">
        <v>60</v>
      </c>
      <c r="I262" s="35" t="s">
        <v>160</v>
      </c>
      <c r="J262" s="35" t="s">
        <v>169</v>
      </c>
      <c r="K262" s="35" t="s">
        <v>177</v>
      </c>
      <c r="L262" s="35"/>
      <c r="M262" s="35"/>
      <c r="N262" s="35" t="n">
        <v>3</v>
      </c>
      <c r="O262" s="35" t="n">
        <v>2</v>
      </c>
    </row>
    <row r="263" customFormat="false" ht="1.5" hidden="false" customHeight="true" outlineLevel="0" collapsed="false">
      <c r="A263" s="35" t="n">
        <v>8</v>
      </c>
      <c r="B263" s="35" t="s">
        <v>165</v>
      </c>
      <c r="C263" s="35" t="s">
        <v>125</v>
      </c>
      <c r="D263" s="35" t="s">
        <v>175</v>
      </c>
      <c r="E263" s="35" t="s">
        <v>146</v>
      </c>
      <c r="F263" s="35" t="s">
        <v>159</v>
      </c>
      <c r="G263" s="35" t="s">
        <v>125</v>
      </c>
      <c r="H263" s="35" t="s">
        <v>60</v>
      </c>
      <c r="I263" s="35" t="s">
        <v>160</v>
      </c>
      <c r="J263" s="35" t="s">
        <v>169</v>
      </c>
      <c r="K263" s="35" t="s">
        <v>178</v>
      </c>
      <c r="L263" s="35"/>
      <c r="M263" s="35"/>
      <c r="N263" s="35" t="n">
        <v>3</v>
      </c>
      <c r="O263" s="35" t="n">
        <v>2</v>
      </c>
    </row>
    <row r="264" customFormat="false" ht="1.5" hidden="false" customHeight="true" outlineLevel="0" collapsed="false">
      <c r="A264" s="35" t="n">
        <v>1</v>
      </c>
      <c r="B264" s="35" t="s">
        <v>175</v>
      </c>
      <c r="C264" s="35" t="s">
        <v>146</v>
      </c>
      <c r="D264" s="35" t="s">
        <v>179</v>
      </c>
      <c r="E264" s="35" t="s">
        <v>163</v>
      </c>
      <c r="F264" s="35" t="s">
        <v>159</v>
      </c>
      <c r="G264" s="35" t="s">
        <v>125</v>
      </c>
      <c r="H264" s="35" t="s">
        <v>168</v>
      </c>
      <c r="I264" s="35" t="s">
        <v>160</v>
      </c>
      <c r="J264" s="35" t="s">
        <v>169</v>
      </c>
      <c r="K264" s="35" t="s">
        <v>180</v>
      </c>
      <c r="L264" s="35"/>
      <c r="M264" s="35"/>
      <c r="N264" s="35" t="n">
        <v>3</v>
      </c>
      <c r="O264" s="35" t="n">
        <v>3</v>
      </c>
    </row>
    <row r="265" customFormat="false" ht="1.5" hidden="false" customHeight="true" outlineLevel="0" collapsed="false">
      <c r="A265" s="35" t="n">
        <v>2</v>
      </c>
      <c r="B265" s="35" t="s">
        <v>175</v>
      </c>
      <c r="C265" s="35" t="s">
        <v>146</v>
      </c>
      <c r="D265" s="35" t="s">
        <v>179</v>
      </c>
      <c r="E265" s="35" t="s">
        <v>163</v>
      </c>
      <c r="F265" s="35" t="s">
        <v>159</v>
      </c>
      <c r="G265" s="35" t="s">
        <v>125</v>
      </c>
      <c r="H265" s="35" t="s">
        <v>60</v>
      </c>
      <c r="I265" s="35" t="s">
        <v>160</v>
      </c>
      <c r="J265" s="35" t="s">
        <v>169</v>
      </c>
      <c r="K265" s="35" t="s">
        <v>181</v>
      </c>
      <c r="L265" s="35"/>
      <c r="M265" s="35"/>
      <c r="N265" s="35" t="n">
        <v>3</v>
      </c>
      <c r="O265" s="35" t="n">
        <v>3</v>
      </c>
    </row>
    <row r="266" customFormat="false" ht="1.5" hidden="false" customHeight="true" outlineLevel="0" collapsed="false">
      <c r="A266" s="35" t="n">
        <v>3</v>
      </c>
      <c r="B266" s="35" t="s">
        <v>175</v>
      </c>
      <c r="C266" s="35" t="s">
        <v>146</v>
      </c>
      <c r="D266" s="35" t="s">
        <v>179</v>
      </c>
      <c r="E266" s="35" t="s">
        <v>163</v>
      </c>
      <c r="F266" s="35" t="s">
        <v>159</v>
      </c>
      <c r="G266" s="35" t="s">
        <v>125</v>
      </c>
      <c r="H266" s="35" t="s">
        <v>60</v>
      </c>
      <c r="I266" s="35" t="s">
        <v>160</v>
      </c>
      <c r="J266" s="35" t="s">
        <v>169</v>
      </c>
      <c r="K266" s="35" t="s">
        <v>182</v>
      </c>
      <c r="L266" s="35"/>
      <c r="M266" s="35"/>
      <c r="N266" s="35" t="n">
        <v>3</v>
      </c>
      <c r="O266" s="35" t="n">
        <v>3</v>
      </c>
    </row>
    <row r="267" customFormat="false" ht="1.5" hidden="false" customHeight="true" outlineLevel="0" collapsed="false">
      <c r="A267" s="35" t="n">
        <v>4</v>
      </c>
      <c r="B267" s="35" t="s">
        <v>175</v>
      </c>
      <c r="C267" s="35" t="s">
        <v>146</v>
      </c>
      <c r="D267" s="35" t="s">
        <v>179</v>
      </c>
      <c r="E267" s="35" t="s">
        <v>163</v>
      </c>
      <c r="F267" s="35" t="s">
        <v>159</v>
      </c>
      <c r="G267" s="35" t="s">
        <v>125</v>
      </c>
      <c r="H267" s="35" t="s">
        <v>183</v>
      </c>
      <c r="I267" s="35" t="s">
        <v>160</v>
      </c>
      <c r="J267" s="35" t="s">
        <v>169</v>
      </c>
      <c r="K267" s="35" t="s">
        <v>184</v>
      </c>
      <c r="L267" s="35"/>
      <c r="M267" s="35"/>
      <c r="N267" s="35" t="n">
        <v>3</v>
      </c>
      <c r="O267" s="35" t="n">
        <v>3</v>
      </c>
    </row>
    <row r="268" customFormat="false" ht="1.5" hidden="false" customHeight="true" outlineLevel="0" collapsed="false">
      <c r="A268" s="35" t="n">
        <v>5</v>
      </c>
      <c r="B268" s="35" t="s">
        <v>175</v>
      </c>
      <c r="C268" s="35" t="s">
        <v>146</v>
      </c>
      <c r="D268" s="35" t="s">
        <v>179</v>
      </c>
      <c r="E268" s="35" t="s">
        <v>163</v>
      </c>
      <c r="F268" s="35" t="s">
        <v>159</v>
      </c>
      <c r="G268" s="35" t="s">
        <v>125</v>
      </c>
      <c r="H268" s="35" t="s">
        <v>183</v>
      </c>
      <c r="I268" s="35" t="s">
        <v>160</v>
      </c>
      <c r="J268" s="35" t="s">
        <v>169</v>
      </c>
      <c r="K268" s="35" t="s">
        <v>185</v>
      </c>
      <c r="L268" s="35"/>
      <c r="M268" s="35"/>
      <c r="N268" s="35" t="n">
        <v>3</v>
      </c>
      <c r="O268" s="35" t="n">
        <v>3</v>
      </c>
    </row>
    <row r="269" customFormat="false" ht="1.5" hidden="false" customHeight="true" outlineLevel="0" collapsed="false">
      <c r="A269" s="35" t="n">
        <v>6</v>
      </c>
      <c r="B269" s="35" t="s">
        <v>175</v>
      </c>
      <c r="C269" s="35" t="s">
        <v>146</v>
      </c>
      <c r="D269" s="35" t="s">
        <v>179</v>
      </c>
      <c r="E269" s="35" t="s">
        <v>163</v>
      </c>
      <c r="F269" s="35" t="s">
        <v>159</v>
      </c>
      <c r="G269" s="35" t="s">
        <v>163</v>
      </c>
      <c r="H269" s="35" t="s">
        <v>60</v>
      </c>
      <c r="I269" s="35" t="s">
        <v>160</v>
      </c>
      <c r="J269" s="35" t="s">
        <v>169</v>
      </c>
      <c r="K269" s="35" t="s">
        <v>186</v>
      </c>
      <c r="L269" s="35"/>
      <c r="M269" s="35"/>
      <c r="N269" s="35" t="n">
        <v>3</v>
      </c>
      <c r="O269" s="35" t="n">
        <v>3</v>
      </c>
    </row>
    <row r="270" customFormat="false" ht="1.5" hidden="false" customHeight="true" outlineLevel="0" collapsed="false">
      <c r="A270" s="35" t="n">
        <v>7</v>
      </c>
      <c r="B270" s="35" t="s">
        <v>175</v>
      </c>
      <c r="C270" s="35" t="s">
        <v>146</v>
      </c>
      <c r="D270" s="35" t="s">
        <v>179</v>
      </c>
      <c r="E270" s="35" t="s">
        <v>163</v>
      </c>
      <c r="F270" s="35" t="s">
        <v>60</v>
      </c>
      <c r="G270" s="35" t="s">
        <v>60</v>
      </c>
      <c r="H270" s="35" t="s">
        <v>60</v>
      </c>
      <c r="I270" s="35" t="s">
        <v>160</v>
      </c>
      <c r="J270" s="35" t="s">
        <v>169</v>
      </c>
      <c r="K270" s="35" t="s">
        <v>187</v>
      </c>
      <c r="L270" s="35"/>
      <c r="M270" s="35"/>
      <c r="N270" s="35" t="n">
        <v>3</v>
      </c>
      <c r="O270" s="35" t="n">
        <v>3</v>
      </c>
    </row>
    <row r="271" customFormat="false" ht="1.5" hidden="false" customHeight="true" outlineLevel="0" collapsed="false">
      <c r="A271" s="35" t="n">
        <v>8</v>
      </c>
      <c r="B271" s="35" t="s">
        <v>175</v>
      </c>
      <c r="C271" s="35" t="s">
        <v>146</v>
      </c>
      <c r="D271" s="35" t="s">
        <v>60</v>
      </c>
      <c r="E271" s="35" t="s">
        <v>60</v>
      </c>
      <c r="F271" s="35" t="s">
        <v>60</v>
      </c>
      <c r="G271" s="35" t="s">
        <v>60</v>
      </c>
      <c r="H271" s="35" t="s">
        <v>60</v>
      </c>
      <c r="I271" s="35" t="s">
        <v>160</v>
      </c>
      <c r="J271" s="35" t="s">
        <v>169</v>
      </c>
      <c r="K271" s="35" t="s">
        <v>188</v>
      </c>
      <c r="L271" s="35"/>
      <c r="M271" s="35"/>
      <c r="N271" s="35" t="n">
        <v>3</v>
      </c>
      <c r="O271" s="35" t="n">
        <v>3</v>
      </c>
    </row>
    <row r="272" customFormat="false" ht="1.5" hidden="false" customHeight="true" outlineLevel="0" collapsed="false">
      <c r="A272" s="35" t="n">
        <v>9</v>
      </c>
      <c r="B272" s="35" t="s">
        <v>175</v>
      </c>
      <c r="C272" s="35" t="s">
        <v>125</v>
      </c>
      <c r="D272" s="35" t="s">
        <v>60</v>
      </c>
      <c r="E272" s="35" t="s">
        <v>60</v>
      </c>
      <c r="F272" s="35" t="s">
        <v>60</v>
      </c>
      <c r="G272" s="35" t="s">
        <v>60</v>
      </c>
      <c r="H272" s="35" t="s">
        <v>60</v>
      </c>
      <c r="I272" s="35" t="s">
        <v>160</v>
      </c>
      <c r="J272" s="35" t="s">
        <v>169</v>
      </c>
      <c r="K272" s="35" t="s">
        <v>189</v>
      </c>
      <c r="L272" s="35"/>
      <c r="M272" s="35"/>
      <c r="N272" s="35" t="n">
        <v>3</v>
      </c>
      <c r="O272" s="35" t="n">
        <v>3</v>
      </c>
    </row>
    <row r="273" customFormat="false" ht="1.5" hidden="false" customHeight="true" outlineLevel="0" collapsed="false">
      <c r="A273" s="35" t="n">
        <v>10</v>
      </c>
      <c r="B273" s="35" t="s">
        <v>175</v>
      </c>
      <c r="C273" s="35" t="s">
        <v>125</v>
      </c>
      <c r="D273" s="35" t="s">
        <v>60</v>
      </c>
      <c r="E273" s="35" t="s">
        <v>60</v>
      </c>
      <c r="F273" s="35" t="s">
        <v>60</v>
      </c>
      <c r="G273" s="35" t="s">
        <v>60</v>
      </c>
      <c r="H273" s="35" t="s">
        <v>60</v>
      </c>
      <c r="I273" s="35" t="s">
        <v>160</v>
      </c>
      <c r="J273" s="35" t="s">
        <v>169</v>
      </c>
      <c r="K273" s="35" t="s">
        <v>190</v>
      </c>
      <c r="L273" s="35"/>
      <c r="M273" s="35"/>
      <c r="N273" s="35" t="n">
        <v>3</v>
      </c>
      <c r="O273" s="35" t="n">
        <v>3</v>
      </c>
    </row>
    <row r="274" customFormat="false" ht="1.5" hidden="false" customHeight="true" outlineLevel="0" collapsed="false">
      <c r="A274" s="35" t="n">
        <v>11</v>
      </c>
      <c r="B274" s="35" t="s">
        <v>175</v>
      </c>
      <c r="C274" s="35" t="s">
        <v>125</v>
      </c>
      <c r="D274" s="35" t="s">
        <v>60</v>
      </c>
      <c r="E274" s="35" t="s">
        <v>60</v>
      </c>
      <c r="F274" s="35" t="s">
        <v>60</v>
      </c>
      <c r="G274" s="35" t="s">
        <v>60</v>
      </c>
      <c r="H274" s="35" t="s">
        <v>60</v>
      </c>
      <c r="I274" s="35" t="s">
        <v>160</v>
      </c>
      <c r="J274" s="35" t="s">
        <v>169</v>
      </c>
      <c r="K274" s="35" t="s">
        <v>191</v>
      </c>
      <c r="L274" s="35"/>
      <c r="M274" s="35"/>
      <c r="N274" s="35" t="n">
        <v>3</v>
      </c>
      <c r="O274" s="35" t="n">
        <v>3</v>
      </c>
    </row>
    <row r="275" customFormat="false" ht="1.5" hidden="false" customHeight="true" outlineLevel="0" collapsed="false">
      <c r="A275" s="35" t="n">
        <v>12</v>
      </c>
      <c r="B275" s="35" t="s">
        <v>175</v>
      </c>
      <c r="C275" s="35" t="s">
        <v>125</v>
      </c>
      <c r="D275" s="35" t="s">
        <v>60</v>
      </c>
      <c r="E275" s="35" t="s">
        <v>60</v>
      </c>
      <c r="F275" s="35" t="s">
        <v>60</v>
      </c>
      <c r="G275" s="35" t="s">
        <v>60</v>
      </c>
      <c r="H275" s="35" t="s">
        <v>60</v>
      </c>
      <c r="I275" s="35" t="s">
        <v>160</v>
      </c>
      <c r="J275" s="35" t="s">
        <v>169</v>
      </c>
      <c r="K275" s="35" t="s">
        <v>192</v>
      </c>
      <c r="L275" s="35"/>
      <c r="M275" s="35"/>
      <c r="N275" s="35" t="n">
        <v>3</v>
      </c>
      <c r="O275" s="35" t="n">
        <v>3</v>
      </c>
    </row>
    <row r="276" customFormat="false" ht="1.5" hidden="false" customHeight="true" outlineLevel="0" collapsed="false">
      <c r="A276" s="35" t="n">
        <v>1</v>
      </c>
      <c r="B276" s="35" t="s">
        <v>106</v>
      </c>
      <c r="C276" s="35" t="s">
        <v>60</v>
      </c>
      <c r="D276" s="35" t="s">
        <v>60</v>
      </c>
      <c r="E276" s="35" t="s">
        <v>60</v>
      </c>
      <c r="F276" s="35" t="s">
        <v>60</v>
      </c>
      <c r="G276" s="35" t="s">
        <v>60</v>
      </c>
      <c r="H276" s="35" t="s">
        <v>60</v>
      </c>
      <c r="I276" s="35" t="s">
        <v>160</v>
      </c>
      <c r="J276" s="35" t="s">
        <v>169</v>
      </c>
      <c r="K276" s="35" t="s">
        <v>193</v>
      </c>
      <c r="L276" s="35"/>
      <c r="M276" s="35"/>
      <c r="N276" s="35" t="n">
        <v>3</v>
      </c>
      <c r="O276" s="35" t="n">
        <v>4</v>
      </c>
    </row>
    <row r="277" customFormat="false" ht="1.5" hidden="false" customHeight="true" outlineLevel="0" collapsed="false">
      <c r="A277" s="35" t="n">
        <v>2</v>
      </c>
      <c r="B277" s="35" t="s">
        <v>106</v>
      </c>
      <c r="C277" s="35" t="s">
        <v>60</v>
      </c>
      <c r="D277" s="35" t="s">
        <v>60</v>
      </c>
      <c r="E277" s="35" t="s">
        <v>60</v>
      </c>
      <c r="F277" s="35" t="s">
        <v>60</v>
      </c>
      <c r="G277" s="35" t="s">
        <v>60</v>
      </c>
      <c r="H277" s="35" t="s">
        <v>60</v>
      </c>
      <c r="I277" s="35" t="s">
        <v>160</v>
      </c>
      <c r="J277" s="35" t="s">
        <v>169</v>
      </c>
      <c r="K277" s="35" t="s">
        <v>194</v>
      </c>
      <c r="L277" s="35"/>
      <c r="M277" s="35"/>
      <c r="N277" s="35" t="n">
        <v>3</v>
      </c>
      <c r="O277" s="35" t="n">
        <v>4</v>
      </c>
    </row>
    <row r="278" customFormat="false" ht="1.5" hidden="false" customHeight="true" outlineLevel="0" collapsed="false">
      <c r="A278" s="35" t="n">
        <v>1</v>
      </c>
      <c r="B278" s="35" t="s">
        <v>195</v>
      </c>
      <c r="C278" s="35" t="s">
        <v>196</v>
      </c>
      <c r="D278" s="35" t="s">
        <v>60</v>
      </c>
      <c r="E278" s="35" t="s">
        <v>60</v>
      </c>
      <c r="F278" s="35" t="s">
        <v>60</v>
      </c>
      <c r="G278" s="35" t="s">
        <v>60</v>
      </c>
      <c r="H278" s="35" t="s">
        <v>197</v>
      </c>
      <c r="I278" s="35" t="s">
        <v>198</v>
      </c>
      <c r="J278" s="35" t="s">
        <v>198</v>
      </c>
      <c r="K278" s="35" t="s">
        <v>199</v>
      </c>
      <c r="L278" s="35"/>
      <c r="M278" s="35"/>
      <c r="N278" s="35" t="n">
        <v>4</v>
      </c>
      <c r="O278" s="35" t="n">
        <v>1</v>
      </c>
    </row>
    <row r="279" customFormat="false" ht="1.5" hidden="false" customHeight="true" outlineLevel="0" collapsed="false">
      <c r="A279" s="35" t="n">
        <v>2</v>
      </c>
      <c r="B279" s="35" t="s">
        <v>195</v>
      </c>
      <c r="C279" s="35" t="s">
        <v>196</v>
      </c>
      <c r="D279" s="35" t="s">
        <v>60</v>
      </c>
      <c r="E279" s="35" t="s">
        <v>60</v>
      </c>
      <c r="F279" s="35" t="s">
        <v>60</v>
      </c>
      <c r="G279" s="35" t="s">
        <v>60</v>
      </c>
      <c r="H279" s="35" t="s">
        <v>60</v>
      </c>
      <c r="I279" s="35" t="s">
        <v>198</v>
      </c>
      <c r="J279" s="35" t="s">
        <v>198</v>
      </c>
      <c r="K279" s="35" t="s">
        <v>200</v>
      </c>
      <c r="L279" s="35"/>
      <c r="M279" s="35"/>
      <c r="N279" s="35" t="n">
        <v>4</v>
      </c>
      <c r="O279" s="35" t="n">
        <v>1</v>
      </c>
    </row>
    <row r="280" customFormat="false" ht="1.5" hidden="false" customHeight="true" outlineLevel="0" collapsed="false">
      <c r="A280" s="35" t="n">
        <v>3</v>
      </c>
      <c r="B280" s="35" t="s">
        <v>201</v>
      </c>
      <c r="C280" s="35" t="s">
        <v>202</v>
      </c>
      <c r="D280" s="35" t="s">
        <v>60</v>
      </c>
      <c r="E280" s="35" t="s">
        <v>60</v>
      </c>
      <c r="F280" s="35" t="s">
        <v>60</v>
      </c>
      <c r="G280" s="35" t="s">
        <v>60</v>
      </c>
      <c r="H280" s="35" t="s">
        <v>60</v>
      </c>
      <c r="I280" s="35" t="s">
        <v>198</v>
      </c>
      <c r="J280" s="35" t="s">
        <v>198</v>
      </c>
      <c r="K280" s="35" t="s">
        <v>203</v>
      </c>
      <c r="L280" s="35"/>
      <c r="M280" s="35"/>
      <c r="N280" s="35" t="n">
        <v>4</v>
      </c>
      <c r="O280" s="35" t="n">
        <v>1</v>
      </c>
    </row>
    <row r="281" customFormat="false" ht="1.5" hidden="false" customHeight="true" outlineLevel="0" collapsed="false">
      <c r="A281" s="35" t="n">
        <v>4</v>
      </c>
      <c r="B281" s="35" t="s">
        <v>204</v>
      </c>
      <c r="C281" s="35" t="s">
        <v>60</v>
      </c>
      <c r="D281" s="35" t="s">
        <v>60</v>
      </c>
      <c r="E281" s="35" t="s">
        <v>60</v>
      </c>
      <c r="F281" s="35" t="s">
        <v>60</v>
      </c>
      <c r="G281" s="35" t="s">
        <v>60</v>
      </c>
      <c r="H281" s="35" t="s">
        <v>197</v>
      </c>
      <c r="I281" s="35" t="s">
        <v>198</v>
      </c>
      <c r="J281" s="35" t="s">
        <v>198</v>
      </c>
      <c r="K281" s="35" t="s">
        <v>205</v>
      </c>
      <c r="L281" s="35"/>
      <c r="M281" s="35"/>
      <c r="N281" s="35" t="n">
        <v>4</v>
      </c>
      <c r="O281" s="35" t="n">
        <v>1</v>
      </c>
    </row>
    <row r="282" customFormat="false" ht="1.5" hidden="false" customHeight="true" outlineLevel="0" collapsed="false">
      <c r="A282" s="35" t="n">
        <v>1</v>
      </c>
      <c r="B282" s="35" t="s">
        <v>195</v>
      </c>
      <c r="C282" s="35" t="s">
        <v>206</v>
      </c>
      <c r="D282" s="35" t="s">
        <v>60</v>
      </c>
      <c r="E282" s="35" t="s">
        <v>60</v>
      </c>
      <c r="F282" s="35" t="s">
        <v>60</v>
      </c>
      <c r="G282" s="35" t="s">
        <v>60</v>
      </c>
      <c r="H282" s="35" t="s">
        <v>207</v>
      </c>
      <c r="I282" s="35" t="s">
        <v>198</v>
      </c>
      <c r="J282" s="35" t="s">
        <v>198</v>
      </c>
      <c r="K282" s="35" t="s">
        <v>208</v>
      </c>
      <c r="L282" s="35"/>
      <c r="M282" s="35"/>
      <c r="N282" s="35" t="n">
        <v>4</v>
      </c>
      <c r="O282" s="35" t="n">
        <v>2</v>
      </c>
    </row>
    <row r="283" customFormat="false" ht="1.5" hidden="false" customHeight="true" outlineLevel="0" collapsed="false">
      <c r="A283" s="35" t="n">
        <v>2</v>
      </c>
      <c r="B283" s="35" t="s">
        <v>209</v>
      </c>
      <c r="C283" s="35" t="s">
        <v>210</v>
      </c>
      <c r="D283" s="35" t="s">
        <v>211</v>
      </c>
      <c r="E283" s="35" t="s">
        <v>210</v>
      </c>
      <c r="F283" s="35" t="s">
        <v>60</v>
      </c>
      <c r="G283" s="35" t="s">
        <v>60</v>
      </c>
      <c r="H283" s="35" t="s">
        <v>60</v>
      </c>
      <c r="I283" s="35" t="s">
        <v>198</v>
      </c>
      <c r="J283" s="35" t="s">
        <v>198</v>
      </c>
      <c r="K283" s="35" t="s">
        <v>212</v>
      </c>
      <c r="L283" s="35"/>
      <c r="M283" s="35"/>
      <c r="N283" s="35" t="n">
        <v>4</v>
      </c>
      <c r="O283" s="35" t="n">
        <v>2</v>
      </c>
    </row>
    <row r="284" customFormat="false" ht="1.5" hidden="false" customHeight="true" outlineLevel="0" collapsed="false">
      <c r="A284" s="35" t="n">
        <v>3</v>
      </c>
      <c r="B284" s="35" t="s">
        <v>204</v>
      </c>
      <c r="C284" s="35" t="s">
        <v>60</v>
      </c>
      <c r="D284" s="35" t="s">
        <v>60</v>
      </c>
      <c r="E284" s="35" t="s">
        <v>60</v>
      </c>
      <c r="F284" s="35" t="s">
        <v>60</v>
      </c>
      <c r="G284" s="35" t="s">
        <v>60</v>
      </c>
      <c r="H284" s="35" t="s">
        <v>60</v>
      </c>
      <c r="I284" s="35" t="s">
        <v>198</v>
      </c>
      <c r="J284" s="35" t="s">
        <v>198</v>
      </c>
      <c r="K284" s="35" t="s">
        <v>213</v>
      </c>
      <c r="L284" s="35"/>
      <c r="M284" s="35"/>
      <c r="N284" s="35" t="n">
        <v>4</v>
      </c>
      <c r="O284" s="35" t="n">
        <v>2</v>
      </c>
    </row>
    <row r="285" customFormat="false" ht="1.5" hidden="false" customHeight="true" outlineLevel="0" collapsed="false">
      <c r="A285" s="35" t="n">
        <v>4</v>
      </c>
      <c r="B285" s="35" t="s">
        <v>195</v>
      </c>
      <c r="C285" s="35" t="s">
        <v>206</v>
      </c>
      <c r="D285" s="35" t="s">
        <v>60</v>
      </c>
      <c r="E285" s="35" t="s">
        <v>60</v>
      </c>
      <c r="F285" s="35" t="s">
        <v>60</v>
      </c>
      <c r="G285" s="35" t="s">
        <v>60</v>
      </c>
      <c r="H285" s="35" t="s">
        <v>60</v>
      </c>
      <c r="I285" s="35" t="s">
        <v>198</v>
      </c>
      <c r="J285" s="35" t="s">
        <v>198</v>
      </c>
      <c r="K285" s="35" t="s">
        <v>214</v>
      </c>
      <c r="L285" s="35"/>
      <c r="M285" s="35"/>
      <c r="N285" s="35" t="n">
        <v>4</v>
      </c>
      <c r="O285" s="35" t="n">
        <v>2</v>
      </c>
    </row>
    <row r="286" customFormat="false" ht="1.5" hidden="false" customHeight="true" outlineLevel="0" collapsed="false">
      <c r="A286" s="35" t="n">
        <v>5</v>
      </c>
      <c r="B286" s="35" t="s">
        <v>201</v>
      </c>
      <c r="C286" s="35" t="s">
        <v>202</v>
      </c>
      <c r="D286" s="35" t="s">
        <v>215</v>
      </c>
      <c r="E286" s="35" t="s">
        <v>216</v>
      </c>
      <c r="F286" s="35" t="s">
        <v>60</v>
      </c>
      <c r="G286" s="35" t="s">
        <v>60</v>
      </c>
      <c r="H286" s="35" t="s">
        <v>60</v>
      </c>
      <c r="I286" s="35" t="s">
        <v>198</v>
      </c>
      <c r="J286" s="35" t="s">
        <v>198</v>
      </c>
      <c r="K286" s="35" t="s">
        <v>217</v>
      </c>
      <c r="L286" s="35"/>
      <c r="M286" s="35"/>
      <c r="N286" s="35" t="n">
        <v>4</v>
      </c>
      <c r="O286" s="35" t="n">
        <v>2</v>
      </c>
    </row>
    <row r="287" customFormat="false" ht="1.5" hidden="false" customHeight="true" outlineLevel="0" collapsed="false">
      <c r="A287" s="35" t="n">
        <v>6</v>
      </c>
      <c r="B287" s="35" t="s">
        <v>204</v>
      </c>
      <c r="C287" s="35" t="s">
        <v>60</v>
      </c>
      <c r="D287" s="35" t="s">
        <v>60</v>
      </c>
      <c r="E287" s="35" t="s">
        <v>60</v>
      </c>
      <c r="F287" s="35" t="s">
        <v>60</v>
      </c>
      <c r="G287" s="35" t="s">
        <v>60</v>
      </c>
      <c r="H287" s="35" t="s">
        <v>218</v>
      </c>
      <c r="I287" s="35" t="s">
        <v>198</v>
      </c>
      <c r="J287" s="35" t="s">
        <v>198</v>
      </c>
      <c r="K287" s="35" t="s">
        <v>219</v>
      </c>
      <c r="L287" s="35"/>
      <c r="M287" s="35"/>
      <c r="N287" s="35" t="n">
        <v>4</v>
      </c>
      <c r="O287" s="35" t="n">
        <v>2</v>
      </c>
    </row>
    <row r="288" customFormat="false" ht="1.5" hidden="false" customHeight="true" outlineLevel="0" collapsed="false">
      <c r="A288" s="35" t="n">
        <v>7</v>
      </c>
      <c r="B288" s="35" t="s">
        <v>211</v>
      </c>
      <c r="C288" s="35" t="s">
        <v>210</v>
      </c>
      <c r="D288" s="35" t="s">
        <v>220</v>
      </c>
      <c r="E288" s="35" t="s">
        <v>221</v>
      </c>
      <c r="F288" s="35" t="s">
        <v>60</v>
      </c>
      <c r="G288" s="35" t="s">
        <v>60</v>
      </c>
      <c r="H288" s="35" t="s">
        <v>60</v>
      </c>
      <c r="I288" s="35" t="s">
        <v>198</v>
      </c>
      <c r="J288" s="35" t="s">
        <v>198</v>
      </c>
      <c r="K288" s="35" t="s">
        <v>222</v>
      </c>
      <c r="L288" s="35"/>
      <c r="M288" s="35"/>
      <c r="N288" s="35" t="n">
        <v>4</v>
      </c>
      <c r="O288" s="35" t="n">
        <v>2</v>
      </c>
    </row>
    <row r="289" customFormat="false" ht="1.5" hidden="false" customHeight="true" outlineLevel="0" collapsed="false">
      <c r="A289" s="35" t="n">
        <v>8</v>
      </c>
      <c r="B289" s="35" t="s">
        <v>195</v>
      </c>
      <c r="C289" s="35" t="s">
        <v>206</v>
      </c>
      <c r="D289" s="35" t="s">
        <v>60</v>
      </c>
      <c r="E289" s="35" t="s">
        <v>60</v>
      </c>
      <c r="F289" s="35" t="s">
        <v>60</v>
      </c>
      <c r="G289" s="35" t="s">
        <v>60</v>
      </c>
      <c r="H289" s="35" t="s">
        <v>60</v>
      </c>
      <c r="I289" s="35" t="s">
        <v>198</v>
      </c>
      <c r="J289" s="35" t="s">
        <v>198</v>
      </c>
      <c r="K289" s="35" t="s">
        <v>223</v>
      </c>
      <c r="L289" s="35"/>
      <c r="M289" s="35"/>
      <c r="N289" s="35" t="n">
        <v>4</v>
      </c>
      <c r="O289" s="35" t="n">
        <v>2</v>
      </c>
    </row>
    <row r="290" customFormat="false" ht="1.5" hidden="false" customHeight="true" outlineLevel="0" collapsed="false">
      <c r="A290" s="35" t="n">
        <v>1</v>
      </c>
      <c r="B290" s="35" t="s">
        <v>220</v>
      </c>
      <c r="C290" s="35" t="s">
        <v>202</v>
      </c>
      <c r="D290" s="35" t="s">
        <v>204</v>
      </c>
      <c r="E290" s="35" t="s">
        <v>60</v>
      </c>
      <c r="F290" s="35" t="s">
        <v>60</v>
      </c>
      <c r="G290" s="35" t="s">
        <v>60</v>
      </c>
      <c r="H290" s="35" t="s">
        <v>224</v>
      </c>
      <c r="I290" s="35" t="s">
        <v>198</v>
      </c>
      <c r="J290" s="35" t="s">
        <v>198</v>
      </c>
      <c r="K290" s="35" t="s">
        <v>225</v>
      </c>
      <c r="L290" s="35"/>
      <c r="M290" s="35"/>
      <c r="N290" s="35" t="n">
        <v>4</v>
      </c>
      <c r="O290" s="35" t="n">
        <v>3</v>
      </c>
    </row>
    <row r="291" customFormat="false" ht="1.5" hidden="false" customHeight="true" outlineLevel="0" collapsed="false">
      <c r="A291" s="35" t="n">
        <v>2</v>
      </c>
      <c r="B291" s="35" t="s">
        <v>195</v>
      </c>
      <c r="C291" s="35" t="s">
        <v>206</v>
      </c>
      <c r="D291" s="35" t="s">
        <v>60</v>
      </c>
      <c r="E291" s="35" t="s">
        <v>60</v>
      </c>
      <c r="F291" s="35" t="s">
        <v>60</v>
      </c>
      <c r="G291" s="35" t="s">
        <v>60</v>
      </c>
      <c r="H291" s="35" t="s">
        <v>60</v>
      </c>
      <c r="I291" s="35" t="s">
        <v>198</v>
      </c>
      <c r="J291" s="35" t="s">
        <v>198</v>
      </c>
      <c r="K291" s="35" t="s">
        <v>226</v>
      </c>
      <c r="L291" s="35"/>
      <c r="M291" s="35"/>
      <c r="N291" s="35" t="n">
        <v>4</v>
      </c>
      <c r="O291" s="35" t="n">
        <v>3</v>
      </c>
    </row>
    <row r="292" customFormat="false" ht="1.5" hidden="false" customHeight="true" outlineLevel="0" collapsed="false">
      <c r="A292" s="35" t="n">
        <v>3</v>
      </c>
      <c r="B292" s="35" t="s">
        <v>201</v>
      </c>
      <c r="C292" s="35" t="s">
        <v>202</v>
      </c>
      <c r="D292" s="35" t="s">
        <v>60</v>
      </c>
      <c r="E292" s="35" t="s">
        <v>60</v>
      </c>
      <c r="F292" s="35" t="s">
        <v>60</v>
      </c>
      <c r="G292" s="35" t="s">
        <v>60</v>
      </c>
      <c r="H292" s="35" t="s">
        <v>227</v>
      </c>
      <c r="I292" s="35" t="s">
        <v>198</v>
      </c>
      <c r="J292" s="35" t="s">
        <v>198</v>
      </c>
      <c r="K292" s="35" t="s">
        <v>228</v>
      </c>
      <c r="L292" s="35"/>
      <c r="M292" s="35"/>
      <c r="N292" s="35" t="n">
        <v>4</v>
      </c>
      <c r="O292" s="35" t="n">
        <v>3</v>
      </c>
    </row>
    <row r="293" customFormat="false" ht="1.5" hidden="false" customHeight="true" outlineLevel="0" collapsed="false">
      <c r="A293" s="35" t="n">
        <v>4</v>
      </c>
      <c r="B293" s="35" t="s">
        <v>220</v>
      </c>
      <c r="C293" s="35" t="s">
        <v>202</v>
      </c>
      <c r="D293" s="35" t="s">
        <v>229</v>
      </c>
      <c r="E293" s="35" t="s">
        <v>221</v>
      </c>
      <c r="F293" s="35" t="s">
        <v>60</v>
      </c>
      <c r="G293" s="35" t="s">
        <v>60</v>
      </c>
      <c r="H293" s="35" t="s">
        <v>60</v>
      </c>
      <c r="I293" s="35" t="s">
        <v>198</v>
      </c>
      <c r="J293" s="35" t="s">
        <v>198</v>
      </c>
      <c r="K293" s="35" t="s">
        <v>230</v>
      </c>
      <c r="L293" s="35"/>
      <c r="M293" s="35"/>
      <c r="N293" s="35" t="n">
        <v>4</v>
      </c>
      <c r="O293" s="35" t="n">
        <v>3</v>
      </c>
    </row>
    <row r="294" customFormat="false" ht="1.5" hidden="false" customHeight="true" outlineLevel="0" collapsed="false">
      <c r="A294" s="35" t="n">
        <v>5</v>
      </c>
      <c r="B294" s="35" t="s">
        <v>204</v>
      </c>
      <c r="C294" s="35" t="s">
        <v>60</v>
      </c>
      <c r="D294" s="35" t="s">
        <v>60</v>
      </c>
      <c r="E294" s="35" t="s">
        <v>60</v>
      </c>
      <c r="F294" s="35" t="s">
        <v>60</v>
      </c>
      <c r="G294" s="35" t="s">
        <v>60</v>
      </c>
      <c r="H294" s="35" t="s">
        <v>224</v>
      </c>
      <c r="I294" s="35" t="s">
        <v>198</v>
      </c>
      <c r="J294" s="35" t="s">
        <v>198</v>
      </c>
      <c r="K294" s="35" t="s">
        <v>231</v>
      </c>
      <c r="L294" s="35"/>
      <c r="M294" s="35"/>
      <c r="N294" s="35" t="n">
        <v>4</v>
      </c>
      <c r="O294" s="35" t="n">
        <v>3</v>
      </c>
    </row>
    <row r="295" customFormat="false" ht="1.5" hidden="false" customHeight="true" outlineLevel="0" collapsed="false">
      <c r="A295" s="35" t="n">
        <v>6</v>
      </c>
      <c r="B295" s="35" t="s">
        <v>201</v>
      </c>
      <c r="C295" s="35" t="s">
        <v>202</v>
      </c>
      <c r="D295" s="35" t="s">
        <v>204</v>
      </c>
      <c r="E295" s="35" t="s">
        <v>60</v>
      </c>
      <c r="F295" s="35" t="s">
        <v>60</v>
      </c>
      <c r="G295" s="35" t="s">
        <v>60</v>
      </c>
      <c r="H295" s="35" t="s">
        <v>60</v>
      </c>
      <c r="I295" s="35" t="s">
        <v>198</v>
      </c>
      <c r="J295" s="35" t="s">
        <v>198</v>
      </c>
      <c r="K295" s="35" t="s">
        <v>232</v>
      </c>
      <c r="L295" s="35"/>
      <c r="M295" s="35"/>
      <c r="N295" s="35" t="n">
        <v>4</v>
      </c>
      <c r="O295" s="35" t="n">
        <v>3</v>
      </c>
    </row>
    <row r="296" customFormat="false" ht="1.5" hidden="false" customHeight="true" outlineLevel="0" collapsed="false">
      <c r="A296" s="35" t="n">
        <v>7</v>
      </c>
      <c r="B296" s="35" t="s">
        <v>195</v>
      </c>
      <c r="C296" s="35" t="s">
        <v>206</v>
      </c>
      <c r="D296" s="35" t="s">
        <v>60</v>
      </c>
      <c r="E296" s="35" t="s">
        <v>60</v>
      </c>
      <c r="F296" s="35" t="s">
        <v>60</v>
      </c>
      <c r="G296" s="35" t="s">
        <v>60</v>
      </c>
      <c r="H296" s="35" t="s">
        <v>60</v>
      </c>
      <c r="I296" s="35" t="s">
        <v>198</v>
      </c>
      <c r="J296" s="35" t="s">
        <v>198</v>
      </c>
      <c r="K296" s="35" t="s">
        <v>233</v>
      </c>
      <c r="L296" s="35"/>
      <c r="M296" s="35"/>
      <c r="N296" s="35" t="n">
        <v>4</v>
      </c>
      <c r="O296" s="35" t="n">
        <v>3</v>
      </c>
    </row>
    <row r="297" customFormat="false" ht="1.5" hidden="false" customHeight="true" outlineLevel="0" collapsed="false">
      <c r="A297" s="35" t="n">
        <v>8</v>
      </c>
      <c r="B297" s="35" t="s">
        <v>204</v>
      </c>
      <c r="C297" s="35" t="s">
        <v>60</v>
      </c>
      <c r="D297" s="35" t="s">
        <v>60</v>
      </c>
      <c r="E297" s="35" t="s">
        <v>60</v>
      </c>
      <c r="F297" s="35" t="s">
        <v>60</v>
      </c>
      <c r="G297" s="35" t="s">
        <v>60</v>
      </c>
      <c r="H297" s="35" t="s">
        <v>60</v>
      </c>
      <c r="I297" s="35" t="s">
        <v>198</v>
      </c>
      <c r="J297" s="35" t="s">
        <v>198</v>
      </c>
      <c r="K297" s="35" t="s">
        <v>234</v>
      </c>
      <c r="L297" s="35"/>
      <c r="M297" s="35"/>
      <c r="N297" s="35" t="n">
        <v>4</v>
      </c>
      <c r="O297" s="35" t="n">
        <v>3</v>
      </c>
    </row>
    <row r="298" customFormat="false" ht="1.5" hidden="false" customHeight="true" outlineLevel="0" collapsed="false">
      <c r="A298" s="35" t="n">
        <v>9</v>
      </c>
      <c r="B298" s="35" t="s">
        <v>106</v>
      </c>
      <c r="C298" s="35" t="s">
        <v>60</v>
      </c>
      <c r="D298" s="35" t="s">
        <v>60</v>
      </c>
      <c r="E298" s="35" t="s">
        <v>60</v>
      </c>
      <c r="F298" s="35" t="s">
        <v>60</v>
      </c>
      <c r="G298" s="35" t="s">
        <v>60</v>
      </c>
      <c r="H298" s="35" t="s">
        <v>60</v>
      </c>
      <c r="I298" s="35" t="s">
        <v>198</v>
      </c>
      <c r="J298" s="35" t="s">
        <v>198</v>
      </c>
      <c r="K298" s="35" t="s">
        <v>235</v>
      </c>
      <c r="L298" s="35"/>
      <c r="M298" s="35"/>
      <c r="N298" s="35" t="n">
        <v>4</v>
      </c>
      <c r="O298" s="35" t="n">
        <v>3</v>
      </c>
    </row>
    <row r="299" customFormat="false" ht="1.5" hidden="false" customHeight="true" outlineLevel="0" collapsed="false">
      <c r="A299" s="35" t="n">
        <v>10</v>
      </c>
      <c r="B299" s="35" t="s">
        <v>106</v>
      </c>
      <c r="C299" s="35" t="s">
        <v>60</v>
      </c>
      <c r="D299" s="35" t="s">
        <v>60</v>
      </c>
      <c r="E299" s="35" t="s">
        <v>60</v>
      </c>
      <c r="F299" s="35" t="s">
        <v>60</v>
      </c>
      <c r="G299" s="35" t="s">
        <v>60</v>
      </c>
      <c r="H299" s="35" t="s">
        <v>60</v>
      </c>
      <c r="I299" s="35" t="s">
        <v>198</v>
      </c>
      <c r="J299" s="35" t="s">
        <v>198</v>
      </c>
      <c r="K299" s="35" t="s">
        <v>103</v>
      </c>
      <c r="L299" s="35"/>
      <c r="M299" s="35"/>
      <c r="N299" s="35" t="n">
        <v>4</v>
      </c>
      <c r="O299" s="35" t="n">
        <v>3</v>
      </c>
    </row>
    <row r="300" customFormat="false" ht="1.5" hidden="false" customHeight="true" outlineLevel="0" collapsed="false">
      <c r="A300" s="35" t="n">
        <v>11</v>
      </c>
      <c r="B300" s="35" t="s">
        <v>106</v>
      </c>
      <c r="C300" s="35" t="s">
        <v>60</v>
      </c>
      <c r="D300" s="35" t="s">
        <v>60</v>
      </c>
      <c r="E300" s="35" t="s">
        <v>60</v>
      </c>
      <c r="F300" s="35" t="s">
        <v>60</v>
      </c>
      <c r="G300" s="35" t="s">
        <v>60</v>
      </c>
      <c r="H300" s="35" t="s">
        <v>60</v>
      </c>
      <c r="I300" s="35" t="s">
        <v>198</v>
      </c>
      <c r="J300" s="35" t="s">
        <v>198</v>
      </c>
      <c r="K300" s="35" t="s">
        <v>153</v>
      </c>
      <c r="L300" s="35"/>
      <c r="M300" s="35"/>
      <c r="N300" s="35" t="n">
        <v>4</v>
      </c>
      <c r="O300" s="35" t="n">
        <v>3</v>
      </c>
    </row>
    <row r="301" customFormat="false" ht="1.5" hidden="false" customHeight="true" outlineLevel="0" collapsed="false">
      <c r="A301" s="35" t="n">
        <v>12</v>
      </c>
      <c r="B301" s="35" t="s">
        <v>106</v>
      </c>
      <c r="C301" s="35" t="s">
        <v>60</v>
      </c>
      <c r="D301" s="35" t="s">
        <v>60</v>
      </c>
      <c r="E301" s="35" t="s">
        <v>60</v>
      </c>
      <c r="F301" s="35" t="s">
        <v>60</v>
      </c>
      <c r="G301" s="35" t="s">
        <v>60</v>
      </c>
      <c r="H301" s="35" t="s">
        <v>60</v>
      </c>
      <c r="I301" s="35" t="s">
        <v>198</v>
      </c>
      <c r="J301" s="35" t="s">
        <v>198</v>
      </c>
      <c r="K301" s="35" t="s">
        <v>236</v>
      </c>
      <c r="L301" s="35"/>
      <c r="M301" s="35"/>
      <c r="N301" s="35" t="n">
        <v>4</v>
      </c>
      <c r="O301" s="35" t="n">
        <v>3</v>
      </c>
    </row>
    <row r="302" customFormat="false" ht="1.5" hidden="false" customHeight="true" outlineLevel="0" collapsed="false">
      <c r="A302" s="35" t="n">
        <v>1</v>
      </c>
      <c r="B302" s="35" t="s">
        <v>106</v>
      </c>
      <c r="C302" s="35" t="s">
        <v>60</v>
      </c>
      <c r="D302" s="35" t="s">
        <v>60</v>
      </c>
      <c r="E302" s="35" t="s">
        <v>60</v>
      </c>
      <c r="F302" s="35" t="s">
        <v>60</v>
      </c>
      <c r="G302" s="35" t="s">
        <v>60</v>
      </c>
      <c r="H302" s="35" t="s">
        <v>107</v>
      </c>
      <c r="I302" s="35" t="s">
        <v>198</v>
      </c>
      <c r="J302" s="35" t="s">
        <v>198</v>
      </c>
      <c r="K302" s="35" t="s">
        <v>237</v>
      </c>
      <c r="L302" s="35"/>
      <c r="M302" s="35"/>
      <c r="N302" s="35" t="n">
        <v>4</v>
      </c>
      <c r="O302" s="35" t="n">
        <v>4</v>
      </c>
    </row>
    <row r="303" customFormat="false" ht="1.5" hidden="false" customHeight="true" outlineLevel="0" collapsed="false">
      <c r="A303" s="35" t="n">
        <v>2</v>
      </c>
      <c r="B303" s="35" t="s">
        <v>106</v>
      </c>
      <c r="C303" s="35" t="s">
        <v>60</v>
      </c>
      <c r="D303" s="35" t="s">
        <v>60</v>
      </c>
      <c r="E303" s="35" t="s">
        <v>60</v>
      </c>
      <c r="F303" s="35" t="s">
        <v>60</v>
      </c>
      <c r="G303" s="35" t="s">
        <v>60</v>
      </c>
      <c r="H303" s="35" t="s">
        <v>60</v>
      </c>
      <c r="I303" s="35" t="s">
        <v>198</v>
      </c>
      <c r="J303" s="35" t="s">
        <v>198</v>
      </c>
      <c r="K303" s="35" t="s">
        <v>238</v>
      </c>
      <c r="L303" s="35"/>
      <c r="M303" s="35"/>
      <c r="N303" s="35" t="n">
        <v>4</v>
      </c>
      <c r="O303" s="35" t="n">
        <v>4</v>
      </c>
    </row>
    <row r="304" customFormat="false" ht="1.5" hidden="false" customHeight="true" outlineLevel="0" collapsed="false">
      <c r="A304" s="35" t="n">
        <v>1</v>
      </c>
      <c r="B304" s="35" t="s">
        <v>239</v>
      </c>
      <c r="C304" s="35" t="s">
        <v>60</v>
      </c>
      <c r="D304" s="35" t="s">
        <v>60</v>
      </c>
      <c r="E304" s="35" t="s">
        <v>60</v>
      </c>
      <c r="F304" s="35" t="s">
        <v>60</v>
      </c>
      <c r="G304" s="35" t="s">
        <v>60</v>
      </c>
      <c r="H304" s="35" t="s">
        <v>60</v>
      </c>
      <c r="I304" s="35" t="s">
        <v>60</v>
      </c>
      <c r="J304" s="35" t="s">
        <v>60</v>
      </c>
      <c r="K304" s="35" t="s">
        <v>240</v>
      </c>
      <c r="L304" s="35"/>
      <c r="M304" s="35"/>
      <c r="N304" s="35" t="n">
        <v>5</v>
      </c>
      <c r="O304" s="35" t="n">
        <v>1</v>
      </c>
    </row>
    <row r="305" customFormat="false" ht="1.5" hidden="false" customHeight="true" outlineLevel="0" collapsed="false">
      <c r="A305" s="35" t="n">
        <v>2</v>
      </c>
      <c r="B305" s="35" t="s">
        <v>239</v>
      </c>
      <c r="C305" s="35" t="s">
        <v>60</v>
      </c>
      <c r="D305" s="35" t="s">
        <v>60</v>
      </c>
      <c r="E305" s="35" t="s">
        <v>60</v>
      </c>
      <c r="F305" s="35" t="s">
        <v>60</v>
      </c>
      <c r="G305" s="35" t="s">
        <v>60</v>
      </c>
      <c r="H305" s="35" t="s">
        <v>60</v>
      </c>
      <c r="I305" s="35" t="s">
        <v>60</v>
      </c>
      <c r="J305" s="35" t="s">
        <v>60</v>
      </c>
      <c r="K305" s="35" t="s">
        <v>240</v>
      </c>
      <c r="L305" s="35"/>
      <c r="M305" s="35"/>
      <c r="N305" s="35" t="n">
        <v>5</v>
      </c>
      <c r="O305" s="35" t="n">
        <v>1</v>
      </c>
    </row>
    <row r="306" customFormat="false" ht="1.5" hidden="false" customHeight="true" outlineLevel="0" collapsed="false">
      <c r="A306" s="35" t="n">
        <v>3</v>
      </c>
      <c r="B306" s="35" t="s">
        <v>239</v>
      </c>
      <c r="C306" s="35" t="s">
        <v>60</v>
      </c>
      <c r="D306" s="35" t="s">
        <v>60</v>
      </c>
      <c r="E306" s="35" t="s">
        <v>60</v>
      </c>
      <c r="F306" s="35" t="s">
        <v>60</v>
      </c>
      <c r="G306" s="35" t="s">
        <v>60</v>
      </c>
      <c r="H306" s="35" t="s">
        <v>60</v>
      </c>
      <c r="I306" s="35" t="s">
        <v>60</v>
      </c>
      <c r="J306" s="35" t="s">
        <v>60</v>
      </c>
      <c r="K306" s="35" t="s">
        <v>240</v>
      </c>
      <c r="L306" s="35"/>
      <c r="M306" s="35"/>
      <c r="N306" s="35" t="n">
        <v>5</v>
      </c>
      <c r="O306" s="35" t="n">
        <v>1</v>
      </c>
    </row>
    <row r="307" customFormat="false" ht="1.5" hidden="false" customHeight="true" outlineLevel="0" collapsed="false">
      <c r="A307" s="35" t="n">
        <v>4</v>
      </c>
      <c r="B307" s="35" t="s">
        <v>239</v>
      </c>
      <c r="C307" s="35" t="s">
        <v>60</v>
      </c>
      <c r="D307" s="35" t="s">
        <v>60</v>
      </c>
      <c r="E307" s="35" t="s">
        <v>60</v>
      </c>
      <c r="F307" s="35" t="s">
        <v>60</v>
      </c>
      <c r="G307" s="35" t="s">
        <v>60</v>
      </c>
      <c r="H307" s="35" t="s">
        <v>60</v>
      </c>
      <c r="I307" s="35" t="s">
        <v>60</v>
      </c>
      <c r="J307" s="35" t="s">
        <v>60</v>
      </c>
      <c r="K307" s="35" t="s">
        <v>240</v>
      </c>
      <c r="L307" s="35"/>
      <c r="M307" s="35"/>
      <c r="N307" s="35" t="n">
        <v>5</v>
      </c>
      <c r="O307" s="35" t="n">
        <v>1</v>
      </c>
    </row>
    <row r="308" customFormat="false" ht="1.5" hidden="false" customHeight="true" outlineLevel="0" collapsed="false">
      <c r="A308" s="35" t="n">
        <v>1</v>
      </c>
      <c r="B308" s="35" t="s">
        <v>239</v>
      </c>
      <c r="C308" s="35" t="s">
        <v>60</v>
      </c>
      <c r="D308" s="35" t="s">
        <v>60</v>
      </c>
      <c r="E308" s="35" t="s">
        <v>60</v>
      </c>
      <c r="F308" s="35" t="s">
        <v>60</v>
      </c>
      <c r="G308" s="35" t="s">
        <v>60</v>
      </c>
      <c r="H308" s="35" t="s">
        <v>60</v>
      </c>
      <c r="I308" s="35" t="s">
        <v>60</v>
      </c>
      <c r="J308" s="35" t="s">
        <v>60</v>
      </c>
      <c r="K308" s="35" t="s">
        <v>240</v>
      </c>
      <c r="L308" s="35"/>
      <c r="M308" s="35"/>
      <c r="N308" s="35" t="n">
        <v>5</v>
      </c>
      <c r="O308" s="35" t="n">
        <v>2</v>
      </c>
    </row>
    <row r="309" customFormat="false" ht="1.5" hidden="false" customHeight="true" outlineLevel="0" collapsed="false">
      <c r="A309" s="35" t="n">
        <v>2</v>
      </c>
      <c r="B309" s="35" t="s">
        <v>239</v>
      </c>
      <c r="C309" s="35" t="s">
        <v>60</v>
      </c>
      <c r="D309" s="35" t="s">
        <v>60</v>
      </c>
      <c r="E309" s="35" t="s">
        <v>60</v>
      </c>
      <c r="F309" s="35" t="s">
        <v>60</v>
      </c>
      <c r="G309" s="35" t="s">
        <v>60</v>
      </c>
      <c r="H309" s="35" t="s">
        <v>60</v>
      </c>
      <c r="I309" s="35" t="s">
        <v>60</v>
      </c>
      <c r="J309" s="35" t="s">
        <v>60</v>
      </c>
      <c r="K309" s="35" t="s">
        <v>240</v>
      </c>
      <c r="L309" s="35"/>
      <c r="M309" s="35"/>
      <c r="N309" s="35" t="n">
        <v>5</v>
      </c>
      <c r="O309" s="35" t="n">
        <v>2</v>
      </c>
    </row>
    <row r="310" customFormat="false" ht="1.5" hidden="false" customHeight="true" outlineLevel="0" collapsed="false">
      <c r="A310" s="35" t="n">
        <v>3</v>
      </c>
      <c r="B310" s="35" t="s">
        <v>239</v>
      </c>
      <c r="C310" s="35" t="s">
        <v>60</v>
      </c>
      <c r="D310" s="35" t="s">
        <v>60</v>
      </c>
      <c r="E310" s="35" t="s">
        <v>60</v>
      </c>
      <c r="F310" s="35" t="s">
        <v>60</v>
      </c>
      <c r="G310" s="35" t="s">
        <v>60</v>
      </c>
      <c r="H310" s="35" t="s">
        <v>60</v>
      </c>
      <c r="I310" s="35" t="s">
        <v>60</v>
      </c>
      <c r="J310" s="35" t="s">
        <v>60</v>
      </c>
      <c r="K310" s="35" t="s">
        <v>240</v>
      </c>
      <c r="L310" s="35"/>
      <c r="M310" s="35"/>
      <c r="N310" s="35" t="n">
        <v>5</v>
      </c>
      <c r="O310" s="35" t="n">
        <v>2</v>
      </c>
    </row>
    <row r="311" customFormat="false" ht="1.5" hidden="false" customHeight="true" outlineLevel="0" collapsed="false">
      <c r="A311" s="35" t="n">
        <v>4</v>
      </c>
      <c r="B311" s="35" t="s">
        <v>239</v>
      </c>
      <c r="C311" s="35" t="s">
        <v>60</v>
      </c>
      <c r="D311" s="35" t="s">
        <v>60</v>
      </c>
      <c r="E311" s="35" t="s">
        <v>60</v>
      </c>
      <c r="F311" s="35" t="s">
        <v>60</v>
      </c>
      <c r="G311" s="35" t="s">
        <v>60</v>
      </c>
      <c r="H311" s="35" t="s">
        <v>60</v>
      </c>
      <c r="I311" s="35" t="s">
        <v>60</v>
      </c>
      <c r="J311" s="35" t="s">
        <v>60</v>
      </c>
      <c r="K311" s="35" t="s">
        <v>240</v>
      </c>
      <c r="L311" s="35"/>
      <c r="M311" s="35"/>
      <c r="N311" s="35" t="n">
        <v>5</v>
      </c>
      <c r="O311" s="35" t="n">
        <v>2</v>
      </c>
    </row>
    <row r="312" customFormat="false" ht="1.5" hidden="false" customHeight="true" outlineLevel="0" collapsed="false">
      <c r="A312" s="35" t="n">
        <v>5</v>
      </c>
      <c r="B312" s="35" t="s">
        <v>239</v>
      </c>
      <c r="C312" s="35" t="s">
        <v>60</v>
      </c>
      <c r="D312" s="35" t="s">
        <v>60</v>
      </c>
      <c r="E312" s="35" t="s">
        <v>60</v>
      </c>
      <c r="F312" s="35" t="s">
        <v>60</v>
      </c>
      <c r="G312" s="35" t="s">
        <v>60</v>
      </c>
      <c r="H312" s="35" t="s">
        <v>60</v>
      </c>
      <c r="I312" s="35" t="s">
        <v>60</v>
      </c>
      <c r="J312" s="35" t="s">
        <v>60</v>
      </c>
      <c r="K312" s="35" t="s">
        <v>240</v>
      </c>
      <c r="L312" s="35"/>
      <c r="M312" s="35"/>
      <c r="N312" s="35" t="n">
        <v>5</v>
      </c>
      <c r="O312" s="35" t="n">
        <v>2</v>
      </c>
    </row>
    <row r="313" customFormat="false" ht="1.5" hidden="false" customHeight="true" outlineLevel="0" collapsed="false">
      <c r="A313" s="35" t="n">
        <v>6</v>
      </c>
      <c r="B313" s="35" t="s">
        <v>239</v>
      </c>
      <c r="C313" s="35" t="s">
        <v>60</v>
      </c>
      <c r="D313" s="35" t="s">
        <v>60</v>
      </c>
      <c r="E313" s="35" t="s">
        <v>60</v>
      </c>
      <c r="F313" s="35" t="s">
        <v>60</v>
      </c>
      <c r="G313" s="35" t="s">
        <v>60</v>
      </c>
      <c r="H313" s="35" t="s">
        <v>60</v>
      </c>
      <c r="I313" s="35" t="s">
        <v>60</v>
      </c>
      <c r="J313" s="35" t="s">
        <v>60</v>
      </c>
      <c r="K313" s="35" t="s">
        <v>240</v>
      </c>
      <c r="L313" s="35"/>
      <c r="M313" s="35"/>
      <c r="N313" s="35" t="n">
        <v>5</v>
      </c>
      <c r="O313" s="35" t="n">
        <v>2</v>
      </c>
    </row>
    <row r="314" customFormat="false" ht="1.5" hidden="false" customHeight="true" outlineLevel="0" collapsed="false">
      <c r="A314" s="35" t="n">
        <v>7</v>
      </c>
      <c r="B314" s="35" t="s">
        <v>239</v>
      </c>
      <c r="C314" s="35" t="s">
        <v>60</v>
      </c>
      <c r="D314" s="35" t="s">
        <v>60</v>
      </c>
      <c r="E314" s="35" t="s">
        <v>60</v>
      </c>
      <c r="F314" s="35" t="s">
        <v>60</v>
      </c>
      <c r="G314" s="35" t="s">
        <v>60</v>
      </c>
      <c r="H314" s="35" t="s">
        <v>60</v>
      </c>
      <c r="I314" s="35" t="s">
        <v>60</v>
      </c>
      <c r="J314" s="35" t="s">
        <v>60</v>
      </c>
      <c r="K314" s="35" t="s">
        <v>240</v>
      </c>
      <c r="L314" s="35"/>
      <c r="M314" s="35"/>
      <c r="N314" s="35" t="n">
        <v>5</v>
      </c>
      <c r="O314" s="35" t="n">
        <v>2</v>
      </c>
    </row>
    <row r="315" customFormat="false" ht="1.5" hidden="false" customHeight="true" outlineLevel="0" collapsed="false">
      <c r="A315" s="35" t="n">
        <v>8</v>
      </c>
      <c r="B315" s="35" t="s">
        <v>239</v>
      </c>
      <c r="C315" s="35" t="s">
        <v>60</v>
      </c>
      <c r="D315" s="35" t="s">
        <v>60</v>
      </c>
      <c r="E315" s="35" t="s">
        <v>60</v>
      </c>
      <c r="F315" s="35" t="s">
        <v>60</v>
      </c>
      <c r="G315" s="35" t="s">
        <v>60</v>
      </c>
      <c r="H315" s="35" t="s">
        <v>60</v>
      </c>
      <c r="I315" s="35" t="s">
        <v>60</v>
      </c>
      <c r="J315" s="35" t="s">
        <v>60</v>
      </c>
      <c r="K315" s="35" t="s">
        <v>240</v>
      </c>
      <c r="L315" s="35"/>
      <c r="M315" s="35"/>
      <c r="N315" s="35" t="n">
        <v>5</v>
      </c>
      <c r="O315" s="35" t="n">
        <v>2</v>
      </c>
    </row>
    <row r="316" customFormat="false" ht="1.5" hidden="false" customHeight="true" outlineLevel="0" collapsed="false">
      <c r="A316" s="35" t="n">
        <v>1</v>
      </c>
      <c r="B316" s="35" t="s">
        <v>239</v>
      </c>
      <c r="C316" s="35" t="s">
        <v>60</v>
      </c>
      <c r="D316" s="35" t="s">
        <v>60</v>
      </c>
      <c r="E316" s="35" t="s">
        <v>60</v>
      </c>
      <c r="F316" s="35" t="s">
        <v>60</v>
      </c>
      <c r="G316" s="35" t="s">
        <v>60</v>
      </c>
      <c r="H316" s="35" t="s">
        <v>60</v>
      </c>
      <c r="I316" s="35" t="s">
        <v>60</v>
      </c>
      <c r="J316" s="35" t="s">
        <v>60</v>
      </c>
      <c r="K316" s="35" t="s">
        <v>240</v>
      </c>
      <c r="L316" s="35"/>
      <c r="M316" s="35"/>
      <c r="N316" s="35" t="n">
        <v>5</v>
      </c>
      <c r="O316" s="35" t="n">
        <v>3</v>
      </c>
    </row>
    <row r="317" customFormat="false" ht="1.5" hidden="false" customHeight="true" outlineLevel="0" collapsed="false">
      <c r="A317" s="35" t="n">
        <v>2</v>
      </c>
      <c r="B317" s="35" t="s">
        <v>239</v>
      </c>
      <c r="C317" s="35" t="s">
        <v>60</v>
      </c>
      <c r="D317" s="35" t="s">
        <v>60</v>
      </c>
      <c r="E317" s="35" t="s">
        <v>60</v>
      </c>
      <c r="F317" s="35" t="s">
        <v>60</v>
      </c>
      <c r="G317" s="35" t="s">
        <v>60</v>
      </c>
      <c r="H317" s="35" t="s">
        <v>60</v>
      </c>
      <c r="I317" s="35" t="s">
        <v>60</v>
      </c>
      <c r="J317" s="35" t="s">
        <v>60</v>
      </c>
      <c r="K317" s="35" t="s">
        <v>240</v>
      </c>
      <c r="L317" s="35"/>
      <c r="M317" s="35"/>
      <c r="N317" s="35" t="n">
        <v>5</v>
      </c>
      <c r="O317" s="35" t="n">
        <v>3</v>
      </c>
    </row>
    <row r="318" customFormat="false" ht="1.5" hidden="false" customHeight="true" outlineLevel="0" collapsed="false">
      <c r="A318" s="35" t="n">
        <v>3</v>
      </c>
      <c r="B318" s="35" t="s">
        <v>239</v>
      </c>
      <c r="C318" s="35" t="s">
        <v>60</v>
      </c>
      <c r="D318" s="35" t="s">
        <v>60</v>
      </c>
      <c r="E318" s="35" t="s">
        <v>60</v>
      </c>
      <c r="F318" s="35" t="s">
        <v>60</v>
      </c>
      <c r="G318" s="35" t="s">
        <v>60</v>
      </c>
      <c r="H318" s="35" t="s">
        <v>60</v>
      </c>
      <c r="I318" s="35" t="s">
        <v>60</v>
      </c>
      <c r="J318" s="35" t="s">
        <v>60</v>
      </c>
      <c r="K318" s="35" t="s">
        <v>240</v>
      </c>
      <c r="L318" s="35"/>
      <c r="M318" s="35"/>
      <c r="N318" s="35" t="n">
        <v>5</v>
      </c>
      <c r="O318" s="35" t="n">
        <v>3</v>
      </c>
    </row>
    <row r="319" customFormat="false" ht="1.5" hidden="false" customHeight="true" outlineLevel="0" collapsed="false">
      <c r="A319" s="35" t="n">
        <v>4</v>
      </c>
      <c r="B319" s="35" t="s">
        <v>239</v>
      </c>
      <c r="C319" s="35" t="s">
        <v>60</v>
      </c>
      <c r="D319" s="35" t="s">
        <v>60</v>
      </c>
      <c r="E319" s="35" t="s">
        <v>60</v>
      </c>
      <c r="F319" s="35" t="s">
        <v>60</v>
      </c>
      <c r="G319" s="35" t="s">
        <v>60</v>
      </c>
      <c r="H319" s="35" t="s">
        <v>60</v>
      </c>
      <c r="I319" s="35" t="s">
        <v>60</v>
      </c>
      <c r="J319" s="35" t="s">
        <v>60</v>
      </c>
      <c r="K319" s="35" t="s">
        <v>240</v>
      </c>
      <c r="L319" s="35"/>
      <c r="M319" s="35"/>
      <c r="N319" s="35" t="n">
        <v>5</v>
      </c>
      <c r="O319" s="35" t="n">
        <v>3</v>
      </c>
    </row>
    <row r="320" customFormat="false" ht="1.5" hidden="false" customHeight="true" outlineLevel="0" collapsed="false">
      <c r="A320" s="35" t="n">
        <v>5</v>
      </c>
      <c r="B320" s="35" t="s">
        <v>239</v>
      </c>
      <c r="C320" s="35" t="s">
        <v>60</v>
      </c>
      <c r="D320" s="35" t="s">
        <v>60</v>
      </c>
      <c r="E320" s="35" t="s">
        <v>60</v>
      </c>
      <c r="F320" s="35" t="s">
        <v>60</v>
      </c>
      <c r="G320" s="35" t="s">
        <v>60</v>
      </c>
      <c r="H320" s="35" t="s">
        <v>60</v>
      </c>
      <c r="I320" s="35" t="s">
        <v>60</v>
      </c>
      <c r="J320" s="35" t="s">
        <v>60</v>
      </c>
      <c r="K320" s="35" t="s">
        <v>240</v>
      </c>
      <c r="L320" s="35"/>
      <c r="M320" s="35"/>
      <c r="N320" s="35" t="n">
        <v>5</v>
      </c>
      <c r="O320" s="35" t="n">
        <v>3</v>
      </c>
    </row>
    <row r="321" customFormat="false" ht="1.5" hidden="false" customHeight="true" outlineLevel="0" collapsed="false">
      <c r="A321" s="35" t="n">
        <v>6</v>
      </c>
      <c r="B321" s="35" t="s">
        <v>239</v>
      </c>
      <c r="C321" s="35" t="s">
        <v>60</v>
      </c>
      <c r="D321" s="35" t="s">
        <v>60</v>
      </c>
      <c r="E321" s="35" t="s">
        <v>60</v>
      </c>
      <c r="F321" s="35" t="s">
        <v>60</v>
      </c>
      <c r="G321" s="35" t="s">
        <v>60</v>
      </c>
      <c r="H321" s="35" t="s">
        <v>60</v>
      </c>
      <c r="I321" s="35" t="s">
        <v>60</v>
      </c>
      <c r="J321" s="35" t="s">
        <v>60</v>
      </c>
      <c r="K321" s="35" t="s">
        <v>240</v>
      </c>
      <c r="L321" s="35"/>
      <c r="M321" s="35"/>
      <c r="N321" s="35" t="n">
        <v>5</v>
      </c>
      <c r="O321" s="35" t="n">
        <v>3</v>
      </c>
    </row>
    <row r="322" customFormat="false" ht="1.5" hidden="false" customHeight="true" outlineLevel="0" collapsed="false">
      <c r="A322" s="35" t="n">
        <v>7</v>
      </c>
      <c r="B322" s="35" t="s">
        <v>239</v>
      </c>
      <c r="C322" s="35" t="s">
        <v>60</v>
      </c>
      <c r="D322" s="35" t="s">
        <v>60</v>
      </c>
      <c r="E322" s="35" t="s">
        <v>60</v>
      </c>
      <c r="F322" s="35" t="s">
        <v>60</v>
      </c>
      <c r="G322" s="35" t="s">
        <v>60</v>
      </c>
      <c r="H322" s="35" t="s">
        <v>60</v>
      </c>
      <c r="I322" s="35" t="s">
        <v>60</v>
      </c>
      <c r="J322" s="35" t="s">
        <v>60</v>
      </c>
      <c r="K322" s="35" t="s">
        <v>240</v>
      </c>
      <c r="L322" s="35"/>
      <c r="M322" s="35"/>
      <c r="N322" s="35" t="n">
        <v>5</v>
      </c>
      <c r="O322" s="35" t="n">
        <v>3</v>
      </c>
    </row>
    <row r="323" customFormat="false" ht="1.5" hidden="false" customHeight="true" outlineLevel="0" collapsed="false">
      <c r="A323" s="35" t="n">
        <v>8</v>
      </c>
      <c r="B323" s="35" t="s">
        <v>239</v>
      </c>
      <c r="C323" s="35" t="s">
        <v>60</v>
      </c>
      <c r="D323" s="35" t="s">
        <v>60</v>
      </c>
      <c r="E323" s="35" t="s">
        <v>60</v>
      </c>
      <c r="F323" s="35" t="s">
        <v>60</v>
      </c>
      <c r="G323" s="35" t="s">
        <v>60</v>
      </c>
      <c r="H323" s="35" t="s">
        <v>60</v>
      </c>
      <c r="I323" s="35" t="s">
        <v>60</v>
      </c>
      <c r="J323" s="35" t="s">
        <v>60</v>
      </c>
      <c r="K323" s="35" t="s">
        <v>240</v>
      </c>
      <c r="L323" s="35"/>
      <c r="M323" s="35"/>
      <c r="N323" s="35" t="n">
        <v>5</v>
      </c>
      <c r="O323" s="35" t="n">
        <v>3</v>
      </c>
    </row>
    <row r="324" customFormat="false" ht="1.5" hidden="false" customHeight="true" outlineLevel="0" collapsed="false">
      <c r="A324" s="35" t="n">
        <v>9</v>
      </c>
      <c r="B324" s="35" t="s">
        <v>239</v>
      </c>
      <c r="C324" s="35" t="s">
        <v>60</v>
      </c>
      <c r="D324" s="35" t="s">
        <v>60</v>
      </c>
      <c r="E324" s="35" t="s">
        <v>60</v>
      </c>
      <c r="F324" s="35" t="s">
        <v>60</v>
      </c>
      <c r="G324" s="35" t="s">
        <v>60</v>
      </c>
      <c r="H324" s="35" t="s">
        <v>60</v>
      </c>
      <c r="I324" s="35" t="s">
        <v>60</v>
      </c>
      <c r="J324" s="35" t="s">
        <v>60</v>
      </c>
      <c r="K324" s="35" t="s">
        <v>240</v>
      </c>
      <c r="L324" s="35"/>
      <c r="M324" s="35"/>
      <c r="N324" s="35" t="n">
        <v>5</v>
      </c>
      <c r="O324" s="35" t="n">
        <v>3</v>
      </c>
    </row>
    <row r="325" customFormat="false" ht="1.5" hidden="false" customHeight="true" outlineLevel="0" collapsed="false">
      <c r="A325" s="35" t="n">
        <v>10</v>
      </c>
      <c r="B325" s="35" t="s">
        <v>239</v>
      </c>
      <c r="C325" s="35" t="s">
        <v>60</v>
      </c>
      <c r="D325" s="35" t="s">
        <v>60</v>
      </c>
      <c r="E325" s="35" t="s">
        <v>60</v>
      </c>
      <c r="F325" s="35" t="s">
        <v>60</v>
      </c>
      <c r="G325" s="35" t="s">
        <v>60</v>
      </c>
      <c r="H325" s="35" t="s">
        <v>60</v>
      </c>
      <c r="I325" s="35" t="s">
        <v>60</v>
      </c>
      <c r="J325" s="35" t="s">
        <v>60</v>
      </c>
      <c r="K325" s="35" t="s">
        <v>240</v>
      </c>
      <c r="L325" s="35"/>
      <c r="M325" s="35"/>
      <c r="N325" s="35" t="n">
        <v>5</v>
      </c>
      <c r="O325" s="35" t="n">
        <v>3</v>
      </c>
    </row>
    <row r="326" customFormat="false" ht="1.5" hidden="false" customHeight="true" outlineLevel="0" collapsed="false">
      <c r="A326" s="35" t="n">
        <v>11</v>
      </c>
      <c r="B326" s="35" t="s">
        <v>239</v>
      </c>
      <c r="C326" s="35" t="s">
        <v>60</v>
      </c>
      <c r="D326" s="35" t="s">
        <v>60</v>
      </c>
      <c r="E326" s="35" t="s">
        <v>60</v>
      </c>
      <c r="F326" s="35" t="s">
        <v>60</v>
      </c>
      <c r="G326" s="35" t="s">
        <v>60</v>
      </c>
      <c r="H326" s="35" t="s">
        <v>60</v>
      </c>
      <c r="I326" s="35" t="s">
        <v>60</v>
      </c>
      <c r="J326" s="35" t="s">
        <v>60</v>
      </c>
      <c r="K326" s="35" t="s">
        <v>240</v>
      </c>
      <c r="L326" s="35"/>
      <c r="M326" s="35"/>
      <c r="N326" s="35" t="n">
        <v>5</v>
      </c>
      <c r="O326" s="35" t="n">
        <v>3</v>
      </c>
    </row>
    <row r="327" customFormat="false" ht="1.5" hidden="false" customHeight="true" outlineLevel="0" collapsed="false">
      <c r="A327" s="35" t="n">
        <v>12</v>
      </c>
      <c r="B327" s="35" t="s">
        <v>239</v>
      </c>
      <c r="C327" s="35" t="s">
        <v>60</v>
      </c>
      <c r="D327" s="35" t="s">
        <v>60</v>
      </c>
      <c r="E327" s="35" t="s">
        <v>60</v>
      </c>
      <c r="F327" s="35" t="s">
        <v>60</v>
      </c>
      <c r="G327" s="35" t="s">
        <v>60</v>
      </c>
      <c r="H327" s="35" t="s">
        <v>60</v>
      </c>
      <c r="I327" s="35" t="s">
        <v>60</v>
      </c>
      <c r="J327" s="35" t="s">
        <v>60</v>
      </c>
      <c r="K327" s="35" t="s">
        <v>240</v>
      </c>
      <c r="L327" s="35"/>
      <c r="M327" s="35"/>
      <c r="N327" s="35" t="n">
        <v>5</v>
      </c>
      <c r="O327" s="35" t="n">
        <v>3</v>
      </c>
    </row>
    <row r="328" customFormat="false" ht="1.5" hidden="false" customHeight="true" outlineLevel="0" collapsed="false">
      <c r="A328" s="35" t="n">
        <v>1</v>
      </c>
      <c r="B328" s="35" t="s">
        <v>239</v>
      </c>
      <c r="C328" s="35" t="s">
        <v>60</v>
      </c>
      <c r="D328" s="35" t="s">
        <v>60</v>
      </c>
      <c r="E328" s="35" t="s">
        <v>60</v>
      </c>
      <c r="F328" s="35" t="s">
        <v>60</v>
      </c>
      <c r="G328" s="35" t="s">
        <v>60</v>
      </c>
      <c r="H328" s="35" t="s">
        <v>60</v>
      </c>
      <c r="I328" s="35" t="s">
        <v>60</v>
      </c>
      <c r="J328" s="35" t="s">
        <v>60</v>
      </c>
      <c r="K328" s="35" t="s">
        <v>240</v>
      </c>
      <c r="L328" s="35"/>
      <c r="M328" s="35"/>
      <c r="N328" s="35" t="n">
        <v>5</v>
      </c>
      <c r="O328" s="35" t="n">
        <v>4</v>
      </c>
    </row>
    <row r="329" customFormat="false" ht="1.5" hidden="false" customHeight="true" outlineLevel="0" collapsed="false">
      <c r="A329" s="35" t="n">
        <v>2</v>
      </c>
      <c r="B329" s="35" t="s">
        <v>239</v>
      </c>
      <c r="C329" s="35" t="s">
        <v>60</v>
      </c>
      <c r="D329" s="35" t="s">
        <v>60</v>
      </c>
      <c r="E329" s="35" t="s">
        <v>60</v>
      </c>
      <c r="F329" s="35" t="s">
        <v>60</v>
      </c>
      <c r="G329" s="35" t="s">
        <v>60</v>
      </c>
      <c r="H329" s="35" t="s">
        <v>60</v>
      </c>
      <c r="I329" s="35" t="s">
        <v>60</v>
      </c>
      <c r="J329" s="35" t="s">
        <v>60</v>
      </c>
      <c r="K329" s="35" t="s">
        <v>240</v>
      </c>
      <c r="L329" s="35"/>
      <c r="M329" s="35"/>
      <c r="N329" s="35" t="n">
        <v>5</v>
      </c>
      <c r="O329" s="35" t="n">
        <v>4</v>
      </c>
    </row>
  </sheetData>
  <mergeCells count="7">
    <mergeCell ref="B2:M2"/>
    <mergeCell ref="B3:M3"/>
    <mergeCell ref="B5:M5"/>
    <mergeCell ref="B12:M12"/>
    <mergeCell ref="B23:M23"/>
    <mergeCell ref="B38:M38"/>
    <mergeCell ref="B43:M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B2:G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7" min="6" style="1" width="22"/>
    <col collapsed="false" customWidth="true" hidden="false" outlineLevel="0" max="8" min="8" style="1" width="3"/>
  </cols>
  <sheetData>
    <row r="2" customFormat="false" ht="45" hidden="false" customHeight="true" outlineLevel="0" collapsed="false">
      <c r="B2" s="62" t="s">
        <v>241</v>
      </c>
      <c r="C2" s="62"/>
      <c r="D2" s="62"/>
      <c r="E2" s="62"/>
      <c r="F2" s="62"/>
      <c r="G2" s="62"/>
    </row>
    <row r="3" customFormat="false" ht="18" hidden="false" customHeight="true" outlineLevel="0" collapsed="false">
      <c r="B3" s="63" t="s">
        <v>242</v>
      </c>
      <c r="C3" s="63"/>
      <c r="D3" s="63"/>
      <c r="E3" s="63"/>
      <c r="F3" s="63"/>
      <c r="G3" s="63"/>
    </row>
    <row r="5" customFormat="false" ht="27.75" hidden="false" customHeight="true" outlineLevel="0" collapsed="false">
      <c r="B5" s="19" t="s">
        <v>243</v>
      </c>
      <c r="C5" s="19" t="s">
        <v>244</v>
      </c>
      <c r="D5" s="19" t="s">
        <v>31</v>
      </c>
      <c r="E5" s="19" t="s">
        <v>45</v>
      </c>
      <c r="F5" s="19" t="s">
        <v>245</v>
      </c>
      <c r="G5" s="19" t="s">
        <v>246</v>
      </c>
    </row>
    <row r="6" customFormat="false" ht="18" hidden="false" customHeight="true" outlineLevel="0" collapsed="false">
      <c r="B6" s="64" t="n">
        <f aca="false">IF(1&lt;='🌱 Configuração'!$F$55,1,"")</f>
        <v>1</v>
      </c>
      <c r="C6" s="41" t="n">
        <f aca="false">IF(1&lt;='🌱 Configuração'!$F$55,'🌱 Configuração'!$B$56+0,"")</f>
        <v>0</v>
      </c>
      <c r="D6" s="65" t="str">
        <f aca="false">IF(1&gt;'🌱 Configuração'!$F$55,"",IF('🌱 Configuração'!$B$56+0&lt;'🌱 Configuração'!$C$56,"🌱 Clone",IF('🌱 Configuração'!$B$56+0&lt;'🌱 Configuração'!$D$56,"🌿 Vegetativo",IF('🌱 Configuração'!$B$56+0&lt;'🌱 Configuração'!$E$56,"🌸 Floração","🚿 Flush"))))</f>
        <v>🌱 Clone</v>
      </c>
      <c r="E6" s="43" t="str">
        <f aca="false">IF(1&gt;'🌱 Configuração'!$F$55,"",IF('🌱 Configuração'!$B$56+0&lt;'🌱 Configuração'!$C$56,"Clone S"&amp;INT((1-1)/7)+1,IF('🌱 Configuração'!$B$56+0&lt;'🌱 Configuração'!$D$56,"Vega S"&amp;INT(('🌱 Configuração'!$B$56+0-'🌱 Configuração'!$C$56)/7)+1,IF('🌱 Configuração'!$B$56+0&lt;'🌱 Configuração'!$E$56,"Flora S"&amp;INT(('🌱 Configuração'!$B$56+0-'🌱 Configuração'!$D$56)/7)+1,"Flush S"&amp;INT(('🌱 Configuração'!$B$56+0-'🌱 Configuração'!$E$56)/7)+1))))</f>
        <v>Clone S1</v>
      </c>
      <c r="F6" s="42" t="str">
        <f aca="false">IF(1&gt;'🌱 Configuração'!$F$55,"",IF('🌱 Configuração'!$B$56+0='🌱 Configuração'!$C$56,"🌿 INÍCIO VEGA — luz 18h/dia",IF('🌱 Configuração'!$B$56+0='🌱 Configuração'!$D$56,"🌸 INÍCIO FLORAÇÃO — mudar 12/12 🔴",IF('🌱 Configuração'!$B$56+0='🌱 Configuração'!$E$56,"🚿 INÍCIO FLUSH — parar nutrição",IF('🌱 Configuração'!$B$56+0='🌱 Configuração'!$F$56-1,"🔬 Véspera da colheita — analisar tricomas",IF('🌱 Configuração'!$B$56+0='🌱 Configuração'!$F$56,"✂️ COLHEITA — Parabéns! 🎉",""))))))</f>
        <v/>
      </c>
      <c r="G6" s="66" t="str">
        <f aca="false">IF(1&gt;'🌱 Configuração'!$F$55,"",IF(AND('🌱 Configuração'!$B$56+0&gt;='🌱 Configuração'!$C$56,'🌱 Configuração'!$B$56+0&lt;'🌱 Configuração'!$D$56,MOD('🌱 Configuração'!$B$56+0-'🌱 Configuração'!$C$56,7)=0),"🐛 MIP — ver aba MIP para aplicação desta semana",IF(AND('🌱 Configuração'!$B$56+0&gt;='🌱 Configuração'!$D$56,MOD('🌱 Configuração'!$B$56+0-'🌱 Configuração'!$D$56,7)=0),"🐛 MIP solo — ver aba MIP (sem foliar em flora)","")))</f>
        <v/>
      </c>
    </row>
    <row r="7" customFormat="false" ht="18" hidden="false" customHeight="true" outlineLevel="0" collapsed="false">
      <c r="B7" s="67" t="n">
        <f aca="false">IF(2&lt;='🌱 Configuração'!$F$55,2,"")</f>
        <v>2</v>
      </c>
      <c r="C7" s="68" t="n">
        <f aca="false">IF(2&lt;='🌱 Configuração'!$F$55,'🌱 Configuração'!$B$56+1,"")</f>
        <v>1</v>
      </c>
      <c r="D7" s="69" t="str">
        <f aca="false">IF(2&gt;'🌱 Configuração'!$F$55,"",IF('🌱 Configuração'!$B$56+1&lt;'🌱 Configuração'!$C$56,"🌱 Clone",IF('🌱 Configuração'!$B$56+1&lt;'🌱 Configuração'!$D$56,"🌿 Vegetativo",IF('🌱 Configuração'!$B$56+1&lt;'🌱 Configuração'!$E$56,"🌸 Floração","🚿 Flush"))))</f>
        <v>🌱 Clone</v>
      </c>
      <c r="E7" s="70" t="str">
        <f aca="false">IF(2&gt;'🌱 Configuração'!$F$55,"",IF('🌱 Configuração'!$B$56+1&lt;'🌱 Configuração'!$C$56,"Clone S"&amp;INT((2-1)/7)+1,IF('🌱 Configuração'!$B$56+1&lt;'🌱 Configuração'!$D$56,"Vega S"&amp;INT(('🌱 Configuração'!$B$56+1-'🌱 Configuração'!$C$56)/7)+1,IF('🌱 Configuração'!$B$56+1&lt;'🌱 Configuração'!$E$56,"Flora S"&amp;INT(('🌱 Configuração'!$B$56+1-'🌱 Configuração'!$D$56)/7)+1,"Flush S"&amp;INT(('🌱 Configuração'!$B$56+1-'🌱 Configuração'!$E$56)/7)+1))))</f>
        <v>Clone S1</v>
      </c>
      <c r="F7" s="13" t="str">
        <f aca="false">IF(2&gt;'🌱 Configuração'!$F$55,"",IF('🌱 Configuração'!$B$56+1='🌱 Configuração'!$C$56,"🌿 INÍCIO VEGA — luz 18h/dia",IF('🌱 Configuração'!$B$56+1='🌱 Configuração'!$D$56,"🌸 INÍCIO FLORAÇÃO — mudar 12/12 🔴",IF('🌱 Configuração'!$B$56+1='🌱 Configuração'!$E$56,"🚿 INÍCIO FLUSH — parar nutrição",IF('🌱 Configuração'!$B$56+1='🌱 Configuração'!$F$56-1,"🔬 Véspera da colheita — analisar tricomas",IF('🌱 Configuração'!$B$56+1='🌱 Configuração'!$F$56,"✂️ COLHEITA — Parabéns! 🎉",""))))))</f>
        <v/>
      </c>
      <c r="G7" s="71" t="str">
        <f aca="false">IF(2&gt;'🌱 Configuração'!$F$55,"",IF(AND('🌱 Configuração'!$B$56+1&gt;='🌱 Configuração'!$C$56,'🌱 Configuração'!$B$56+1&lt;'🌱 Configuração'!$D$56,MOD('🌱 Configuração'!$B$56+1-'🌱 Configuração'!$C$56,7)=0),"🐛 MIP — ver aba MIP para aplicação desta semana",IF(AND('🌱 Configuração'!$B$56+1&gt;='🌱 Configuração'!$D$56,MOD('🌱 Configuração'!$B$56+1-'🌱 Configuração'!$D$56,7)=0),"🐛 MIP solo — ver aba MIP (sem foliar em flora)","")))</f>
        <v/>
      </c>
    </row>
    <row r="8" customFormat="false" ht="18" hidden="false" customHeight="true" outlineLevel="0" collapsed="false">
      <c r="B8" s="64" t="n">
        <f aca="false">IF(3&lt;='🌱 Configuração'!$F$55,3,"")</f>
        <v>3</v>
      </c>
      <c r="C8" s="41" t="n">
        <f aca="false">IF(3&lt;='🌱 Configuração'!$F$55,'🌱 Configuração'!$B$56+2,"")</f>
        <v>2</v>
      </c>
      <c r="D8" s="65" t="str">
        <f aca="false">IF(3&gt;'🌱 Configuração'!$F$55,"",IF('🌱 Configuração'!$B$56+2&lt;'🌱 Configuração'!$C$56,"🌱 Clone",IF('🌱 Configuração'!$B$56+2&lt;'🌱 Configuração'!$D$56,"🌿 Vegetativo",IF('🌱 Configuração'!$B$56+2&lt;'🌱 Configuração'!$E$56,"🌸 Floração","🚿 Flush"))))</f>
        <v>🌱 Clone</v>
      </c>
      <c r="E8" s="43" t="str">
        <f aca="false">IF(3&gt;'🌱 Configuração'!$F$55,"",IF('🌱 Configuração'!$B$56+2&lt;'🌱 Configuração'!$C$56,"Clone S"&amp;INT((3-1)/7)+1,IF('🌱 Configuração'!$B$56+2&lt;'🌱 Configuração'!$D$56,"Vega S"&amp;INT(('🌱 Configuração'!$B$56+2-'🌱 Configuração'!$C$56)/7)+1,IF('🌱 Configuração'!$B$56+2&lt;'🌱 Configuração'!$E$56,"Flora S"&amp;INT(('🌱 Configuração'!$B$56+2-'🌱 Configuração'!$D$56)/7)+1,"Flush S"&amp;INT(('🌱 Configuração'!$B$56+2-'🌱 Configuração'!$E$56)/7)+1))))</f>
        <v>Clone S1</v>
      </c>
      <c r="F8" s="42" t="str">
        <f aca="false">IF(3&gt;'🌱 Configuração'!$F$55,"",IF('🌱 Configuração'!$B$56+2='🌱 Configuração'!$C$56,"🌿 INÍCIO VEGA — luz 18h/dia",IF('🌱 Configuração'!$B$56+2='🌱 Configuração'!$D$56,"🌸 INÍCIO FLORAÇÃO — mudar 12/12 🔴",IF('🌱 Configuração'!$B$56+2='🌱 Configuração'!$E$56,"🚿 INÍCIO FLUSH — parar nutrição",IF('🌱 Configuração'!$B$56+2='🌱 Configuração'!$F$56-1,"🔬 Véspera da colheita — analisar tricomas",IF('🌱 Configuração'!$B$56+2='🌱 Configuração'!$F$56,"✂️ COLHEITA — Parabéns! 🎉",""))))))</f>
        <v/>
      </c>
      <c r="G8" s="66" t="str">
        <f aca="false">IF(3&gt;'🌱 Configuração'!$F$55,"",IF(AND('🌱 Configuração'!$B$56+2&gt;='🌱 Configuração'!$C$56,'🌱 Configuração'!$B$56+2&lt;'🌱 Configuração'!$D$56,MOD('🌱 Configuração'!$B$56+2-'🌱 Configuração'!$C$56,7)=0),"🐛 MIP — ver aba MIP para aplicação desta semana",IF(AND('🌱 Configuração'!$B$56+2&gt;='🌱 Configuração'!$D$56,MOD('🌱 Configuração'!$B$56+2-'🌱 Configuração'!$D$56,7)=0),"🐛 MIP solo — ver aba MIP (sem foliar em flora)","")))</f>
        <v/>
      </c>
    </row>
    <row r="9" customFormat="false" ht="18" hidden="false" customHeight="true" outlineLevel="0" collapsed="false">
      <c r="B9" s="67" t="n">
        <f aca="false">IF(4&lt;='🌱 Configuração'!$F$55,4,"")</f>
        <v>4</v>
      </c>
      <c r="C9" s="68" t="n">
        <f aca="false">IF(4&lt;='🌱 Configuração'!$F$55,'🌱 Configuração'!$B$56+3,"")</f>
        <v>3</v>
      </c>
      <c r="D9" s="69" t="str">
        <f aca="false">IF(4&gt;'🌱 Configuração'!$F$55,"",IF('🌱 Configuração'!$B$56+3&lt;'🌱 Configuração'!$C$56,"🌱 Clone",IF('🌱 Configuração'!$B$56+3&lt;'🌱 Configuração'!$D$56,"🌿 Vegetativo",IF('🌱 Configuração'!$B$56+3&lt;'🌱 Configuração'!$E$56,"🌸 Floração","🚿 Flush"))))</f>
        <v>🌱 Clone</v>
      </c>
      <c r="E9" s="70" t="str">
        <f aca="false">IF(4&gt;'🌱 Configuração'!$F$55,"",IF('🌱 Configuração'!$B$56+3&lt;'🌱 Configuração'!$C$56,"Clone S"&amp;INT((4-1)/7)+1,IF('🌱 Configuração'!$B$56+3&lt;'🌱 Configuração'!$D$56,"Vega S"&amp;INT(('🌱 Configuração'!$B$56+3-'🌱 Configuração'!$C$56)/7)+1,IF('🌱 Configuração'!$B$56+3&lt;'🌱 Configuração'!$E$56,"Flora S"&amp;INT(('🌱 Configuração'!$B$56+3-'🌱 Configuração'!$D$56)/7)+1,"Flush S"&amp;INT(('🌱 Configuração'!$B$56+3-'🌱 Configuração'!$E$56)/7)+1))))</f>
        <v>Clone S1</v>
      </c>
      <c r="F9" s="13" t="str">
        <f aca="false">IF(4&gt;'🌱 Configuração'!$F$55,"",IF('🌱 Configuração'!$B$56+3='🌱 Configuração'!$C$56,"🌿 INÍCIO VEGA — luz 18h/dia",IF('🌱 Configuração'!$B$56+3='🌱 Configuração'!$D$56,"🌸 INÍCIO FLORAÇÃO — mudar 12/12 🔴",IF('🌱 Configuração'!$B$56+3='🌱 Configuração'!$E$56,"🚿 INÍCIO FLUSH — parar nutrição",IF('🌱 Configuração'!$B$56+3='🌱 Configuração'!$F$56-1,"🔬 Véspera da colheita — analisar tricomas",IF('🌱 Configuração'!$B$56+3='🌱 Configuração'!$F$56,"✂️ COLHEITA — Parabéns! 🎉",""))))))</f>
        <v/>
      </c>
      <c r="G9" s="71" t="str">
        <f aca="false">IF(4&gt;'🌱 Configuração'!$F$55,"",IF(AND('🌱 Configuração'!$B$56+3&gt;='🌱 Configuração'!$C$56,'🌱 Configuração'!$B$56+3&lt;'🌱 Configuração'!$D$56,MOD('🌱 Configuração'!$B$56+3-'🌱 Configuração'!$C$56,7)=0),"🐛 MIP — ver aba MIP para aplicação desta semana",IF(AND('🌱 Configuração'!$B$56+3&gt;='🌱 Configuração'!$D$56,MOD('🌱 Configuração'!$B$56+3-'🌱 Configuração'!$D$56,7)=0),"🐛 MIP solo — ver aba MIP (sem foliar em flora)","")))</f>
        <v/>
      </c>
    </row>
    <row r="10" customFormat="false" ht="18" hidden="false" customHeight="true" outlineLevel="0" collapsed="false">
      <c r="B10" s="64" t="n">
        <f aca="false">IF(5&lt;='🌱 Configuração'!$F$55,5,"")</f>
        <v>5</v>
      </c>
      <c r="C10" s="41" t="n">
        <f aca="false">IF(5&lt;='🌱 Configuração'!$F$55,'🌱 Configuração'!$B$56+4,"")</f>
        <v>4</v>
      </c>
      <c r="D10" s="65" t="str">
        <f aca="false">IF(5&gt;'🌱 Configuração'!$F$55,"",IF('🌱 Configuração'!$B$56+4&lt;'🌱 Configuração'!$C$56,"🌱 Clone",IF('🌱 Configuração'!$B$56+4&lt;'🌱 Configuração'!$D$56,"🌿 Vegetativo",IF('🌱 Configuração'!$B$56+4&lt;'🌱 Configuração'!$E$56,"🌸 Floração","🚿 Flush"))))</f>
        <v>🌱 Clone</v>
      </c>
      <c r="E10" s="43" t="str">
        <f aca="false">IF(5&gt;'🌱 Configuração'!$F$55,"",IF('🌱 Configuração'!$B$56+4&lt;'🌱 Configuração'!$C$56,"Clone S"&amp;INT((5-1)/7)+1,IF('🌱 Configuração'!$B$56+4&lt;'🌱 Configuração'!$D$56,"Vega S"&amp;INT(('🌱 Configuração'!$B$56+4-'🌱 Configuração'!$C$56)/7)+1,IF('🌱 Configuração'!$B$56+4&lt;'🌱 Configuração'!$E$56,"Flora S"&amp;INT(('🌱 Configuração'!$B$56+4-'🌱 Configuração'!$D$56)/7)+1,"Flush S"&amp;INT(('🌱 Configuração'!$B$56+4-'🌱 Configuração'!$E$56)/7)+1))))</f>
        <v>Clone S1</v>
      </c>
      <c r="F10" s="42" t="str">
        <f aca="false">IF(5&gt;'🌱 Configuração'!$F$55,"",IF('🌱 Configuração'!$B$56+4='🌱 Configuração'!$C$56,"🌿 INÍCIO VEGA — luz 18h/dia",IF('🌱 Configuração'!$B$56+4='🌱 Configuração'!$D$56,"🌸 INÍCIO FLORAÇÃO — mudar 12/12 🔴",IF('🌱 Configuração'!$B$56+4='🌱 Configuração'!$E$56,"🚿 INÍCIO FLUSH — parar nutrição",IF('🌱 Configuração'!$B$56+4='🌱 Configuração'!$F$56-1,"🔬 Véspera da colheita — analisar tricomas",IF('🌱 Configuração'!$B$56+4='🌱 Configuração'!$F$56,"✂️ COLHEITA — Parabéns! 🎉",""))))))</f>
        <v/>
      </c>
      <c r="G10" s="66" t="str">
        <f aca="false">IF(5&gt;'🌱 Configuração'!$F$55,"",IF(AND('🌱 Configuração'!$B$56+4&gt;='🌱 Configuração'!$C$56,'🌱 Configuração'!$B$56+4&lt;'🌱 Configuração'!$D$56,MOD('🌱 Configuração'!$B$56+4-'🌱 Configuração'!$C$56,7)=0),"🐛 MIP — ver aba MIP para aplicação desta semana",IF(AND('🌱 Configuração'!$B$56+4&gt;='🌱 Configuração'!$D$56,MOD('🌱 Configuração'!$B$56+4-'🌱 Configuração'!$D$56,7)=0),"🐛 MIP solo — ver aba MIP (sem foliar em flora)","")))</f>
        <v/>
      </c>
    </row>
    <row r="11" customFormat="false" ht="18" hidden="false" customHeight="true" outlineLevel="0" collapsed="false">
      <c r="B11" s="67" t="n">
        <f aca="false">IF(6&lt;='🌱 Configuração'!$F$55,6,"")</f>
        <v>6</v>
      </c>
      <c r="C11" s="68" t="n">
        <f aca="false">IF(6&lt;='🌱 Configuração'!$F$55,'🌱 Configuração'!$B$56+5,"")</f>
        <v>5</v>
      </c>
      <c r="D11" s="69" t="str">
        <f aca="false">IF(6&gt;'🌱 Configuração'!$F$55,"",IF('🌱 Configuração'!$B$56+5&lt;'🌱 Configuração'!$C$56,"🌱 Clone",IF('🌱 Configuração'!$B$56+5&lt;'🌱 Configuração'!$D$56,"🌿 Vegetativo",IF('🌱 Configuração'!$B$56+5&lt;'🌱 Configuração'!$E$56,"🌸 Floração","🚿 Flush"))))</f>
        <v>🌱 Clone</v>
      </c>
      <c r="E11" s="70" t="str">
        <f aca="false">IF(6&gt;'🌱 Configuração'!$F$55,"",IF('🌱 Configuração'!$B$56+5&lt;'🌱 Configuração'!$C$56,"Clone S"&amp;INT((6-1)/7)+1,IF('🌱 Configuração'!$B$56+5&lt;'🌱 Configuração'!$D$56,"Vega S"&amp;INT(('🌱 Configuração'!$B$56+5-'🌱 Configuração'!$C$56)/7)+1,IF('🌱 Configuração'!$B$56+5&lt;'🌱 Configuração'!$E$56,"Flora S"&amp;INT(('🌱 Configuração'!$B$56+5-'🌱 Configuração'!$D$56)/7)+1,"Flush S"&amp;INT(('🌱 Configuração'!$B$56+5-'🌱 Configuração'!$E$56)/7)+1))))</f>
        <v>Clone S1</v>
      </c>
      <c r="F11" s="13" t="str">
        <f aca="false">IF(6&gt;'🌱 Configuração'!$F$55,"",IF('🌱 Configuração'!$B$56+5='🌱 Configuração'!$C$56,"🌿 INÍCIO VEGA — luz 18h/dia",IF('🌱 Configuração'!$B$56+5='🌱 Configuração'!$D$56,"🌸 INÍCIO FLORAÇÃO — mudar 12/12 🔴",IF('🌱 Configuração'!$B$56+5='🌱 Configuração'!$E$56,"🚿 INÍCIO FLUSH — parar nutrição",IF('🌱 Configuração'!$B$56+5='🌱 Configuração'!$F$56-1,"🔬 Véspera da colheita — analisar tricomas",IF('🌱 Configuração'!$B$56+5='🌱 Configuração'!$F$56,"✂️ COLHEITA — Parabéns! 🎉",""))))))</f>
        <v/>
      </c>
      <c r="G11" s="71" t="str">
        <f aca="false">IF(6&gt;'🌱 Configuração'!$F$55,"",IF(AND('🌱 Configuração'!$B$56+5&gt;='🌱 Configuração'!$C$56,'🌱 Configuração'!$B$56+5&lt;'🌱 Configuração'!$D$56,MOD('🌱 Configuração'!$B$56+5-'🌱 Configuração'!$C$56,7)=0),"🐛 MIP — ver aba MIP para aplicação desta semana",IF(AND('🌱 Configuração'!$B$56+5&gt;='🌱 Configuração'!$D$56,MOD('🌱 Configuração'!$B$56+5-'🌱 Configuração'!$D$56,7)=0),"🐛 MIP solo — ver aba MIP (sem foliar em flora)","")))</f>
        <v/>
      </c>
    </row>
    <row r="12" customFormat="false" ht="18" hidden="false" customHeight="true" outlineLevel="0" collapsed="false">
      <c r="B12" s="64" t="n">
        <f aca="false">IF(7&lt;='🌱 Configuração'!$F$55,7,"")</f>
        <v>7</v>
      </c>
      <c r="C12" s="41" t="n">
        <f aca="false">IF(7&lt;='🌱 Configuração'!$F$55,'🌱 Configuração'!$B$56+6,"")</f>
        <v>6</v>
      </c>
      <c r="D12" s="65" t="str">
        <f aca="false">IF(7&gt;'🌱 Configuração'!$F$55,"",IF('🌱 Configuração'!$B$56+6&lt;'🌱 Configuração'!$C$56,"🌱 Clone",IF('🌱 Configuração'!$B$56+6&lt;'🌱 Configuração'!$D$56,"🌿 Vegetativo",IF('🌱 Configuração'!$B$56+6&lt;'🌱 Configuração'!$E$56,"🌸 Floração","🚿 Flush"))))</f>
        <v>🌱 Clone</v>
      </c>
      <c r="E12" s="43" t="str">
        <f aca="false">IF(7&gt;'🌱 Configuração'!$F$55,"",IF('🌱 Configuração'!$B$56+6&lt;'🌱 Configuração'!$C$56,"Clone S"&amp;INT((7-1)/7)+1,IF('🌱 Configuração'!$B$56+6&lt;'🌱 Configuração'!$D$56,"Vega S"&amp;INT(('🌱 Configuração'!$B$56+6-'🌱 Configuração'!$C$56)/7)+1,IF('🌱 Configuração'!$B$56+6&lt;'🌱 Configuração'!$E$56,"Flora S"&amp;INT(('🌱 Configuração'!$B$56+6-'🌱 Configuração'!$D$56)/7)+1,"Flush S"&amp;INT(('🌱 Configuração'!$B$56+6-'🌱 Configuração'!$E$56)/7)+1))))</f>
        <v>Clone S1</v>
      </c>
      <c r="F12" s="42" t="str">
        <f aca="false">IF(7&gt;'🌱 Configuração'!$F$55,"",IF('🌱 Configuração'!$B$56+6='🌱 Configuração'!$C$56,"🌿 INÍCIO VEGA — luz 18h/dia",IF('🌱 Configuração'!$B$56+6='🌱 Configuração'!$D$56,"🌸 INÍCIO FLORAÇÃO — mudar 12/12 🔴",IF('🌱 Configuração'!$B$56+6='🌱 Configuração'!$E$56,"🚿 INÍCIO FLUSH — parar nutrição",IF('🌱 Configuração'!$B$56+6='🌱 Configuração'!$F$56-1,"🔬 Véspera da colheita — analisar tricomas",IF('🌱 Configuração'!$B$56+6='🌱 Configuração'!$F$56,"✂️ COLHEITA — Parabéns! 🎉",""))))))</f>
        <v/>
      </c>
      <c r="G12" s="66" t="str">
        <f aca="false">IF(7&gt;'🌱 Configuração'!$F$55,"",IF(AND('🌱 Configuração'!$B$56+6&gt;='🌱 Configuração'!$C$56,'🌱 Configuração'!$B$56+6&lt;'🌱 Configuração'!$D$56,MOD('🌱 Configuração'!$B$56+6-'🌱 Configuração'!$C$56,7)=0),"🐛 MIP — ver aba MIP para aplicação desta semana",IF(AND('🌱 Configuração'!$B$56+6&gt;='🌱 Configuração'!$D$56,MOD('🌱 Configuração'!$B$56+6-'🌱 Configuração'!$D$56,7)=0),"🐛 MIP solo — ver aba MIP (sem foliar em flora)","")))</f>
        <v/>
      </c>
    </row>
    <row r="13" customFormat="false" ht="18" hidden="false" customHeight="true" outlineLevel="0" collapsed="false">
      <c r="B13" s="67" t="n">
        <f aca="false">IF(8&lt;='🌱 Configuração'!$F$55,8,"")</f>
        <v>8</v>
      </c>
      <c r="C13" s="68" t="n">
        <f aca="false">IF(8&lt;='🌱 Configuração'!$F$55,'🌱 Configuração'!$B$56+7,"")</f>
        <v>7</v>
      </c>
      <c r="D13" s="69" t="str">
        <f aca="false">IF(8&gt;'🌱 Configuração'!$F$55,"",IF('🌱 Configuração'!$B$56+7&lt;'🌱 Configuração'!$C$56,"🌱 Clone",IF('🌱 Configuração'!$B$56+7&lt;'🌱 Configuração'!$D$56,"🌿 Vegetativo",IF('🌱 Configuração'!$B$56+7&lt;'🌱 Configuração'!$E$56,"🌸 Floração","🚿 Flush"))))</f>
        <v>🌱 Clone</v>
      </c>
      <c r="E13" s="70" t="str">
        <f aca="false">IF(8&gt;'🌱 Configuração'!$F$55,"",IF('🌱 Configuração'!$B$56+7&lt;'🌱 Configuração'!$C$56,"Clone S"&amp;INT((8-1)/7)+1,IF('🌱 Configuração'!$B$56+7&lt;'🌱 Configuração'!$D$56,"Vega S"&amp;INT(('🌱 Configuração'!$B$56+7-'🌱 Configuração'!$C$56)/7)+1,IF('🌱 Configuração'!$B$56+7&lt;'🌱 Configuração'!$E$56,"Flora S"&amp;INT(('🌱 Configuração'!$B$56+7-'🌱 Configuração'!$D$56)/7)+1,"Flush S"&amp;INT(('🌱 Configuração'!$B$56+7-'🌱 Configuração'!$E$56)/7)+1))))</f>
        <v>Clone S2</v>
      </c>
      <c r="F13" s="13" t="str">
        <f aca="false">IF(8&gt;'🌱 Configuração'!$F$55,"",IF('🌱 Configuração'!$B$56+7='🌱 Configuração'!$C$56,"🌿 INÍCIO VEGA — luz 18h/dia",IF('🌱 Configuração'!$B$56+7='🌱 Configuração'!$D$56,"🌸 INÍCIO FLORAÇÃO — mudar 12/12 🔴",IF('🌱 Configuração'!$B$56+7='🌱 Configuração'!$E$56,"🚿 INÍCIO FLUSH — parar nutrição",IF('🌱 Configuração'!$B$56+7='🌱 Configuração'!$F$56-1,"🔬 Véspera da colheita — analisar tricomas",IF('🌱 Configuração'!$B$56+7='🌱 Configuração'!$F$56,"✂️ COLHEITA — Parabéns! 🎉",""))))))</f>
        <v/>
      </c>
      <c r="G13" s="71" t="str">
        <f aca="false">IF(8&gt;'🌱 Configuração'!$F$55,"",IF(AND('🌱 Configuração'!$B$56+7&gt;='🌱 Configuração'!$C$56,'🌱 Configuração'!$B$56+7&lt;'🌱 Configuração'!$D$56,MOD('🌱 Configuração'!$B$56+7-'🌱 Configuração'!$C$56,7)=0),"🐛 MIP — ver aba MIP para aplicação desta semana",IF(AND('🌱 Configuração'!$B$56+7&gt;='🌱 Configuração'!$D$56,MOD('🌱 Configuração'!$B$56+7-'🌱 Configuração'!$D$56,7)=0),"🐛 MIP solo — ver aba MIP (sem foliar em flora)","")))</f>
        <v/>
      </c>
    </row>
    <row r="14" customFormat="false" ht="18" hidden="false" customHeight="true" outlineLevel="0" collapsed="false">
      <c r="B14" s="64" t="n">
        <f aca="false">IF(9&lt;='🌱 Configuração'!$F$55,9,"")</f>
        <v>9</v>
      </c>
      <c r="C14" s="41" t="n">
        <f aca="false">IF(9&lt;='🌱 Configuração'!$F$55,'🌱 Configuração'!$B$56+8,"")</f>
        <v>8</v>
      </c>
      <c r="D14" s="65" t="str">
        <f aca="false">IF(9&gt;'🌱 Configuração'!$F$55,"",IF('🌱 Configuração'!$B$56+8&lt;'🌱 Configuração'!$C$56,"🌱 Clone",IF('🌱 Configuração'!$B$56+8&lt;'🌱 Configuração'!$D$56,"🌿 Vegetativo",IF('🌱 Configuração'!$B$56+8&lt;'🌱 Configuração'!$E$56,"🌸 Floração","🚿 Flush"))))</f>
        <v>🌱 Clone</v>
      </c>
      <c r="E14" s="43" t="str">
        <f aca="false">IF(9&gt;'🌱 Configuração'!$F$55,"",IF('🌱 Configuração'!$B$56+8&lt;'🌱 Configuração'!$C$56,"Clone S"&amp;INT((9-1)/7)+1,IF('🌱 Configuração'!$B$56+8&lt;'🌱 Configuração'!$D$56,"Vega S"&amp;INT(('🌱 Configuração'!$B$56+8-'🌱 Configuração'!$C$56)/7)+1,IF('🌱 Configuração'!$B$56+8&lt;'🌱 Configuração'!$E$56,"Flora S"&amp;INT(('🌱 Configuração'!$B$56+8-'🌱 Configuração'!$D$56)/7)+1,"Flush S"&amp;INT(('🌱 Configuração'!$B$56+8-'🌱 Configuração'!$E$56)/7)+1))))</f>
        <v>Clone S2</v>
      </c>
      <c r="F14" s="42" t="str">
        <f aca="false">IF(9&gt;'🌱 Configuração'!$F$55,"",IF('🌱 Configuração'!$B$56+8='🌱 Configuração'!$C$56,"🌿 INÍCIO VEGA — luz 18h/dia",IF('🌱 Configuração'!$B$56+8='🌱 Configuração'!$D$56,"🌸 INÍCIO FLORAÇÃO — mudar 12/12 🔴",IF('🌱 Configuração'!$B$56+8='🌱 Configuração'!$E$56,"🚿 INÍCIO FLUSH — parar nutrição",IF('🌱 Configuração'!$B$56+8='🌱 Configuração'!$F$56-1,"🔬 Véspera da colheita — analisar tricomas",IF('🌱 Configuração'!$B$56+8='🌱 Configuração'!$F$56,"✂️ COLHEITA — Parabéns! 🎉",""))))))</f>
        <v/>
      </c>
      <c r="G14" s="66" t="str">
        <f aca="false">IF(9&gt;'🌱 Configuração'!$F$55,"",IF(AND('🌱 Configuração'!$B$56+8&gt;='🌱 Configuração'!$C$56,'🌱 Configuração'!$B$56+8&lt;'🌱 Configuração'!$D$56,MOD('🌱 Configuração'!$B$56+8-'🌱 Configuração'!$C$56,7)=0),"🐛 MIP — ver aba MIP para aplicação desta semana",IF(AND('🌱 Configuração'!$B$56+8&gt;='🌱 Configuração'!$D$56,MOD('🌱 Configuração'!$B$56+8-'🌱 Configuração'!$D$56,7)=0),"🐛 MIP solo — ver aba MIP (sem foliar em flora)","")))</f>
        <v/>
      </c>
    </row>
    <row r="15" customFormat="false" ht="18" hidden="false" customHeight="true" outlineLevel="0" collapsed="false">
      <c r="B15" s="67" t="n">
        <f aca="false">IF(10&lt;='🌱 Configuração'!$F$55,10,"")</f>
        <v>10</v>
      </c>
      <c r="C15" s="68" t="n">
        <f aca="false">IF(10&lt;='🌱 Configuração'!$F$55,'🌱 Configuração'!$B$56+9,"")</f>
        <v>9</v>
      </c>
      <c r="D15" s="69" t="str">
        <f aca="false">IF(10&gt;'🌱 Configuração'!$F$55,"",IF('🌱 Configuração'!$B$56+9&lt;'🌱 Configuração'!$C$56,"🌱 Clone",IF('🌱 Configuração'!$B$56+9&lt;'🌱 Configuração'!$D$56,"🌿 Vegetativo",IF('🌱 Configuração'!$B$56+9&lt;'🌱 Configuração'!$E$56,"🌸 Floração","🚿 Flush"))))</f>
        <v>🌱 Clone</v>
      </c>
      <c r="E15" s="70" t="str">
        <f aca="false">IF(10&gt;'🌱 Configuração'!$F$55,"",IF('🌱 Configuração'!$B$56+9&lt;'🌱 Configuração'!$C$56,"Clone S"&amp;INT((10-1)/7)+1,IF('🌱 Configuração'!$B$56+9&lt;'🌱 Configuração'!$D$56,"Vega S"&amp;INT(('🌱 Configuração'!$B$56+9-'🌱 Configuração'!$C$56)/7)+1,IF('🌱 Configuração'!$B$56+9&lt;'🌱 Configuração'!$E$56,"Flora S"&amp;INT(('🌱 Configuração'!$B$56+9-'🌱 Configuração'!$D$56)/7)+1,"Flush S"&amp;INT(('🌱 Configuração'!$B$56+9-'🌱 Configuração'!$E$56)/7)+1))))</f>
        <v>Clone S2</v>
      </c>
      <c r="F15" s="13" t="str">
        <f aca="false">IF(10&gt;'🌱 Configuração'!$F$55,"",IF('🌱 Configuração'!$B$56+9='🌱 Configuração'!$C$56,"🌿 INÍCIO VEGA — luz 18h/dia",IF('🌱 Configuração'!$B$56+9='🌱 Configuração'!$D$56,"🌸 INÍCIO FLORAÇÃO — mudar 12/12 🔴",IF('🌱 Configuração'!$B$56+9='🌱 Configuração'!$E$56,"🚿 INÍCIO FLUSH — parar nutrição",IF('🌱 Configuração'!$B$56+9='🌱 Configuração'!$F$56-1,"🔬 Véspera da colheita — analisar tricomas",IF('🌱 Configuração'!$B$56+9='🌱 Configuração'!$F$56,"✂️ COLHEITA — Parabéns! 🎉",""))))))</f>
        <v/>
      </c>
      <c r="G15" s="71" t="str">
        <f aca="false">IF(10&gt;'🌱 Configuração'!$F$55,"",IF(AND('🌱 Configuração'!$B$56+9&gt;='🌱 Configuração'!$C$56,'🌱 Configuração'!$B$56+9&lt;'🌱 Configuração'!$D$56,MOD('🌱 Configuração'!$B$56+9-'🌱 Configuração'!$C$56,7)=0),"🐛 MIP — ver aba MIP para aplicação desta semana",IF(AND('🌱 Configuração'!$B$56+9&gt;='🌱 Configuração'!$D$56,MOD('🌱 Configuração'!$B$56+9-'🌱 Configuração'!$D$56,7)=0),"🐛 MIP solo — ver aba MIP (sem foliar em flora)","")))</f>
        <v/>
      </c>
    </row>
    <row r="16" customFormat="false" ht="18" hidden="false" customHeight="true" outlineLevel="0" collapsed="false">
      <c r="B16" s="64" t="n">
        <f aca="false">IF(11&lt;='🌱 Configuração'!$F$55,11,"")</f>
        <v>11</v>
      </c>
      <c r="C16" s="41" t="n">
        <f aca="false">IF(11&lt;='🌱 Configuração'!$F$55,'🌱 Configuração'!$B$56+10,"")</f>
        <v>10</v>
      </c>
      <c r="D16" s="65" t="str">
        <f aca="false">IF(11&gt;'🌱 Configuração'!$F$55,"",IF('🌱 Configuração'!$B$56+10&lt;'🌱 Configuração'!$C$56,"🌱 Clone",IF('🌱 Configuração'!$B$56+10&lt;'🌱 Configuração'!$D$56,"🌿 Vegetativo",IF('🌱 Configuração'!$B$56+10&lt;'🌱 Configuração'!$E$56,"🌸 Floração","🚿 Flush"))))</f>
        <v>🌱 Clone</v>
      </c>
      <c r="E16" s="43" t="str">
        <f aca="false">IF(11&gt;'🌱 Configuração'!$F$55,"",IF('🌱 Configuração'!$B$56+10&lt;'🌱 Configuração'!$C$56,"Clone S"&amp;INT((11-1)/7)+1,IF('🌱 Configuração'!$B$56+10&lt;'🌱 Configuração'!$D$56,"Vega S"&amp;INT(('🌱 Configuração'!$B$56+10-'🌱 Configuração'!$C$56)/7)+1,IF('🌱 Configuração'!$B$56+10&lt;'🌱 Configuração'!$E$56,"Flora S"&amp;INT(('🌱 Configuração'!$B$56+10-'🌱 Configuração'!$D$56)/7)+1,"Flush S"&amp;INT(('🌱 Configuração'!$B$56+10-'🌱 Configuração'!$E$56)/7)+1))))</f>
        <v>Clone S2</v>
      </c>
      <c r="F16" s="42" t="str">
        <f aca="false">IF(11&gt;'🌱 Configuração'!$F$55,"",IF('🌱 Configuração'!$B$56+10='🌱 Configuração'!$C$56,"🌿 INÍCIO VEGA — luz 18h/dia",IF('🌱 Configuração'!$B$56+10='🌱 Configuração'!$D$56,"🌸 INÍCIO FLORAÇÃO — mudar 12/12 🔴",IF('🌱 Configuração'!$B$56+10='🌱 Configuração'!$E$56,"🚿 INÍCIO FLUSH — parar nutrição",IF('🌱 Configuração'!$B$56+10='🌱 Configuração'!$F$56-1,"🔬 Véspera da colheita — analisar tricomas",IF('🌱 Configuração'!$B$56+10='🌱 Configuração'!$F$56,"✂️ COLHEITA — Parabéns! 🎉",""))))))</f>
        <v/>
      </c>
      <c r="G16" s="66" t="str">
        <f aca="false">IF(11&gt;'🌱 Configuração'!$F$55,"",IF(AND('🌱 Configuração'!$B$56+10&gt;='🌱 Configuração'!$C$56,'🌱 Configuração'!$B$56+10&lt;'🌱 Configuração'!$D$56,MOD('🌱 Configuração'!$B$56+10-'🌱 Configuração'!$C$56,7)=0),"🐛 MIP — ver aba MIP para aplicação desta semana",IF(AND('🌱 Configuração'!$B$56+10&gt;='🌱 Configuração'!$D$56,MOD('🌱 Configuração'!$B$56+10-'🌱 Configuração'!$D$56,7)=0),"🐛 MIP solo — ver aba MIP (sem foliar em flora)","")))</f>
        <v/>
      </c>
    </row>
    <row r="17" customFormat="false" ht="18" hidden="false" customHeight="true" outlineLevel="0" collapsed="false">
      <c r="B17" s="67" t="n">
        <f aca="false">IF(12&lt;='🌱 Configuração'!$F$55,12,"")</f>
        <v>12</v>
      </c>
      <c r="C17" s="68" t="n">
        <f aca="false">IF(12&lt;='🌱 Configuração'!$F$55,'🌱 Configuração'!$B$56+11,"")</f>
        <v>11</v>
      </c>
      <c r="D17" s="69" t="str">
        <f aca="false">IF(12&gt;'🌱 Configuração'!$F$55,"",IF('🌱 Configuração'!$B$56+11&lt;'🌱 Configuração'!$C$56,"🌱 Clone",IF('🌱 Configuração'!$B$56+11&lt;'🌱 Configuração'!$D$56,"🌿 Vegetativo",IF('🌱 Configuração'!$B$56+11&lt;'🌱 Configuração'!$E$56,"🌸 Floração","🚿 Flush"))))</f>
        <v>🌱 Clone</v>
      </c>
      <c r="E17" s="70" t="str">
        <f aca="false">IF(12&gt;'🌱 Configuração'!$F$55,"",IF('🌱 Configuração'!$B$56+11&lt;'🌱 Configuração'!$C$56,"Clone S"&amp;INT((12-1)/7)+1,IF('🌱 Configuração'!$B$56+11&lt;'🌱 Configuração'!$D$56,"Vega S"&amp;INT(('🌱 Configuração'!$B$56+11-'🌱 Configuração'!$C$56)/7)+1,IF('🌱 Configuração'!$B$56+11&lt;'🌱 Configuração'!$E$56,"Flora S"&amp;INT(('🌱 Configuração'!$B$56+11-'🌱 Configuração'!$D$56)/7)+1,"Flush S"&amp;INT(('🌱 Configuração'!$B$56+11-'🌱 Configuração'!$E$56)/7)+1))))</f>
        <v>Clone S2</v>
      </c>
      <c r="F17" s="13" t="str">
        <f aca="false">IF(12&gt;'🌱 Configuração'!$F$55,"",IF('🌱 Configuração'!$B$56+11='🌱 Configuração'!$C$56,"🌿 INÍCIO VEGA — luz 18h/dia",IF('🌱 Configuração'!$B$56+11='🌱 Configuração'!$D$56,"🌸 INÍCIO FLORAÇÃO — mudar 12/12 🔴",IF('🌱 Configuração'!$B$56+11='🌱 Configuração'!$E$56,"🚿 INÍCIO FLUSH — parar nutrição",IF('🌱 Configuração'!$B$56+11='🌱 Configuração'!$F$56-1,"🔬 Véspera da colheita — analisar tricomas",IF('🌱 Configuração'!$B$56+11='🌱 Configuração'!$F$56,"✂️ COLHEITA — Parabéns! 🎉",""))))))</f>
        <v/>
      </c>
      <c r="G17" s="71" t="str">
        <f aca="false">IF(12&gt;'🌱 Configuração'!$F$55,"",IF(AND('🌱 Configuração'!$B$56+11&gt;='🌱 Configuração'!$C$56,'🌱 Configuração'!$B$56+11&lt;'🌱 Configuração'!$D$56,MOD('🌱 Configuração'!$B$56+11-'🌱 Configuração'!$C$56,7)=0),"🐛 MIP — ver aba MIP para aplicação desta semana",IF(AND('🌱 Configuração'!$B$56+11&gt;='🌱 Configuração'!$D$56,MOD('🌱 Configuração'!$B$56+11-'🌱 Configuração'!$D$56,7)=0),"🐛 MIP solo — ver aba MIP (sem foliar em flora)","")))</f>
        <v/>
      </c>
    </row>
    <row r="18" customFormat="false" ht="18" hidden="false" customHeight="true" outlineLevel="0" collapsed="false">
      <c r="B18" s="64" t="n">
        <f aca="false">IF(13&lt;='🌱 Configuração'!$F$55,13,"")</f>
        <v>13</v>
      </c>
      <c r="C18" s="41" t="n">
        <f aca="false">IF(13&lt;='🌱 Configuração'!$F$55,'🌱 Configuração'!$B$56+12,"")</f>
        <v>12</v>
      </c>
      <c r="D18" s="65" t="str">
        <f aca="false">IF(13&gt;'🌱 Configuração'!$F$55,"",IF('🌱 Configuração'!$B$56+12&lt;'🌱 Configuração'!$C$56,"🌱 Clone",IF('🌱 Configuração'!$B$56+12&lt;'🌱 Configuração'!$D$56,"🌿 Vegetativo",IF('🌱 Configuração'!$B$56+12&lt;'🌱 Configuração'!$E$56,"🌸 Floração","🚿 Flush"))))</f>
        <v>🌱 Clone</v>
      </c>
      <c r="E18" s="43" t="str">
        <f aca="false">IF(13&gt;'🌱 Configuração'!$F$55,"",IF('🌱 Configuração'!$B$56+12&lt;'🌱 Configuração'!$C$56,"Clone S"&amp;INT((13-1)/7)+1,IF('🌱 Configuração'!$B$56+12&lt;'🌱 Configuração'!$D$56,"Vega S"&amp;INT(('🌱 Configuração'!$B$56+12-'🌱 Configuração'!$C$56)/7)+1,IF('🌱 Configuração'!$B$56+12&lt;'🌱 Configuração'!$E$56,"Flora S"&amp;INT(('🌱 Configuração'!$B$56+12-'🌱 Configuração'!$D$56)/7)+1,"Flush S"&amp;INT(('🌱 Configuração'!$B$56+12-'🌱 Configuração'!$E$56)/7)+1))))</f>
        <v>Clone S2</v>
      </c>
      <c r="F18" s="42" t="str">
        <f aca="false">IF(13&gt;'🌱 Configuração'!$F$55,"",IF('🌱 Configuração'!$B$56+12='🌱 Configuração'!$C$56,"🌿 INÍCIO VEGA — luz 18h/dia",IF('🌱 Configuração'!$B$56+12='🌱 Configuração'!$D$56,"🌸 INÍCIO FLORAÇÃO — mudar 12/12 🔴",IF('🌱 Configuração'!$B$56+12='🌱 Configuração'!$E$56,"🚿 INÍCIO FLUSH — parar nutrição",IF('🌱 Configuração'!$B$56+12='🌱 Configuração'!$F$56-1,"🔬 Véspera da colheita — analisar tricomas",IF('🌱 Configuração'!$B$56+12='🌱 Configuração'!$F$56,"✂️ COLHEITA — Parabéns! 🎉",""))))))</f>
        <v/>
      </c>
      <c r="G18" s="66" t="str">
        <f aca="false">IF(13&gt;'🌱 Configuração'!$F$55,"",IF(AND('🌱 Configuração'!$B$56+12&gt;='🌱 Configuração'!$C$56,'🌱 Configuração'!$B$56+12&lt;'🌱 Configuração'!$D$56,MOD('🌱 Configuração'!$B$56+12-'🌱 Configuração'!$C$56,7)=0),"🐛 MIP — ver aba MIP para aplicação desta semana",IF(AND('🌱 Configuração'!$B$56+12&gt;='🌱 Configuração'!$D$56,MOD('🌱 Configuração'!$B$56+12-'🌱 Configuração'!$D$56,7)=0),"🐛 MIP solo — ver aba MIP (sem foliar em flora)","")))</f>
        <v/>
      </c>
    </row>
    <row r="19" customFormat="false" ht="18" hidden="false" customHeight="true" outlineLevel="0" collapsed="false">
      <c r="B19" s="67" t="n">
        <f aca="false">IF(14&lt;='🌱 Configuração'!$F$55,14,"")</f>
        <v>14</v>
      </c>
      <c r="C19" s="68" t="n">
        <f aca="false">IF(14&lt;='🌱 Configuração'!$F$55,'🌱 Configuração'!$B$56+13,"")</f>
        <v>13</v>
      </c>
      <c r="D19" s="69" t="str">
        <f aca="false">IF(14&gt;'🌱 Configuração'!$F$55,"",IF('🌱 Configuração'!$B$56+13&lt;'🌱 Configuração'!$C$56,"🌱 Clone",IF('🌱 Configuração'!$B$56+13&lt;'🌱 Configuração'!$D$56,"🌿 Vegetativo",IF('🌱 Configuração'!$B$56+13&lt;'🌱 Configuração'!$E$56,"🌸 Floração","🚿 Flush"))))</f>
        <v>🌱 Clone</v>
      </c>
      <c r="E19" s="70" t="str">
        <f aca="false">IF(14&gt;'🌱 Configuração'!$F$55,"",IF('🌱 Configuração'!$B$56+13&lt;'🌱 Configuração'!$C$56,"Clone S"&amp;INT((14-1)/7)+1,IF('🌱 Configuração'!$B$56+13&lt;'🌱 Configuração'!$D$56,"Vega S"&amp;INT(('🌱 Configuração'!$B$56+13-'🌱 Configuração'!$C$56)/7)+1,IF('🌱 Configuração'!$B$56+13&lt;'🌱 Configuração'!$E$56,"Flora S"&amp;INT(('🌱 Configuração'!$B$56+13-'🌱 Configuração'!$D$56)/7)+1,"Flush S"&amp;INT(('🌱 Configuração'!$B$56+13-'🌱 Configuração'!$E$56)/7)+1))))</f>
        <v>Clone S2</v>
      </c>
      <c r="F19" s="13" t="str">
        <f aca="false">IF(14&gt;'🌱 Configuração'!$F$55,"",IF('🌱 Configuração'!$B$56+13='🌱 Configuração'!$C$56,"🌿 INÍCIO VEGA — luz 18h/dia",IF('🌱 Configuração'!$B$56+13='🌱 Configuração'!$D$56,"🌸 INÍCIO FLORAÇÃO — mudar 12/12 🔴",IF('🌱 Configuração'!$B$56+13='🌱 Configuração'!$E$56,"🚿 INÍCIO FLUSH — parar nutrição",IF('🌱 Configuração'!$B$56+13='🌱 Configuração'!$F$56-1,"🔬 Véspera da colheita — analisar tricomas",IF('🌱 Configuração'!$B$56+13='🌱 Configuração'!$F$56,"✂️ COLHEITA — Parabéns! 🎉",""))))))</f>
        <v/>
      </c>
      <c r="G19" s="71" t="str">
        <f aca="false">IF(14&gt;'🌱 Configuração'!$F$55,"",IF(AND('🌱 Configuração'!$B$56+13&gt;='🌱 Configuração'!$C$56,'🌱 Configuração'!$B$56+13&lt;'🌱 Configuração'!$D$56,MOD('🌱 Configuração'!$B$56+13-'🌱 Configuração'!$C$56,7)=0),"🐛 MIP — ver aba MIP para aplicação desta semana",IF(AND('🌱 Configuração'!$B$56+13&gt;='🌱 Configuração'!$D$56,MOD('🌱 Configuração'!$B$56+13-'🌱 Configuração'!$D$56,7)=0),"🐛 MIP solo — ver aba MIP (sem foliar em flora)","")))</f>
        <v/>
      </c>
    </row>
    <row r="20" customFormat="false" ht="18" hidden="false" customHeight="true" outlineLevel="0" collapsed="false">
      <c r="B20" s="64" t="n">
        <f aca="false">IF(15&lt;='🌱 Configuração'!$F$55,15,"")</f>
        <v>15</v>
      </c>
      <c r="C20" s="41" t="n">
        <f aca="false">IF(15&lt;='🌱 Configuração'!$F$55,'🌱 Configuração'!$B$56+14,"")</f>
        <v>14</v>
      </c>
      <c r="D20" s="65" t="str">
        <f aca="false">IF(15&gt;'🌱 Configuração'!$F$55,"",IF('🌱 Configuração'!$B$56+14&lt;'🌱 Configuração'!$C$56,"🌱 Clone",IF('🌱 Configuração'!$B$56+14&lt;'🌱 Configuração'!$D$56,"🌿 Vegetativo",IF('🌱 Configuração'!$B$56+14&lt;'🌱 Configuração'!$E$56,"🌸 Floração","🚿 Flush"))))</f>
        <v>🌿 Vegetativo</v>
      </c>
      <c r="E20" s="43" t="str">
        <f aca="false">IF(15&gt;'🌱 Configuração'!$F$55,"",IF('🌱 Configuração'!$B$56+14&lt;'🌱 Configuração'!$C$56,"Clone S"&amp;INT((15-1)/7)+1,IF('🌱 Configuração'!$B$56+14&lt;'🌱 Configuração'!$D$56,"Vega S"&amp;INT(('🌱 Configuração'!$B$56+14-'🌱 Configuração'!$C$56)/7)+1,IF('🌱 Configuração'!$B$56+14&lt;'🌱 Configuração'!$E$56,"Flora S"&amp;INT(('🌱 Configuração'!$B$56+14-'🌱 Configuração'!$D$56)/7)+1,"Flush S"&amp;INT(('🌱 Configuração'!$B$56+14-'🌱 Configuração'!$E$56)/7)+1))))</f>
        <v>Vega S1</v>
      </c>
      <c r="F20" s="42" t="str">
        <f aca="false">IF(15&gt;'🌱 Configuração'!$F$55,"",IF('🌱 Configuração'!$B$56+14='🌱 Configuração'!$C$56,"🌿 INÍCIO VEGA — luz 18h/dia",IF('🌱 Configuração'!$B$56+14='🌱 Configuração'!$D$56,"🌸 INÍCIO FLORAÇÃO — mudar 12/12 🔴",IF('🌱 Configuração'!$B$56+14='🌱 Configuração'!$E$56,"🚿 INÍCIO FLUSH — parar nutrição",IF('🌱 Configuração'!$B$56+14='🌱 Configuração'!$F$56-1,"🔬 Véspera da colheita — analisar tricomas",IF('🌱 Configuração'!$B$56+14='🌱 Configuração'!$F$56,"✂️ COLHEITA — Parabéns! 🎉",""))))))</f>
        <v>🌿 INÍCIO VEGA — luz 18h/dia</v>
      </c>
      <c r="G20" s="66" t="str">
        <f aca="false">IF(15&gt;'🌱 Configuração'!$F$55,"",IF(AND('🌱 Configuração'!$B$56+14&gt;='🌱 Configuração'!$C$56,'🌱 Configuração'!$B$56+14&lt;'🌱 Configuração'!$D$56,MOD('🌱 Configuração'!$B$56+14-'🌱 Configuração'!$C$56,7)=0),"🐛 MIP — ver aba MIP para aplicação desta semana",IF(AND('🌱 Configuração'!$B$56+14&gt;='🌱 Configuração'!$D$56,MOD('🌱 Configuração'!$B$56+14-'🌱 Configuração'!$D$56,7)=0),"🐛 MIP solo — ver aba MIP (sem foliar em flora)","")))</f>
        <v>🐛 MIP — ver aba MIP para aplicação desta semana</v>
      </c>
    </row>
    <row r="21" customFormat="false" ht="18" hidden="false" customHeight="true" outlineLevel="0" collapsed="false">
      <c r="B21" s="67" t="n">
        <f aca="false">IF(16&lt;='🌱 Configuração'!$F$55,16,"")</f>
        <v>16</v>
      </c>
      <c r="C21" s="68" t="n">
        <f aca="false">IF(16&lt;='🌱 Configuração'!$F$55,'🌱 Configuração'!$B$56+15,"")</f>
        <v>15</v>
      </c>
      <c r="D21" s="69" t="str">
        <f aca="false">IF(16&gt;'🌱 Configuração'!$F$55,"",IF('🌱 Configuração'!$B$56+15&lt;'🌱 Configuração'!$C$56,"🌱 Clone",IF('🌱 Configuração'!$B$56+15&lt;'🌱 Configuração'!$D$56,"🌿 Vegetativo",IF('🌱 Configuração'!$B$56+15&lt;'🌱 Configuração'!$E$56,"🌸 Floração","🚿 Flush"))))</f>
        <v>🌿 Vegetativo</v>
      </c>
      <c r="E21" s="70" t="str">
        <f aca="false">IF(16&gt;'🌱 Configuração'!$F$55,"",IF('🌱 Configuração'!$B$56+15&lt;'🌱 Configuração'!$C$56,"Clone S"&amp;INT((16-1)/7)+1,IF('🌱 Configuração'!$B$56+15&lt;'🌱 Configuração'!$D$56,"Vega S"&amp;INT(('🌱 Configuração'!$B$56+15-'🌱 Configuração'!$C$56)/7)+1,IF('🌱 Configuração'!$B$56+15&lt;'🌱 Configuração'!$E$56,"Flora S"&amp;INT(('🌱 Configuração'!$B$56+15-'🌱 Configuração'!$D$56)/7)+1,"Flush S"&amp;INT(('🌱 Configuração'!$B$56+15-'🌱 Configuração'!$E$56)/7)+1))))</f>
        <v>Vega S1</v>
      </c>
      <c r="F21" s="13" t="str">
        <f aca="false">IF(16&gt;'🌱 Configuração'!$F$55,"",IF('🌱 Configuração'!$B$56+15='🌱 Configuração'!$C$56,"🌿 INÍCIO VEGA — luz 18h/dia",IF('🌱 Configuração'!$B$56+15='🌱 Configuração'!$D$56,"🌸 INÍCIO FLORAÇÃO — mudar 12/12 🔴",IF('🌱 Configuração'!$B$56+15='🌱 Configuração'!$E$56,"🚿 INÍCIO FLUSH — parar nutrição",IF('🌱 Configuração'!$B$56+15='🌱 Configuração'!$F$56-1,"🔬 Véspera da colheita — analisar tricomas",IF('🌱 Configuração'!$B$56+15='🌱 Configuração'!$F$56,"✂️ COLHEITA — Parabéns! 🎉",""))))))</f>
        <v/>
      </c>
      <c r="G21" s="71" t="str">
        <f aca="false">IF(16&gt;'🌱 Configuração'!$F$55,"",IF(AND('🌱 Configuração'!$B$56+15&gt;='🌱 Configuração'!$C$56,'🌱 Configuração'!$B$56+15&lt;'🌱 Configuração'!$D$56,MOD('🌱 Configuração'!$B$56+15-'🌱 Configuração'!$C$56,7)=0),"🐛 MIP — ver aba MIP para aplicação desta semana",IF(AND('🌱 Configuração'!$B$56+15&gt;='🌱 Configuração'!$D$56,MOD('🌱 Configuração'!$B$56+15-'🌱 Configuração'!$D$56,7)=0),"🐛 MIP solo — ver aba MIP (sem foliar em flora)","")))</f>
        <v/>
      </c>
    </row>
    <row r="22" customFormat="false" ht="18" hidden="false" customHeight="true" outlineLevel="0" collapsed="false">
      <c r="B22" s="64" t="n">
        <f aca="false">IF(17&lt;='🌱 Configuração'!$F$55,17,"")</f>
        <v>17</v>
      </c>
      <c r="C22" s="41" t="n">
        <f aca="false">IF(17&lt;='🌱 Configuração'!$F$55,'🌱 Configuração'!$B$56+16,"")</f>
        <v>16</v>
      </c>
      <c r="D22" s="65" t="str">
        <f aca="false">IF(17&gt;'🌱 Configuração'!$F$55,"",IF('🌱 Configuração'!$B$56+16&lt;'🌱 Configuração'!$C$56,"🌱 Clone",IF('🌱 Configuração'!$B$56+16&lt;'🌱 Configuração'!$D$56,"🌿 Vegetativo",IF('🌱 Configuração'!$B$56+16&lt;'🌱 Configuração'!$E$56,"🌸 Floração","🚿 Flush"))))</f>
        <v>🌿 Vegetativo</v>
      </c>
      <c r="E22" s="43" t="str">
        <f aca="false">IF(17&gt;'🌱 Configuração'!$F$55,"",IF('🌱 Configuração'!$B$56+16&lt;'🌱 Configuração'!$C$56,"Clone S"&amp;INT((17-1)/7)+1,IF('🌱 Configuração'!$B$56+16&lt;'🌱 Configuração'!$D$56,"Vega S"&amp;INT(('🌱 Configuração'!$B$56+16-'🌱 Configuração'!$C$56)/7)+1,IF('🌱 Configuração'!$B$56+16&lt;'🌱 Configuração'!$E$56,"Flora S"&amp;INT(('🌱 Configuração'!$B$56+16-'🌱 Configuração'!$D$56)/7)+1,"Flush S"&amp;INT(('🌱 Configuração'!$B$56+16-'🌱 Configuração'!$E$56)/7)+1))))</f>
        <v>Vega S1</v>
      </c>
      <c r="F22" s="42" t="str">
        <f aca="false">IF(17&gt;'🌱 Configuração'!$F$55,"",IF('🌱 Configuração'!$B$56+16='🌱 Configuração'!$C$56,"🌿 INÍCIO VEGA — luz 18h/dia",IF('🌱 Configuração'!$B$56+16='🌱 Configuração'!$D$56,"🌸 INÍCIO FLORAÇÃO — mudar 12/12 🔴",IF('🌱 Configuração'!$B$56+16='🌱 Configuração'!$E$56,"🚿 INÍCIO FLUSH — parar nutrição",IF('🌱 Configuração'!$B$56+16='🌱 Configuração'!$F$56-1,"🔬 Véspera da colheita — analisar tricomas",IF('🌱 Configuração'!$B$56+16='🌱 Configuração'!$F$56,"✂️ COLHEITA — Parabéns! 🎉",""))))))</f>
        <v/>
      </c>
      <c r="G22" s="66" t="str">
        <f aca="false">IF(17&gt;'🌱 Configuração'!$F$55,"",IF(AND('🌱 Configuração'!$B$56+16&gt;='🌱 Configuração'!$C$56,'🌱 Configuração'!$B$56+16&lt;'🌱 Configuração'!$D$56,MOD('🌱 Configuração'!$B$56+16-'🌱 Configuração'!$C$56,7)=0),"🐛 MIP — ver aba MIP para aplicação desta semana",IF(AND('🌱 Configuração'!$B$56+16&gt;='🌱 Configuração'!$D$56,MOD('🌱 Configuração'!$B$56+16-'🌱 Configuração'!$D$56,7)=0),"🐛 MIP solo — ver aba MIP (sem foliar em flora)","")))</f>
        <v/>
      </c>
    </row>
    <row r="23" customFormat="false" ht="18" hidden="false" customHeight="true" outlineLevel="0" collapsed="false">
      <c r="B23" s="67" t="n">
        <f aca="false">IF(18&lt;='🌱 Configuração'!$F$55,18,"")</f>
        <v>18</v>
      </c>
      <c r="C23" s="68" t="n">
        <f aca="false">IF(18&lt;='🌱 Configuração'!$F$55,'🌱 Configuração'!$B$56+17,"")</f>
        <v>17</v>
      </c>
      <c r="D23" s="69" t="str">
        <f aca="false">IF(18&gt;'🌱 Configuração'!$F$55,"",IF('🌱 Configuração'!$B$56+17&lt;'🌱 Configuração'!$C$56,"🌱 Clone",IF('🌱 Configuração'!$B$56+17&lt;'🌱 Configuração'!$D$56,"🌿 Vegetativo",IF('🌱 Configuração'!$B$56+17&lt;'🌱 Configuração'!$E$56,"🌸 Floração","🚿 Flush"))))</f>
        <v>🌿 Vegetativo</v>
      </c>
      <c r="E23" s="70" t="str">
        <f aca="false">IF(18&gt;'🌱 Configuração'!$F$55,"",IF('🌱 Configuração'!$B$56+17&lt;'🌱 Configuração'!$C$56,"Clone S"&amp;INT((18-1)/7)+1,IF('🌱 Configuração'!$B$56+17&lt;'🌱 Configuração'!$D$56,"Vega S"&amp;INT(('🌱 Configuração'!$B$56+17-'🌱 Configuração'!$C$56)/7)+1,IF('🌱 Configuração'!$B$56+17&lt;'🌱 Configuração'!$E$56,"Flora S"&amp;INT(('🌱 Configuração'!$B$56+17-'🌱 Configuração'!$D$56)/7)+1,"Flush S"&amp;INT(('🌱 Configuração'!$B$56+17-'🌱 Configuração'!$E$56)/7)+1))))</f>
        <v>Vega S1</v>
      </c>
      <c r="F23" s="13" t="str">
        <f aca="false">IF(18&gt;'🌱 Configuração'!$F$55,"",IF('🌱 Configuração'!$B$56+17='🌱 Configuração'!$C$56,"🌿 INÍCIO VEGA — luz 18h/dia",IF('🌱 Configuração'!$B$56+17='🌱 Configuração'!$D$56,"🌸 INÍCIO FLORAÇÃO — mudar 12/12 🔴",IF('🌱 Configuração'!$B$56+17='🌱 Configuração'!$E$56,"🚿 INÍCIO FLUSH — parar nutrição",IF('🌱 Configuração'!$B$56+17='🌱 Configuração'!$F$56-1,"🔬 Véspera da colheita — analisar tricomas",IF('🌱 Configuração'!$B$56+17='🌱 Configuração'!$F$56,"✂️ COLHEITA — Parabéns! 🎉",""))))))</f>
        <v/>
      </c>
      <c r="G23" s="71" t="str">
        <f aca="false">IF(18&gt;'🌱 Configuração'!$F$55,"",IF(AND('🌱 Configuração'!$B$56+17&gt;='🌱 Configuração'!$C$56,'🌱 Configuração'!$B$56+17&lt;'🌱 Configuração'!$D$56,MOD('🌱 Configuração'!$B$56+17-'🌱 Configuração'!$C$56,7)=0),"🐛 MIP — ver aba MIP para aplicação desta semana",IF(AND('🌱 Configuração'!$B$56+17&gt;='🌱 Configuração'!$D$56,MOD('🌱 Configuração'!$B$56+17-'🌱 Configuração'!$D$56,7)=0),"🐛 MIP solo — ver aba MIP (sem foliar em flora)","")))</f>
        <v/>
      </c>
    </row>
    <row r="24" customFormat="false" ht="18" hidden="false" customHeight="true" outlineLevel="0" collapsed="false">
      <c r="B24" s="64" t="n">
        <f aca="false">IF(19&lt;='🌱 Configuração'!$F$55,19,"")</f>
        <v>19</v>
      </c>
      <c r="C24" s="41" t="n">
        <f aca="false">IF(19&lt;='🌱 Configuração'!$F$55,'🌱 Configuração'!$B$56+18,"")</f>
        <v>18</v>
      </c>
      <c r="D24" s="65" t="str">
        <f aca="false">IF(19&gt;'🌱 Configuração'!$F$55,"",IF('🌱 Configuração'!$B$56+18&lt;'🌱 Configuração'!$C$56,"🌱 Clone",IF('🌱 Configuração'!$B$56+18&lt;'🌱 Configuração'!$D$56,"🌿 Vegetativo",IF('🌱 Configuração'!$B$56+18&lt;'🌱 Configuração'!$E$56,"🌸 Floração","🚿 Flush"))))</f>
        <v>🌿 Vegetativo</v>
      </c>
      <c r="E24" s="43" t="str">
        <f aca="false">IF(19&gt;'🌱 Configuração'!$F$55,"",IF('🌱 Configuração'!$B$56+18&lt;'🌱 Configuração'!$C$56,"Clone S"&amp;INT((19-1)/7)+1,IF('🌱 Configuração'!$B$56+18&lt;'🌱 Configuração'!$D$56,"Vega S"&amp;INT(('🌱 Configuração'!$B$56+18-'🌱 Configuração'!$C$56)/7)+1,IF('🌱 Configuração'!$B$56+18&lt;'🌱 Configuração'!$E$56,"Flora S"&amp;INT(('🌱 Configuração'!$B$56+18-'🌱 Configuração'!$D$56)/7)+1,"Flush S"&amp;INT(('🌱 Configuração'!$B$56+18-'🌱 Configuração'!$E$56)/7)+1))))</f>
        <v>Vega S1</v>
      </c>
      <c r="F24" s="42" t="str">
        <f aca="false">IF(19&gt;'🌱 Configuração'!$F$55,"",IF('🌱 Configuração'!$B$56+18='🌱 Configuração'!$C$56,"🌿 INÍCIO VEGA — luz 18h/dia",IF('🌱 Configuração'!$B$56+18='🌱 Configuração'!$D$56,"🌸 INÍCIO FLORAÇÃO — mudar 12/12 🔴",IF('🌱 Configuração'!$B$56+18='🌱 Configuração'!$E$56,"🚿 INÍCIO FLUSH — parar nutrição",IF('🌱 Configuração'!$B$56+18='🌱 Configuração'!$F$56-1,"🔬 Véspera da colheita — analisar tricomas",IF('🌱 Configuração'!$B$56+18='🌱 Configuração'!$F$56,"✂️ COLHEITA — Parabéns! 🎉",""))))))</f>
        <v/>
      </c>
      <c r="G24" s="66" t="str">
        <f aca="false">IF(19&gt;'🌱 Configuração'!$F$55,"",IF(AND('🌱 Configuração'!$B$56+18&gt;='🌱 Configuração'!$C$56,'🌱 Configuração'!$B$56+18&lt;'🌱 Configuração'!$D$56,MOD('🌱 Configuração'!$B$56+18-'🌱 Configuração'!$C$56,7)=0),"🐛 MIP — ver aba MIP para aplicação desta semana",IF(AND('🌱 Configuração'!$B$56+18&gt;='🌱 Configuração'!$D$56,MOD('🌱 Configuração'!$B$56+18-'🌱 Configuração'!$D$56,7)=0),"🐛 MIP solo — ver aba MIP (sem foliar em flora)","")))</f>
        <v/>
      </c>
    </row>
    <row r="25" customFormat="false" ht="18" hidden="false" customHeight="true" outlineLevel="0" collapsed="false">
      <c r="B25" s="67" t="n">
        <f aca="false">IF(20&lt;='🌱 Configuração'!$F$55,20,"")</f>
        <v>20</v>
      </c>
      <c r="C25" s="68" t="n">
        <f aca="false">IF(20&lt;='🌱 Configuração'!$F$55,'🌱 Configuração'!$B$56+19,"")</f>
        <v>19</v>
      </c>
      <c r="D25" s="69" t="str">
        <f aca="false">IF(20&gt;'🌱 Configuração'!$F$55,"",IF('🌱 Configuração'!$B$56+19&lt;'🌱 Configuração'!$C$56,"🌱 Clone",IF('🌱 Configuração'!$B$56+19&lt;'🌱 Configuração'!$D$56,"🌿 Vegetativo",IF('🌱 Configuração'!$B$56+19&lt;'🌱 Configuração'!$E$56,"🌸 Floração","🚿 Flush"))))</f>
        <v>🌿 Vegetativo</v>
      </c>
      <c r="E25" s="70" t="str">
        <f aca="false">IF(20&gt;'🌱 Configuração'!$F$55,"",IF('🌱 Configuração'!$B$56+19&lt;'🌱 Configuração'!$C$56,"Clone S"&amp;INT((20-1)/7)+1,IF('🌱 Configuração'!$B$56+19&lt;'🌱 Configuração'!$D$56,"Vega S"&amp;INT(('🌱 Configuração'!$B$56+19-'🌱 Configuração'!$C$56)/7)+1,IF('🌱 Configuração'!$B$56+19&lt;'🌱 Configuração'!$E$56,"Flora S"&amp;INT(('🌱 Configuração'!$B$56+19-'🌱 Configuração'!$D$56)/7)+1,"Flush S"&amp;INT(('🌱 Configuração'!$B$56+19-'🌱 Configuração'!$E$56)/7)+1))))</f>
        <v>Vega S1</v>
      </c>
      <c r="F25" s="13" t="str">
        <f aca="false">IF(20&gt;'🌱 Configuração'!$F$55,"",IF('🌱 Configuração'!$B$56+19='🌱 Configuração'!$C$56,"🌿 INÍCIO VEGA — luz 18h/dia",IF('🌱 Configuração'!$B$56+19='🌱 Configuração'!$D$56,"🌸 INÍCIO FLORAÇÃO — mudar 12/12 🔴",IF('🌱 Configuração'!$B$56+19='🌱 Configuração'!$E$56,"🚿 INÍCIO FLUSH — parar nutrição",IF('🌱 Configuração'!$B$56+19='🌱 Configuração'!$F$56-1,"🔬 Véspera da colheita — analisar tricomas",IF('🌱 Configuração'!$B$56+19='🌱 Configuração'!$F$56,"✂️ COLHEITA — Parabéns! 🎉",""))))))</f>
        <v/>
      </c>
      <c r="G25" s="71" t="str">
        <f aca="false">IF(20&gt;'🌱 Configuração'!$F$55,"",IF(AND('🌱 Configuração'!$B$56+19&gt;='🌱 Configuração'!$C$56,'🌱 Configuração'!$B$56+19&lt;'🌱 Configuração'!$D$56,MOD('🌱 Configuração'!$B$56+19-'🌱 Configuração'!$C$56,7)=0),"🐛 MIP — ver aba MIP para aplicação desta semana",IF(AND('🌱 Configuração'!$B$56+19&gt;='🌱 Configuração'!$D$56,MOD('🌱 Configuração'!$B$56+19-'🌱 Configuração'!$D$56,7)=0),"🐛 MIP solo — ver aba MIP (sem foliar em flora)","")))</f>
        <v/>
      </c>
    </row>
    <row r="26" customFormat="false" ht="18" hidden="false" customHeight="true" outlineLevel="0" collapsed="false">
      <c r="B26" s="64" t="n">
        <f aca="false">IF(21&lt;='🌱 Configuração'!$F$55,21,"")</f>
        <v>21</v>
      </c>
      <c r="C26" s="41" t="n">
        <f aca="false">IF(21&lt;='🌱 Configuração'!$F$55,'🌱 Configuração'!$B$56+20,"")</f>
        <v>20</v>
      </c>
      <c r="D26" s="65" t="str">
        <f aca="false">IF(21&gt;'🌱 Configuração'!$F$55,"",IF('🌱 Configuração'!$B$56+20&lt;'🌱 Configuração'!$C$56,"🌱 Clone",IF('🌱 Configuração'!$B$56+20&lt;'🌱 Configuração'!$D$56,"🌿 Vegetativo",IF('🌱 Configuração'!$B$56+20&lt;'🌱 Configuração'!$E$56,"🌸 Floração","🚿 Flush"))))</f>
        <v>🌿 Vegetativo</v>
      </c>
      <c r="E26" s="43" t="str">
        <f aca="false">IF(21&gt;'🌱 Configuração'!$F$55,"",IF('🌱 Configuração'!$B$56+20&lt;'🌱 Configuração'!$C$56,"Clone S"&amp;INT((21-1)/7)+1,IF('🌱 Configuração'!$B$56+20&lt;'🌱 Configuração'!$D$56,"Vega S"&amp;INT(('🌱 Configuração'!$B$56+20-'🌱 Configuração'!$C$56)/7)+1,IF('🌱 Configuração'!$B$56+20&lt;'🌱 Configuração'!$E$56,"Flora S"&amp;INT(('🌱 Configuração'!$B$56+20-'🌱 Configuração'!$D$56)/7)+1,"Flush S"&amp;INT(('🌱 Configuração'!$B$56+20-'🌱 Configuração'!$E$56)/7)+1))))</f>
        <v>Vega S1</v>
      </c>
      <c r="F26" s="42" t="str">
        <f aca="false">IF(21&gt;'🌱 Configuração'!$F$55,"",IF('🌱 Configuração'!$B$56+20='🌱 Configuração'!$C$56,"🌿 INÍCIO VEGA — luz 18h/dia",IF('🌱 Configuração'!$B$56+20='🌱 Configuração'!$D$56,"🌸 INÍCIO FLORAÇÃO — mudar 12/12 🔴",IF('🌱 Configuração'!$B$56+20='🌱 Configuração'!$E$56,"🚿 INÍCIO FLUSH — parar nutrição",IF('🌱 Configuração'!$B$56+20='🌱 Configuração'!$F$56-1,"🔬 Véspera da colheita — analisar tricomas",IF('🌱 Configuração'!$B$56+20='🌱 Configuração'!$F$56,"✂️ COLHEITA — Parabéns! 🎉",""))))))</f>
        <v/>
      </c>
      <c r="G26" s="66" t="str">
        <f aca="false">IF(21&gt;'🌱 Configuração'!$F$55,"",IF(AND('🌱 Configuração'!$B$56+20&gt;='🌱 Configuração'!$C$56,'🌱 Configuração'!$B$56+20&lt;'🌱 Configuração'!$D$56,MOD('🌱 Configuração'!$B$56+20-'🌱 Configuração'!$C$56,7)=0),"🐛 MIP — ver aba MIP para aplicação desta semana",IF(AND('🌱 Configuração'!$B$56+20&gt;='🌱 Configuração'!$D$56,MOD('🌱 Configuração'!$B$56+20-'🌱 Configuração'!$D$56,7)=0),"🐛 MIP solo — ver aba MIP (sem foliar em flora)","")))</f>
        <v/>
      </c>
    </row>
    <row r="27" customFormat="false" ht="18" hidden="false" customHeight="true" outlineLevel="0" collapsed="false">
      <c r="B27" s="67" t="n">
        <f aca="false">IF(22&lt;='🌱 Configuração'!$F$55,22,"")</f>
        <v>22</v>
      </c>
      <c r="C27" s="68" t="n">
        <f aca="false">IF(22&lt;='🌱 Configuração'!$F$55,'🌱 Configuração'!$B$56+21,"")</f>
        <v>21</v>
      </c>
      <c r="D27" s="69" t="str">
        <f aca="false">IF(22&gt;'🌱 Configuração'!$F$55,"",IF('🌱 Configuração'!$B$56+21&lt;'🌱 Configuração'!$C$56,"🌱 Clone",IF('🌱 Configuração'!$B$56+21&lt;'🌱 Configuração'!$D$56,"🌿 Vegetativo",IF('🌱 Configuração'!$B$56+21&lt;'🌱 Configuração'!$E$56,"🌸 Floração","🚿 Flush"))))</f>
        <v>🌿 Vegetativo</v>
      </c>
      <c r="E27" s="70" t="str">
        <f aca="false">IF(22&gt;'🌱 Configuração'!$F$55,"",IF('🌱 Configuração'!$B$56+21&lt;'🌱 Configuração'!$C$56,"Clone S"&amp;INT((22-1)/7)+1,IF('🌱 Configuração'!$B$56+21&lt;'🌱 Configuração'!$D$56,"Vega S"&amp;INT(('🌱 Configuração'!$B$56+21-'🌱 Configuração'!$C$56)/7)+1,IF('🌱 Configuração'!$B$56+21&lt;'🌱 Configuração'!$E$56,"Flora S"&amp;INT(('🌱 Configuração'!$B$56+21-'🌱 Configuração'!$D$56)/7)+1,"Flush S"&amp;INT(('🌱 Configuração'!$B$56+21-'🌱 Configuração'!$E$56)/7)+1))))</f>
        <v>Vega S2</v>
      </c>
      <c r="F27" s="13" t="str">
        <f aca="false">IF(22&gt;'🌱 Configuração'!$F$55,"",IF('🌱 Configuração'!$B$56+21='🌱 Configuração'!$C$56,"🌿 INÍCIO VEGA — luz 18h/dia",IF('🌱 Configuração'!$B$56+21='🌱 Configuração'!$D$56,"🌸 INÍCIO FLORAÇÃO — mudar 12/12 🔴",IF('🌱 Configuração'!$B$56+21='🌱 Configuração'!$E$56,"🚿 INÍCIO FLUSH — parar nutrição",IF('🌱 Configuração'!$B$56+21='🌱 Configuração'!$F$56-1,"🔬 Véspera da colheita — analisar tricomas",IF('🌱 Configuração'!$B$56+21='🌱 Configuração'!$F$56,"✂️ COLHEITA — Parabéns! 🎉",""))))))</f>
        <v/>
      </c>
      <c r="G27" s="71" t="str">
        <f aca="false">IF(22&gt;'🌱 Configuração'!$F$55,"",IF(AND('🌱 Configuração'!$B$56+21&gt;='🌱 Configuração'!$C$56,'🌱 Configuração'!$B$56+21&lt;'🌱 Configuração'!$D$56,MOD('🌱 Configuração'!$B$56+21-'🌱 Configuração'!$C$56,7)=0),"🐛 MIP — ver aba MIP para aplicação desta semana",IF(AND('🌱 Configuração'!$B$56+21&gt;='🌱 Configuração'!$D$56,MOD('🌱 Configuração'!$B$56+21-'🌱 Configuração'!$D$56,7)=0),"🐛 MIP solo — ver aba MIP (sem foliar em flora)","")))</f>
        <v>🐛 MIP — ver aba MIP para aplicação desta semana</v>
      </c>
    </row>
    <row r="28" customFormat="false" ht="18" hidden="false" customHeight="true" outlineLevel="0" collapsed="false">
      <c r="B28" s="64" t="n">
        <f aca="false">IF(23&lt;='🌱 Configuração'!$F$55,23,"")</f>
        <v>23</v>
      </c>
      <c r="C28" s="41" t="n">
        <f aca="false">IF(23&lt;='🌱 Configuração'!$F$55,'🌱 Configuração'!$B$56+22,"")</f>
        <v>22</v>
      </c>
      <c r="D28" s="65" t="str">
        <f aca="false">IF(23&gt;'🌱 Configuração'!$F$55,"",IF('🌱 Configuração'!$B$56+22&lt;'🌱 Configuração'!$C$56,"🌱 Clone",IF('🌱 Configuração'!$B$56+22&lt;'🌱 Configuração'!$D$56,"🌿 Vegetativo",IF('🌱 Configuração'!$B$56+22&lt;'🌱 Configuração'!$E$56,"🌸 Floração","🚿 Flush"))))</f>
        <v>🌿 Vegetativo</v>
      </c>
      <c r="E28" s="43" t="str">
        <f aca="false">IF(23&gt;'🌱 Configuração'!$F$55,"",IF('🌱 Configuração'!$B$56+22&lt;'🌱 Configuração'!$C$56,"Clone S"&amp;INT((23-1)/7)+1,IF('🌱 Configuração'!$B$56+22&lt;'🌱 Configuração'!$D$56,"Vega S"&amp;INT(('🌱 Configuração'!$B$56+22-'🌱 Configuração'!$C$56)/7)+1,IF('🌱 Configuração'!$B$56+22&lt;'🌱 Configuração'!$E$56,"Flora S"&amp;INT(('🌱 Configuração'!$B$56+22-'🌱 Configuração'!$D$56)/7)+1,"Flush S"&amp;INT(('🌱 Configuração'!$B$56+22-'🌱 Configuração'!$E$56)/7)+1))))</f>
        <v>Vega S2</v>
      </c>
      <c r="F28" s="42" t="str">
        <f aca="false">IF(23&gt;'🌱 Configuração'!$F$55,"",IF('🌱 Configuração'!$B$56+22='🌱 Configuração'!$C$56,"🌿 INÍCIO VEGA — luz 18h/dia",IF('🌱 Configuração'!$B$56+22='🌱 Configuração'!$D$56,"🌸 INÍCIO FLORAÇÃO — mudar 12/12 🔴",IF('🌱 Configuração'!$B$56+22='🌱 Configuração'!$E$56,"🚿 INÍCIO FLUSH — parar nutrição",IF('🌱 Configuração'!$B$56+22='🌱 Configuração'!$F$56-1,"🔬 Véspera da colheita — analisar tricomas",IF('🌱 Configuração'!$B$56+22='🌱 Configuração'!$F$56,"✂️ COLHEITA — Parabéns! 🎉",""))))))</f>
        <v/>
      </c>
      <c r="G28" s="66" t="str">
        <f aca="false">IF(23&gt;'🌱 Configuração'!$F$55,"",IF(AND('🌱 Configuração'!$B$56+22&gt;='🌱 Configuração'!$C$56,'🌱 Configuração'!$B$56+22&lt;'🌱 Configuração'!$D$56,MOD('🌱 Configuração'!$B$56+22-'🌱 Configuração'!$C$56,7)=0),"🐛 MIP — ver aba MIP para aplicação desta semana",IF(AND('🌱 Configuração'!$B$56+22&gt;='🌱 Configuração'!$D$56,MOD('🌱 Configuração'!$B$56+22-'🌱 Configuração'!$D$56,7)=0),"🐛 MIP solo — ver aba MIP (sem foliar em flora)","")))</f>
        <v/>
      </c>
    </row>
    <row r="29" customFormat="false" ht="18" hidden="false" customHeight="true" outlineLevel="0" collapsed="false">
      <c r="B29" s="67" t="n">
        <f aca="false">IF(24&lt;='🌱 Configuração'!$F$55,24,"")</f>
        <v>24</v>
      </c>
      <c r="C29" s="68" t="n">
        <f aca="false">IF(24&lt;='🌱 Configuração'!$F$55,'🌱 Configuração'!$B$56+23,"")</f>
        <v>23</v>
      </c>
      <c r="D29" s="69" t="str">
        <f aca="false">IF(24&gt;'🌱 Configuração'!$F$55,"",IF('🌱 Configuração'!$B$56+23&lt;'🌱 Configuração'!$C$56,"🌱 Clone",IF('🌱 Configuração'!$B$56+23&lt;'🌱 Configuração'!$D$56,"🌿 Vegetativo",IF('🌱 Configuração'!$B$56+23&lt;'🌱 Configuração'!$E$56,"🌸 Floração","🚿 Flush"))))</f>
        <v>🌿 Vegetativo</v>
      </c>
      <c r="E29" s="70" t="str">
        <f aca="false">IF(24&gt;'🌱 Configuração'!$F$55,"",IF('🌱 Configuração'!$B$56+23&lt;'🌱 Configuração'!$C$56,"Clone S"&amp;INT((24-1)/7)+1,IF('🌱 Configuração'!$B$56+23&lt;'🌱 Configuração'!$D$56,"Vega S"&amp;INT(('🌱 Configuração'!$B$56+23-'🌱 Configuração'!$C$56)/7)+1,IF('🌱 Configuração'!$B$56+23&lt;'🌱 Configuração'!$E$56,"Flora S"&amp;INT(('🌱 Configuração'!$B$56+23-'🌱 Configuração'!$D$56)/7)+1,"Flush S"&amp;INT(('🌱 Configuração'!$B$56+23-'🌱 Configuração'!$E$56)/7)+1))))</f>
        <v>Vega S2</v>
      </c>
      <c r="F29" s="13" t="str">
        <f aca="false">IF(24&gt;'🌱 Configuração'!$F$55,"",IF('🌱 Configuração'!$B$56+23='🌱 Configuração'!$C$56,"🌿 INÍCIO VEGA — luz 18h/dia",IF('🌱 Configuração'!$B$56+23='🌱 Configuração'!$D$56,"🌸 INÍCIO FLORAÇÃO — mudar 12/12 🔴",IF('🌱 Configuração'!$B$56+23='🌱 Configuração'!$E$56,"🚿 INÍCIO FLUSH — parar nutrição",IF('🌱 Configuração'!$B$56+23='🌱 Configuração'!$F$56-1,"🔬 Véspera da colheita — analisar tricomas",IF('🌱 Configuração'!$B$56+23='🌱 Configuração'!$F$56,"✂️ COLHEITA — Parabéns! 🎉",""))))))</f>
        <v/>
      </c>
      <c r="G29" s="71" t="str">
        <f aca="false">IF(24&gt;'🌱 Configuração'!$F$55,"",IF(AND('🌱 Configuração'!$B$56+23&gt;='🌱 Configuração'!$C$56,'🌱 Configuração'!$B$56+23&lt;'🌱 Configuração'!$D$56,MOD('🌱 Configuração'!$B$56+23-'🌱 Configuração'!$C$56,7)=0),"🐛 MIP — ver aba MIP para aplicação desta semana",IF(AND('🌱 Configuração'!$B$56+23&gt;='🌱 Configuração'!$D$56,MOD('🌱 Configuração'!$B$56+23-'🌱 Configuração'!$D$56,7)=0),"🐛 MIP solo — ver aba MIP (sem foliar em flora)","")))</f>
        <v/>
      </c>
    </row>
    <row r="30" customFormat="false" ht="18" hidden="false" customHeight="true" outlineLevel="0" collapsed="false">
      <c r="B30" s="64" t="n">
        <f aca="false">IF(25&lt;='🌱 Configuração'!$F$55,25,"")</f>
        <v>25</v>
      </c>
      <c r="C30" s="41" t="n">
        <f aca="false">IF(25&lt;='🌱 Configuração'!$F$55,'🌱 Configuração'!$B$56+24,"")</f>
        <v>24</v>
      </c>
      <c r="D30" s="65" t="str">
        <f aca="false">IF(25&gt;'🌱 Configuração'!$F$55,"",IF('🌱 Configuração'!$B$56+24&lt;'🌱 Configuração'!$C$56,"🌱 Clone",IF('🌱 Configuração'!$B$56+24&lt;'🌱 Configuração'!$D$56,"🌿 Vegetativo",IF('🌱 Configuração'!$B$56+24&lt;'🌱 Configuração'!$E$56,"🌸 Floração","🚿 Flush"))))</f>
        <v>🌿 Vegetativo</v>
      </c>
      <c r="E30" s="43" t="str">
        <f aca="false">IF(25&gt;'🌱 Configuração'!$F$55,"",IF('🌱 Configuração'!$B$56+24&lt;'🌱 Configuração'!$C$56,"Clone S"&amp;INT((25-1)/7)+1,IF('🌱 Configuração'!$B$56+24&lt;'🌱 Configuração'!$D$56,"Vega S"&amp;INT(('🌱 Configuração'!$B$56+24-'🌱 Configuração'!$C$56)/7)+1,IF('🌱 Configuração'!$B$56+24&lt;'🌱 Configuração'!$E$56,"Flora S"&amp;INT(('🌱 Configuração'!$B$56+24-'🌱 Configuração'!$D$56)/7)+1,"Flush S"&amp;INT(('🌱 Configuração'!$B$56+24-'🌱 Configuração'!$E$56)/7)+1))))</f>
        <v>Vega S2</v>
      </c>
      <c r="F30" s="42" t="str">
        <f aca="false">IF(25&gt;'🌱 Configuração'!$F$55,"",IF('🌱 Configuração'!$B$56+24='🌱 Configuração'!$C$56,"🌿 INÍCIO VEGA — luz 18h/dia",IF('🌱 Configuração'!$B$56+24='🌱 Configuração'!$D$56,"🌸 INÍCIO FLORAÇÃO — mudar 12/12 🔴",IF('🌱 Configuração'!$B$56+24='🌱 Configuração'!$E$56,"🚿 INÍCIO FLUSH — parar nutrição",IF('🌱 Configuração'!$B$56+24='🌱 Configuração'!$F$56-1,"🔬 Véspera da colheita — analisar tricomas",IF('🌱 Configuração'!$B$56+24='🌱 Configuração'!$F$56,"✂️ COLHEITA — Parabéns! 🎉",""))))))</f>
        <v/>
      </c>
      <c r="G30" s="66" t="str">
        <f aca="false">IF(25&gt;'🌱 Configuração'!$F$55,"",IF(AND('🌱 Configuração'!$B$56+24&gt;='🌱 Configuração'!$C$56,'🌱 Configuração'!$B$56+24&lt;'🌱 Configuração'!$D$56,MOD('🌱 Configuração'!$B$56+24-'🌱 Configuração'!$C$56,7)=0),"🐛 MIP — ver aba MIP para aplicação desta semana",IF(AND('🌱 Configuração'!$B$56+24&gt;='🌱 Configuração'!$D$56,MOD('🌱 Configuração'!$B$56+24-'🌱 Configuração'!$D$56,7)=0),"🐛 MIP solo — ver aba MIP (sem foliar em flora)","")))</f>
        <v/>
      </c>
    </row>
    <row r="31" customFormat="false" ht="18" hidden="false" customHeight="true" outlineLevel="0" collapsed="false">
      <c r="B31" s="67" t="n">
        <f aca="false">IF(26&lt;='🌱 Configuração'!$F$55,26,"")</f>
        <v>26</v>
      </c>
      <c r="C31" s="68" t="n">
        <f aca="false">IF(26&lt;='🌱 Configuração'!$F$55,'🌱 Configuração'!$B$56+25,"")</f>
        <v>25</v>
      </c>
      <c r="D31" s="69" t="str">
        <f aca="false">IF(26&gt;'🌱 Configuração'!$F$55,"",IF('🌱 Configuração'!$B$56+25&lt;'🌱 Configuração'!$C$56,"🌱 Clone",IF('🌱 Configuração'!$B$56+25&lt;'🌱 Configuração'!$D$56,"🌿 Vegetativo",IF('🌱 Configuração'!$B$56+25&lt;'🌱 Configuração'!$E$56,"🌸 Floração","🚿 Flush"))))</f>
        <v>🌿 Vegetativo</v>
      </c>
      <c r="E31" s="70" t="str">
        <f aca="false">IF(26&gt;'🌱 Configuração'!$F$55,"",IF('🌱 Configuração'!$B$56+25&lt;'🌱 Configuração'!$C$56,"Clone S"&amp;INT((26-1)/7)+1,IF('🌱 Configuração'!$B$56+25&lt;'🌱 Configuração'!$D$56,"Vega S"&amp;INT(('🌱 Configuração'!$B$56+25-'🌱 Configuração'!$C$56)/7)+1,IF('🌱 Configuração'!$B$56+25&lt;'🌱 Configuração'!$E$56,"Flora S"&amp;INT(('🌱 Configuração'!$B$56+25-'🌱 Configuração'!$D$56)/7)+1,"Flush S"&amp;INT(('🌱 Configuração'!$B$56+25-'🌱 Configuração'!$E$56)/7)+1))))</f>
        <v>Vega S2</v>
      </c>
      <c r="F31" s="13" t="str">
        <f aca="false">IF(26&gt;'🌱 Configuração'!$F$55,"",IF('🌱 Configuração'!$B$56+25='🌱 Configuração'!$C$56,"🌿 INÍCIO VEGA — luz 18h/dia",IF('🌱 Configuração'!$B$56+25='🌱 Configuração'!$D$56,"🌸 INÍCIO FLORAÇÃO — mudar 12/12 🔴",IF('🌱 Configuração'!$B$56+25='🌱 Configuração'!$E$56,"🚿 INÍCIO FLUSH — parar nutrição",IF('🌱 Configuração'!$B$56+25='🌱 Configuração'!$F$56-1,"🔬 Véspera da colheita — analisar tricomas",IF('🌱 Configuração'!$B$56+25='🌱 Configuração'!$F$56,"✂️ COLHEITA — Parabéns! 🎉",""))))))</f>
        <v/>
      </c>
      <c r="G31" s="71" t="str">
        <f aca="false">IF(26&gt;'🌱 Configuração'!$F$55,"",IF(AND('🌱 Configuração'!$B$56+25&gt;='🌱 Configuração'!$C$56,'🌱 Configuração'!$B$56+25&lt;'🌱 Configuração'!$D$56,MOD('🌱 Configuração'!$B$56+25-'🌱 Configuração'!$C$56,7)=0),"🐛 MIP — ver aba MIP para aplicação desta semana",IF(AND('🌱 Configuração'!$B$56+25&gt;='🌱 Configuração'!$D$56,MOD('🌱 Configuração'!$B$56+25-'🌱 Configuração'!$D$56,7)=0),"🐛 MIP solo — ver aba MIP (sem foliar em flora)","")))</f>
        <v/>
      </c>
    </row>
    <row r="32" customFormat="false" ht="18" hidden="false" customHeight="true" outlineLevel="0" collapsed="false">
      <c r="B32" s="64" t="n">
        <f aca="false">IF(27&lt;='🌱 Configuração'!$F$55,27,"")</f>
        <v>27</v>
      </c>
      <c r="C32" s="41" t="n">
        <f aca="false">IF(27&lt;='🌱 Configuração'!$F$55,'🌱 Configuração'!$B$56+26,"")</f>
        <v>26</v>
      </c>
      <c r="D32" s="65" t="str">
        <f aca="false">IF(27&gt;'🌱 Configuração'!$F$55,"",IF('🌱 Configuração'!$B$56+26&lt;'🌱 Configuração'!$C$56,"🌱 Clone",IF('🌱 Configuração'!$B$56+26&lt;'🌱 Configuração'!$D$56,"🌿 Vegetativo",IF('🌱 Configuração'!$B$56+26&lt;'🌱 Configuração'!$E$56,"🌸 Floração","🚿 Flush"))))</f>
        <v>🌿 Vegetativo</v>
      </c>
      <c r="E32" s="43" t="str">
        <f aca="false">IF(27&gt;'🌱 Configuração'!$F$55,"",IF('🌱 Configuração'!$B$56+26&lt;'🌱 Configuração'!$C$56,"Clone S"&amp;INT((27-1)/7)+1,IF('🌱 Configuração'!$B$56+26&lt;'🌱 Configuração'!$D$56,"Vega S"&amp;INT(('🌱 Configuração'!$B$56+26-'🌱 Configuração'!$C$56)/7)+1,IF('🌱 Configuração'!$B$56+26&lt;'🌱 Configuração'!$E$56,"Flora S"&amp;INT(('🌱 Configuração'!$B$56+26-'🌱 Configuração'!$D$56)/7)+1,"Flush S"&amp;INT(('🌱 Configuração'!$B$56+26-'🌱 Configuração'!$E$56)/7)+1))))</f>
        <v>Vega S2</v>
      </c>
      <c r="F32" s="42" t="str">
        <f aca="false">IF(27&gt;'🌱 Configuração'!$F$55,"",IF('🌱 Configuração'!$B$56+26='🌱 Configuração'!$C$56,"🌿 INÍCIO VEGA — luz 18h/dia",IF('🌱 Configuração'!$B$56+26='🌱 Configuração'!$D$56,"🌸 INÍCIO FLORAÇÃO — mudar 12/12 🔴",IF('🌱 Configuração'!$B$56+26='🌱 Configuração'!$E$56,"🚿 INÍCIO FLUSH — parar nutrição",IF('🌱 Configuração'!$B$56+26='🌱 Configuração'!$F$56-1,"🔬 Véspera da colheita — analisar tricomas",IF('🌱 Configuração'!$B$56+26='🌱 Configuração'!$F$56,"✂️ COLHEITA — Parabéns! 🎉",""))))))</f>
        <v/>
      </c>
      <c r="G32" s="66" t="str">
        <f aca="false">IF(27&gt;'🌱 Configuração'!$F$55,"",IF(AND('🌱 Configuração'!$B$56+26&gt;='🌱 Configuração'!$C$56,'🌱 Configuração'!$B$56+26&lt;'🌱 Configuração'!$D$56,MOD('🌱 Configuração'!$B$56+26-'🌱 Configuração'!$C$56,7)=0),"🐛 MIP — ver aba MIP para aplicação desta semana",IF(AND('🌱 Configuração'!$B$56+26&gt;='🌱 Configuração'!$D$56,MOD('🌱 Configuração'!$B$56+26-'🌱 Configuração'!$D$56,7)=0),"🐛 MIP solo — ver aba MIP (sem foliar em flora)","")))</f>
        <v/>
      </c>
    </row>
    <row r="33" customFormat="false" ht="18" hidden="false" customHeight="true" outlineLevel="0" collapsed="false">
      <c r="B33" s="67" t="n">
        <f aca="false">IF(28&lt;='🌱 Configuração'!$F$55,28,"")</f>
        <v>28</v>
      </c>
      <c r="C33" s="68" t="n">
        <f aca="false">IF(28&lt;='🌱 Configuração'!$F$55,'🌱 Configuração'!$B$56+27,"")</f>
        <v>27</v>
      </c>
      <c r="D33" s="69" t="str">
        <f aca="false">IF(28&gt;'🌱 Configuração'!$F$55,"",IF('🌱 Configuração'!$B$56+27&lt;'🌱 Configuração'!$C$56,"🌱 Clone",IF('🌱 Configuração'!$B$56+27&lt;'🌱 Configuração'!$D$56,"🌿 Vegetativo",IF('🌱 Configuração'!$B$56+27&lt;'🌱 Configuração'!$E$56,"🌸 Floração","🚿 Flush"))))</f>
        <v>🌿 Vegetativo</v>
      </c>
      <c r="E33" s="70" t="str">
        <f aca="false">IF(28&gt;'🌱 Configuração'!$F$55,"",IF('🌱 Configuração'!$B$56+27&lt;'🌱 Configuração'!$C$56,"Clone S"&amp;INT((28-1)/7)+1,IF('🌱 Configuração'!$B$56+27&lt;'🌱 Configuração'!$D$56,"Vega S"&amp;INT(('🌱 Configuração'!$B$56+27-'🌱 Configuração'!$C$56)/7)+1,IF('🌱 Configuração'!$B$56+27&lt;'🌱 Configuração'!$E$56,"Flora S"&amp;INT(('🌱 Configuração'!$B$56+27-'🌱 Configuração'!$D$56)/7)+1,"Flush S"&amp;INT(('🌱 Configuração'!$B$56+27-'🌱 Configuração'!$E$56)/7)+1))))</f>
        <v>Vega S2</v>
      </c>
      <c r="F33" s="13" t="str">
        <f aca="false">IF(28&gt;'🌱 Configuração'!$F$55,"",IF('🌱 Configuração'!$B$56+27='🌱 Configuração'!$C$56,"🌿 INÍCIO VEGA — luz 18h/dia",IF('🌱 Configuração'!$B$56+27='🌱 Configuração'!$D$56,"🌸 INÍCIO FLORAÇÃO — mudar 12/12 🔴",IF('🌱 Configuração'!$B$56+27='🌱 Configuração'!$E$56,"🚿 INÍCIO FLUSH — parar nutrição",IF('🌱 Configuração'!$B$56+27='🌱 Configuração'!$F$56-1,"🔬 Véspera da colheita — analisar tricomas",IF('🌱 Configuração'!$B$56+27='🌱 Configuração'!$F$56,"✂️ COLHEITA — Parabéns! 🎉",""))))))</f>
        <v/>
      </c>
      <c r="G33" s="71" t="str">
        <f aca="false">IF(28&gt;'🌱 Configuração'!$F$55,"",IF(AND('🌱 Configuração'!$B$56+27&gt;='🌱 Configuração'!$C$56,'🌱 Configuração'!$B$56+27&lt;'🌱 Configuração'!$D$56,MOD('🌱 Configuração'!$B$56+27-'🌱 Configuração'!$C$56,7)=0),"🐛 MIP — ver aba MIP para aplicação desta semana",IF(AND('🌱 Configuração'!$B$56+27&gt;='🌱 Configuração'!$D$56,MOD('🌱 Configuração'!$B$56+27-'🌱 Configuração'!$D$56,7)=0),"🐛 MIP solo — ver aba MIP (sem foliar em flora)","")))</f>
        <v/>
      </c>
    </row>
    <row r="34" customFormat="false" ht="18" hidden="false" customHeight="true" outlineLevel="0" collapsed="false">
      <c r="B34" s="64" t="n">
        <f aca="false">IF(29&lt;='🌱 Configuração'!$F$55,29,"")</f>
        <v>29</v>
      </c>
      <c r="C34" s="41" t="n">
        <f aca="false">IF(29&lt;='🌱 Configuração'!$F$55,'🌱 Configuração'!$B$56+28,"")</f>
        <v>28</v>
      </c>
      <c r="D34" s="65" t="str">
        <f aca="false">IF(29&gt;'🌱 Configuração'!$F$55,"",IF('🌱 Configuração'!$B$56+28&lt;'🌱 Configuração'!$C$56,"🌱 Clone",IF('🌱 Configuração'!$B$56+28&lt;'🌱 Configuração'!$D$56,"🌿 Vegetativo",IF('🌱 Configuração'!$B$56+28&lt;'🌱 Configuração'!$E$56,"🌸 Floração","🚿 Flush"))))</f>
        <v>🌿 Vegetativo</v>
      </c>
      <c r="E34" s="43" t="str">
        <f aca="false">IF(29&gt;'🌱 Configuração'!$F$55,"",IF('🌱 Configuração'!$B$56+28&lt;'🌱 Configuração'!$C$56,"Clone S"&amp;INT((29-1)/7)+1,IF('🌱 Configuração'!$B$56+28&lt;'🌱 Configuração'!$D$56,"Vega S"&amp;INT(('🌱 Configuração'!$B$56+28-'🌱 Configuração'!$C$56)/7)+1,IF('🌱 Configuração'!$B$56+28&lt;'🌱 Configuração'!$E$56,"Flora S"&amp;INT(('🌱 Configuração'!$B$56+28-'🌱 Configuração'!$D$56)/7)+1,"Flush S"&amp;INT(('🌱 Configuração'!$B$56+28-'🌱 Configuração'!$E$56)/7)+1))))</f>
        <v>Vega S3</v>
      </c>
      <c r="F34" s="42" t="str">
        <f aca="false">IF(29&gt;'🌱 Configuração'!$F$55,"",IF('🌱 Configuração'!$B$56+28='🌱 Configuração'!$C$56,"🌿 INÍCIO VEGA — luz 18h/dia",IF('🌱 Configuração'!$B$56+28='🌱 Configuração'!$D$56,"🌸 INÍCIO FLORAÇÃO — mudar 12/12 🔴",IF('🌱 Configuração'!$B$56+28='🌱 Configuração'!$E$56,"🚿 INÍCIO FLUSH — parar nutrição",IF('🌱 Configuração'!$B$56+28='🌱 Configuração'!$F$56-1,"🔬 Véspera da colheita — analisar tricomas",IF('🌱 Configuração'!$B$56+28='🌱 Configuração'!$F$56,"✂️ COLHEITA — Parabéns! 🎉",""))))))</f>
        <v/>
      </c>
      <c r="G34" s="66" t="str">
        <f aca="false">IF(29&gt;'🌱 Configuração'!$F$55,"",IF(AND('🌱 Configuração'!$B$56+28&gt;='🌱 Configuração'!$C$56,'🌱 Configuração'!$B$56+28&lt;'🌱 Configuração'!$D$56,MOD('🌱 Configuração'!$B$56+28-'🌱 Configuração'!$C$56,7)=0),"🐛 MIP — ver aba MIP para aplicação desta semana",IF(AND('🌱 Configuração'!$B$56+28&gt;='🌱 Configuração'!$D$56,MOD('🌱 Configuração'!$B$56+28-'🌱 Configuração'!$D$56,7)=0),"🐛 MIP solo — ver aba MIP (sem foliar em flora)","")))</f>
        <v>🐛 MIP — ver aba MIP para aplicação desta semana</v>
      </c>
    </row>
    <row r="35" customFormat="false" ht="18" hidden="false" customHeight="true" outlineLevel="0" collapsed="false">
      <c r="B35" s="67" t="n">
        <f aca="false">IF(30&lt;='🌱 Configuração'!$F$55,30,"")</f>
        <v>30</v>
      </c>
      <c r="C35" s="68" t="n">
        <f aca="false">IF(30&lt;='🌱 Configuração'!$F$55,'🌱 Configuração'!$B$56+29,"")</f>
        <v>29</v>
      </c>
      <c r="D35" s="69" t="str">
        <f aca="false">IF(30&gt;'🌱 Configuração'!$F$55,"",IF('🌱 Configuração'!$B$56+29&lt;'🌱 Configuração'!$C$56,"🌱 Clone",IF('🌱 Configuração'!$B$56+29&lt;'🌱 Configuração'!$D$56,"🌿 Vegetativo",IF('🌱 Configuração'!$B$56+29&lt;'🌱 Configuração'!$E$56,"🌸 Floração","🚿 Flush"))))</f>
        <v>🌿 Vegetativo</v>
      </c>
      <c r="E35" s="70" t="str">
        <f aca="false">IF(30&gt;'🌱 Configuração'!$F$55,"",IF('🌱 Configuração'!$B$56+29&lt;'🌱 Configuração'!$C$56,"Clone S"&amp;INT((30-1)/7)+1,IF('🌱 Configuração'!$B$56+29&lt;'🌱 Configuração'!$D$56,"Vega S"&amp;INT(('🌱 Configuração'!$B$56+29-'🌱 Configuração'!$C$56)/7)+1,IF('🌱 Configuração'!$B$56+29&lt;'🌱 Configuração'!$E$56,"Flora S"&amp;INT(('🌱 Configuração'!$B$56+29-'🌱 Configuração'!$D$56)/7)+1,"Flush S"&amp;INT(('🌱 Configuração'!$B$56+29-'🌱 Configuração'!$E$56)/7)+1))))</f>
        <v>Vega S3</v>
      </c>
      <c r="F35" s="13" t="str">
        <f aca="false">IF(30&gt;'🌱 Configuração'!$F$55,"",IF('🌱 Configuração'!$B$56+29='🌱 Configuração'!$C$56,"🌿 INÍCIO VEGA — luz 18h/dia",IF('🌱 Configuração'!$B$56+29='🌱 Configuração'!$D$56,"🌸 INÍCIO FLORAÇÃO — mudar 12/12 🔴",IF('🌱 Configuração'!$B$56+29='🌱 Configuração'!$E$56,"🚿 INÍCIO FLUSH — parar nutrição",IF('🌱 Configuração'!$B$56+29='🌱 Configuração'!$F$56-1,"🔬 Véspera da colheita — analisar tricomas",IF('🌱 Configuração'!$B$56+29='🌱 Configuração'!$F$56,"✂️ COLHEITA — Parabéns! 🎉",""))))))</f>
        <v/>
      </c>
      <c r="G35" s="71" t="str">
        <f aca="false">IF(30&gt;'🌱 Configuração'!$F$55,"",IF(AND('🌱 Configuração'!$B$56+29&gt;='🌱 Configuração'!$C$56,'🌱 Configuração'!$B$56+29&lt;'🌱 Configuração'!$D$56,MOD('🌱 Configuração'!$B$56+29-'🌱 Configuração'!$C$56,7)=0),"🐛 MIP — ver aba MIP para aplicação desta semana",IF(AND('🌱 Configuração'!$B$56+29&gt;='🌱 Configuração'!$D$56,MOD('🌱 Configuração'!$B$56+29-'🌱 Configuração'!$D$56,7)=0),"🐛 MIP solo — ver aba MIP (sem foliar em flora)","")))</f>
        <v/>
      </c>
    </row>
    <row r="36" customFormat="false" ht="18" hidden="false" customHeight="true" outlineLevel="0" collapsed="false">
      <c r="B36" s="64" t="n">
        <f aca="false">IF(31&lt;='🌱 Configuração'!$F$55,31,"")</f>
        <v>31</v>
      </c>
      <c r="C36" s="41" t="n">
        <f aca="false">IF(31&lt;='🌱 Configuração'!$F$55,'🌱 Configuração'!$B$56+30,"")</f>
        <v>30</v>
      </c>
      <c r="D36" s="65" t="str">
        <f aca="false">IF(31&gt;'🌱 Configuração'!$F$55,"",IF('🌱 Configuração'!$B$56+30&lt;'🌱 Configuração'!$C$56,"🌱 Clone",IF('🌱 Configuração'!$B$56+30&lt;'🌱 Configuração'!$D$56,"🌿 Vegetativo",IF('🌱 Configuração'!$B$56+30&lt;'🌱 Configuração'!$E$56,"🌸 Floração","🚿 Flush"))))</f>
        <v>🌿 Vegetativo</v>
      </c>
      <c r="E36" s="43" t="str">
        <f aca="false">IF(31&gt;'🌱 Configuração'!$F$55,"",IF('🌱 Configuração'!$B$56+30&lt;'🌱 Configuração'!$C$56,"Clone S"&amp;INT((31-1)/7)+1,IF('🌱 Configuração'!$B$56+30&lt;'🌱 Configuração'!$D$56,"Vega S"&amp;INT(('🌱 Configuração'!$B$56+30-'🌱 Configuração'!$C$56)/7)+1,IF('🌱 Configuração'!$B$56+30&lt;'🌱 Configuração'!$E$56,"Flora S"&amp;INT(('🌱 Configuração'!$B$56+30-'🌱 Configuração'!$D$56)/7)+1,"Flush S"&amp;INT(('🌱 Configuração'!$B$56+30-'🌱 Configuração'!$E$56)/7)+1))))</f>
        <v>Vega S3</v>
      </c>
      <c r="F36" s="42" t="str">
        <f aca="false">IF(31&gt;'🌱 Configuração'!$F$55,"",IF('🌱 Configuração'!$B$56+30='🌱 Configuração'!$C$56,"🌿 INÍCIO VEGA — luz 18h/dia",IF('🌱 Configuração'!$B$56+30='🌱 Configuração'!$D$56,"🌸 INÍCIO FLORAÇÃO — mudar 12/12 🔴",IF('🌱 Configuração'!$B$56+30='🌱 Configuração'!$E$56,"🚿 INÍCIO FLUSH — parar nutrição",IF('🌱 Configuração'!$B$56+30='🌱 Configuração'!$F$56-1,"🔬 Véspera da colheita — analisar tricomas",IF('🌱 Configuração'!$B$56+30='🌱 Configuração'!$F$56,"✂️ COLHEITA — Parabéns! 🎉",""))))))</f>
        <v/>
      </c>
      <c r="G36" s="66" t="str">
        <f aca="false">IF(31&gt;'🌱 Configuração'!$F$55,"",IF(AND('🌱 Configuração'!$B$56+30&gt;='🌱 Configuração'!$C$56,'🌱 Configuração'!$B$56+30&lt;'🌱 Configuração'!$D$56,MOD('🌱 Configuração'!$B$56+30-'🌱 Configuração'!$C$56,7)=0),"🐛 MIP — ver aba MIP para aplicação desta semana",IF(AND('🌱 Configuração'!$B$56+30&gt;='🌱 Configuração'!$D$56,MOD('🌱 Configuração'!$B$56+30-'🌱 Configuração'!$D$56,7)=0),"🐛 MIP solo — ver aba MIP (sem foliar em flora)","")))</f>
        <v/>
      </c>
    </row>
    <row r="37" customFormat="false" ht="18" hidden="false" customHeight="true" outlineLevel="0" collapsed="false">
      <c r="B37" s="67" t="n">
        <f aca="false">IF(32&lt;='🌱 Configuração'!$F$55,32,"")</f>
        <v>32</v>
      </c>
      <c r="C37" s="68" t="n">
        <f aca="false">IF(32&lt;='🌱 Configuração'!$F$55,'🌱 Configuração'!$B$56+31,"")</f>
        <v>31</v>
      </c>
      <c r="D37" s="69" t="str">
        <f aca="false">IF(32&gt;'🌱 Configuração'!$F$55,"",IF('🌱 Configuração'!$B$56+31&lt;'🌱 Configuração'!$C$56,"🌱 Clone",IF('🌱 Configuração'!$B$56+31&lt;'🌱 Configuração'!$D$56,"🌿 Vegetativo",IF('🌱 Configuração'!$B$56+31&lt;'🌱 Configuração'!$E$56,"🌸 Floração","🚿 Flush"))))</f>
        <v>🌿 Vegetativo</v>
      </c>
      <c r="E37" s="70" t="str">
        <f aca="false">IF(32&gt;'🌱 Configuração'!$F$55,"",IF('🌱 Configuração'!$B$56+31&lt;'🌱 Configuração'!$C$56,"Clone S"&amp;INT((32-1)/7)+1,IF('🌱 Configuração'!$B$56+31&lt;'🌱 Configuração'!$D$56,"Vega S"&amp;INT(('🌱 Configuração'!$B$56+31-'🌱 Configuração'!$C$56)/7)+1,IF('🌱 Configuração'!$B$56+31&lt;'🌱 Configuração'!$E$56,"Flora S"&amp;INT(('🌱 Configuração'!$B$56+31-'🌱 Configuração'!$D$56)/7)+1,"Flush S"&amp;INT(('🌱 Configuração'!$B$56+31-'🌱 Configuração'!$E$56)/7)+1))))</f>
        <v>Vega S3</v>
      </c>
      <c r="F37" s="13" t="str">
        <f aca="false">IF(32&gt;'🌱 Configuração'!$F$55,"",IF('🌱 Configuração'!$B$56+31='🌱 Configuração'!$C$56,"🌿 INÍCIO VEGA — luz 18h/dia",IF('🌱 Configuração'!$B$56+31='🌱 Configuração'!$D$56,"🌸 INÍCIO FLORAÇÃO — mudar 12/12 🔴",IF('🌱 Configuração'!$B$56+31='🌱 Configuração'!$E$56,"🚿 INÍCIO FLUSH — parar nutrição",IF('🌱 Configuração'!$B$56+31='🌱 Configuração'!$F$56-1,"🔬 Véspera da colheita — analisar tricomas",IF('🌱 Configuração'!$B$56+31='🌱 Configuração'!$F$56,"✂️ COLHEITA — Parabéns! 🎉",""))))))</f>
        <v/>
      </c>
      <c r="G37" s="71" t="str">
        <f aca="false">IF(32&gt;'🌱 Configuração'!$F$55,"",IF(AND('🌱 Configuração'!$B$56+31&gt;='🌱 Configuração'!$C$56,'🌱 Configuração'!$B$56+31&lt;'🌱 Configuração'!$D$56,MOD('🌱 Configuração'!$B$56+31-'🌱 Configuração'!$C$56,7)=0),"🐛 MIP — ver aba MIP para aplicação desta semana",IF(AND('🌱 Configuração'!$B$56+31&gt;='🌱 Configuração'!$D$56,MOD('🌱 Configuração'!$B$56+31-'🌱 Configuração'!$D$56,7)=0),"🐛 MIP solo — ver aba MIP (sem foliar em flora)","")))</f>
        <v/>
      </c>
    </row>
    <row r="38" customFormat="false" ht="18" hidden="false" customHeight="true" outlineLevel="0" collapsed="false">
      <c r="B38" s="64" t="n">
        <f aca="false">IF(33&lt;='🌱 Configuração'!$F$55,33,"")</f>
        <v>33</v>
      </c>
      <c r="C38" s="41" t="n">
        <f aca="false">IF(33&lt;='🌱 Configuração'!$F$55,'🌱 Configuração'!$B$56+32,"")</f>
        <v>32</v>
      </c>
      <c r="D38" s="65" t="str">
        <f aca="false">IF(33&gt;'🌱 Configuração'!$F$55,"",IF('🌱 Configuração'!$B$56+32&lt;'🌱 Configuração'!$C$56,"🌱 Clone",IF('🌱 Configuração'!$B$56+32&lt;'🌱 Configuração'!$D$56,"🌿 Vegetativo",IF('🌱 Configuração'!$B$56+32&lt;'🌱 Configuração'!$E$56,"🌸 Floração","🚿 Flush"))))</f>
        <v>🌿 Vegetativo</v>
      </c>
      <c r="E38" s="43" t="str">
        <f aca="false">IF(33&gt;'🌱 Configuração'!$F$55,"",IF('🌱 Configuração'!$B$56+32&lt;'🌱 Configuração'!$C$56,"Clone S"&amp;INT((33-1)/7)+1,IF('🌱 Configuração'!$B$56+32&lt;'🌱 Configuração'!$D$56,"Vega S"&amp;INT(('🌱 Configuração'!$B$56+32-'🌱 Configuração'!$C$56)/7)+1,IF('🌱 Configuração'!$B$56+32&lt;'🌱 Configuração'!$E$56,"Flora S"&amp;INT(('🌱 Configuração'!$B$56+32-'🌱 Configuração'!$D$56)/7)+1,"Flush S"&amp;INT(('🌱 Configuração'!$B$56+32-'🌱 Configuração'!$E$56)/7)+1))))</f>
        <v>Vega S3</v>
      </c>
      <c r="F38" s="42" t="str">
        <f aca="false">IF(33&gt;'🌱 Configuração'!$F$55,"",IF('🌱 Configuração'!$B$56+32='🌱 Configuração'!$C$56,"🌿 INÍCIO VEGA — luz 18h/dia",IF('🌱 Configuração'!$B$56+32='🌱 Configuração'!$D$56,"🌸 INÍCIO FLORAÇÃO — mudar 12/12 🔴",IF('🌱 Configuração'!$B$56+32='🌱 Configuração'!$E$56,"🚿 INÍCIO FLUSH — parar nutrição",IF('🌱 Configuração'!$B$56+32='🌱 Configuração'!$F$56-1,"🔬 Véspera da colheita — analisar tricomas",IF('🌱 Configuração'!$B$56+32='🌱 Configuração'!$F$56,"✂️ COLHEITA — Parabéns! 🎉",""))))))</f>
        <v/>
      </c>
      <c r="G38" s="66" t="str">
        <f aca="false">IF(33&gt;'🌱 Configuração'!$F$55,"",IF(AND('🌱 Configuração'!$B$56+32&gt;='🌱 Configuração'!$C$56,'🌱 Configuração'!$B$56+32&lt;'🌱 Configuração'!$D$56,MOD('🌱 Configuração'!$B$56+32-'🌱 Configuração'!$C$56,7)=0),"🐛 MIP — ver aba MIP para aplicação desta semana",IF(AND('🌱 Configuração'!$B$56+32&gt;='🌱 Configuração'!$D$56,MOD('🌱 Configuração'!$B$56+32-'🌱 Configuração'!$D$56,7)=0),"🐛 MIP solo — ver aba MIP (sem foliar em flora)","")))</f>
        <v/>
      </c>
    </row>
    <row r="39" customFormat="false" ht="18" hidden="false" customHeight="true" outlineLevel="0" collapsed="false">
      <c r="B39" s="67" t="n">
        <f aca="false">IF(34&lt;='🌱 Configuração'!$F$55,34,"")</f>
        <v>34</v>
      </c>
      <c r="C39" s="68" t="n">
        <f aca="false">IF(34&lt;='🌱 Configuração'!$F$55,'🌱 Configuração'!$B$56+33,"")</f>
        <v>33</v>
      </c>
      <c r="D39" s="69" t="str">
        <f aca="false">IF(34&gt;'🌱 Configuração'!$F$55,"",IF('🌱 Configuração'!$B$56+33&lt;'🌱 Configuração'!$C$56,"🌱 Clone",IF('🌱 Configuração'!$B$56+33&lt;'🌱 Configuração'!$D$56,"🌿 Vegetativo",IF('🌱 Configuração'!$B$56+33&lt;'🌱 Configuração'!$E$56,"🌸 Floração","🚿 Flush"))))</f>
        <v>🌿 Vegetativo</v>
      </c>
      <c r="E39" s="70" t="str">
        <f aca="false">IF(34&gt;'🌱 Configuração'!$F$55,"",IF('🌱 Configuração'!$B$56+33&lt;'🌱 Configuração'!$C$56,"Clone S"&amp;INT((34-1)/7)+1,IF('🌱 Configuração'!$B$56+33&lt;'🌱 Configuração'!$D$56,"Vega S"&amp;INT(('🌱 Configuração'!$B$56+33-'🌱 Configuração'!$C$56)/7)+1,IF('🌱 Configuração'!$B$56+33&lt;'🌱 Configuração'!$E$56,"Flora S"&amp;INT(('🌱 Configuração'!$B$56+33-'🌱 Configuração'!$D$56)/7)+1,"Flush S"&amp;INT(('🌱 Configuração'!$B$56+33-'🌱 Configuração'!$E$56)/7)+1))))</f>
        <v>Vega S3</v>
      </c>
      <c r="F39" s="13" t="str">
        <f aca="false">IF(34&gt;'🌱 Configuração'!$F$55,"",IF('🌱 Configuração'!$B$56+33='🌱 Configuração'!$C$56,"🌿 INÍCIO VEGA — luz 18h/dia",IF('🌱 Configuração'!$B$56+33='🌱 Configuração'!$D$56,"🌸 INÍCIO FLORAÇÃO — mudar 12/12 🔴",IF('🌱 Configuração'!$B$56+33='🌱 Configuração'!$E$56,"🚿 INÍCIO FLUSH — parar nutrição",IF('🌱 Configuração'!$B$56+33='🌱 Configuração'!$F$56-1,"🔬 Véspera da colheita — analisar tricomas",IF('🌱 Configuração'!$B$56+33='🌱 Configuração'!$F$56,"✂️ COLHEITA — Parabéns! 🎉",""))))))</f>
        <v/>
      </c>
      <c r="G39" s="71" t="str">
        <f aca="false">IF(34&gt;'🌱 Configuração'!$F$55,"",IF(AND('🌱 Configuração'!$B$56+33&gt;='🌱 Configuração'!$C$56,'🌱 Configuração'!$B$56+33&lt;'🌱 Configuração'!$D$56,MOD('🌱 Configuração'!$B$56+33-'🌱 Configuração'!$C$56,7)=0),"🐛 MIP — ver aba MIP para aplicação desta semana",IF(AND('🌱 Configuração'!$B$56+33&gt;='🌱 Configuração'!$D$56,MOD('🌱 Configuração'!$B$56+33-'🌱 Configuração'!$D$56,7)=0),"🐛 MIP solo — ver aba MIP (sem foliar em flora)","")))</f>
        <v/>
      </c>
    </row>
    <row r="40" customFormat="false" ht="18" hidden="false" customHeight="true" outlineLevel="0" collapsed="false">
      <c r="B40" s="64" t="n">
        <f aca="false">IF(35&lt;='🌱 Configuração'!$F$55,35,"")</f>
        <v>35</v>
      </c>
      <c r="C40" s="41" t="n">
        <f aca="false">IF(35&lt;='🌱 Configuração'!$F$55,'🌱 Configuração'!$B$56+34,"")</f>
        <v>34</v>
      </c>
      <c r="D40" s="65" t="str">
        <f aca="false">IF(35&gt;'🌱 Configuração'!$F$55,"",IF('🌱 Configuração'!$B$56+34&lt;'🌱 Configuração'!$C$56,"🌱 Clone",IF('🌱 Configuração'!$B$56+34&lt;'🌱 Configuração'!$D$56,"🌿 Vegetativo",IF('🌱 Configuração'!$B$56+34&lt;'🌱 Configuração'!$E$56,"🌸 Floração","🚿 Flush"))))</f>
        <v>🌿 Vegetativo</v>
      </c>
      <c r="E40" s="43" t="str">
        <f aca="false">IF(35&gt;'🌱 Configuração'!$F$55,"",IF('🌱 Configuração'!$B$56+34&lt;'🌱 Configuração'!$C$56,"Clone S"&amp;INT((35-1)/7)+1,IF('🌱 Configuração'!$B$56+34&lt;'🌱 Configuração'!$D$56,"Vega S"&amp;INT(('🌱 Configuração'!$B$56+34-'🌱 Configuração'!$C$56)/7)+1,IF('🌱 Configuração'!$B$56+34&lt;'🌱 Configuração'!$E$56,"Flora S"&amp;INT(('🌱 Configuração'!$B$56+34-'🌱 Configuração'!$D$56)/7)+1,"Flush S"&amp;INT(('🌱 Configuração'!$B$56+34-'🌱 Configuração'!$E$56)/7)+1))))</f>
        <v>Vega S3</v>
      </c>
      <c r="F40" s="42" t="str">
        <f aca="false">IF(35&gt;'🌱 Configuração'!$F$55,"",IF('🌱 Configuração'!$B$56+34='🌱 Configuração'!$C$56,"🌿 INÍCIO VEGA — luz 18h/dia",IF('🌱 Configuração'!$B$56+34='🌱 Configuração'!$D$56,"🌸 INÍCIO FLORAÇÃO — mudar 12/12 🔴",IF('🌱 Configuração'!$B$56+34='🌱 Configuração'!$E$56,"🚿 INÍCIO FLUSH — parar nutrição",IF('🌱 Configuração'!$B$56+34='🌱 Configuração'!$F$56-1,"🔬 Véspera da colheita — analisar tricomas",IF('🌱 Configuração'!$B$56+34='🌱 Configuração'!$F$56,"✂️ COLHEITA — Parabéns! 🎉",""))))))</f>
        <v/>
      </c>
      <c r="G40" s="66" t="str">
        <f aca="false">IF(35&gt;'🌱 Configuração'!$F$55,"",IF(AND('🌱 Configuração'!$B$56+34&gt;='🌱 Configuração'!$C$56,'🌱 Configuração'!$B$56+34&lt;'🌱 Configuração'!$D$56,MOD('🌱 Configuração'!$B$56+34-'🌱 Configuração'!$C$56,7)=0),"🐛 MIP — ver aba MIP para aplicação desta semana",IF(AND('🌱 Configuração'!$B$56+34&gt;='🌱 Configuração'!$D$56,MOD('🌱 Configuração'!$B$56+34-'🌱 Configuração'!$D$56,7)=0),"🐛 MIP solo — ver aba MIP (sem foliar em flora)","")))</f>
        <v/>
      </c>
    </row>
    <row r="41" customFormat="false" ht="18" hidden="false" customHeight="true" outlineLevel="0" collapsed="false">
      <c r="B41" s="67" t="n">
        <f aca="false">IF(36&lt;='🌱 Configuração'!$F$55,36,"")</f>
        <v>36</v>
      </c>
      <c r="C41" s="68" t="n">
        <f aca="false">IF(36&lt;='🌱 Configuração'!$F$55,'🌱 Configuração'!$B$56+35,"")</f>
        <v>35</v>
      </c>
      <c r="D41" s="69" t="str">
        <f aca="false">IF(36&gt;'🌱 Configuração'!$F$55,"",IF('🌱 Configuração'!$B$56+35&lt;'🌱 Configuração'!$C$56,"🌱 Clone",IF('🌱 Configuração'!$B$56+35&lt;'🌱 Configuração'!$D$56,"🌿 Vegetativo",IF('🌱 Configuração'!$B$56+35&lt;'🌱 Configuração'!$E$56,"🌸 Floração","🚿 Flush"))))</f>
        <v>🌿 Vegetativo</v>
      </c>
      <c r="E41" s="70" t="str">
        <f aca="false">IF(36&gt;'🌱 Configuração'!$F$55,"",IF('🌱 Configuração'!$B$56+35&lt;'🌱 Configuração'!$C$56,"Clone S"&amp;INT((36-1)/7)+1,IF('🌱 Configuração'!$B$56+35&lt;'🌱 Configuração'!$D$56,"Vega S"&amp;INT(('🌱 Configuração'!$B$56+35-'🌱 Configuração'!$C$56)/7)+1,IF('🌱 Configuração'!$B$56+35&lt;'🌱 Configuração'!$E$56,"Flora S"&amp;INT(('🌱 Configuração'!$B$56+35-'🌱 Configuração'!$D$56)/7)+1,"Flush S"&amp;INT(('🌱 Configuração'!$B$56+35-'🌱 Configuração'!$E$56)/7)+1))))</f>
        <v>Vega S4</v>
      </c>
      <c r="F41" s="13" t="str">
        <f aca="false">IF(36&gt;'🌱 Configuração'!$F$55,"",IF('🌱 Configuração'!$B$56+35='🌱 Configuração'!$C$56,"🌿 INÍCIO VEGA — luz 18h/dia",IF('🌱 Configuração'!$B$56+35='🌱 Configuração'!$D$56,"🌸 INÍCIO FLORAÇÃO — mudar 12/12 🔴",IF('🌱 Configuração'!$B$56+35='🌱 Configuração'!$E$56,"🚿 INÍCIO FLUSH — parar nutrição",IF('🌱 Configuração'!$B$56+35='🌱 Configuração'!$F$56-1,"🔬 Véspera da colheita — analisar tricomas",IF('🌱 Configuração'!$B$56+35='🌱 Configuração'!$F$56,"✂️ COLHEITA — Parabéns! 🎉",""))))))</f>
        <v/>
      </c>
      <c r="G41" s="71" t="str">
        <f aca="false">IF(36&gt;'🌱 Configuração'!$F$55,"",IF(AND('🌱 Configuração'!$B$56+35&gt;='🌱 Configuração'!$C$56,'🌱 Configuração'!$B$56+35&lt;'🌱 Configuração'!$D$56,MOD('🌱 Configuração'!$B$56+35-'🌱 Configuração'!$C$56,7)=0),"🐛 MIP — ver aba MIP para aplicação desta semana",IF(AND('🌱 Configuração'!$B$56+35&gt;='🌱 Configuração'!$D$56,MOD('🌱 Configuração'!$B$56+35-'🌱 Configuração'!$D$56,7)=0),"🐛 MIP solo — ver aba MIP (sem foliar em flora)","")))</f>
        <v>🐛 MIP — ver aba MIP para aplicação desta semana</v>
      </c>
    </row>
    <row r="42" customFormat="false" ht="18" hidden="false" customHeight="true" outlineLevel="0" collapsed="false">
      <c r="B42" s="64" t="n">
        <f aca="false">IF(37&lt;='🌱 Configuração'!$F$55,37,"")</f>
        <v>37</v>
      </c>
      <c r="C42" s="41" t="n">
        <f aca="false">IF(37&lt;='🌱 Configuração'!$F$55,'🌱 Configuração'!$B$56+36,"")</f>
        <v>36</v>
      </c>
      <c r="D42" s="65" t="str">
        <f aca="false">IF(37&gt;'🌱 Configuração'!$F$55,"",IF('🌱 Configuração'!$B$56+36&lt;'🌱 Configuração'!$C$56,"🌱 Clone",IF('🌱 Configuração'!$B$56+36&lt;'🌱 Configuração'!$D$56,"🌿 Vegetativo",IF('🌱 Configuração'!$B$56+36&lt;'🌱 Configuração'!$E$56,"🌸 Floração","🚿 Flush"))))</f>
        <v>🌿 Vegetativo</v>
      </c>
      <c r="E42" s="43" t="str">
        <f aca="false">IF(37&gt;'🌱 Configuração'!$F$55,"",IF('🌱 Configuração'!$B$56+36&lt;'🌱 Configuração'!$C$56,"Clone S"&amp;INT((37-1)/7)+1,IF('🌱 Configuração'!$B$56+36&lt;'🌱 Configuração'!$D$56,"Vega S"&amp;INT(('🌱 Configuração'!$B$56+36-'🌱 Configuração'!$C$56)/7)+1,IF('🌱 Configuração'!$B$56+36&lt;'🌱 Configuração'!$E$56,"Flora S"&amp;INT(('🌱 Configuração'!$B$56+36-'🌱 Configuração'!$D$56)/7)+1,"Flush S"&amp;INT(('🌱 Configuração'!$B$56+36-'🌱 Configuração'!$E$56)/7)+1))))</f>
        <v>Vega S4</v>
      </c>
      <c r="F42" s="42" t="str">
        <f aca="false">IF(37&gt;'🌱 Configuração'!$F$55,"",IF('🌱 Configuração'!$B$56+36='🌱 Configuração'!$C$56,"🌿 INÍCIO VEGA — luz 18h/dia",IF('🌱 Configuração'!$B$56+36='🌱 Configuração'!$D$56,"🌸 INÍCIO FLORAÇÃO — mudar 12/12 🔴",IF('🌱 Configuração'!$B$56+36='🌱 Configuração'!$E$56,"🚿 INÍCIO FLUSH — parar nutrição",IF('🌱 Configuração'!$B$56+36='🌱 Configuração'!$F$56-1,"🔬 Véspera da colheita — analisar tricomas",IF('🌱 Configuração'!$B$56+36='🌱 Configuração'!$F$56,"✂️ COLHEITA — Parabéns! 🎉",""))))))</f>
        <v/>
      </c>
      <c r="G42" s="66" t="str">
        <f aca="false">IF(37&gt;'🌱 Configuração'!$F$55,"",IF(AND('🌱 Configuração'!$B$56+36&gt;='🌱 Configuração'!$C$56,'🌱 Configuração'!$B$56+36&lt;'🌱 Configuração'!$D$56,MOD('🌱 Configuração'!$B$56+36-'🌱 Configuração'!$C$56,7)=0),"🐛 MIP — ver aba MIP para aplicação desta semana",IF(AND('🌱 Configuração'!$B$56+36&gt;='🌱 Configuração'!$D$56,MOD('🌱 Configuração'!$B$56+36-'🌱 Configuração'!$D$56,7)=0),"🐛 MIP solo — ver aba MIP (sem foliar em flora)","")))</f>
        <v/>
      </c>
    </row>
    <row r="43" customFormat="false" ht="18" hidden="false" customHeight="true" outlineLevel="0" collapsed="false">
      <c r="B43" s="67" t="n">
        <f aca="false">IF(38&lt;='🌱 Configuração'!$F$55,38,"")</f>
        <v>38</v>
      </c>
      <c r="C43" s="68" t="n">
        <f aca="false">IF(38&lt;='🌱 Configuração'!$F$55,'🌱 Configuração'!$B$56+37,"")</f>
        <v>37</v>
      </c>
      <c r="D43" s="69" t="str">
        <f aca="false">IF(38&gt;'🌱 Configuração'!$F$55,"",IF('🌱 Configuração'!$B$56+37&lt;'🌱 Configuração'!$C$56,"🌱 Clone",IF('🌱 Configuração'!$B$56+37&lt;'🌱 Configuração'!$D$56,"🌿 Vegetativo",IF('🌱 Configuração'!$B$56+37&lt;'🌱 Configuração'!$E$56,"🌸 Floração","🚿 Flush"))))</f>
        <v>🌿 Vegetativo</v>
      </c>
      <c r="E43" s="70" t="str">
        <f aca="false">IF(38&gt;'🌱 Configuração'!$F$55,"",IF('🌱 Configuração'!$B$56+37&lt;'🌱 Configuração'!$C$56,"Clone S"&amp;INT((38-1)/7)+1,IF('🌱 Configuração'!$B$56+37&lt;'🌱 Configuração'!$D$56,"Vega S"&amp;INT(('🌱 Configuração'!$B$56+37-'🌱 Configuração'!$C$56)/7)+1,IF('🌱 Configuração'!$B$56+37&lt;'🌱 Configuração'!$E$56,"Flora S"&amp;INT(('🌱 Configuração'!$B$56+37-'🌱 Configuração'!$D$56)/7)+1,"Flush S"&amp;INT(('🌱 Configuração'!$B$56+37-'🌱 Configuração'!$E$56)/7)+1))))</f>
        <v>Vega S4</v>
      </c>
      <c r="F43" s="13" t="str">
        <f aca="false">IF(38&gt;'🌱 Configuração'!$F$55,"",IF('🌱 Configuração'!$B$56+37='🌱 Configuração'!$C$56,"🌿 INÍCIO VEGA — luz 18h/dia",IF('🌱 Configuração'!$B$56+37='🌱 Configuração'!$D$56,"🌸 INÍCIO FLORAÇÃO — mudar 12/12 🔴",IF('🌱 Configuração'!$B$56+37='🌱 Configuração'!$E$56,"🚿 INÍCIO FLUSH — parar nutrição",IF('🌱 Configuração'!$B$56+37='🌱 Configuração'!$F$56-1,"🔬 Véspera da colheita — analisar tricomas",IF('🌱 Configuração'!$B$56+37='🌱 Configuração'!$F$56,"✂️ COLHEITA — Parabéns! 🎉",""))))))</f>
        <v/>
      </c>
      <c r="G43" s="71" t="str">
        <f aca="false">IF(38&gt;'🌱 Configuração'!$F$55,"",IF(AND('🌱 Configuração'!$B$56+37&gt;='🌱 Configuração'!$C$56,'🌱 Configuração'!$B$56+37&lt;'🌱 Configuração'!$D$56,MOD('🌱 Configuração'!$B$56+37-'🌱 Configuração'!$C$56,7)=0),"🐛 MIP — ver aba MIP para aplicação desta semana",IF(AND('🌱 Configuração'!$B$56+37&gt;='🌱 Configuração'!$D$56,MOD('🌱 Configuração'!$B$56+37-'🌱 Configuração'!$D$56,7)=0),"🐛 MIP solo — ver aba MIP (sem foliar em flora)","")))</f>
        <v/>
      </c>
    </row>
    <row r="44" customFormat="false" ht="18" hidden="false" customHeight="true" outlineLevel="0" collapsed="false">
      <c r="B44" s="64" t="n">
        <f aca="false">IF(39&lt;='🌱 Configuração'!$F$55,39,"")</f>
        <v>39</v>
      </c>
      <c r="C44" s="41" t="n">
        <f aca="false">IF(39&lt;='🌱 Configuração'!$F$55,'🌱 Configuração'!$B$56+38,"")</f>
        <v>38</v>
      </c>
      <c r="D44" s="65" t="str">
        <f aca="false">IF(39&gt;'🌱 Configuração'!$F$55,"",IF('🌱 Configuração'!$B$56+38&lt;'🌱 Configuração'!$C$56,"🌱 Clone",IF('🌱 Configuração'!$B$56+38&lt;'🌱 Configuração'!$D$56,"🌿 Vegetativo",IF('🌱 Configuração'!$B$56+38&lt;'🌱 Configuração'!$E$56,"🌸 Floração","🚿 Flush"))))</f>
        <v>🌿 Vegetativo</v>
      </c>
      <c r="E44" s="43" t="str">
        <f aca="false">IF(39&gt;'🌱 Configuração'!$F$55,"",IF('🌱 Configuração'!$B$56+38&lt;'🌱 Configuração'!$C$56,"Clone S"&amp;INT((39-1)/7)+1,IF('🌱 Configuração'!$B$56+38&lt;'🌱 Configuração'!$D$56,"Vega S"&amp;INT(('🌱 Configuração'!$B$56+38-'🌱 Configuração'!$C$56)/7)+1,IF('🌱 Configuração'!$B$56+38&lt;'🌱 Configuração'!$E$56,"Flora S"&amp;INT(('🌱 Configuração'!$B$56+38-'🌱 Configuração'!$D$56)/7)+1,"Flush S"&amp;INT(('🌱 Configuração'!$B$56+38-'🌱 Configuração'!$E$56)/7)+1))))</f>
        <v>Vega S4</v>
      </c>
      <c r="F44" s="42" t="str">
        <f aca="false">IF(39&gt;'🌱 Configuração'!$F$55,"",IF('🌱 Configuração'!$B$56+38='🌱 Configuração'!$C$56,"🌿 INÍCIO VEGA — luz 18h/dia",IF('🌱 Configuração'!$B$56+38='🌱 Configuração'!$D$56,"🌸 INÍCIO FLORAÇÃO — mudar 12/12 🔴",IF('🌱 Configuração'!$B$56+38='🌱 Configuração'!$E$56,"🚿 INÍCIO FLUSH — parar nutrição",IF('🌱 Configuração'!$B$56+38='🌱 Configuração'!$F$56-1,"🔬 Véspera da colheita — analisar tricomas",IF('🌱 Configuração'!$B$56+38='🌱 Configuração'!$F$56,"✂️ COLHEITA — Parabéns! 🎉",""))))))</f>
        <v/>
      </c>
      <c r="G44" s="66" t="str">
        <f aca="false">IF(39&gt;'🌱 Configuração'!$F$55,"",IF(AND('🌱 Configuração'!$B$56+38&gt;='🌱 Configuração'!$C$56,'🌱 Configuração'!$B$56+38&lt;'🌱 Configuração'!$D$56,MOD('🌱 Configuração'!$B$56+38-'🌱 Configuração'!$C$56,7)=0),"🐛 MIP — ver aba MIP para aplicação desta semana",IF(AND('🌱 Configuração'!$B$56+38&gt;='🌱 Configuração'!$D$56,MOD('🌱 Configuração'!$B$56+38-'🌱 Configuração'!$D$56,7)=0),"🐛 MIP solo — ver aba MIP (sem foliar em flora)","")))</f>
        <v/>
      </c>
    </row>
    <row r="45" customFormat="false" ht="18" hidden="false" customHeight="true" outlineLevel="0" collapsed="false">
      <c r="B45" s="67" t="n">
        <f aca="false">IF(40&lt;='🌱 Configuração'!$F$55,40,"")</f>
        <v>40</v>
      </c>
      <c r="C45" s="68" t="n">
        <f aca="false">IF(40&lt;='🌱 Configuração'!$F$55,'🌱 Configuração'!$B$56+39,"")</f>
        <v>39</v>
      </c>
      <c r="D45" s="69" t="str">
        <f aca="false">IF(40&gt;'🌱 Configuração'!$F$55,"",IF('🌱 Configuração'!$B$56+39&lt;'🌱 Configuração'!$C$56,"🌱 Clone",IF('🌱 Configuração'!$B$56+39&lt;'🌱 Configuração'!$D$56,"🌿 Vegetativo",IF('🌱 Configuração'!$B$56+39&lt;'🌱 Configuração'!$E$56,"🌸 Floração","🚿 Flush"))))</f>
        <v>🌿 Vegetativo</v>
      </c>
      <c r="E45" s="70" t="str">
        <f aca="false">IF(40&gt;'🌱 Configuração'!$F$55,"",IF('🌱 Configuração'!$B$56+39&lt;'🌱 Configuração'!$C$56,"Clone S"&amp;INT((40-1)/7)+1,IF('🌱 Configuração'!$B$56+39&lt;'🌱 Configuração'!$D$56,"Vega S"&amp;INT(('🌱 Configuração'!$B$56+39-'🌱 Configuração'!$C$56)/7)+1,IF('🌱 Configuração'!$B$56+39&lt;'🌱 Configuração'!$E$56,"Flora S"&amp;INT(('🌱 Configuração'!$B$56+39-'🌱 Configuração'!$D$56)/7)+1,"Flush S"&amp;INT(('🌱 Configuração'!$B$56+39-'🌱 Configuração'!$E$56)/7)+1))))</f>
        <v>Vega S4</v>
      </c>
      <c r="F45" s="13" t="str">
        <f aca="false">IF(40&gt;'🌱 Configuração'!$F$55,"",IF('🌱 Configuração'!$B$56+39='🌱 Configuração'!$C$56,"🌿 INÍCIO VEGA — luz 18h/dia",IF('🌱 Configuração'!$B$56+39='🌱 Configuração'!$D$56,"🌸 INÍCIO FLORAÇÃO — mudar 12/12 🔴",IF('🌱 Configuração'!$B$56+39='🌱 Configuração'!$E$56,"🚿 INÍCIO FLUSH — parar nutrição",IF('🌱 Configuração'!$B$56+39='🌱 Configuração'!$F$56-1,"🔬 Véspera da colheita — analisar tricomas",IF('🌱 Configuração'!$B$56+39='🌱 Configuração'!$F$56,"✂️ COLHEITA — Parabéns! 🎉",""))))))</f>
        <v/>
      </c>
      <c r="G45" s="71" t="str">
        <f aca="false">IF(40&gt;'🌱 Configuração'!$F$55,"",IF(AND('🌱 Configuração'!$B$56+39&gt;='🌱 Configuração'!$C$56,'🌱 Configuração'!$B$56+39&lt;'🌱 Configuração'!$D$56,MOD('🌱 Configuração'!$B$56+39-'🌱 Configuração'!$C$56,7)=0),"🐛 MIP — ver aba MIP para aplicação desta semana",IF(AND('🌱 Configuração'!$B$56+39&gt;='🌱 Configuração'!$D$56,MOD('🌱 Configuração'!$B$56+39-'🌱 Configuração'!$D$56,7)=0),"🐛 MIP solo — ver aba MIP (sem foliar em flora)","")))</f>
        <v/>
      </c>
    </row>
    <row r="46" customFormat="false" ht="18" hidden="false" customHeight="true" outlineLevel="0" collapsed="false">
      <c r="B46" s="64" t="n">
        <f aca="false">IF(41&lt;='🌱 Configuração'!$F$55,41,"")</f>
        <v>41</v>
      </c>
      <c r="C46" s="41" t="n">
        <f aca="false">IF(41&lt;='🌱 Configuração'!$F$55,'🌱 Configuração'!$B$56+40,"")</f>
        <v>40</v>
      </c>
      <c r="D46" s="65" t="str">
        <f aca="false">IF(41&gt;'🌱 Configuração'!$F$55,"",IF('🌱 Configuração'!$B$56+40&lt;'🌱 Configuração'!$C$56,"🌱 Clone",IF('🌱 Configuração'!$B$56+40&lt;'🌱 Configuração'!$D$56,"🌿 Vegetativo",IF('🌱 Configuração'!$B$56+40&lt;'🌱 Configuração'!$E$56,"🌸 Floração","🚿 Flush"))))</f>
        <v>🌿 Vegetativo</v>
      </c>
      <c r="E46" s="43" t="str">
        <f aca="false">IF(41&gt;'🌱 Configuração'!$F$55,"",IF('🌱 Configuração'!$B$56+40&lt;'🌱 Configuração'!$C$56,"Clone S"&amp;INT((41-1)/7)+1,IF('🌱 Configuração'!$B$56+40&lt;'🌱 Configuração'!$D$56,"Vega S"&amp;INT(('🌱 Configuração'!$B$56+40-'🌱 Configuração'!$C$56)/7)+1,IF('🌱 Configuração'!$B$56+40&lt;'🌱 Configuração'!$E$56,"Flora S"&amp;INT(('🌱 Configuração'!$B$56+40-'🌱 Configuração'!$D$56)/7)+1,"Flush S"&amp;INT(('🌱 Configuração'!$B$56+40-'🌱 Configuração'!$E$56)/7)+1))))</f>
        <v>Vega S4</v>
      </c>
      <c r="F46" s="42" t="str">
        <f aca="false">IF(41&gt;'🌱 Configuração'!$F$55,"",IF('🌱 Configuração'!$B$56+40='🌱 Configuração'!$C$56,"🌿 INÍCIO VEGA — luz 18h/dia",IF('🌱 Configuração'!$B$56+40='🌱 Configuração'!$D$56,"🌸 INÍCIO FLORAÇÃO — mudar 12/12 🔴",IF('🌱 Configuração'!$B$56+40='🌱 Configuração'!$E$56,"🚿 INÍCIO FLUSH — parar nutrição",IF('🌱 Configuração'!$B$56+40='🌱 Configuração'!$F$56-1,"🔬 Véspera da colheita — analisar tricomas",IF('🌱 Configuração'!$B$56+40='🌱 Configuração'!$F$56,"✂️ COLHEITA — Parabéns! 🎉",""))))))</f>
        <v/>
      </c>
      <c r="G46" s="66" t="str">
        <f aca="false">IF(41&gt;'🌱 Configuração'!$F$55,"",IF(AND('🌱 Configuração'!$B$56+40&gt;='🌱 Configuração'!$C$56,'🌱 Configuração'!$B$56+40&lt;'🌱 Configuração'!$D$56,MOD('🌱 Configuração'!$B$56+40-'🌱 Configuração'!$C$56,7)=0),"🐛 MIP — ver aba MIP para aplicação desta semana",IF(AND('🌱 Configuração'!$B$56+40&gt;='🌱 Configuração'!$D$56,MOD('🌱 Configuração'!$B$56+40-'🌱 Configuração'!$D$56,7)=0),"🐛 MIP solo — ver aba MIP (sem foliar em flora)","")))</f>
        <v/>
      </c>
    </row>
    <row r="47" customFormat="false" ht="18" hidden="false" customHeight="true" outlineLevel="0" collapsed="false">
      <c r="B47" s="67" t="n">
        <f aca="false">IF(42&lt;='🌱 Configuração'!$F$55,42,"")</f>
        <v>42</v>
      </c>
      <c r="C47" s="68" t="n">
        <f aca="false">IF(42&lt;='🌱 Configuração'!$F$55,'🌱 Configuração'!$B$56+41,"")</f>
        <v>41</v>
      </c>
      <c r="D47" s="69" t="str">
        <f aca="false">IF(42&gt;'🌱 Configuração'!$F$55,"",IF('🌱 Configuração'!$B$56+41&lt;'🌱 Configuração'!$C$56,"🌱 Clone",IF('🌱 Configuração'!$B$56+41&lt;'🌱 Configuração'!$D$56,"🌿 Vegetativo",IF('🌱 Configuração'!$B$56+41&lt;'🌱 Configuração'!$E$56,"🌸 Floração","🚿 Flush"))))</f>
        <v>🌿 Vegetativo</v>
      </c>
      <c r="E47" s="70" t="str">
        <f aca="false">IF(42&gt;'🌱 Configuração'!$F$55,"",IF('🌱 Configuração'!$B$56+41&lt;'🌱 Configuração'!$C$56,"Clone S"&amp;INT((42-1)/7)+1,IF('🌱 Configuração'!$B$56+41&lt;'🌱 Configuração'!$D$56,"Vega S"&amp;INT(('🌱 Configuração'!$B$56+41-'🌱 Configuração'!$C$56)/7)+1,IF('🌱 Configuração'!$B$56+41&lt;'🌱 Configuração'!$E$56,"Flora S"&amp;INT(('🌱 Configuração'!$B$56+41-'🌱 Configuração'!$D$56)/7)+1,"Flush S"&amp;INT(('🌱 Configuração'!$B$56+41-'🌱 Configuração'!$E$56)/7)+1))))</f>
        <v>Vega S4</v>
      </c>
      <c r="F47" s="13" t="str">
        <f aca="false">IF(42&gt;'🌱 Configuração'!$F$55,"",IF('🌱 Configuração'!$B$56+41='🌱 Configuração'!$C$56,"🌿 INÍCIO VEGA — luz 18h/dia",IF('🌱 Configuração'!$B$56+41='🌱 Configuração'!$D$56,"🌸 INÍCIO FLORAÇÃO — mudar 12/12 🔴",IF('🌱 Configuração'!$B$56+41='🌱 Configuração'!$E$56,"🚿 INÍCIO FLUSH — parar nutrição",IF('🌱 Configuração'!$B$56+41='🌱 Configuração'!$F$56-1,"🔬 Véspera da colheita — analisar tricomas",IF('🌱 Configuração'!$B$56+41='🌱 Configuração'!$F$56,"✂️ COLHEITA — Parabéns! 🎉",""))))))</f>
        <v/>
      </c>
      <c r="G47" s="71" t="str">
        <f aca="false">IF(42&gt;'🌱 Configuração'!$F$55,"",IF(AND('🌱 Configuração'!$B$56+41&gt;='🌱 Configuração'!$C$56,'🌱 Configuração'!$B$56+41&lt;'🌱 Configuração'!$D$56,MOD('🌱 Configuração'!$B$56+41-'🌱 Configuração'!$C$56,7)=0),"🐛 MIP — ver aba MIP para aplicação desta semana",IF(AND('🌱 Configuração'!$B$56+41&gt;='🌱 Configuração'!$D$56,MOD('🌱 Configuração'!$B$56+41-'🌱 Configuração'!$D$56,7)=0),"🐛 MIP solo — ver aba MIP (sem foliar em flora)","")))</f>
        <v/>
      </c>
    </row>
    <row r="48" customFormat="false" ht="18" hidden="false" customHeight="true" outlineLevel="0" collapsed="false">
      <c r="B48" s="64" t="n">
        <f aca="false">IF(43&lt;='🌱 Configuração'!$F$55,43,"")</f>
        <v>43</v>
      </c>
      <c r="C48" s="41" t="n">
        <f aca="false">IF(43&lt;='🌱 Configuração'!$F$55,'🌱 Configuração'!$B$56+42,"")</f>
        <v>42</v>
      </c>
      <c r="D48" s="65" t="str">
        <f aca="false">IF(43&gt;'🌱 Configuração'!$F$55,"",IF('🌱 Configuração'!$B$56+42&lt;'🌱 Configuração'!$C$56,"🌱 Clone",IF('🌱 Configuração'!$B$56+42&lt;'🌱 Configuração'!$D$56,"🌿 Vegetativo",IF('🌱 Configuração'!$B$56+42&lt;'🌱 Configuração'!$E$56,"🌸 Floração","🚿 Flush"))))</f>
        <v>🌿 Vegetativo</v>
      </c>
      <c r="E48" s="43" t="str">
        <f aca="false">IF(43&gt;'🌱 Configuração'!$F$55,"",IF('🌱 Configuração'!$B$56+42&lt;'🌱 Configuração'!$C$56,"Clone S"&amp;INT((43-1)/7)+1,IF('🌱 Configuração'!$B$56+42&lt;'🌱 Configuração'!$D$56,"Vega S"&amp;INT(('🌱 Configuração'!$B$56+42-'🌱 Configuração'!$C$56)/7)+1,IF('🌱 Configuração'!$B$56+42&lt;'🌱 Configuração'!$E$56,"Flora S"&amp;INT(('🌱 Configuração'!$B$56+42-'🌱 Configuração'!$D$56)/7)+1,"Flush S"&amp;INT(('🌱 Configuração'!$B$56+42-'🌱 Configuração'!$E$56)/7)+1))))</f>
        <v>Vega S5</v>
      </c>
      <c r="F48" s="42" t="str">
        <f aca="false">IF(43&gt;'🌱 Configuração'!$F$55,"",IF('🌱 Configuração'!$B$56+42='🌱 Configuração'!$C$56,"🌿 INÍCIO VEGA — luz 18h/dia",IF('🌱 Configuração'!$B$56+42='🌱 Configuração'!$D$56,"🌸 INÍCIO FLORAÇÃO — mudar 12/12 🔴",IF('🌱 Configuração'!$B$56+42='🌱 Configuração'!$E$56,"🚿 INÍCIO FLUSH — parar nutrição",IF('🌱 Configuração'!$B$56+42='🌱 Configuração'!$F$56-1,"🔬 Véspera da colheita — analisar tricomas",IF('🌱 Configuração'!$B$56+42='🌱 Configuração'!$F$56,"✂️ COLHEITA — Parabéns! 🎉",""))))))</f>
        <v/>
      </c>
      <c r="G48" s="66" t="str">
        <f aca="false">IF(43&gt;'🌱 Configuração'!$F$55,"",IF(AND('🌱 Configuração'!$B$56+42&gt;='🌱 Configuração'!$C$56,'🌱 Configuração'!$B$56+42&lt;'🌱 Configuração'!$D$56,MOD('🌱 Configuração'!$B$56+42-'🌱 Configuração'!$C$56,7)=0),"🐛 MIP — ver aba MIP para aplicação desta semana",IF(AND('🌱 Configuração'!$B$56+42&gt;='🌱 Configuração'!$D$56,MOD('🌱 Configuração'!$B$56+42-'🌱 Configuração'!$D$56,7)=0),"🐛 MIP solo — ver aba MIP (sem foliar em flora)","")))</f>
        <v>🐛 MIP — ver aba MIP para aplicação desta semana</v>
      </c>
    </row>
    <row r="49" customFormat="false" ht="18" hidden="false" customHeight="true" outlineLevel="0" collapsed="false">
      <c r="B49" s="67" t="n">
        <f aca="false">IF(44&lt;='🌱 Configuração'!$F$55,44,"")</f>
        <v>44</v>
      </c>
      <c r="C49" s="68" t="n">
        <f aca="false">IF(44&lt;='🌱 Configuração'!$F$55,'🌱 Configuração'!$B$56+43,"")</f>
        <v>43</v>
      </c>
      <c r="D49" s="69" t="str">
        <f aca="false">IF(44&gt;'🌱 Configuração'!$F$55,"",IF('🌱 Configuração'!$B$56+43&lt;'🌱 Configuração'!$C$56,"🌱 Clone",IF('🌱 Configuração'!$B$56+43&lt;'🌱 Configuração'!$D$56,"🌿 Vegetativo",IF('🌱 Configuração'!$B$56+43&lt;'🌱 Configuração'!$E$56,"🌸 Floração","🚿 Flush"))))</f>
        <v>🌿 Vegetativo</v>
      </c>
      <c r="E49" s="70" t="str">
        <f aca="false">IF(44&gt;'🌱 Configuração'!$F$55,"",IF('🌱 Configuração'!$B$56+43&lt;'🌱 Configuração'!$C$56,"Clone S"&amp;INT((44-1)/7)+1,IF('🌱 Configuração'!$B$56+43&lt;'🌱 Configuração'!$D$56,"Vega S"&amp;INT(('🌱 Configuração'!$B$56+43-'🌱 Configuração'!$C$56)/7)+1,IF('🌱 Configuração'!$B$56+43&lt;'🌱 Configuração'!$E$56,"Flora S"&amp;INT(('🌱 Configuração'!$B$56+43-'🌱 Configuração'!$D$56)/7)+1,"Flush S"&amp;INT(('🌱 Configuração'!$B$56+43-'🌱 Configuração'!$E$56)/7)+1))))</f>
        <v>Vega S5</v>
      </c>
      <c r="F49" s="13" t="str">
        <f aca="false">IF(44&gt;'🌱 Configuração'!$F$55,"",IF('🌱 Configuração'!$B$56+43='🌱 Configuração'!$C$56,"🌿 INÍCIO VEGA — luz 18h/dia",IF('🌱 Configuração'!$B$56+43='🌱 Configuração'!$D$56,"🌸 INÍCIO FLORAÇÃO — mudar 12/12 🔴",IF('🌱 Configuração'!$B$56+43='🌱 Configuração'!$E$56,"🚿 INÍCIO FLUSH — parar nutrição",IF('🌱 Configuração'!$B$56+43='🌱 Configuração'!$F$56-1,"🔬 Véspera da colheita — analisar tricomas",IF('🌱 Configuração'!$B$56+43='🌱 Configuração'!$F$56,"✂️ COLHEITA — Parabéns! 🎉",""))))))</f>
        <v/>
      </c>
      <c r="G49" s="71" t="str">
        <f aca="false">IF(44&gt;'🌱 Configuração'!$F$55,"",IF(AND('🌱 Configuração'!$B$56+43&gt;='🌱 Configuração'!$C$56,'🌱 Configuração'!$B$56+43&lt;'🌱 Configuração'!$D$56,MOD('🌱 Configuração'!$B$56+43-'🌱 Configuração'!$C$56,7)=0),"🐛 MIP — ver aba MIP para aplicação desta semana",IF(AND('🌱 Configuração'!$B$56+43&gt;='🌱 Configuração'!$D$56,MOD('🌱 Configuração'!$B$56+43-'🌱 Configuração'!$D$56,7)=0),"🐛 MIP solo — ver aba MIP (sem foliar em flora)","")))</f>
        <v/>
      </c>
    </row>
    <row r="50" customFormat="false" ht="18" hidden="false" customHeight="true" outlineLevel="0" collapsed="false">
      <c r="B50" s="64" t="n">
        <f aca="false">IF(45&lt;='🌱 Configuração'!$F$55,45,"")</f>
        <v>45</v>
      </c>
      <c r="C50" s="41" t="n">
        <f aca="false">IF(45&lt;='🌱 Configuração'!$F$55,'🌱 Configuração'!$B$56+44,"")</f>
        <v>44</v>
      </c>
      <c r="D50" s="65" t="str">
        <f aca="false">IF(45&gt;'🌱 Configuração'!$F$55,"",IF('🌱 Configuração'!$B$56+44&lt;'🌱 Configuração'!$C$56,"🌱 Clone",IF('🌱 Configuração'!$B$56+44&lt;'🌱 Configuração'!$D$56,"🌿 Vegetativo",IF('🌱 Configuração'!$B$56+44&lt;'🌱 Configuração'!$E$56,"🌸 Floração","🚿 Flush"))))</f>
        <v>🌿 Vegetativo</v>
      </c>
      <c r="E50" s="43" t="str">
        <f aca="false">IF(45&gt;'🌱 Configuração'!$F$55,"",IF('🌱 Configuração'!$B$56+44&lt;'🌱 Configuração'!$C$56,"Clone S"&amp;INT((45-1)/7)+1,IF('🌱 Configuração'!$B$56+44&lt;'🌱 Configuração'!$D$56,"Vega S"&amp;INT(('🌱 Configuração'!$B$56+44-'🌱 Configuração'!$C$56)/7)+1,IF('🌱 Configuração'!$B$56+44&lt;'🌱 Configuração'!$E$56,"Flora S"&amp;INT(('🌱 Configuração'!$B$56+44-'🌱 Configuração'!$D$56)/7)+1,"Flush S"&amp;INT(('🌱 Configuração'!$B$56+44-'🌱 Configuração'!$E$56)/7)+1))))</f>
        <v>Vega S5</v>
      </c>
      <c r="F50" s="42" t="str">
        <f aca="false">IF(45&gt;'🌱 Configuração'!$F$55,"",IF('🌱 Configuração'!$B$56+44='🌱 Configuração'!$C$56,"🌿 INÍCIO VEGA — luz 18h/dia",IF('🌱 Configuração'!$B$56+44='🌱 Configuração'!$D$56,"🌸 INÍCIO FLORAÇÃO — mudar 12/12 🔴",IF('🌱 Configuração'!$B$56+44='🌱 Configuração'!$E$56,"🚿 INÍCIO FLUSH — parar nutrição",IF('🌱 Configuração'!$B$56+44='🌱 Configuração'!$F$56-1,"🔬 Véspera da colheita — analisar tricomas",IF('🌱 Configuração'!$B$56+44='🌱 Configuração'!$F$56,"✂️ COLHEITA — Parabéns! 🎉",""))))))</f>
        <v/>
      </c>
      <c r="G50" s="66" t="str">
        <f aca="false">IF(45&gt;'🌱 Configuração'!$F$55,"",IF(AND('🌱 Configuração'!$B$56+44&gt;='🌱 Configuração'!$C$56,'🌱 Configuração'!$B$56+44&lt;'🌱 Configuração'!$D$56,MOD('🌱 Configuração'!$B$56+44-'🌱 Configuração'!$C$56,7)=0),"🐛 MIP — ver aba MIP para aplicação desta semana",IF(AND('🌱 Configuração'!$B$56+44&gt;='🌱 Configuração'!$D$56,MOD('🌱 Configuração'!$B$56+44-'🌱 Configuração'!$D$56,7)=0),"🐛 MIP solo — ver aba MIP (sem foliar em flora)","")))</f>
        <v/>
      </c>
    </row>
    <row r="51" customFormat="false" ht="18" hidden="false" customHeight="true" outlineLevel="0" collapsed="false">
      <c r="B51" s="67" t="n">
        <f aca="false">IF(46&lt;='🌱 Configuração'!$F$55,46,"")</f>
        <v>46</v>
      </c>
      <c r="C51" s="68" t="n">
        <f aca="false">IF(46&lt;='🌱 Configuração'!$F$55,'🌱 Configuração'!$B$56+45,"")</f>
        <v>45</v>
      </c>
      <c r="D51" s="69" t="str">
        <f aca="false">IF(46&gt;'🌱 Configuração'!$F$55,"",IF('🌱 Configuração'!$B$56+45&lt;'🌱 Configuração'!$C$56,"🌱 Clone",IF('🌱 Configuração'!$B$56+45&lt;'🌱 Configuração'!$D$56,"🌿 Vegetativo",IF('🌱 Configuração'!$B$56+45&lt;'🌱 Configuração'!$E$56,"🌸 Floração","🚿 Flush"))))</f>
        <v>🌿 Vegetativo</v>
      </c>
      <c r="E51" s="70" t="str">
        <f aca="false">IF(46&gt;'🌱 Configuração'!$F$55,"",IF('🌱 Configuração'!$B$56+45&lt;'🌱 Configuração'!$C$56,"Clone S"&amp;INT((46-1)/7)+1,IF('🌱 Configuração'!$B$56+45&lt;'🌱 Configuração'!$D$56,"Vega S"&amp;INT(('🌱 Configuração'!$B$56+45-'🌱 Configuração'!$C$56)/7)+1,IF('🌱 Configuração'!$B$56+45&lt;'🌱 Configuração'!$E$56,"Flora S"&amp;INT(('🌱 Configuração'!$B$56+45-'🌱 Configuração'!$D$56)/7)+1,"Flush S"&amp;INT(('🌱 Configuração'!$B$56+45-'🌱 Configuração'!$E$56)/7)+1))))</f>
        <v>Vega S5</v>
      </c>
      <c r="F51" s="13" t="str">
        <f aca="false">IF(46&gt;'🌱 Configuração'!$F$55,"",IF('🌱 Configuração'!$B$56+45='🌱 Configuração'!$C$56,"🌿 INÍCIO VEGA — luz 18h/dia",IF('🌱 Configuração'!$B$56+45='🌱 Configuração'!$D$56,"🌸 INÍCIO FLORAÇÃO — mudar 12/12 🔴",IF('🌱 Configuração'!$B$56+45='🌱 Configuração'!$E$56,"🚿 INÍCIO FLUSH — parar nutrição",IF('🌱 Configuração'!$B$56+45='🌱 Configuração'!$F$56-1,"🔬 Véspera da colheita — analisar tricomas",IF('🌱 Configuração'!$B$56+45='🌱 Configuração'!$F$56,"✂️ COLHEITA — Parabéns! 🎉",""))))))</f>
        <v/>
      </c>
      <c r="G51" s="71" t="str">
        <f aca="false">IF(46&gt;'🌱 Configuração'!$F$55,"",IF(AND('🌱 Configuração'!$B$56+45&gt;='🌱 Configuração'!$C$56,'🌱 Configuração'!$B$56+45&lt;'🌱 Configuração'!$D$56,MOD('🌱 Configuração'!$B$56+45-'🌱 Configuração'!$C$56,7)=0),"🐛 MIP — ver aba MIP para aplicação desta semana",IF(AND('🌱 Configuração'!$B$56+45&gt;='🌱 Configuração'!$D$56,MOD('🌱 Configuração'!$B$56+45-'🌱 Configuração'!$D$56,7)=0),"🐛 MIP solo — ver aba MIP (sem foliar em flora)","")))</f>
        <v/>
      </c>
    </row>
    <row r="52" customFormat="false" ht="18" hidden="false" customHeight="true" outlineLevel="0" collapsed="false">
      <c r="B52" s="64" t="n">
        <f aca="false">IF(47&lt;='🌱 Configuração'!$F$55,47,"")</f>
        <v>47</v>
      </c>
      <c r="C52" s="41" t="n">
        <f aca="false">IF(47&lt;='🌱 Configuração'!$F$55,'🌱 Configuração'!$B$56+46,"")</f>
        <v>46</v>
      </c>
      <c r="D52" s="65" t="str">
        <f aca="false">IF(47&gt;'🌱 Configuração'!$F$55,"",IF('🌱 Configuração'!$B$56+46&lt;'🌱 Configuração'!$C$56,"🌱 Clone",IF('🌱 Configuração'!$B$56+46&lt;'🌱 Configuração'!$D$56,"🌿 Vegetativo",IF('🌱 Configuração'!$B$56+46&lt;'🌱 Configuração'!$E$56,"🌸 Floração","🚿 Flush"))))</f>
        <v>🌿 Vegetativo</v>
      </c>
      <c r="E52" s="43" t="str">
        <f aca="false">IF(47&gt;'🌱 Configuração'!$F$55,"",IF('🌱 Configuração'!$B$56+46&lt;'🌱 Configuração'!$C$56,"Clone S"&amp;INT((47-1)/7)+1,IF('🌱 Configuração'!$B$56+46&lt;'🌱 Configuração'!$D$56,"Vega S"&amp;INT(('🌱 Configuração'!$B$56+46-'🌱 Configuração'!$C$56)/7)+1,IF('🌱 Configuração'!$B$56+46&lt;'🌱 Configuração'!$E$56,"Flora S"&amp;INT(('🌱 Configuração'!$B$56+46-'🌱 Configuração'!$D$56)/7)+1,"Flush S"&amp;INT(('🌱 Configuração'!$B$56+46-'🌱 Configuração'!$E$56)/7)+1))))</f>
        <v>Vega S5</v>
      </c>
      <c r="F52" s="42" t="str">
        <f aca="false">IF(47&gt;'🌱 Configuração'!$F$55,"",IF('🌱 Configuração'!$B$56+46='🌱 Configuração'!$C$56,"🌿 INÍCIO VEGA — luz 18h/dia",IF('🌱 Configuração'!$B$56+46='🌱 Configuração'!$D$56,"🌸 INÍCIO FLORAÇÃO — mudar 12/12 🔴",IF('🌱 Configuração'!$B$56+46='🌱 Configuração'!$E$56,"🚿 INÍCIO FLUSH — parar nutrição",IF('🌱 Configuração'!$B$56+46='🌱 Configuração'!$F$56-1,"🔬 Véspera da colheita — analisar tricomas",IF('🌱 Configuração'!$B$56+46='🌱 Configuração'!$F$56,"✂️ COLHEITA — Parabéns! 🎉",""))))))</f>
        <v/>
      </c>
      <c r="G52" s="66" t="str">
        <f aca="false">IF(47&gt;'🌱 Configuração'!$F$55,"",IF(AND('🌱 Configuração'!$B$56+46&gt;='🌱 Configuração'!$C$56,'🌱 Configuração'!$B$56+46&lt;'🌱 Configuração'!$D$56,MOD('🌱 Configuração'!$B$56+46-'🌱 Configuração'!$C$56,7)=0),"🐛 MIP — ver aba MIP para aplicação desta semana",IF(AND('🌱 Configuração'!$B$56+46&gt;='🌱 Configuração'!$D$56,MOD('🌱 Configuração'!$B$56+46-'🌱 Configuração'!$D$56,7)=0),"🐛 MIP solo — ver aba MIP (sem foliar em flora)","")))</f>
        <v/>
      </c>
    </row>
    <row r="53" customFormat="false" ht="18" hidden="false" customHeight="true" outlineLevel="0" collapsed="false">
      <c r="B53" s="67" t="n">
        <f aca="false">IF(48&lt;='🌱 Configuração'!$F$55,48,"")</f>
        <v>48</v>
      </c>
      <c r="C53" s="68" t="n">
        <f aca="false">IF(48&lt;='🌱 Configuração'!$F$55,'🌱 Configuração'!$B$56+47,"")</f>
        <v>47</v>
      </c>
      <c r="D53" s="69" t="str">
        <f aca="false">IF(48&gt;'🌱 Configuração'!$F$55,"",IF('🌱 Configuração'!$B$56+47&lt;'🌱 Configuração'!$C$56,"🌱 Clone",IF('🌱 Configuração'!$B$56+47&lt;'🌱 Configuração'!$D$56,"🌿 Vegetativo",IF('🌱 Configuração'!$B$56+47&lt;'🌱 Configuração'!$E$56,"🌸 Floração","🚿 Flush"))))</f>
        <v>🌿 Vegetativo</v>
      </c>
      <c r="E53" s="70" t="str">
        <f aca="false">IF(48&gt;'🌱 Configuração'!$F$55,"",IF('🌱 Configuração'!$B$56+47&lt;'🌱 Configuração'!$C$56,"Clone S"&amp;INT((48-1)/7)+1,IF('🌱 Configuração'!$B$56+47&lt;'🌱 Configuração'!$D$56,"Vega S"&amp;INT(('🌱 Configuração'!$B$56+47-'🌱 Configuração'!$C$56)/7)+1,IF('🌱 Configuração'!$B$56+47&lt;'🌱 Configuração'!$E$56,"Flora S"&amp;INT(('🌱 Configuração'!$B$56+47-'🌱 Configuração'!$D$56)/7)+1,"Flush S"&amp;INT(('🌱 Configuração'!$B$56+47-'🌱 Configuração'!$E$56)/7)+1))))</f>
        <v>Vega S5</v>
      </c>
      <c r="F53" s="13" t="str">
        <f aca="false">IF(48&gt;'🌱 Configuração'!$F$55,"",IF('🌱 Configuração'!$B$56+47='🌱 Configuração'!$C$56,"🌿 INÍCIO VEGA — luz 18h/dia",IF('🌱 Configuração'!$B$56+47='🌱 Configuração'!$D$56,"🌸 INÍCIO FLORAÇÃO — mudar 12/12 🔴",IF('🌱 Configuração'!$B$56+47='🌱 Configuração'!$E$56,"🚿 INÍCIO FLUSH — parar nutrição",IF('🌱 Configuração'!$B$56+47='🌱 Configuração'!$F$56-1,"🔬 Véspera da colheita — analisar tricomas",IF('🌱 Configuração'!$B$56+47='🌱 Configuração'!$F$56,"✂️ COLHEITA — Parabéns! 🎉",""))))))</f>
        <v/>
      </c>
      <c r="G53" s="71" t="str">
        <f aca="false">IF(48&gt;'🌱 Configuração'!$F$55,"",IF(AND('🌱 Configuração'!$B$56+47&gt;='🌱 Configuração'!$C$56,'🌱 Configuração'!$B$56+47&lt;'🌱 Configuração'!$D$56,MOD('🌱 Configuração'!$B$56+47-'🌱 Configuração'!$C$56,7)=0),"🐛 MIP — ver aba MIP para aplicação desta semana",IF(AND('🌱 Configuração'!$B$56+47&gt;='🌱 Configuração'!$D$56,MOD('🌱 Configuração'!$B$56+47-'🌱 Configuração'!$D$56,7)=0),"🐛 MIP solo — ver aba MIP (sem foliar em flora)","")))</f>
        <v/>
      </c>
    </row>
    <row r="54" customFormat="false" ht="18" hidden="false" customHeight="true" outlineLevel="0" collapsed="false">
      <c r="B54" s="64" t="n">
        <f aca="false">IF(49&lt;='🌱 Configuração'!$F$55,49,"")</f>
        <v>49</v>
      </c>
      <c r="C54" s="41" t="n">
        <f aca="false">IF(49&lt;='🌱 Configuração'!$F$55,'🌱 Configuração'!$B$56+48,"")</f>
        <v>48</v>
      </c>
      <c r="D54" s="65" t="str">
        <f aca="false">IF(49&gt;'🌱 Configuração'!$F$55,"",IF('🌱 Configuração'!$B$56+48&lt;'🌱 Configuração'!$C$56,"🌱 Clone",IF('🌱 Configuração'!$B$56+48&lt;'🌱 Configuração'!$D$56,"🌿 Vegetativo",IF('🌱 Configuração'!$B$56+48&lt;'🌱 Configuração'!$E$56,"🌸 Floração","🚿 Flush"))))</f>
        <v>🌿 Vegetativo</v>
      </c>
      <c r="E54" s="43" t="str">
        <f aca="false">IF(49&gt;'🌱 Configuração'!$F$55,"",IF('🌱 Configuração'!$B$56+48&lt;'🌱 Configuração'!$C$56,"Clone S"&amp;INT((49-1)/7)+1,IF('🌱 Configuração'!$B$56+48&lt;'🌱 Configuração'!$D$56,"Vega S"&amp;INT(('🌱 Configuração'!$B$56+48-'🌱 Configuração'!$C$56)/7)+1,IF('🌱 Configuração'!$B$56+48&lt;'🌱 Configuração'!$E$56,"Flora S"&amp;INT(('🌱 Configuração'!$B$56+48-'🌱 Configuração'!$D$56)/7)+1,"Flush S"&amp;INT(('🌱 Configuração'!$B$56+48-'🌱 Configuração'!$E$56)/7)+1))))</f>
        <v>Vega S5</v>
      </c>
      <c r="F54" s="42" t="str">
        <f aca="false">IF(49&gt;'🌱 Configuração'!$F$55,"",IF('🌱 Configuração'!$B$56+48='🌱 Configuração'!$C$56,"🌿 INÍCIO VEGA — luz 18h/dia",IF('🌱 Configuração'!$B$56+48='🌱 Configuração'!$D$56,"🌸 INÍCIO FLORAÇÃO — mudar 12/12 🔴",IF('🌱 Configuração'!$B$56+48='🌱 Configuração'!$E$56,"🚿 INÍCIO FLUSH — parar nutrição",IF('🌱 Configuração'!$B$56+48='🌱 Configuração'!$F$56-1,"🔬 Véspera da colheita — analisar tricomas",IF('🌱 Configuração'!$B$56+48='🌱 Configuração'!$F$56,"✂️ COLHEITA — Parabéns! 🎉",""))))))</f>
        <v/>
      </c>
      <c r="G54" s="66" t="str">
        <f aca="false">IF(49&gt;'🌱 Configuração'!$F$55,"",IF(AND('🌱 Configuração'!$B$56+48&gt;='🌱 Configuração'!$C$56,'🌱 Configuração'!$B$56+48&lt;'🌱 Configuração'!$D$56,MOD('🌱 Configuração'!$B$56+48-'🌱 Configuração'!$C$56,7)=0),"🐛 MIP — ver aba MIP para aplicação desta semana",IF(AND('🌱 Configuração'!$B$56+48&gt;='🌱 Configuração'!$D$56,MOD('🌱 Configuração'!$B$56+48-'🌱 Configuração'!$D$56,7)=0),"🐛 MIP solo — ver aba MIP (sem foliar em flora)","")))</f>
        <v/>
      </c>
    </row>
    <row r="55" customFormat="false" ht="18" hidden="false" customHeight="true" outlineLevel="0" collapsed="false">
      <c r="B55" s="67" t="n">
        <f aca="false">IF(50&lt;='🌱 Configuração'!$F$55,50,"")</f>
        <v>50</v>
      </c>
      <c r="C55" s="68" t="n">
        <f aca="false">IF(50&lt;='🌱 Configuração'!$F$55,'🌱 Configuração'!$B$56+49,"")</f>
        <v>49</v>
      </c>
      <c r="D55" s="69" t="str">
        <f aca="false">IF(50&gt;'🌱 Configuração'!$F$55,"",IF('🌱 Configuração'!$B$56+49&lt;'🌱 Configuração'!$C$56,"🌱 Clone",IF('🌱 Configuração'!$B$56+49&lt;'🌱 Configuração'!$D$56,"🌿 Vegetativo",IF('🌱 Configuração'!$B$56+49&lt;'🌱 Configuração'!$E$56,"🌸 Floração","🚿 Flush"))))</f>
        <v>🌿 Vegetativo</v>
      </c>
      <c r="E55" s="70" t="str">
        <f aca="false">IF(50&gt;'🌱 Configuração'!$F$55,"",IF('🌱 Configuração'!$B$56+49&lt;'🌱 Configuração'!$C$56,"Clone S"&amp;INT((50-1)/7)+1,IF('🌱 Configuração'!$B$56+49&lt;'🌱 Configuração'!$D$56,"Vega S"&amp;INT(('🌱 Configuração'!$B$56+49-'🌱 Configuração'!$C$56)/7)+1,IF('🌱 Configuração'!$B$56+49&lt;'🌱 Configuração'!$E$56,"Flora S"&amp;INT(('🌱 Configuração'!$B$56+49-'🌱 Configuração'!$D$56)/7)+1,"Flush S"&amp;INT(('🌱 Configuração'!$B$56+49-'🌱 Configuração'!$E$56)/7)+1))))</f>
        <v>Vega S6</v>
      </c>
      <c r="F55" s="13" t="str">
        <f aca="false">IF(50&gt;'🌱 Configuração'!$F$55,"",IF('🌱 Configuração'!$B$56+49='🌱 Configuração'!$C$56,"🌿 INÍCIO VEGA — luz 18h/dia",IF('🌱 Configuração'!$B$56+49='🌱 Configuração'!$D$56,"🌸 INÍCIO FLORAÇÃO — mudar 12/12 🔴",IF('🌱 Configuração'!$B$56+49='🌱 Configuração'!$E$56,"🚿 INÍCIO FLUSH — parar nutrição",IF('🌱 Configuração'!$B$56+49='🌱 Configuração'!$F$56-1,"🔬 Véspera da colheita — analisar tricomas",IF('🌱 Configuração'!$B$56+49='🌱 Configuração'!$F$56,"✂️ COLHEITA — Parabéns! 🎉",""))))))</f>
        <v/>
      </c>
      <c r="G55" s="71" t="str">
        <f aca="false">IF(50&gt;'🌱 Configuração'!$F$55,"",IF(AND('🌱 Configuração'!$B$56+49&gt;='🌱 Configuração'!$C$56,'🌱 Configuração'!$B$56+49&lt;'🌱 Configuração'!$D$56,MOD('🌱 Configuração'!$B$56+49-'🌱 Configuração'!$C$56,7)=0),"🐛 MIP — ver aba MIP para aplicação desta semana",IF(AND('🌱 Configuração'!$B$56+49&gt;='🌱 Configuração'!$D$56,MOD('🌱 Configuração'!$B$56+49-'🌱 Configuração'!$D$56,7)=0),"🐛 MIP solo — ver aba MIP (sem foliar em flora)","")))</f>
        <v>🐛 MIP — ver aba MIP para aplicação desta semana</v>
      </c>
    </row>
    <row r="56" customFormat="false" ht="18" hidden="false" customHeight="true" outlineLevel="0" collapsed="false">
      <c r="B56" s="64" t="n">
        <f aca="false">IF(51&lt;='🌱 Configuração'!$F$55,51,"")</f>
        <v>51</v>
      </c>
      <c r="C56" s="41" t="n">
        <f aca="false">IF(51&lt;='🌱 Configuração'!$F$55,'🌱 Configuração'!$B$56+50,"")</f>
        <v>50</v>
      </c>
      <c r="D56" s="65" t="str">
        <f aca="false">IF(51&gt;'🌱 Configuração'!$F$55,"",IF('🌱 Configuração'!$B$56+50&lt;'🌱 Configuração'!$C$56,"🌱 Clone",IF('🌱 Configuração'!$B$56+50&lt;'🌱 Configuração'!$D$56,"🌿 Vegetativo",IF('🌱 Configuração'!$B$56+50&lt;'🌱 Configuração'!$E$56,"🌸 Floração","🚿 Flush"))))</f>
        <v>🌿 Vegetativo</v>
      </c>
      <c r="E56" s="43" t="str">
        <f aca="false">IF(51&gt;'🌱 Configuração'!$F$55,"",IF('🌱 Configuração'!$B$56+50&lt;'🌱 Configuração'!$C$56,"Clone S"&amp;INT((51-1)/7)+1,IF('🌱 Configuração'!$B$56+50&lt;'🌱 Configuração'!$D$56,"Vega S"&amp;INT(('🌱 Configuração'!$B$56+50-'🌱 Configuração'!$C$56)/7)+1,IF('🌱 Configuração'!$B$56+50&lt;'🌱 Configuração'!$E$56,"Flora S"&amp;INT(('🌱 Configuração'!$B$56+50-'🌱 Configuração'!$D$56)/7)+1,"Flush S"&amp;INT(('🌱 Configuração'!$B$56+50-'🌱 Configuração'!$E$56)/7)+1))))</f>
        <v>Vega S6</v>
      </c>
      <c r="F56" s="42" t="str">
        <f aca="false">IF(51&gt;'🌱 Configuração'!$F$55,"",IF('🌱 Configuração'!$B$56+50='🌱 Configuração'!$C$56,"🌿 INÍCIO VEGA — luz 18h/dia",IF('🌱 Configuração'!$B$56+50='🌱 Configuração'!$D$56,"🌸 INÍCIO FLORAÇÃO — mudar 12/12 🔴",IF('🌱 Configuração'!$B$56+50='🌱 Configuração'!$E$56,"🚿 INÍCIO FLUSH — parar nutrição",IF('🌱 Configuração'!$B$56+50='🌱 Configuração'!$F$56-1,"🔬 Véspera da colheita — analisar tricomas",IF('🌱 Configuração'!$B$56+50='🌱 Configuração'!$F$56,"✂️ COLHEITA — Parabéns! 🎉",""))))))</f>
        <v/>
      </c>
      <c r="G56" s="66" t="str">
        <f aca="false">IF(51&gt;'🌱 Configuração'!$F$55,"",IF(AND('🌱 Configuração'!$B$56+50&gt;='🌱 Configuração'!$C$56,'🌱 Configuração'!$B$56+50&lt;'🌱 Configuração'!$D$56,MOD('🌱 Configuração'!$B$56+50-'🌱 Configuração'!$C$56,7)=0),"🐛 MIP — ver aba MIP para aplicação desta semana",IF(AND('🌱 Configuração'!$B$56+50&gt;='🌱 Configuração'!$D$56,MOD('🌱 Configuração'!$B$56+50-'🌱 Configuração'!$D$56,7)=0),"🐛 MIP solo — ver aba MIP (sem foliar em flora)","")))</f>
        <v/>
      </c>
    </row>
    <row r="57" customFormat="false" ht="18" hidden="false" customHeight="true" outlineLevel="0" collapsed="false">
      <c r="B57" s="67" t="n">
        <f aca="false">IF(52&lt;='🌱 Configuração'!$F$55,52,"")</f>
        <v>52</v>
      </c>
      <c r="C57" s="68" t="n">
        <f aca="false">IF(52&lt;='🌱 Configuração'!$F$55,'🌱 Configuração'!$B$56+51,"")</f>
        <v>51</v>
      </c>
      <c r="D57" s="69" t="str">
        <f aca="false">IF(52&gt;'🌱 Configuração'!$F$55,"",IF('🌱 Configuração'!$B$56+51&lt;'🌱 Configuração'!$C$56,"🌱 Clone",IF('🌱 Configuração'!$B$56+51&lt;'🌱 Configuração'!$D$56,"🌿 Vegetativo",IF('🌱 Configuração'!$B$56+51&lt;'🌱 Configuração'!$E$56,"🌸 Floração","🚿 Flush"))))</f>
        <v>🌿 Vegetativo</v>
      </c>
      <c r="E57" s="70" t="str">
        <f aca="false">IF(52&gt;'🌱 Configuração'!$F$55,"",IF('🌱 Configuração'!$B$56+51&lt;'🌱 Configuração'!$C$56,"Clone S"&amp;INT((52-1)/7)+1,IF('🌱 Configuração'!$B$56+51&lt;'🌱 Configuração'!$D$56,"Vega S"&amp;INT(('🌱 Configuração'!$B$56+51-'🌱 Configuração'!$C$56)/7)+1,IF('🌱 Configuração'!$B$56+51&lt;'🌱 Configuração'!$E$56,"Flora S"&amp;INT(('🌱 Configuração'!$B$56+51-'🌱 Configuração'!$D$56)/7)+1,"Flush S"&amp;INT(('🌱 Configuração'!$B$56+51-'🌱 Configuração'!$E$56)/7)+1))))</f>
        <v>Vega S6</v>
      </c>
      <c r="F57" s="13" t="str">
        <f aca="false">IF(52&gt;'🌱 Configuração'!$F$55,"",IF('🌱 Configuração'!$B$56+51='🌱 Configuração'!$C$56,"🌿 INÍCIO VEGA — luz 18h/dia",IF('🌱 Configuração'!$B$56+51='🌱 Configuração'!$D$56,"🌸 INÍCIO FLORAÇÃO — mudar 12/12 🔴",IF('🌱 Configuração'!$B$56+51='🌱 Configuração'!$E$56,"🚿 INÍCIO FLUSH — parar nutrição",IF('🌱 Configuração'!$B$56+51='🌱 Configuração'!$F$56-1,"🔬 Véspera da colheita — analisar tricomas",IF('🌱 Configuração'!$B$56+51='🌱 Configuração'!$F$56,"✂️ COLHEITA — Parabéns! 🎉",""))))))</f>
        <v/>
      </c>
      <c r="G57" s="71" t="str">
        <f aca="false">IF(52&gt;'🌱 Configuração'!$F$55,"",IF(AND('🌱 Configuração'!$B$56+51&gt;='🌱 Configuração'!$C$56,'🌱 Configuração'!$B$56+51&lt;'🌱 Configuração'!$D$56,MOD('🌱 Configuração'!$B$56+51-'🌱 Configuração'!$C$56,7)=0),"🐛 MIP — ver aba MIP para aplicação desta semana",IF(AND('🌱 Configuração'!$B$56+51&gt;='🌱 Configuração'!$D$56,MOD('🌱 Configuração'!$B$56+51-'🌱 Configuração'!$D$56,7)=0),"🐛 MIP solo — ver aba MIP (sem foliar em flora)","")))</f>
        <v/>
      </c>
    </row>
    <row r="58" customFormat="false" ht="18" hidden="false" customHeight="true" outlineLevel="0" collapsed="false">
      <c r="B58" s="64" t="n">
        <f aca="false">IF(53&lt;='🌱 Configuração'!$F$55,53,"")</f>
        <v>53</v>
      </c>
      <c r="C58" s="41" t="n">
        <f aca="false">IF(53&lt;='🌱 Configuração'!$F$55,'🌱 Configuração'!$B$56+52,"")</f>
        <v>52</v>
      </c>
      <c r="D58" s="65" t="str">
        <f aca="false">IF(53&gt;'🌱 Configuração'!$F$55,"",IF('🌱 Configuração'!$B$56+52&lt;'🌱 Configuração'!$C$56,"🌱 Clone",IF('🌱 Configuração'!$B$56+52&lt;'🌱 Configuração'!$D$56,"🌿 Vegetativo",IF('🌱 Configuração'!$B$56+52&lt;'🌱 Configuração'!$E$56,"🌸 Floração","🚿 Flush"))))</f>
        <v>🌿 Vegetativo</v>
      </c>
      <c r="E58" s="43" t="str">
        <f aca="false">IF(53&gt;'🌱 Configuração'!$F$55,"",IF('🌱 Configuração'!$B$56+52&lt;'🌱 Configuração'!$C$56,"Clone S"&amp;INT((53-1)/7)+1,IF('🌱 Configuração'!$B$56+52&lt;'🌱 Configuração'!$D$56,"Vega S"&amp;INT(('🌱 Configuração'!$B$56+52-'🌱 Configuração'!$C$56)/7)+1,IF('🌱 Configuração'!$B$56+52&lt;'🌱 Configuração'!$E$56,"Flora S"&amp;INT(('🌱 Configuração'!$B$56+52-'🌱 Configuração'!$D$56)/7)+1,"Flush S"&amp;INT(('🌱 Configuração'!$B$56+52-'🌱 Configuração'!$E$56)/7)+1))))</f>
        <v>Vega S6</v>
      </c>
      <c r="F58" s="42" t="str">
        <f aca="false">IF(53&gt;'🌱 Configuração'!$F$55,"",IF('🌱 Configuração'!$B$56+52='🌱 Configuração'!$C$56,"🌿 INÍCIO VEGA — luz 18h/dia",IF('🌱 Configuração'!$B$56+52='🌱 Configuração'!$D$56,"🌸 INÍCIO FLORAÇÃO — mudar 12/12 🔴",IF('🌱 Configuração'!$B$56+52='🌱 Configuração'!$E$56,"🚿 INÍCIO FLUSH — parar nutrição",IF('🌱 Configuração'!$B$56+52='🌱 Configuração'!$F$56-1,"🔬 Véspera da colheita — analisar tricomas",IF('🌱 Configuração'!$B$56+52='🌱 Configuração'!$F$56,"✂️ COLHEITA — Parabéns! 🎉",""))))))</f>
        <v/>
      </c>
      <c r="G58" s="66" t="str">
        <f aca="false">IF(53&gt;'🌱 Configuração'!$F$55,"",IF(AND('🌱 Configuração'!$B$56+52&gt;='🌱 Configuração'!$C$56,'🌱 Configuração'!$B$56+52&lt;'🌱 Configuração'!$D$56,MOD('🌱 Configuração'!$B$56+52-'🌱 Configuração'!$C$56,7)=0),"🐛 MIP — ver aba MIP para aplicação desta semana",IF(AND('🌱 Configuração'!$B$56+52&gt;='🌱 Configuração'!$D$56,MOD('🌱 Configuração'!$B$56+52-'🌱 Configuração'!$D$56,7)=0),"🐛 MIP solo — ver aba MIP (sem foliar em flora)","")))</f>
        <v/>
      </c>
    </row>
    <row r="59" customFormat="false" ht="18" hidden="false" customHeight="true" outlineLevel="0" collapsed="false">
      <c r="B59" s="67" t="n">
        <f aca="false">IF(54&lt;='🌱 Configuração'!$F$55,54,"")</f>
        <v>54</v>
      </c>
      <c r="C59" s="68" t="n">
        <f aca="false">IF(54&lt;='🌱 Configuração'!$F$55,'🌱 Configuração'!$B$56+53,"")</f>
        <v>53</v>
      </c>
      <c r="D59" s="69" t="str">
        <f aca="false">IF(54&gt;'🌱 Configuração'!$F$55,"",IF('🌱 Configuração'!$B$56+53&lt;'🌱 Configuração'!$C$56,"🌱 Clone",IF('🌱 Configuração'!$B$56+53&lt;'🌱 Configuração'!$D$56,"🌿 Vegetativo",IF('🌱 Configuração'!$B$56+53&lt;'🌱 Configuração'!$E$56,"🌸 Floração","🚿 Flush"))))</f>
        <v>🌿 Vegetativo</v>
      </c>
      <c r="E59" s="70" t="str">
        <f aca="false">IF(54&gt;'🌱 Configuração'!$F$55,"",IF('🌱 Configuração'!$B$56+53&lt;'🌱 Configuração'!$C$56,"Clone S"&amp;INT((54-1)/7)+1,IF('🌱 Configuração'!$B$56+53&lt;'🌱 Configuração'!$D$56,"Vega S"&amp;INT(('🌱 Configuração'!$B$56+53-'🌱 Configuração'!$C$56)/7)+1,IF('🌱 Configuração'!$B$56+53&lt;'🌱 Configuração'!$E$56,"Flora S"&amp;INT(('🌱 Configuração'!$B$56+53-'🌱 Configuração'!$D$56)/7)+1,"Flush S"&amp;INT(('🌱 Configuração'!$B$56+53-'🌱 Configuração'!$E$56)/7)+1))))</f>
        <v>Vega S6</v>
      </c>
      <c r="F59" s="13" t="str">
        <f aca="false">IF(54&gt;'🌱 Configuração'!$F$55,"",IF('🌱 Configuração'!$B$56+53='🌱 Configuração'!$C$56,"🌿 INÍCIO VEGA — luz 18h/dia",IF('🌱 Configuração'!$B$56+53='🌱 Configuração'!$D$56,"🌸 INÍCIO FLORAÇÃO — mudar 12/12 🔴",IF('🌱 Configuração'!$B$56+53='🌱 Configuração'!$E$56,"🚿 INÍCIO FLUSH — parar nutrição",IF('🌱 Configuração'!$B$56+53='🌱 Configuração'!$F$56-1,"🔬 Véspera da colheita — analisar tricomas",IF('🌱 Configuração'!$B$56+53='🌱 Configuração'!$F$56,"✂️ COLHEITA — Parabéns! 🎉",""))))))</f>
        <v/>
      </c>
      <c r="G59" s="71" t="str">
        <f aca="false">IF(54&gt;'🌱 Configuração'!$F$55,"",IF(AND('🌱 Configuração'!$B$56+53&gt;='🌱 Configuração'!$C$56,'🌱 Configuração'!$B$56+53&lt;'🌱 Configuração'!$D$56,MOD('🌱 Configuração'!$B$56+53-'🌱 Configuração'!$C$56,7)=0),"🐛 MIP — ver aba MIP para aplicação desta semana",IF(AND('🌱 Configuração'!$B$56+53&gt;='🌱 Configuração'!$D$56,MOD('🌱 Configuração'!$B$56+53-'🌱 Configuração'!$D$56,7)=0),"🐛 MIP solo — ver aba MIP (sem foliar em flora)","")))</f>
        <v/>
      </c>
    </row>
    <row r="60" customFormat="false" ht="18" hidden="false" customHeight="true" outlineLevel="0" collapsed="false">
      <c r="B60" s="64" t="n">
        <f aca="false">IF(55&lt;='🌱 Configuração'!$F$55,55,"")</f>
        <v>55</v>
      </c>
      <c r="C60" s="41" t="n">
        <f aca="false">IF(55&lt;='🌱 Configuração'!$F$55,'🌱 Configuração'!$B$56+54,"")</f>
        <v>54</v>
      </c>
      <c r="D60" s="65" t="str">
        <f aca="false">IF(55&gt;'🌱 Configuração'!$F$55,"",IF('🌱 Configuração'!$B$56+54&lt;'🌱 Configuração'!$C$56,"🌱 Clone",IF('🌱 Configuração'!$B$56+54&lt;'🌱 Configuração'!$D$56,"🌿 Vegetativo",IF('🌱 Configuração'!$B$56+54&lt;'🌱 Configuração'!$E$56,"🌸 Floração","🚿 Flush"))))</f>
        <v>🌿 Vegetativo</v>
      </c>
      <c r="E60" s="43" t="str">
        <f aca="false">IF(55&gt;'🌱 Configuração'!$F$55,"",IF('🌱 Configuração'!$B$56+54&lt;'🌱 Configuração'!$C$56,"Clone S"&amp;INT((55-1)/7)+1,IF('🌱 Configuração'!$B$56+54&lt;'🌱 Configuração'!$D$56,"Vega S"&amp;INT(('🌱 Configuração'!$B$56+54-'🌱 Configuração'!$C$56)/7)+1,IF('🌱 Configuração'!$B$56+54&lt;'🌱 Configuração'!$E$56,"Flora S"&amp;INT(('🌱 Configuração'!$B$56+54-'🌱 Configuração'!$D$56)/7)+1,"Flush S"&amp;INT(('🌱 Configuração'!$B$56+54-'🌱 Configuração'!$E$56)/7)+1))))</f>
        <v>Vega S6</v>
      </c>
      <c r="F60" s="42" t="str">
        <f aca="false">IF(55&gt;'🌱 Configuração'!$F$55,"",IF('🌱 Configuração'!$B$56+54='🌱 Configuração'!$C$56,"🌿 INÍCIO VEGA — luz 18h/dia",IF('🌱 Configuração'!$B$56+54='🌱 Configuração'!$D$56,"🌸 INÍCIO FLORAÇÃO — mudar 12/12 🔴",IF('🌱 Configuração'!$B$56+54='🌱 Configuração'!$E$56,"🚿 INÍCIO FLUSH — parar nutrição",IF('🌱 Configuração'!$B$56+54='🌱 Configuração'!$F$56-1,"🔬 Véspera da colheita — analisar tricomas",IF('🌱 Configuração'!$B$56+54='🌱 Configuração'!$F$56,"✂️ COLHEITA — Parabéns! 🎉",""))))))</f>
        <v/>
      </c>
      <c r="G60" s="66" t="str">
        <f aca="false">IF(55&gt;'🌱 Configuração'!$F$55,"",IF(AND('🌱 Configuração'!$B$56+54&gt;='🌱 Configuração'!$C$56,'🌱 Configuração'!$B$56+54&lt;'🌱 Configuração'!$D$56,MOD('🌱 Configuração'!$B$56+54-'🌱 Configuração'!$C$56,7)=0),"🐛 MIP — ver aba MIP para aplicação desta semana",IF(AND('🌱 Configuração'!$B$56+54&gt;='🌱 Configuração'!$D$56,MOD('🌱 Configuração'!$B$56+54-'🌱 Configuração'!$D$56,7)=0),"🐛 MIP solo — ver aba MIP (sem foliar em flora)","")))</f>
        <v/>
      </c>
    </row>
    <row r="61" customFormat="false" ht="18" hidden="false" customHeight="true" outlineLevel="0" collapsed="false">
      <c r="B61" s="67" t="n">
        <f aca="false">IF(56&lt;='🌱 Configuração'!$F$55,56,"")</f>
        <v>56</v>
      </c>
      <c r="C61" s="68" t="n">
        <f aca="false">IF(56&lt;='🌱 Configuração'!$F$55,'🌱 Configuração'!$B$56+55,"")</f>
        <v>55</v>
      </c>
      <c r="D61" s="69" t="str">
        <f aca="false">IF(56&gt;'🌱 Configuração'!$F$55,"",IF('🌱 Configuração'!$B$56+55&lt;'🌱 Configuração'!$C$56,"🌱 Clone",IF('🌱 Configuração'!$B$56+55&lt;'🌱 Configuração'!$D$56,"🌿 Vegetativo",IF('🌱 Configuração'!$B$56+55&lt;'🌱 Configuração'!$E$56,"🌸 Floração","🚿 Flush"))))</f>
        <v>🌿 Vegetativo</v>
      </c>
      <c r="E61" s="70" t="str">
        <f aca="false">IF(56&gt;'🌱 Configuração'!$F$55,"",IF('🌱 Configuração'!$B$56+55&lt;'🌱 Configuração'!$C$56,"Clone S"&amp;INT((56-1)/7)+1,IF('🌱 Configuração'!$B$56+55&lt;'🌱 Configuração'!$D$56,"Vega S"&amp;INT(('🌱 Configuração'!$B$56+55-'🌱 Configuração'!$C$56)/7)+1,IF('🌱 Configuração'!$B$56+55&lt;'🌱 Configuração'!$E$56,"Flora S"&amp;INT(('🌱 Configuração'!$B$56+55-'🌱 Configuração'!$D$56)/7)+1,"Flush S"&amp;INT(('🌱 Configuração'!$B$56+55-'🌱 Configuração'!$E$56)/7)+1))))</f>
        <v>Vega S6</v>
      </c>
      <c r="F61" s="13" t="str">
        <f aca="false">IF(56&gt;'🌱 Configuração'!$F$55,"",IF('🌱 Configuração'!$B$56+55='🌱 Configuração'!$C$56,"🌿 INÍCIO VEGA — luz 18h/dia",IF('🌱 Configuração'!$B$56+55='🌱 Configuração'!$D$56,"🌸 INÍCIO FLORAÇÃO — mudar 12/12 🔴",IF('🌱 Configuração'!$B$56+55='🌱 Configuração'!$E$56,"🚿 INÍCIO FLUSH — parar nutrição",IF('🌱 Configuração'!$B$56+55='🌱 Configuração'!$F$56-1,"🔬 Véspera da colheita — analisar tricomas",IF('🌱 Configuração'!$B$56+55='🌱 Configuração'!$F$56,"✂️ COLHEITA — Parabéns! 🎉",""))))))</f>
        <v/>
      </c>
      <c r="G61" s="71" t="str">
        <f aca="false">IF(56&gt;'🌱 Configuração'!$F$55,"",IF(AND('🌱 Configuração'!$B$56+55&gt;='🌱 Configuração'!$C$56,'🌱 Configuração'!$B$56+55&lt;'🌱 Configuração'!$D$56,MOD('🌱 Configuração'!$B$56+55-'🌱 Configuração'!$C$56,7)=0),"🐛 MIP — ver aba MIP para aplicação desta semana",IF(AND('🌱 Configuração'!$B$56+55&gt;='🌱 Configuração'!$D$56,MOD('🌱 Configuração'!$B$56+55-'🌱 Configuração'!$D$56,7)=0),"🐛 MIP solo — ver aba MIP (sem foliar em flora)","")))</f>
        <v/>
      </c>
    </row>
    <row r="62" customFormat="false" ht="18" hidden="false" customHeight="true" outlineLevel="0" collapsed="false">
      <c r="B62" s="64" t="n">
        <f aca="false">IF(57&lt;='🌱 Configuração'!$F$55,57,"")</f>
        <v>57</v>
      </c>
      <c r="C62" s="41" t="n">
        <f aca="false">IF(57&lt;='🌱 Configuração'!$F$55,'🌱 Configuração'!$B$56+56,"")</f>
        <v>56</v>
      </c>
      <c r="D62" s="65" t="str">
        <f aca="false">IF(57&gt;'🌱 Configuração'!$F$55,"",IF('🌱 Configuração'!$B$56+56&lt;'🌱 Configuração'!$C$56,"🌱 Clone",IF('🌱 Configuração'!$B$56+56&lt;'🌱 Configuração'!$D$56,"🌿 Vegetativo",IF('🌱 Configuração'!$B$56+56&lt;'🌱 Configuração'!$E$56,"🌸 Floração","🚿 Flush"))))</f>
        <v>🌸 Floração</v>
      </c>
      <c r="E62" s="43" t="str">
        <f aca="false">IF(57&gt;'🌱 Configuração'!$F$55,"",IF('🌱 Configuração'!$B$56+56&lt;'🌱 Configuração'!$C$56,"Clone S"&amp;INT((57-1)/7)+1,IF('🌱 Configuração'!$B$56+56&lt;'🌱 Configuração'!$D$56,"Vega S"&amp;INT(('🌱 Configuração'!$B$56+56-'🌱 Configuração'!$C$56)/7)+1,IF('🌱 Configuração'!$B$56+56&lt;'🌱 Configuração'!$E$56,"Flora S"&amp;INT(('🌱 Configuração'!$B$56+56-'🌱 Configuração'!$D$56)/7)+1,"Flush S"&amp;INT(('🌱 Configuração'!$B$56+56-'🌱 Configuração'!$E$56)/7)+1))))</f>
        <v>Flora S1</v>
      </c>
      <c r="F62" s="42" t="str">
        <f aca="false">IF(57&gt;'🌱 Configuração'!$F$55,"",IF('🌱 Configuração'!$B$56+56='🌱 Configuração'!$C$56,"🌿 INÍCIO VEGA — luz 18h/dia",IF('🌱 Configuração'!$B$56+56='🌱 Configuração'!$D$56,"🌸 INÍCIO FLORAÇÃO — mudar 12/12 🔴",IF('🌱 Configuração'!$B$56+56='🌱 Configuração'!$E$56,"🚿 INÍCIO FLUSH — parar nutrição",IF('🌱 Configuração'!$B$56+56='🌱 Configuração'!$F$56-1,"🔬 Véspera da colheita — analisar tricomas",IF('🌱 Configuração'!$B$56+56='🌱 Configuração'!$F$56,"✂️ COLHEITA — Parabéns! 🎉",""))))))</f>
        <v>🌸 INÍCIO FLORAÇÃO — mudar 12/12 🔴</v>
      </c>
      <c r="G62" s="66" t="str">
        <f aca="false">IF(57&gt;'🌱 Configuração'!$F$55,"",IF(AND('🌱 Configuração'!$B$56+56&gt;='🌱 Configuração'!$C$56,'🌱 Configuração'!$B$56+56&lt;'🌱 Configuração'!$D$56,MOD('🌱 Configuração'!$B$56+56-'🌱 Configuração'!$C$56,7)=0),"🐛 MIP — ver aba MIP para aplicação desta semana",IF(AND('🌱 Configuração'!$B$56+56&gt;='🌱 Configuração'!$D$56,MOD('🌱 Configuração'!$B$56+56-'🌱 Configuração'!$D$56,7)=0),"🐛 MIP solo — ver aba MIP (sem foliar em flora)","")))</f>
        <v>🐛 MIP solo — ver aba MIP (sem foliar em flora)</v>
      </c>
    </row>
    <row r="63" customFormat="false" ht="18" hidden="false" customHeight="true" outlineLevel="0" collapsed="false">
      <c r="B63" s="67" t="n">
        <f aca="false">IF(58&lt;='🌱 Configuração'!$F$55,58,"")</f>
        <v>58</v>
      </c>
      <c r="C63" s="68" t="n">
        <f aca="false">IF(58&lt;='🌱 Configuração'!$F$55,'🌱 Configuração'!$B$56+57,"")</f>
        <v>57</v>
      </c>
      <c r="D63" s="69" t="str">
        <f aca="false">IF(58&gt;'🌱 Configuração'!$F$55,"",IF('🌱 Configuração'!$B$56+57&lt;'🌱 Configuração'!$C$56,"🌱 Clone",IF('🌱 Configuração'!$B$56+57&lt;'🌱 Configuração'!$D$56,"🌿 Vegetativo",IF('🌱 Configuração'!$B$56+57&lt;'🌱 Configuração'!$E$56,"🌸 Floração","🚿 Flush"))))</f>
        <v>🌸 Floração</v>
      </c>
      <c r="E63" s="70" t="str">
        <f aca="false">IF(58&gt;'🌱 Configuração'!$F$55,"",IF('🌱 Configuração'!$B$56+57&lt;'🌱 Configuração'!$C$56,"Clone S"&amp;INT((58-1)/7)+1,IF('🌱 Configuração'!$B$56+57&lt;'🌱 Configuração'!$D$56,"Vega S"&amp;INT(('🌱 Configuração'!$B$56+57-'🌱 Configuração'!$C$56)/7)+1,IF('🌱 Configuração'!$B$56+57&lt;'🌱 Configuração'!$E$56,"Flora S"&amp;INT(('🌱 Configuração'!$B$56+57-'🌱 Configuração'!$D$56)/7)+1,"Flush S"&amp;INT(('🌱 Configuração'!$B$56+57-'🌱 Configuração'!$E$56)/7)+1))))</f>
        <v>Flora S1</v>
      </c>
      <c r="F63" s="13" t="str">
        <f aca="false">IF(58&gt;'🌱 Configuração'!$F$55,"",IF('🌱 Configuração'!$B$56+57='🌱 Configuração'!$C$56,"🌿 INÍCIO VEGA — luz 18h/dia",IF('🌱 Configuração'!$B$56+57='🌱 Configuração'!$D$56,"🌸 INÍCIO FLORAÇÃO — mudar 12/12 🔴",IF('🌱 Configuração'!$B$56+57='🌱 Configuração'!$E$56,"🚿 INÍCIO FLUSH — parar nutrição",IF('🌱 Configuração'!$B$56+57='🌱 Configuração'!$F$56-1,"🔬 Véspera da colheita — analisar tricomas",IF('🌱 Configuração'!$B$56+57='🌱 Configuração'!$F$56,"✂️ COLHEITA — Parabéns! 🎉",""))))))</f>
        <v/>
      </c>
      <c r="G63" s="71" t="str">
        <f aca="false">IF(58&gt;'🌱 Configuração'!$F$55,"",IF(AND('🌱 Configuração'!$B$56+57&gt;='🌱 Configuração'!$C$56,'🌱 Configuração'!$B$56+57&lt;'🌱 Configuração'!$D$56,MOD('🌱 Configuração'!$B$56+57-'🌱 Configuração'!$C$56,7)=0),"🐛 MIP — ver aba MIP para aplicação desta semana",IF(AND('🌱 Configuração'!$B$56+57&gt;='🌱 Configuração'!$D$56,MOD('🌱 Configuração'!$B$56+57-'🌱 Configuração'!$D$56,7)=0),"🐛 MIP solo — ver aba MIP (sem foliar em flora)","")))</f>
        <v/>
      </c>
    </row>
    <row r="64" customFormat="false" ht="18" hidden="false" customHeight="true" outlineLevel="0" collapsed="false">
      <c r="B64" s="64" t="n">
        <f aca="false">IF(59&lt;='🌱 Configuração'!$F$55,59,"")</f>
        <v>59</v>
      </c>
      <c r="C64" s="41" t="n">
        <f aca="false">IF(59&lt;='🌱 Configuração'!$F$55,'🌱 Configuração'!$B$56+58,"")</f>
        <v>58</v>
      </c>
      <c r="D64" s="65" t="str">
        <f aca="false">IF(59&gt;'🌱 Configuração'!$F$55,"",IF('🌱 Configuração'!$B$56+58&lt;'🌱 Configuração'!$C$56,"🌱 Clone",IF('🌱 Configuração'!$B$56+58&lt;'🌱 Configuração'!$D$56,"🌿 Vegetativo",IF('🌱 Configuração'!$B$56+58&lt;'🌱 Configuração'!$E$56,"🌸 Floração","🚿 Flush"))))</f>
        <v>🌸 Floração</v>
      </c>
      <c r="E64" s="43" t="str">
        <f aca="false">IF(59&gt;'🌱 Configuração'!$F$55,"",IF('🌱 Configuração'!$B$56+58&lt;'🌱 Configuração'!$C$56,"Clone S"&amp;INT((59-1)/7)+1,IF('🌱 Configuração'!$B$56+58&lt;'🌱 Configuração'!$D$56,"Vega S"&amp;INT(('🌱 Configuração'!$B$56+58-'🌱 Configuração'!$C$56)/7)+1,IF('🌱 Configuração'!$B$56+58&lt;'🌱 Configuração'!$E$56,"Flora S"&amp;INT(('🌱 Configuração'!$B$56+58-'🌱 Configuração'!$D$56)/7)+1,"Flush S"&amp;INT(('🌱 Configuração'!$B$56+58-'🌱 Configuração'!$E$56)/7)+1))))</f>
        <v>Flora S1</v>
      </c>
      <c r="F64" s="42" t="str">
        <f aca="false">IF(59&gt;'🌱 Configuração'!$F$55,"",IF('🌱 Configuração'!$B$56+58='🌱 Configuração'!$C$56,"🌿 INÍCIO VEGA — luz 18h/dia",IF('🌱 Configuração'!$B$56+58='🌱 Configuração'!$D$56,"🌸 INÍCIO FLORAÇÃO — mudar 12/12 🔴",IF('🌱 Configuração'!$B$56+58='🌱 Configuração'!$E$56,"🚿 INÍCIO FLUSH — parar nutrição",IF('🌱 Configuração'!$B$56+58='🌱 Configuração'!$F$56-1,"🔬 Véspera da colheita — analisar tricomas",IF('🌱 Configuração'!$B$56+58='🌱 Configuração'!$F$56,"✂️ COLHEITA — Parabéns! 🎉",""))))))</f>
        <v/>
      </c>
      <c r="G64" s="66" t="str">
        <f aca="false">IF(59&gt;'🌱 Configuração'!$F$55,"",IF(AND('🌱 Configuração'!$B$56+58&gt;='🌱 Configuração'!$C$56,'🌱 Configuração'!$B$56+58&lt;'🌱 Configuração'!$D$56,MOD('🌱 Configuração'!$B$56+58-'🌱 Configuração'!$C$56,7)=0),"🐛 MIP — ver aba MIP para aplicação desta semana",IF(AND('🌱 Configuração'!$B$56+58&gt;='🌱 Configuração'!$D$56,MOD('🌱 Configuração'!$B$56+58-'🌱 Configuração'!$D$56,7)=0),"🐛 MIP solo — ver aba MIP (sem foliar em flora)","")))</f>
        <v/>
      </c>
    </row>
    <row r="65" customFormat="false" ht="18" hidden="false" customHeight="true" outlineLevel="0" collapsed="false">
      <c r="B65" s="67" t="n">
        <f aca="false">IF(60&lt;='🌱 Configuração'!$F$55,60,"")</f>
        <v>60</v>
      </c>
      <c r="C65" s="68" t="n">
        <f aca="false">IF(60&lt;='🌱 Configuração'!$F$55,'🌱 Configuração'!$B$56+59,"")</f>
        <v>59</v>
      </c>
      <c r="D65" s="69" t="str">
        <f aca="false">IF(60&gt;'🌱 Configuração'!$F$55,"",IF('🌱 Configuração'!$B$56+59&lt;'🌱 Configuração'!$C$56,"🌱 Clone",IF('🌱 Configuração'!$B$56+59&lt;'🌱 Configuração'!$D$56,"🌿 Vegetativo",IF('🌱 Configuração'!$B$56+59&lt;'🌱 Configuração'!$E$56,"🌸 Floração","🚿 Flush"))))</f>
        <v>🌸 Floração</v>
      </c>
      <c r="E65" s="70" t="str">
        <f aca="false">IF(60&gt;'🌱 Configuração'!$F$55,"",IF('🌱 Configuração'!$B$56+59&lt;'🌱 Configuração'!$C$56,"Clone S"&amp;INT((60-1)/7)+1,IF('🌱 Configuração'!$B$56+59&lt;'🌱 Configuração'!$D$56,"Vega S"&amp;INT(('🌱 Configuração'!$B$56+59-'🌱 Configuração'!$C$56)/7)+1,IF('🌱 Configuração'!$B$56+59&lt;'🌱 Configuração'!$E$56,"Flora S"&amp;INT(('🌱 Configuração'!$B$56+59-'🌱 Configuração'!$D$56)/7)+1,"Flush S"&amp;INT(('🌱 Configuração'!$B$56+59-'🌱 Configuração'!$E$56)/7)+1))))</f>
        <v>Flora S1</v>
      </c>
      <c r="F65" s="13" t="str">
        <f aca="false">IF(60&gt;'🌱 Configuração'!$F$55,"",IF('🌱 Configuração'!$B$56+59='🌱 Configuração'!$C$56,"🌿 INÍCIO VEGA — luz 18h/dia",IF('🌱 Configuração'!$B$56+59='🌱 Configuração'!$D$56,"🌸 INÍCIO FLORAÇÃO — mudar 12/12 🔴",IF('🌱 Configuração'!$B$56+59='🌱 Configuração'!$E$56,"🚿 INÍCIO FLUSH — parar nutrição",IF('🌱 Configuração'!$B$56+59='🌱 Configuração'!$F$56-1,"🔬 Véspera da colheita — analisar tricomas",IF('🌱 Configuração'!$B$56+59='🌱 Configuração'!$F$56,"✂️ COLHEITA — Parabéns! 🎉",""))))))</f>
        <v/>
      </c>
      <c r="G65" s="71" t="str">
        <f aca="false">IF(60&gt;'🌱 Configuração'!$F$55,"",IF(AND('🌱 Configuração'!$B$56+59&gt;='🌱 Configuração'!$C$56,'🌱 Configuração'!$B$56+59&lt;'🌱 Configuração'!$D$56,MOD('🌱 Configuração'!$B$56+59-'🌱 Configuração'!$C$56,7)=0),"🐛 MIP — ver aba MIP para aplicação desta semana",IF(AND('🌱 Configuração'!$B$56+59&gt;='🌱 Configuração'!$D$56,MOD('🌱 Configuração'!$B$56+59-'🌱 Configuração'!$D$56,7)=0),"🐛 MIP solo — ver aba MIP (sem foliar em flora)","")))</f>
        <v/>
      </c>
    </row>
    <row r="66" customFormat="false" ht="18" hidden="false" customHeight="true" outlineLevel="0" collapsed="false">
      <c r="B66" s="64" t="n">
        <f aca="false">IF(61&lt;='🌱 Configuração'!$F$55,61,"")</f>
        <v>61</v>
      </c>
      <c r="C66" s="41" t="n">
        <f aca="false">IF(61&lt;='🌱 Configuração'!$F$55,'🌱 Configuração'!$B$56+60,"")</f>
        <v>60</v>
      </c>
      <c r="D66" s="65" t="str">
        <f aca="false">IF(61&gt;'🌱 Configuração'!$F$55,"",IF('🌱 Configuração'!$B$56+60&lt;'🌱 Configuração'!$C$56,"🌱 Clone",IF('🌱 Configuração'!$B$56+60&lt;'🌱 Configuração'!$D$56,"🌿 Vegetativo",IF('🌱 Configuração'!$B$56+60&lt;'🌱 Configuração'!$E$56,"🌸 Floração","🚿 Flush"))))</f>
        <v>🌸 Floração</v>
      </c>
      <c r="E66" s="43" t="str">
        <f aca="false">IF(61&gt;'🌱 Configuração'!$F$55,"",IF('🌱 Configuração'!$B$56+60&lt;'🌱 Configuração'!$C$56,"Clone S"&amp;INT((61-1)/7)+1,IF('🌱 Configuração'!$B$56+60&lt;'🌱 Configuração'!$D$56,"Vega S"&amp;INT(('🌱 Configuração'!$B$56+60-'🌱 Configuração'!$C$56)/7)+1,IF('🌱 Configuração'!$B$56+60&lt;'🌱 Configuração'!$E$56,"Flora S"&amp;INT(('🌱 Configuração'!$B$56+60-'🌱 Configuração'!$D$56)/7)+1,"Flush S"&amp;INT(('🌱 Configuração'!$B$56+60-'🌱 Configuração'!$E$56)/7)+1))))</f>
        <v>Flora S1</v>
      </c>
      <c r="F66" s="42" t="str">
        <f aca="false">IF(61&gt;'🌱 Configuração'!$F$55,"",IF('🌱 Configuração'!$B$56+60='🌱 Configuração'!$C$56,"🌿 INÍCIO VEGA — luz 18h/dia",IF('🌱 Configuração'!$B$56+60='🌱 Configuração'!$D$56,"🌸 INÍCIO FLORAÇÃO — mudar 12/12 🔴",IF('🌱 Configuração'!$B$56+60='🌱 Configuração'!$E$56,"🚿 INÍCIO FLUSH — parar nutrição",IF('🌱 Configuração'!$B$56+60='🌱 Configuração'!$F$56-1,"🔬 Véspera da colheita — analisar tricomas",IF('🌱 Configuração'!$B$56+60='🌱 Configuração'!$F$56,"✂️ COLHEITA — Parabéns! 🎉",""))))))</f>
        <v/>
      </c>
      <c r="G66" s="66" t="str">
        <f aca="false">IF(61&gt;'🌱 Configuração'!$F$55,"",IF(AND('🌱 Configuração'!$B$56+60&gt;='🌱 Configuração'!$C$56,'🌱 Configuração'!$B$56+60&lt;'🌱 Configuração'!$D$56,MOD('🌱 Configuração'!$B$56+60-'🌱 Configuração'!$C$56,7)=0),"🐛 MIP — ver aba MIP para aplicação desta semana",IF(AND('🌱 Configuração'!$B$56+60&gt;='🌱 Configuração'!$D$56,MOD('🌱 Configuração'!$B$56+60-'🌱 Configuração'!$D$56,7)=0),"🐛 MIP solo — ver aba MIP (sem foliar em flora)","")))</f>
        <v/>
      </c>
    </row>
    <row r="67" customFormat="false" ht="18" hidden="false" customHeight="true" outlineLevel="0" collapsed="false">
      <c r="B67" s="67" t="n">
        <f aca="false">IF(62&lt;='🌱 Configuração'!$F$55,62,"")</f>
        <v>62</v>
      </c>
      <c r="C67" s="68" t="n">
        <f aca="false">IF(62&lt;='🌱 Configuração'!$F$55,'🌱 Configuração'!$B$56+61,"")</f>
        <v>61</v>
      </c>
      <c r="D67" s="69" t="str">
        <f aca="false">IF(62&gt;'🌱 Configuração'!$F$55,"",IF('🌱 Configuração'!$B$56+61&lt;'🌱 Configuração'!$C$56,"🌱 Clone",IF('🌱 Configuração'!$B$56+61&lt;'🌱 Configuração'!$D$56,"🌿 Vegetativo",IF('🌱 Configuração'!$B$56+61&lt;'🌱 Configuração'!$E$56,"🌸 Floração","🚿 Flush"))))</f>
        <v>🌸 Floração</v>
      </c>
      <c r="E67" s="70" t="str">
        <f aca="false">IF(62&gt;'🌱 Configuração'!$F$55,"",IF('🌱 Configuração'!$B$56+61&lt;'🌱 Configuração'!$C$56,"Clone S"&amp;INT((62-1)/7)+1,IF('🌱 Configuração'!$B$56+61&lt;'🌱 Configuração'!$D$56,"Vega S"&amp;INT(('🌱 Configuração'!$B$56+61-'🌱 Configuração'!$C$56)/7)+1,IF('🌱 Configuração'!$B$56+61&lt;'🌱 Configuração'!$E$56,"Flora S"&amp;INT(('🌱 Configuração'!$B$56+61-'🌱 Configuração'!$D$56)/7)+1,"Flush S"&amp;INT(('🌱 Configuração'!$B$56+61-'🌱 Configuração'!$E$56)/7)+1))))</f>
        <v>Flora S1</v>
      </c>
      <c r="F67" s="13" t="str">
        <f aca="false">IF(62&gt;'🌱 Configuração'!$F$55,"",IF('🌱 Configuração'!$B$56+61='🌱 Configuração'!$C$56,"🌿 INÍCIO VEGA — luz 18h/dia",IF('🌱 Configuração'!$B$56+61='🌱 Configuração'!$D$56,"🌸 INÍCIO FLORAÇÃO — mudar 12/12 🔴",IF('🌱 Configuração'!$B$56+61='🌱 Configuração'!$E$56,"🚿 INÍCIO FLUSH — parar nutrição",IF('🌱 Configuração'!$B$56+61='🌱 Configuração'!$F$56-1,"🔬 Véspera da colheita — analisar tricomas",IF('🌱 Configuração'!$B$56+61='🌱 Configuração'!$F$56,"✂️ COLHEITA — Parabéns! 🎉",""))))))</f>
        <v/>
      </c>
      <c r="G67" s="71" t="str">
        <f aca="false">IF(62&gt;'🌱 Configuração'!$F$55,"",IF(AND('🌱 Configuração'!$B$56+61&gt;='🌱 Configuração'!$C$56,'🌱 Configuração'!$B$56+61&lt;'🌱 Configuração'!$D$56,MOD('🌱 Configuração'!$B$56+61-'🌱 Configuração'!$C$56,7)=0),"🐛 MIP — ver aba MIP para aplicação desta semana",IF(AND('🌱 Configuração'!$B$56+61&gt;='🌱 Configuração'!$D$56,MOD('🌱 Configuração'!$B$56+61-'🌱 Configuração'!$D$56,7)=0),"🐛 MIP solo — ver aba MIP (sem foliar em flora)","")))</f>
        <v/>
      </c>
    </row>
    <row r="68" customFormat="false" ht="18" hidden="false" customHeight="true" outlineLevel="0" collapsed="false">
      <c r="B68" s="64" t="n">
        <f aca="false">IF(63&lt;='🌱 Configuração'!$F$55,63,"")</f>
        <v>63</v>
      </c>
      <c r="C68" s="41" t="n">
        <f aca="false">IF(63&lt;='🌱 Configuração'!$F$55,'🌱 Configuração'!$B$56+62,"")</f>
        <v>62</v>
      </c>
      <c r="D68" s="65" t="str">
        <f aca="false">IF(63&gt;'🌱 Configuração'!$F$55,"",IF('🌱 Configuração'!$B$56+62&lt;'🌱 Configuração'!$C$56,"🌱 Clone",IF('🌱 Configuração'!$B$56+62&lt;'🌱 Configuração'!$D$56,"🌿 Vegetativo",IF('🌱 Configuração'!$B$56+62&lt;'🌱 Configuração'!$E$56,"🌸 Floração","🚿 Flush"))))</f>
        <v>🌸 Floração</v>
      </c>
      <c r="E68" s="43" t="str">
        <f aca="false">IF(63&gt;'🌱 Configuração'!$F$55,"",IF('🌱 Configuração'!$B$56+62&lt;'🌱 Configuração'!$C$56,"Clone S"&amp;INT((63-1)/7)+1,IF('🌱 Configuração'!$B$56+62&lt;'🌱 Configuração'!$D$56,"Vega S"&amp;INT(('🌱 Configuração'!$B$56+62-'🌱 Configuração'!$C$56)/7)+1,IF('🌱 Configuração'!$B$56+62&lt;'🌱 Configuração'!$E$56,"Flora S"&amp;INT(('🌱 Configuração'!$B$56+62-'🌱 Configuração'!$D$56)/7)+1,"Flush S"&amp;INT(('🌱 Configuração'!$B$56+62-'🌱 Configuração'!$E$56)/7)+1))))</f>
        <v>Flora S1</v>
      </c>
      <c r="F68" s="42" t="str">
        <f aca="false">IF(63&gt;'🌱 Configuração'!$F$55,"",IF('🌱 Configuração'!$B$56+62='🌱 Configuração'!$C$56,"🌿 INÍCIO VEGA — luz 18h/dia",IF('🌱 Configuração'!$B$56+62='🌱 Configuração'!$D$56,"🌸 INÍCIO FLORAÇÃO — mudar 12/12 🔴",IF('🌱 Configuração'!$B$56+62='🌱 Configuração'!$E$56,"🚿 INÍCIO FLUSH — parar nutrição",IF('🌱 Configuração'!$B$56+62='🌱 Configuração'!$F$56-1,"🔬 Véspera da colheita — analisar tricomas",IF('🌱 Configuração'!$B$56+62='🌱 Configuração'!$F$56,"✂️ COLHEITA — Parabéns! 🎉",""))))))</f>
        <v/>
      </c>
      <c r="G68" s="66" t="str">
        <f aca="false">IF(63&gt;'🌱 Configuração'!$F$55,"",IF(AND('🌱 Configuração'!$B$56+62&gt;='🌱 Configuração'!$C$56,'🌱 Configuração'!$B$56+62&lt;'🌱 Configuração'!$D$56,MOD('🌱 Configuração'!$B$56+62-'🌱 Configuração'!$C$56,7)=0),"🐛 MIP — ver aba MIP para aplicação desta semana",IF(AND('🌱 Configuração'!$B$56+62&gt;='🌱 Configuração'!$D$56,MOD('🌱 Configuração'!$B$56+62-'🌱 Configuração'!$D$56,7)=0),"🐛 MIP solo — ver aba MIP (sem foliar em flora)","")))</f>
        <v/>
      </c>
    </row>
    <row r="69" customFormat="false" ht="18" hidden="false" customHeight="true" outlineLevel="0" collapsed="false">
      <c r="B69" s="67" t="n">
        <f aca="false">IF(64&lt;='🌱 Configuração'!$F$55,64,"")</f>
        <v>64</v>
      </c>
      <c r="C69" s="68" t="n">
        <f aca="false">IF(64&lt;='🌱 Configuração'!$F$55,'🌱 Configuração'!$B$56+63,"")</f>
        <v>63</v>
      </c>
      <c r="D69" s="69" t="str">
        <f aca="false">IF(64&gt;'🌱 Configuração'!$F$55,"",IF('🌱 Configuração'!$B$56+63&lt;'🌱 Configuração'!$C$56,"🌱 Clone",IF('🌱 Configuração'!$B$56+63&lt;'🌱 Configuração'!$D$56,"🌿 Vegetativo",IF('🌱 Configuração'!$B$56+63&lt;'🌱 Configuração'!$E$56,"🌸 Floração","🚿 Flush"))))</f>
        <v>🌸 Floração</v>
      </c>
      <c r="E69" s="70" t="str">
        <f aca="false">IF(64&gt;'🌱 Configuração'!$F$55,"",IF('🌱 Configuração'!$B$56+63&lt;'🌱 Configuração'!$C$56,"Clone S"&amp;INT((64-1)/7)+1,IF('🌱 Configuração'!$B$56+63&lt;'🌱 Configuração'!$D$56,"Vega S"&amp;INT(('🌱 Configuração'!$B$56+63-'🌱 Configuração'!$C$56)/7)+1,IF('🌱 Configuração'!$B$56+63&lt;'🌱 Configuração'!$E$56,"Flora S"&amp;INT(('🌱 Configuração'!$B$56+63-'🌱 Configuração'!$D$56)/7)+1,"Flush S"&amp;INT(('🌱 Configuração'!$B$56+63-'🌱 Configuração'!$E$56)/7)+1))))</f>
        <v>Flora S2</v>
      </c>
      <c r="F69" s="13" t="str">
        <f aca="false">IF(64&gt;'🌱 Configuração'!$F$55,"",IF('🌱 Configuração'!$B$56+63='🌱 Configuração'!$C$56,"🌿 INÍCIO VEGA — luz 18h/dia",IF('🌱 Configuração'!$B$56+63='🌱 Configuração'!$D$56,"🌸 INÍCIO FLORAÇÃO — mudar 12/12 🔴",IF('🌱 Configuração'!$B$56+63='🌱 Configuração'!$E$56,"🚿 INÍCIO FLUSH — parar nutrição",IF('🌱 Configuração'!$B$56+63='🌱 Configuração'!$F$56-1,"🔬 Véspera da colheita — analisar tricomas",IF('🌱 Configuração'!$B$56+63='🌱 Configuração'!$F$56,"✂️ COLHEITA — Parabéns! 🎉",""))))))</f>
        <v/>
      </c>
      <c r="G69" s="71" t="str">
        <f aca="false">IF(64&gt;'🌱 Configuração'!$F$55,"",IF(AND('🌱 Configuração'!$B$56+63&gt;='🌱 Configuração'!$C$56,'🌱 Configuração'!$B$56+63&lt;'🌱 Configuração'!$D$56,MOD('🌱 Configuração'!$B$56+63-'🌱 Configuração'!$C$56,7)=0),"🐛 MIP — ver aba MIP para aplicação desta semana",IF(AND('🌱 Configuração'!$B$56+63&gt;='🌱 Configuração'!$D$56,MOD('🌱 Configuração'!$B$56+63-'🌱 Configuração'!$D$56,7)=0),"🐛 MIP solo — ver aba MIP (sem foliar em flora)","")))</f>
        <v>🐛 MIP solo — ver aba MIP (sem foliar em flora)</v>
      </c>
    </row>
    <row r="70" customFormat="false" ht="18" hidden="false" customHeight="true" outlineLevel="0" collapsed="false">
      <c r="B70" s="64" t="n">
        <f aca="false">IF(65&lt;='🌱 Configuração'!$F$55,65,"")</f>
        <v>65</v>
      </c>
      <c r="C70" s="41" t="n">
        <f aca="false">IF(65&lt;='🌱 Configuração'!$F$55,'🌱 Configuração'!$B$56+64,"")</f>
        <v>64</v>
      </c>
      <c r="D70" s="65" t="str">
        <f aca="false">IF(65&gt;'🌱 Configuração'!$F$55,"",IF('🌱 Configuração'!$B$56+64&lt;'🌱 Configuração'!$C$56,"🌱 Clone",IF('🌱 Configuração'!$B$56+64&lt;'🌱 Configuração'!$D$56,"🌿 Vegetativo",IF('🌱 Configuração'!$B$56+64&lt;'🌱 Configuração'!$E$56,"🌸 Floração","🚿 Flush"))))</f>
        <v>🌸 Floração</v>
      </c>
      <c r="E70" s="43" t="str">
        <f aca="false">IF(65&gt;'🌱 Configuração'!$F$55,"",IF('🌱 Configuração'!$B$56+64&lt;'🌱 Configuração'!$C$56,"Clone S"&amp;INT((65-1)/7)+1,IF('🌱 Configuração'!$B$56+64&lt;'🌱 Configuração'!$D$56,"Vega S"&amp;INT(('🌱 Configuração'!$B$56+64-'🌱 Configuração'!$C$56)/7)+1,IF('🌱 Configuração'!$B$56+64&lt;'🌱 Configuração'!$E$56,"Flora S"&amp;INT(('🌱 Configuração'!$B$56+64-'🌱 Configuração'!$D$56)/7)+1,"Flush S"&amp;INT(('🌱 Configuração'!$B$56+64-'🌱 Configuração'!$E$56)/7)+1))))</f>
        <v>Flora S2</v>
      </c>
      <c r="F70" s="42" t="str">
        <f aca="false">IF(65&gt;'🌱 Configuração'!$F$55,"",IF('🌱 Configuração'!$B$56+64='🌱 Configuração'!$C$56,"🌿 INÍCIO VEGA — luz 18h/dia",IF('🌱 Configuração'!$B$56+64='🌱 Configuração'!$D$56,"🌸 INÍCIO FLORAÇÃO — mudar 12/12 🔴",IF('🌱 Configuração'!$B$56+64='🌱 Configuração'!$E$56,"🚿 INÍCIO FLUSH — parar nutrição",IF('🌱 Configuração'!$B$56+64='🌱 Configuração'!$F$56-1,"🔬 Véspera da colheita — analisar tricomas",IF('🌱 Configuração'!$B$56+64='🌱 Configuração'!$F$56,"✂️ COLHEITA — Parabéns! 🎉",""))))))</f>
        <v/>
      </c>
      <c r="G70" s="66" t="str">
        <f aca="false">IF(65&gt;'🌱 Configuração'!$F$55,"",IF(AND('🌱 Configuração'!$B$56+64&gt;='🌱 Configuração'!$C$56,'🌱 Configuração'!$B$56+64&lt;'🌱 Configuração'!$D$56,MOD('🌱 Configuração'!$B$56+64-'🌱 Configuração'!$C$56,7)=0),"🐛 MIP — ver aba MIP para aplicação desta semana",IF(AND('🌱 Configuração'!$B$56+64&gt;='🌱 Configuração'!$D$56,MOD('🌱 Configuração'!$B$56+64-'🌱 Configuração'!$D$56,7)=0),"🐛 MIP solo — ver aba MIP (sem foliar em flora)","")))</f>
        <v/>
      </c>
    </row>
    <row r="71" customFormat="false" ht="18" hidden="false" customHeight="true" outlineLevel="0" collapsed="false">
      <c r="B71" s="67" t="n">
        <f aca="false">IF(66&lt;='🌱 Configuração'!$F$55,66,"")</f>
        <v>66</v>
      </c>
      <c r="C71" s="68" t="n">
        <f aca="false">IF(66&lt;='🌱 Configuração'!$F$55,'🌱 Configuração'!$B$56+65,"")</f>
        <v>65</v>
      </c>
      <c r="D71" s="69" t="str">
        <f aca="false">IF(66&gt;'🌱 Configuração'!$F$55,"",IF('🌱 Configuração'!$B$56+65&lt;'🌱 Configuração'!$C$56,"🌱 Clone",IF('🌱 Configuração'!$B$56+65&lt;'🌱 Configuração'!$D$56,"🌿 Vegetativo",IF('🌱 Configuração'!$B$56+65&lt;'🌱 Configuração'!$E$56,"🌸 Floração","🚿 Flush"))))</f>
        <v>🌸 Floração</v>
      </c>
      <c r="E71" s="70" t="str">
        <f aca="false">IF(66&gt;'🌱 Configuração'!$F$55,"",IF('🌱 Configuração'!$B$56+65&lt;'🌱 Configuração'!$C$56,"Clone S"&amp;INT((66-1)/7)+1,IF('🌱 Configuração'!$B$56+65&lt;'🌱 Configuração'!$D$56,"Vega S"&amp;INT(('🌱 Configuração'!$B$56+65-'🌱 Configuração'!$C$56)/7)+1,IF('🌱 Configuração'!$B$56+65&lt;'🌱 Configuração'!$E$56,"Flora S"&amp;INT(('🌱 Configuração'!$B$56+65-'🌱 Configuração'!$D$56)/7)+1,"Flush S"&amp;INT(('🌱 Configuração'!$B$56+65-'🌱 Configuração'!$E$56)/7)+1))))</f>
        <v>Flora S2</v>
      </c>
      <c r="F71" s="13" t="str">
        <f aca="false">IF(66&gt;'🌱 Configuração'!$F$55,"",IF('🌱 Configuração'!$B$56+65='🌱 Configuração'!$C$56,"🌿 INÍCIO VEGA — luz 18h/dia",IF('🌱 Configuração'!$B$56+65='🌱 Configuração'!$D$56,"🌸 INÍCIO FLORAÇÃO — mudar 12/12 🔴",IF('🌱 Configuração'!$B$56+65='🌱 Configuração'!$E$56,"🚿 INÍCIO FLUSH — parar nutrição",IF('🌱 Configuração'!$B$56+65='🌱 Configuração'!$F$56-1,"🔬 Véspera da colheita — analisar tricomas",IF('🌱 Configuração'!$B$56+65='🌱 Configuração'!$F$56,"✂️ COLHEITA — Parabéns! 🎉",""))))))</f>
        <v/>
      </c>
      <c r="G71" s="71" t="str">
        <f aca="false">IF(66&gt;'🌱 Configuração'!$F$55,"",IF(AND('🌱 Configuração'!$B$56+65&gt;='🌱 Configuração'!$C$56,'🌱 Configuração'!$B$56+65&lt;'🌱 Configuração'!$D$56,MOD('🌱 Configuração'!$B$56+65-'🌱 Configuração'!$C$56,7)=0),"🐛 MIP — ver aba MIP para aplicação desta semana",IF(AND('🌱 Configuração'!$B$56+65&gt;='🌱 Configuração'!$D$56,MOD('🌱 Configuração'!$B$56+65-'🌱 Configuração'!$D$56,7)=0),"🐛 MIP solo — ver aba MIP (sem foliar em flora)","")))</f>
        <v/>
      </c>
    </row>
    <row r="72" customFormat="false" ht="18" hidden="false" customHeight="true" outlineLevel="0" collapsed="false">
      <c r="B72" s="64" t="n">
        <f aca="false">IF(67&lt;='🌱 Configuração'!$F$55,67,"")</f>
        <v>67</v>
      </c>
      <c r="C72" s="41" t="n">
        <f aca="false">IF(67&lt;='🌱 Configuração'!$F$55,'🌱 Configuração'!$B$56+66,"")</f>
        <v>66</v>
      </c>
      <c r="D72" s="65" t="str">
        <f aca="false">IF(67&gt;'🌱 Configuração'!$F$55,"",IF('🌱 Configuração'!$B$56+66&lt;'🌱 Configuração'!$C$56,"🌱 Clone",IF('🌱 Configuração'!$B$56+66&lt;'🌱 Configuração'!$D$56,"🌿 Vegetativo",IF('🌱 Configuração'!$B$56+66&lt;'🌱 Configuração'!$E$56,"🌸 Floração","🚿 Flush"))))</f>
        <v>🌸 Floração</v>
      </c>
      <c r="E72" s="43" t="str">
        <f aca="false">IF(67&gt;'🌱 Configuração'!$F$55,"",IF('🌱 Configuração'!$B$56+66&lt;'🌱 Configuração'!$C$56,"Clone S"&amp;INT((67-1)/7)+1,IF('🌱 Configuração'!$B$56+66&lt;'🌱 Configuração'!$D$56,"Vega S"&amp;INT(('🌱 Configuração'!$B$56+66-'🌱 Configuração'!$C$56)/7)+1,IF('🌱 Configuração'!$B$56+66&lt;'🌱 Configuração'!$E$56,"Flora S"&amp;INT(('🌱 Configuração'!$B$56+66-'🌱 Configuração'!$D$56)/7)+1,"Flush S"&amp;INT(('🌱 Configuração'!$B$56+66-'🌱 Configuração'!$E$56)/7)+1))))</f>
        <v>Flora S2</v>
      </c>
      <c r="F72" s="42" t="str">
        <f aca="false">IF(67&gt;'🌱 Configuração'!$F$55,"",IF('🌱 Configuração'!$B$56+66='🌱 Configuração'!$C$56,"🌿 INÍCIO VEGA — luz 18h/dia",IF('🌱 Configuração'!$B$56+66='🌱 Configuração'!$D$56,"🌸 INÍCIO FLORAÇÃO — mudar 12/12 🔴",IF('🌱 Configuração'!$B$56+66='🌱 Configuração'!$E$56,"🚿 INÍCIO FLUSH — parar nutrição",IF('🌱 Configuração'!$B$56+66='🌱 Configuração'!$F$56-1,"🔬 Véspera da colheita — analisar tricomas",IF('🌱 Configuração'!$B$56+66='🌱 Configuração'!$F$56,"✂️ COLHEITA — Parabéns! 🎉",""))))))</f>
        <v/>
      </c>
      <c r="G72" s="66" t="str">
        <f aca="false">IF(67&gt;'🌱 Configuração'!$F$55,"",IF(AND('🌱 Configuração'!$B$56+66&gt;='🌱 Configuração'!$C$56,'🌱 Configuração'!$B$56+66&lt;'🌱 Configuração'!$D$56,MOD('🌱 Configuração'!$B$56+66-'🌱 Configuração'!$C$56,7)=0),"🐛 MIP — ver aba MIP para aplicação desta semana",IF(AND('🌱 Configuração'!$B$56+66&gt;='🌱 Configuração'!$D$56,MOD('🌱 Configuração'!$B$56+66-'🌱 Configuração'!$D$56,7)=0),"🐛 MIP solo — ver aba MIP (sem foliar em flora)","")))</f>
        <v/>
      </c>
    </row>
    <row r="73" customFormat="false" ht="18" hidden="false" customHeight="true" outlineLevel="0" collapsed="false">
      <c r="B73" s="67" t="n">
        <f aca="false">IF(68&lt;='🌱 Configuração'!$F$55,68,"")</f>
        <v>68</v>
      </c>
      <c r="C73" s="68" t="n">
        <f aca="false">IF(68&lt;='🌱 Configuração'!$F$55,'🌱 Configuração'!$B$56+67,"")</f>
        <v>67</v>
      </c>
      <c r="D73" s="69" t="str">
        <f aca="false">IF(68&gt;'🌱 Configuração'!$F$55,"",IF('🌱 Configuração'!$B$56+67&lt;'🌱 Configuração'!$C$56,"🌱 Clone",IF('🌱 Configuração'!$B$56+67&lt;'🌱 Configuração'!$D$56,"🌿 Vegetativo",IF('🌱 Configuração'!$B$56+67&lt;'🌱 Configuração'!$E$56,"🌸 Floração","🚿 Flush"))))</f>
        <v>🌸 Floração</v>
      </c>
      <c r="E73" s="70" t="str">
        <f aca="false">IF(68&gt;'🌱 Configuração'!$F$55,"",IF('🌱 Configuração'!$B$56+67&lt;'🌱 Configuração'!$C$56,"Clone S"&amp;INT((68-1)/7)+1,IF('🌱 Configuração'!$B$56+67&lt;'🌱 Configuração'!$D$56,"Vega S"&amp;INT(('🌱 Configuração'!$B$56+67-'🌱 Configuração'!$C$56)/7)+1,IF('🌱 Configuração'!$B$56+67&lt;'🌱 Configuração'!$E$56,"Flora S"&amp;INT(('🌱 Configuração'!$B$56+67-'🌱 Configuração'!$D$56)/7)+1,"Flush S"&amp;INT(('🌱 Configuração'!$B$56+67-'🌱 Configuração'!$E$56)/7)+1))))</f>
        <v>Flora S2</v>
      </c>
      <c r="F73" s="13" t="str">
        <f aca="false">IF(68&gt;'🌱 Configuração'!$F$55,"",IF('🌱 Configuração'!$B$56+67='🌱 Configuração'!$C$56,"🌿 INÍCIO VEGA — luz 18h/dia",IF('🌱 Configuração'!$B$56+67='🌱 Configuração'!$D$56,"🌸 INÍCIO FLORAÇÃO — mudar 12/12 🔴",IF('🌱 Configuração'!$B$56+67='🌱 Configuração'!$E$56,"🚿 INÍCIO FLUSH — parar nutrição",IF('🌱 Configuração'!$B$56+67='🌱 Configuração'!$F$56-1,"🔬 Véspera da colheita — analisar tricomas",IF('🌱 Configuração'!$B$56+67='🌱 Configuração'!$F$56,"✂️ COLHEITA — Parabéns! 🎉",""))))))</f>
        <v/>
      </c>
      <c r="G73" s="71" t="str">
        <f aca="false">IF(68&gt;'🌱 Configuração'!$F$55,"",IF(AND('🌱 Configuração'!$B$56+67&gt;='🌱 Configuração'!$C$56,'🌱 Configuração'!$B$56+67&lt;'🌱 Configuração'!$D$56,MOD('🌱 Configuração'!$B$56+67-'🌱 Configuração'!$C$56,7)=0),"🐛 MIP — ver aba MIP para aplicação desta semana",IF(AND('🌱 Configuração'!$B$56+67&gt;='🌱 Configuração'!$D$56,MOD('🌱 Configuração'!$B$56+67-'🌱 Configuração'!$D$56,7)=0),"🐛 MIP solo — ver aba MIP (sem foliar em flora)","")))</f>
        <v/>
      </c>
    </row>
    <row r="74" customFormat="false" ht="18" hidden="false" customHeight="true" outlineLevel="0" collapsed="false">
      <c r="B74" s="64" t="n">
        <f aca="false">IF(69&lt;='🌱 Configuração'!$F$55,69,"")</f>
        <v>69</v>
      </c>
      <c r="C74" s="41" t="n">
        <f aca="false">IF(69&lt;='🌱 Configuração'!$F$55,'🌱 Configuração'!$B$56+68,"")</f>
        <v>68</v>
      </c>
      <c r="D74" s="65" t="str">
        <f aca="false">IF(69&gt;'🌱 Configuração'!$F$55,"",IF('🌱 Configuração'!$B$56+68&lt;'🌱 Configuração'!$C$56,"🌱 Clone",IF('🌱 Configuração'!$B$56+68&lt;'🌱 Configuração'!$D$56,"🌿 Vegetativo",IF('🌱 Configuração'!$B$56+68&lt;'🌱 Configuração'!$E$56,"🌸 Floração","🚿 Flush"))))</f>
        <v>🌸 Floração</v>
      </c>
      <c r="E74" s="43" t="str">
        <f aca="false">IF(69&gt;'🌱 Configuração'!$F$55,"",IF('🌱 Configuração'!$B$56+68&lt;'🌱 Configuração'!$C$56,"Clone S"&amp;INT((69-1)/7)+1,IF('🌱 Configuração'!$B$56+68&lt;'🌱 Configuração'!$D$56,"Vega S"&amp;INT(('🌱 Configuração'!$B$56+68-'🌱 Configuração'!$C$56)/7)+1,IF('🌱 Configuração'!$B$56+68&lt;'🌱 Configuração'!$E$56,"Flora S"&amp;INT(('🌱 Configuração'!$B$56+68-'🌱 Configuração'!$D$56)/7)+1,"Flush S"&amp;INT(('🌱 Configuração'!$B$56+68-'🌱 Configuração'!$E$56)/7)+1))))</f>
        <v>Flora S2</v>
      </c>
      <c r="F74" s="42" t="str">
        <f aca="false">IF(69&gt;'🌱 Configuração'!$F$55,"",IF('🌱 Configuração'!$B$56+68='🌱 Configuração'!$C$56,"🌿 INÍCIO VEGA — luz 18h/dia",IF('🌱 Configuração'!$B$56+68='🌱 Configuração'!$D$56,"🌸 INÍCIO FLORAÇÃO — mudar 12/12 🔴",IF('🌱 Configuração'!$B$56+68='🌱 Configuração'!$E$56,"🚿 INÍCIO FLUSH — parar nutrição",IF('🌱 Configuração'!$B$56+68='🌱 Configuração'!$F$56-1,"🔬 Véspera da colheita — analisar tricomas",IF('🌱 Configuração'!$B$56+68='🌱 Configuração'!$F$56,"✂️ COLHEITA — Parabéns! 🎉",""))))))</f>
        <v/>
      </c>
      <c r="G74" s="66" t="str">
        <f aca="false">IF(69&gt;'🌱 Configuração'!$F$55,"",IF(AND('🌱 Configuração'!$B$56+68&gt;='🌱 Configuração'!$C$56,'🌱 Configuração'!$B$56+68&lt;'🌱 Configuração'!$D$56,MOD('🌱 Configuração'!$B$56+68-'🌱 Configuração'!$C$56,7)=0),"🐛 MIP — ver aba MIP para aplicação desta semana",IF(AND('🌱 Configuração'!$B$56+68&gt;='🌱 Configuração'!$D$56,MOD('🌱 Configuração'!$B$56+68-'🌱 Configuração'!$D$56,7)=0),"🐛 MIP solo — ver aba MIP (sem foliar em flora)","")))</f>
        <v/>
      </c>
    </row>
    <row r="75" customFormat="false" ht="18" hidden="false" customHeight="true" outlineLevel="0" collapsed="false">
      <c r="B75" s="67" t="n">
        <f aca="false">IF(70&lt;='🌱 Configuração'!$F$55,70,"")</f>
        <v>70</v>
      </c>
      <c r="C75" s="68" t="n">
        <f aca="false">IF(70&lt;='🌱 Configuração'!$F$55,'🌱 Configuração'!$B$56+69,"")</f>
        <v>69</v>
      </c>
      <c r="D75" s="69" t="str">
        <f aca="false">IF(70&gt;'🌱 Configuração'!$F$55,"",IF('🌱 Configuração'!$B$56+69&lt;'🌱 Configuração'!$C$56,"🌱 Clone",IF('🌱 Configuração'!$B$56+69&lt;'🌱 Configuração'!$D$56,"🌿 Vegetativo",IF('🌱 Configuração'!$B$56+69&lt;'🌱 Configuração'!$E$56,"🌸 Floração","🚿 Flush"))))</f>
        <v>🌸 Floração</v>
      </c>
      <c r="E75" s="70" t="str">
        <f aca="false">IF(70&gt;'🌱 Configuração'!$F$55,"",IF('🌱 Configuração'!$B$56+69&lt;'🌱 Configuração'!$C$56,"Clone S"&amp;INT((70-1)/7)+1,IF('🌱 Configuração'!$B$56+69&lt;'🌱 Configuração'!$D$56,"Vega S"&amp;INT(('🌱 Configuração'!$B$56+69-'🌱 Configuração'!$C$56)/7)+1,IF('🌱 Configuração'!$B$56+69&lt;'🌱 Configuração'!$E$56,"Flora S"&amp;INT(('🌱 Configuração'!$B$56+69-'🌱 Configuração'!$D$56)/7)+1,"Flush S"&amp;INT(('🌱 Configuração'!$B$56+69-'🌱 Configuração'!$E$56)/7)+1))))</f>
        <v>Flora S2</v>
      </c>
      <c r="F75" s="13" t="str">
        <f aca="false">IF(70&gt;'🌱 Configuração'!$F$55,"",IF('🌱 Configuração'!$B$56+69='🌱 Configuração'!$C$56,"🌿 INÍCIO VEGA — luz 18h/dia",IF('🌱 Configuração'!$B$56+69='🌱 Configuração'!$D$56,"🌸 INÍCIO FLORAÇÃO — mudar 12/12 🔴",IF('🌱 Configuração'!$B$56+69='🌱 Configuração'!$E$56,"🚿 INÍCIO FLUSH — parar nutrição",IF('🌱 Configuração'!$B$56+69='🌱 Configuração'!$F$56-1,"🔬 Véspera da colheita — analisar tricomas",IF('🌱 Configuração'!$B$56+69='🌱 Configuração'!$F$56,"✂️ COLHEITA — Parabéns! 🎉",""))))))</f>
        <v/>
      </c>
      <c r="G75" s="71" t="str">
        <f aca="false">IF(70&gt;'🌱 Configuração'!$F$55,"",IF(AND('🌱 Configuração'!$B$56+69&gt;='🌱 Configuração'!$C$56,'🌱 Configuração'!$B$56+69&lt;'🌱 Configuração'!$D$56,MOD('🌱 Configuração'!$B$56+69-'🌱 Configuração'!$C$56,7)=0),"🐛 MIP — ver aba MIP para aplicação desta semana",IF(AND('🌱 Configuração'!$B$56+69&gt;='🌱 Configuração'!$D$56,MOD('🌱 Configuração'!$B$56+69-'🌱 Configuração'!$D$56,7)=0),"🐛 MIP solo — ver aba MIP (sem foliar em flora)","")))</f>
        <v/>
      </c>
    </row>
    <row r="76" customFormat="false" ht="18" hidden="false" customHeight="true" outlineLevel="0" collapsed="false">
      <c r="B76" s="64" t="n">
        <f aca="false">IF(71&lt;='🌱 Configuração'!$F$55,71,"")</f>
        <v>71</v>
      </c>
      <c r="C76" s="41" t="n">
        <f aca="false">IF(71&lt;='🌱 Configuração'!$F$55,'🌱 Configuração'!$B$56+70,"")</f>
        <v>70</v>
      </c>
      <c r="D76" s="65" t="str">
        <f aca="false">IF(71&gt;'🌱 Configuração'!$F$55,"",IF('🌱 Configuração'!$B$56+70&lt;'🌱 Configuração'!$C$56,"🌱 Clone",IF('🌱 Configuração'!$B$56+70&lt;'🌱 Configuração'!$D$56,"🌿 Vegetativo",IF('🌱 Configuração'!$B$56+70&lt;'🌱 Configuração'!$E$56,"🌸 Floração","🚿 Flush"))))</f>
        <v>🌸 Floração</v>
      </c>
      <c r="E76" s="43" t="str">
        <f aca="false">IF(71&gt;'🌱 Configuração'!$F$55,"",IF('🌱 Configuração'!$B$56+70&lt;'🌱 Configuração'!$C$56,"Clone S"&amp;INT((71-1)/7)+1,IF('🌱 Configuração'!$B$56+70&lt;'🌱 Configuração'!$D$56,"Vega S"&amp;INT(('🌱 Configuração'!$B$56+70-'🌱 Configuração'!$C$56)/7)+1,IF('🌱 Configuração'!$B$56+70&lt;'🌱 Configuração'!$E$56,"Flora S"&amp;INT(('🌱 Configuração'!$B$56+70-'🌱 Configuração'!$D$56)/7)+1,"Flush S"&amp;INT(('🌱 Configuração'!$B$56+70-'🌱 Configuração'!$E$56)/7)+1))))</f>
        <v>Flora S3</v>
      </c>
      <c r="F76" s="42" t="str">
        <f aca="false">IF(71&gt;'🌱 Configuração'!$F$55,"",IF('🌱 Configuração'!$B$56+70='🌱 Configuração'!$C$56,"🌿 INÍCIO VEGA — luz 18h/dia",IF('🌱 Configuração'!$B$56+70='🌱 Configuração'!$D$56,"🌸 INÍCIO FLORAÇÃO — mudar 12/12 🔴",IF('🌱 Configuração'!$B$56+70='🌱 Configuração'!$E$56,"🚿 INÍCIO FLUSH — parar nutrição",IF('🌱 Configuração'!$B$56+70='🌱 Configuração'!$F$56-1,"🔬 Véspera da colheita — analisar tricomas",IF('🌱 Configuração'!$B$56+70='🌱 Configuração'!$F$56,"✂️ COLHEITA — Parabéns! 🎉",""))))))</f>
        <v/>
      </c>
      <c r="G76" s="66" t="str">
        <f aca="false">IF(71&gt;'🌱 Configuração'!$F$55,"",IF(AND('🌱 Configuração'!$B$56+70&gt;='🌱 Configuração'!$C$56,'🌱 Configuração'!$B$56+70&lt;'🌱 Configuração'!$D$56,MOD('🌱 Configuração'!$B$56+70-'🌱 Configuração'!$C$56,7)=0),"🐛 MIP — ver aba MIP para aplicação desta semana",IF(AND('🌱 Configuração'!$B$56+70&gt;='🌱 Configuração'!$D$56,MOD('🌱 Configuração'!$B$56+70-'🌱 Configuração'!$D$56,7)=0),"🐛 MIP solo — ver aba MIP (sem foliar em flora)","")))</f>
        <v>🐛 MIP solo — ver aba MIP (sem foliar em flora)</v>
      </c>
    </row>
    <row r="77" customFormat="false" ht="18" hidden="false" customHeight="true" outlineLevel="0" collapsed="false">
      <c r="B77" s="67" t="n">
        <f aca="false">IF(72&lt;='🌱 Configuração'!$F$55,72,"")</f>
        <v>72</v>
      </c>
      <c r="C77" s="68" t="n">
        <f aca="false">IF(72&lt;='🌱 Configuração'!$F$55,'🌱 Configuração'!$B$56+71,"")</f>
        <v>71</v>
      </c>
      <c r="D77" s="69" t="str">
        <f aca="false">IF(72&gt;'🌱 Configuração'!$F$55,"",IF('🌱 Configuração'!$B$56+71&lt;'🌱 Configuração'!$C$56,"🌱 Clone",IF('🌱 Configuração'!$B$56+71&lt;'🌱 Configuração'!$D$56,"🌿 Vegetativo",IF('🌱 Configuração'!$B$56+71&lt;'🌱 Configuração'!$E$56,"🌸 Floração","🚿 Flush"))))</f>
        <v>🌸 Floração</v>
      </c>
      <c r="E77" s="70" t="str">
        <f aca="false">IF(72&gt;'🌱 Configuração'!$F$55,"",IF('🌱 Configuração'!$B$56+71&lt;'🌱 Configuração'!$C$56,"Clone S"&amp;INT((72-1)/7)+1,IF('🌱 Configuração'!$B$56+71&lt;'🌱 Configuração'!$D$56,"Vega S"&amp;INT(('🌱 Configuração'!$B$56+71-'🌱 Configuração'!$C$56)/7)+1,IF('🌱 Configuração'!$B$56+71&lt;'🌱 Configuração'!$E$56,"Flora S"&amp;INT(('🌱 Configuração'!$B$56+71-'🌱 Configuração'!$D$56)/7)+1,"Flush S"&amp;INT(('🌱 Configuração'!$B$56+71-'🌱 Configuração'!$E$56)/7)+1))))</f>
        <v>Flora S3</v>
      </c>
      <c r="F77" s="13" t="str">
        <f aca="false">IF(72&gt;'🌱 Configuração'!$F$55,"",IF('🌱 Configuração'!$B$56+71='🌱 Configuração'!$C$56,"🌿 INÍCIO VEGA — luz 18h/dia",IF('🌱 Configuração'!$B$56+71='🌱 Configuração'!$D$56,"🌸 INÍCIO FLORAÇÃO — mudar 12/12 🔴",IF('🌱 Configuração'!$B$56+71='🌱 Configuração'!$E$56,"🚿 INÍCIO FLUSH — parar nutrição",IF('🌱 Configuração'!$B$56+71='🌱 Configuração'!$F$56-1,"🔬 Véspera da colheita — analisar tricomas",IF('🌱 Configuração'!$B$56+71='🌱 Configuração'!$F$56,"✂️ COLHEITA — Parabéns! 🎉",""))))))</f>
        <v/>
      </c>
      <c r="G77" s="71" t="str">
        <f aca="false">IF(72&gt;'🌱 Configuração'!$F$55,"",IF(AND('🌱 Configuração'!$B$56+71&gt;='🌱 Configuração'!$C$56,'🌱 Configuração'!$B$56+71&lt;'🌱 Configuração'!$D$56,MOD('🌱 Configuração'!$B$56+71-'🌱 Configuração'!$C$56,7)=0),"🐛 MIP — ver aba MIP para aplicação desta semana",IF(AND('🌱 Configuração'!$B$56+71&gt;='🌱 Configuração'!$D$56,MOD('🌱 Configuração'!$B$56+71-'🌱 Configuração'!$D$56,7)=0),"🐛 MIP solo — ver aba MIP (sem foliar em flora)","")))</f>
        <v/>
      </c>
    </row>
    <row r="78" customFormat="false" ht="18" hidden="false" customHeight="true" outlineLevel="0" collapsed="false">
      <c r="B78" s="64" t="n">
        <f aca="false">IF(73&lt;='🌱 Configuração'!$F$55,73,"")</f>
        <v>73</v>
      </c>
      <c r="C78" s="41" t="n">
        <f aca="false">IF(73&lt;='🌱 Configuração'!$F$55,'🌱 Configuração'!$B$56+72,"")</f>
        <v>72</v>
      </c>
      <c r="D78" s="65" t="str">
        <f aca="false">IF(73&gt;'🌱 Configuração'!$F$55,"",IF('🌱 Configuração'!$B$56+72&lt;'🌱 Configuração'!$C$56,"🌱 Clone",IF('🌱 Configuração'!$B$56+72&lt;'🌱 Configuração'!$D$56,"🌿 Vegetativo",IF('🌱 Configuração'!$B$56+72&lt;'🌱 Configuração'!$E$56,"🌸 Floração","🚿 Flush"))))</f>
        <v>🌸 Floração</v>
      </c>
      <c r="E78" s="43" t="str">
        <f aca="false">IF(73&gt;'🌱 Configuração'!$F$55,"",IF('🌱 Configuração'!$B$56+72&lt;'🌱 Configuração'!$C$56,"Clone S"&amp;INT((73-1)/7)+1,IF('🌱 Configuração'!$B$56+72&lt;'🌱 Configuração'!$D$56,"Vega S"&amp;INT(('🌱 Configuração'!$B$56+72-'🌱 Configuração'!$C$56)/7)+1,IF('🌱 Configuração'!$B$56+72&lt;'🌱 Configuração'!$E$56,"Flora S"&amp;INT(('🌱 Configuração'!$B$56+72-'🌱 Configuração'!$D$56)/7)+1,"Flush S"&amp;INT(('🌱 Configuração'!$B$56+72-'🌱 Configuração'!$E$56)/7)+1))))</f>
        <v>Flora S3</v>
      </c>
      <c r="F78" s="42" t="str">
        <f aca="false">IF(73&gt;'🌱 Configuração'!$F$55,"",IF('🌱 Configuração'!$B$56+72='🌱 Configuração'!$C$56,"🌿 INÍCIO VEGA — luz 18h/dia",IF('🌱 Configuração'!$B$56+72='🌱 Configuração'!$D$56,"🌸 INÍCIO FLORAÇÃO — mudar 12/12 🔴",IF('🌱 Configuração'!$B$56+72='🌱 Configuração'!$E$56,"🚿 INÍCIO FLUSH — parar nutrição",IF('🌱 Configuração'!$B$56+72='🌱 Configuração'!$F$56-1,"🔬 Véspera da colheita — analisar tricomas",IF('🌱 Configuração'!$B$56+72='🌱 Configuração'!$F$56,"✂️ COLHEITA — Parabéns! 🎉",""))))))</f>
        <v/>
      </c>
      <c r="G78" s="66" t="str">
        <f aca="false">IF(73&gt;'🌱 Configuração'!$F$55,"",IF(AND('🌱 Configuração'!$B$56+72&gt;='🌱 Configuração'!$C$56,'🌱 Configuração'!$B$56+72&lt;'🌱 Configuração'!$D$56,MOD('🌱 Configuração'!$B$56+72-'🌱 Configuração'!$C$56,7)=0),"🐛 MIP — ver aba MIP para aplicação desta semana",IF(AND('🌱 Configuração'!$B$56+72&gt;='🌱 Configuração'!$D$56,MOD('🌱 Configuração'!$B$56+72-'🌱 Configuração'!$D$56,7)=0),"🐛 MIP solo — ver aba MIP (sem foliar em flora)","")))</f>
        <v/>
      </c>
    </row>
    <row r="79" customFormat="false" ht="18" hidden="false" customHeight="true" outlineLevel="0" collapsed="false">
      <c r="B79" s="67" t="n">
        <f aca="false">IF(74&lt;='🌱 Configuração'!$F$55,74,"")</f>
        <v>74</v>
      </c>
      <c r="C79" s="68" t="n">
        <f aca="false">IF(74&lt;='🌱 Configuração'!$F$55,'🌱 Configuração'!$B$56+73,"")</f>
        <v>73</v>
      </c>
      <c r="D79" s="69" t="str">
        <f aca="false">IF(74&gt;'🌱 Configuração'!$F$55,"",IF('🌱 Configuração'!$B$56+73&lt;'🌱 Configuração'!$C$56,"🌱 Clone",IF('🌱 Configuração'!$B$56+73&lt;'🌱 Configuração'!$D$56,"🌿 Vegetativo",IF('🌱 Configuração'!$B$56+73&lt;'🌱 Configuração'!$E$56,"🌸 Floração","🚿 Flush"))))</f>
        <v>🌸 Floração</v>
      </c>
      <c r="E79" s="70" t="str">
        <f aca="false">IF(74&gt;'🌱 Configuração'!$F$55,"",IF('🌱 Configuração'!$B$56+73&lt;'🌱 Configuração'!$C$56,"Clone S"&amp;INT((74-1)/7)+1,IF('🌱 Configuração'!$B$56+73&lt;'🌱 Configuração'!$D$56,"Vega S"&amp;INT(('🌱 Configuração'!$B$56+73-'🌱 Configuração'!$C$56)/7)+1,IF('🌱 Configuração'!$B$56+73&lt;'🌱 Configuração'!$E$56,"Flora S"&amp;INT(('🌱 Configuração'!$B$56+73-'🌱 Configuração'!$D$56)/7)+1,"Flush S"&amp;INT(('🌱 Configuração'!$B$56+73-'🌱 Configuração'!$E$56)/7)+1))))</f>
        <v>Flora S3</v>
      </c>
      <c r="F79" s="13" t="str">
        <f aca="false">IF(74&gt;'🌱 Configuração'!$F$55,"",IF('🌱 Configuração'!$B$56+73='🌱 Configuração'!$C$56,"🌿 INÍCIO VEGA — luz 18h/dia",IF('🌱 Configuração'!$B$56+73='🌱 Configuração'!$D$56,"🌸 INÍCIO FLORAÇÃO — mudar 12/12 🔴",IF('🌱 Configuração'!$B$56+73='🌱 Configuração'!$E$56,"🚿 INÍCIO FLUSH — parar nutrição",IF('🌱 Configuração'!$B$56+73='🌱 Configuração'!$F$56-1,"🔬 Véspera da colheita — analisar tricomas",IF('🌱 Configuração'!$B$56+73='🌱 Configuração'!$F$56,"✂️ COLHEITA — Parabéns! 🎉",""))))))</f>
        <v/>
      </c>
      <c r="G79" s="71" t="str">
        <f aca="false">IF(74&gt;'🌱 Configuração'!$F$55,"",IF(AND('🌱 Configuração'!$B$56+73&gt;='🌱 Configuração'!$C$56,'🌱 Configuração'!$B$56+73&lt;'🌱 Configuração'!$D$56,MOD('🌱 Configuração'!$B$56+73-'🌱 Configuração'!$C$56,7)=0),"🐛 MIP — ver aba MIP para aplicação desta semana",IF(AND('🌱 Configuração'!$B$56+73&gt;='🌱 Configuração'!$D$56,MOD('🌱 Configuração'!$B$56+73-'🌱 Configuração'!$D$56,7)=0),"🐛 MIP solo — ver aba MIP (sem foliar em flora)","")))</f>
        <v/>
      </c>
    </row>
    <row r="80" customFormat="false" ht="18" hidden="false" customHeight="true" outlineLevel="0" collapsed="false">
      <c r="B80" s="64" t="n">
        <f aca="false">IF(75&lt;='🌱 Configuração'!$F$55,75,"")</f>
        <v>75</v>
      </c>
      <c r="C80" s="41" t="n">
        <f aca="false">IF(75&lt;='🌱 Configuração'!$F$55,'🌱 Configuração'!$B$56+74,"")</f>
        <v>74</v>
      </c>
      <c r="D80" s="65" t="str">
        <f aca="false">IF(75&gt;'🌱 Configuração'!$F$55,"",IF('🌱 Configuração'!$B$56+74&lt;'🌱 Configuração'!$C$56,"🌱 Clone",IF('🌱 Configuração'!$B$56+74&lt;'🌱 Configuração'!$D$56,"🌿 Vegetativo",IF('🌱 Configuração'!$B$56+74&lt;'🌱 Configuração'!$E$56,"🌸 Floração","🚿 Flush"))))</f>
        <v>🌸 Floração</v>
      </c>
      <c r="E80" s="43" t="str">
        <f aca="false">IF(75&gt;'🌱 Configuração'!$F$55,"",IF('🌱 Configuração'!$B$56+74&lt;'🌱 Configuração'!$C$56,"Clone S"&amp;INT((75-1)/7)+1,IF('🌱 Configuração'!$B$56+74&lt;'🌱 Configuração'!$D$56,"Vega S"&amp;INT(('🌱 Configuração'!$B$56+74-'🌱 Configuração'!$C$56)/7)+1,IF('🌱 Configuração'!$B$56+74&lt;'🌱 Configuração'!$E$56,"Flora S"&amp;INT(('🌱 Configuração'!$B$56+74-'🌱 Configuração'!$D$56)/7)+1,"Flush S"&amp;INT(('🌱 Configuração'!$B$56+74-'🌱 Configuração'!$E$56)/7)+1))))</f>
        <v>Flora S3</v>
      </c>
      <c r="F80" s="42" t="str">
        <f aca="false">IF(75&gt;'🌱 Configuração'!$F$55,"",IF('🌱 Configuração'!$B$56+74='🌱 Configuração'!$C$56,"🌿 INÍCIO VEGA — luz 18h/dia",IF('🌱 Configuração'!$B$56+74='🌱 Configuração'!$D$56,"🌸 INÍCIO FLORAÇÃO — mudar 12/12 🔴",IF('🌱 Configuração'!$B$56+74='🌱 Configuração'!$E$56,"🚿 INÍCIO FLUSH — parar nutrição",IF('🌱 Configuração'!$B$56+74='🌱 Configuração'!$F$56-1,"🔬 Véspera da colheita — analisar tricomas",IF('🌱 Configuração'!$B$56+74='🌱 Configuração'!$F$56,"✂️ COLHEITA — Parabéns! 🎉",""))))))</f>
        <v/>
      </c>
      <c r="G80" s="66" t="str">
        <f aca="false">IF(75&gt;'🌱 Configuração'!$F$55,"",IF(AND('🌱 Configuração'!$B$56+74&gt;='🌱 Configuração'!$C$56,'🌱 Configuração'!$B$56+74&lt;'🌱 Configuração'!$D$56,MOD('🌱 Configuração'!$B$56+74-'🌱 Configuração'!$C$56,7)=0),"🐛 MIP — ver aba MIP para aplicação desta semana",IF(AND('🌱 Configuração'!$B$56+74&gt;='🌱 Configuração'!$D$56,MOD('🌱 Configuração'!$B$56+74-'🌱 Configuração'!$D$56,7)=0),"🐛 MIP solo — ver aba MIP (sem foliar em flora)","")))</f>
        <v/>
      </c>
    </row>
    <row r="81" customFormat="false" ht="18" hidden="false" customHeight="true" outlineLevel="0" collapsed="false">
      <c r="B81" s="67" t="n">
        <f aca="false">IF(76&lt;='🌱 Configuração'!$F$55,76,"")</f>
        <v>76</v>
      </c>
      <c r="C81" s="68" t="n">
        <f aca="false">IF(76&lt;='🌱 Configuração'!$F$55,'🌱 Configuração'!$B$56+75,"")</f>
        <v>75</v>
      </c>
      <c r="D81" s="69" t="str">
        <f aca="false">IF(76&gt;'🌱 Configuração'!$F$55,"",IF('🌱 Configuração'!$B$56+75&lt;'🌱 Configuração'!$C$56,"🌱 Clone",IF('🌱 Configuração'!$B$56+75&lt;'🌱 Configuração'!$D$56,"🌿 Vegetativo",IF('🌱 Configuração'!$B$56+75&lt;'🌱 Configuração'!$E$56,"🌸 Floração","🚿 Flush"))))</f>
        <v>🌸 Floração</v>
      </c>
      <c r="E81" s="70" t="str">
        <f aca="false">IF(76&gt;'🌱 Configuração'!$F$55,"",IF('🌱 Configuração'!$B$56+75&lt;'🌱 Configuração'!$C$56,"Clone S"&amp;INT((76-1)/7)+1,IF('🌱 Configuração'!$B$56+75&lt;'🌱 Configuração'!$D$56,"Vega S"&amp;INT(('🌱 Configuração'!$B$56+75-'🌱 Configuração'!$C$56)/7)+1,IF('🌱 Configuração'!$B$56+75&lt;'🌱 Configuração'!$E$56,"Flora S"&amp;INT(('🌱 Configuração'!$B$56+75-'🌱 Configuração'!$D$56)/7)+1,"Flush S"&amp;INT(('🌱 Configuração'!$B$56+75-'🌱 Configuração'!$E$56)/7)+1))))</f>
        <v>Flora S3</v>
      </c>
      <c r="F81" s="13" t="str">
        <f aca="false">IF(76&gt;'🌱 Configuração'!$F$55,"",IF('🌱 Configuração'!$B$56+75='🌱 Configuração'!$C$56,"🌿 INÍCIO VEGA — luz 18h/dia",IF('🌱 Configuração'!$B$56+75='🌱 Configuração'!$D$56,"🌸 INÍCIO FLORAÇÃO — mudar 12/12 🔴",IF('🌱 Configuração'!$B$56+75='🌱 Configuração'!$E$56,"🚿 INÍCIO FLUSH — parar nutrição",IF('🌱 Configuração'!$B$56+75='🌱 Configuração'!$F$56-1,"🔬 Véspera da colheita — analisar tricomas",IF('🌱 Configuração'!$B$56+75='🌱 Configuração'!$F$56,"✂️ COLHEITA — Parabéns! 🎉",""))))))</f>
        <v/>
      </c>
      <c r="G81" s="71" t="str">
        <f aca="false">IF(76&gt;'🌱 Configuração'!$F$55,"",IF(AND('🌱 Configuração'!$B$56+75&gt;='🌱 Configuração'!$C$56,'🌱 Configuração'!$B$56+75&lt;'🌱 Configuração'!$D$56,MOD('🌱 Configuração'!$B$56+75-'🌱 Configuração'!$C$56,7)=0),"🐛 MIP — ver aba MIP para aplicação desta semana",IF(AND('🌱 Configuração'!$B$56+75&gt;='🌱 Configuração'!$D$56,MOD('🌱 Configuração'!$B$56+75-'🌱 Configuração'!$D$56,7)=0),"🐛 MIP solo — ver aba MIP (sem foliar em flora)","")))</f>
        <v/>
      </c>
    </row>
    <row r="82" customFormat="false" ht="18" hidden="false" customHeight="true" outlineLevel="0" collapsed="false">
      <c r="B82" s="64" t="n">
        <f aca="false">IF(77&lt;='🌱 Configuração'!$F$55,77,"")</f>
        <v>77</v>
      </c>
      <c r="C82" s="41" t="n">
        <f aca="false">IF(77&lt;='🌱 Configuração'!$F$55,'🌱 Configuração'!$B$56+76,"")</f>
        <v>76</v>
      </c>
      <c r="D82" s="65" t="str">
        <f aca="false">IF(77&gt;'🌱 Configuração'!$F$55,"",IF('🌱 Configuração'!$B$56+76&lt;'🌱 Configuração'!$C$56,"🌱 Clone",IF('🌱 Configuração'!$B$56+76&lt;'🌱 Configuração'!$D$56,"🌿 Vegetativo",IF('🌱 Configuração'!$B$56+76&lt;'🌱 Configuração'!$E$56,"🌸 Floração","🚿 Flush"))))</f>
        <v>🌸 Floração</v>
      </c>
      <c r="E82" s="43" t="str">
        <f aca="false">IF(77&gt;'🌱 Configuração'!$F$55,"",IF('🌱 Configuração'!$B$56+76&lt;'🌱 Configuração'!$C$56,"Clone S"&amp;INT((77-1)/7)+1,IF('🌱 Configuração'!$B$56+76&lt;'🌱 Configuração'!$D$56,"Vega S"&amp;INT(('🌱 Configuração'!$B$56+76-'🌱 Configuração'!$C$56)/7)+1,IF('🌱 Configuração'!$B$56+76&lt;'🌱 Configuração'!$E$56,"Flora S"&amp;INT(('🌱 Configuração'!$B$56+76-'🌱 Configuração'!$D$56)/7)+1,"Flush S"&amp;INT(('🌱 Configuração'!$B$56+76-'🌱 Configuração'!$E$56)/7)+1))))</f>
        <v>Flora S3</v>
      </c>
      <c r="F82" s="42" t="str">
        <f aca="false">IF(77&gt;'🌱 Configuração'!$F$55,"",IF('🌱 Configuração'!$B$56+76='🌱 Configuração'!$C$56,"🌿 INÍCIO VEGA — luz 18h/dia",IF('🌱 Configuração'!$B$56+76='🌱 Configuração'!$D$56,"🌸 INÍCIO FLORAÇÃO — mudar 12/12 🔴",IF('🌱 Configuração'!$B$56+76='🌱 Configuração'!$E$56,"🚿 INÍCIO FLUSH — parar nutrição",IF('🌱 Configuração'!$B$56+76='🌱 Configuração'!$F$56-1,"🔬 Véspera da colheita — analisar tricomas",IF('🌱 Configuração'!$B$56+76='🌱 Configuração'!$F$56,"✂️ COLHEITA — Parabéns! 🎉",""))))))</f>
        <v/>
      </c>
      <c r="G82" s="66" t="str">
        <f aca="false">IF(77&gt;'🌱 Configuração'!$F$55,"",IF(AND('🌱 Configuração'!$B$56+76&gt;='🌱 Configuração'!$C$56,'🌱 Configuração'!$B$56+76&lt;'🌱 Configuração'!$D$56,MOD('🌱 Configuração'!$B$56+76-'🌱 Configuração'!$C$56,7)=0),"🐛 MIP — ver aba MIP para aplicação desta semana",IF(AND('🌱 Configuração'!$B$56+76&gt;='🌱 Configuração'!$D$56,MOD('🌱 Configuração'!$B$56+76-'🌱 Configuração'!$D$56,7)=0),"🐛 MIP solo — ver aba MIP (sem foliar em flora)","")))</f>
        <v/>
      </c>
    </row>
    <row r="83" customFormat="false" ht="18" hidden="false" customHeight="true" outlineLevel="0" collapsed="false">
      <c r="B83" s="67" t="n">
        <f aca="false">IF(78&lt;='🌱 Configuração'!$F$55,78,"")</f>
        <v>78</v>
      </c>
      <c r="C83" s="68" t="n">
        <f aca="false">IF(78&lt;='🌱 Configuração'!$F$55,'🌱 Configuração'!$B$56+77,"")</f>
        <v>77</v>
      </c>
      <c r="D83" s="69" t="str">
        <f aca="false">IF(78&gt;'🌱 Configuração'!$F$55,"",IF('🌱 Configuração'!$B$56+77&lt;'🌱 Configuração'!$C$56,"🌱 Clone",IF('🌱 Configuração'!$B$56+77&lt;'🌱 Configuração'!$D$56,"🌿 Vegetativo",IF('🌱 Configuração'!$B$56+77&lt;'🌱 Configuração'!$E$56,"🌸 Floração","🚿 Flush"))))</f>
        <v>🌸 Floração</v>
      </c>
      <c r="E83" s="70" t="str">
        <f aca="false">IF(78&gt;'🌱 Configuração'!$F$55,"",IF('🌱 Configuração'!$B$56+77&lt;'🌱 Configuração'!$C$56,"Clone S"&amp;INT((78-1)/7)+1,IF('🌱 Configuração'!$B$56+77&lt;'🌱 Configuração'!$D$56,"Vega S"&amp;INT(('🌱 Configuração'!$B$56+77-'🌱 Configuração'!$C$56)/7)+1,IF('🌱 Configuração'!$B$56+77&lt;'🌱 Configuração'!$E$56,"Flora S"&amp;INT(('🌱 Configuração'!$B$56+77-'🌱 Configuração'!$D$56)/7)+1,"Flush S"&amp;INT(('🌱 Configuração'!$B$56+77-'🌱 Configuração'!$E$56)/7)+1))))</f>
        <v>Flora S4</v>
      </c>
      <c r="F83" s="13" t="str">
        <f aca="false">IF(78&gt;'🌱 Configuração'!$F$55,"",IF('🌱 Configuração'!$B$56+77='🌱 Configuração'!$C$56,"🌿 INÍCIO VEGA — luz 18h/dia",IF('🌱 Configuração'!$B$56+77='🌱 Configuração'!$D$56,"🌸 INÍCIO FLORAÇÃO — mudar 12/12 🔴",IF('🌱 Configuração'!$B$56+77='🌱 Configuração'!$E$56,"🚿 INÍCIO FLUSH — parar nutrição",IF('🌱 Configuração'!$B$56+77='🌱 Configuração'!$F$56-1,"🔬 Véspera da colheita — analisar tricomas",IF('🌱 Configuração'!$B$56+77='🌱 Configuração'!$F$56,"✂️ COLHEITA — Parabéns! 🎉",""))))))</f>
        <v/>
      </c>
      <c r="G83" s="71" t="str">
        <f aca="false">IF(78&gt;'🌱 Configuração'!$F$55,"",IF(AND('🌱 Configuração'!$B$56+77&gt;='🌱 Configuração'!$C$56,'🌱 Configuração'!$B$56+77&lt;'🌱 Configuração'!$D$56,MOD('🌱 Configuração'!$B$56+77-'🌱 Configuração'!$C$56,7)=0),"🐛 MIP — ver aba MIP para aplicação desta semana",IF(AND('🌱 Configuração'!$B$56+77&gt;='🌱 Configuração'!$D$56,MOD('🌱 Configuração'!$B$56+77-'🌱 Configuração'!$D$56,7)=0),"🐛 MIP solo — ver aba MIP (sem foliar em flora)","")))</f>
        <v>🐛 MIP solo — ver aba MIP (sem foliar em flora)</v>
      </c>
    </row>
    <row r="84" customFormat="false" ht="18" hidden="false" customHeight="true" outlineLevel="0" collapsed="false">
      <c r="B84" s="64" t="n">
        <f aca="false">IF(79&lt;='🌱 Configuração'!$F$55,79,"")</f>
        <v>79</v>
      </c>
      <c r="C84" s="41" t="n">
        <f aca="false">IF(79&lt;='🌱 Configuração'!$F$55,'🌱 Configuração'!$B$56+78,"")</f>
        <v>78</v>
      </c>
      <c r="D84" s="65" t="str">
        <f aca="false">IF(79&gt;'🌱 Configuração'!$F$55,"",IF('🌱 Configuração'!$B$56+78&lt;'🌱 Configuração'!$C$56,"🌱 Clone",IF('🌱 Configuração'!$B$56+78&lt;'🌱 Configuração'!$D$56,"🌿 Vegetativo",IF('🌱 Configuração'!$B$56+78&lt;'🌱 Configuração'!$E$56,"🌸 Floração","🚿 Flush"))))</f>
        <v>🌸 Floração</v>
      </c>
      <c r="E84" s="43" t="str">
        <f aca="false">IF(79&gt;'🌱 Configuração'!$F$55,"",IF('🌱 Configuração'!$B$56+78&lt;'🌱 Configuração'!$C$56,"Clone S"&amp;INT((79-1)/7)+1,IF('🌱 Configuração'!$B$56+78&lt;'🌱 Configuração'!$D$56,"Vega S"&amp;INT(('🌱 Configuração'!$B$56+78-'🌱 Configuração'!$C$56)/7)+1,IF('🌱 Configuração'!$B$56+78&lt;'🌱 Configuração'!$E$56,"Flora S"&amp;INT(('🌱 Configuração'!$B$56+78-'🌱 Configuração'!$D$56)/7)+1,"Flush S"&amp;INT(('🌱 Configuração'!$B$56+78-'🌱 Configuração'!$E$56)/7)+1))))</f>
        <v>Flora S4</v>
      </c>
      <c r="F84" s="42" t="str">
        <f aca="false">IF(79&gt;'🌱 Configuração'!$F$55,"",IF('🌱 Configuração'!$B$56+78='🌱 Configuração'!$C$56,"🌿 INÍCIO VEGA — luz 18h/dia",IF('🌱 Configuração'!$B$56+78='🌱 Configuração'!$D$56,"🌸 INÍCIO FLORAÇÃO — mudar 12/12 🔴",IF('🌱 Configuração'!$B$56+78='🌱 Configuração'!$E$56,"🚿 INÍCIO FLUSH — parar nutrição",IF('🌱 Configuração'!$B$56+78='🌱 Configuração'!$F$56-1,"🔬 Véspera da colheita — analisar tricomas",IF('🌱 Configuração'!$B$56+78='🌱 Configuração'!$F$56,"✂️ COLHEITA — Parabéns! 🎉",""))))))</f>
        <v/>
      </c>
      <c r="G84" s="66" t="str">
        <f aca="false">IF(79&gt;'🌱 Configuração'!$F$55,"",IF(AND('🌱 Configuração'!$B$56+78&gt;='🌱 Configuração'!$C$56,'🌱 Configuração'!$B$56+78&lt;'🌱 Configuração'!$D$56,MOD('🌱 Configuração'!$B$56+78-'🌱 Configuração'!$C$56,7)=0),"🐛 MIP — ver aba MIP para aplicação desta semana",IF(AND('🌱 Configuração'!$B$56+78&gt;='🌱 Configuração'!$D$56,MOD('🌱 Configuração'!$B$56+78-'🌱 Configuração'!$D$56,7)=0),"🐛 MIP solo — ver aba MIP (sem foliar em flora)","")))</f>
        <v/>
      </c>
    </row>
    <row r="85" customFormat="false" ht="18" hidden="false" customHeight="true" outlineLevel="0" collapsed="false">
      <c r="B85" s="67" t="n">
        <f aca="false">IF(80&lt;='🌱 Configuração'!$F$55,80,"")</f>
        <v>80</v>
      </c>
      <c r="C85" s="68" t="n">
        <f aca="false">IF(80&lt;='🌱 Configuração'!$F$55,'🌱 Configuração'!$B$56+79,"")</f>
        <v>79</v>
      </c>
      <c r="D85" s="69" t="str">
        <f aca="false">IF(80&gt;'🌱 Configuração'!$F$55,"",IF('🌱 Configuração'!$B$56+79&lt;'🌱 Configuração'!$C$56,"🌱 Clone",IF('🌱 Configuração'!$B$56+79&lt;'🌱 Configuração'!$D$56,"🌿 Vegetativo",IF('🌱 Configuração'!$B$56+79&lt;'🌱 Configuração'!$E$56,"🌸 Floração","🚿 Flush"))))</f>
        <v>🌸 Floração</v>
      </c>
      <c r="E85" s="70" t="str">
        <f aca="false">IF(80&gt;'🌱 Configuração'!$F$55,"",IF('🌱 Configuração'!$B$56+79&lt;'🌱 Configuração'!$C$56,"Clone S"&amp;INT((80-1)/7)+1,IF('🌱 Configuração'!$B$56+79&lt;'🌱 Configuração'!$D$56,"Vega S"&amp;INT(('🌱 Configuração'!$B$56+79-'🌱 Configuração'!$C$56)/7)+1,IF('🌱 Configuração'!$B$56+79&lt;'🌱 Configuração'!$E$56,"Flora S"&amp;INT(('🌱 Configuração'!$B$56+79-'🌱 Configuração'!$D$56)/7)+1,"Flush S"&amp;INT(('🌱 Configuração'!$B$56+79-'🌱 Configuração'!$E$56)/7)+1))))</f>
        <v>Flora S4</v>
      </c>
      <c r="F85" s="13" t="str">
        <f aca="false">IF(80&gt;'🌱 Configuração'!$F$55,"",IF('🌱 Configuração'!$B$56+79='🌱 Configuração'!$C$56,"🌿 INÍCIO VEGA — luz 18h/dia",IF('🌱 Configuração'!$B$56+79='🌱 Configuração'!$D$56,"🌸 INÍCIO FLORAÇÃO — mudar 12/12 🔴",IF('🌱 Configuração'!$B$56+79='🌱 Configuração'!$E$56,"🚿 INÍCIO FLUSH — parar nutrição",IF('🌱 Configuração'!$B$56+79='🌱 Configuração'!$F$56-1,"🔬 Véspera da colheita — analisar tricomas",IF('🌱 Configuração'!$B$56+79='🌱 Configuração'!$F$56,"✂️ COLHEITA — Parabéns! 🎉",""))))))</f>
        <v/>
      </c>
      <c r="G85" s="71" t="str">
        <f aca="false">IF(80&gt;'🌱 Configuração'!$F$55,"",IF(AND('🌱 Configuração'!$B$56+79&gt;='🌱 Configuração'!$C$56,'🌱 Configuração'!$B$56+79&lt;'🌱 Configuração'!$D$56,MOD('🌱 Configuração'!$B$56+79-'🌱 Configuração'!$C$56,7)=0),"🐛 MIP — ver aba MIP para aplicação desta semana",IF(AND('🌱 Configuração'!$B$56+79&gt;='🌱 Configuração'!$D$56,MOD('🌱 Configuração'!$B$56+79-'🌱 Configuração'!$D$56,7)=0),"🐛 MIP solo — ver aba MIP (sem foliar em flora)","")))</f>
        <v/>
      </c>
    </row>
    <row r="86" customFormat="false" ht="18" hidden="false" customHeight="true" outlineLevel="0" collapsed="false">
      <c r="B86" s="64" t="n">
        <f aca="false">IF(81&lt;='🌱 Configuração'!$F$55,81,"")</f>
        <v>81</v>
      </c>
      <c r="C86" s="41" t="n">
        <f aca="false">IF(81&lt;='🌱 Configuração'!$F$55,'🌱 Configuração'!$B$56+80,"")</f>
        <v>80</v>
      </c>
      <c r="D86" s="65" t="str">
        <f aca="false">IF(81&gt;'🌱 Configuração'!$F$55,"",IF('🌱 Configuração'!$B$56+80&lt;'🌱 Configuração'!$C$56,"🌱 Clone",IF('🌱 Configuração'!$B$56+80&lt;'🌱 Configuração'!$D$56,"🌿 Vegetativo",IF('🌱 Configuração'!$B$56+80&lt;'🌱 Configuração'!$E$56,"🌸 Floração","🚿 Flush"))))</f>
        <v>🌸 Floração</v>
      </c>
      <c r="E86" s="43" t="str">
        <f aca="false">IF(81&gt;'🌱 Configuração'!$F$55,"",IF('🌱 Configuração'!$B$56+80&lt;'🌱 Configuração'!$C$56,"Clone S"&amp;INT((81-1)/7)+1,IF('🌱 Configuração'!$B$56+80&lt;'🌱 Configuração'!$D$56,"Vega S"&amp;INT(('🌱 Configuração'!$B$56+80-'🌱 Configuração'!$C$56)/7)+1,IF('🌱 Configuração'!$B$56+80&lt;'🌱 Configuração'!$E$56,"Flora S"&amp;INT(('🌱 Configuração'!$B$56+80-'🌱 Configuração'!$D$56)/7)+1,"Flush S"&amp;INT(('🌱 Configuração'!$B$56+80-'🌱 Configuração'!$E$56)/7)+1))))</f>
        <v>Flora S4</v>
      </c>
      <c r="F86" s="42" t="str">
        <f aca="false">IF(81&gt;'🌱 Configuração'!$F$55,"",IF('🌱 Configuração'!$B$56+80='🌱 Configuração'!$C$56,"🌿 INÍCIO VEGA — luz 18h/dia",IF('🌱 Configuração'!$B$56+80='🌱 Configuração'!$D$56,"🌸 INÍCIO FLORAÇÃO — mudar 12/12 🔴",IF('🌱 Configuração'!$B$56+80='🌱 Configuração'!$E$56,"🚿 INÍCIO FLUSH — parar nutrição",IF('🌱 Configuração'!$B$56+80='🌱 Configuração'!$F$56-1,"🔬 Véspera da colheita — analisar tricomas",IF('🌱 Configuração'!$B$56+80='🌱 Configuração'!$F$56,"✂️ COLHEITA — Parabéns! 🎉",""))))))</f>
        <v/>
      </c>
      <c r="G86" s="66" t="str">
        <f aca="false">IF(81&gt;'🌱 Configuração'!$F$55,"",IF(AND('🌱 Configuração'!$B$56+80&gt;='🌱 Configuração'!$C$56,'🌱 Configuração'!$B$56+80&lt;'🌱 Configuração'!$D$56,MOD('🌱 Configuração'!$B$56+80-'🌱 Configuração'!$C$56,7)=0),"🐛 MIP — ver aba MIP para aplicação desta semana",IF(AND('🌱 Configuração'!$B$56+80&gt;='🌱 Configuração'!$D$56,MOD('🌱 Configuração'!$B$56+80-'🌱 Configuração'!$D$56,7)=0),"🐛 MIP solo — ver aba MIP (sem foliar em flora)","")))</f>
        <v/>
      </c>
    </row>
    <row r="87" customFormat="false" ht="18" hidden="false" customHeight="true" outlineLevel="0" collapsed="false">
      <c r="B87" s="67" t="n">
        <f aca="false">IF(82&lt;='🌱 Configuração'!$F$55,82,"")</f>
        <v>82</v>
      </c>
      <c r="C87" s="68" t="n">
        <f aca="false">IF(82&lt;='🌱 Configuração'!$F$55,'🌱 Configuração'!$B$56+81,"")</f>
        <v>81</v>
      </c>
      <c r="D87" s="69" t="str">
        <f aca="false">IF(82&gt;'🌱 Configuração'!$F$55,"",IF('🌱 Configuração'!$B$56+81&lt;'🌱 Configuração'!$C$56,"🌱 Clone",IF('🌱 Configuração'!$B$56+81&lt;'🌱 Configuração'!$D$56,"🌿 Vegetativo",IF('🌱 Configuração'!$B$56+81&lt;'🌱 Configuração'!$E$56,"🌸 Floração","🚿 Flush"))))</f>
        <v>🌸 Floração</v>
      </c>
      <c r="E87" s="70" t="str">
        <f aca="false">IF(82&gt;'🌱 Configuração'!$F$55,"",IF('🌱 Configuração'!$B$56+81&lt;'🌱 Configuração'!$C$56,"Clone S"&amp;INT((82-1)/7)+1,IF('🌱 Configuração'!$B$56+81&lt;'🌱 Configuração'!$D$56,"Vega S"&amp;INT(('🌱 Configuração'!$B$56+81-'🌱 Configuração'!$C$56)/7)+1,IF('🌱 Configuração'!$B$56+81&lt;'🌱 Configuração'!$E$56,"Flora S"&amp;INT(('🌱 Configuração'!$B$56+81-'🌱 Configuração'!$D$56)/7)+1,"Flush S"&amp;INT(('🌱 Configuração'!$B$56+81-'🌱 Configuração'!$E$56)/7)+1))))</f>
        <v>Flora S4</v>
      </c>
      <c r="F87" s="13" t="str">
        <f aca="false">IF(82&gt;'🌱 Configuração'!$F$55,"",IF('🌱 Configuração'!$B$56+81='🌱 Configuração'!$C$56,"🌿 INÍCIO VEGA — luz 18h/dia",IF('🌱 Configuração'!$B$56+81='🌱 Configuração'!$D$56,"🌸 INÍCIO FLORAÇÃO — mudar 12/12 🔴",IF('🌱 Configuração'!$B$56+81='🌱 Configuração'!$E$56,"🚿 INÍCIO FLUSH — parar nutrição",IF('🌱 Configuração'!$B$56+81='🌱 Configuração'!$F$56-1,"🔬 Véspera da colheita — analisar tricomas",IF('🌱 Configuração'!$B$56+81='🌱 Configuração'!$F$56,"✂️ COLHEITA — Parabéns! 🎉",""))))))</f>
        <v/>
      </c>
      <c r="G87" s="71" t="str">
        <f aca="false">IF(82&gt;'🌱 Configuração'!$F$55,"",IF(AND('🌱 Configuração'!$B$56+81&gt;='🌱 Configuração'!$C$56,'🌱 Configuração'!$B$56+81&lt;'🌱 Configuração'!$D$56,MOD('🌱 Configuração'!$B$56+81-'🌱 Configuração'!$C$56,7)=0),"🐛 MIP — ver aba MIP para aplicação desta semana",IF(AND('🌱 Configuração'!$B$56+81&gt;='🌱 Configuração'!$D$56,MOD('🌱 Configuração'!$B$56+81-'🌱 Configuração'!$D$56,7)=0),"🐛 MIP solo — ver aba MIP (sem foliar em flora)","")))</f>
        <v/>
      </c>
    </row>
    <row r="88" customFormat="false" ht="18" hidden="false" customHeight="true" outlineLevel="0" collapsed="false">
      <c r="B88" s="64" t="n">
        <f aca="false">IF(83&lt;='🌱 Configuração'!$F$55,83,"")</f>
        <v>83</v>
      </c>
      <c r="C88" s="41" t="n">
        <f aca="false">IF(83&lt;='🌱 Configuração'!$F$55,'🌱 Configuração'!$B$56+82,"")</f>
        <v>82</v>
      </c>
      <c r="D88" s="65" t="str">
        <f aca="false">IF(83&gt;'🌱 Configuração'!$F$55,"",IF('🌱 Configuração'!$B$56+82&lt;'🌱 Configuração'!$C$56,"🌱 Clone",IF('🌱 Configuração'!$B$56+82&lt;'🌱 Configuração'!$D$56,"🌿 Vegetativo",IF('🌱 Configuração'!$B$56+82&lt;'🌱 Configuração'!$E$56,"🌸 Floração","🚿 Flush"))))</f>
        <v>🌸 Floração</v>
      </c>
      <c r="E88" s="43" t="str">
        <f aca="false">IF(83&gt;'🌱 Configuração'!$F$55,"",IF('🌱 Configuração'!$B$56+82&lt;'🌱 Configuração'!$C$56,"Clone S"&amp;INT((83-1)/7)+1,IF('🌱 Configuração'!$B$56+82&lt;'🌱 Configuração'!$D$56,"Vega S"&amp;INT(('🌱 Configuração'!$B$56+82-'🌱 Configuração'!$C$56)/7)+1,IF('🌱 Configuração'!$B$56+82&lt;'🌱 Configuração'!$E$56,"Flora S"&amp;INT(('🌱 Configuração'!$B$56+82-'🌱 Configuração'!$D$56)/7)+1,"Flush S"&amp;INT(('🌱 Configuração'!$B$56+82-'🌱 Configuração'!$E$56)/7)+1))))</f>
        <v>Flora S4</v>
      </c>
      <c r="F88" s="42" t="str">
        <f aca="false">IF(83&gt;'🌱 Configuração'!$F$55,"",IF('🌱 Configuração'!$B$56+82='🌱 Configuração'!$C$56,"🌿 INÍCIO VEGA — luz 18h/dia",IF('🌱 Configuração'!$B$56+82='🌱 Configuração'!$D$56,"🌸 INÍCIO FLORAÇÃO — mudar 12/12 🔴",IF('🌱 Configuração'!$B$56+82='🌱 Configuração'!$E$56,"🚿 INÍCIO FLUSH — parar nutrição",IF('🌱 Configuração'!$B$56+82='🌱 Configuração'!$F$56-1,"🔬 Véspera da colheita — analisar tricomas",IF('🌱 Configuração'!$B$56+82='🌱 Configuração'!$F$56,"✂️ COLHEITA — Parabéns! 🎉",""))))))</f>
        <v/>
      </c>
      <c r="G88" s="66" t="str">
        <f aca="false">IF(83&gt;'🌱 Configuração'!$F$55,"",IF(AND('🌱 Configuração'!$B$56+82&gt;='🌱 Configuração'!$C$56,'🌱 Configuração'!$B$56+82&lt;'🌱 Configuração'!$D$56,MOD('🌱 Configuração'!$B$56+82-'🌱 Configuração'!$C$56,7)=0),"🐛 MIP — ver aba MIP para aplicação desta semana",IF(AND('🌱 Configuração'!$B$56+82&gt;='🌱 Configuração'!$D$56,MOD('🌱 Configuração'!$B$56+82-'🌱 Configuração'!$D$56,7)=0),"🐛 MIP solo — ver aba MIP (sem foliar em flora)","")))</f>
        <v/>
      </c>
    </row>
    <row r="89" customFormat="false" ht="18" hidden="false" customHeight="true" outlineLevel="0" collapsed="false">
      <c r="B89" s="67" t="n">
        <f aca="false">IF(84&lt;='🌱 Configuração'!$F$55,84,"")</f>
        <v>84</v>
      </c>
      <c r="C89" s="68" t="n">
        <f aca="false">IF(84&lt;='🌱 Configuração'!$F$55,'🌱 Configuração'!$B$56+83,"")</f>
        <v>83</v>
      </c>
      <c r="D89" s="69" t="str">
        <f aca="false">IF(84&gt;'🌱 Configuração'!$F$55,"",IF('🌱 Configuração'!$B$56+83&lt;'🌱 Configuração'!$C$56,"🌱 Clone",IF('🌱 Configuração'!$B$56+83&lt;'🌱 Configuração'!$D$56,"🌿 Vegetativo",IF('🌱 Configuração'!$B$56+83&lt;'🌱 Configuração'!$E$56,"🌸 Floração","🚿 Flush"))))</f>
        <v>🌸 Floração</v>
      </c>
      <c r="E89" s="70" t="str">
        <f aca="false">IF(84&gt;'🌱 Configuração'!$F$55,"",IF('🌱 Configuração'!$B$56+83&lt;'🌱 Configuração'!$C$56,"Clone S"&amp;INT((84-1)/7)+1,IF('🌱 Configuração'!$B$56+83&lt;'🌱 Configuração'!$D$56,"Vega S"&amp;INT(('🌱 Configuração'!$B$56+83-'🌱 Configuração'!$C$56)/7)+1,IF('🌱 Configuração'!$B$56+83&lt;'🌱 Configuração'!$E$56,"Flora S"&amp;INT(('🌱 Configuração'!$B$56+83-'🌱 Configuração'!$D$56)/7)+1,"Flush S"&amp;INT(('🌱 Configuração'!$B$56+83-'🌱 Configuração'!$E$56)/7)+1))))</f>
        <v>Flora S4</v>
      </c>
      <c r="F89" s="13" t="str">
        <f aca="false">IF(84&gt;'🌱 Configuração'!$F$55,"",IF('🌱 Configuração'!$B$56+83='🌱 Configuração'!$C$56,"🌿 INÍCIO VEGA — luz 18h/dia",IF('🌱 Configuração'!$B$56+83='🌱 Configuração'!$D$56,"🌸 INÍCIO FLORAÇÃO — mudar 12/12 🔴",IF('🌱 Configuração'!$B$56+83='🌱 Configuração'!$E$56,"🚿 INÍCIO FLUSH — parar nutrição",IF('🌱 Configuração'!$B$56+83='🌱 Configuração'!$F$56-1,"🔬 Véspera da colheita — analisar tricomas",IF('🌱 Configuração'!$B$56+83='🌱 Configuração'!$F$56,"✂️ COLHEITA — Parabéns! 🎉",""))))))</f>
        <v/>
      </c>
      <c r="G89" s="71" t="str">
        <f aca="false">IF(84&gt;'🌱 Configuração'!$F$55,"",IF(AND('🌱 Configuração'!$B$56+83&gt;='🌱 Configuração'!$C$56,'🌱 Configuração'!$B$56+83&lt;'🌱 Configuração'!$D$56,MOD('🌱 Configuração'!$B$56+83-'🌱 Configuração'!$C$56,7)=0),"🐛 MIP — ver aba MIP para aplicação desta semana",IF(AND('🌱 Configuração'!$B$56+83&gt;='🌱 Configuração'!$D$56,MOD('🌱 Configuração'!$B$56+83-'🌱 Configuração'!$D$56,7)=0),"🐛 MIP solo — ver aba MIP (sem foliar em flora)","")))</f>
        <v/>
      </c>
    </row>
    <row r="90" customFormat="false" ht="18" hidden="false" customHeight="true" outlineLevel="0" collapsed="false">
      <c r="B90" s="64" t="n">
        <f aca="false">IF(85&lt;='🌱 Configuração'!$F$55,85,"")</f>
        <v>85</v>
      </c>
      <c r="C90" s="41" t="n">
        <f aca="false">IF(85&lt;='🌱 Configuração'!$F$55,'🌱 Configuração'!$B$56+84,"")</f>
        <v>84</v>
      </c>
      <c r="D90" s="65" t="str">
        <f aca="false">IF(85&gt;'🌱 Configuração'!$F$55,"",IF('🌱 Configuração'!$B$56+84&lt;'🌱 Configuração'!$C$56,"🌱 Clone",IF('🌱 Configuração'!$B$56+84&lt;'🌱 Configuração'!$D$56,"🌿 Vegetativo",IF('🌱 Configuração'!$B$56+84&lt;'🌱 Configuração'!$E$56,"🌸 Floração","🚿 Flush"))))</f>
        <v>🌸 Floração</v>
      </c>
      <c r="E90" s="43" t="str">
        <f aca="false">IF(85&gt;'🌱 Configuração'!$F$55,"",IF('🌱 Configuração'!$B$56+84&lt;'🌱 Configuração'!$C$56,"Clone S"&amp;INT((85-1)/7)+1,IF('🌱 Configuração'!$B$56+84&lt;'🌱 Configuração'!$D$56,"Vega S"&amp;INT(('🌱 Configuração'!$B$56+84-'🌱 Configuração'!$C$56)/7)+1,IF('🌱 Configuração'!$B$56+84&lt;'🌱 Configuração'!$E$56,"Flora S"&amp;INT(('🌱 Configuração'!$B$56+84-'🌱 Configuração'!$D$56)/7)+1,"Flush S"&amp;INT(('🌱 Configuração'!$B$56+84-'🌱 Configuração'!$E$56)/7)+1))))</f>
        <v>Flora S5</v>
      </c>
      <c r="F90" s="42" t="str">
        <f aca="false">IF(85&gt;'🌱 Configuração'!$F$55,"",IF('🌱 Configuração'!$B$56+84='🌱 Configuração'!$C$56,"🌿 INÍCIO VEGA — luz 18h/dia",IF('🌱 Configuração'!$B$56+84='🌱 Configuração'!$D$56,"🌸 INÍCIO FLORAÇÃO — mudar 12/12 🔴",IF('🌱 Configuração'!$B$56+84='🌱 Configuração'!$E$56,"🚿 INÍCIO FLUSH — parar nutrição",IF('🌱 Configuração'!$B$56+84='🌱 Configuração'!$F$56-1,"🔬 Véspera da colheita — analisar tricomas",IF('🌱 Configuração'!$B$56+84='🌱 Configuração'!$F$56,"✂️ COLHEITA — Parabéns! 🎉",""))))))</f>
        <v/>
      </c>
      <c r="G90" s="66" t="str">
        <f aca="false">IF(85&gt;'🌱 Configuração'!$F$55,"",IF(AND('🌱 Configuração'!$B$56+84&gt;='🌱 Configuração'!$C$56,'🌱 Configuração'!$B$56+84&lt;'🌱 Configuração'!$D$56,MOD('🌱 Configuração'!$B$56+84-'🌱 Configuração'!$C$56,7)=0),"🐛 MIP — ver aba MIP para aplicação desta semana",IF(AND('🌱 Configuração'!$B$56+84&gt;='🌱 Configuração'!$D$56,MOD('🌱 Configuração'!$B$56+84-'🌱 Configuração'!$D$56,7)=0),"🐛 MIP solo — ver aba MIP (sem foliar em flora)","")))</f>
        <v>🐛 MIP solo — ver aba MIP (sem foliar em flora)</v>
      </c>
    </row>
    <row r="91" customFormat="false" ht="18" hidden="false" customHeight="true" outlineLevel="0" collapsed="false">
      <c r="B91" s="67" t="n">
        <f aca="false">IF(86&lt;='🌱 Configuração'!$F$55,86,"")</f>
        <v>86</v>
      </c>
      <c r="C91" s="68" t="n">
        <f aca="false">IF(86&lt;='🌱 Configuração'!$F$55,'🌱 Configuração'!$B$56+85,"")</f>
        <v>85</v>
      </c>
      <c r="D91" s="69" t="str">
        <f aca="false">IF(86&gt;'🌱 Configuração'!$F$55,"",IF('🌱 Configuração'!$B$56+85&lt;'🌱 Configuração'!$C$56,"🌱 Clone",IF('🌱 Configuração'!$B$56+85&lt;'🌱 Configuração'!$D$56,"🌿 Vegetativo",IF('🌱 Configuração'!$B$56+85&lt;'🌱 Configuração'!$E$56,"🌸 Floração","🚿 Flush"))))</f>
        <v>🌸 Floração</v>
      </c>
      <c r="E91" s="70" t="str">
        <f aca="false">IF(86&gt;'🌱 Configuração'!$F$55,"",IF('🌱 Configuração'!$B$56+85&lt;'🌱 Configuração'!$C$56,"Clone S"&amp;INT((86-1)/7)+1,IF('🌱 Configuração'!$B$56+85&lt;'🌱 Configuração'!$D$56,"Vega S"&amp;INT(('🌱 Configuração'!$B$56+85-'🌱 Configuração'!$C$56)/7)+1,IF('🌱 Configuração'!$B$56+85&lt;'🌱 Configuração'!$E$56,"Flora S"&amp;INT(('🌱 Configuração'!$B$56+85-'🌱 Configuração'!$D$56)/7)+1,"Flush S"&amp;INT(('🌱 Configuração'!$B$56+85-'🌱 Configuração'!$E$56)/7)+1))))</f>
        <v>Flora S5</v>
      </c>
      <c r="F91" s="13" t="str">
        <f aca="false">IF(86&gt;'🌱 Configuração'!$F$55,"",IF('🌱 Configuração'!$B$56+85='🌱 Configuração'!$C$56,"🌿 INÍCIO VEGA — luz 18h/dia",IF('🌱 Configuração'!$B$56+85='🌱 Configuração'!$D$56,"🌸 INÍCIO FLORAÇÃO — mudar 12/12 🔴",IF('🌱 Configuração'!$B$56+85='🌱 Configuração'!$E$56,"🚿 INÍCIO FLUSH — parar nutrição",IF('🌱 Configuração'!$B$56+85='🌱 Configuração'!$F$56-1,"🔬 Véspera da colheita — analisar tricomas",IF('🌱 Configuração'!$B$56+85='🌱 Configuração'!$F$56,"✂️ COLHEITA — Parabéns! 🎉",""))))))</f>
        <v/>
      </c>
      <c r="G91" s="71" t="str">
        <f aca="false">IF(86&gt;'🌱 Configuração'!$F$55,"",IF(AND('🌱 Configuração'!$B$56+85&gt;='🌱 Configuração'!$C$56,'🌱 Configuração'!$B$56+85&lt;'🌱 Configuração'!$D$56,MOD('🌱 Configuração'!$B$56+85-'🌱 Configuração'!$C$56,7)=0),"🐛 MIP — ver aba MIP para aplicação desta semana",IF(AND('🌱 Configuração'!$B$56+85&gt;='🌱 Configuração'!$D$56,MOD('🌱 Configuração'!$B$56+85-'🌱 Configuração'!$D$56,7)=0),"🐛 MIP solo — ver aba MIP (sem foliar em flora)","")))</f>
        <v/>
      </c>
    </row>
    <row r="92" customFormat="false" ht="18" hidden="false" customHeight="true" outlineLevel="0" collapsed="false">
      <c r="B92" s="64" t="n">
        <f aca="false">IF(87&lt;='🌱 Configuração'!$F$55,87,"")</f>
        <v>87</v>
      </c>
      <c r="C92" s="41" t="n">
        <f aca="false">IF(87&lt;='🌱 Configuração'!$F$55,'🌱 Configuração'!$B$56+86,"")</f>
        <v>86</v>
      </c>
      <c r="D92" s="65" t="str">
        <f aca="false">IF(87&gt;'🌱 Configuração'!$F$55,"",IF('🌱 Configuração'!$B$56+86&lt;'🌱 Configuração'!$C$56,"🌱 Clone",IF('🌱 Configuração'!$B$56+86&lt;'🌱 Configuração'!$D$56,"🌿 Vegetativo",IF('🌱 Configuração'!$B$56+86&lt;'🌱 Configuração'!$E$56,"🌸 Floração","🚿 Flush"))))</f>
        <v>🌸 Floração</v>
      </c>
      <c r="E92" s="43" t="str">
        <f aca="false">IF(87&gt;'🌱 Configuração'!$F$55,"",IF('🌱 Configuração'!$B$56+86&lt;'🌱 Configuração'!$C$56,"Clone S"&amp;INT((87-1)/7)+1,IF('🌱 Configuração'!$B$56+86&lt;'🌱 Configuração'!$D$56,"Vega S"&amp;INT(('🌱 Configuração'!$B$56+86-'🌱 Configuração'!$C$56)/7)+1,IF('🌱 Configuração'!$B$56+86&lt;'🌱 Configuração'!$E$56,"Flora S"&amp;INT(('🌱 Configuração'!$B$56+86-'🌱 Configuração'!$D$56)/7)+1,"Flush S"&amp;INT(('🌱 Configuração'!$B$56+86-'🌱 Configuração'!$E$56)/7)+1))))</f>
        <v>Flora S5</v>
      </c>
      <c r="F92" s="42" t="str">
        <f aca="false">IF(87&gt;'🌱 Configuração'!$F$55,"",IF('🌱 Configuração'!$B$56+86='🌱 Configuração'!$C$56,"🌿 INÍCIO VEGA — luz 18h/dia",IF('🌱 Configuração'!$B$56+86='🌱 Configuração'!$D$56,"🌸 INÍCIO FLORAÇÃO — mudar 12/12 🔴",IF('🌱 Configuração'!$B$56+86='🌱 Configuração'!$E$56,"🚿 INÍCIO FLUSH — parar nutrição",IF('🌱 Configuração'!$B$56+86='🌱 Configuração'!$F$56-1,"🔬 Véspera da colheita — analisar tricomas",IF('🌱 Configuração'!$B$56+86='🌱 Configuração'!$F$56,"✂️ COLHEITA — Parabéns! 🎉",""))))))</f>
        <v/>
      </c>
      <c r="G92" s="66" t="str">
        <f aca="false">IF(87&gt;'🌱 Configuração'!$F$55,"",IF(AND('🌱 Configuração'!$B$56+86&gt;='🌱 Configuração'!$C$56,'🌱 Configuração'!$B$56+86&lt;'🌱 Configuração'!$D$56,MOD('🌱 Configuração'!$B$56+86-'🌱 Configuração'!$C$56,7)=0),"🐛 MIP — ver aba MIP para aplicação desta semana",IF(AND('🌱 Configuração'!$B$56+86&gt;='🌱 Configuração'!$D$56,MOD('🌱 Configuração'!$B$56+86-'🌱 Configuração'!$D$56,7)=0),"🐛 MIP solo — ver aba MIP (sem foliar em flora)","")))</f>
        <v/>
      </c>
    </row>
    <row r="93" customFormat="false" ht="18" hidden="false" customHeight="true" outlineLevel="0" collapsed="false">
      <c r="B93" s="67" t="n">
        <f aca="false">IF(88&lt;='🌱 Configuração'!$F$55,88,"")</f>
        <v>88</v>
      </c>
      <c r="C93" s="68" t="n">
        <f aca="false">IF(88&lt;='🌱 Configuração'!$F$55,'🌱 Configuração'!$B$56+87,"")</f>
        <v>87</v>
      </c>
      <c r="D93" s="69" t="str">
        <f aca="false">IF(88&gt;'🌱 Configuração'!$F$55,"",IF('🌱 Configuração'!$B$56+87&lt;'🌱 Configuração'!$C$56,"🌱 Clone",IF('🌱 Configuração'!$B$56+87&lt;'🌱 Configuração'!$D$56,"🌿 Vegetativo",IF('🌱 Configuração'!$B$56+87&lt;'🌱 Configuração'!$E$56,"🌸 Floração","🚿 Flush"))))</f>
        <v>🌸 Floração</v>
      </c>
      <c r="E93" s="70" t="str">
        <f aca="false">IF(88&gt;'🌱 Configuração'!$F$55,"",IF('🌱 Configuração'!$B$56+87&lt;'🌱 Configuração'!$C$56,"Clone S"&amp;INT((88-1)/7)+1,IF('🌱 Configuração'!$B$56+87&lt;'🌱 Configuração'!$D$56,"Vega S"&amp;INT(('🌱 Configuração'!$B$56+87-'🌱 Configuração'!$C$56)/7)+1,IF('🌱 Configuração'!$B$56+87&lt;'🌱 Configuração'!$E$56,"Flora S"&amp;INT(('🌱 Configuração'!$B$56+87-'🌱 Configuração'!$D$56)/7)+1,"Flush S"&amp;INT(('🌱 Configuração'!$B$56+87-'🌱 Configuração'!$E$56)/7)+1))))</f>
        <v>Flora S5</v>
      </c>
      <c r="F93" s="13" t="str">
        <f aca="false">IF(88&gt;'🌱 Configuração'!$F$55,"",IF('🌱 Configuração'!$B$56+87='🌱 Configuração'!$C$56,"🌿 INÍCIO VEGA — luz 18h/dia",IF('🌱 Configuração'!$B$56+87='🌱 Configuração'!$D$56,"🌸 INÍCIO FLORAÇÃO — mudar 12/12 🔴",IF('🌱 Configuração'!$B$56+87='🌱 Configuração'!$E$56,"🚿 INÍCIO FLUSH — parar nutrição",IF('🌱 Configuração'!$B$56+87='🌱 Configuração'!$F$56-1,"🔬 Véspera da colheita — analisar tricomas",IF('🌱 Configuração'!$B$56+87='🌱 Configuração'!$F$56,"✂️ COLHEITA — Parabéns! 🎉",""))))))</f>
        <v/>
      </c>
      <c r="G93" s="71" t="str">
        <f aca="false">IF(88&gt;'🌱 Configuração'!$F$55,"",IF(AND('🌱 Configuração'!$B$56+87&gt;='🌱 Configuração'!$C$56,'🌱 Configuração'!$B$56+87&lt;'🌱 Configuração'!$D$56,MOD('🌱 Configuração'!$B$56+87-'🌱 Configuração'!$C$56,7)=0),"🐛 MIP — ver aba MIP para aplicação desta semana",IF(AND('🌱 Configuração'!$B$56+87&gt;='🌱 Configuração'!$D$56,MOD('🌱 Configuração'!$B$56+87-'🌱 Configuração'!$D$56,7)=0),"🐛 MIP solo — ver aba MIP (sem foliar em flora)","")))</f>
        <v/>
      </c>
    </row>
    <row r="94" customFormat="false" ht="18" hidden="false" customHeight="true" outlineLevel="0" collapsed="false">
      <c r="B94" s="64" t="n">
        <f aca="false">IF(89&lt;='🌱 Configuração'!$F$55,89,"")</f>
        <v>89</v>
      </c>
      <c r="C94" s="41" t="n">
        <f aca="false">IF(89&lt;='🌱 Configuração'!$F$55,'🌱 Configuração'!$B$56+88,"")</f>
        <v>88</v>
      </c>
      <c r="D94" s="65" t="str">
        <f aca="false">IF(89&gt;'🌱 Configuração'!$F$55,"",IF('🌱 Configuração'!$B$56+88&lt;'🌱 Configuração'!$C$56,"🌱 Clone",IF('🌱 Configuração'!$B$56+88&lt;'🌱 Configuração'!$D$56,"🌿 Vegetativo",IF('🌱 Configuração'!$B$56+88&lt;'🌱 Configuração'!$E$56,"🌸 Floração","🚿 Flush"))))</f>
        <v>🌸 Floração</v>
      </c>
      <c r="E94" s="43" t="str">
        <f aca="false">IF(89&gt;'🌱 Configuração'!$F$55,"",IF('🌱 Configuração'!$B$56+88&lt;'🌱 Configuração'!$C$56,"Clone S"&amp;INT((89-1)/7)+1,IF('🌱 Configuração'!$B$56+88&lt;'🌱 Configuração'!$D$56,"Vega S"&amp;INT(('🌱 Configuração'!$B$56+88-'🌱 Configuração'!$C$56)/7)+1,IF('🌱 Configuração'!$B$56+88&lt;'🌱 Configuração'!$E$56,"Flora S"&amp;INT(('🌱 Configuração'!$B$56+88-'🌱 Configuração'!$D$56)/7)+1,"Flush S"&amp;INT(('🌱 Configuração'!$B$56+88-'🌱 Configuração'!$E$56)/7)+1))))</f>
        <v>Flora S5</v>
      </c>
      <c r="F94" s="42" t="str">
        <f aca="false">IF(89&gt;'🌱 Configuração'!$F$55,"",IF('🌱 Configuração'!$B$56+88='🌱 Configuração'!$C$56,"🌿 INÍCIO VEGA — luz 18h/dia",IF('🌱 Configuração'!$B$56+88='🌱 Configuração'!$D$56,"🌸 INÍCIO FLORAÇÃO — mudar 12/12 🔴",IF('🌱 Configuração'!$B$56+88='🌱 Configuração'!$E$56,"🚿 INÍCIO FLUSH — parar nutrição",IF('🌱 Configuração'!$B$56+88='🌱 Configuração'!$F$56-1,"🔬 Véspera da colheita — analisar tricomas",IF('🌱 Configuração'!$B$56+88='🌱 Configuração'!$F$56,"✂️ COLHEITA — Parabéns! 🎉",""))))))</f>
        <v/>
      </c>
      <c r="G94" s="66" t="str">
        <f aca="false">IF(89&gt;'🌱 Configuração'!$F$55,"",IF(AND('🌱 Configuração'!$B$56+88&gt;='🌱 Configuração'!$C$56,'🌱 Configuração'!$B$56+88&lt;'🌱 Configuração'!$D$56,MOD('🌱 Configuração'!$B$56+88-'🌱 Configuração'!$C$56,7)=0),"🐛 MIP — ver aba MIP para aplicação desta semana",IF(AND('🌱 Configuração'!$B$56+88&gt;='🌱 Configuração'!$D$56,MOD('🌱 Configuração'!$B$56+88-'🌱 Configuração'!$D$56,7)=0),"🐛 MIP solo — ver aba MIP (sem foliar em flora)","")))</f>
        <v/>
      </c>
    </row>
    <row r="95" customFormat="false" ht="18" hidden="false" customHeight="true" outlineLevel="0" collapsed="false">
      <c r="B95" s="67" t="n">
        <f aca="false">IF(90&lt;='🌱 Configuração'!$F$55,90,"")</f>
        <v>90</v>
      </c>
      <c r="C95" s="68" t="n">
        <f aca="false">IF(90&lt;='🌱 Configuração'!$F$55,'🌱 Configuração'!$B$56+89,"")</f>
        <v>89</v>
      </c>
      <c r="D95" s="69" t="str">
        <f aca="false">IF(90&gt;'🌱 Configuração'!$F$55,"",IF('🌱 Configuração'!$B$56+89&lt;'🌱 Configuração'!$C$56,"🌱 Clone",IF('🌱 Configuração'!$B$56+89&lt;'🌱 Configuração'!$D$56,"🌿 Vegetativo",IF('🌱 Configuração'!$B$56+89&lt;'🌱 Configuração'!$E$56,"🌸 Floração","🚿 Flush"))))</f>
        <v>🌸 Floração</v>
      </c>
      <c r="E95" s="70" t="str">
        <f aca="false">IF(90&gt;'🌱 Configuração'!$F$55,"",IF('🌱 Configuração'!$B$56+89&lt;'🌱 Configuração'!$C$56,"Clone S"&amp;INT((90-1)/7)+1,IF('🌱 Configuração'!$B$56+89&lt;'🌱 Configuração'!$D$56,"Vega S"&amp;INT(('🌱 Configuração'!$B$56+89-'🌱 Configuração'!$C$56)/7)+1,IF('🌱 Configuração'!$B$56+89&lt;'🌱 Configuração'!$E$56,"Flora S"&amp;INT(('🌱 Configuração'!$B$56+89-'🌱 Configuração'!$D$56)/7)+1,"Flush S"&amp;INT(('🌱 Configuração'!$B$56+89-'🌱 Configuração'!$E$56)/7)+1))))</f>
        <v>Flora S5</v>
      </c>
      <c r="F95" s="13" t="str">
        <f aca="false">IF(90&gt;'🌱 Configuração'!$F$55,"",IF('🌱 Configuração'!$B$56+89='🌱 Configuração'!$C$56,"🌿 INÍCIO VEGA — luz 18h/dia",IF('🌱 Configuração'!$B$56+89='🌱 Configuração'!$D$56,"🌸 INÍCIO FLORAÇÃO — mudar 12/12 🔴",IF('🌱 Configuração'!$B$56+89='🌱 Configuração'!$E$56,"🚿 INÍCIO FLUSH — parar nutrição",IF('🌱 Configuração'!$B$56+89='🌱 Configuração'!$F$56-1,"🔬 Véspera da colheita — analisar tricomas",IF('🌱 Configuração'!$B$56+89='🌱 Configuração'!$F$56,"✂️ COLHEITA — Parabéns! 🎉",""))))))</f>
        <v/>
      </c>
      <c r="G95" s="71" t="str">
        <f aca="false">IF(90&gt;'🌱 Configuração'!$F$55,"",IF(AND('🌱 Configuração'!$B$56+89&gt;='🌱 Configuração'!$C$56,'🌱 Configuração'!$B$56+89&lt;'🌱 Configuração'!$D$56,MOD('🌱 Configuração'!$B$56+89-'🌱 Configuração'!$C$56,7)=0),"🐛 MIP — ver aba MIP para aplicação desta semana",IF(AND('🌱 Configuração'!$B$56+89&gt;='🌱 Configuração'!$D$56,MOD('🌱 Configuração'!$B$56+89-'🌱 Configuração'!$D$56,7)=0),"🐛 MIP solo — ver aba MIP (sem foliar em flora)","")))</f>
        <v/>
      </c>
    </row>
    <row r="96" customFormat="false" ht="18" hidden="false" customHeight="true" outlineLevel="0" collapsed="false">
      <c r="B96" s="64" t="n">
        <f aca="false">IF(91&lt;='🌱 Configuração'!$F$55,91,"")</f>
        <v>91</v>
      </c>
      <c r="C96" s="41" t="n">
        <f aca="false">IF(91&lt;='🌱 Configuração'!$F$55,'🌱 Configuração'!$B$56+90,"")</f>
        <v>90</v>
      </c>
      <c r="D96" s="65" t="str">
        <f aca="false">IF(91&gt;'🌱 Configuração'!$F$55,"",IF('🌱 Configuração'!$B$56+90&lt;'🌱 Configuração'!$C$56,"🌱 Clone",IF('🌱 Configuração'!$B$56+90&lt;'🌱 Configuração'!$D$56,"🌿 Vegetativo",IF('🌱 Configuração'!$B$56+90&lt;'🌱 Configuração'!$E$56,"🌸 Floração","🚿 Flush"))))</f>
        <v>🌸 Floração</v>
      </c>
      <c r="E96" s="43" t="str">
        <f aca="false">IF(91&gt;'🌱 Configuração'!$F$55,"",IF('🌱 Configuração'!$B$56+90&lt;'🌱 Configuração'!$C$56,"Clone S"&amp;INT((91-1)/7)+1,IF('🌱 Configuração'!$B$56+90&lt;'🌱 Configuração'!$D$56,"Vega S"&amp;INT(('🌱 Configuração'!$B$56+90-'🌱 Configuração'!$C$56)/7)+1,IF('🌱 Configuração'!$B$56+90&lt;'🌱 Configuração'!$E$56,"Flora S"&amp;INT(('🌱 Configuração'!$B$56+90-'🌱 Configuração'!$D$56)/7)+1,"Flush S"&amp;INT(('🌱 Configuração'!$B$56+90-'🌱 Configuração'!$E$56)/7)+1))))</f>
        <v>Flora S5</v>
      </c>
      <c r="F96" s="42" t="str">
        <f aca="false">IF(91&gt;'🌱 Configuração'!$F$55,"",IF('🌱 Configuração'!$B$56+90='🌱 Configuração'!$C$56,"🌿 INÍCIO VEGA — luz 18h/dia",IF('🌱 Configuração'!$B$56+90='🌱 Configuração'!$D$56,"🌸 INÍCIO FLORAÇÃO — mudar 12/12 🔴",IF('🌱 Configuração'!$B$56+90='🌱 Configuração'!$E$56,"🚿 INÍCIO FLUSH — parar nutrição",IF('🌱 Configuração'!$B$56+90='🌱 Configuração'!$F$56-1,"🔬 Véspera da colheita — analisar tricomas",IF('🌱 Configuração'!$B$56+90='🌱 Configuração'!$F$56,"✂️ COLHEITA — Parabéns! 🎉",""))))))</f>
        <v/>
      </c>
      <c r="G96" s="66" t="str">
        <f aca="false">IF(91&gt;'🌱 Configuração'!$F$55,"",IF(AND('🌱 Configuração'!$B$56+90&gt;='🌱 Configuração'!$C$56,'🌱 Configuração'!$B$56+90&lt;'🌱 Configuração'!$D$56,MOD('🌱 Configuração'!$B$56+90-'🌱 Configuração'!$C$56,7)=0),"🐛 MIP — ver aba MIP para aplicação desta semana",IF(AND('🌱 Configuração'!$B$56+90&gt;='🌱 Configuração'!$D$56,MOD('🌱 Configuração'!$B$56+90-'🌱 Configuração'!$D$56,7)=0),"🐛 MIP solo — ver aba MIP (sem foliar em flora)","")))</f>
        <v/>
      </c>
    </row>
    <row r="97" customFormat="false" ht="18" hidden="false" customHeight="true" outlineLevel="0" collapsed="false">
      <c r="B97" s="67" t="n">
        <f aca="false">IF(92&lt;='🌱 Configuração'!$F$55,92,"")</f>
        <v>92</v>
      </c>
      <c r="C97" s="68" t="n">
        <f aca="false">IF(92&lt;='🌱 Configuração'!$F$55,'🌱 Configuração'!$B$56+91,"")</f>
        <v>91</v>
      </c>
      <c r="D97" s="69" t="str">
        <f aca="false">IF(92&gt;'🌱 Configuração'!$F$55,"",IF('🌱 Configuração'!$B$56+91&lt;'🌱 Configuração'!$C$56,"🌱 Clone",IF('🌱 Configuração'!$B$56+91&lt;'🌱 Configuração'!$D$56,"🌿 Vegetativo",IF('🌱 Configuração'!$B$56+91&lt;'🌱 Configuração'!$E$56,"🌸 Floração","🚿 Flush"))))</f>
        <v>🌸 Floração</v>
      </c>
      <c r="E97" s="70" t="str">
        <f aca="false">IF(92&gt;'🌱 Configuração'!$F$55,"",IF('🌱 Configuração'!$B$56+91&lt;'🌱 Configuração'!$C$56,"Clone S"&amp;INT((92-1)/7)+1,IF('🌱 Configuração'!$B$56+91&lt;'🌱 Configuração'!$D$56,"Vega S"&amp;INT(('🌱 Configuração'!$B$56+91-'🌱 Configuração'!$C$56)/7)+1,IF('🌱 Configuração'!$B$56+91&lt;'🌱 Configuração'!$E$56,"Flora S"&amp;INT(('🌱 Configuração'!$B$56+91-'🌱 Configuração'!$D$56)/7)+1,"Flush S"&amp;INT(('🌱 Configuração'!$B$56+91-'🌱 Configuração'!$E$56)/7)+1))))</f>
        <v>Flora S6</v>
      </c>
      <c r="F97" s="13" t="str">
        <f aca="false">IF(92&gt;'🌱 Configuração'!$F$55,"",IF('🌱 Configuração'!$B$56+91='🌱 Configuração'!$C$56,"🌿 INÍCIO VEGA — luz 18h/dia",IF('🌱 Configuração'!$B$56+91='🌱 Configuração'!$D$56,"🌸 INÍCIO FLORAÇÃO — mudar 12/12 🔴",IF('🌱 Configuração'!$B$56+91='🌱 Configuração'!$E$56,"🚿 INÍCIO FLUSH — parar nutrição",IF('🌱 Configuração'!$B$56+91='🌱 Configuração'!$F$56-1,"🔬 Véspera da colheita — analisar tricomas",IF('🌱 Configuração'!$B$56+91='🌱 Configuração'!$F$56,"✂️ COLHEITA — Parabéns! 🎉",""))))))</f>
        <v/>
      </c>
      <c r="G97" s="71" t="str">
        <f aca="false">IF(92&gt;'🌱 Configuração'!$F$55,"",IF(AND('🌱 Configuração'!$B$56+91&gt;='🌱 Configuração'!$C$56,'🌱 Configuração'!$B$56+91&lt;'🌱 Configuração'!$D$56,MOD('🌱 Configuração'!$B$56+91-'🌱 Configuração'!$C$56,7)=0),"🐛 MIP — ver aba MIP para aplicação desta semana",IF(AND('🌱 Configuração'!$B$56+91&gt;='🌱 Configuração'!$D$56,MOD('🌱 Configuração'!$B$56+91-'🌱 Configuração'!$D$56,7)=0),"🐛 MIP solo — ver aba MIP (sem foliar em flora)","")))</f>
        <v>🐛 MIP solo — ver aba MIP (sem foliar em flora)</v>
      </c>
    </row>
    <row r="98" customFormat="false" ht="18" hidden="false" customHeight="true" outlineLevel="0" collapsed="false">
      <c r="B98" s="64" t="n">
        <f aca="false">IF(93&lt;='🌱 Configuração'!$F$55,93,"")</f>
        <v>93</v>
      </c>
      <c r="C98" s="41" t="n">
        <f aca="false">IF(93&lt;='🌱 Configuração'!$F$55,'🌱 Configuração'!$B$56+92,"")</f>
        <v>92</v>
      </c>
      <c r="D98" s="65" t="str">
        <f aca="false">IF(93&gt;'🌱 Configuração'!$F$55,"",IF('🌱 Configuração'!$B$56+92&lt;'🌱 Configuração'!$C$56,"🌱 Clone",IF('🌱 Configuração'!$B$56+92&lt;'🌱 Configuração'!$D$56,"🌿 Vegetativo",IF('🌱 Configuração'!$B$56+92&lt;'🌱 Configuração'!$E$56,"🌸 Floração","🚿 Flush"))))</f>
        <v>🌸 Floração</v>
      </c>
      <c r="E98" s="43" t="str">
        <f aca="false">IF(93&gt;'🌱 Configuração'!$F$55,"",IF('🌱 Configuração'!$B$56+92&lt;'🌱 Configuração'!$C$56,"Clone S"&amp;INT((93-1)/7)+1,IF('🌱 Configuração'!$B$56+92&lt;'🌱 Configuração'!$D$56,"Vega S"&amp;INT(('🌱 Configuração'!$B$56+92-'🌱 Configuração'!$C$56)/7)+1,IF('🌱 Configuração'!$B$56+92&lt;'🌱 Configuração'!$E$56,"Flora S"&amp;INT(('🌱 Configuração'!$B$56+92-'🌱 Configuração'!$D$56)/7)+1,"Flush S"&amp;INT(('🌱 Configuração'!$B$56+92-'🌱 Configuração'!$E$56)/7)+1))))</f>
        <v>Flora S6</v>
      </c>
      <c r="F98" s="42" t="str">
        <f aca="false">IF(93&gt;'🌱 Configuração'!$F$55,"",IF('🌱 Configuração'!$B$56+92='🌱 Configuração'!$C$56,"🌿 INÍCIO VEGA — luz 18h/dia",IF('🌱 Configuração'!$B$56+92='🌱 Configuração'!$D$56,"🌸 INÍCIO FLORAÇÃO — mudar 12/12 🔴",IF('🌱 Configuração'!$B$56+92='🌱 Configuração'!$E$56,"🚿 INÍCIO FLUSH — parar nutrição",IF('🌱 Configuração'!$B$56+92='🌱 Configuração'!$F$56-1,"🔬 Véspera da colheita — analisar tricomas",IF('🌱 Configuração'!$B$56+92='🌱 Configuração'!$F$56,"✂️ COLHEITA — Parabéns! 🎉",""))))))</f>
        <v/>
      </c>
      <c r="G98" s="66" t="str">
        <f aca="false">IF(93&gt;'🌱 Configuração'!$F$55,"",IF(AND('🌱 Configuração'!$B$56+92&gt;='🌱 Configuração'!$C$56,'🌱 Configuração'!$B$56+92&lt;'🌱 Configuração'!$D$56,MOD('🌱 Configuração'!$B$56+92-'🌱 Configuração'!$C$56,7)=0),"🐛 MIP — ver aba MIP para aplicação desta semana",IF(AND('🌱 Configuração'!$B$56+92&gt;='🌱 Configuração'!$D$56,MOD('🌱 Configuração'!$B$56+92-'🌱 Configuração'!$D$56,7)=0),"🐛 MIP solo — ver aba MIP (sem foliar em flora)","")))</f>
        <v/>
      </c>
    </row>
    <row r="99" customFormat="false" ht="18" hidden="false" customHeight="true" outlineLevel="0" collapsed="false">
      <c r="B99" s="67" t="n">
        <f aca="false">IF(94&lt;='🌱 Configuração'!$F$55,94,"")</f>
        <v>94</v>
      </c>
      <c r="C99" s="68" t="n">
        <f aca="false">IF(94&lt;='🌱 Configuração'!$F$55,'🌱 Configuração'!$B$56+93,"")</f>
        <v>93</v>
      </c>
      <c r="D99" s="69" t="str">
        <f aca="false">IF(94&gt;'🌱 Configuração'!$F$55,"",IF('🌱 Configuração'!$B$56+93&lt;'🌱 Configuração'!$C$56,"🌱 Clone",IF('🌱 Configuração'!$B$56+93&lt;'🌱 Configuração'!$D$56,"🌿 Vegetativo",IF('🌱 Configuração'!$B$56+93&lt;'🌱 Configuração'!$E$56,"🌸 Floração","🚿 Flush"))))</f>
        <v>🌸 Floração</v>
      </c>
      <c r="E99" s="70" t="str">
        <f aca="false">IF(94&gt;'🌱 Configuração'!$F$55,"",IF('🌱 Configuração'!$B$56+93&lt;'🌱 Configuração'!$C$56,"Clone S"&amp;INT((94-1)/7)+1,IF('🌱 Configuração'!$B$56+93&lt;'🌱 Configuração'!$D$56,"Vega S"&amp;INT(('🌱 Configuração'!$B$56+93-'🌱 Configuração'!$C$56)/7)+1,IF('🌱 Configuração'!$B$56+93&lt;'🌱 Configuração'!$E$56,"Flora S"&amp;INT(('🌱 Configuração'!$B$56+93-'🌱 Configuração'!$D$56)/7)+1,"Flush S"&amp;INT(('🌱 Configuração'!$B$56+93-'🌱 Configuração'!$E$56)/7)+1))))</f>
        <v>Flora S6</v>
      </c>
      <c r="F99" s="13" t="str">
        <f aca="false">IF(94&gt;'🌱 Configuração'!$F$55,"",IF('🌱 Configuração'!$B$56+93='🌱 Configuração'!$C$56,"🌿 INÍCIO VEGA — luz 18h/dia",IF('🌱 Configuração'!$B$56+93='🌱 Configuração'!$D$56,"🌸 INÍCIO FLORAÇÃO — mudar 12/12 🔴",IF('🌱 Configuração'!$B$56+93='🌱 Configuração'!$E$56,"🚿 INÍCIO FLUSH — parar nutrição",IF('🌱 Configuração'!$B$56+93='🌱 Configuração'!$F$56-1,"🔬 Véspera da colheita — analisar tricomas",IF('🌱 Configuração'!$B$56+93='🌱 Configuração'!$F$56,"✂️ COLHEITA — Parabéns! 🎉",""))))))</f>
        <v/>
      </c>
      <c r="G99" s="71" t="str">
        <f aca="false">IF(94&gt;'🌱 Configuração'!$F$55,"",IF(AND('🌱 Configuração'!$B$56+93&gt;='🌱 Configuração'!$C$56,'🌱 Configuração'!$B$56+93&lt;'🌱 Configuração'!$D$56,MOD('🌱 Configuração'!$B$56+93-'🌱 Configuração'!$C$56,7)=0),"🐛 MIP — ver aba MIP para aplicação desta semana",IF(AND('🌱 Configuração'!$B$56+93&gt;='🌱 Configuração'!$D$56,MOD('🌱 Configuração'!$B$56+93-'🌱 Configuração'!$D$56,7)=0),"🐛 MIP solo — ver aba MIP (sem foliar em flora)","")))</f>
        <v/>
      </c>
    </row>
    <row r="100" customFormat="false" ht="18" hidden="false" customHeight="true" outlineLevel="0" collapsed="false">
      <c r="B100" s="64" t="n">
        <f aca="false">IF(95&lt;='🌱 Configuração'!$F$55,95,"")</f>
        <v>95</v>
      </c>
      <c r="C100" s="41" t="n">
        <f aca="false">IF(95&lt;='🌱 Configuração'!$F$55,'🌱 Configuração'!$B$56+94,"")</f>
        <v>94</v>
      </c>
      <c r="D100" s="65" t="str">
        <f aca="false">IF(95&gt;'🌱 Configuração'!$F$55,"",IF('🌱 Configuração'!$B$56+94&lt;'🌱 Configuração'!$C$56,"🌱 Clone",IF('🌱 Configuração'!$B$56+94&lt;'🌱 Configuração'!$D$56,"🌿 Vegetativo",IF('🌱 Configuração'!$B$56+94&lt;'🌱 Configuração'!$E$56,"🌸 Floração","🚿 Flush"))))</f>
        <v>🌸 Floração</v>
      </c>
      <c r="E100" s="43" t="str">
        <f aca="false">IF(95&gt;'🌱 Configuração'!$F$55,"",IF('🌱 Configuração'!$B$56+94&lt;'🌱 Configuração'!$C$56,"Clone S"&amp;INT((95-1)/7)+1,IF('🌱 Configuração'!$B$56+94&lt;'🌱 Configuração'!$D$56,"Vega S"&amp;INT(('🌱 Configuração'!$B$56+94-'🌱 Configuração'!$C$56)/7)+1,IF('🌱 Configuração'!$B$56+94&lt;'🌱 Configuração'!$E$56,"Flora S"&amp;INT(('🌱 Configuração'!$B$56+94-'🌱 Configuração'!$D$56)/7)+1,"Flush S"&amp;INT(('🌱 Configuração'!$B$56+94-'🌱 Configuração'!$E$56)/7)+1))))</f>
        <v>Flora S6</v>
      </c>
      <c r="F100" s="42" t="str">
        <f aca="false">IF(95&gt;'🌱 Configuração'!$F$55,"",IF('🌱 Configuração'!$B$56+94='🌱 Configuração'!$C$56,"🌿 INÍCIO VEGA — luz 18h/dia",IF('🌱 Configuração'!$B$56+94='🌱 Configuração'!$D$56,"🌸 INÍCIO FLORAÇÃO — mudar 12/12 🔴",IF('🌱 Configuração'!$B$56+94='🌱 Configuração'!$E$56,"🚿 INÍCIO FLUSH — parar nutrição",IF('🌱 Configuração'!$B$56+94='🌱 Configuração'!$F$56-1,"🔬 Véspera da colheita — analisar tricomas",IF('🌱 Configuração'!$B$56+94='🌱 Configuração'!$F$56,"✂️ COLHEITA — Parabéns! 🎉",""))))))</f>
        <v/>
      </c>
      <c r="G100" s="66" t="str">
        <f aca="false">IF(95&gt;'🌱 Configuração'!$F$55,"",IF(AND('🌱 Configuração'!$B$56+94&gt;='🌱 Configuração'!$C$56,'🌱 Configuração'!$B$56+94&lt;'🌱 Configuração'!$D$56,MOD('🌱 Configuração'!$B$56+94-'🌱 Configuração'!$C$56,7)=0),"🐛 MIP — ver aba MIP para aplicação desta semana",IF(AND('🌱 Configuração'!$B$56+94&gt;='🌱 Configuração'!$D$56,MOD('🌱 Configuração'!$B$56+94-'🌱 Configuração'!$D$56,7)=0),"🐛 MIP solo — ver aba MIP (sem foliar em flora)","")))</f>
        <v/>
      </c>
    </row>
    <row r="101" customFormat="false" ht="18" hidden="false" customHeight="true" outlineLevel="0" collapsed="false">
      <c r="B101" s="67" t="n">
        <f aca="false">IF(96&lt;='🌱 Configuração'!$F$55,96,"")</f>
        <v>96</v>
      </c>
      <c r="C101" s="68" t="n">
        <f aca="false">IF(96&lt;='🌱 Configuração'!$F$55,'🌱 Configuração'!$B$56+95,"")</f>
        <v>95</v>
      </c>
      <c r="D101" s="69" t="str">
        <f aca="false">IF(96&gt;'🌱 Configuração'!$F$55,"",IF('🌱 Configuração'!$B$56+95&lt;'🌱 Configuração'!$C$56,"🌱 Clone",IF('🌱 Configuração'!$B$56+95&lt;'🌱 Configuração'!$D$56,"🌿 Vegetativo",IF('🌱 Configuração'!$B$56+95&lt;'🌱 Configuração'!$E$56,"🌸 Floração","🚿 Flush"))))</f>
        <v>🌸 Floração</v>
      </c>
      <c r="E101" s="70" t="str">
        <f aca="false">IF(96&gt;'🌱 Configuração'!$F$55,"",IF('🌱 Configuração'!$B$56+95&lt;'🌱 Configuração'!$C$56,"Clone S"&amp;INT((96-1)/7)+1,IF('🌱 Configuração'!$B$56+95&lt;'🌱 Configuração'!$D$56,"Vega S"&amp;INT(('🌱 Configuração'!$B$56+95-'🌱 Configuração'!$C$56)/7)+1,IF('🌱 Configuração'!$B$56+95&lt;'🌱 Configuração'!$E$56,"Flora S"&amp;INT(('🌱 Configuração'!$B$56+95-'🌱 Configuração'!$D$56)/7)+1,"Flush S"&amp;INT(('🌱 Configuração'!$B$56+95-'🌱 Configuração'!$E$56)/7)+1))))</f>
        <v>Flora S6</v>
      </c>
      <c r="F101" s="13" t="str">
        <f aca="false">IF(96&gt;'🌱 Configuração'!$F$55,"",IF('🌱 Configuração'!$B$56+95='🌱 Configuração'!$C$56,"🌿 INÍCIO VEGA — luz 18h/dia",IF('🌱 Configuração'!$B$56+95='🌱 Configuração'!$D$56,"🌸 INÍCIO FLORAÇÃO — mudar 12/12 🔴",IF('🌱 Configuração'!$B$56+95='🌱 Configuração'!$E$56,"🚿 INÍCIO FLUSH — parar nutrição",IF('🌱 Configuração'!$B$56+95='🌱 Configuração'!$F$56-1,"🔬 Véspera da colheita — analisar tricomas",IF('🌱 Configuração'!$B$56+95='🌱 Configuração'!$F$56,"✂️ COLHEITA — Parabéns! 🎉",""))))))</f>
        <v/>
      </c>
      <c r="G101" s="71" t="str">
        <f aca="false">IF(96&gt;'🌱 Configuração'!$F$55,"",IF(AND('🌱 Configuração'!$B$56+95&gt;='🌱 Configuração'!$C$56,'🌱 Configuração'!$B$56+95&lt;'🌱 Configuração'!$D$56,MOD('🌱 Configuração'!$B$56+95-'🌱 Configuração'!$C$56,7)=0),"🐛 MIP — ver aba MIP para aplicação desta semana",IF(AND('🌱 Configuração'!$B$56+95&gt;='🌱 Configuração'!$D$56,MOD('🌱 Configuração'!$B$56+95-'🌱 Configuração'!$D$56,7)=0),"🐛 MIP solo — ver aba MIP (sem foliar em flora)","")))</f>
        <v/>
      </c>
    </row>
    <row r="102" customFormat="false" ht="18" hidden="false" customHeight="true" outlineLevel="0" collapsed="false">
      <c r="B102" s="64" t="n">
        <f aca="false">IF(97&lt;='🌱 Configuração'!$F$55,97,"")</f>
        <v>97</v>
      </c>
      <c r="C102" s="41" t="n">
        <f aca="false">IF(97&lt;='🌱 Configuração'!$F$55,'🌱 Configuração'!$B$56+96,"")</f>
        <v>96</v>
      </c>
      <c r="D102" s="65" t="str">
        <f aca="false">IF(97&gt;'🌱 Configuração'!$F$55,"",IF('🌱 Configuração'!$B$56+96&lt;'🌱 Configuração'!$C$56,"🌱 Clone",IF('🌱 Configuração'!$B$56+96&lt;'🌱 Configuração'!$D$56,"🌿 Vegetativo",IF('🌱 Configuração'!$B$56+96&lt;'🌱 Configuração'!$E$56,"🌸 Floração","🚿 Flush"))))</f>
        <v>🌸 Floração</v>
      </c>
      <c r="E102" s="43" t="str">
        <f aca="false">IF(97&gt;'🌱 Configuração'!$F$55,"",IF('🌱 Configuração'!$B$56+96&lt;'🌱 Configuração'!$C$56,"Clone S"&amp;INT((97-1)/7)+1,IF('🌱 Configuração'!$B$56+96&lt;'🌱 Configuração'!$D$56,"Vega S"&amp;INT(('🌱 Configuração'!$B$56+96-'🌱 Configuração'!$C$56)/7)+1,IF('🌱 Configuração'!$B$56+96&lt;'🌱 Configuração'!$E$56,"Flora S"&amp;INT(('🌱 Configuração'!$B$56+96-'🌱 Configuração'!$D$56)/7)+1,"Flush S"&amp;INT(('🌱 Configuração'!$B$56+96-'🌱 Configuração'!$E$56)/7)+1))))</f>
        <v>Flora S6</v>
      </c>
      <c r="F102" s="42" t="str">
        <f aca="false">IF(97&gt;'🌱 Configuração'!$F$55,"",IF('🌱 Configuração'!$B$56+96='🌱 Configuração'!$C$56,"🌿 INÍCIO VEGA — luz 18h/dia",IF('🌱 Configuração'!$B$56+96='🌱 Configuração'!$D$56,"🌸 INÍCIO FLORAÇÃO — mudar 12/12 🔴",IF('🌱 Configuração'!$B$56+96='🌱 Configuração'!$E$56,"🚿 INÍCIO FLUSH — parar nutrição",IF('🌱 Configuração'!$B$56+96='🌱 Configuração'!$F$56-1,"🔬 Véspera da colheita — analisar tricomas",IF('🌱 Configuração'!$B$56+96='🌱 Configuração'!$F$56,"✂️ COLHEITA — Parabéns! 🎉",""))))))</f>
        <v/>
      </c>
      <c r="G102" s="66" t="str">
        <f aca="false">IF(97&gt;'🌱 Configuração'!$F$55,"",IF(AND('🌱 Configuração'!$B$56+96&gt;='🌱 Configuração'!$C$56,'🌱 Configuração'!$B$56+96&lt;'🌱 Configuração'!$D$56,MOD('🌱 Configuração'!$B$56+96-'🌱 Configuração'!$C$56,7)=0),"🐛 MIP — ver aba MIP para aplicação desta semana",IF(AND('🌱 Configuração'!$B$56+96&gt;='🌱 Configuração'!$D$56,MOD('🌱 Configuração'!$B$56+96-'🌱 Configuração'!$D$56,7)=0),"🐛 MIP solo — ver aba MIP (sem foliar em flora)","")))</f>
        <v/>
      </c>
    </row>
    <row r="103" customFormat="false" ht="18" hidden="false" customHeight="true" outlineLevel="0" collapsed="false">
      <c r="B103" s="67" t="n">
        <f aca="false">IF(98&lt;='🌱 Configuração'!$F$55,98,"")</f>
        <v>98</v>
      </c>
      <c r="C103" s="68" t="n">
        <f aca="false">IF(98&lt;='🌱 Configuração'!$F$55,'🌱 Configuração'!$B$56+97,"")</f>
        <v>97</v>
      </c>
      <c r="D103" s="69" t="str">
        <f aca="false">IF(98&gt;'🌱 Configuração'!$F$55,"",IF('🌱 Configuração'!$B$56+97&lt;'🌱 Configuração'!$C$56,"🌱 Clone",IF('🌱 Configuração'!$B$56+97&lt;'🌱 Configuração'!$D$56,"🌿 Vegetativo",IF('🌱 Configuração'!$B$56+97&lt;'🌱 Configuração'!$E$56,"🌸 Floração","🚿 Flush"))))</f>
        <v>🌸 Floração</v>
      </c>
      <c r="E103" s="70" t="str">
        <f aca="false">IF(98&gt;'🌱 Configuração'!$F$55,"",IF('🌱 Configuração'!$B$56+97&lt;'🌱 Configuração'!$C$56,"Clone S"&amp;INT((98-1)/7)+1,IF('🌱 Configuração'!$B$56+97&lt;'🌱 Configuração'!$D$56,"Vega S"&amp;INT(('🌱 Configuração'!$B$56+97-'🌱 Configuração'!$C$56)/7)+1,IF('🌱 Configuração'!$B$56+97&lt;'🌱 Configuração'!$E$56,"Flora S"&amp;INT(('🌱 Configuração'!$B$56+97-'🌱 Configuração'!$D$56)/7)+1,"Flush S"&amp;INT(('🌱 Configuração'!$B$56+97-'🌱 Configuração'!$E$56)/7)+1))))</f>
        <v>Flora S6</v>
      </c>
      <c r="F103" s="13" t="str">
        <f aca="false">IF(98&gt;'🌱 Configuração'!$F$55,"",IF('🌱 Configuração'!$B$56+97='🌱 Configuração'!$C$56,"🌿 INÍCIO VEGA — luz 18h/dia",IF('🌱 Configuração'!$B$56+97='🌱 Configuração'!$D$56,"🌸 INÍCIO FLORAÇÃO — mudar 12/12 🔴",IF('🌱 Configuração'!$B$56+97='🌱 Configuração'!$E$56,"🚿 INÍCIO FLUSH — parar nutrição",IF('🌱 Configuração'!$B$56+97='🌱 Configuração'!$F$56-1,"🔬 Véspera da colheita — analisar tricomas",IF('🌱 Configuração'!$B$56+97='🌱 Configuração'!$F$56,"✂️ COLHEITA — Parabéns! 🎉",""))))))</f>
        <v/>
      </c>
      <c r="G103" s="71" t="str">
        <f aca="false">IF(98&gt;'🌱 Configuração'!$F$55,"",IF(AND('🌱 Configuração'!$B$56+97&gt;='🌱 Configuração'!$C$56,'🌱 Configuração'!$B$56+97&lt;'🌱 Configuração'!$D$56,MOD('🌱 Configuração'!$B$56+97-'🌱 Configuração'!$C$56,7)=0),"🐛 MIP — ver aba MIP para aplicação desta semana",IF(AND('🌱 Configuração'!$B$56+97&gt;='🌱 Configuração'!$D$56,MOD('🌱 Configuração'!$B$56+97-'🌱 Configuração'!$D$56,7)=0),"🐛 MIP solo — ver aba MIP (sem foliar em flora)","")))</f>
        <v/>
      </c>
    </row>
    <row r="104" customFormat="false" ht="18" hidden="false" customHeight="true" outlineLevel="0" collapsed="false">
      <c r="B104" s="64" t="n">
        <f aca="false">IF(99&lt;='🌱 Configuração'!$F$55,99,"")</f>
        <v>99</v>
      </c>
      <c r="C104" s="41" t="n">
        <f aca="false">IF(99&lt;='🌱 Configuração'!$F$55,'🌱 Configuração'!$B$56+98,"")</f>
        <v>98</v>
      </c>
      <c r="D104" s="65" t="str">
        <f aca="false">IF(99&gt;'🌱 Configuração'!$F$55,"",IF('🌱 Configuração'!$B$56+98&lt;'🌱 Configuração'!$C$56,"🌱 Clone",IF('🌱 Configuração'!$B$56+98&lt;'🌱 Configuração'!$D$56,"🌿 Vegetativo",IF('🌱 Configuração'!$B$56+98&lt;'🌱 Configuração'!$E$56,"🌸 Floração","🚿 Flush"))))</f>
        <v>🌸 Floração</v>
      </c>
      <c r="E104" s="43" t="str">
        <f aca="false">IF(99&gt;'🌱 Configuração'!$F$55,"",IF('🌱 Configuração'!$B$56+98&lt;'🌱 Configuração'!$C$56,"Clone S"&amp;INT((99-1)/7)+1,IF('🌱 Configuração'!$B$56+98&lt;'🌱 Configuração'!$D$56,"Vega S"&amp;INT(('🌱 Configuração'!$B$56+98-'🌱 Configuração'!$C$56)/7)+1,IF('🌱 Configuração'!$B$56+98&lt;'🌱 Configuração'!$E$56,"Flora S"&amp;INT(('🌱 Configuração'!$B$56+98-'🌱 Configuração'!$D$56)/7)+1,"Flush S"&amp;INT(('🌱 Configuração'!$B$56+98-'🌱 Configuração'!$E$56)/7)+1))))</f>
        <v>Flora S7</v>
      </c>
      <c r="F104" s="42" t="str">
        <f aca="false">IF(99&gt;'🌱 Configuração'!$F$55,"",IF('🌱 Configuração'!$B$56+98='🌱 Configuração'!$C$56,"🌿 INÍCIO VEGA — luz 18h/dia",IF('🌱 Configuração'!$B$56+98='🌱 Configuração'!$D$56,"🌸 INÍCIO FLORAÇÃO — mudar 12/12 🔴",IF('🌱 Configuração'!$B$56+98='🌱 Configuração'!$E$56,"🚿 INÍCIO FLUSH — parar nutrição",IF('🌱 Configuração'!$B$56+98='🌱 Configuração'!$F$56-1,"🔬 Véspera da colheita — analisar tricomas",IF('🌱 Configuração'!$B$56+98='🌱 Configuração'!$F$56,"✂️ COLHEITA — Parabéns! 🎉",""))))))</f>
        <v/>
      </c>
      <c r="G104" s="66" t="str">
        <f aca="false">IF(99&gt;'🌱 Configuração'!$F$55,"",IF(AND('🌱 Configuração'!$B$56+98&gt;='🌱 Configuração'!$C$56,'🌱 Configuração'!$B$56+98&lt;'🌱 Configuração'!$D$56,MOD('🌱 Configuração'!$B$56+98-'🌱 Configuração'!$C$56,7)=0),"🐛 MIP — ver aba MIP para aplicação desta semana",IF(AND('🌱 Configuração'!$B$56+98&gt;='🌱 Configuração'!$D$56,MOD('🌱 Configuração'!$B$56+98-'🌱 Configuração'!$D$56,7)=0),"🐛 MIP solo — ver aba MIP (sem foliar em flora)","")))</f>
        <v>🐛 MIP solo — ver aba MIP (sem foliar em flora)</v>
      </c>
    </row>
    <row r="105" customFormat="false" ht="18" hidden="false" customHeight="true" outlineLevel="0" collapsed="false">
      <c r="B105" s="67" t="n">
        <f aca="false">IF(100&lt;='🌱 Configuração'!$F$55,100,"")</f>
        <v>100</v>
      </c>
      <c r="C105" s="68" t="n">
        <f aca="false">IF(100&lt;='🌱 Configuração'!$F$55,'🌱 Configuração'!$B$56+99,"")</f>
        <v>99</v>
      </c>
      <c r="D105" s="69" t="str">
        <f aca="false">IF(100&gt;'🌱 Configuração'!$F$55,"",IF('🌱 Configuração'!$B$56+99&lt;'🌱 Configuração'!$C$56,"🌱 Clone",IF('🌱 Configuração'!$B$56+99&lt;'🌱 Configuração'!$D$56,"🌿 Vegetativo",IF('🌱 Configuração'!$B$56+99&lt;'🌱 Configuração'!$E$56,"🌸 Floração","🚿 Flush"))))</f>
        <v>🌸 Floração</v>
      </c>
      <c r="E105" s="70" t="str">
        <f aca="false">IF(100&gt;'🌱 Configuração'!$F$55,"",IF('🌱 Configuração'!$B$56+99&lt;'🌱 Configuração'!$C$56,"Clone S"&amp;INT((100-1)/7)+1,IF('🌱 Configuração'!$B$56+99&lt;'🌱 Configuração'!$D$56,"Vega S"&amp;INT(('🌱 Configuração'!$B$56+99-'🌱 Configuração'!$C$56)/7)+1,IF('🌱 Configuração'!$B$56+99&lt;'🌱 Configuração'!$E$56,"Flora S"&amp;INT(('🌱 Configuração'!$B$56+99-'🌱 Configuração'!$D$56)/7)+1,"Flush S"&amp;INT(('🌱 Configuração'!$B$56+99-'🌱 Configuração'!$E$56)/7)+1))))</f>
        <v>Flora S7</v>
      </c>
      <c r="F105" s="13" t="str">
        <f aca="false">IF(100&gt;'🌱 Configuração'!$F$55,"",IF('🌱 Configuração'!$B$56+99='🌱 Configuração'!$C$56,"🌿 INÍCIO VEGA — luz 18h/dia",IF('🌱 Configuração'!$B$56+99='🌱 Configuração'!$D$56,"🌸 INÍCIO FLORAÇÃO — mudar 12/12 🔴",IF('🌱 Configuração'!$B$56+99='🌱 Configuração'!$E$56,"🚿 INÍCIO FLUSH — parar nutrição",IF('🌱 Configuração'!$B$56+99='🌱 Configuração'!$F$56-1,"🔬 Véspera da colheita — analisar tricomas",IF('🌱 Configuração'!$B$56+99='🌱 Configuração'!$F$56,"✂️ COLHEITA — Parabéns! 🎉",""))))))</f>
        <v/>
      </c>
      <c r="G105" s="71" t="str">
        <f aca="false">IF(100&gt;'🌱 Configuração'!$F$55,"",IF(AND('🌱 Configuração'!$B$56+99&gt;='🌱 Configuração'!$C$56,'🌱 Configuração'!$B$56+99&lt;'🌱 Configuração'!$D$56,MOD('🌱 Configuração'!$B$56+99-'🌱 Configuração'!$C$56,7)=0),"🐛 MIP — ver aba MIP para aplicação desta semana",IF(AND('🌱 Configuração'!$B$56+99&gt;='🌱 Configuração'!$D$56,MOD('🌱 Configuração'!$B$56+99-'🌱 Configuração'!$D$56,7)=0),"🐛 MIP solo — ver aba MIP (sem foliar em flora)","")))</f>
        <v/>
      </c>
    </row>
    <row r="106" customFormat="false" ht="18" hidden="false" customHeight="true" outlineLevel="0" collapsed="false">
      <c r="B106" s="64" t="n">
        <f aca="false">IF(101&lt;='🌱 Configuração'!$F$55,101,"")</f>
        <v>101</v>
      </c>
      <c r="C106" s="41" t="n">
        <f aca="false">IF(101&lt;='🌱 Configuração'!$F$55,'🌱 Configuração'!$B$56+100,"")</f>
        <v>100</v>
      </c>
      <c r="D106" s="65" t="str">
        <f aca="false">IF(101&gt;'🌱 Configuração'!$F$55,"",IF('🌱 Configuração'!$B$56+100&lt;'🌱 Configuração'!$C$56,"🌱 Clone",IF('🌱 Configuração'!$B$56+100&lt;'🌱 Configuração'!$D$56,"🌿 Vegetativo",IF('🌱 Configuração'!$B$56+100&lt;'🌱 Configuração'!$E$56,"🌸 Floração","🚿 Flush"))))</f>
        <v>🌸 Floração</v>
      </c>
      <c r="E106" s="43" t="str">
        <f aca="false">IF(101&gt;'🌱 Configuração'!$F$55,"",IF('🌱 Configuração'!$B$56+100&lt;'🌱 Configuração'!$C$56,"Clone S"&amp;INT((101-1)/7)+1,IF('🌱 Configuração'!$B$56+100&lt;'🌱 Configuração'!$D$56,"Vega S"&amp;INT(('🌱 Configuração'!$B$56+100-'🌱 Configuração'!$C$56)/7)+1,IF('🌱 Configuração'!$B$56+100&lt;'🌱 Configuração'!$E$56,"Flora S"&amp;INT(('🌱 Configuração'!$B$56+100-'🌱 Configuração'!$D$56)/7)+1,"Flush S"&amp;INT(('🌱 Configuração'!$B$56+100-'🌱 Configuração'!$E$56)/7)+1))))</f>
        <v>Flora S7</v>
      </c>
      <c r="F106" s="42" t="str">
        <f aca="false">IF(101&gt;'🌱 Configuração'!$F$55,"",IF('🌱 Configuração'!$B$56+100='🌱 Configuração'!$C$56,"🌿 INÍCIO VEGA — luz 18h/dia",IF('🌱 Configuração'!$B$56+100='🌱 Configuração'!$D$56,"🌸 INÍCIO FLORAÇÃO — mudar 12/12 🔴",IF('🌱 Configuração'!$B$56+100='🌱 Configuração'!$E$56,"🚿 INÍCIO FLUSH — parar nutrição",IF('🌱 Configuração'!$B$56+100='🌱 Configuração'!$F$56-1,"🔬 Véspera da colheita — analisar tricomas",IF('🌱 Configuração'!$B$56+100='🌱 Configuração'!$F$56,"✂️ COLHEITA — Parabéns! 🎉",""))))))</f>
        <v/>
      </c>
      <c r="G106" s="66" t="str">
        <f aca="false">IF(101&gt;'🌱 Configuração'!$F$55,"",IF(AND('🌱 Configuração'!$B$56+100&gt;='🌱 Configuração'!$C$56,'🌱 Configuração'!$B$56+100&lt;'🌱 Configuração'!$D$56,MOD('🌱 Configuração'!$B$56+100-'🌱 Configuração'!$C$56,7)=0),"🐛 MIP — ver aba MIP para aplicação desta semana",IF(AND('🌱 Configuração'!$B$56+100&gt;='🌱 Configuração'!$D$56,MOD('🌱 Configuração'!$B$56+100-'🌱 Configuração'!$D$56,7)=0),"🐛 MIP solo — ver aba MIP (sem foliar em flora)","")))</f>
        <v/>
      </c>
    </row>
    <row r="107" customFormat="false" ht="18" hidden="false" customHeight="true" outlineLevel="0" collapsed="false">
      <c r="B107" s="67" t="n">
        <f aca="false">IF(102&lt;='🌱 Configuração'!$F$55,102,"")</f>
        <v>102</v>
      </c>
      <c r="C107" s="68" t="n">
        <f aca="false">IF(102&lt;='🌱 Configuração'!$F$55,'🌱 Configuração'!$B$56+101,"")</f>
        <v>101</v>
      </c>
      <c r="D107" s="69" t="str">
        <f aca="false">IF(102&gt;'🌱 Configuração'!$F$55,"",IF('🌱 Configuração'!$B$56+101&lt;'🌱 Configuração'!$C$56,"🌱 Clone",IF('🌱 Configuração'!$B$56+101&lt;'🌱 Configuração'!$D$56,"🌿 Vegetativo",IF('🌱 Configuração'!$B$56+101&lt;'🌱 Configuração'!$E$56,"🌸 Floração","🚿 Flush"))))</f>
        <v>🌸 Floração</v>
      </c>
      <c r="E107" s="70" t="str">
        <f aca="false">IF(102&gt;'🌱 Configuração'!$F$55,"",IF('🌱 Configuração'!$B$56+101&lt;'🌱 Configuração'!$C$56,"Clone S"&amp;INT((102-1)/7)+1,IF('🌱 Configuração'!$B$56+101&lt;'🌱 Configuração'!$D$56,"Vega S"&amp;INT(('🌱 Configuração'!$B$56+101-'🌱 Configuração'!$C$56)/7)+1,IF('🌱 Configuração'!$B$56+101&lt;'🌱 Configuração'!$E$56,"Flora S"&amp;INT(('🌱 Configuração'!$B$56+101-'🌱 Configuração'!$D$56)/7)+1,"Flush S"&amp;INT(('🌱 Configuração'!$B$56+101-'🌱 Configuração'!$E$56)/7)+1))))</f>
        <v>Flora S7</v>
      </c>
      <c r="F107" s="13" t="str">
        <f aca="false">IF(102&gt;'🌱 Configuração'!$F$55,"",IF('🌱 Configuração'!$B$56+101='🌱 Configuração'!$C$56,"🌿 INÍCIO VEGA — luz 18h/dia",IF('🌱 Configuração'!$B$56+101='🌱 Configuração'!$D$56,"🌸 INÍCIO FLORAÇÃO — mudar 12/12 🔴",IF('🌱 Configuração'!$B$56+101='🌱 Configuração'!$E$56,"🚿 INÍCIO FLUSH — parar nutrição",IF('🌱 Configuração'!$B$56+101='🌱 Configuração'!$F$56-1,"🔬 Véspera da colheita — analisar tricomas",IF('🌱 Configuração'!$B$56+101='🌱 Configuração'!$F$56,"✂️ COLHEITA — Parabéns! 🎉",""))))))</f>
        <v/>
      </c>
      <c r="G107" s="71" t="str">
        <f aca="false">IF(102&gt;'🌱 Configuração'!$F$55,"",IF(AND('🌱 Configuração'!$B$56+101&gt;='🌱 Configuração'!$C$56,'🌱 Configuração'!$B$56+101&lt;'🌱 Configuração'!$D$56,MOD('🌱 Configuração'!$B$56+101-'🌱 Configuração'!$C$56,7)=0),"🐛 MIP — ver aba MIP para aplicação desta semana",IF(AND('🌱 Configuração'!$B$56+101&gt;='🌱 Configuração'!$D$56,MOD('🌱 Configuração'!$B$56+101-'🌱 Configuração'!$D$56,7)=0),"🐛 MIP solo — ver aba MIP (sem foliar em flora)","")))</f>
        <v/>
      </c>
    </row>
    <row r="108" customFormat="false" ht="18" hidden="false" customHeight="true" outlineLevel="0" collapsed="false">
      <c r="B108" s="64" t="n">
        <f aca="false">IF(103&lt;='🌱 Configuração'!$F$55,103,"")</f>
        <v>103</v>
      </c>
      <c r="C108" s="41" t="n">
        <f aca="false">IF(103&lt;='🌱 Configuração'!$F$55,'🌱 Configuração'!$B$56+102,"")</f>
        <v>102</v>
      </c>
      <c r="D108" s="65" t="str">
        <f aca="false">IF(103&gt;'🌱 Configuração'!$F$55,"",IF('🌱 Configuração'!$B$56+102&lt;'🌱 Configuração'!$C$56,"🌱 Clone",IF('🌱 Configuração'!$B$56+102&lt;'🌱 Configuração'!$D$56,"🌿 Vegetativo",IF('🌱 Configuração'!$B$56+102&lt;'🌱 Configuração'!$E$56,"🌸 Floração","🚿 Flush"))))</f>
        <v>🌸 Floração</v>
      </c>
      <c r="E108" s="43" t="str">
        <f aca="false">IF(103&gt;'🌱 Configuração'!$F$55,"",IF('🌱 Configuração'!$B$56+102&lt;'🌱 Configuração'!$C$56,"Clone S"&amp;INT((103-1)/7)+1,IF('🌱 Configuração'!$B$56+102&lt;'🌱 Configuração'!$D$56,"Vega S"&amp;INT(('🌱 Configuração'!$B$56+102-'🌱 Configuração'!$C$56)/7)+1,IF('🌱 Configuração'!$B$56+102&lt;'🌱 Configuração'!$E$56,"Flora S"&amp;INT(('🌱 Configuração'!$B$56+102-'🌱 Configuração'!$D$56)/7)+1,"Flush S"&amp;INT(('🌱 Configuração'!$B$56+102-'🌱 Configuração'!$E$56)/7)+1))))</f>
        <v>Flora S7</v>
      </c>
      <c r="F108" s="42" t="str">
        <f aca="false">IF(103&gt;'🌱 Configuração'!$F$55,"",IF('🌱 Configuração'!$B$56+102='🌱 Configuração'!$C$56,"🌿 INÍCIO VEGA — luz 18h/dia",IF('🌱 Configuração'!$B$56+102='🌱 Configuração'!$D$56,"🌸 INÍCIO FLORAÇÃO — mudar 12/12 🔴",IF('🌱 Configuração'!$B$56+102='🌱 Configuração'!$E$56,"🚿 INÍCIO FLUSH — parar nutrição",IF('🌱 Configuração'!$B$56+102='🌱 Configuração'!$F$56-1,"🔬 Véspera da colheita — analisar tricomas",IF('🌱 Configuração'!$B$56+102='🌱 Configuração'!$F$56,"✂️ COLHEITA — Parabéns! 🎉",""))))))</f>
        <v/>
      </c>
      <c r="G108" s="66" t="str">
        <f aca="false">IF(103&gt;'🌱 Configuração'!$F$55,"",IF(AND('🌱 Configuração'!$B$56+102&gt;='🌱 Configuração'!$C$56,'🌱 Configuração'!$B$56+102&lt;'🌱 Configuração'!$D$56,MOD('🌱 Configuração'!$B$56+102-'🌱 Configuração'!$C$56,7)=0),"🐛 MIP — ver aba MIP para aplicação desta semana",IF(AND('🌱 Configuração'!$B$56+102&gt;='🌱 Configuração'!$D$56,MOD('🌱 Configuração'!$B$56+102-'🌱 Configuração'!$D$56,7)=0),"🐛 MIP solo — ver aba MIP (sem foliar em flora)","")))</f>
        <v/>
      </c>
    </row>
    <row r="109" customFormat="false" ht="18" hidden="false" customHeight="true" outlineLevel="0" collapsed="false">
      <c r="B109" s="67" t="n">
        <f aca="false">IF(104&lt;='🌱 Configuração'!$F$55,104,"")</f>
        <v>104</v>
      </c>
      <c r="C109" s="68" t="n">
        <f aca="false">IF(104&lt;='🌱 Configuração'!$F$55,'🌱 Configuração'!$B$56+103,"")</f>
        <v>103</v>
      </c>
      <c r="D109" s="69" t="str">
        <f aca="false">IF(104&gt;'🌱 Configuração'!$F$55,"",IF('🌱 Configuração'!$B$56+103&lt;'🌱 Configuração'!$C$56,"🌱 Clone",IF('🌱 Configuração'!$B$56+103&lt;'🌱 Configuração'!$D$56,"🌿 Vegetativo",IF('🌱 Configuração'!$B$56+103&lt;'🌱 Configuração'!$E$56,"🌸 Floração","🚿 Flush"))))</f>
        <v>🌸 Floração</v>
      </c>
      <c r="E109" s="70" t="str">
        <f aca="false">IF(104&gt;'🌱 Configuração'!$F$55,"",IF('🌱 Configuração'!$B$56+103&lt;'🌱 Configuração'!$C$56,"Clone S"&amp;INT((104-1)/7)+1,IF('🌱 Configuração'!$B$56+103&lt;'🌱 Configuração'!$D$56,"Vega S"&amp;INT(('🌱 Configuração'!$B$56+103-'🌱 Configuração'!$C$56)/7)+1,IF('🌱 Configuração'!$B$56+103&lt;'🌱 Configuração'!$E$56,"Flora S"&amp;INT(('🌱 Configuração'!$B$56+103-'🌱 Configuração'!$D$56)/7)+1,"Flush S"&amp;INT(('🌱 Configuração'!$B$56+103-'🌱 Configuração'!$E$56)/7)+1))))</f>
        <v>Flora S7</v>
      </c>
      <c r="F109" s="13" t="str">
        <f aca="false">IF(104&gt;'🌱 Configuração'!$F$55,"",IF('🌱 Configuração'!$B$56+103='🌱 Configuração'!$C$56,"🌿 INÍCIO VEGA — luz 18h/dia",IF('🌱 Configuração'!$B$56+103='🌱 Configuração'!$D$56,"🌸 INÍCIO FLORAÇÃO — mudar 12/12 🔴",IF('🌱 Configuração'!$B$56+103='🌱 Configuração'!$E$56,"🚿 INÍCIO FLUSH — parar nutrição",IF('🌱 Configuração'!$B$56+103='🌱 Configuração'!$F$56-1,"🔬 Véspera da colheita — analisar tricomas",IF('🌱 Configuração'!$B$56+103='🌱 Configuração'!$F$56,"✂️ COLHEITA — Parabéns! 🎉",""))))))</f>
        <v/>
      </c>
      <c r="G109" s="71" t="str">
        <f aca="false">IF(104&gt;'🌱 Configuração'!$F$55,"",IF(AND('🌱 Configuração'!$B$56+103&gt;='🌱 Configuração'!$C$56,'🌱 Configuração'!$B$56+103&lt;'🌱 Configuração'!$D$56,MOD('🌱 Configuração'!$B$56+103-'🌱 Configuração'!$C$56,7)=0),"🐛 MIP — ver aba MIP para aplicação desta semana",IF(AND('🌱 Configuração'!$B$56+103&gt;='🌱 Configuração'!$D$56,MOD('🌱 Configuração'!$B$56+103-'🌱 Configuração'!$D$56,7)=0),"🐛 MIP solo — ver aba MIP (sem foliar em flora)","")))</f>
        <v/>
      </c>
    </row>
    <row r="110" customFormat="false" ht="18" hidden="false" customHeight="true" outlineLevel="0" collapsed="false">
      <c r="B110" s="64" t="n">
        <f aca="false">IF(105&lt;='🌱 Configuração'!$F$55,105,"")</f>
        <v>105</v>
      </c>
      <c r="C110" s="41" t="n">
        <f aca="false">IF(105&lt;='🌱 Configuração'!$F$55,'🌱 Configuração'!$B$56+104,"")</f>
        <v>104</v>
      </c>
      <c r="D110" s="65" t="str">
        <f aca="false">IF(105&gt;'🌱 Configuração'!$F$55,"",IF('🌱 Configuração'!$B$56+104&lt;'🌱 Configuração'!$C$56,"🌱 Clone",IF('🌱 Configuração'!$B$56+104&lt;'🌱 Configuração'!$D$56,"🌿 Vegetativo",IF('🌱 Configuração'!$B$56+104&lt;'🌱 Configuração'!$E$56,"🌸 Floração","🚿 Flush"))))</f>
        <v>🌸 Floração</v>
      </c>
      <c r="E110" s="43" t="str">
        <f aca="false">IF(105&gt;'🌱 Configuração'!$F$55,"",IF('🌱 Configuração'!$B$56+104&lt;'🌱 Configuração'!$C$56,"Clone S"&amp;INT((105-1)/7)+1,IF('🌱 Configuração'!$B$56+104&lt;'🌱 Configuração'!$D$56,"Vega S"&amp;INT(('🌱 Configuração'!$B$56+104-'🌱 Configuração'!$C$56)/7)+1,IF('🌱 Configuração'!$B$56+104&lt;'🌱 Configuração'!$E$56,"Flora S"&amp;INT(('🌱 Configuração'!$B$56+104-'🌱 Configuração'!$D$56)/7)+1,"Flush S"&amp;INT(('🌱 Configuração'!$B$56+104-'🌱 Configuração'!$E$56)/7)+1))))</f>
        <v>Flora S7</v>
      </c>
      <c r="F110" s="42" t="str">
        <f aca="false">IF(105&gt;'🌱 Configuração'!$F$55,"",IF('🌱 Configuração'!$B$56+104='🌱 Configuração'!$C$56,"🌿 INÍCIO VEGA — luz 18h/dia",IF('🌱 Configuração'!$B$56+104='🌱 Configuração'!$D$56,"🌸 INÍCIO FLORAÇÃO — mudar 12/12 🔴",IF('🌱 Configuração'!$B$56+104='🌱 Configuração'!$E$56,"🚿 INÍCIO FLUSH — parar nutrição",IF('🌱 Configuração'!$B$56+104='🌱 Configuração'!$F$56-1,"🔬 Véspera da colheita — analisar tricomas",IF('🌱 Configuração'!$B$56+104='🌱 Configuração'!$F$56,"✂️ COLHEITA — Parabéns! 🎉",""))))))</f>
        <v/>
      </c>
      <c r="G110" s="66" t="str">
        <f aca="false">IF(105&gt;'🌱 Configuração'!$F$55,"",IF(AND('🌱 Configuração'!$B$56+104&gt;='🌱 Configuração'!$C$56,'🌱 Configuração'!$B$56+104&lt;'🌱 Configuração'!$D$56,MOD('🌱 Configuração'!$B$56+104-'🌱 Configuração'!$C$56,7)=0),"🐛 MIP — ver aba MIP para aplicação desta semana",IF(AND('🌱 Configuração'!$B$56+104&gt;='🌱 Configuração'!$D$56,MOD('🌱 Configuração'!$B$56+104-'🌱 Configuração'!$D$56,7)=0),"🐛 MIP solo — ver aba MIP (sem foliar em flora)","")))</f>
        <v/>
      </c>
    </row>
    <row r="111" customFormat="false" ht="18" hidden="false" customHeight="true" outlineLevel="0" collapsed="false">
      <c r="B111" s="67" t="n">
        <f aca="false">IF(106&lt;='🌱 Configuração'!$F$55,106,"")</f>
        <v>106</v>
      </c>
      <c r="C111" s="68" t="n">
        <f aca="false">IF(106&lt;='🌱 Configuração'!$F$55,'🌱 Configuração'!$B$56+105,"")</f>
        <v>105</v>
      </c>
      <c r="D111" s="69" t="str">
        <f aca="false">IF(106&gt;'🌱 Configuração'!$F$55,"",IF('🌱 Configuração'!$B$56+105&lt;'🌱 Configuração'!$C$56,"🌱 Clone",IF('🌱 Configuração'!$B$56+105&lt;'🌱 Configuração'!$D$56,"🌿 Vegetativo",IF('🌱 Configuração'!$B$56+105&lt;'🌱 Configuração'!$E$56,"🌸 Floração","🚿 Flush"))))</f>
        <v>🌸 Floração</v>
      </c>
      <c r="E111" s="70" t="str">
        <f aca="false">IF(106&gt;'🌱 Configuração'!$F$55,"",IF('🌱 Configuração'!$B$56+105&lt;'🌱 Configuração'!$C$56,"Clone S"&amp;INT((106-1)/7)+1,IF('🌱 Configuração'!$B$56+105&lt;'🌱 Configuração'!$D$56,"Vega S"&amp;INT(('🌱 Configuração'!$B$56+105-'🌱 Configuração'!$C$56)/7)+1,IF('🌱 Configuração'!$B$56+105&lt;'🌱 Configuração'!$E$56,"Flora S"&amp;INT(('🌱 Configuração'!$B$56+105-'🌱 Configuração'!$D$56)/7)+1,"Flush S"&amp;INT(('🌱 Configuração'!$B$56+105-'🌱 Configuração'!$E$56)/7)+1))))</f>
        <v>Flora S8</v>
      </c>
      <c r="F111" s="13" t="str">
        <f aca="false">IF(106&gt;'🌱 Configuração'!$F$55,"",IF('🌱 Configuração'!$B$56+105='🌱 Configuração'!$C$56,"🌿 INÍCIO VEGA — luz 18h/dia",IF('🌱 Configuração'!$B$56+105='🌱 Configuração'!$D$56,"🌸 INÍCIO FLORAÇÃO — mudar 12/12 🔴",IF('🌱 Configuração'!$B$56+105='🌱 Configuração'!$E$56,"🚿 INÍCIO FLUSH — parar nutrição",IF('🌱 Configuração'!$B$56+105='🌱 Configuração'!$F$56-1,"🔬 Véspera da colheita — analisar tricomas",IF('🌱 Configuração'!$B$56+105='🌱 Configuração'!$F$56,"✂️ COLHEITA — Parabéns! 🎉",""))))))</f>
        <v/>
      </c>
      <c r="G111" s="71" t="str">
        <f aca="false">IF(106&gt;'🌱 Configuração'!$F$55,"",IF(AND('🌱 Configuração'!$B$56+105&gt;='🌱 Configuração'!$C$56,'🌱 Configuração'!$B$56+105&lt;'🌱 Configuração'!$D$56,MOD('🌱 Configuração'!$B$56+105-'🌱 Configuração'!$C$56,7)=0),"🐛 MIP — ver aba MIP para aplicação desta semana",IF(AND('🌱 Configuração'!$B$56+105&gt;='🌱 Configuração'!$D$56,MOD('🌱 Configuração'!$B$56+105-'🌱 Configuração'!$D$56,7)=0),"🐛 MIP solo — ver aba MIP (sem foliar em flora)","")))</f>
        <v>🐛 MIP solo — ver aba MIP (sem foliar em flora)</v>
      </c>
    </row>
    <row r="112" customFormat="false" ht="18" hidden="false" customHeight="true" outlineLevel="0" collapsed="false">
      <c r="B112" s="64" t="n">
        <f aca="false">IF(107&lt;='🌱 Configuração'!$F$55,107,"")</f>
        <v>107</v>
      </c>
      <c r="C112" s="41" t="n">
        <f aca="false">IF(107&lt;='🌱 Configuração'!$F$55,'🌱 Configuração'!$B$56+106,"")</f>
        <v>106</v>
      </c>
      <c r="D112" s="65" t="str">
        <f aca="false">IF(107&gt;'🌱 Configuração'!$F$55,"",IF('🌱 Configuração'!$B$56+106&lt;'🌱 Configuração'!$C$56,"🌱 Clone",IF('🌱 Configuração'!$B$56+106&lt;'🌱 Configuração'!$D$56,"🌿 Vegetativo",IF('🌱 Configuração'!$B$56+106&lt;'🌱 Configuração'!$E$56,"🌸 Floração","🚿 Flush"))))</f>
        <v>🌸 Floração</v>
      </c>
      <c r="E112" s="43" t="str">
        <f aca="false">IF(107&gt;'🌱 Configuração'!$F$55,"",IF('🌱 Configuração'!$B$56+106&lt;'🌱 Configuração'!$C$56,"Clone S"&amp;INT((107-1)/7)+1,IF('🌱 Configuração'!$B$56+106&lt;'🌱 Configuração'!$D$56,"Vega S"&amp;INT(('🌱 Configuração'!$B$56+106-'🌱 Configuração'!$C$56)/7)+1,IF('🌱 Configuração'!$B$56+106&lt;'🌱 Configuração'!$E$56,"Flora S"&amp;INT(('🌱 Configuração'!$B$56+106-'🌱 Configuração'!$D$56)/7)+1,"Flush S"&amp;INT(('🌱 Configuração'!$B$56+106-'🌱 Configuração'!$E$56)/7)+1))))</f>
        <v>Flora S8</v>
      </c>
      <c r="F112" s="42" t="str">
        <f aca="false">IF(107&gt;'🌱 Configuração'!$F$55,"",IF('🌱 Configuração'!$B$56+106='🌱 Configuração'!$C$56,"🌿 INÍCIO VEGA — luz 18h/dia",IF('🌱 Configuração'!$B$56+106='🌱 Configuração'!$D$56,"🌸 INÍCIO FLORAÇÃO — mudar 12/12 🔴",IF('🌱 Configuração'!$B$56+106='🌱 Configuração'!$E$56,"🚿 INÍCIO FLUSH — parar nutrição",IF('🌱 Configuração'!$B$56+106='🌱 Configuração'!$F$56-1,"🔬 Véspera da colheita — analisar tricomas",IF('🌱 Configuração'!$B$56+106='🌱 Configuração'!$F$56,"✂️ COLHEITA — Parabéns! 🎉",""))))))</f>
        <v/>
      </c>
      <c r="G112" s="66" t="str">
        <f aca="false">IF(107&gt;'🌱 Configuração'!$F$55,"",IF(AND('🌱 Configuração'!$B$56+106&gt;='🌱 Configuração'!$C$56,'🌱 Configuração'!$B$56+106&lt;'🌱 Configuração'!$D$56,MOD('🌱 Configuração'!$B$56+106-'🌱 Configuração'!$C$56,7)=0),"🐛 MIP — ver aba MIP para aplicação desta semana",IF(AND('🌱 Configuração'!$B$56+106&gt;='🌱 Configuração'!$D$56,MOD('🌱 Configuração'!$B$56+106-'🌱 Configuração'!$D$56,7)=0),"🐛 MIP solo — ver aba MIP (sem foliar em flora)","")))</f>
        <v/>
      </c>
    </row>
    <row r="113" customFormat="false" ht="18" hidden="false" customHeight="true" outlineLevel="0" collapsed="false">
      <c r="B113" s="67" t="n">
        <f aca="false">IF(108&lt;='🌱 Configuração'!$F$55,108,"")</f>
        <v>108</v>
      </c>
      <c r="C113" s="68" t="n">
        <f aca="false">IF(108&lt;='🌱 Configuração'!$F$55,'🌱 Configuração'!$B$56+107,"")</f>
        <v>107</v>
      </c>
      <c r="D113" s="69" t="str">
        <f aca="false">IF(108&gt;'🌱 Configuração'!$F$55,"",IF('🌱 Configuração'!$B$56+107&lt;'🌱 Configuração'!$C$56,"🌱 Clone",IF('🌱 Configuração'!$B$56+107&lt;'🌱 Configuração'!$D$56,"🌿 Vegetativo",IF('🌱 Configuração'!$B$56+107&lt;'🌱 Configuração'!$E$56,"🌸 Floração","🚿 Flush"))))</f>
        <v>🌸 Floração</v>
      </c>
      <c r="E113" s="70" t="str">
        <f aca="false">IF(108&gt;'🌱 Configuração'!$F$55,"",IF('🌱 Configuração'!$B$56+107&lt;'🌱 Configuração'!$C$56,"Clone S"&amp;INT((108-1)/7)+1,IF('🌱 Configuração'!$B$56+107&lt;'🌱 Configuração'!$D$56,"Vega S"&amp;INT(('🌱 Configuração'!$B$56+107-'🌱 Configuração'!$C$56)/7)+1,IF('🌱 Configuração'!$B$56+107&lt;'🌱 Configuração'!$E$56,"Flora S"&amp;INT(('🌱 Configuração'!$B$56+107-'🌱 Configuração'!$D$56)/7)+1,"Flush S"&amp;INT(('🌱 Configuração'!$B$56+107-'🌱 Configuração'!$E$56)/7)+1))))</f>
        <v>Flora S8</v>
      </c>
      <c r="F113" s="13" t="str">
        <f aca="false">IF(108&gt;'🌱 Configuração'!$F$55,"",IF('🌱 Configuração'!$B$56+107='🌱 Configuração'!$C$56,"🌿 INÍCIO VEGA — luz 18h/dia",IF('🌱 Configuração'!$B$56+107='🌱 Configuração'!$D$56,"🌸 INÍCIO FLORAÇÃO — mudar 12/12 🔴",IF('🌱 Configuração'!$B$56+107='🌱 Configuração'!$E$56,"🚿 INÍCIO FLUSH — parar nutrição",IF('🌱 Configuração'!$B$56+107='🌱 Configuração'!$F$56-1,"🔬 Véspera da colheita — analisar tricomas",IF('🌱 Configuração'!$B$56+107='🌱 Configuração'!$F$56,"✂️ COLHEITA — Parabéns! 🎉",""))))))</f>
        <v/>
      </c>
      <c r="G113" s="71" t="str">
        <f aca="false">IF(108&gt;'🌱 Configuração'!$F$55,"",IF(AND('🌱 Configuração'!$B$56+107&gt;='🌱 Configuração'!$C$56,'🌱 Configuração'!$B$56+107&lt;'🌱 Configuração'!$D$56,MOD('🌱 Configuração'!$B$56+107-'🌱 Configuração'!$C$56,7)=0),"🐛 MIP — ver aba MIP para aplicação desta semana",IF(AND('🌱 Configuração'!$B$56+107&gt;='🌱 Configuração'!$D$56,MOD('🌱 Configuração'!$B$56+107-'🌱 Configuração'!$D$56,7)=0),"🐛 MIP solo — ver aba MIP (sem foliar em flora)","")))</f>
        <v/>
      </c>
    </row>
    <row r="114" customFormat="false" ht="18" hidden="false" customHeight="true" outlineLevel="0" collapsed="false">
      <c r="B114" s="64" t="n">
        <f aca="false">IF(109&lt;='🌱 Configuração'!$F$55,109,"")</f>
        <v>109</v>
      </c>
      <c r="C114" s="41" t="n">
        <f aca="false">IF(109&lt;='🌱 Configuração'!$F$55,'🌱 Configuração'!$B$56+108,"")</f>
        <v>108</v>
      </c>
      <c r="D114" s="65" t="str">
        <f aca="false">IF(109&gt;'🌱 Configuração'!$F$55,"",IF('🌱 Configuração'!$B$56+108&lt;'🌱 Configuração'!$C$56,"🌱 Clone",IF('🌱 Configuração'!$B$56+108&lt;'🌱 Configuração'!$D$56,"🌿 Vegetativo",IF('🌱 Configuração'!$B$56+108&lt;'🌱 Configuração'!$E$56,"🌸 Floração","🚿 Flush"))))</f>
        <v>🌸 Floração</v>
      </c>
      <c r="E114" s="43" t="str">
        <f aca="false">IF(109&gt;'🌱 Configuração'!$F$55,"",IF('🌱 Configuração'!$B$56+108&lt;'🌱 Configuração'!$C$56,"Clone S"&amp;INT((109-1)/7)+1,IF('🌱 Configuração'!$B$56+108&lt;'🌱 Configuração'!$D$56,"Vega S"&amp;INT(('🌱 Configuração'!$B$56+108-'🌱 Configuração'!$C$56)/7)+1,IF('🌱 Configuração'!$B$56+108&lt;'🌱 Configuração'!$E$56,"Flora S"&amp;INT(('🌱 Configuração'!$B$56+108-'🌱 Configuração'!$D$56)/7)+1,"Flush S"&amp;INT(('🌱 Configuração'!$B$56+108-'🌱 Configuração'!$E$56)/7)+1))))</f>
        <v>Flora S8</v>
      </c>
      <c r="F114" s="42" t="str">
        <f aca="false">IF(109&gt;'🌱 Configuração'!$F$55,"",IF('🌱 Configuração'!$B$56+108='🌱 Configuração'!$C$56,"🌿 INÍCIO VEGA — luz 18h/dia",IF('🌱 Configuração'!$B$56+108='🌱 Configuração'!$D$56,"🌸 INÍCIO FLORAÇÃO — mudar 12/12 🔴",IF('🌱 Configuração'!$B$56+108='🌱 Configuração'!$E$56,"🚿 INÍCIO FLUSH — parar nutrição",IF('🌱 Configuração'!$B$56+108='🌱 Configuração'!$F$56-1,"🔬 Véspera da colheita — analisar tricomas",IF('🌱 Configuração'!$B$56+108='🌱 Configuração'!$F$56,"✂️ COLHEITA — Parabéns! 🎉",""))))))</f>
        <v/>
      </c>
      <c r="G114" s="66" t="str">
        <f aca="false">IF(109&gt;'🌱 Configuração'!$F$55,"",IF(AND('🌱 Configuração'!$B$56+108&gt;='🌱 Configuração'!$C$56,'🌱 Configuração'!$B$56+108&lt;'🌱 Configuração'!$D$56,MOD('🌱 Configuração'!$B$56+108-'🌱 Configuração'!$C$56,7)=0),"🐛 MIP — ver aba MIP para aplicação desta semana",IF(AND('🌱 Configuração'!$B$56+108&gt;='🌱 Configuração'!$D$56,MOD('🌱 Configuração'!$B$56+108-'🌱 Configuração'!$D$56,7)=0),"🐛 MIP solo — ver aba MIP (sem foliar em flora)","")))</f>
        <v/>
      </c>
    </row>
    <row r="115" customFormat="false" ht="18" hidden="false" customHeight="true" outlineLevel="0" collapsed="false">
      <c r="B115" s="67" t="n">
        <f aca="false">IF(110&lt;='🌱 Configuração'!$F$55,110,"")</f>
        <v>110</v>
      </c>
      <c r="C115" s="68" t="n">
        <f aca="false">IF(110&lt;='🌱 Configuração'!$F$55,'🌱 Configuração'!$B$56+109,"")</f>
        <v>109</v>
      </c>
      <c r="D115" s="69" t="str">
        <f aca="false">IF(110&gt;'🌱 Configuração'!$F$55,"",IF('🌱 Configuração'!$B$56+109&lt;'🌱 Configuração'!$C$56,"🌱 Clone",IF('🌱 Configuração'!$B$56+109&lt;'🌱 Configuração'!$D$56,"🌿 Vegetativo",IF('🌱 Configuração'!$B$56+109&lt;'🌱 Configuração'!$E$56,"🌸 Floração","🚿 Flush"))))</f>
        <v>🌸 Floração</v>
      </c>
      <c r="E115" s="70" t="str">
        <f aca="false">IF(110&gt;'🌱 Configuração'!$F$55,"",IF('🌱 Configuração'!$B$56+109&lt;'🌱 Configuração'!$C$56,"Clone S"&amp;INT((110-1)/7)+1,IF('🌱 Configuração'!$B$56+109&lt;'🌱 Configuração'!$D$56,"Vega S"&amp;INT(('🌱 Configuração'!$B$56+109-'🌱 Configuração'!$C$56)/7)+1,IF('🌱 Configuração'!$B$56+109&lt;'🌱 Configuração'!$E$56,"Flora S"&amp;INT(('🌱 Configuração'!$B$56+109-'🌱 Configuração'!$D$56)/7)+1,"Flush S"&amp;INT(('🌱 Configuração'!$B$56+109-'🌱 Configuração'!$E$56)/7)+1))))</f>
        <v>Flora S8</v>
      </c>
      <c r="F115" s="13" t="str">
        <f aca="false">IF(110&gt;'🌱 Configuração'!$F$55,"",IF('🌱 Configuração'!$B$56+109='🌱 Configuração'!$C$56,"🌿 INÍCIO VEGA — luz 18h/dia",IF('🌱 Configuração'!$B$56+109='🌱 Configuração'!$D$56,"🌸 INÍCIO FLORAÇÃO — mudar 12/12 🔴",IF('🌱 Configuração'!$B$56+109='🌱 Configuração'!$E$56,"🚿 INÍCIO FLUSH — parar nutrição",IF('🌱 Configuração'!$B$56+109='🌱 Configuração'!$F$56-1,"🔬 Véspera da colheita — analisar tricomas",IF('🌱 Configuração'!$B$56+109='🌱 Configuração'!$F$56,"✂️ COLHEITA — Parabéns! 🎉",""))))))</f>
        <v/>
      </c>
      <c r="G115" s="71" t="str">
        <f aca="false">IF(110&gt;'🌱 Configuração'!$F$55,"",IF(AND('🌱 Configuração'!$B$56+109&gt;='🌱 Configuração'!$C$56,'🌱 Configuração'!$B$56+109&lt;'🌱 Configuração'!$D$56,MOD('🌱 Configuração'!$B$56+109-'🌱 Configuração'!$C$56,7)=0),"🐛 MIP — ver aba MIP para aplicação desta semana",IF(AND('🌱 Configuração'!$B$56+109&gt;='🌱 Configuração'!$D$56,MOD('🌱 Configuração'!$B$56+109-'🌱 Configuração'!$D$56,7)=0),"🐛 MIP solo — ver aba MIP (sem foliar em flora)","")))</f>
        <v/>
      </c>
    </row>
    <row r="116" customFormat="false" ht="18" hidden="false" customHeight="true" outlineLevel="0" collapsed="false">
      <c r="B116" s="64" t="n">
        <f aca="false">IF(111&lt;='🌱 Configuração'!$F$55,111,"")</f>
        <v>111</v>
      </c>
      <c r="C116" s="41" t="n">
        <f aca="false">IF(111&lt;='🌱 Configuração'!$F$55,'🌱 Configuração'!$B$56+110,"")</f>
        <v>110</v>
      </c>
      <c r="D116" s="65" t="str">
        <f aca="false">IF(111&gt;'🌱 Configuração'!$F$55,"",IF('🌱 Configuração'!$B$56+110&lt;'🌱 Configuração'!$C$56,"🌱 Clone",IF('🌱 Configuração'!$B$56+110&lt;'🌱 Configuração'!$D$56,"🌿 Vegetativo",IF('🌱 Configuração'!$B$56+110&lt;'🌱 Configuração'!$E$56,"🌸 Floração","🚿 Flush"))))</f>
        <v>🌸 Floração</v>
      </c>
      <c r="E116" s="43" t="str">
        <f aca="false">IF(111&gt;'🌱 Configuração'!$F$55,"",IF('🌱 Configuração'!$B$56+110&lt;'🌱 Configuração'!$C$56,"Clone S"&amp;INT((111-1)/7)+1,IF('🌱 Configuração'!$B$56+110&lt;'🌱 Configuração'!$D$56,"Vega S"&amp;INT(('🌱 Configuração'!$B$56+110-'🌱 Configuração'!$C$56)/7)+1,IF('🌱 Configuração'!$B$56+110&lt;'🌱 Configuração'!$E$56,"Flora S"&amp;INT(('🌱 Configuração'!$B$56+110-'🌱 Configuração'!$D$56)/7)+1,"Flush S"&amp;INT(('🌱 Configuração'!$B$56+110-'🌱 Configuração'!$E$56)/7)+1))))</f>
        <v>Flora S8</v>
      </c>
      <c r="F116" s="42" t="str">
        <f aca="false">IF(111&gt;'🌱 Configuração'!$F$55,"",IF('🌱 Configuração'!$B$56+110='🌱 Configuração'!$C$56,"🌿 INÍCIO VEGA — luz 18h/dia",IF('🌱 Configuração'!$B$56+110='🌱 Configuração'!$D$56,"🌸 INÍCIO FLORAÇÃO — mudar 12/12 🔴",IF('🌱 Configuração'!$B$56+110='🌱 Configuração'!$E$56,"🚿 INÍCIO FLUSH — parar nutrição",IF('🌱 Configuração'!$B$56+110='🌱 Configuração'!$F$56-1,"🔬 Véspera da colheita — analisar tricomas",IF('🌱 Configuração'!$B$56+110='🌱 Configuração'!$F$56,"✂️ COLHEITA — Parabéns! 🎉",""))))))</f>
        <v/>
      </c>
      <c r="G116" s="66" t="str">
        <f aca="false">IF(111&gt;'🌱 Configuração'!$F$55,"",IF(AND('🌱 Configuração'!$B$56+110&gt;='🌱 Configuração'!$C$56,'🌱 Configuração'!$B$56+110&lt;'🌱 Configuração'!$D$56,MOD('🌱 Configuração'!$B$56+110-'🌱 Configuração'!$C$56,7)=0),"🐛 MIP — ver aba MIP para aplicação desta semana",IF(AND('🌱 Configuração'!$B$56+110&gt;='🌱 Configuração'!$D$56,MOD('🌱 Configuração'!$B$56+110-'🌱 Configuração'!$D$56,7)=0),"🐛 MIP solo — ver aba MIP (sem foliar em flora)","")))</f>
        <v/>
      </c>
    </row>
    <row r="117" customFormat="false" ht="18" hidden="false" customHeight="true" outlineLevel="0" collapsed="false">
      <c r="B117" s="67" t="n">
        <f aca="false">IF(112&lt;='🌱 Configuração'!$F$55,112,"")</f>
        <v>112</v>
      </c>
      <c r="C117" s="68" t="n">
        <f aca="false">IF(112&lt;='🌱 Configuração'!$F$55,'🌱 Configuração'!$B$56+111,"")</f>
        <v>111</v>
      </c>
      <c r="D117" s="69" t="str">
        <f aca="false">IF(112&gt;'🌱 Configuração'!$F$55,"",IF('🌱 Configuração'!$B$56+111&lt;'🌱 Configuração'!$C$56,"🌱 Clone",IF('🌱 Configuração'!$B$56+111&lt;'🌱 Configuração'!$D$56,"🌿 Vegetativo",IF('🌱 Configuração'!$B$56+111&lt;'🌱 Configuração'!$E$56,"🌸 Floração","🚿 Flush"))))</f>
        <v>🌸 Floração</v>
      </c>
      <c r="E117" s="70" t="str">
        <f aca="false">IF(112&gt;'🌱 Configuração'!$F$55,"",IF('🌱 Configuração'!$B$56+111&lt;'🌱 Configuração'!$C$56,"Clone S"&amp;INT((112-1)/7)+1,IF('🌱 Configuração'!$B$56+111&lt;'🌱 Configuração'!$D$56,"Vega S"&amp;INT(('🌱 Configuração'!$B$56+111-'🌱 Configuração'!$C$56)/7)+1,IF('🌱 Configuração'!$B$56+111&lt;'🌱 Configuração'!$E$56,"Flora S"&amp;INT(('🌱 Configuração'!$B$56+111-'🌱 Configuração'!$D$56)/7)+1,"Flush S"&amp;INT(('🌱 Configuração'!$B$56+111-'🌱 Configuração'!$E$56)/7)+1))))</f>
        <v>Flora S8</v>
      </c>
      <c r="F117" s="13" t="str">
        <f aca="false">IF(112&gt;'🌱 Configuração'!$F$55,"",IF('🌱 Configuração'!$B$56+111='🌱 Configuração'!$C$56,"🌿 INÍCIO VEGA — luz 18h/dia",IF('🌱 Configuração'!$B$56+111='🌱 Configuração'!$D$56,"🌸 INÍCIO FLORAÇÃO — mudar 12/12 🔴",IF('🌱 Configuração'!$B$56+111='🌱 Configuração'!$E$56,"🚿 INÍCIO FLUSH — parar nutrição",IF('🌱 Configuração'!$B$56+111='🌱 Configuração'!$F$56-1,"🔬 Véspera da colheita — analisar tricomas",IF('🌱 Configuração'!$B$56+111='🌱 Configuração'!$F$56,"✂️ COLHEITA — Parabéns! 🎉",""))))))</f>
        <v/>
      </c>
      <c r="G117" s="71" t="str">
        <f aca="false">IF(112&gt;'🌱 Configuração'!$F$55,"",IF(AND('🌱 Configuração'!$B$56+111&gt;='🌱 Configuração'!$C$56,'🌱 Configuração'!$B$56+111&lt;'🌱 Configuração'!$D$56,MOD('🌱 Configuração'!$B$56+111-'🌱 Configuração'!$C$56,7)=0),"🐛 MIP — ver aba MIP para aplicação desta semana",IF(AND('🌱 Configuração'!$B$56+111&gt;='🌱 Configuração'!$D$56,MOD('🌱 Configuração'!$B$56+111-'🌱 Configuração'!$D$56,7)=0),"🐛 MIP solo — ver aba MIP (sem foliar em flora)","")))</f>
        <v/>
      </c>
    </row>
    <row r="118" customFormat="false" ht="18" hidden="false" customHeight="true" outlineLevel="0" collapsed="false">
      <c r="B118" s="64" t="n">
        <f aca="false">IF(113&lt;='🌱 Configuração'!$F$55,113,"")</f>
        <v>113</v>
      </c>
      <c r="C118" s="41" t="n">
        <f aca="false">IF(113&lt;='🌱 Configuração'!$F$55,'🌱 Configuração'!$B$56+112,"")</f>
        <v>112</v>
      </c>
      <c r="D118" s="65" t="str">
        <f aca="false">IF(113&gt;'🌱 Configuração'!$F$55,"",IF('🌱 Configuração'!$B$56+112&lt;'🌱 Configuração'!$C$56,"🌱 Clone",IF('🌱 Configuração'!$B$56+112&lt;'🌱 Configuração'!$D$56,"🌿 Vegetativo",IF('🌱 Configuração'!$B$56+112&lt;'🌱 Configuração'!$E$56,"🌸 Floração","🚿 Flush"))))</f>
        <v>🌸 Floração</v>
      </c>
      <c r="E118" s="43" t="str">
        <f aca="false">IF(113&gt;'🌱 Configuração'!$F$55,"",IF('🌱 Configuração'!$B$56+112&lt;'🌱 Configuração'!$C$56,"Clone S"&amp;INT((113-1)/7)+1,IF('🌱 Configuração'!$B$56+112&lt;'🌱 Configuração'!$D$56,"Vega S"&amp;INT(('🌱 Configuração'!$B$56+112-'🌱 Configuração'!$C$56)/7)+1,IF('🌱 Configuração'!$B$56+112&lt;'🌱 Configuração'!$E$56,"Flora S"&amp;INT(('🌱 Configuração'!$B$56+112-'🌱 Configuração'!$D$56)/7)+1,"Flush S"&amp;INT(('🌱 Configuração'!$B$56+112-'🌱 Configuração'!$E$56)/7)+1))))</f>
        <v>Flora S9</v>
      </c>
      <c r="F118" s="42" t="str">
        <f aca="false">IF(113&gt;'🌱 Configuração'!$F$55,"",IF('🌱 Configuração'!$B$56+112='🌱 Configuração'!$C$56,"🌿 INÍCIO VEGA — luz 18h/dia",IF('🌱 Configuração'!$B$56+112='🌱 Configuração'!$D$56,"🌸 INÍCIO FLORAÇÃO — mudar 12/12 🔴",IF('🌱 Configuração'!$B$56+112='🌱 Configuração'!$E$56,"🚿 INÍCIO FLUSH — parar nutrição",IF('🌱 Configuração'!$B$56+112='🌱 Configuração'!$F$56-1,"🔬 Véspera da colheita — analisar tricomas",IF('🌱 Configuração'!$B$56+112='🌱 Configuração'!$F$56,"✂️ COLHEITA — Parabéns! 🎉",""))))))</f>
        <v/>
      </c>
      <c r="G118" s="66" t="str">
        <f aca="false">IF(113&gt;'🌱 Configuração'!$F$55,"",IF(AND('🌱 Configuração'!$B$56+112&gt;='🌱 Configuração'!$C$56,'🌱 Configuração'!$B$56+112&lt;'🌱 Configuração'!$D$56,MOD('🌱 Configuração'!$B$56+112-'🌱 Configuração'!$C$56,7)=0),"🐛 MIP — ver aba MIP para aplicação desta semana",IF(AND('🌱 Configuração'!$B$56+112&gt;='🌱 Configuração'!$D$56,MOD('🌱 Configuração'!$B$56+112-'🌱 Configuração'!$D$56,7)=0),"🐛 MIP solo — ver aba MIP (sem foliar em flora)","")))</f>
        <v>🐛 MIP solo — ver aba MIP (sem foliar em flora)</v>
      </c>
    </row>
    <row r="119" customFormat="false" ht="18" hidden="false" customHeight="true" outlineLevel="0" collapsed="false">
      <c r="B119" s="67" t="n">
        <f aca="false">IF(114&lt;='🌱 Configuração'!$F$55,114,"")</f>
        <v>114</v>
      </c>
      <c r="C119" s="68" t="n">
        <f aca="false">IF(114&lt;='🌱 Configuração'!$F$55,'🌱 Configuração'!$B$56+113,"")</f>
        <v>113</v>
      </c>
      <c r="D119" s="69" t="str">
        <f aca="false">IF(114&gt;'🌱 Configuração'!$F$55,"",IF('🌱 Configuração'!$B$56+113&lt;'🌱 Configuração'!$C$56,"🌱 Clone",IF('🌱 Configuração'!$B$56+113&lt;'🌱 Configuração'!$D$56,"🌿 Vegetativo",IF('🌱 Configuração'!$B$56+113&lt;'🌱 Configuração'!$E$56,"🌸 Floração","🚿 Flush"))))</f>
        <v>🌸 Floração</v>
      </c>
      <c r="E119" s="70" t="str">
        <f aca="false">IF(114&gt;'🌱 Configuração'!$F$55,"",IF('🌱 Configuração'!$B$56+113&lt;'🌱 Configuração'!$C$56,"Clone S"&amp;INT((114-1)/7)+1,IF('🌱 Configuração'!$B$56+113&lt;'🌱 Configuração'!$D$56,"Vega S"&amp;INT(('🌱 Configuração'!$B$56+113-'🌱 Configuração'!$C$56)/7)+1,IF('🌱 Configuração'!$B$56+113&lt;'🌱 Configuração'!$E$56,"Flora S"&amp;INT(('🌱 Configuração'!$B$56+113-'🌱 Configuração'!$D$56)/7)+1,"Flush S"&amp;INT(('🌱 Configuração'!$B$56+113-'🌱 Configuração'!$E$56)/7)+1))))</f>
        <v>Flora S9</v>
      </c>
      <c r="F119" s="13" t="str">
        <f aca="false">IF(114&gt;'🌱 Configuração'!$F$55,"",IF('🌱 Configuração'!$B$56+113='🌱 Configuração'!$C$56,"🌿 INÍCIO VEGA — luz 18h/dia",IF('🌱 Configuração'!$B$56+113='🌱 Configuração'!$D$56,"🌸 INÍCIO FLORAÇÃO — mudar 12/12 🔴",IF('🌱 Configuração'!$B$56+113='🌱 Configuração'!$E$56,"🚿 INÍCIO FLUSH — parar nutrição",IF('🌱 Configuração'!$B$56+113='🌱 Configuração'!$F$56-1,"🔬 Véspera da colheita — analisar tricomas",IF('🌱 Configuração'!$B$56+113='🌱 Configuração'!$F$56,"✂️ COLHEITA — Parabéns! 🎉",""))))))</f>
        <v/>
      </c>
      <c r="G119" s="71" t="str">
        <f aca="false">IF(114&gt;'🌱 Configuração'!$F$55,"",IF(AND('🌱 Configuração'!$B$56+113&gt;='🌱 Configuração'!$C$56,'🌱 Configuração'!$B$56+113&lt;'🌱 Configuração'!$D$56,MOD('🌱 Configuração'!$B$56+113-'🌱 Configuração'!$C$56,7)=0),"🐛 MIP — ver aba MIP para aplicação desta semana",IF(AND('🌱 Configuração'!$B$56+113&gt;='🌱 Configuração'!$D$56,MOD('🌱 Configuração'!$B$56+113-'🌱 Configuração'!$D$56,7)=0),"🐛 MIP solo — ver aba MIP (sem foliar em flora)","")))</f>
        <v/>
      </c>
    </row>
    <row r="120" customFormat="false" ht="18" hidden="false" customHeight="true" outlineLevel="0" collapsed="false">
      <c r="B120" s="64" t="n">
        <f aca="false">IF(115&lt;='🌱 Configuração'!$F$55,115,"")</f>
        <v>115</v>
      </c>
      <c r="C120" s="41" t="n">
        <f aca="false">IF(115&lt;='🌱 Configuração'!$F$55,'🌱 Configuração'!$B$56+114,"")</f>
        <v>114</v>
      </c>
      <c r="D120" s="65" t="str">
        <f aca="false">IF(115&gt;'🌱 Configuração'!$F$55,"",IF('🌱 Configuração'!$B$56+114&lt;'🌱 Configuração'!$C$56,"🌱 Clone",IF('🌱 Configuração'!$B$56+114&lt;'🌱 Configuração'!$D$56,"🌿 Vegetativo",IF('🌱 Configuração'!$B$56+114&lt;'🌱 Configuração'!$E$56,"🌸 Floração","🚿 Flush"))))</f>
        <v>🌸 Floração</v>
      </c>
      <c r="E120" s="43" t="str">
        <f aca="false">IF(115&gt;'🌱 Configuração'!$F$55,"",IF('🌱 Configuração'!$B$56+114&lt;'🌱 Configuração'!$C$56,"Clone S"&amp;INT((115-1)/7)+1,IF('🌱 Configuração'!$B$56+114&lt;'🌱 Configuração'!$D$56,"Vega S"&amp;INT(('🌱 Configuração'!$B$56+114-'🌱 Configuração'!$C$56)/7)+1,IF('🌱 Configuração'!$B$56+114&lt;'🌱 Configuração'!$E$56,"Flora S"&amp;INT(('🌱 Configuração'!$B$56+114-'🌱 Configuração'!$D$56)/7)+1,"Flush S"&amp;INT(('🌱 Configuração'!$B$56+114-'🌱 Configuração'!$E$56)/7)+1))))</f>
        <v>Flora S9</v>
      </c>
      <c r="F120" s="42" t="str">
        <f aca="false">IF(115&gt;'🌱 Configuração'!$F$55,"",IF('🌱 Configuração'!$B$56+114='🌱 Configuração'!$C$56,"🌿 INÍCIO VEGA — luz 18h/dia",IF('🌱 Configuração'!$B$56+114='🌱 Configuração'!$D$56,"🌸 INÍCIO FLORAÇÃO — mudar 12/12 🔴",IF('🌱 Configuração'!$B$56+114='🌱 Configuração'!$E$56,"🚿 INÍCIO FLUSH — parar nutrição",IF('🌱 Configuração'!$B$56+114='🌱 Configuração'!$F$56-1,"🔬 Véspera da colheita — analisar tricomas",IF('🌱 Configuração'!$B$56+114='🌱 Configuração'!$F$56,"✂️ COLHEITA — Parabéns! 🎉",""))))))</f>
        <v/>
      </c>
      <c r="G120" s="66" t="str">
        <f aca="false">IF(115&gt;'🌱 Configuração'!$F$55,"",IF(AND('🌱 Configuração'!$B$56+114&gt;='🌱 Configuração'!$C$56,'🌱 Configuração'!$B$56+114&lt;'🌱 Configuração'!$D$56,MOD('🌱 Configuração'!$B$56+114-'🌱 Configuração'!$C$56,7)=0),"🐛 MIP — ver aba MIP para aplicação desta semana",IF(AND('🌱 Configuração'!$B$56+114&gt;='🌱 Configuração'!$D$56,MOD('🌱 Configuração'!$B$56+114-'🌱 Configuração'!$D$56,7)=0),"🐛 MIP solo — ver aba MIP (sem foliar em flora)","")))</f>
        <v/>
      </c>
    </row>
    <row r="121" customFormat="false" ht="18" hidden="false" customHeight="true" outlineLevel="0" collapsed="false">
      <c r="B121" s="67" t="n">
        <f aca="false">IF(116&lt;='🌱 Configuração'!$F$55,116,"")</f>
        <v>116</v>
      </c>
      <c r="C121" s="68" t="n">
        <f aca="false">IF(116&lt;='🌱 Configuração'!$F$55,'🌱 Configuração'!$B$56+115,"")</f>
        <v>115</v>
      </c>
      <c r="D121" s="69" t="str">
        <f aca="false">IF(116&gt;'🌱 Configuração'!$F$55,"",IF('🌱 Configuração'!$B$56+115&lt;'🌱 Configuração'!$C$56,"🌱 Clone",IF('🌱 Configuração'!$B$56+115&lt;'🌱 Configuração'!$D$56,"🌿 Vegetativo",IF('🌱 Configuração'!$B$56+115&lt;'🌱 Configuração'!$E$56,"🌸 Floração","🚿 Flush"))))</f>
        <v>🌸 Floração</v>
      </c>
      <c r="E121" s="70" t="str">
        <f aca="false">IF(116&gt;'🌱 Configuração'!$F$55,"",IF('🌱 Configuração'!$B$56+115&lt;'🌱 Configuração'!$C$56,"Clone S"&amp;INT((116-1)/7)+1,IF('🌱 Configuração'!$B$56+115&lt;'🌱 Configuração'!$D$56,"Vega S"&amp;INT(('🌱 Configuração'!$B$56+115-'🌱 Configuração'!$C$56)/7)+1,IF('🌱 Configuração'!$B$56+115&lt;'🌱 Configuração'!$E$56,"Flora S"&amp;INT(('🌱 Configuração'!$B$56+115-'🌱 Configuração'!$D$56)/7)+1,"Flush S"&amp;INT(('🌱 Configuração'!$B$56+115-'🌱 Configuração'!$E$56)/7)+1))))</f>
        <v>Flora S9</v>
      </c>
      <c r="F121" s="13" t="str">
        <f aca="false">IF(116&gt;'🌱 Configuração'!$F$55,"",IF('🌱 Configuração'!$B$56+115='🌱 Configuração'!$C$56,"🌿 INÍCIO VEGA — luz 18h/dia",IF('🌱 Configuração'!$B$56+115='🌱 Configuração'!$D$56,"🌸 INÍCIO FLORAÇÃO — mudar 12/12 🔴",IF('🌱 Configuração'!$B$56+115='🌱 Configuração'!$E$56,"🚿 INÍCIO FLUSH — parar nutrição",IF('🌱 Configuração'!$B$56+115='🌱 Configuração'!$F$56-1,"🔬 Véspera da colheita — analisar tricomas",IF('🌱 Configuração'!$B$56+115='🌱 Configuração'!$F$56,"✂️ COLHEITA — Parabéns! 🎉",""))))))</f>
        <v/>
      </c>
      <c r="G121" s="71" t="str">
        <f aca="false">IF(116&gt;'🌱 Configuração'!$F$55,"",IF(AND('🌱 Configuração'!$B$56+115&gt;='🌱 Configuração'!$C$56,'🌱 Configuração'!$B$56+115&lt;'🌱 Configuração'!$D$56,MOD('🌱 Configuração'!$B$56+115-'🌱 Configuração'!$C$56,7)=0),"🐛 MIP — ver aba MIP para aplicação desta semana",IF(AND('🌱 Configuração'!$B$56+115&gt;='🌱 Configuração'!$D$56,MOD('🌱 Configuração'!$B$56+115-'🌱 Configuração'!$D$56,7)=0),"🐛 MIP solo — ver aba MIP (sem foliar em flora)","")))</f>
        <v/>
      </c>
    </row>
    <row r="122" customFormat="false" ht="18" hidden="false" customHeight="true" outlineLevel="0" collapsed="false">
      <c r="B122" s="64" t="n">
        <f aca="false">IF(117&lt;='🌱 Configuração'!$F$55,117,"")</f>
        <v>117</v>
      </c>
      <c r="C122" s="41" t="n">
        <f aca="false">IF(117&lt;='🌱 Configuração'!$F$55,'🌱 Configuração'!$B$56+116,"")</f>
        <v>116</v>
      </c>
      <c r="D122" s="65" t="str">
        <f aca="false">IF(117&gt;'🌱 Configuração'!$F$55,"",IF('🌱 Configuração'!$B$56+116&lt;'🌱 Configuração'!$C$56,"🌱 Clone",IF('🌱 Configuração'!$B$56+116&lt;'🌱 Configuração'!$D$56,"🌿 Vegetativo",IF('🌱 Configuração'!$B$56+116&lt;'🌱 Configuração'!$E$56,"🌸 Floração","🚿 Flush"))))</f>
        <v>🌸 Floração</v>
      </c>
      <c r="E122" s="43" t="str">
        <f aca="false">IF(117&gt;'🌱 Configuração'!$F$55,"",IF('🌱 Configuração'!$B$56+116&lt;'🌱 Configuração'!$C$56,"Clone S"&amp;INT((117-1)/7)+1,IF('🌱 Configuração'!$B$56+116&lt;'🌱 Configuração'!$D$56,"Vega S"&amp;INT(('🌱 Configuração'!$B$56+116-'🌱 Configuração'!$C$56)/7)+1,IF('🌱 Configuração'!$B$56+116&lt;'🌱 Configuração'!$E$56,"Flora S"&amp;INT(('🌱 Configuração'!$B$56+116-'🌱 Configuração'!$D$56)/7)+1,"Flush S"&amp;INT(('🌱 Configuração'!$B$56+116-'🌱 Configuração'!$E$56)/7)+1))))</f>
        <v>Flora S9</v>
      </c>
      <c r="F122" s="42" t="str">
        <f aca="false">IF(117&gt;'🌱 Configuração'!$F$55,"",IF('🌱 Configuração'!$B$56+116='🌱 Configuração'!$C$56,"🌿 INÍCIO VEGA — luz 18h/dia",IF('🌱 Configuração'!$B$56+116='🌱 Configuração'!$D$56,"🌸 INÍCIO FLORAÇÃO — mudar 12/12 🔴",IF('🌱 Configuração'!$B$56+116='🌱 Configuração'!$E$56,"🚿 INÍCIO FLUSH — parar nutrição",IF('🌱 Configuração'!$B$56+116='🌱 Configuração'!$F$56-1,"🔬 Véspera da colheita — analisar tricomas",IF('🌱 Configuração'!$B$56+116='🌱 Configuração'!$F$56,"✂️ COLHEITA — Parabéns! 🎉",""))))))</f>
        <v/>
      </c>
      <c r="G122" s="66" t="str">
        <f aca="false">IF(117&gt;'🌱 Configuração'!$F$55,"",IF(AND('🌱 Configuração'!$B$56+116&gt;='🌱 Configuração'!$C$56,'🌱 Configuração'!$B$56+116&lt;'🌱 Configuração'!$D$56,MOD('🌱 Configuração'!$B$56+116-'🌱 Configuração'!$C$56,7)=0),"🐛 MIP — ver aba MIP para aplicação desta semana",IF(AND('🌱 Configuração'!$B$56+116&gt;='🌱 Configuração'!$D$56,MOD('🌱 Configuração'!$B$56+116-'🌱 Configuração'!$D$56,7)=0),"🐛 MIP solo — ver aba MIP (sem foliar em flora)","")))</f>
        <v/>
      </c>
    </row>
    <row r="123" customFormat="false" ht="18" hidden="false" customHeight="true" outlineLevel="0" collapsed="false">
      <c r="B123" s="67" t="n">
        <f aca="false">IF(118&lt;='🌱 Configuração'!$F$55,118,"")</f>
        <v>118</v>
      </c>
      <c r="C123" s="68" t="n">
        <f aca="false">IF(118&lt;='🌱 Configuração'!$F$55,'🌱 Configuração'!$B$56+117,"")</f>
        <v>117</v>
      </c>
      <c r="D123" s="69" t="str">
        <f aca="false">IF(118&gt;'🌱 Configuração'!$F$55,"",IF('🌱 Configuração'!$B$56+117&lt;'🌱 Configuração'!$C$56,"🌱 Clone",IF('🌱 Configuração'!$B$56+117&lt;'🌱 Configuração'!$D$56,"🌿 Vegetativo",IF('🌱 Configuração'!$B$56+117&lt;'🌱 Configuração'!$E$56,"🌸 Floração","🚿 Flush"))))</f>
        <v>🌸 Floração</v>
      </c>
      <c r="E123" s="70" t="str">
        <f aca="false">IF(118&gt;'🌱 Configuração'!$F$55,"",IF('🌱 Configuração'!$B$56+117&lt;'🌱 Configuração'!$C$56,"Clone S"&amp;INT((118-1)/7)+1,IF('🌱 Configuração'!$B$56+117&lt;'🌱 Configuração'!$D$56,"Vega S"&amp;INT(('🌱 Configuração'!$B$56+117-'🌱 Configuração'!$C$56)/7)+1,IF('🌱 Configuração'!$B$56+117&lt;'🌱 Configuração'!$E$56,"Flora S"&amp;INT(('🌱 Configuração'!$B$56+117-'🌱 Configuração'!$D$56)/7)+1,"Flush S"&amp;INT(('🌱 Configuração'!$B$56+117-'🌱 Configuração'!$E$56)/7)+1))))</f>
        <v>Flora S9</v>
      </c>
      <c r="F123" s="13" t="str">
        <f aca="false">IF(118&gt;'🌱 Configuração'!$F$55,"",IF('🌱 Configuração'!$B$56+117='🌱 Configuração'!$C$56,"🌿 INÍCIO VEGA — luz 18h/dia",IF('🌱 Configuração'!$B$56+117='🌱 Configuração'!$D$56,"🌸 INÍCIO FLORAÇÃO — mudar 12/12 🔴",IF('🌱 Configuração'!$B$56+117='🌱 Configuração'!$E$56,"🚿 INÍCIO FLUSH — parar nutrição",IF('🌱 Configuração'!$B$56+117='🌱 Configuração'!$F$56-1,"🔬 Véspera da colheita — analisar tricomas",IF('🌱 Configuração'!$B$56+117='🌱 Configuração'!$F$56,"✂️ COLHEITA — Parabéns! 🎉",""))))))</f>
        <v/>
      </c>
      <c r="G123" s="71" t="str">
        <f aca="false">IF(118&gt;'🌱 Configuração'!$F$55,"",IF(AND('🌱 Configuração'!$B$56+117&gt;='🌱 Configuração'!$C$56,'🌱 Configuração'!$B$56+117&lt;'🌱 Configuração'!$D$56,MOD('🌱 Configuração'!$B$56+117-'🌱 Configuração'!$C$56,7)=0),"🐛 MIP — ver aba MIP para aplicação desta semana",IF(AND('🌱 Configuração'!$B$56+117&gt;='🌱 Configuração'!$D$56,MOD('🌱 Configuração'!$B$56+117-'🌱 Configuração'!$D$56,7)=0),"🐛 MIP solo — ver aba MIP (sem foliar em flora)","")))</f>
        <v/>
      </c>
    </row>
    <row r="124" customFormat="false" ht="18" hidden="false" customHeight="true" outlineLevel="0" collapsed="false">
      <c r="B124" s="64" t="n">
        <f aca="false">IF(119&lt;='🌱 Configuração'!$F$55,119,"")</f>
        <v>119</v>
      </c>
      <c r="C124" s="41" t="n">
        <f aca="false">IF(119&lt;='🌱 Configuração'!$F$55,'🌱 Configuração'!$B$56+118,"")</f>
        <v>118</v>
      </c>
      <c r="D124" s="65" t="str">
        <f aca="false">IF(119&gt;'🌱 Configuração'!$F$55,"",IF('🌱 Configuração'!$B$56+118&lt;'🌱 Configuração'!$C$56,"🌱 Clone",IF('🌱 Configuração'!$B$56+118&lt;'🌱 Configuração'!$D$56,"🌿 Vegetativo",IF('🌱 Configuração'!$B$56+118&lt;'🌱 Configuração'!$E$56,"🌸 Floração","🚿 Flush"))))</f>
        <v>🌸 Floração</v>
      </c>
      <c r="E124" s="43" t="str">
        <f aca="false">IF(119&gt;'🌱 Configuração'!$F$55,"",IF('🌱 Configuração'!$B$56+118&lt;'🌱 Configuração'!$C$56,"Clone S"&amp;INT((119-1)/7)+1,IF('🌱 Configuração'!$B$56+118&lt;'🌱 Configuração'!$D$56,"Vega S"&amp;INT(('🌱 Configuração'!$B$56+118-'🌱 Configuração'!$C$56)/7)+1,IF('🌱 Configuração'!$B$56+118&lt;'🌱 Configuração'!$E$56,"Flora S"&amp;INT(('🌱 Configuração'!$B$56+118-'🌱 Configuração'!$D$56)/7)+1,"Flush S"&amp;INT(('🌱 Configuração'!$B$56+118-'🌱 Configuração'!$E$56)/7)+1))))</f>
        <v>Flora S9</v>
      </c>
      <c r="F124" s="42" t="str">
        <f aca="false">IF(119&gt;'🌱 Configuração'!$F$55,"",IF('🌱 Configuração'!$B$56+118='🌱 Configuração'!$C$56,"🌿 INÍCIO VEGA — luz 18h/dia",IF('🌱 Configuração'!$B$56+118='🌱 Configuração'!$D$56,"🌸 INÍCIO FLORAÇÃO — mudar 12/12 🔴",IF('🌱 Configuração'!$B$56+118='🌱 Configuração'!$E$56,"🚿 INÍCIO FLUSH — parar nutrição",IF('🌱 Configuração'!$B$56+118='🌱 Configuração'!$F$56-1,"🔬 Véspera da colheita — analisar tricomas",IF('🌱 Configuração'!$B$56+118='🌱 Configuração'!$F$56,"✂️ COLHEITA — Parabéns! 🎉",""))))))</f>
        <v/>
      </c>
      <c r="G124" s="66" t="str">
        <f aca="false">IF(119&gt;'🌱 Configuração'!$F$55,"",IF(AND('🌱 Configuração'!$B$56+118&gt;='🌱 Configuração'!$C$56,'🌱 Configuração'!$B$56+118&lt;'🌱 Configuração'!$D$56,MOD('🌱 Configuração'!$B$56+118-'🌱 Configuração'!$C$56,7)=0),"🐛 MIP — ver aba MIP para aplicação desta semana",IF(AND('🌱 Configuração'!$B$56+118&gt;='🌱 Configuração'!$D$56,MOD('🌱 Configuração'!$B$56+118-'🌱 Configuração'!$D$56,7)=0),"🐛 MIP solo — ver aba MIP (sem foliar em flora)","")))</f>
        <v/>
      </c>
    </row>
    <row r="125" customFormat="false" ht="18" hidden="false" customHeight="true" outlineLevel="0" collapsed="false">
      <c r="B125" s="67" t="n">
        <f aca="false">IF(120&lt;='🌱 Configuração'!$F$55,120,"")</f>
        <v>120</v>
      </c>
      <c r="C125" s="68" t="n">
        <f aca="false">IF(120&lt;='🌱 Configuração'!$F$55,'🌱 Configuração'!$B$56+119,"")</f>
        <v>119</v>
      </c>
      <c r="D125" s="69" t="str">
        <f aca="false">IF(120&gt;'🌱 Configuração'!$F$55,"",IF('🌱 Configuração'!$B$56+119&lt;'🌱 Configuração'!$C$56,"🌱 Clone",IF('🌱 Configuração'!$B$56+119&lt;'🌱 Configuração'!$D$56,"🌿 Vegetativo",IF('🌱 Configuração'!$B$56+119&lt;'🌱 Configuração'!$E$56,"🌸 Floração","🚿 Flush"))))</f>
        <v>🚿 Flush</v>
      </c>
      <c r="E125" s="70" t="str">
        <f aca="false">IF(120&gt;'🌱 Configuração'!$F$55,"",IF('🌱 Configuração'!$B$56+119&lt;'🌱 Configuração'!$C$56,"Clone S"&amp;INT((120-1)/7)+1,IF('🌱 Configuração'!$B$56+119&lt;'🌱 Configuração'!$D$56,"Vega S"&amp;INT(('🌱 Configuração'!$B$56+119-'🌱 Configuração'!$C$56)/7)+1,IF('🌱 Configuração'!$B$56+119&lt;'🌱 Configuração'!$E$56,"Flora S"&amp;INT(('🌱 Configuração'!$B$56+119-'🌱 Configuração'!$D$56)/7)+1,"Flush S"&amp;INT(('🌱 Configuração'!$B$56+119-'🌱 Configuração'!$E$56)/7)+1))))</f>
        <v>Flush S1</v>
      </c>
      <c r="F125" s="13" t="str">
        <f aca="false">IF(120&gt;'🌱 Configuração'!$F$55,"",IF('🌱 Configuração'!$B$56+119='🌱 Configuração'!$C$56,"🌿 INÍCIO VEGA — luz 18h/dia",IF('🌱 Configuração'!$B$56+119='🌱 Configuração'!$D$56,"🌸 INÍCIO FLORAÇÃO — mudar 12/12 🔴",IF('🌱 Configuração'!$B$56+119='🌱 Configuração'!$E$56,"🚿 INÍCIO FLUSH — parar nutrição",IF('🌱 Configuração'!$B$56+119='🌱 Configuração'!$F$56-1,"🔬 Véspera da colheita — analisar tricomas",IF('🌱 Configuração'!$B$56+119='🌱 Configuração'!$F$56,"✂️ COLHEITA — Parabéns! 🎉",""))))))</f>
        <v>🚿 INÍCIO FLUSH — parar nutrição</v>
      </c>
      <c r="G125" s="71" t="str">
        <f aca="false">IF(120&gt;'🌱 Configuração'!$F$55,"",IF(AND('🌱 Configuração'!$B$56+119&gt;='🌱 Configuração'!$C$56,'🌱 Configuração'!$B$56+119&lt;'🌱 Configuração'!$D$56,MOD('🌱 Configuração'!$B$56+119-'🌱 Configuração'!$C$56,7)=0),"🐛 MIP — ver aba MIP para aplicação desta semana",IF(AND('🌱 Configuração'!$B$56+119&gt;='🌱 Configuração'!$D$56,MOD('🌱 Configuração'!$B$56+119-'🌱 Configuração'!$D$56,7)=0),"🐛 MIP solo — ver aba MIP (sem foliar em flora)","")))</f>
        <v>🐛 MIP solo — ver aba MIP (sem foliar em flora)</v>
      </c>
    </row>
    <row r="126" customFormat="false" ht="18" hidden="false" customHeight="true" outlineLevel="0" collapsed="false">
      <c r="B126" s="64" t="n">
        <f aca="false">IF(121&lt;='🌱 Configuração'!$F$55,121,"")</f>
        <v>121</v>
      </c>
      <c r="C126" s="41" t="n">
        <f aca="false">IF(121&lt;='🌱 Configuração'!$F$55,'🌱 Configuração'!$B$56+120,"")</f>
        <v>120</v>
      </c>
      <c r="D126" s="65" t="str">
        <f aca="false">IF(121&gt;'🌱 Configuração'!$F$55,"",IF('🌱 Configuração'!$B$56+120&lt;'🌱 Configuração'!$C$56,"🌱 Clone",IF('🌱 Configuração'!$B$56+120&lt;'🌱 Configuração'!$D$56,"🌿 Vegetativo",IF('🌱 Configuração'!$B$56+120&lt;'🌱 Configuração'!$E$56,"🌸 Floração","🚿 Flush"))))</f>
        <v>🚿 Flush</v>
      </c>
      <c r="E126" s="43" t="str">
        <f aca="false">IF(121&gt;'🌱 Configuração'!$F$55,"",IF('🌱 Configuração'!$B$56+120&lt;'🌱 Configuração'!$C$56,"Clone S"&amp;INT((121-1)/7)+1,IF('🌱 Configuração'!$B$56+120&lt;'🌱 Configuração'!$D$56,"Vega S"&amp;INT(('🌱 Configuração'!$B$56+120-'🌱 Configuração'!$C$56)/7)+1,IF('🌱 Configuração'!$B$56+120&lt;'🌱 Configuração'!$E$56,"Flora S"&amp;INT(('🌱 Configuração'!$B$56+120-'🌱 Configuração'!$D$56)/7)+1,"Flush S"&amp;INT(('🌱 Configuração'!$B$56+120-'🌱 Configuração'!$E$56)/7)+1))))</f>
        <v>Flush S1</v>
      </c>
      <c r="F126" s="42" t="str">
        <f aca="false">IF(121&gt;'🌱 Configuração'!$F$55,"",IF('🌱 Configuração'!$B$56+120='🌱 Configuração'!$C$56,"🌿 INÍCIO VEGA — luz 18h/dia",IF('🌱 Configuração'!$B$56+120='🌱 Configuração'!$D$56,"🌸 INÍCIO FLORAÇÃO — mudar 12/12 🔴",IF('🌱 Configuração'!$B$56+120='🌱 Configuração'!$E$56,"🚿 INÍCIO FLUSH — parar nutrição",IF('🌱 Configuração'!$B$56+120='🌱 Configuração'!$F$56-1,"🔬 Véspera da colheita — analisar tricomas",IF('🌱 Configuração'!$B$56+120='🌱 Configuração'!$F$56,"✂️ COLHEITA — Parabéns! 🎉",""))))))</f>
        <v/>
      </c>
      <c r="G126" s="66" t="str">
        <f aca="false">IF(121&gt;'🌱 Configuração'!$F$55,"",IF(AND('🌱 Configuração'!$B$56+120&gt;='🌱 Configuração'!$C$56,'🌱 Configuração'!$B$56+120&lt;'🌱 Configuração'!$D$56,MOD('🌱 Configuração'!$B$56+120-'🌱 Configuração'!$C$56,7)=0),"🐛 MIP — ver aba MIP para aplicação desta semana",IF(AND('🌱 Configuração'!$B$56+120&gt;='🌱 Configuração'!$D$56,MOD('🌱 Configuração'!$B$56+120-'🌱 Configuração'!$D$56,7)=0),"🐛 MIP solo — ver aba MIP (sem foliar em flora)","")))</f>
        <v/>
      </c>
    </row>
    <row r="127" customFormat="false" ht="18" hidden="false" customHeight="true" outlineLevel="0" collapsed="false">
      <c r="B127" s="67" t="n">
        <f aca="false">IF(122&lt;='🌱 Configuração'!$F$55,122,"")</f>
        <v>122</v>
      </c>
      <c r="C127" s="68" t="n">
        <f aca="false">IF(122&lt;='🌱 Configuração'!$F$55,'🌱 Configuração'!$B$56+121,"")</f>
        <v>121</v>
      </c>
      <c r="D127" s="69" t="str">
        <f aca="false">IF(122&gt;'🌱 Configuração'!$F$55,"",IF('🌱 Configuração'!$B$56+121&lt;'🌱 Configuração'!$C$56,"🌱 Clone",IF('🌱 Configuração'!$B$56+121&lt;'🌱 Configuração'!$D$56,"🌿 Vegetativo",IF('🌱 Configuração'!$B$56+121&lt;'🌱 Configuração'!$E$56,"🌸 Floração","🚿 Flush"))))</f>
        <v>🚿 Flush</v>
      </c>
      <c r="E127" s="70" t="str">
        <f aca="false">IF(122&gt;'🌱 Configuração'!$F$55,"",IF('🌱 Configuração'!$B$56+121&lt;'🌱 Configuração'!$C$56,"Clone S"&amp;INT((122-1)/7)+1,IF('🌱 Configuração'!$B$56+121&lt;'🌱 Configuração'!$D$56,"Vega S"&amp;INT(('🌱 Configuração'!$B$56+121-'🌱 Configuração'!$C$56)/7)+1,IF('🌱 Configuração'!$B$56+121&lt;'🌱 Configuração'!$E$56,"Flora S"&amp;INT(('🌱 Configuração'!$B$56+121-'🌱 Configuração'!$D$56)/7)+1,"Flush S"&amp;INT(('🌱 Configuração'!$B$56+121-'🌱 Configuração'!$E$56)/7)+1))))</f>
        <v>Flush S1</v>
      </c>
      <c r="F127" s="13" t="str">
        <f aca="false">IF(122&gt;'🌱 Configuração'!$F$55,"",IF('🌱 Configuração'!$B$56+121='🌱 Configuração'!$C$56,"🌿 INÍCIO VEGA — luz 18h/dia",IF('🌱 Configuração'!$B$56+121='🌱 Configuração'!$D$56,"🌸 INÍCIO FLORAÇÃO — mudar 12/12 🔴",IF('🌱 Configuração'!$B$56+121='🌱 Configuração'!$E$56,"🚿 INÍCIO FLUSH — parar nutrição",IF('🌱 Configuração'!$B$56+121='🌱 Configuração'!$F$56-1,"🔬 Véspera da colheita — analisar tricomas",IF('🌱 Configuração'!$B$56+121='🌱 Configuração'!$F$56,"✂️ COLHEITA — Parabéns! 🎉",""))))))</f>
        <v/>
      </c>
      <c r="G127" s="71" t="str">
        <f aca="false">IF(122&gt;'🌱 Configuração'!$F$55,"",IF(AND('🌱 Configuração'!$B$56+121&gt;='🌱 Configuração'!$C$56,'🌱 Configuração'!$B$56+121&lt;'🌱 Configuração'!$D$56,MOD('🌱 Configuração'!$B$56+121-'🌱 Configuração'!$C$56,7)=0),"🐛 MIP — ver aba MIP para aplicação desta semana",IF(AND('🌱 Configuração'!$B$56+121&gt;='🌱 Configuração'!$D$56,MOD('🌱 Configuração'!$B$56+121-'🌱 Configuração'!$D$56,7)=0),"🐛 MIP solo — ver aba MIP (sem foliar em flora)","")))</f>
        <v/>
      </c>
    </row>
    <row r="128" customFormat="false" ht="18" hidden="false" customHeight="true" outlineLevel="0" collapsed="false">
      <c r="B128" s="64" t="n">
        <f aca="false">IF(123&lt;='🌱 Configuração'!$F$55,123,"")</f>
        <v>123</v>
      </c>
      <c r="C128" s="41" t="n">
        <f aca="false">IF(123&lt;='🌱 Configuração'!$F$55,'🌱 Configuração'!$B$56+122,"")</f>
        <v>122</v>
      </c>
      <c r="D128" s="65" t="str">
        <f aca="false">IF(123&gt;'🌱 Configuração'!$F$55,"",IF('🌱 Configuração'!$B$56+122&lt;'🌱 Configuração'!$C$56,"🌱 Clone",IF('🌱 Configuração'!$B$56+122&lt;'🌱 Configuração'!$D$56,"🌿 Vegetativo",IF('🌱 Configuração'!$B$56+122&lt;'🌱 Configuração'!$E$56,"🌸 Floração","🚿 Flush"))))</f>
        <v>🚿 Flush</v>
      </c>
      <c r="E128" s="43" t="str">
        <f aca="false">IF(123&gt;'🌱 Configuração'!$F$55,"",IF('🌱 Configuração'!$B$56+122&lt;'🌱 Configuração'!$C$56,"Clone S"&amp;INT((123-1)/7)+1,IF('🌱 Configuração'!$B$56+122&lt;'🌱 Configuração'!$D$56,"Vega S"&amp;INT(('🌱 Configuração'!$B$56+122-'🌱 Configuração'!$C$56)/7)+1,IF('🌱 Configuração'!$B$56+122&lt;'🌱 Configuração'!$E$56,"Flora S"&amp;INT(('🌱 Configuração'!$B$56+122-'🌱 Configuração'!$D$56)/7)+1,"Flush S"&amp;INT(('🌱 Configuração'!$B$56+122-'🌱 Configuração'!$E$56)/7)+1))))</f>
        <v>Flush S1</v>
      </c>
      <c r="F128" s="42" t="str">
        <f aca="false">IF(123&gt;'🌱 Configuração'!$F$55,"",IF('🌱 Configuração'!$B$56+122='🌱 Configuração'!$C$56,"🌿 INÍCIO VEGA — luz 18h/dia",IF('🌱 Configuração'!$B$56+122='🌱 Configuração'!$D$56,"🌸 INÍCIO FLORAÇÃO — mudar 12/12 🔴",IF('🌱 Configuração'!$B$56+122='🌱 Configuração'!$E$56,"🚿 INÍCIO FLUSH — parar nutrição",IF('🌱 Configuração'!$B$56+122='🌱 Configuração'!$F$56-1,"🔬 Véspera da colheita — analisar tricomas",IF('🌱 Configuração'!$B$56+122='🌱 Configuração'!$F$56,"✂️ COLHEITA — Parabéns! 🎉",""))))))</f>
        <v/>
      </c>
      <c r="G128" s="66" t="str">
        <f aca="false">IF(123&gt;'🌱 Configuração'!$F$55,"",IF(AND('🌱 Configuração'!$B$56+122&gt;='🌱 Configuração'!$C$56,'🌱 Configuração'!$B$56+122&lt;'🌱 Configuração'!$D$56,MOD('🌱 Configuração'!$B$56+122-'🌱 Configuração'!$C$56,7)=0),"🐛 MIP — ver aba MIP para aplicação desta semana",IF(AND('🌱 Configuração'!$B$56+122&gt;='🌱 Configuração'!$D$56,MOD('🌱 Configuração'!$B$56+122-'🌱 Configuração'!$D$56,7)=0),"🐛 MIP solo — ver aba MIP (sem foliar em flora)","")))</f>
        <v/>
      </c>
    </row>
    <row r="129" customFormat="false" ht="18" hidden="false" customHeight="true" outlineLevel="0" collapsed="false">
      <c r="B129" s="67" t="n">
        <f aca="false">IF(124&lt;='🌱 Configuração'!$F$55,124,"")</f>
        <v>124</v>
      </c>
      <c r="C129" s="68" t="n">
        <f aca="false">IF(124&lt;='🌱 Configuração'!$F$55,'🌱 Configuração'!$B$56+123,"")</f>
        <v>123</v>
      </c>
      <c r="D129" s="69" t="str">
        <f aca="false">IF(124&gt;'🌱 Configuração'!$F$55,"",IF('🌱 Configuração'!$B$56+123&lt;'🌱 Configuração'!$C$56,"🌱 Clone",IF('🌱 Configuração'!$B$56+123&lt;'🌱 Configuração'!$D$56,"🌿 Vegetativo",IF('🌱 Configuração'!$B$56+123&lt;'🌱 Configuração'!$E$56,"🌸 Floração","🚿 Flush"))))</f>
        <v>🚿 Flush</v>
      </c>
      <c r="E129" s="70" t="str">
        <f aca="false">IF(124&gt;'🌱 Configuração'!$F$55,"",IF('🌱 Configuração'!$B$56+123&lt;'🌱 Configuração'!$C$56,"Clone S"&amp;INT((124-1)/7)+1,IF('🌱 Configuração'!$B$56+123&lt;'🌱 Configuração'!$D$56,"Vega S"&amp;INT(('🌱 Configuração'!$B$56+123-'🌱 Configuração'!$C$56)/7)+1,IF('🌱 Configuração'!$B$56+123&lt;'🌱 Configuração'!$E$56,"Flora S"&amp;INT(('🌱 Configuração'!$B$56+123-'🌱 Configuração'!$D$56)/7)+1,"Flush S"&amp;INT(('🌱 Configuração'!$B$56+123-'🌱 Configuração'!$E$56)/7)+1))))</f>
        <v>Flush S1</v>
      </c>
      <c r="F129" s="13" t="str">
        <f aca="false">IF(124&gt;'🌱 Configuração'!$F$55,"",IF('🌱 Configuração'!$B$56+123='🌱 Configuração'!$C$56,"🌿 INÍCIO VEGA — luz 18h/dia",IF('🌱 Configuração'!$B$56+123='🌱 Configuração'!$D$56,"🌸 INÍCIO FLORAÇÃO — mudar 12/12 🔴",IF('🌱 Configuração'!$B$56+123='🌱 Configuração'!$E$56,"🚿 INÍCIO FLUSH — parar nutrição",IF('🌱 Configuração'!$B$56+123='🌱 Configuração'!$F$56-1,"🔬 Véspera da colheita — analisar tricomas",IF('🌱 Configuração'!$B$56+123='🌱 Configuração'!$F$56,"✂️ COLHEITA — Parabéns! 🎉",""))))))</f>
        <v/>
      </c>
      <c r="G129" s="71" t="str">
        <f aca="false">IF(124&gt;'🌱 Configuração'!$F$55,"",IF(AND('🌱 Configuração'!$B$56+123&gt;='🌱 Configuração'!$C$56,'🌱 Configuração'!$B$56+123&lt;'🌱 Configuração'!$D$56,MOD('🌱 Configuração'!$B$56+123-'🌱 Configuração'!$C$56,7)=0),"🐛 MIP — ver aba MIP para aplicação desta semana",IF(AND('🌱 Configuração'!$B$56+123&gt;='🌱 Configuração'!$D$56,MOD('🌱 Configuração'!$B$56+123-'🌱 Configuração'!$D$56,7)=0),"🐛 MIP solo — ver aba MIP (sem foliar em flora)","")))</f>
        <v/>
      </c>
    </row>
    <row r="130" customFormat="false" ht="18" hidden="false" customHeight="true" outlineLevel="0" collapsed="false">
      <c r="B130" s="64" t="n">
        <f aca="false">IF(125&lt;='🌱 Configuração'!$F$55,125,"")</f>
        <v>125</v>
      </c>
      <c r="C130" s="41" t="n">
        <f aca="false">IF(125&lt;='🌱 Configuração'!$F$55,'🌱 Configuração'!$B$56+124,"")</f>
        <v>124</v>
      </c>
      <c r="D130" s="65" t="str">
        <f aca="false">IF(125&gt;'🌱 Configuração'!$F$55,"",IF('🌱 Configuração'!$B$56+124&lt;'🌱 Configuração'!$C$56,"🌱 Clone",IF('🌱 Configuração'!$B$56+124&lt;'🌱 Configuração'!$D$56,"🌿 Vegetativo",IF('🌱 Configuração'!$B$56+124&lt;'🌱 Configuração'!$E$56,"🌸 Floração","🚿 Flush"))))</f>
        <v>🚿 Flush</v>
      </c>
      <c r="E130" s="43" t="str">
        <f aca="false">IF(125&gt;'🌱 Configuração'!$F$55,"",IF('🌱 Configuração'!$B$56+124&lt;'🌱 Configuração'!$C$56,"Clone S"&amp;INT((125-1)/7)+1,IF('🌱 Configuração'!$B$56+124&lt;'🌱 Configuração'!$D$56,"Vega S"&amp;INT(('🌱 Configuração'!$B$56+124-'🌱 Configuração'!$C$56)/7)+1,IF('🌱 Configuração'!$B$56+124&lt;'🌱 Configuração'!$E$56,"Flora S"&amp;INT(('🌱 Configuração'!$B$56+124-'🌱 Configuração'!$D$56)/7)+1,"Flush S"&amp;INT(('🌱 Configuração'!$B$56+124-'🌱 Configuração'!$E$56)/7)+1))))</f>
        <v>Flush S1</v>
      </c>
      <c r="F130" s="42" t="str">
        <f aca="false">IF(125&gt;'🌱 Configuração'!$F$55,"",IF('🌱 Configuração'!$B$56+124='🌱 Configuração'!$C$56,"🌿 INÍCIO VEGA — luz 18h/dia",IF('🌱 Configuração'!$B$56+124='🌱 Configuração'!$D$56,"🌸 INÍCIO FLORAÇÃO — mudar 12/12 🔴",IF('🌱 Configuração'!$B$56+124='🌱 Configuração'!$E$56,"🚿 INÍCIO FLUSH — parar nutrição",IF('🌱 Configuração'!$B$56+124='🌱 Configuração'!$F$56-1,"🔬 Véspera da colheita — analisar tricomas",IF('🌱 Configuração'!$B$56+124='🌱 Configuração'!$F$56,"✂️ COLHEITA — Parabéns! 🎉",""))))))</f>
        <v/>
      </c>
      <c r="G130" s="66" t="str">
        <f aca="false">IF(125&gt;'🌱 Configuração'!$F$55,"",IF(AND('🌱 Configuração'!$B$56+124&gt;='🌱 Configuração'!$C$56,'🌱 Configuração'!$B$56+124&lt;'🌱 Configuração'!$D$56,MOD('🌱 Configuração'!$B$56+124-'🌱 Configuração'!$C$56,7)=0),"🐛 MIP — ver aba MIP para aplicação desta semana",IF(AND('🌱 Configuração'!$B$56+124&gt;='🌱 Configuração'!$D$56,MOD('🌱 Configuração'!$B$56+124-'🌱 Configuração'!$D$56,7)=0),"🐛 MIP solo — ver aba MIP (sem foliar em flora)","")))</f>
        <v/>
      </c>
    </row>
    <row r="131" customFormat="false" ht="18" hidden="false" customHeight="true" outlineLevel="0" collapsed="false">
      <c r="B131" s="67" t="n">
        <f aca="false">IF(126&lt;='🌱 Configuração'!$F$55,126,"")</f>
        <v>126</v>
      </c>
      <c r="C131" s="68" t="n">
        <f aca="false">IF(126&lt;='🌱 Configuração'!$F$55,'🌱 Configuração'!$B$56+125,"")</f>
        <v>125</v>
      </c>
      <c r="D131" s="69" t="str">
        <f aca="false">IF(126&gt;'🌱 Configuração'!$F$55,"",IF('🌱 Configuração'!$B$56+125&lt;'🌱 Configuração'!$C$56,"🌱 Clone",IF('🌱 Configuração'!$B$56+125&lt;'🌱 Configuração'!$D$56,"🌿 Vegetativo",IF('🌱 Configuração'!$B$56+125&lt;'🌱 Configuração'!$E$56,"🌸 Floração","🚿 Flush"))))</f>
        <v>🚿 Flush</v>
      </c>
      <c r="E131" s="70" t="str">
        <f aca="false">IF(126&gt;'🌱 Configuração'!$F$55,"",IF('🌱 Configuração'!$B$56+125&lt;'🌱 Configuração'!$C$56,"Clone S"&amp;INT((126-1)/7)+1,IF('🌱 Configuração'!$B$56+125&lt;'🌱 Configuração'!$D$56,"Vega S"&amp;INT(('🌱 Configuração'!$B$56+125-'🌱 Configuração'!$C$56)/7)+1,IF('🌱 Configuração'!$B$56+125&lt;'🌱 Configuração'!$E$56,"Flora S"&amp;INT(('🌱 Configuração'!$B$56+125-'🌱 Configuração'!$D$56)/7)+1,"Flush S"&amp;INT(('🌱 Configuração'!$B$56+125-'🌱 Configuração'!$E$56)/7)+1))))</f>
        <v>Flush S1</v>
      </c>
      <c r="F131" s="13" t="str">
        <f aca="false">IF(126&gt;'🌱 Configuração'!$F$55,"",IF('🌱 Configuração'!$B$56+125='🌱 Configuração'!$C$56,"🌿 INÍCIO VEGA — luz 18h/dia",IF('🌱 Configuração'!$B$56+125='🌱 Configuração'!$D$56,"🌸 INÍCIO FLORAÇÃO — mudar 12/12 🔴",IF('🌱 Configuração'!$B$56+125='🌱 Configuração'!$E$56,"🚿 INÍCIO FLUSH — parar nutrição",IF('🌱 Configuração'!$B$56+125='🌱 Configuração'!$F$56-1,"🔬 Véspera da colheita — analisar tricomas",IF('🌱 Configuração'!$B$56+125='🌱 Configuração'!$F$56,"✂️ COLHEITA — Parabéns! 🎉",""))))))</f>
        <v>🔬 Véspera da colheita — analisar tricomas</v>
      </c>
      <c r="G131" s="71" t="str">
        <f aca="false">IF(126&gt;'🌱 Configuração'!$F$55,"",IF(AND('🌱 Configuração'!$B$56+125&gt;='🌱 Configuração'!$C$56,'🌱 Configuração'!$B$56+125&lt;'🌱 Configuração'!$D$56,MOD('🌱 Configuração'!$B$56+125-'🌱 Configuração'!$C$56,7)=0),"🐛 MIP — ver aba MIP para aplicação desta semana",IF(AND('🌱 Configuração'!$B$56+125&gt;='🌱 Configuração'!$D$56,MOD('🌱 Configuração'!$B$56+125-'🌱 Configuração'!$D$56,7)=0),"🐛 MIP solo — ver aba MIP (sem foliar em flora)","")))</f>
        <v/>
      </c>
    </row>
    <row r="132" customFormat="false" ht="18" hidden="false" customHeight="true" outlineLevel="0" collapsed="false">
      <c r="B132" s="64" t="str">
        <f aca="false">IF(127&lt;='🌱 Configuração'!$F$55,127,"")</f>
        <v/>
      </c>
      <c r="C132" s="41" t="str">
        <f aca="false">IF(127&lt;='🌱 Configuração'!$F$55,'🌱 Configuração'!$B$56+126,"")</f>
        <v/>
      </c>
      <c r="D132" s="65" t="str">
        <f aca="false">IF(127&gt;'🌱 Configuração'!$F$55,"",IF('🌱 Configuração'!$B$56+126&lt;'🌱 Configuração'!$C$56,"🌱 Clone",IF('🌱 Configuração'!$B$56+126&lt;'🌱 Configuração'!$D$56,"🌿 Vegetativo",IF('🌱 Configuração'!$B$56+126&lt;'🌱 Configuração'!$E$56,"🌸 Floração","🚿 Flush"))))</f>
        <v/>
      </c>
      <c r="E132" s="43" t="str">
        <f aca="false">IF(127&gt;'🌱 Configuração'!$F$55,"",IF('🌱 Configuração'!$B$56+126&lt;'🌱 Configuração'!$C$56,"Clone S"&amp;INT((127-1)/7)+1,IF('🌱 Configuração'!$B$56+126&lt;'🌱 Configuração'!$D$56,"Vega S"&amp;INT(('🌱 Configuração'!$B$56+126-'🌱 Configuração'!$C$56)/7)+1,IF('🌱 Configuração'!$B$56+126&lt;'🌱 Configuração'!$E$56,"Flora S"&amp;INT(('🌱 Configuração'!$B$56+126-'🌱 Configuração'!$D$56)/7)+1,"Flush S"&amp;INT(('🌱 Configuração'!$B$56+126-'🌱 Configuração'!$E$56)/7)+1))))</f>
        <v/>
      </c>
      <c r="F132" s="42" t="str">
        <f aca="false">IF(127&gt;'🌱 Configuração'!$F$55,"",IF('🌱 Configuração'!$B$56+126='🌱 Configuração'!$C$56,"🌿 INÍCIO VEGA — luz 18h/dia",IF('🌱 Configuração'!$B$56+126='🌱 Configuração'!$D$56,"🌸 INÍCIO FLORAÇÃO — mudar 12/12 🔴",IF('🌱 Configuração'!$B$56+126='🌱 Configuração'!$E$56,"🚿 INÍCIO FLUSH — parar nutrição",IF('🌱 Configuração'!$B$56+126='🌱 Configuração'!$F$56-1,"🔬 Véspera da colheita — analisar tricomas",IF('🌱 Configuração'!$B$56+126='🌱 Configuração'!$F$56,"✂️ COLHEITA — Parabéns! 🎉",""))))))</f>
        <v/>
      </c>
      <c r="G132" s="66" t="str">
        <f aca="false">IF(127&gt;'🌱 Configuração'!$F$55,"",IF(AND('🌱 Configuração'!$B$56+126&gt;='🌱 Configuração'!$C$56,'🌱 Configuração'!$B$56+126&lt;'🌱 Configuração'!$D$56,MOD('🌱 Configuração'!$B$56+126-'🌱 Configuração'!$C$56,7)=0),"🐛 MIP — ver aba MIP para aplicação desta semana",IF(AND('🌱 Configuração'!$B$56+126&gt;='🌱 Configuração'!$D$56,MOD('🌱 Configuração'!$B$56+126-'🌱 Configuração'!$D$56,7)=0),"🐛 MIP solo — ver aba MIP (sem foliar em flora)","")))</f>
        <v/>
      </c>
    </row>
    <row r="133" customFormat="false" ht="18" hidden="false" customHeight="true" outlineLevel="0" collapsed="false">
      <c r="B133" s="67" t="str">
        <f aca="false">IF(128&lt;='🌱 Configuração'!$F$55,128,"")</f>
        <v/>
      </c>
      <c r="C133" s="68" t="str">
        <f aca="false">IF(128&lt;='🌱 Configuração'!$F$55,'🌱 Configuração'!$B$56+127,"")</f>
        <v/>
      </c>
      <c r="D133" s="69" t="str">
        <f aca="false">IF(128&gt;'🌱 Configuração'!$F$55,"",IF('🌱 Configuração'!$B$56+127&lt;'🌱 Configuração'!$C$56,"🌱 Clone",IF('🌱 Configuração'!$B$56+127&lt;'🌱 Configuração'!$D$56,"🌿 Vegetativo",IF('🌱 Configuração'!$B$56+127&lt;'🌱 Configuração'!$E$56,"🌸 Floração","🚿 Flush"))))</f>
        <v/>
      </c>
      <c r="E133" s="70" t="str">
        <f aca="false">IF(128&gt;'🌱 Configuração'!$F$55,"",IF('🌱 Configuração'!$B$56+127&lt;'🌱 Configuração'!$C$56,"Clone S"&amp;INT((128-1)/7)+1,IF('🌱 Configuração'!$B$56+127&lt;'🌱 Configuração'!$D$56,"Vega S"&amp;INT(('🌱 Configuração'!$B$56+127-'🌱 Configuração'!$C$56)/7)+1,IF('🌱 Configuração'!$B$56+127&lt;'🌱 Configuração'!$E$56,"Flora S"&amp;INT(('🌱 Configuração'!$B$56+127-'🌱 Configuração'!$D$56)/7)+1,"Flush S"&amp;INT(('🌱 Configuração'!$B$56+127-'🌱 Configuração'!$E$56)/7)+1))))</f>
        <v/>
      </c>
      <c r="F133" s="13" t="str">
        <f aca="false">IF(128&gt;'🌱 Configuração'!$F$55,"",IF('🌱 Configuração'!$B$56+127='🌱 Configuração'!$C$56,"🌿 INÍCIO VEGA — luz 18h/dia",IF('🌱 Configuração'!$B$56+127='🌱 Configuração'!$D$56,"🌸 INÍCIO FLORAÇÃO — mudar 12/12 🔴",IF('🌱 Configuração'!$B$56+127='🌱 Configuração'!$E$56,"🚿 INÍCIO FLUSH — parar nutrição",IF('🌱 Configuração'!$B$56+127='🌱 Configuração'!$F$56-1,"🔬 Véspera da colheita — analisar tricomas",IF('🌱 Configuração'!$B$56+127='🌱 Configuração'!$F$56,"✂️ COLHEITA — Parabéns! 🎉",""))))))</f>
        <v/>
      </c>
      <c r="G133" s="71" t="str">
        <f aca="false">IF(128&gt;'🌱 Configuração'!$F$55,"",IF(AND('🌱 Configuração'!$B$56+127&gt;='🌱 Configuração'!$C$56,'🌱 Configuração'!$B$56+127&lt;'🌱 Configuração'!$D$56,MOD('🌱 Configuração'!$B$56+127-'🌱 Configuração'!$C$56,7)=0),"🐛 MIP — ver aba MIP para aplicação desta semana",IF(AND('🌱 Configuração'!$B$56+127&gt;='🌱 Configuração'!$D$56,MOD('🌱 Configuração'!$B$56+127-'🌱 Configuração'!$D$56,7)=0),"🐛 MIP solo — ver aba MIP (sem foliar em flora)","")))</f>
        <v/>
      </c>
    </row>
    <row r="134" customFormat="false" ht="18" hidden="false" customHeight="true" outlineLevel="0" collapsed="false">
      <c r="B134" s="64" t="str">
        <f aca="false">IF(129&lt;='🌱 Configuração'!$F$55,129,"")</f>
        <v/>
      </c>
      <c r="C134" s="41" t="str">
        <f aca="false">IF(129&lt;='🌱 Configuração'!$F$55,'🌱 Configuração'!$B$56+128,"")</f>
        <v/>
      </c>
      <c r="D134" s="65" t="str">
        <f aca="false">IF(129&gt;'🌱 Configuração'!$F$55,"",IF('🌱 Configuração'!$B$56+128&lt;'🌱 Configuração'!$C$56,"🌱 Clone",IF('🌱 Configuração'!$B$56+128&lt;'🌱 Configuração'!$D$56,"🌿 Vegetativo",IF('🌱 Configuração'!$B$56+128&lt;'🌱 Configuração'!$E$56,"🌸 Floração","🚿 Flush"))))</f>
        <v/>
      </c>
      <c r="E134" s="43" t="str">
        <f aca="false">IF(129&gt;'🌱 Configuração'!$F$55,"",IF('🌱 Configuração'!$B$56+128&lt;'🌱 Configuração'!$C$56,"Clone S"&amp;INT((129-1)/7)+1,IF('🌱 Configuração'!$B$56+128&lt;'🌱 Configuração'!$D$56,"Vega S"&amp;INT(('🌱 Configuração'!$B$56+128-'🌱 Configuração'!$C$56)/7)+1,IF('🌱 Configuração'!$B$56+128&lt;'🌱 Configuração'!$E$56,"Flora S"&amp;INT(('🌱 Configuração'!$B$56+128-'🌱 Configuração'!$D$56)/7)+1,"Flush S"&amp;INT(('🌱 Configuração'!$B$56+128-'🌱 Configuração'!$E$56)/7)+1))))</f>
        <v/>
      </c>
      <c r="F134" s="42" t="str">
        <f aca="false">IF(129&gt;'🌱 Configuração'!$F$55,"",IF('🌱 Configuração'!$B$56+128='🌱 Configuração'!$C$56,"🌿 INÍCIO VEGA — luz 18h/dia",IF('🌱 Configuração'!$B$56+128='🌱 Configuração'!$D$56,"🌸 INÍCIO FLORAÇÃO — mudar 12/12 🔴",IF('🌱 Configuração'!$B$56+128='🌱 Configuração'!$E$56,"🚿 INÍCIO FLUSH — parar nutrição",IF('🌱 Configuração'!$B$56+128='🌱 Configuração'!$F$56-1,"🔬 Véspera da colheita — analisar tricomas",IF('🌱 Configuração'!$B$56+128='🌱 Configuração'!$F$56,"✂️ COLHEITA — Parabéns! 🎉",""))))))</f>
        <v/>
      </c>
      <c r="G134" s="66" t="str">
        <f aca="false">IF(129&gt;'🌱 Configuração'!$F$55,"",IF(AND('🌱 Configuração'!$B$56+128&gt;='🌱 Configuração'!$C$56,'🌱 Configuração'!$B$56+128&lt;'🌱 Configuração'!$D$56,MOD('🌱 Configuração'!$B$56+128-'🌱 Configuração'!$C$56,7)=0),"🐛 MIP — ver aba MIP para aplicação desta semana",IF(AND('🌱 Configuração'!$B$56+128&gt;='🌱 Configuração'!$D$56,MOD('🌱 Configuração'!$B$56+128-'🌱 Configuração'!$D$56,7)=0),"🐛 MIP solo — ver aba MIP (sem foliar em flora)","")))</f>
        <v/>
      </c>
    </row>
    <row r="135" customFormat="false" ht="18" hidden="false" customHeight="true" outlineLevel="0" collapsed="false">
      <c r="B135" s="67" t="str">
        <f aca="false">IF(130&lt;='🌱 Configuração'!$F$55,130,"")</f>
        <v/>
      </c>
      <c r="C135" s="68" t="str">
        <f aca="false">IF(130&lt;='🌱 Configuração'!$F$55,'🌱 Configuração'!$B$56+129,"")</f>
        <v/>
      </c>
      <c r="D135" s="69" t="str">
        <f aca="false">IF(130&gt;'🌱 Configuração'!$F$55,"",IF('🌱 Configuração'!$B$56+129&lt;'🌱 Configuração'!$C$56,"🌱 Clone",IF('🌱 Configuração'!$B$56+129&lt;'🌱 Configuração'!$D$56,"🌿 Vegetativo",IF('🌱 Configuração'!$B$56+129&lt;'🌱 Configuração'!$E$56,"🌸 Floração","🚿 Flush"))))</f>
        <v/>
      </c>
      <c r="E135" s="70" t="str">
        <f aca="false">IF(130&gt;'🌱 Configuração'!$F$55,"",IF('🌱 Configuração'!$B$56+129&lt;'🌱 Configuração'!$C$56,"Clone S"&amp;INT((130-1)/7)+1,IF('🌱 Configuração'!$B$56+129&lt;'🌱 Configuração'!$D$56,"Vega S"&amp;INT(('🌱 Configuração'!$B$56+129-'🌱 Configuração'!$C$56)/7)+1,IF('🌱 Configuração'!$B$56+129&lt;'🌱 Configuração'!$E$56,"Flora S"&amp;INT(('🌱 Configuração'!$B$56+129-'🌱 Configuração'!$D$56)/7)+1,"Flush S"&amp;INT(('🌱 Configuração'!$B$56+129-'🌱 Configuração'!$E$56)/7)+1))))</f>
        <v/>
      </c>
      <c r="F135" s="13" t="str">
        <f aca="false">IF(130&gt;'🌱 Configuração'!$F$55,"",IF('🌱 Configuração'!$B$56+129='🌱 Configuração'!$C$56,"🌿 INÍCIO VEGA — luz 18h/dia",IF('🌱 Configuração'!$B$56+129='🌱 Configuração'!$D$56,"🌸 INÍCIO FLORAÇÃO — mudar 12/12 🔴",IF('🌱 Configuração'!$B$56+129='🌱 Configuração'!$E$56,"🚿 INÍCIO FLUSH — parar nutrição",IF('🌱 Configuração'!$B$56+129='🌱 Configuração'!$F$56-1,"🔬 Véspera da colheita — analisar tricomas",IF('🌱 Configuração'!$B$56+129='🌱 Configuração'!$F$56,"✂️ COLHEITA — Parabéns! 🎉",""))))))</f>
        <v/>
      </c>
      <c r="G135" s="71" t="str">
        <f aca="false">IF(130&gt;'🌱 Configuração'!$F$55,"",IF(AND('🌱 Configuração'!$B$56+129&gt;='🌱 Configuração'!$C$56,'🌱 Configuração'!$B$56+129&lt;'🌱 Configuração'!$D$56,MOD('🌱 Configuração'!$B$56+129-'🌱 Configuração'!$C$56,7)=0),"🐛 MIP — ver aba MIP para aplicação desta semana",IF(AND('🌱 Configuração'!$B$56+129&gt;='🌱 Configuração'!$D$56,MOD('🌱 Configuração'!$B$56+129-'🌱 Configuração'!$D$56,7)=0),"🐛 MIP solo — ver aba MIP (sem foliar em flora)","")))</f>
        <v/>
      </c>
    </row>
    <row r="136" customFormat="false" ht="18" hidden="false" customHeight="true" outlineLevel="0" collapsed="false">
      <c r="B136" s="64" t="str">
        <f aca="false">IF(131&lt;='🌱 Configuração'!$F$55,131,"")</f>
        <v/>
      </c>
      <c r="C136" s="41" t="str">
        <f aca="false">IF(131&lt;='🌱 Configuração'!$F$55,'🌱 Configuração'!$B$56+130,"")</f>
        <v/>
      </c>
      <c r="D136" s="65" t="str">
        <f aca="false">IF(131&gt;'🌱 Configuração'!$F$55,"",IF('🌱 Configuração'!$B$56+130&lt;'🌱 Configuração'!$C$56,"🌱 Clone",IF('🌱 Configuração'!$B$56+130&lt;'🌱 Configuração'!$D$56,"🌿 Vegetativo",IF('🌱 Configuração'!$B$56+130&lt;'🌱 Configuração'!$E$56,"🌸 Floração","🚿 Flush"))))</f>
        <v/>
      </c>
      <c r="E136" s="43" t="str">
        <f aca="false">IF(131&gt;'🌱 Configuração'!$F$55,"",IF('🌱 Configuração'!$B$56+130&lt;'🌱 Configuração'!$C$56,"Clone S"&amp;INT((131-1)/7)+1,IF('🌱 Configuração'!$B$56+130&lt;'🌱 Configuração'!$D$56,"Vega S"&amp;INT(('🌱 Configuração'!$B$56+130-'🌱 Configuração'!$C$56)/7)+1,IF('🌱 Configuração'!$B$56+130&lt;'🌱 Configuração'!$E$56,"Flora S"&amp;INT(('🌱 Configuração'!$B$56+130-'🌱 Configuração'!$D$56)/7)+1,"Flush S"&amp;INT(('🌱 Configuração'!$B$56+130-'🌱 Configuração'!$E$56)/7)+1))))</f>
        <v/>
      </c>
      <c r="F136" s="42" t="str">
        <f aca="false">IF(131&gt;'🌱 Configuração'!$F$55,"",IF('🌱 Configuração'!$B$56+130='🌱 Configuração'!$C$56,"🌿 INÍCIO VEGA — luz 18h/dia",IF('🌱 Configuração'!$B$56+130='🌱 Configuração'!$D$56,"🌸 INÍCIO FLORAÇÃO — mudar 12/12 🔴",IF('🌱 Configuração'!$B$56+130='🌱 Configuração'!$E$56,"🚿 INÍCIO FLUSH — parar nutrição",IF('🌱 Configuração'!$B$56+130='🌱 Configuração'!$F$56-1,"🔬 Véspera da colheita — analisar tricomas",IF('🌱 Configuração'!$B$56+130='🌱 Configuração'!$F$56,"✂️ COLHEITA — Parabéns! 🎉",""))))))</f>
        <v/>
      </c>
      <c r="G136" s="66" t="str">
        <f aca="false">IF(131&gt;'🌱 Configuração'!$F$55,"",IF(AND('🌱 Configuração'!$B$56+130&gt;='🌱 Configuração'!$C$56,'🌱 Configuração'!$B$56+130&lt;'🌱 Configuração'!$D$56,MOD('🌱 Configuração'!$B$56+130-'🌱 Configuração'!$C$56,7)=0),"🐛 MIP — ver aba MIP para aplicação desta semana",IF(AND('🌱 Configuração'!$B$56+130&gt;='🌱 Configuração'!$D$56,MOD('🌱 Configuração'!$B$56+130-'🌱 Configuração'!$D$56,7)=0),"🐛 MIP solo — ver aba MIP (sem foliar em flora)","")))</f>
        <v/>
      </c>
    </row>
    <row r="137" customFormat="false" ht="18" hidden="false" customHeight="true" outlineLevel="0" collapsed="false">
      <c r="B137" s="67" t="str">
        <f aca="false">IF(132&lt;='🌱 Configuração'!$F$55,132,"")</f>
        <v/>
      </c>
      <c r="C137" s="68" t="str">
        <f aca="false">IF(132&lt;='🌱 Configuração'!$F$55,'🌱 Configuração'!$B$56+131,"")</f>
        <v/>
      </c>
      <c r="D137" s="69" t="str">
        <f aca="false">IF(132&gt;'🌱 Configuração'!$F$55,"",IF('🌱 Configuração'!$B$56+131&lt;'🌱 Configuração'!$C$56,"🌱 Clone",IF('🌱 Configuração'!$B$56+131&lt;'🌱 Configuração'!$D$56,"🌿 Vegetativo",IF('🌱 Configuração'!$B$56+131&lt;'🌱 Configuração'!$E$56,"🌸 Floração","🚿 Flush"))))</f>
        <v/>
      </c>
      <c r="E137" s="70" t="str">
        <f aca="false">IF(132&gt;'🌱 Configuração'!$F$55,"",IF('🌱 Configuração'!$B$56+131&lt;'🌱 Configuração'!$C$56,"Clone S"&amp;INT((132-1)/7)+1,IF('🌱 Configuração'!$B$56+131&lt;'🌱 Configuração'!$D$56,"Vega S"&amp;INT(('🌱 Configuração'!$B$56+131-'🌱 Configuração'!$C$56)/7)+1,IF('🌱 Configuração'!$B$56+131&lt;'🌱 Configuração'!$E$56,"Flora S"&amp;INT(('🌱 Configuração'!$B$56+131-'🌱 Configuração'!$D$56)/7)+1,"Flush S"&amp;INT(('🌱 Configuração'!$B$56+131-'🌱 Configuração'!$E$56)/7)+1))))</f>
        <v/>
      </c>
      <c r="F137" s="13" t="str">
        <f aca="false">IF(132&gt;'🌱 Configuração'!$F$55,"",IF('🌱 Configuração'!$B$56+131='🌱 Configuração'!$C$56,"🌿 INÍCIO VEGA — luz 18h/dia",IF('🌱 Configuração'!$B$56+131='🌱 Configuração'!$D$56,"🌸 INÍCIO FLORAÇÃO — mudar 12/12 🔴",IF('🌱 Configuração'!$B$56+131='🌱 Configuração'!$E$56,"🚿 INÍCIO FLUSH — parar nutrição",IF('🌱 Configuração'!$B$56+131='🌱 Configuração'!$F$56-1,"🔬 Véspera da colheita — analisar tricomas",IF('🌱 Configuração'!$B$56+131='🌱 Configuração'!$F$56,"✂️ COLHEITA — Parabéns! 🎉",""))))))</f>
        <v/>
      </c>
      <c r="G137" s="71" t="str">
        <f aca="false">IF(132&gt;'🌱 Configuração'!$F$55,"",IF(AND('🌱 Configuração'!$B$56+131&gt;='🌱 Configuração'!$C$56,'🌱 Configuração'!$B$56+131&lt;'🌱 Configuração'!$D$56,MOD('🌱 Configuração'!$B$56+131-'🌱 Configuração'!$C$56,7)=0),"🐛 MIP — ver aba MIP para aplicação desta semana",IF(AND('🌱 Configuração'!$B$56+131&gt;='🌱 Configuração'!$D$56,MOD('🌱 Configuração'!$B$56+131-'🌱 Configuração'!$D$56,7)=0),"🐛 MIP solo — ver aba MIP (sem foliar em flora)","")))</f>
        <v/>
      </c>
    </row>
    <row r="138" customFormat="false" ht="18" hidden="false" customHeight="true" outlineLevel="0" collapsed="false">
      <c r="B138" s="64" t="str">
        <f aca="false">IF(133&lt;='🌱 Configuração'!$F$55,133,"")</f>
        <v/>
      </c>
      <c r="C138" s="41" t="str">
        <f aca="false">IF(133&lt;='🌱 Configuração'!$F$55,'🌱 Configuração'!$B$56+132,"")</f>
        <v/>
      </c>
      <c r="D138" s="65" t="str">
        <f aca="false">IF(133&gt;'🌱 Configuração'!$F$55,"",IF('🌱 Configuração'!$B$56+132&lt;'🌱 Configuração'!$C$56,"🌱 Clone",IF('🌱 Configuração'!$B$56+132&lt;'🌱 Configuração'!$D$56,"🌿 Vegetativo",IF('🌱 Configuração'!$B$56+132&lt;'🌱 Configuração'!$E$56,"🌸 Floração","🚿 Flush"))))</f>
        <v/>
      </c>
      <c r="E138" s="43" t="str">
        <f aca="false">IF(133&gt;'🌱 Configuração'!$F$55,"",IF('🌱 Configuração'!$B$56+132&lt;'🌱 Configuração'!$C$56,"Clone S"&amp;INT((133-1)/7)+1,IF('🌱 Configuração'!$B$56+132&lt;'🌱 Configuração'!$D$56,"Vega S"&amp;INT(('🌱 Configuração'!$B$56+132-'🌱 Configuração'!$C$56)/7)+1,IF('🌱 Configuração'!$B$56+132&lt;'🌱 Configuração'!$E$56,"Flora S"&amp;INT(('🌱 Configuração'!$B$56+132-'🌱 Configuração'!$D$56)/7)+1,"Flush S"&amp;INT(('🌱 Configuração'!$B$56+132-'🌱 Configuração'!$E$56)/7)+1))))</f>
        <v/>
      </c>
      <c r="F138" s="42" t="str">
        <f aca="false">IF(133&gt;'🌱 Configuração'!$F$55,"",IF('🌱 Configuração'!$B$56+132='🌱 Configuração'!$C$56,"🌿 INÍCIO VEGA — luz 18h/dia",IF('🌱 Configuração'!$B$56+132='🌱 Configuração'!$D$56,"🌸 INÍCIO FLORAÇÃO — mudar 12/12 🔴",IF('🌱 Configuração'!$B$56+132='🌱 Configuração'!$E$56,"🚿 INÍCIO FLUSH — parar nutrição",IF('🌱 Configuração'!$B$56+132='🌱 Configuração'!$F$56-1,"🔬 Véspera da colheita — analisar tricomas",IF('🌱 Configuração'!$B$56+132='🌱 Configuração'!$F$56,"✂️ COLHEITA — Parabéns! 🎉",""))))))</f>
        <v/>
      </c>
      <c r="G138" s="66" t="str">
        <f aca="false">IF(133&gt;'🌱 Configuração'!$F$55,"",IF(AND('🌱 Configuração'!$B$56+132&gt;='🌱 Configuração'!$C$56,'🌱 Configuração'!$B$56+132&lt;'🌱 Configuração'!$D$56,MOD('🌱 Configuração'!$B$56+132-'🌱 Configuração'!$C$56,7)=0),"🐛 MIP — ver aba MIP para aplicação desta semana",IF(AND('🌱 Configuração'!$B$56+132&gt;='🌱 Configuração'!$D$56,MOD('🌱 Configuração'!$B$56+132-'🌱 Configuração'!$D$56,7)=0),"🐛 MIP solo — ver aba MIP (sem foliar em flora)","")))</f>
        <v/>
      </c>
    </row>
    <row r="139" customFormat="false" ht="18" hidden="false" customHeight="true" outlineLevel="0" collapsed="false">
      <c r="B139" s="67" t="str">
        <f aca="false">IF(134&lt;='🌱 Configuração'!$F$55,134,"")</f>
        <v/>
      </c>
      <c r="C139" s="68" t="str">
        <f aca="false">IF(134&lt;='🌱 Configuração'!$F$55,'🌱 Configuração'!$B$56+133,"")</f>
        <v/>
      </c>
      <c r="D139" s="69" t="str">
        <f aca="false">IF(134&gt;'🌱 Configuração'!$F$55,"",IF('🌱 Configuração'!$B$56+133&lt;'🌱 Configuração'!$C$56,"🌱 Clone",IF('🌱 Configuração'!$B$56+133&lt;'🌱 Configuração'!$D$56,"🌿 Vegetativo",IF('🌱 Configuração'!$B$56+133&lt;'🌱 Configuração'!$E$56,"🌸 Floração","🚿 Flush"))))</f>
        <v/>
      </c>
      <c r="E139" s="70" t="str">
        <f aca="false">IF(134&gt;'🌱 Configuração'!$F$55,"",IF('🌱 Configuração'!$B$56+133&lt;'🌱 Configuração'!$C$56,"Clone S"&amp;INT((134-1)/7)+1,IF('🌱 Configuração'!$B$56+133&lt;'🌱 Configuração'!$D$56,"Vega S"&amp;INT(('🌱 Configuração'!$B$56+133-'🌱 Configuração'!$C$56)/7)+1,IF('🌱 Configuração'!$B$56+133&lt;'🌱 Configuração'!$E$56,"Flora S"&amp;INT(('🌱 Configuração'!$B$56+133-'🌱 Configuração'!$D$56)/7)+1,"Flush S"&amp;INT(('🌱 Configuração'!$B$56+133-'🌱 Configuração'!$E$56)/7)+1))))</f>
        <v/>
      </c>
      <c r="F139" s="13" t="str">
        <f aca="false">IF(134&gt;'🌱 Configuração'!$F$55,"",IF('🌱 Configuração'!$B$56+133='🌱 Configuração'!$C$56,"🌿 INÍCIO VEGA — luz 18h/dia",IF('🌱 Configuração'!$B$56+133='🌱 Configuração'!$D$56,"🌸 INÍCIO FLORAÇÃO — mudar 12/12 🔴",IF('🌱 Configuração'!$B$56+133='🌱 Configuração'!$E$56,"🚿 INÍCIO FLUSH — parar nutrição",IF('🌱 Configuração'!$B$56+133='🌱 Configuração'!$F$56-1,"🔬 Véspera da colheita — analisar tricomas",IF('🌱 Configuração'!$B$56+133='🌱 Configuração'!$F$56,"✂️ COLHEITA — Parabéns! 🎉",""))))))</f>
        <v/>
      </c>
      <c r="G139" s="71" t="str">
        <f aca="false">IF(134&gt;'🌱 Configuração'!$F$55,"",IF(AND('🌱 Configuração'!$B$56+133&gt;='🌱 Configuração'!$C$56,'🌱 Configuração'!$B$56+133&lt;'🌱 Configuração'!$D$56,MOD('🌱 Configuração'!$B$56+133-'🌱 Configuração'!$C$56,7)=0),"🐛 MIP — ver aba MIP para aplicação desta semana",IF(AND('🌱 Configuração'!$B$56+133&gt;='🌱 Configuração'!$D$56,MOD('🌱 Configuração'!$B$56+133-'🌱 Configuração'!$D$56,7)=0),"🐛 MIP solo — ver aba MIP (sem foliar em flora)","")))</f>
        <v/>
      </c>
    </row>
    <row r="140" customFormat="false" ht="18" hidden="false" customHeight="true" outlineLevel="0" collapsed="false">
      <c r="B140" s="64" t="str">
        <f aca="false">IF(135&lt;='🌱 Configuração'!$F$55,135,"")</f>
        <v/>
      </c>
      <c r="C140" s="41" t="str">
        <f aca="false">IF(135&lt;='🌱 Configuração'!$F$55,'🌱 Configuração'!$B$56+134,"")</f>
        <v/>
      </c>
      <c r="D140" s="65" t="str">
        <f aca="false">IF(135&gt;'🌱 Configuração'!$F$55,"",IF('🌱 Configuração'!$B$56+134&lt;'🌱 Configuração'!$C$56,"🌱 Clone",IF('🌱 Configuração'!$B$56+134&lt;'🌱 Configuração'!$D$56,"🌿 Vegetativo",IF('🌱 Configuração'!$B$56+134&lt;'🌱 Configuração'!$E$56,"🌸 Floração","🚿 Flush"))))</f>
        <v/>
      </c>
      <c r="E140" s="43" t="str">
        <f aca="false">IF(135&gt;'🌱 Configuração'!$F$55,"",IF('🌱 Configuração'!$B$56+134&lt;'🌱 Configuração'!$C$56,"Clone S"&amp;INT((135-1)/7)+1,IF('🌱 Configuração'!$B$56+134&lt;'🌱 Configuração'!$D$56,"Vega S"&amp;INT(('🌱 Configuração'!$B$56+134-'🌱 Configuração'!$C$56)/7)+1,IF('🌱 Configuração'!$B$56+134&lt;'🌱 Configuração'!$E$56,"Flora S"&amp;INT(('🌱 Configuração'!$B$56+134-'🌱 Configuração'!$D$56)/7)+1,"Flush S"&amp;INT(('🌱 Configuração'!$B$56+134-'🌱 Configuração'!$E$56)/7)+1))))</f>
        <v/>
      </c>
      <c r="F140" s="42" t="str">
        <f aca="false">IF(135&gt;'🌱 Configuração'!$F$55,"",IF('🌱 Configuração'!$B$56+134='🌱 Configuração'!$C$56,"🌿 INÍCIO VEGA — luz 18h/dia",IF('🌱 Configuração'!$B$56+134='🌱 Configuração'!$D$56,"🌸 INÍCIO FLORAÇÃO — mudar 12/12 🔴",IF('🌱 Configuração'!$B$56+134='🌱 Configuração'!$E$56,"🚿 INÍCIO FLUSH — parar nutrição",IF('🌱 Configuração'!$B$56+134='🌱 Configuração'!$F$56-1,"🔬 Véspera da colheita — analisar tricomas",IF('🌱 Configuração'!$B$56+134='🌱 Configuração'!$F$56,"✂️ COLHEITA — Parabéns! 🎉",""))))))</f>
        <v/>
      </c>
      <c r="G140" s="66" t="str">
        <f aca="false">IF(135&gt;'🌱 Configuração'!$F$55,"",IF(AND('🌱 Configuração'!$B$56+134&gt;='🌱 Configuração'!$C$56,'🌱 Configuração'!$B$56+134&lt;'🌱 Configuração'!$D$56,MOD('🌱 Configuração'!$B$56+134-'🌱 Configuração'!$C$56,7)=0),"🐛 MIP — ver aba MIP para aplicação desta semana",IF(AND('🌱 Configuração'!$B$56+134&gt;='🌱 Configuração'!$D$56,MOD('🌱 Configuração'!$B$56+134-'🌱 Configuração'!$D$56,7)=0),"🐛 MIP solo — ver aba MIP (sem foliar em flora)","")))</f>
        <v/>
      </c>
    </row>
    <row r="141" customFormat="false" ht="18" hidden="false" customHeight="true" outlineLevel="0" collapsed="false">
      <c r="B141" s="67" t="str">
        <f aca="false">IF(136&lt;='🌱 Configuração'!$F$55,136,"")</f>
        <v/>
      </c>
      <c r="C141" s="68" t="str">
        <f aca="false">IF(136&lt;='🌱 Configuração'!$F$55,'🌱 Configuração'!$B$56+135,"")</f>
        <v/>
      </c>
      <c r="D141" s="69" t="str">
        <f aca="false">IF(136&gt;'🌱 Configuração'!$F$55,"",IF('🌱 Configuração'!$B$56+135&lt;'🌱 Configuração'!$C$56,"🌱 Clone",IF('🌱 Configuração'!$B$56+135&lt;'🌱 Configuração'!$D$56,"🌿 Vegetativo",IF('🌱 Configuração'!$B$56+135&lt;'🌱 Configuração'!$E$56,"🌸 Floração","🚿 Flush"))))</f>
        <v/>
      </c>
      <c r="E141" s="70" t="str">
        <f aca="false">IF(136&gt;'🌱 Configuração'!$F$55,"",IF('🌱 Configuração'!$B$56+135&lt;'🌱 Configuração'!$C$56,"Clone S"&amp;INT((136-1)/7)+1,IF('🌱 Configuração'!$B$56+135&lt;'🌱 Configuração'!$D$56,"Vega S"&amp;INT(('🌱 Configuração'!$B$56+135-'🌱 Configuração'!$C$56)/7)+1,IF('🌱 Configuração'!$B$56+135&lt;'🌱 Configuração'!$E$56,"Flora S"&amp;INT(('🌱 Configuração'!$B$56+135-'🌱 Configuração'!$D$56)/7)+1,"Flush S"&amp;INT(('🌱 Configuração'!$B$56+135-'🌱 Configuração'!$E$56)/7)+1))))</f>
        <v/>
      </c>
      <c r="F141" s="13" t="str">
        <f aca="false">IF(136&gt;'🌱 Configuração'!$F$55,"",IF('🌱 Configuração'!$B$56+135='🌱 Configuração'!$C$56,"🌿 INÍCIO VEGA — luz 18h/dia",IF('🌱 Configuração'!$B$56+135='🌱 Configuração'!$D$56,"🌸 INÍCIO FLORAÇÃO — mudar 12/12 🔴",IF('🌱 Configuração'!$B$56+135='🌱 Configuração'!$E$56,"🚿 INÍCIO FLUSH — parar nutrição",IF('🌱 Configuração'!$B$56+135='🌱 Configuração'!$F$56-1,"🔬 Véspera da colheita — analisar tricomas",IF('🌱 Configuração'!$B$56+135='🌱 Configuração'!$F$56,"✂️ COLHEITA — Parabéns! 🎉",""))))))</f>
        <v/>
      </c>
      <c r="G141" s="71" t="str">
        <f aca="false">IF(136&gt;'🌱 Configuração'!$F$55,"",IF(AND('🌱 Configuração'!$B$56+135&gt;='🌱 Configuração'!$C$56,'🌱 Configuração'!$B$56+135&lt;'🌱 Configuração'!$D$56,MOD('🌱 Configuração'!$B$56+135-'🌱 Configuração'!$C$56,7)=0),"🐛 MIP — ver aba MIP para aplicação desta semana",IF(AND('🌱 Configuração'!$B$56+135&gt;='🌱 Configuração'!$D$56,MOD('🌱 Configuração'!$B$56+135-'🌱 Configuração'!$D$56,7)=0),"🐛 MIP solo — ver aba MIP (sem foliar em flora)","")))</f>
        <v/>
      </c>
    </row>
    <row r="142" customFormat="false" ht="18" hidden="false" customHeight="true" outlineLevel="0" collapsed="false">
      <c r="B142" s="64" t="str">
        <f aca="false">IF(137&lt;='🌱 Configuração'!$F$55,137,"")</f>
        <v/>
      </c>
      <c r="C142" s="41" t="str">
        <f aca="false">IF(137&lt;='🌱 Configuração'!$F$55,'🌱 Configuração'!$B$56+136,"")</f>
        <v/>
      </c>
      <c r="D142" s="65" t="str">
        <f aca="false">IF(137&gt;'🌱 Configuração'!$F$55,"",IF('🌱 Configuração'!$B$56+136&lt;'🌱 Configuração'!$C$56,"🌱 Clone",IF('🌱 Configuração'!$B$56+136&lt;'🌱 Configuração'!$D$56,"🌿 Vegetativo",IF('🌱 Configuração'!$B$56+136&lt;'🌱 Configuração'!$E$56,"🌸 Floração","🚿 Flush"))))</f>
        <v/>
      </c>
      <c r="E142" s="43" t="str">
        <f aca="false">IF(137&gt;'🌱 Configuração'!$F$55,"",IF('🌱 Configuração'!$B$56+136&lt;'🌱 Configuração'!$C$56,"Clone S"&amp;INT((137-1)/7)+1,IF('🌱 Configuração'!$B$56+136&lt;'🌱 Configuração'!$D$56,"Vega S"&amp;INT(('🌱 Configuração'!$B$56+136-'🌱 Configuração'!$C$56)/7)+1,IF('🌱 Configuração'!$B$56+136&lt;'🌱 Configuração'!$E$56,"Flora S"&amp;INT(('🌱 Configuração'!$B$56+136-'🌱 Configuração'!$D$56)/7)+1,"Flush S"&amp;INT(('🌱 Configuração'!$B$56+136-'🌱 Configuração'!$E$56)/7)+1))))</f>
        <v/>
      </c>
      <c r="F142" s="42" t="str">
        <f aca="false">IF(137&gt;'🌱 Configuração'!$F$55,"",IF('🌱 Configuração'!$B$56+136='🌱 Configuração'!$C$56,"🌿 INÍCIO VEGA — luz 18h/dia",IF('🌱 Configuração'!$B$56+136='🌱 Configuração'!$D$56,"🌸 INÍCIO FLORAÇÃO — mudar 12/12 🔴",IF('🌱 Configuração'!$B$56+136='🌱 Configuração'!$E$56,"🚿 INÍCIO FLUSH — parar nutrição",IF('🌱 Configuração'!$B$56+136='🌱 Configuração'!$F$56-1,"🔬 Véspera da colheita — analisar tricomas",IF('🌱 Configuração'!$B$56+136='🌱 Configuração'!$F$56,"✂️ COLHEITA — Parabéns! 🎉",""))))))</f>
        <v/>
      </c>
      <c r="G142" s="66" t="str">
        <f aca="false">IF(137&gt;'🌱 Configuração'!$F$55,"",IF(AND('🌱 Configuração'!$B$56+136&gt;='🌱 Configuração'!$C$56,'🌱 Configuração'!$B$56+136&lt;'🌱 Configuração'!$D$56,MOD('🌱 Configuração'!$B$56+136-'🌱 Configuração'!$C$56,7)=0),"🐛 MIP — ver aba MIP para aplicação desta semana",IF(AND('🌱 Configuração'!$B$56+136&gt;='🌱 Configuração'!$D$56,MOD('🌱 Configuração'!$B$56+136-'🌱 Configuração'!$D$56,7)=0),"🐛 MIP solo — ver aba MIP (sem foliar em flora)","")))</f>
        <v/>
      </c>
    </row>
    <row r="143" customFormat="false" ht="18" hidden="false" customHeight="true" outlineLevel="0" collapsed="false">
      <c r="B143" s="67" t="str">
        <f aca="false">IF(138&lt;='🌱 Configuração'!$F$55,138,"")</f>
        <v/>
      </c>
      <c r="C143" s="68" t="str">
        <f aca="false">IF(138&lt;='🌱 Configuração'!$F$55,'🌱 Configuração'!$B$56+137,"")</f>
        <v/>
      </c>
      <c r="D143" s="69" t="str">
        <f aca="false">IF(138&gt;'🌱 Configuração'!$F$55,"",IF('🌱 Configuração'!$B$56+137&lt;'🌱 Configuração'!$C$56,"🌱 Clone",IF('🌱 Configuração'!$B$56+137&lt;'🌱 Configuração'!$D$56,"🌿 Vegetativo",IF('🌱 Configuração'!$B$56+137&lt;'🌱 Configuração'!$E$56,"🌸 Floração","🚿 Flush"))))</f>
        <v/>
      </c>
      <c r="E143" s="70" t="str">
        <f aca="false">IF(138&gt;'🌱 Configuração'!$F$55,"",IF('🌱 Configuração'!$B$56+137&lt;'🌱 Configuração'!$C$56,"Clone S"&amp;INT((138-1)/7)+1,IF('🌱 Configuração'!$B$56+137&lt;'🌱 Configuração'!$D$56,"Vega S"&amp;INT(('🌱 Configuração'!$B$56+137-'🌱 Configuração'!$C$56)/7)+1,IF('🌱 Configuração'!$B$56+137&lt;'🌱 Configuração'!$E$56,"Flora S"&amp;INT(('🌱 Configuração'!$B$56+137-'🌱 Configuração'!$D$56)/7)+1,"Flush S"&amp;INT(('🌱 Configuração'!$B$56+137-'🌱 Configuração'!$E$56)/7)+1))))</f>
        <v/>
      </c>
      <c r="F143" s="13" t="str">
        <f aca="false">IF(138&gt;'🌱 Configuração'!$F$55,"",IF('🌱 Configuração'!$B$56+137='🌱 Configuração'!$C$56,"🌿 INÍCIO VEGA — luz 18h/dia",IF('🌱 Configuração'!$B$56+137='🌱 Configuração'!$D$56,"🌸 INÍCIO FLORAÇÃO — mudar 12/12 🔴",IF('🌱 Configuração'!$B$56+137='🌱 Configuração'!$E$56,"🚿 INÍCIO FLUSH — parar nutrição",IF('🌱 Configuração'!$B$56+137='🌱 Configuração'!$F$56-1,"🔬 Véspera da colheita — analisar tricomas",IF('🌱 Configuração'!$B$56+137='🌱 Configuração'!$F$56,"✂️ COLHEITA — Parabéns! 🎉",""))))))</f>
        <v/>
      </c>
      <c r="G143" s="71" t="str">
        <f aca="false">IF(138&gt;'🌱 Configuração'!$F$55,"",IF(AND('🌱 Configuração'!$B$56+137&gt;='🌱 Configuração'!$C$56,'🌱 Configuração'!$B$56+137&lt;'🌱 Configuração'!$D$56,MOD('🌱 Configuração'!$B$56+137-'🌱 Configuração'!$C$56,7)=0),"🐛 MIP — ver aba MIP para aplicação desta semana",IF(AND('🌱 Configuração'!$B$56+137&gt;='🌱 Configuração'!$D$56,MOD('🌱 Configuração'!$B$56+137-'🌱 Configuração'!$D$56,7)=0),"🐛 MIP solo — ver aba MIP (sem foliar em flora)","")))</f>
        <v/>
      </c>
    </row>
    <row r="144" customFormat="false" ht="18" hidden="false" customHeight="true" outlineLevel="0" collapsed="false">
      <c r="B144" s="64" t="str">
        <f aca="false">IF(139&lt;='🌱 Configuração'!$F$55,139,"")</f>
        <v/>
      </c>
      <c r="C144" s="41" t="str">
        <f aca="false">IF(139&lt;='🌱 Configuração'!$F$55,'🌱 Configuração'!$B$56+138,"")</f>
        <v/>
      </c>
      <c r="D144" s="65" t="str">
        <f aca="false">IF(139&gt;'🌱 Configuração'!$F$55,"",IF('🌱 Configuração'!$B$56+138&lt;'🌱 Configuração'!$C$56,"🌱 Clone",IF('🌱 Configuração'!$B$56+138&lt;'🌱 Configuração'!$D$56,"🌿 Vegetativo",IF('🌱 Configuração'!$B$56+138&lt;'🌱 Configuração'!$E$56,"🌸 Floração","🚿 Flush"))))</f>
        <v/>
      </c>
      <c r="E144" s="43" t="str">
        <f aca="false">IF(139&gt;'🌱 Configuração'!$F$55,"",IF('🌱 Configuração'!$B$56+138&lt;'🌱 Configuração'!$C$56,"Clone S"&amp;INT((139-1)/7)+1,IF('🌱 Configuração'!$B$56+138&lt;'🌱 Configuração'!$D$56,"Vega S"&amp;INT(('🌱 Configuração'!$B$56+138-'🌱 Configuração'!$C$56)/7)+1,IF('🌱 Configuração'!$B$56+138&lt;'🌱 Configuração'!$E$56,"Flora S"&amp;INT(('🌱 Configuração'!$B$56+138-'🌱 Configuração'!$D$56)/7)+1,"Flush S"&amp;INT(('🌱 Configuração'!$B$56+138-'🌱 Configuração'!$E$56)/7)+1))))</f>
        <v/>
      </c>
      <c r="F144" s="42" t="str">
        <f aca="false">IF(139&gt;'🌱 Configuração'!$F$55,"",IF('🌱 Configuração'!$B$56+138='🌱 Configuração'!$C$56,"🌿 INÍCIO VEGA — luz 18h/dia",IF('🌱 Configuração'!$B$56+138='🌱 Configuração'!$D$56,"🌸 INÍCIO FLORAÇÃO — mudar 12/12 🔴",IF('🌱 Configuração'!$B$56+138='🌱 Configuração'!$E$56,"🚿 INÍCIO FLUSH — parar nutrição",IF('🌱 Configuração'!$B$56+138='🌱 Configuração'!$F$56-1,"🔬 Véspera da colheita — analisar tricomas",IF('🌱 Configuração'!$B$56+138='🌱 Configuração'!$F$56,"✂️ COLHEITA — Parabéns! 🎉",""))))))</f>
        <v/>
      </c>
      <c r="G144" s="66" t="str">
        <f aca="false">IF(139&gt;'🌱 Configuração'!$F$55,"",IF(AND('🌱 Configuração'!$B$56+138&gt;='🌱 Configuração'!$C$56,'🌱 Configuração'!$B$56+138&lt;'🌱 Configuração'!$D$56,MOD('🌱 Configuração'!$B$56+138-'🌱 Configuração'!$C$56,7)=0),"🐛 MIP — ver aba MIP para aplicação desta semana",IF(AND('🌱 Configuração'!$B$56+138&gt;='🌱 Configuração'!$D$56,MOD('🌱 Configuração'!$B$56+138-'🌱 Configuração'!$D$56,7)=0),"🐛 MIP solo — ver aba MIP (sem foliar em flora)","")))</f>
        <v/>
      </c>
    </row>
    <row r="145" customFormat="false" ht="18" hidden="false" customHeight="true" outlineLevel="0" collapsed="false">
      <c r="B145" s="67" t="str">
        <f aca="false">IF(140&lt;='🌱 Configuração'!$F$55,140,"")</f>
        <v/>
      </c>
      <c r="C145" s="68" t="str">
        <f aca="false">IF(140&lt;='🌱 Configuração'!$F$55,'🌱 Configuração'!$B$56+139,"")</f>
        <v/>
      </c>
      <c r="D145" s="69" t="str">
        <f aca="false">IF(140&gt;'🌱 Configuração'!$F$55,"",IF('🌱 Configuração'!$B$56+139&lt;'🌱 Configuração'!$C$56,"🌱 Clone",IF('🌱 Configuração'!$B$56+139&lt;'🌱 Configuração'!$D$56,"🌿 Vegetativo",IF('🌱 Configuração'!$B$56+139&lt;'🌱 Configuração'!$E$56,"🌸 Floração","🚿 Flush"))))</f>
        <v/>
      </c>
      <c r="E145" s="70" t="str">
        <f aca="false">IF(140&gt;'🌱 Configuração'!$F$55,"",IF('🌱 Configuração'!$B$56+139&lt;'🌱 Configuração'!$C$56,"Clone S"&amp;INT((140-1)/7)+1,IF('🌱 Configuração'!$B$56+139&lt;'🌱 Configuração'!$D$56,"Vega S"&amp;INT(('🌱 Configuração'!$B$56+139-'🌱 Configuração'!$C$56)/7)+1,IF('🌱 Configuração'!$B$56+139&lt;'🌱 Configuração'!$E$56,"Flora S"&amp;INT(('🌱 Configuração'!$B$56+139-'🌱 Configuração'!$D$56)/7)+1,"Flush S"&amp;INT(('🌱 Configuração'!$B$56+139-'🌱 Configuração'!$E$56)/7)+1))))</f>
        <v/>
      </c>
      <c r="F145" s="13" t="str">
        <f aca="false">IF(140&gt;'🌱 Configuração'!$F$55,"",IF('🌱 Configuração'!$B$56+139='🌱 Configuração'!$C$56,"🌿 INÍCIO VEGA — luz 18h/dia",IF('🌱 Configuração'!$B$56+139='🌱 Configuração'!$D$56,"🌸 INÍCIO FLORAÇÃO — mudar 12/12 🔴",IF('🌱 Configuração'!$B$56+139='🌱 Configuração'!$E$56,"🚿 INÍCIO FLUSH — parar nutrição",IF('🌱 Configuração'!$B$56+139='🌱 Configuração'!$F$56-1,"🔬 Véspera da colheita — analisar tricomas",IF('🌱 Configuração'!$B$56+139='🌱 Configuração'!$F$56,"✂️ COLHEITA — Parabéns! 🎉",""))))))</f>
        <v/>
      </c>
      <c r="G145" s="71" t="str">
        <f aca="false">IF(140&gt;'🌱 Configuração'!$F$55,"",IF(AND('🌱 Configuração'!$B$56+139&gt;='🌱 Configuração'!$C$56,'🌱 Configuração'!$B$56+139&lt;'🌱 Configuração'!$D$56,MOD('🌱 Configuração'!$B$56+139-'🌱 Configuração'!$C$56,7)=0),"🐛 MIP — ver aba MIP para aplicação desta semana",IF(AND('🌱 Configuração'!$B$56+139&gt;='🌱 Configuração'!$D$56,MOD('🌱 Configuração'!$B$56+139-'🌱 Configuração'!$D$56,7)=0),"🐛 MIP solo — ver aba MIP (sem foliar em flora)","")))</f>
        <v/>
      </c>
    </row>
    <row r="146" customFormat="false" ht="18" hidden="false" customHeight="true" outlineLevel="0" collapsed="false">
      <c r="B146" s="64" t="str">
        <f aca="false">IF(141&lt;='🌱 Configuração'!$F$55,141,"")</f>
        <v/>
      </c>
      <c r="C146" s="41" t="str">
        <f aca="false">IF(141&lt;='🌱 Configuração'!$F$55,'🌱 Configuração'!$B$56+140,"")</f>
        <v/>
      </c>
      <c r="D146" s="65" t="str">
        <f aca="false">IF(141&gt;'🌱 Configuração'!$F$55,"",IF('🌱 Configuração'!$B$56+140&lt;'🌱 Configuração'!$C$56,"🌱 Clone",IF('🌱 Configuração'!$B$56+140&lt;'🌱 Configuração'!$D$56,"🌿 Vegetativo",IF('🌱 Configuração'!$B$56+140&lt;'🌱 Configuração'!$E$56,"🌸 Floração","🚿 Flush"))))</f>
        <v/>
      </c>
      <c r="E146" s="43" t="str">
        <f aca="false">IF(141&gt;'🌱 Configuração'!$F$55,"",IF('🌱 Configuração'!$B$56+140&lt;'🌱 Configuração'!$C$56,"Clone S"&amp;INT((141-1)/7)+1,IF('🌱 Configuração'!$B$56+140&lt;'🌱 Configuração'!$D$56,"Vega S"&amp;INT(('🌱 Configuração'!$B$56+140-'🌱 Configuração'!$C$56)/7)+1,IF('🌱 Configuração'!$B$56+140&lt;'🌱 Configuração'!$E$56,"Flora S"&amp;INT(('🌱 Configuração'!$B$56+140-'🌱 Configuração'!$D$56)/7)+1,"Flush S"&amp;INT(('🌱 Configuração'!$B$56+140-'🌱 Configuração'!$E$56)/7)+1))))</f>
        <v/>
      </c>
      <c r="F146" s="42" t="str">
        <f aca="false">IF(141&gt;'🌱 Configuração'!$F$55,"",IF('🌱 Configuração'!$B$56+140='🌱 Configuração'!$C$56,"🌿 INÍCIO VEGA — luz 18h/dia",IF('🌱 Configuração'!$B$56+140='🌱 Configuração'!$D$56,"🌸 INÍCIO FLORAÇÃO — mudar 12/12 🔴",IF('🌱 Configuração'!$B$56+140='🌱 Configuração'!$E$56,"🚿 INÍCIO FLUSH — parar nutrição",IF('🌱 Configuração'!$B$56+140='🌱 Configuração'!$F$56-1,"🔬 Véspera da colheita — analisar tricomas",IF('🌱 Configuração'!$B$56+140='🌱 Configuração'!$F$56,"✂️ COLHEITA — Parabéns! 🎉",""))))))</f>
        <v/>
      </c>
      <c r="G146" s="66" t="str">
        <f aca="false">IF(141&gt;'🌱 Configuração'!$F$55,"",IF(AND('🌱 Configuração'!$B$56+140&gt;='🌱 Configuração'!$C$56,'🌱 Configuração'!$B$56+140&lt;'🌱 Configuração'!$D$56,MOD('🌱 Configuração'!$B$56+140-'🌱 Configuração'!$C$56,7)=0),"🐛 MIP — ver aba MIP para aplicação desta semana",IF(AND('🌱 Configuração'!$B$56+140&gt;='🌱 Configuração'!$D$56,MOD('🌱 Configuração'!$B$56+140-'🌱 Configuração'!$D$56,7)=0),"🐛 MIP solo — ver aba MIP (sem foliar em flora)","")))</f>
        <v/>
      </c>
    </row>
    <row r="147" customFormat="false" ht="18" hidden="false" customHeight="true" outlineLevel="0" collapsed="false">
      <c r="B147" s="67" t="str">
        <f aca="false">IF(142&lt;='🌱 Configuração'!$F$55,142,"")</f>
        <v/>
      </c>
      <c r="C147" s="68" t="str">
        <f aca="false">IF(142&lt;='🌱 Configuração'!$F$55,'🌱 Configuração'!$B$56+141,"")</f>
        <v/>
      </c>
      <c r="D147" s="69" t="str">
        <f aca="false">IF(142&gt;'🌱 Configuração'!$F$55,"",IF('🌱 Configuração'!$B$56+141&lt;'🌱 Configuração'!$C$56,"🌱 Clone",IF('🌱 Configuração'!$B$56+141&lt;'🌱 Configuração'!$D$56,"🌿 Vegetativo",IF('🌱 Configuração'!$B$56+141&lt;'🌱 Configuração'!$E$56,"🌸 Floração","🚿 Flush"))))</f>
        <v/>
      </c>
      <c r="E147" s="70" t="str">
        <f aca="false">IF(142&gt;'🌱 Configuração'!$F$55,"",IF('🌱 Configuração'!$B$56+141&lt;'🌱 Configuração'!$C$56,"Clone S"&amp;INT((142-1)/7)+1,IF('🌱 Configuração'!$B$56+141&lt;'🌱 Configuração'!$D$56,"Vega S"&amp;INT(('🌱 Configuração'!$B$56+141-'🌱 Configuração'!$C$56)/7)+1,IF('🌱 Configuração'!$B$56+141&lt;'🌱 Configuração'!$E$56,"Flora S"&amp;INT(('🌱 Configuração'!$B$56+141-'🌱 Configuração'!$D$56)/7)+1,"Flush S"&amp;INT(('🌱 Configuração'!$B$56+141-'🌱 Configuração'!$E$56)/7)+1))))</f>
        <v/>
      </c>
      <c r="F147" s="13" t="str">
        <f aca="false">IF(142&gt;'🌱 Configuração'!$F$55,"",IF('🌱 Configuração'!$B$56+141='🌱 Configuração'!$C$56,"🌿 INÍCIO VEGA — luz 18h/dia",IF('🌱 Configuração'!$B$56+141='🌱 Configuração'!$D$56,"🌸 INÍCIO FLORAÇÃO — mudar 12/12 🔴",IF('🌱 Configuração'!$B$56+141='🌱 Configuração'!$E$56,"🚿 INÍCIO FLUSH — parar nutrição",IF('🌱 Configuração'!$B$56+141='🌱 Configuração'!$F$56-1,"🔬 Véspera da colheita — analisar tricomas",IF('🌱 Configuração'!$B$56+141='🌱 Configuração'!$F$56,"✂️ COLHEITA — Parabéns! 🎉",""))))))</f>
        <v/>
      </c>
      <c r="G147" s="71" t="str">
        <f aca="false">IF(142&gt;'🌱 Configuração'!$F$55,"",IF(AND('🌱 Configuração'!$B$56+141&gt;='🌱 Configuração'!$C$56,'🌱 Configuração'!$B$56+141&lt;'🌱 Configuração'!$D$56,MOD('🌱 Configuração'!$B$56+141-'🌱 Configuração'!$C$56,7)=0),"🐛 MIP — ver aba MIP para aplicação desta semana",IF(AND('🌱 Configuração'!$B$56+141&gt;='🌱 Configuração'!$D$56,MOD('🌱 Configuração'!$B$56+141-'🌱 Configuração'!$D$56,7)=0),"🐛 MIP solo — ver aba MIP (sem foliar em flora)","")))</f>
        <v/>
      </c>
    </row>
    <row r="148" customFormat="false" ht="18" hidden="false" customHeight="true" outlineLevel="0" collapsed="false">
      <c r="B148" s="64" t="str">
        <f aca="false">IF(143&lt;='🌱 Configuração'!$F$55,143,"")</f>
        <v/>
      </c>
      <c r="C148" s="41" t="str">
        <f aca="false">IF(143&lt;='🌱 Configuração'!$F$55,'🌱 Configuração'!$B$56+142,"")</f>
        <v/>
      </c>
      <c r="D148" s="65" t="str">
        <f aca="false">IF(143&gt;'🌱 Configuração'!$F$55,"",IF('🌱 Configuração'!$B$56+142&lt;'🌱 Configuração'!$C$56,"🌱 Clone",IF('🌱 Configuração'!$B$56+142&lt;'🌱 Configuração'!$D$56,"🌿 Vegetativo",IF('🌱 Configuração'!$B$56+142&lt;'🌱 Configuração'!$E$56,"🌸 Floração","🚿 Flush"))))</f>
        <v/>
      </c>
      <c r="E148" s="43" t="str">
        <f aca="false">IF(143&gt;'🌱 Configuração'!$F$55,"",IF('🌱 Configuração'!$B$56+142&lt;'🌱 Configuração'!$C$56,"Clone S"&amp;INT((143-1)/7)+1,IF('🌱 Configuração'!$B$56+142&lt;'🌱 Configuração'!$D$56,"Vega S"&amp;INT(('🌱 Configuração'!$B$56+142-'🌱 Configuração'!$C$56)/7)+1,IF('🌱 Configuração'!$B$56+142&lt;'🌱 Configuração'!$E$56,"Flora S"&amp;INT(('🌱 Configuração'!$B$56+142-'🌱 Configuração'!$D$56)/7)+1,"Flush S"&amp;INT(('🌱 Configuração'!$B$56+142-'🌱 Configuração'!$E$56)/7)+1))))</f>
        <v/>
      </c>
      <c r="F148" s="42" t="str">
        <f aca="false">IF(143&gt;'🌱 Configuração'!$F$55,"",IF('🌱 Configuração'!$B$56+142='🌱 Configuração'!$C$56,"🌿 INÍCIO VEGA — luz 18h/dia",IF('🌱 Configuração'!$B$56+142='🌱 Configuração'!$D$56,"🌸 INÍCIO FLORAÇÃO — mudar 12/12 🔴",IF('🌱 Configuração'!$B$56+142='🌱 Configuração'!$E$56,"🚿 INÍCIO FLUSH — parar nutrição",IF('🌱 Configuração'!$B$56+142='🌱 Configuração'!$F$56-1,"🔬 Véspera da colheita — analisar tricomas",IF('🌱 Configuração'!$B$56+142='🌱 Configuração'!$F$56,"✂️ COLHEITA — Parabéns! 🎉",""))))))</f>
        <v/>
      </c>
      <c r="G148" s="66" t="str">
        <f aca="false">IF(143&gt;'🌱 Configuração'!$F$55,"",IF(AND('🌱 Configuração'!$B$56+142&gt;='🌱 Configuração'!$C$56,'🌱 Configuração'!$B$56+142&lt;'🌱 Configuração'!$D$56,MOD('🌱 Configuração'!$B$56+142-'🌱 Configuração'!$C$56,7)=0),"🐛 MIP — ver aba MIP para aplicação desta semana",IF(AND('🌱 Configuração'!$B$56+142&gt;='🌱 Configuração'!$D$56,MOD('🌱 Configuração'!$B$56+142-'🌱 Configuração'!$D$56,7)=0),"🐛 MIP solo — ver aba MIP (sem foliar em flora)","")))</f>
        <v/>
      </c>
    </row>
    <row r="149" customFormat="false" ht="18" hidden="false" customHeight="true" outlineLevel="0" collapsed="false">
      <c r="B149" s="67" t="str">
        <f aca="false">IF(144&lt;='🌱 Configuração'!$F$55,144,"")</f>
        <v/>
      </c>
      <c r="C149" s="68" t="str">
        <f aca="false">IF(144&lt;='🌱 Configuração'!$F$55,'🌱 Configuração'!$B$56+143,"")</f>
        <v/>
      </c>
      <c r="D149" s="69" t="str">
        <f aca="false">IF(144&gt;'🌱 Configuração'!$F$55,"",IF('🌱 Configuração'!$B$56+143&lt;'🌱 Configuração'!$C$56,"🌱 Clone",IF('🌱 Configuração'!$B$56+143&lt;'🌱 Configuração'!$D$56,"🌿 Vegetativo",IF('🌱 Configuração'!$B$56+143&lt;'🌱 Configuração'!$E$56,"🌸 Floração","🚿 Flush"))))</f>
        <v/>
      </c>
      <c r="E149" s="70" t="str">
        <f aca="false">IF(144&gt;'🌱 Configuração'!$F$55,"",IF('🌱 Configuração'!$B$56+143&lt;'🌱 Configuração'!$C$56,"Clone S"&amp;INT((144-1)/7)+1,IF('🌱 Configuração'!$B$56+143&lt;'🌱 Configuração'!$D$56,"Vega S"&amp;INT(('🌱 Configuração'!$B$56+143-'🌱 Configuração'!$C$56)/7)+1,IF('🌱 Configuração'!$B$56+143&lt;'🌱 Configuração'!$E$56,"Flora S"&amp;INT(('🌱 Configuração'!$B$56+143-'🌱 Configuração'!$D$56)/7)+1,"Flush S"&amp;INT(('🌱 Configuração'!$B$56+143-'🌱 Configuração'!$E$56)/7)+1))))</f>
        <v/>
      </c>
      <c r="F149" s="13" t="str">
        <f aca="false">IF(144&gt;'🌱 Configuração'!$F$55,"",IF('🌱 Configuração'!$B$56+143='🌱 Configuração'!$C$56,"🌿 INÍCIO VEGA — luz 18h/dia",IF('🌱 Configuração'!$B$56+143='🌱 Configuração'!$D$56,"🌸 INÍCIO FLORAÇÃO — mudar 12/12 🔴",IF('🌱 Configuração'!$B$56+143='🌱 Configuração'!$E$56,"🚿 INÍCIO FLUSH — parar nutrição",IF('🌱 Configuração'!$B$56+143='🌱 Configuração'!$F$56-1,"🔬 Véspera da colheita — analisar tricomas",IF('🌱 Configuração'!$B$56+143='🌱 Configuração'!$F$56,"✂️ COLHEITA — Parabéns! 🎉",""))))))</f>
        <v/>
      </c>
      <c r="G149" s="71" t="str">
        <f aca="false">IF(144&gt;'🌱 Configuração'!$F$55,"",IF(AND('🌱 Configuração'!$B$56+143&gt;='🌱 Configuração'!$C$56,'🌱 Configuração'!$B$56+143&lt;'🌱 Configuração'!$D$56,MOD('🌱 Configuração'!$B$56+143-'🌱 Configuração'!$C$56,7)=0),"🐛 MIP — ver aba MIP para aplicação desta semana",IF(AND('🌱 Configuração'!$B$56+143&gt;='🌱 Configuração'!$D$56,MOD('🌱 Configuração'!$B$56+143-'🌱 Configuração'!$D$56,7)=0),"🐛 MIP solo — ver aba MIP (sem foliar em flora)","")))</f>
        <v/>
      </c>
    </row>
    <row r="150" customFormat="false" ht="18" hidden="false" customHeight="true" outlineLevel="0" collapsed="false">
      <c r="B150" s="64" t="str">
        <f aca="false">IF(145&lt;='🌱 Configuração'!$F$55,145,"")</f>
        <v/>
      </c>
      <c r="C150" s="41" t="str">
        <f aca="false">IF(145&lt;='🌱 Configuração'!$F$55,'🌱 Configuração'!$B$56+144,"")</f>
        <v/>
      </c>
      <c r="D150" s="65" t="str">
        <f aca="false">IF(145&gt;'🌱 Configuração'!$F$55,"",IF('🌱 Configuração'!$B$56+144&lt;'🌱 Configuração'!$C$56,"🌱 Clone",IF('🌱 Configuração'!$B$56+144&lt;'🌱 Configuração'!$D$56,"🌿 Vegetativo",IF('🌱 Configuração'!$B$56+144&lt;'🌱 Configuração'!$E$56,"🌸 Floração","🚿 Flush"))))</f>
        <v/>
      </c>
      <c r="E150" s="43" t="str">
        <f aca="false">IF(145&gt;'🌱 Configuração'!$F$55,"",IF('🌱 Configuração'!$B$56+144&lt;'🌱 Configuração'!$C$56,"Clone S"&amp;INT((145-1)/7)+1,IF('🌱 Configuração'!$B$56+144&lt;'🌱 Configuração'!$D$56,"Vega S"&amp;INT(('🌱 Configuração'!$B$56+144-'🌱 Configuração'!$C$56)/7)+1,IF('🌱 Configuração'!$B$56+144&lt;'🌱 Configuração'!$E$56,"Flora S"&amp;INT(('🌱 Configuração'!$B$56+144-'🌱 Configuração'!$D$56)/7)+1,"Flush S"&amp;INT(('🌱 Configuração'!$B$56+144-'🌱 Configuração'!$E$56)/7)+1))))</f>
        <v/>
      </c>
      <c r="F150" s="42" t="str">
        <f aca="false">IF(145&gt;'🌱 Configuração'!$F$55,"",IF('🌱 Configuração'!$B$56+144='🌱 Configuração'!$C$56,"🌿 INÍCIO VEGA — luz 18h/dia",IF('🌱 Configuração'!$B$56+144='🌱 Configuração'!$D$56,"🌸 INÍCIO FLORAÇÃO — mudar 12/12 🔴",IF('🌱 Configuração'!$B$56+144='🌱 Configuração'!$E$56,"🚿 INÍCIO FLUSH — parar nutrição",IF('🌱 Configuração'!$B$56+144='🌱 Configuração'!$F$56-1,"🔬 Véspera da colheita — analisar tricomas",IF('🌱 Configuração'!$B$56+144='🌱 Configuração'!$F$56,"✂️ COLHEITA — Parabéns! 🎉",""))))))</f>
        <v/>
      </c>
      <c r="G150" s="66" t="str">
        <f aca="false">IF(145&gt;'🌱 Configuração'!$F$55,"",IF(AND('🌱 Configuração'!$B$56+144&gt;='🌱 Configuração'!$C$56,'🌱 Configuração'!$B$56+144&lt;'🌱 Configuração'!$D$56,MOD('🌱 Configuração'!$B$56+144-'🌱 Configuração'!$C$56,7)=0),"🐛 MIP — ver aba MIP para aplicação desta semana",IF(AND('🌱 Configuração'!$B$56+144&gt;='🌱 Configuração'!$D$56,MOD('🌱 Configuração'!$B$56+144-'🌱 Configuração'!$D$56,7)=0),"🐛 MIP solo — ver aba MIP (sem foliar em flora)","")))</f>
        <v/>
      </c>
    </row>
    <row r="151" customFormat="false" ht="18" hidden="false" customHeight="true" outlineLevel="0" collapsed="false">
      <c r="B151" s="67" t="str">
        <f aca="false">IF(146&lt;='🌱 Configuração'!$F$55,146,"")</f>
        <v/>
      </c>
      <c r="C151" s="68" t="str">
        <f aca="false">IF(146&lt;='🌱 Configuração'!$F$55,'🌱 Configuração'!$B$56+145,"")</f>
        <v/>
      </c>
      <c r="D151" s="69" t="str">
        <f aca="false">IF(146&gt;'🌱 Configuração'!$F$55,"",IF('🌱 Configuração'!$B$56+145&lt;'🌱 Configuração'!$C$56,"🌱 Clone",IF('🌱 Configuração'!$B$56+145&lt;'🌱 Configuração'!$D$56,"🌿 Vegetativo",IF('🌱 Configuração'!$B$56+145&lt;'🌱 Configuração'!$E$56,"🌸 Floração","🚿 Flush"))))</f>
        <v/>
      </c>
      <c r="E151" s="70" t="str">
        <f aca="false">IF(146&gt;'🌱 Configuração'!$F$55,"",IF('🌱 Configuração'!$B$56+145&lt;'🌱 Configuração'!$C$56,"Clone S"&amp;INT((146-1)/7)+1,IF('🌱 Configuração'!$B$56+145&lt;'🌱 Configuração'!$D$56,"Vega S"&amp;INT(('🌱 Configuração'!$B$56+145-'🌱 Configuração'!$C$56)/7)+1,IF('🌱 Configuração'!$B$56+145&lt;'🌱 Configuração'!$E$56,"Flora S"&amp;INT(('🌱 Configuração'!$B$56+145-'🌱 Configuração'!$D$56)/7)+1,"Flush S"&amp;INT(('🌱 Configuração'!$B$56+145-'🌱 Configuração'!$E$56)/7)+1))))</f>
        <v/>
      </c>
      <c r="F151" s="13" t="str">
        <f aca="false">IF(146&gt;'🌱 Configuração'!$F$55,"",IF('🌱 Configuração'!$B$56+145='🌱 Configuração'!$C$56,"🌿 INÍCIO VEGA — luz 18h/dia",IF('🌱 Configuração'!$B$56+145='🌱 Configuração'!$D$56,"🌸 INÍCIO FLORAÇÃO — mudar 12/12 🔴",IF('🌱 Configuração'!$B$56+145='🌱 Configuração'!$E$56,"🚿 INÍCIO FLUSH — parar nutrição",IF('🌱 Configuração'!$B$56+145='🌱 Configuração'!$F$56-1,"🔬 Véspera da colheita — analisar tricomas",IF('🌱 Configuração'!$B$56+145='🌱 Configuração'!$F$56,"✂️ COLHEITA — Parabéns! 🎉",""))))))</f>
        <v/>
      </c>
      <c r="G151" s="71" t="str">
        <f aca="false">IF(146&gt;'🌱 Configuração'!$F$55,"",IF(AND('🌱 Configuração'!$B$56+145&gt;='🌱 Configuração'!$C$56,'🌱 Configuração'!$B$56+145&lt;'🌱 Configuração'!$D$56,MOD('🌱 Configuração'!$B$56+145-'🌱 Configuração'!$C$56,7)=0),"🐛 MIP — ver aba MIP para aplicação desta semana",IF(AND('🌱 Configuração'!$B$56+145&gt;='🌱 Configuração'!$D$56,MOD('🌱 Configuração'!$B$56+145-'🌱 Configuração'!$D$56,7)=0),"🐛 MIP solo — ver aba MIP (sem foliar em flora)","")))</f>
        <v/>
      </c>
    </row>
    <row r="152" customFormat="false" ht="18" hidden="false" customHeight="true" outlineLevel="0" collapsed="false">
      <c r="B152" s="64" t="str">
        <f aca="false">IF(147&lt;='🌱 Configuração'!$F$55,147,"")</f>
        <v/>
      </c>
      <c r="C152" s="41" t="str">
        <f aca="false">IF(147&lt;='🌱 Configuração'!$F$55,'🌱 Configuração'!$B$56+146,"")</f>
        <v/>
      </c>
      <c r="D152" s="65" t="str">
        <f aca="false">IF(147&gt;'🌱 Configuração'!$F$55,"",IF('🌱 Configuração'!$B$56+146&lt;'🌱 Configuração'!$C$56,"🌱 Clone",IF('🌱 Configuração'!$B$56+146&lt;'🌱 Configuração'!$D$56,"🌿 Vegetativo",IF('🌱 Configuração'!$B$56+146&lt;'🌱 Configuração'!$E$56,"🌸 Floração","🚿 Flush"))))</f>
        <v/>
      </c>
      <c r="E152" s="43" t="str">
        <f aca="false">IF(147&gt;'🌱 Configuração'!$F$55,"",IF('🌱 Configuração'!$B$56+146&lt;'🌱 Configuração'!$C$56,"Clone S"&amp;INT((147-1)/7)+1,IF('🌱 Configuração'!$B$56+146&lt;'🌱 Configuração'!$D$56,"Vega S"&amp;INT(('🌱 Configuração'!$B$56+146-'🌱 Configuração'!$C$56)/7)+1,IF('🌱 Configuração'!$B$56+146&lt;'🌱 Configuração'!$E$56,"Flora S"&amp;INT(('🌱 Configuração'!$B$56+146-'🌱 Configuração'!$D$56)/7)+1,"Flush S"&amp;INT(('🌱 Configuração'!$B$56+146-'🌱 Configuração'!$E$56)/7)+1))))</f>
        <v/>
      </c>
      <c r="F152" s="42" t="str">
        <f aca="false">IF(147&gt;'🌱 Configuração'!$F$55,"",IF('🌱 Configuração'!$B$56+146='🌱 Configuração'!$C$56,"🌿 INÍCIO VEGA — luz 18h/dia",IF('🌱 Configuração'!$B$56+146='🌱 Configuração'!$D$56,"🌸 INÍCIO FLORAÇÃO — mudar 12/12 🔴",IF('🌱 Configuração'!$B$56+146='🌱 Configuração'!$E$56,"🚿 INÍCIO FLUSH — parar nutrição",IF('🌱 Configuração'!$B$56+146='🌱 Configuração'!$F$56-1,"🔬 Véspera da colheita — analisar tricomas",IF('🌱 Configuração'!$B$56+146='🌱 Configuração'!$F$56,"✂️ COLHEITA — Parabéns! 🎉",""))))))</f>
        <v/>
      </c>
      <c r="G152" s="66" t="str">
        <f aca="false">IF(147&gt;'🌱 Configuração'!$F$55,"",IF(AND('🌱 Configuração'!$B$56+146&gt;='🌱 Configuração'!$C$56,'🌱 Configuração'!$B$56+146&lt;'🌱 Configuração'!$D$56,MOD('🌱 Configuração'!$B$56+146-'🌱 Configuração'!$C$56,7)=0),"🐛 MIP — ver aba MIP para aplicação desta semana",IF(AND('🌱 Configuração'!$B$56+146&gt;='🌱 Configuração'!$D$56,MOD('🌱 Configuração'!$B$56+146-'🌱 Configuração'!$D$56,7)=0),"🐛 MIP solo — ver aba MIP (sem foliar em flora)","")))</f>
        <v/>
      </c>
    </row>
    <row r="153" customFormat="false" ht="18" hidden="false" customHeight="true" outlineLevel="0" collapsed="false">
      <c r="B153" s="67" t="str">
        <f aca="false">IF(148&lt;='🌱 Configuração'!$F$55,148,"")</f>
        <v/>
      </c>
      <c r="C153" s="68" t="str">
        <f aca="false">IF(148&lt;='🌱 Configuração'!$F$55,'🌱 Configuração'!$B$56+147,"")</f>
        <v/>
      </c>
      <c r="D153" s="69" t="str">
        <f aca="false">IF(148&gt;'🌱 Configuração'!$F$55,"",IF('🌱 Configuração'!$B$56+147&lt;'🌱 Configuração'!$C$56,"🌱 Clone",IF('🌱 Configuração'!$B$56+147&lt;'🌱 Configuração'!$D$56,"🌿 Vegetativo",IF('🌱 Configuração'!$B$56+147&lt;'🌱 Configuração'!$E$56,"🌸 Floração","🚿 Flush"))))</f>
        <v/>
      </c>
      <c r="E153" s="70" t="str">
        <f aca="false">IF(148&gt;'🌱 Configuração'!$F$55,"",IF('🌱 Configuração'!$B$56+147&lt;'🌱 Configuração'!$C$56,"Clone S"&amp;INT((148-1)/7)+1,IF('🌱 Configuração'!$B$56+147&lt;'🌱 Configuração'!$D$56,"Vega S"&amp;INT(('🌱 Configuração'!$B$56+147-'🌱 Configuração'!$C$56)/7)+1,IF('🌱 Configuração'!$B$56+147&lt;'🌱 Configuração'!$E$56,"Flora S"&amp;INT(('🌱 Configuração'!$B$56+147-'🌱 Configuração'!$D$56)/7)+1,"Flush S"&amp;INT(('🌱 Configuração'!$B$56+147-'🌱 Configuração'!$E$56)/7)+1))))</f>
        <v/>
      </c>
      <c r="F153" s="13" t="str">
        <f aca="false">IF(148&gt;'🌱 Configuração'!$F$55,"",IF('🌱 Configuração'!$B$56+147='🌱 Configuração'!$C$56,"🌿 INÍCIO VEGA — luz 18h/dia",IF('🌱 Configuração'!$B$56+147='🌱 Configuração'!$D$56,"🌸 INÍCIO FLORAÇÃO — mudar 12/12 🔴",IF('🌱 Configuração'!$B$56+147='🌱 Configuração'!$E$56,"🚿 INÍCIO FLUSH — parar nutrição",IF('🌱 Configuração'!$B$56+147='🌱 Configuração'!$F$56-1,"🔬 Véspera da colheita — analisar tricomas",IF('🌱 Configuração'!$B$56+147='🌱 Configuração'!$F$56,"✂️ COLHEITA — Parabéns! 🎉",""))))))</f>
        <v/>
      </c>
      <c r="G153" s="71" t="str">
        <f aca="false">IF(148&gt;'🌱 Configuração'!$F$55,"",IF(AND('🌱 Configuração'!$B$56+147&gt;='🌱 Configuração'!$C$56,'🌱 Configuração'!$B$56+147&lt;'🌱 Configuração'!$D$56,MOD('🌱 Configuração'!$B$56+147-'🌱 Configuração'!$C$56,7)=0),"🐛 MIP — ver aba MIP para aplicação desta semana",IF(AND('🌱 Configuração'!$B$56+147&gt;='🌱 Configuração'!$D$56,MOD('🌱 Configuração'!$B$56+147-'🌱 Configuração'!$D$56,7)=0),"🐛 MIP solo — ver aba MIP (sem foliar em flora)","")))</f>
        <v/>
      </c>
    </row>
    <row r="154" customFormat="false" ht="18" hidden="false" customHeight="true" outlineLevel="0" collapsed="false">
      <c r="B154" s="64" t="str">
        <f aca="false">IF(149&lt;='🌱 Configuração'!$F$55,149,"")</f>
        <v/>
      </c>
      <c r="C154" s="41" t="str">
        <f aca="false">IF(149&lt;='🌱 Configuração'!$F$55,'🌱 Configuração'!$B$56+148,"")</f>
        <v/>
      </c>
      <c r="D154" s="65" t="str">
        <f aca="false">IF(149&gt;'🌱 Configuração'!$F$55,"",IF('🌱 Configuração'!$B$56+148&lt;'🌱 Configuração'!$C$56,"🌱 Clone",IF('🌱 Configuração'!$B$56+148&lt;'🌱 Configuração'!$D$56,"🌿 Vegetativo",IF('🌱 Configuração'!$B$56+148&lt;'🌱 Configuração'!$E$56,"🌸 Floração","🚿 Flush"))))</f>
        <v/>
      </c>
      <c r="E154" s="43" t="str">
        <f aca="false">IF(149&gt;'🌱 Configuração'!$F$55,"",IF('🌱 Configuração'!$B$56+148&lt;'🌱 Configuração'!$C$56,"Clone S"&amp;INT((149-1)/7)+1,IF('🌱 Configuração'!$B$56+148&lt;'🌱 Configuração'!$D$56,"Vega S"&amp;INT(('🌱 Configuração'!$B$56+148-'🌱 Configuração'!$C$56)/7)+1,IF('🌱 Configuração'!$B$56+148&lt;'🌱 Configuração'!$E$56,"Flora S"&amp;INT(('🌱 Configuração'!$B$56+148-'🌱 Configuração'!$D$56)/7)+1,"Flush S"&amp;INT(('🌱 Configuração'!$B$56+148-'🌱 Configuração'!$E$56)/7)+1))))</f>
        <v/>
      </c>
      <c r="F154" s="42" t="str">
        <f aca="false">IF(149&gt;'🌱 Configuração'!$F$55,"",IF('🌱 Configuração'!$B$56+148='🌱 Configuração'!$C$56,"🌿 INÍCIO VEGA — luz 18h/dia",IF('🌱 Configuração'!$B$56+148='🌱 Configuração'!$D$56,"🌸 INÍCIO FLORAÇÃO — mudar 12/12 🔴",IF('🌱 Configuração'!$B$56+148='🌱 Configuração'!$E$56,"🚿 INÍCIO FLUSH — parar nutrição",IF('🌱 Configuração'!$B$56+148='🌱 Configuração'!$F$56-1,"🔬 Véspera da colheita — analisar tricomas",IF('🌱 Configuração'!$B$56+148='🌱 Configuração'!$F$56,"✂️ COLHEITA — Parabéns! 🎉",""))))))</f>
        <v/>
      </c>
      <c r="G154" s="66" t="str">
        <f aca="false">IF(149&gt;'🌱 Configuração'!$F$55,"",IF(AND('🌱 Configuração'!$B$56+148&gt;='🌱 Configuração'!$C$56,'🌱 Configuração'!$B$56+148&lt;'🌱 Configuração'!$D$56,MOD('🌱 Configuração'!$B$56+148-'🌱 Configuração'!$C$56,7)=0),"🐛 MIP — ver aba MIP para aplicação desta semana",IF(AND('🌱 Configuração'!$B$56+148&gt;='🌱 Configuração'!$D$56,MOD('🌱 Configuração'!$B$56+148-'🌱 Configuração'!$D$56,7)=0),"🐛 MIP solo — ver aba MIP (sem foliar em flora)","")))</f>
        <v/>
      </c>
    </row>
    <row r="155" customFormat="false" ht="18" hidden="false" customHeight="true" outlineLevel="0" collapsed="false">
      <c r="B155" s="67" t="str">
        <f aca="false">IF(150&lt;='🌱 Configuração'!$F$55,150,"")</f>
        <v/>
      </c>
      <c r="C155" s="68" t="str">
        <f aca="false">IF(150&lt;='🌱 Configuração'!$F$55,'🌱 Configuração'!$B$56+149,"")</f>
        <v/>
      </c>
      <c r="D155" s="69" t="str">
        <f aca="false">IF(150&gt;'🌱 Configuração'!$F$55,"",IF('🌱 Configuração'!$B$56+149&lt;'🌱 Configuração'!$C$56,"🌱 Clone",IF('🌱 Configuração'!$B$56+149&lt;'🌱 Configuração'!$D$56,"🌿 Vegetativo",IF('🌱 Configuração'!$B$56+149&lt;'🌱 Configuração'!$E$56,"🌸 Floração","🚿 Flush"))))</f>
        <v/>
      </c>
      <c r="E155" s="70" t="str">
        <f aca="false">IF(150&gt;'🌱 Configuração'!$F$55,"",IF('🌱 Configuração'!$B$56+149&lt;'🌱 Configuração'!$C$56,"Clone S"&amp;INT((150-1)/7)+1,IF('🌱 Configuração'!$B$56+149&lt;'🌱 Configuração'!$D$56,"Vega S"&amp;INT(('🌱 Configuração'!$B$56+149-'🌱 Configuração'!$C$56)/7)+1,IF('🌱 Configuração'!$B$56+149&lt;'🌱 Configuração'!$E$56,"Flora S"&amp;INT(('🌱 Configuração'!$B$56+149-'🌱 Configuração'!$D$56)/7)+1,"Flush S"&amp;INT(('🌱 Configuração'!$B$56+149-'🌱 Configuração'!$E$56)/7)+1))))</f>
        <v/>
      </c>
      <c r="F155" s="13" t="str">
        <f aca="false">IF(150&gt;'🌱 Configuração'!$F$55,"",IF('🌱 Configuração'!$B$56+149='🌱 Configuração'!$C$56,"🌿 INÍCIO VEGA — luz 18h/dia",IF('🌱 Configuração'!$B$56+149='🌱 Configuração'!$D$56,"🌸 INÍCIO FLORAÇÃO — mudar 12/12 🔴",IF('🌱 Configuração'!$B$56+149='🌱 Configuração'!$E$56,"🚿 INÍCIO FLUSH — parar nutrição",IF('🌱 Configuração'!$B$56+149='🌱 Configuração'!$F$56-1,"🔬 Véspera da colheita — analisar tricomas",IF('🌱 Configuração'!$B$56+149='🌱 Configuração'!$F$56,"✂️ COLHEITA — Parabéns! 🎉",""))))))</f>
        <v/>
      </c>
      <c r="G155" s="71" t="str">
        <f aca="false">IF(150&gt;'🌱 Configuração'!$F$55,"",IF(AND('🌱 Configuração'!$B$56+149&gt;='🌱 Configuração'!$C$56,'🌱 Configuração'!$B$56+149&lt;'🌱 Configuração'!$D$56,MOD('🌱 Configuração'!$B$56+149-'🌱 Configuração'!$C$56,7)=0),"🐛 MIP — ver aba MIP para aplicação desta semana",IF(AND('🌱 Configuração'!$B$56+149&gt;='🌱 Configuração'!$D$56,MOD('🌱 Configuração'!$B$56+149-'🌱 Configuração'!$D$56,7)=0),"🐛 MIP solo — ver aba MIP (sem foliar em flora)","")))</f>
        <v/>
      </c>
    </row>
    <row r="156" customFormat="false" ht="18" hidden="false" customHeight="true" outlineLevel="0" collapsed="false">
      <c r="B156" s="64" t="str">
        <f aca="false">IF(151&lt;='🌱 Configuração'!$F$55,151,"")</f>
        <v/>
      </c>
      <c r="C156" s="41" t="str">
        <f aca="false">IF(151&lt;='🌱 Configuração'!$F$55,'🌱 Configuração'!$B$56+150,"")</f>
        <v/>
      </c>
      <c r="D156" s="65" t="str">
        <f aca="false">IF(151&gt;'🌱 Configuração'!$F$55,"",IF('🌱 Configuração'!$B$56+150&lt;'🌱 Configuração'!$C$56,"🌱 Clone",IF('🌱 Configuração'!$B$56+150&lt;'🌱 Configuração'!$D$56,"🌿 Vegetativo",IF('🌱 Configuração'!$B$56+150&lt;'🌱 Configuração'!$E$56,"🌸 Floração","🚿 Flush"))))</f>
        <v/>
      </c>
      <c r="E156" s="43" t="str">
        <f aca="false">IF(151&gt;'🌱 Configuração'!$F$55,"",IF('🌱 Configuração'!$B$56+150&lt;'🌱 Configuração'!$C$56,"Clone S"&amp;INT((151-1)/7)+1,IF('🌱 Configuração'!$B$56+150&lt;'🌱 Configuração'!$D$56,"Vega S"&amp;INT(('🌱 Configuração'!$B$56+150-'🌱 Configuração'!$C$56)/7)+1,IF('🌱 Configuração'!$B$56+150&lt;'🌱 Configuração'!$E$56,"Flora S"&amp;INT(('🌱 Configuração'!$B$56+150-'🌱 Configuração'!$D$56)/7)+1,"Flush S"&amp;INT(('🌱 Configuração'!$B$56+150-'🌱 Configuração'!$E$56)/7)+1))))</f>
        <v/>
      </c>
      <c r="F156" s="42" t="str">
        <f aca="false">IF(151&gt;'🌱 Configuração'!$F$55,"",IF('🌱 Configuração'!$B$56+150='🌱 Configuração'!$C$56,"🌿 INÍCIO VEGA — luz 18h/dia",IF('🌱 Configuração'!$B$56+150='🌱 Configuração'!$D$56,"🌸 INÍCIO FLORAÇÃO — mudar 12/12 🔴",IF('🌱 Configuração'!$B$56+150='🌱 Configuração'!$E$56,"🚿 INÍCIO FLUSH — parar nutrição",IF('🌱 Configuração'!$B$56+150='🌱 Configuração'!$F$56-1,"🔬 Véspera da colheita — analisar tricomas",IF('🌱 Configuração'!$B$56+150='🌱 Configuração'!$F$56,"✂️ COLHEITA — Parabéns! 🎉",""))))))</f>
        <v/>
      </c>
      <c r="G156" s="66" t="str">
        <f aca="false">IF(151&gt;'🌱 Configuração'!$F$55,"",IF(AND('🌱 Configuração'!$B$56+150&gt;='🌱 Configuração'!$C$56,'🌱 Configuração'!$B$56+150&lt;'🌱 Configuração'!$D$56,MOD('🌱 Configuração'!$B$56+150-'🌱 Configuração'!$C$56,7)=0),"🐛 MIP — ver aba MIP para aplicação desta semana",IF(AND('🌱 Configuração'!$B$56+150&gt;='🌱 Configuração'!$D$56,MOD('🌱 Configuração'!$B$56+150-'🌱 Configuração'!$D$56,7)=0),"🐛 MIP solo — ver aba MIP (sem foliar em flora)","")))</f>
        <v/>
      </c>
    </row>
    <row r="157" customFormat="false" ht="18" hidden="false" customHeight="true" outlineLevel="0" collapsed="false">
      <c r="B157" s="67" t="str">
        <f aca="false">IF(152&lt;='🌱 Configuração'!$F$55,152,"")</f>
        <v/>
      </c>
      <c r="C157" s="68" t="str">
        <f aca="false">IF(152&lt;='🌱 Configuração'!$F$55,'🌱 Configuração'!$B$56+151,"")</f>
        <v/>
      </c>
      <c r="D157" s="69" t="str">
        <f aca="false">IF(152&gt;'🌱 Configuração'!$F$55,"",IF('🌱 Configuração'!$B$56+151&lt;'🌱 Configuração'!$C$56,"🌱 Clone",IF('🌱 Configuração'!$B$56+151&lt;'🌱 Configuração'!$D$56,"🌿 Vegetativo",IF('🌱 Configuração'!$B$56+151&lt;'🌱 Configuração'!$E$56,"🌸 Floração","🚿 Flush"))))</f>
        <v/>
      </c>
      <c r="E157" s="70" t="str">
        <f aca="false">IF(152&gt;'🌱 Configuração'!$F$55,"",IF('🌱 Configuração'!$B$56+151&lt;'🌱 Configuração'!$C$56,"Clone S"&amp;INT((152-1)/7)+1,IF('🌱 Configuração'!$B$56+151&lt;'🌱 Configuração'!$D$56,"Vega S"&amp;INT(('🌱 Configuração'!$B$56+151-'🌱 Configuração'!$C$56)/7)+1,IF('🌱 Configuração'!$B$56+151&lt;'🌱 Configuração'!$E$56,"Flora S"&amp;INT(('🌱 Configuração'!$B$56+151-'🌱 Configuração'!$D$56)/7)+1,"Flush S"&amp;INT(('🌱 Configuração'!$B$56+151-'🌱 Configuração'!$E$56)/7)+1))))</f>
        <v/>
      </c>
      <c r="F157" s="13" t="str">
        <f aca="false">IF(152&gt;'🌱 Configuração'!$F$55,"",IF('🌱 Configuração'!$B$56+151='🌱 Configuração'!$C$56,"🌿 INÍCIO VEGA — luz 18h/dia",IF('🌱 Configuração'!$B$56+151='🌱 Configuração'!$D$56,"🌸 INÍCIO FLORAÇÃO — mudar 12/12 🔴",IF('🌱 Configuração'!$B$56+151='🌱 Configuração'!$E$56,"🚿 INÍCIO FLUSH — parar nutrição",IF('🌱 Configuração'!$B$56+151='🌱 Configuração'!$F$56-1,"🔬 Véspera da colheita — analisar tricomas",IF('🌱 Configuração'!$B$56+151='🌱 Configuração'!$F$56,"✂️ COLHEITA — Parabéns! 🎉",""))))))</f>
        <v/>
      </c>
      <c r="G157" s="71" t="str">
        <f aca="false">IF(152&gt;'🌱 Configuração'!$F$55,"",IF(AND('🌱 Configuração'!$B$56+151&gt;='🌱 Configuração'!$C$56,'🌱 Configuração'!$B$56+151&lt;'🌱 Configuração'!$D$56,MOD('🌱 Configuração'!$B$56+151-'🌱 Configuração'!$C$56,7)=0),"🐛 MIP — ver aba MIP para aplicação desta semana",IF(AND('🌱 Configuração'!$B$56+151&gt;='🌱 Configuração'!$D$56,MOD('🌱 Configuração'!$B$56+151-'🌱 Configuração'!$D$56,7)=0),"🐛 MIP solo — ver aba MIP (sem foliar em flora)","")))</f>
        <v/>
      </c>
    </row>
    <row r="158" customFormat="false" ht="18" hidden="false" customHeight="true" outlineLevel="0" collapsed="false">
      <c r="B158" s="64" t="str">
        <f aca="false">IF(153&lt;='🌱 Configuração'!$F$55,153,"")</f>
        <v/>
      </c>
      <c r="C158" s="41" t="str">
        <f aca="false">IF(153&lt;='🌱 Configuração'!$F$55,'🌱 Configuração'!$B$56+152,"")</f>
        <v/>
      </c>
      <c r="D158" s="65" t="str">
        <f aca="false">IF(153&gt;'🌱 Configuração'!$F$55,"",IF('🌱 Configuração'!$B$56+152&lt;'🌱 Configuração'!$C$56,"🌱 Clone",IF('🌱 Configuração'!$B$56+152&lt;'🌱 Configuração'!$D$56,"🌿 Vegetativo",IF('🌱 Configuração'!$B$56+152&lt;'🌱 Configuração'!$E$56,"🌸 Floração","🚿 Flush"))))</f>
        <v/>
      </c>
      <c r="E158" s="43" t="str">
        <f aca="false">IF(153&gt;'🌱 Configuração'!$F$55,"",IF('🌱 Configuração'!$B$56+152&lt;'🌱 Configuração'!$C$56,"Clone S"&amp;INT((153-1)/7)+1,IF('🌱 Configuração'!$B$56+152&lt;'🌱 Configuração'!$D$56,"Vega S"&amp;INT(('🌱 Configuração'!$B$56+152-'🌱 Configuração'!$C$56)/7)+1,IF('🌱 Configuração'!$B$56+152&lt;'🌱 Configuração'!$E$56,"Flora S"&amp;INT(('🌱 Configuração'!$B$56+152-'🌱 Configuração'!$D$56)/7)+1,"Flush S"&amp;INT(('🌱 Configuração'!$B$56+152-'🌱 Configuração'!$E$56)/7)+1))))</f>
        <v/>
      </c>
      <c r="F158" s="42" t="str">
        <f aca="false">IF(153&gt;'🌱 Configuração'!$F$55,"",IF('🌱 Configuração'!$B$56+152='🌱 Configuração'!$C$56,"🌿 INÍCIO VEGA — luz 18h/dia",IF('🌱 Configuração'!$B$56+152='🌱 Configuração'!$D$56,"🌸 INÍCIO FLORAÇÃO — mudar 12/12 🔴",IF('🌱 Configuração'!$B$56+152='🌱 Configuração'!$E$56,"🚿 INÍCIO FLUSH — parar nutrição",IF('🌱 Configuração'!$B$56+152='🌱 Configuração'!$F$56-1,"🔬 Véspera da colheita — analisar tricomas",IF('🌱 Configuração'!$B$56+152='🌱 Configuração'!$F$56,"✂️ COLHEITA — Parabéns! 🎉",""))))))</f>
        <v/>
      </c>
      <c r="G158" s="66" t="str">
        <f aca="false">IF(153&gt;'🌱 Configuração'!$F$55,"",IF(AND('🌱 Configuração'!$B$56+152&gt;='🌱 Configuração'!$C$56,'🌱 Configuração'!$B$56+152&lt;'🌱 Configuração'!$D$56,MOD('🌱 Configuração'!$B$56+152-'🌱 Configuração'!$C$56,7)=0),"🐛 MIP — ver aba MIP para aplicação desta semana",IF(AND('🌱 Configuração'!$B$56+152&gt;='🌱 Configuração'!$D$56,MOD('🌱 Configuração'!$B$56+152-'🌱 Configuração'!$D$56,7)=0),"🐛 MIP solo — ver aba MIP (sem foliar em flora)","")))</f>
        <v/>
      </c>
    </row>
    <row r="159" customFormat="false" ht="18" hidden="false" customHeight="true" outlineLevel="0" collapsed="false">
      <c r="B159" s="67" t="str">
        <f aca="false">IF(154&lt;='🌱 Configuração'!$F$55,154,"")</f>
        <v/>
      </c>
      <c r="C159" s="68" t="str">
        <f aca="false">IF(154&lt;='🌱 Configuração'!$F$55,'🌱 Configuração'!$B$56+153,"")</f>
        <v/>
      </c>
      <c r="D159" s="69" t="str">
        <f aca="false">IF(154&gt;'🌱 Configuração'!$F$55,"",IF('🌱 Configuração'!$B$56+153&lt;'🌱 Configuração'!$C$56,"🌱 Clone",IF('🌱 Configuração'!$B$56+153&lt;'🌱 Configuração'!$D$56,"🌿 Vegetativo",IF('🌱 Configuração'!$B$56+153&lt;'🌱 Configuração'!$E$56,"🌸 Floração","🚿 Flush"))))</f>
        <v/>
      </c>
      <c r="E159" s="70" t="str">
        <f aca="false">IF(154&gt;'🌱 Configuração'!$F$55,"",IF('🌱 Configuração'!$B$56+153&lt;'🌱 Configuração'!$C$56,"Clone S"&amp;INT((154-1)/7)+1,IF('🌱 Configuração'!$B$56+153&lt;'🌱 Configuração'!$D$56,"Vega S"&amp;INT(('🌱 Configuração'!$B$56+153-'🌱 Configuração'!$C$56)/7)+1,IF('🌱 Configuração'!$B$56+153&lt;'🌱 Configuração'!$E$56,"Flora S"&amp;INT(('🌱 Configuração'!$B$56+153-'🌱 Configuração'!$D$56)/7)+1,"Flush S"&amp;INT(('🌱 Configuração'!$B$56+153-'🌱 Configuração'!$E$56)/7)+1))))</f>
        <v/>
      </c>
      <c r="F159" s="13" t="str">
        <f aca="false">IF(154&gt;'🌱 Configuração'!$F$55,"",IF('🌱 Configuração'!$B$56+153='🌱 Configuração'!$C$56,"🌿 INÍCIO VEGA — luz 18h/dia",IF('🌱 Configuração'!$B$56+153='🌱 Configuração'!$D$56,"🌸 INÍCIO FLORAÇÃO — mudar 12/12 🔴",IF('🌱 Configuração'!$B$56+153='🌱 Configuração'!$E$56,"🚿 INÍCIO FLUSH — parar nutrição",IF('🌱 Configuração'!$B$56+153='🌱 Configuração'!$F$56-1,"🔬 Véspera da colheita — analisar tricomas",IF('🌱 Configuração'!$B$56+153='🌱 Configuração'!$F$56,"✂️ COLHEITA — Parabéns! 🎉",""))))))</f>
        <v/>
      </c>
      <c r="G159" s="71" t="str">
        <f aca="false">IF(154&gt;'🌱 Configuração'!$F$55,"",IF(AND('🌱 Configuração'!$B$56+153&gt;='🌱 Configuração'!$C$56,'🌱 Configuração'!$B$56+153&lt;'🌱 Configuração'!$D$56,MOD('🌱 Configuração'!$B$56+153-'🌱 Configuração'!$C$56,7)=0),"🐛 MIP — ver aba MIP para aplicação desta semana",IF(AND('🌱 Configuração'!$B$56+153&gt;='🌱 Configuração'!$D$56,MOD('🌱 Configuração'!$B$56+153-'🌱 Configuração'!$D$56,7)=0),"🐛 MIP solo — ver aba MIP (sem foliar em flora)","")))</f>
        <v/>
      </c>
    </row>
    <row r="160" customFormat="false" ht="18" hidden="false" customHeight="true" outlineLevel="0" collapsed="false">
      <c r="B160" s="64" t="str">
        <f aca="false">IF(155&lt;='🌱 Configuração'!$F$55,155,"")</f>
        <v/>
      </c>
      <c r="C160" s="41" t="str">
        <f aca="false">IF(155&lt;='🌱 Configuração'!$F$55,'🌱 Configuração'!$B$56+154,"")</f>
        <v/>
      </c>
      <c r="D160" s="65" t="str">
        <f aca="false">IF(155&gt;'🌱 Configuração'!$F$55,"",IF('🌱 Configuração'!$B$56+154&lt;'🌱 Configuração'!$C$56,"🌱 Clone",IF('🌱 Configuração'!$B$56+154&lt;'🌱 Configuração'!$D$56,"🌿 Vegetativo",IF('🌱 Configuração'!$B$56+154&lt;'🌱 Configuração'!$E$56,"🌸 Floração","🚿 Flush"))))</f>
        <v/>
      </c>
      <c r="E160" s="43" t="str">
        <f aca="false">IF(155&gt;'🌱 Configuração'!$F$55,"",IF('🌱 Configuração'!$B$56+154&lt;'🌱 Configuração'!$C$56,"Clone S"&amp;INT((155-1)/7)+1,IF('🌱 Configuração'!$B$56+154&lt;'🌱 Configuração'!$D$56,"Vega S"&amp;INT(('🌱 Configuração'!$B$56+154-'🌱 Configuração'!$C$56)/7)+1,IF('🌱 Configuração'!$B$56+154&lt;'🌱 Configuração'!$E$56,"Flora S"&amp;INT(('🌱 Configuração'!$B$56+154-'🌱 Configuração'!$D$56)/7)+1,"Flush S"&amp;INT(('🌱 Configuração'!$B$56+154-'🌱 Configuração'!$E$56)/7)+1))))</f>
        <v/>
      </c>
      <c r="F160" s="42" t="str">
        <f aca="false">IF(155&gt;'🌱 Configuração'!$F$55,"",IF('🌱 Configuração'!$B$56+154='🌱 Configuração'!$C$56,"🌿 INÍCIO VEGA — luz 18h/dia",IF('🌱 Configuração'!$B$56+154='🌱 Configuração'!$D$56,"🌸 INÍCIO FLORAÇÃO — mudar 12/12 🔴",IF('🌱 Configuração'!$B$56+154='🌱 Configuração'!$E$56,"🚿 INÍCIO FLUSH — parar nutrição",IF('🌱 Configuração'!$B$56+154='🌱 Configuração'!$F$56-1,"🔬 Véspera da colheita — analisar tricomas",IF('🌱 Configuração'!$B$56+154='🌱 Configuração'!$F$56,"✂️ COLHEITA — Parabéns! 🎉",""))))))</f>
        <v/>
      </c>
      <c r="G160" s="66" t="str">
        <f aca="false">IF(155&gt;'🌱 Configuração'!$F$55,"",IF(AND('🌱 Configuração'!$B$56+154&gt;='🌱 Configuração'!$C$56,'🌱 Configuração'!$B$56+154&lt;'🌱 Configuração'!$D$56,MOD('🌱 Configuração'!$B$56+154-'🌱 Configuração'!$C$56,7)=0),"🐛 MIP — ver aba MIP para aplicação desta semana",IF(AND('🌱 Configuração'!$B$56+154&gt;='🌱 Configuração'!$D$56,MOD('🌱 Configuração'!$B$56+154-'🌱 Configuração'!$D$56,7)=0),"🐛 MIP solo — ver aba MIP (sem foliar em flora)","")))</f>
        <v/>
      </c>
    </row>
    <row r="161" customFormat="false" ht="18" hidden="false" customHeight="true" outlineLevel="0" collapsed="false">
      <c r="B161" s="67" t="str">
        <f aca="false">IF(156&lt;='🌱 Configuração'!$F$55,156,"")</f>
        <v/>
      </c>
      <c r="C161" s="68" t="str">
        <f aca="false">IF(156&lt;='🌱 Configuração'!$F$55,'🌱 Configuração'!$B$56+155,"")</f>
        <v/>
      </c>
      <c r="D161" s="69" t="str">
        <f aca="false">IF(156&gt;'🌱 Configuração'!$F$55,"",IF('🌱 Configuração'!$B$56+155&lt;'🌱 Configuração'!$C$56,"🌱 Clone",IF('🌱 Configuração'!$B$56+155&lt;'🌱 Configuração'!$D$56,"🌿 Vegetativo",IF('🌱 Configuração'!$B$56+155&lt;'🌱 Configuração'!$E$56,"🌸 Floração","🚿 Flush"))))</f>
        <v/>
      </c>
      <c r="E161" s="70" t="str">
        <f aca="false">IF(156&gt;'🌱 Configuração'!$F$55,"",IF('🌱 Configuração'!$B$56+155&lt;'🌱 Configuração'!$C$56,"Clone S"&amp;INT((156-1)/7)+1,IF('🌱 Configuração'!$B$56+155&lt;'🌱 Configuração'!$D$56,"Vega S"&amp;INT(('🌱 Configuração'!$B$56+155-'🌱 Configuração'!$C$56)/7)+1,IF('🌱 Configuração'!$B$56+155&lt;'🌱 Configuração'!$E$56,"Flora S"&amp;INT(('🌱 Configuração'!$B$56+155-'🌱 Configuração'!$D$56)/7)+1,"Flush S"&amp;INT(('🌱 Configuração'!$B$56+155-'🌱 Configuração'!$E$56)/7)+1))))</f>
        <v/>
      </c>
      <c r="F161" s="13" t="str">
        <f aca="false">IF(156&gt;'🌱 Configuração'!$F$55,"",IF('🌱 Configuração'!$B$56+155='🌱 Configuração'!$C$56,"🌿 INÍCIO VEGA — luz 18h/dia",IF('🌱 Configuração'!$B$56+155='🌱 Configuração'!$D$56,"🌸 INÍCIO FLORAÇÃO — mudar 12/12 🔴",IF('🌱 Configuração'!$B$56+155='🌱 Configuração'!$E$56,"🚿 INÍCIO FLUSH — parar nutrição",IF('🌱 Configuração'!$B$56+155='🌱 Configuração'!$F$56-1,"🔬 Véspera da colheita — analisar tricomas",IF('🌱 Configuração'!$B$56+155='🌱 Configuração'!$F$56,"✂️ COLHEITA — Parabéns! 🎉",""))))))</f>
        <v/>
      </c>
      <c r="G161" s="71" t="str">
        <f aca="false">IF(156&gt;'🌱 Configuração'!$F$55,"",IF(AND('🌱 Configuração'!$B$56+155&gt;='🌱 Configuração'!$C$56,'🌱 Configuração'!$B$56+155&lt;'🌱 Configuração'!$D$56,MOD('🌱 Configuração'!$B$56+155-'🌱 Configuração'!$C$56,7)=0),"🐛 MIP — ver aba MIP para aplicação desta semana",IF(AND('🌱 Configuração'!$B$56+155&gt;='🌱 Configuração'!$D$56,MOD('🌱 Configuração'!$B$56+155-'🌱 Configuração'!$D$56,7)=0),"🐛 MIP solo — ver aba MIP (sem foliar em flora)","")))</f>
        <v/>
      </c>
    </row>
    <row r="162" customFormat="false" ht="18" hidden="false" customHeight="true" outlineLevel="0" collapsed="false">
      <c r="B162" s="64" t="str">
        <f aca="false">IF(157&lt;='🌱 Configuração'!$F$55,157,"")</f>
        <v/>
      </c>
      <c r="C162" s="41" t="str">
        <f aca="false">IF(157&lt;='🌱 Configuração'!$F$55,'🌱 Configuração'!$B$56+156,"")</f>
        <v/>
      </c>
      <c r="D162" s="65" t="str">
        <f aca="false">IF(157&gt;'🌱 Configuração'!$F$55,"",IF('🌱 Configuração'!$B$56+156&lt;'🌱 Configuração'!$C$56,"🌱 Clone",IF('🌱 Configuração'!$B$56+156&lt;'🌱 Configuração'!$D$56,"🌿 Vegetativo",IF('🌱 Configuração'!$B$56+156&lt;'🌱 Configuração'!$E$56,"🌸 Floração","🚿 Flush"))))</f>
        <v/>
      </c>
      <c r="E162" s="43" t="str">
        <f aca="false">IF(157&gt;'🌱 Configuração'!$F$55,"",IF('🌱 Configuração'!$B$56+156&lt;'🌱 Configuração'!$C$56,"Clone S"&amp;INT((157-1)/7)+1,IF('🌱 Configuração'!$B$56+156&lt;'🌱 Configuração'!$D$56,"Vega S"&amp;INT(('🌱 Configuração'!$B$56+156-'🌱 Configuração'!$C$56)/7)+1,IF('🌱 Configuração'!$B$56+156&lt;'🌱 Configuração'!$E$56,"Flora S"&amp;INT(('🌱 Configuração'!$B$56+156-'🌱 Configuração'!$D$56)/7)+1,"Flush S"&amp;INT(('🌱 Configuração'!$B$56+156-'🌱 Configuração'!$E$56)/7)+1))))</f>
        <v/>
      </c>
      <c r="F162" s="42" t="str">
        <f aca="false">IF(157&gt;'🌱 Configuração'!$F$55,"",IF('🌱 Configuração'!$B$56+156='🌱 Configuração'!$C$56,"🌿 INÍCIO VEGA — luz 18h/dia",IF('🌱 Configuração'!$B$56+156='🌱 Configuração'!$D$56,"🌸 INÍCIO FLORAÇÃO — mudar 12/12 🔴",IF('🌱 Configuração'!$B$56+156='🌱 Configuração'!$E$56,"🚿 INÍCIO FLUSH — parar nutrição",IF('🌱 Configuração'!$B$56+156='🌱 Configuração'!$F$56-1,"🔬 Véspera da colheita — analisar tricomas",IF('🌱 Configuração'!$B$56+156='🌱 Configuração'!$F$56,"✂️ COLHEITA — Parabéns! 🎉",""))))))</f>
        <v/>
      </c>
      <c r="G162" s="66" t="str">
        <f aca="false">IF(157&gt;'🌱 Configuração'!$F$55,"",IF(AND('🌱 Configuração'!$B$56+156&gt;='🌱 Configuração'!$C$56,'🌱 Configuração'!$B$56+156&lt;'🌱 Configuração'!$D$56,MOD('🌱 Configuração'!$B$56+156-'🌱 Configuração'!$C$56,7)=0),"🐛 MIP — ver aba MIP para aplicação desta semana",IF(AND('🌱 Configuração'!$B$56+156&gt;='🌱 Configuração'!$D$56,MOD('🌱 Configuração'!$B$56+156-'🌱 Configuração'!$D$56,7)=0),"🐛 MIP solo — ver aba MIP (sem foliar em flora)","")))</f>
        <v/>
      </c>
    </row>
    <row r="163" customFormat="false" ht="18" hidden="false" customHeight="true" outlineLevel="0" collapsed="false">
      <c r="B163" s="67" t="str">
        <f aca="false">IF(158&lt;='🌱 Configuração'!$F$55,158,"")</f>
        <v/>
      </c>
      <c r="C163" s="68" t="str">
        <f aca="false">IF(158&lt;='🌱 Configuração'!$F$55,'🌱 Configuração'!$B$56+157,"")</f>
        <v/>
      </c>
      <c r="D163" s="69" t="str">
        <f aca="false">IF(158&gt;'🌱 Configuração'!$F$55,"",IF('🌱 Configuração'!$B$56+157&lt;'🌱 Configuração'!$C$56,"🌱 Clone",IF('🌱 Configuração'!$B$56+157&lt;'🌱 Configuração'!$D$56,"🌿 Vegetativo",IF('🌱 Configuração'!$B$56+157&lt;'🌱 Configuração'!$E$56,"🌸 Floração","🚿 Flush"))))</f>
        <v/>
      </c>
      <c r="E163" s="70" t="str">
        <f aca="false">IF(158&gt;'🌱 Configuração'!$F$55,"",IF('🌱 Configuração'!$B$56+157&lt;'🌱 Configuração'!$C$56,"Clone S"&amp;INT((158-1)/7)+1,IF('🌱 Configuração'!$B$56+157&lt;'🌱 Configuração'!$D$56,"Vega S"&amp;INT(('🌱 Configuração'!$B$56+157-'🌱 Configuração'!$C$56)/7)+1,IF('🌱 Configuração'!$B$56+157&lt;'🌱 Configuração'!$E$56,"Flora S"&amp;INT(('🌱 Configuração'!$B$56+157-'🌱 Configuração'!$D$56)/7)+1,"Flush S"&amp;INT(('🌱 Configuração'!$B$56+157-'🌱 Configuração'!$E$56)/7)+1))))</f>
        <v/>
      </c>
      <c r="F163" s="13" t="str">
        <f aca="false">IF(158&gt;'🌱 Configuração'!$F$55,"",IF('🌱 Configuração'!$B$56+157='🌱 Configuração'!$C$56,"🌿 INÍCIO VEGA — luz 18h/dia",IF('🌱 Configuração'!$B$56+157='🌱 Configuração'!$D$56,"🌸 INÍCIO FLORAÇÃO — mudar 12/12 🔴",IF('🌱 Configuração'!$B$56+157='🌱 Configuração'!$E$56,"🚿 INÍCIO FLUSH — parar nutrição",IF('🌱 Configuração'!$B$56+157='🌱 Configuração'!$F$56-1,"🔬 Véspera da colheita — analisar tricomas",IF('🌱 Configuração'!$B$56+157='🌱 Configuração'!$F$56,"✂️ COLHEITA — Parabéns! 🎉",""))))))</f>
        <v/>
      </c>
      <c r="G163" s="71" t="str">
        <f aca="false">IF(158&gt;'🌱 Configuração'!$F$55,"",IF(AND('🌱 Configuração'!$B$56+157&gt;='🌱 Configuração'!$C$56,'🌱 Configuração'!$B$56+157&lt;'🌱 Configuração'!$D$56,MOD('🌱 Configuração'!$B$56+157-'🌱 Configuração'!$C$56,7)=0),"🐛 MIP — ver aba MIP para aplicação desta semana",IF(AND('🌱 Configuração'!$B$56+157&gt;='🌱 Configuração'!$D$56,MOD('🌱 Configuração'!$B$56+157-'🌱 Configuração'!$D$56,7)=0),"🐛 MIP solo — ver aba MIP (sem foliar em flora)","")))</f>
        <v/>
      </c>
    </row>
    <row r="164" customFormat="false" ht="18" hidden="false" customHeight="true" outlineLevel="0" collapsed="false">
      <c r="B164" s="64" t="str">
        <f aca="false">IF(159&lt;='🌱 Configuração'!$F$55,159,"")</f>
        <v/>
      </c>
      <c r="C164" s="41" t="str">
        <f aca="false">IF(159&lt;='🌱 Configuração'!$F$55,'🌱 Configuração'!$B$56+158,"")</f>
        <v/>
      </c>
      <c r="D164" s="65" t="str">
        <f aca="false">IF(159&gt;'🌱 Configuração'!$F$55,"",IF('🌱 Configuração'!$B$56+158&lt;'🌱 Configuração'!$C$56,"🌱 Clone",IF('🌱 Configuração'!$B$56+158&lt;'🌱 Configuração'!$D$56,"🌿 Vegetativo",IF('🌱 Configuração'!$B$56+158&lt;'🌱 Configuração'!$E$56,"🌸 Floração","🚿 Flush"))))</f>
        <v/>
      </c>
      <c r="E164" s="43" t="str">
        <f aca="false">IF(159&gt;'🌱 Configuração'!$F$55,"",IF('🌱 Configuração'!$B$56+158&lt;'🌱 Configuração'!$C$56,"Clone S"&amp;INT((159-1)/7)+1,IF('🌱 Configuração'!$B$56+158&lt;'🌱 Configuração'!$D$56,"Vega S"&amp;INT(('🌱 Configuração'!$B$56+158-'🌱 Configuração'!$C$56)/7)+1,IF('🌱 Configuração'!$B$56+158&lt;'🌱 Configuração'!$E$56,"Flora S"&amp;INT(('🌱 Configuração'!$B$56+158-'🌱 Configuração'!$D$56)/7)+1,"Flush S"&amp;INT(('🌱 Configuração'!$B$56+158-'🌱 Configuração'!$E$56)/7)+1))))</f>
        <v/>
      </c>
      <c r="F164" s="42" t="str">
        <f aca="false">IF(159&gt;'🌱 Configuração'!$F$55,"",IF('🌱 Configuração'!$B$56+158='🌱 Configuração'!$C$56,"🌿 INÍCIO VEGA — luz 18h/dia",IF('🌱 Configuração'!$B$56+158='🌱 Configuração'!$D$56,"🌸 INÍCIO FLORAÇÃO — mudar 12/12 🔴",IF('🌱 Configuração'!$B$56+158='🌱 Configuração'!$E$56,"🚿 INÍCIO FLUSH — parar nutrição",IF('🌱 Configuração'!$B$56+158='🌱 Configuração'!$F$56-1,"🔬 Véspera da colheita — analisar tricomas",IF('🌱 Configuração'!$B$56+158='🌱 Configuração'!$F$56,"✂️ COLHEITA — Parabéns! 🎉",""))))))</f>
        <v/>
      </c>
      <c r="G164" s="66" t="str">
        <f aca="false">IF(159&gt;'🌱 Configuração'!$F$55,"",IF(AND('🌱 Configuração'!$B$56+158&gt;='🌱 Configuração'!$C$56,'🌱 Configuração'!$B$56+158&lt;'🌱 Configuração'!$D$56,MOD('🌱 Configuração'!$B$56+158-'🌱 Configuração'!$C$56,7)=0),"🐛 MIP — ver aba MIP para aplicação desta semana",IF(AND('🌱 Configuração'!$B$56+158&gt;='🌱 Configuração'!$D$56,MOD('🌱 Configuração'!$B$56+158-'🌱 Configuração'!$D$56,7)=0),"🐛 MIP solo — ver aba MIP (sem foliar em flora)","")))</f>
        <v/>
      </c>
    </row>
    <row r="165" customFormat="false" ht="18" hidden="false" customHeight="true" outlineLevel="0" collapsed="false">
      <c r="B165" s="67" t="str">
        <f aca="false">IF(160&lt;='🌱 Configuração'!$F$55,160,"")</f>
        <v/>
      </c>
      <c r="C165" s="68" t="str">
        <f aca="false">IF(160&lt;='🌱 Configuração'!$F$55,'🌱 Configuração'!$B$56+159,"")</f>
        <v/>
      </c>
      <c r="D165" s="69" t="str">
        <f aca="false">IF(160&gt;'🌱 Configuração'!$F$55,"",IF('🌱 Configuração'!$B$56+159&lt;'🌱 Configuração'!$C$56,"🌱 Clone",IF('🌱 Configuração'!$B$56+159&lt;'🌱 Configuração'!$D$56,"🌿 Vegetativo",IF('🌱 Configuração'!$B$56+159&lt;'🌱 Configuração'!$E$56,"🌸 Floração","🚿 Flush"))))</f>
        <v/>
      </c>
      <c r="E165" s="70" t="str">
        <f aca="false">IF(160&gt;'🌱 Configuração'!$F$55,"",IF('🌱 Configuração'!$B$56+159&lt;'🌱 Configuração'!$C$56,"Clone S"&amp;INT((160-1)/7)+1,IF('🌱 Configuração'!$B$56+159&lt;'🌱 Configuração'!$D$56,"Vega S"&amp;INT(('🌱 Configuração'!$B$56+159-'🌱 Configuração'!$C$56)/7)+1,IF('🌱 Configuração'!$B$56+159&lt;'🌱 Configuração'!$E$56,"Flora S"&amp;INT(('🌱 Configuração'!$B$56+159-'🌱 Configuração'!$D$56)/7)+1,"Flush S"&amp;INT(('🌱 Configuração'!$B$56+159-'🌱 Configuração'!$E$56)/7)+1))))</f>
        <v/>
      </c>
      <c r="F165" s="13" t="str">
        <f aca="false">IF(160&gt;'🌱 Configuração'!$F$55,"",IF('🌱 Configuração'!$B$56+159='🌱 Configuração'!$C$56,"🌿 INÍCIO VEGA — luz 18h/dia",IF('🌱 Configuração'!$B$56+159='🌱 Configuração'!$D$56,"🌸 INÍCIO FLORAÇÃO — mudar 12/12 🔴",IF('🌱 Configuração'!$B$56+159='🌱 Configuração'!$E$56,"🚿 INÍCIO FLUSH — parar nutrição",IF('🌱 Configuração'!$B$56+159='🌱 Configuração'!$F$56-1,"🔬 Véspera da colheita — analisar tricomas",IF('🌱 Configuração'!$B$56+159='🌱 Configuração'!$F$56,"✂️ COLHEITA — Parabéns! 🎉",""))))))</f>
        <v/>
      </c>
      <c r="G165" s="71" t="str">
        <f aca="false">IF(160&gt;'🌱 Configuração'!$F$55,"",IF(AND('🌱 Configuração'!$B$56+159&gt;='🌱 Configuração'!$C$56,'🌱 Configuração'!$B$56+159&lt;'🌱 Configuração'!$D$56,MOD('🌱 Configuração'!$B$56+159-'🌱 Configuração'!$C$56,7)=0),"🐛 MIP — ver aba MIP para aplicação desta semana",IF(AND('🌱 Configuração'!$B$56+159&gt;='🌱 Configuração'!$D$56,MOD('🌱 Configuração'!$B$56+159-'🌱 Configuração'!$D$56,7)=0),"🐛 MIP solo — ver aba MIP (sem foliar em flora)","")))</f>
        <v/>
      </c>
    </row>
    <row r="166" customFormat="false" ht="18" hidden="false" customHeight="true" outlineLevel="0" collapsed="false">
      <c r="B166" s="64" t="str">
        <f aca="false">IF(161&lt;='🌱 Configuração'!$F$55,161,"")</f>
        <v/>
      </c>
      <c r="C166" s="41" t="str">
        <f aca="false">IF(161&lt;='🌱 Configuração'!$F$55,'🌱 Configuração'!$B$56+160,"")</f>
        <v/>
      </c>
      <c r="D166" s="65" t="str">
        <f aca="false">IF(161&gt;'🌱 Configuração'!$F$55,"",IF('🌱 Configuração'!$B$56+160&lt;'🌱 Configuração'!$C$56,"🌱 Clone",IF('🌱 Configuração'!$B$56+160&lt;'🌱 Configuração'!$D$56,"🌿 Vegetativo",IF('🌱 Configuração'!$B$56+160&lt;'🌱 Configuração'!$E$56,"🌸 Floração","🚿 Flush"))))</f>
        <v/>
      </c>
      <c r="E166" s="43" t="str">
        <f aca="false">IF(161&gt;'🌱 Configuração'!$F$55,"",IF('🌱 Configuração'!$B$56+160&lt;'🌱 Configuração'!$C$56,"Clone S"&amp;INT((161-1)/7)+1,IF('🌱 Configuração'!$B$56+160&lt;'🌱 Configuração'!$D$56,"Vega S"&amp;INT(('🌱 Configuração'!$B$56+160-'🌱 Configuração'!$C$56)/7)+1,IF('🌱 Configuração'!$B$56+160&lt;'🌱 Configuração'!$E$56,"Flora S"&amp;INT(('🌱 Configuração'!$B$56+160-'🌱 Configuração'!$D$56)/7)+1,"Flush S"&amp;INT(('🌱 Configuração'!$B$56+160-'🌱 Configuração'!$E$56)/7)+1))))</f>
        <v/>
      </c>
      <c r="F166" s="42" t="str">
        <f aca="false">IF(161&gt;'🌱 Configuração'!$F$55,"",IF('🌱 Configuração'!$B$56+160='🌱 Configuração'!$C$56,"🌿 INÍCIO VEGA — luz 18h/dia",IF('🌱 Configuração'!$B$56+160='🌱 Configuração'!$D$56,"🌸 INÍCIO FLORAÇÃO — mudar 12/12 🔴",IF('🌱 Configuração'!$B$56+160='🌱 Configuração'!$E$56,"🚿 INÍCIO FLUSH — parar nutrição",IF('🌱 Configuração'!$B$56+160='🌱 Configuração'!$F$56-1,"🔬 Véspera da colheita — analisar tricomas",IF('🌱 Configuração'!$B$56+160='🌱 Configuração'!$F$56,"✂️ COLHEITA — Parabéns! 🎉",""))))))</f>
        <v/>
      </c>
      <c r="G166" s="66" t="str">
        <f aca="false">IF(161&gt;'🌱 Configuração'!$F$55,"",IF(AND('🌱 Configuração'!$B$56+160&gt;='🌱 Configuração'!$C$56,'🌱 Configuração'!$B$56+160&lt;'🌱 Configuração'!$D$56,MOD('🌱 Configuração'!$B$56+160-'🌱 Configuração'!$C$56,7)=0),"🐛 MIP — ver aba MIP para aplicação desta semana",IF(AND('🌱 Configuração'!$B$56+160&gt;='🌱 Configuração'!$D$56,MOD('🌱 Configuração'!$B$56+160-'🌱 Configuração'!$D$56,7)=0),"🐛 MIP solo — ver aba MIP (sem foliar em flora)","")))</f>
        <v/>
      </c>
    </row>
    <row r="167" customFormat="false" ht="18" hidden="false" customHeight="true" outlineLevel="0" collapsed="false">
      <c r="B167" s="67" t="str">
        <f aca="false">IF(162&lt;='🌱 Configuração'!$F$55,162,"")</f>
        <v/>
      </c>
      <c r="C167" s="68" t="str">
        <f aca="false">IF(162&lt;='🌱 Configuração'!$F$55,'🌱 Configuração'!$B$56+161,"")</f>
        <v/>
      </c>
      <c r="D167" s="69" t="str">
        <f aca="false">IF(162&gt;'🌱 Configuração'!$F$55,"",IF('🌱 Configuração'!$B$56+161&lt;'🌱 Configuração'!$C$56,"🌱 Clone",IF('🌱 Configuração'!$B$56+161&lt;'🌱 Configuração'!$D$56,"🌿 Vegetativo",IF('🌱 Configuração'!$B$56+161&lt;'🌱 Configuração'!$E$56,"🌸 Floração","🚿 Flush"))))</f>
        <v/>
      </c>
      <c r="E167" s="70" t="str">
        <f aca="false">IF(162&gt;'🌱 Configuração'!$F$55,"",IF('🌱 Configuração'!$B$56+161&lt;'🌱 Configuração'!$C$56,"Clone S"&amp;INT((162-1)/7)+1,IF('🌱 Configuração'!$B$56+161&lt;'🌱 Configuração'!$D$56,"Vega S"&amp;INT(('🌱 Configuração'!$B$56+161-'🌱 Configuração'!$C$56)/7)+1,IF('🌱 Configuração'!$B$56+161&lt;'🌱 Configuração'!$E$56,"Flora S"&amp;INT(('🌱 Configuração'!$B$56+161-'🌱 Configuração'!$D$56)/7)+1,"Flush S"&amp;INT(('🌱 Configuração'!$B$56+161-'🌱 Configuração'!$E$56)/7)+1))))</f>
        <v/>
      </c>
      <c r="F167" s="13" t="str">
        <f aca="false">IF(162&gt;'🌱 Configuração'!$F$55,"",IF('🌱 Configuração'!$B$56+161='🌱 Configuração'!$C$56,"🌿 INÍCIO VEGA — luz 18h/dia",IF('🌱 Configuração'!$B$56+161='🌱 Configuração'!$D$56,"🌸 INÍCIO FLORAÇÃO — mudar 12/12 🔴",IF('🌱 Configuração'!$B$56+161='🌱 Configuração'!$E$56,"🚿 INÍCIO FLUSH — parar nutrição",IF('🌱 Configuração'!$B$56+161='🌱 Configuração'!$F$56-1,"🔬 Véspera da colheita — analisar tricomas",IF('🌱 Configuração'!$B$56+161='🌱 Configuração'!$F$56,"✂️ COLHEITA — Parabéns! 🎉",""))))))</f>
        <v/>
      </c>
      <c r="G167" s="71" t="str">
        <f aca="false">IF(162&gt;'🌱 Configuração'!$F$55,"",IF(AND('🌱 Configuração'!$B$56+161&gt;='🌱 Configuração'!$C$56,'🌱 Configuração'!$B$56+161&lt;'🌱 Configuração'!$D$56,MOD('🌱 Configuração'!$B$56+161-'🌱 Configuração'!$C$56,7)=0),"🐛 MIP — ver aba MIP para aplicação desta semana",IF(AND('🌱 Configuração'!$B$56+161&gt;='🌱 Configuração'!$D$56,MOD('🌱 Configuração'!$B$56+161-'🌱 Configuração'!$D$56,7)=0),"🐛 MIP solo — ver aba MIP (sem foliar em flora)","")))</f>
        <v/>
      </c>
    </row>
    <row r="168" customFormat="false" ht="18" hidden="false" customHeight="true" outlineLevel="0" collapsed="false">
      <c r="B168" s="64" t="str">
        <f aca="false">IF(163&lt;='🌱 Configuração'!$F$55,163,"")</f>
        <v/>
      </c>
      <c r="C168" s="41" t="str">
        <f aca="false">IF(163&lt;='🌱 Configuração'!$F$55,'🌱 Configuração'!$B$56+162,"")</f>
        <v/>
      </c>
      <c r="D168" s="65" t="str">
        <f aca="false">IF(163&gt;'🌱 Configuração'!$F$55,"",IF('🌱 Configuração'!$B$56+162&lt;'🌱 Configuração'!$C$56,"🌱 Clone",IF('🌱 Configuração'!$B$56+162&lt;'🌱 Configuração'!$D$56,"🌿 Vegetativo",IF('🌱 Configuração'!$B$56+162&lt;'🌱 Configuração'!$E$56,"🌸 Floração","🚿 Flush"))))</f>
        <v/>
      </c>
      <c r="E168" s="43" t="str">
        <f aca="false">IF(163&gt;'🌱 Configuração'!$F$55,"",IF('🌱 Configuração'!$B$56+162&lt;'🌱 Configuração'!$C$56,"Clone S"&amp;INT((163-1)/7)+1,IF('🌱 Configuração'!$B$56+162&lt;'🌱 Configuração'!$D$56,"Vega S"&amp;INT(('🌱 Configuração'!$B$56+162-'🌱 Configuração'!$C$56)/7)+1,IF('🌱 Configuração'!$B$56+162&lt;'🌱 Configuração'!$E$56,"Flora S"&amp;INT(('🌱 Configuração'!$B$56+162-'🌱 Configuração'!$D$56)/7)+1,"Flush S"&amp;INT(('🌱 Configuração'!$B$56+162-'🌱 Configuração'!$E$56)/7)+1))))</f>
        <v/>
      </c>
      <c r="F168" s="42" t="str">
        <f aca="false">IF(163&gt;'🌱 Configuração'!$F$55,"",IF('🌱 Configuração'!$B$56+162='🌱 Configuração'!$C$56,"🌿 INÍCIO VEGA — luz 18h/dia",IF('🌱 Configuração'!$B$56+162='🌱 Configuração'!$D$56,"🌸 INÍCIO FLORAÇÃO — mudar 12/12 🔴",IF('🌱 Configuração'!$B$56+162='🌱 Configuração'!$E$56,"🚿 INÍCIO FLUSH — parar nutrição",IF('🌱 Configuração'!$B$56+162='🌱 Configuração'!$F$56-1,"🔬 Véspera da colheita — analisar tricomas",IF('🌱 Configuração'!$B$56+162='🌱 Configuração'!$F$56,"✂️ COLHEITA — Parabéns! 🎉",""))))))</f>
        <v/>
      </c>
      <c r="G168" s="66" t="str">
        <f aca="false">IF(163&gt;'🌱 Configuração'!$F$55,"",IF(AND('🌱 Configuração'!$B$56+162&gt;='🌱 Configuração'!$C$56,'🌱 Configuração'!$B$56+162&lt;'🌱 Configuração'!$D$56,MOD('🌱 Configuração'!$B$56+162-'🌱 Configuração'!$C$56,7)=0),"🐛 MIP — ver aba MIP para aplicação desta semana",IF(AND('🌱 Configuração'!$B$56+162&gt;='🌱 Configuração'!$D$56,MOD('🌱 Configuração'!$B$56+162-'🌱 Configuração'!$D$56,7)=0),"🐛 MIP solo — ver aba MIP (sem foliar em flora)","")))</f>
        <v/>
      </c>
    </row>
    <row r="169" customFormat="false" ht="18" hidden="false" customHeight="true" outlineLevel="0" collapsed="false">
      <c r="B169" s="67" t="str">
        <f aca="false">IF(164&lt;='🌱 Configuração'!$F$55,164,"")</f>
        <v/>
      </c>
      <c r="C169" s="68" t="str">
        <f aca="false">IF(164&lt;='🌱 Configuração'!$F$55,'🌱 Configuração'!$B$56+163,"")</f>
        <v/>
      </c>
      <c r="D169" s="69" t="str">
        <f aca="false">IF(164&gt;'🌱 Configuração'!$F$55,"",IF('🌱 Configuração'!$B$56+163&lt;'🌱 Configuração'!$C$56,"🌱 Clone",IF('🌱 Configuração'!$B$56+163&lt;'🌱 Configuração'!$D$56,"🌿 Vegetativo",IF('🌱 Configuração'!$B$56+163&lt;'🌱 Configuração'!$E$56,"🌸 Floração","🚿 Flush"))))</f>
        <v/>
      </c>
      <c r="E169" s="70" t="str">
        <f aca="false">IF(164&gt;'🌱 Configuração'!$F$55,"",IF('🌱 Configuração'!$B$56+163&lt;'🌱 Configuração'!$C$56,"Clone S"&amp;INT((164-1)/7)+1,IF('🌱 Configuração'!$B$56+163&lt;'🌱 Configuração'!$D$56,"Vega S"&amp;INT(('🌱 Configuração'!$B$56+163-'🌱 Configuração'!$C$56)/7)+1,IF('🌱 Configuração'!$B$56+163&lt;'🌱 Configuração'!$E$56,"Flora S"&amp;INT(('🌱 Configuração'!$B$56+163-'🌱 Configuração'!$D$56)/7)+1,"Flush S"&amp;INT(('🌱 Configuração'!$B$56+163-'🌱 Configuração'!$E$56)/7)+1))))</f>
        <v/>
      </c>
      <c r="F169" s="13" t="str">
        <f aca="false">IF(164&gt;'🌱 Configuração'!$F$55,"",IF('🌱 Configuração'!$B$56+163='🌱 Configuração'!$C$56,"🌿 INÍCIO VEGA — luz 18h/dia",IF('🌱 Configuração'!$B$56+163='🌱 Configuração'!$D$56,"🌸 INÍCIO FLORAÇÃO — mudar 12/12 🔴",IF('🌱 Configuração'!$B$56+163='🌱 Configuração'!$E$56,"🚿 INÍCIO FLUSH — parar nutrição",IF('🌱 Configuração'!$B$56+163='🌱 Configuração'!$F$56-1,"🔬 Véspera da colheita — analisar tricomas",IF('🌱 Configuração'!$B$56+163='🌱 Configuração'!$F$56,"✂️ COLHEITA — Parabéns! 🎉",""))))))</f>
        <v/>
      </c>
      <c r="G169" s="71" t="str">
        <f aca="false">IF(164&gt;'🌱 Configuração'!$F$55,"",IF(AND('🌱 Configuração'!$B$56+163&gt;='🌱 Configuração'!$C$56,'🌱 Configuração'!$B$56+163&lt;'🌱 Configuração'!$D$56,MOD('🌱 Configuração'!$B$56+163-'🌱 Configuração'!$C$56,7)=0),"🐛 MIP — ver aba MIP para aplicação desta semana",IF(AND('🌱 Configuração'!$B$56+163&gt;='🌱 Configuração'!$D$56,MOD('🌱 Configuração'!$B$56+163-'🌱 Configuração'!$D$56,7)=0),"🐛 MIP solo — ver aba MIP (sem foliar em flora)","")))</f>
        <v/>
      </c>
    </row>
    <row r="170" customFormat="false" ht="18" hidden="false" customHeight="true" outlineLevel="0" collapsed="false">
      <c r="B170" s="64" t="str">
        <f aca="false">IF(165&lt;='🌱 Configuração'!$F$55,165,"")</f>
        <v/>
      </c>
      <c r="C170" s="41" t="str">
        <f aca="false">IF(165&lt;='🌱 Configuração'!$F$55,'🌱 Configuração'!$B$56+164,"")</f>
        <v/>
      </c>
      <c r="D170" s="65" t="str">
        <f aca="false">IF(165&gt;'🌱 Configuração'!$F$55,"",IF('🌱 Configuração'!$B$56+164&lt;'🌱 Configuração'!$C$56,"🌱 Clone",IF('🌱 Configuração'!$B$56+164&lt;'🌱 Configuração'!$D$56,"🌿 Vegetativo",IF('🌱 Configuração'!$B$56+164&lt;'🌱 Configuração'!$E$56,"🌸 Floração","🚿 Flush"))))</f>
        <v/>
      </c>
      <c r="E170" s="43" t="str">
        <f aca="false">IF(165&gt;'🌱 Configuração'!$F$55,"",IF('🌱 Configuração'!$B$56+164&lt;'🌱 Configuração'!$C$56,"Clone S"&amp;INT((165-1)/7)+1,IF('🌱 Configuração'!$B$56+164&lt;'🌱 Configuração'!$D$56,"Vega S"&amp;INT(('🌱 Configuração'!$B$56+164-'🌱 Configuração'!$C$56)/7)+1,IF('🌱 Configuração'!$B$56+164&lt;'🌱 Configuração'!$E$56,"Flora S"&amp;INT(('🌱 Configuração'!$B$56+164-'🌱 Configuração'!$D$56)/7)+1,"Flush S"&amp;INT(('🌱 Configuração'!$B$56+164-'🌱 Configuração'!$E$56)/7)+1))))</f>
        <v/>
      </c>
      <c r="F170" s="42" t="str">
        <f aca="false">IF(165&gt;'🌱 Configuração'!$F$55,"",IF('🌱 Configuração'!$B$56+164='🌱 Configuração'!$C$56,"🌿 INÍCIO VEGA — luz 18h/dia",IF('🌱 Configuração'!$B$56+164='🌱 Configuração'!$D$56,"🌸 INÍCIO FLORAÇÃO — mudar 12/12 🔴",IF('🌱 Configuração'!$B$56+164='🌱 Configuração'!$E$56,"🚿 INÍCIO FLUSH — parar nutrição",IF('🌱 Configuração'!$B$56+164='🌱 Configuração'!$F$56-1,"🔬 Véspera da colheita — analisar tricomas",IF('🌱 Configuração'!$B$56+164='🌱 Configuração'!$F$56,"✂️ COLHEITA — Parabéns! 🎉",""))))))</f>
        <v/>
      </c>
      <c r="G170" s="66" t="str">
        <f aca="false">IF(165&gt;'🌱 Configuração'!$F$55,"",IF(AND('🌱 Configuração'!$B$56+164&gt;='🌱 Configuração'!$C$56,'🌱 Configuração'!$B$56+164&lt;'🌱 Configuração'!$D$56,MOD('🌱 Configuração'!$B$56+164-'🌱 Configuração'!$C$56,7)=0),"🐛 MIP — ver aba MIP para aplicação desta semana",IF(AND('🌱 Configuração'!$B$56+164&gt;='🌱 Configuração'!$D$56,MOD('🌱 Configuração'!$B$56+164-'🌱 Configuração'!$D$56,7)=0),"🐛 MIP solo — ver aba MIP (sem foliar em flora)","")))</f>
        <v/>
      </c>
    </row>
    <row r="171" customFormat="false" ht="18" hidden="false" customHeight="true" outlineLevel="0" collapsed="false">
      <c r="B171" s="67" t="str">
        <f aca="false">IF(166&lt;='🌱 Configuração'!$F$55,166,"")</f>
        <v/>
      </c>
      <c r="C171" s="68" t="str">
        <f aca="false">IF(166&lt;='🌱 Configuração'!$F$55,'🌱 Configuração'!$B$56+165,"")</f>
        <v/>
      </c>
      <c r="D171" s="69" t="str">
        <f aca="false">IF(166&gt;'🌱 Configuração'!$F$55,"",IF('🌱 Configuração'!$B$56+165&lt;'🌱 Configuração'!$C$56,"🌱 Clone",IF('🌱 Configuração'!$B$56+165&lt;'🌱 Configuração'!$D$56,"🌿 Vegetativo",IF('🌱 Configuração'!$B$56+165&lt;'🌱 Configuração'!$E$56,"🌸 Floração","🚿 Flush"))))</f>
        <v/>
      </c>
      <c r="E171" s="70" t="str">
        <f aca="false">IF(166&gt;'🌱 Configuração'!$F$55,"",IF('🌱 Configuração'!$B$56+165&lt;'🌱 Configuração'!$C$56,"Clone S"&amp;INT((166-1)/7)+1,IF('🌱 Configuração'!$B$56+165&lt;'🌱 Configuração'!$D$56,"Vega S"&amp;INT(('🌱 Configuração'!$B$56+165-'🌱 Configuração'!$C$56)/7)+1,IF('🌱 Configuração'!$B$56+165&lt;'🌱 Configuração'!$E$56,"Flora S"&amp;INT(('🌱 Configuração'!$B$56+165-'🌱 Configuração'!$D$56)/7)+1,"Flush S"&amp;INT(('🌱 Configuração'!$B$56+165-'🌱 Configuração'!$E$56)/7)+1))))</f>
        <v/>
      </c>
      <c r="F171" s="13" t="str">
        <f aca="false">IF(166&gt;'🌱 Configuração'!$F$55,"",IF('🌱 Configuração'!$B$56+165='🌱 Configuração'!$C$56,"🌿 INÍCIO VEGA — luz 18h/dia",IF('🌱 Configuração'!$B$56+165='🌱 Configuração'!$D$56,"🌸 INÍCIO FLORAÇÃO — mudar 12/12 🔴",IF('🌱 Configuração'!$B$56+165='🌱 Configuração'!$E$56,"🚿 INÍCIO FLUSH — parar nutrição",IF('🌱 Configuração'!$B$56+165='🌱 Configuração'!$F$56-1,"🔬 Véspera da colheita — analisar tricomas",IF('🌱 Configuração'!$B$56+165='🌱 Configuração'!$F$56,"✂️ COLHEITA — Parabéns! 🎉",""))))))</f>
        <v/>
      </c>
      <c r="G171" s="71" t="str">
        <f aca="false">IF(166&gt;'🌱 Configuração'!$F$55,"",IF(AND('🌱 Configuração'!$B$56+165&gt;='🌱 Configuração'!$C$56,'🌱 Configuração'!$B$56+165&lt;'🌱 Configuração'!$D$56,MOD('🌱 Configuração'!$B$56+165-'🌱 Configuração'!$C$56,7)=0),"🐛 MIP — ver aba MIP para aplicação desta semana",IF(AND('🌱 Configuração'!$B$56+165&gt;='🌱 Configuração'!$D$56,MOD('🌱 Configuração'!$B$56+165-'🌱 Configuração'!$D$56,7)=0),"🐛 MIP solo — ver aba MIP (sem foliar em flora)","")))</f>
        <v/>
      </c>
    </row>
    <row r="172" customFormat="false" ht="18" hidden="false" customHeight="true" outlineLevel="0" collapsed="false">
      <c r="B172" s="64" t="str">
        <f aca="false">IF(167&lt;='🌱 Configuração'!$F$55,167,"")</f>
        <v/>
      </c>
      <c r="C172" s="41" t="str">
        <f aca="false">IF(167&lt;='🌱 Configuração'!$F$55,'🌱 Configuração'!$B$56+166,"")</f>
        <v/>
      </c>
      <c r="D172" s="65" t="str">
        <f aca="false">IF(167&gt;'🌱 Configuração'!$F$55,"",IF('🌱 Configuração'!$B$56+166&lt;'🌱 Configuração'!$C$56,"🌱 Clone",IF('🌱 Configuração'!$B$56+166&lt;'🌱 Configuração'!$D$56,"🌿 Vegetativo",IF('🌱 Configuração'!$B$56+166&lt;'🌱 Configuração'!$E$56,"🌸 Floração","🚿 Flush"))))</f>
        <v/>
      </c>
      <c r="E172" s="43" t="str">
        <f aca="false">IF(167&gt;'🌱 Configuração'!$F$55,"",IF('🌱 Configuração'!$B$56+166&lt;'🌱 Configuração'!$C$56,"Clone S"&amp;INT((167-1)/7)+1,IF('🌱 Configuração'!$B$56+166&lt;'🌱 Configuração'!$D$56,"Vega S"&amp;INT(('🌱 Configuração'!$B$56+166-'🌱 Configuração'!$C$56)/7)+1,IF('🌱 Configuração'!$B$56+166&lt;'🌱 Configuração'!$E$56,"Flora S"&amp;INT(('🌱 Configuração'!$B$56+166-'🌱 Configuração'!$D$56)/7)+1,"Flush S"&amp;INT(('🌱 Configuração'!$B$56+166-'🌱 Configuração'!$E$56)/7)+1))))</f>
        <v/>
      </c>
      <c r="F172" s="42" t="str">
        <f aca="false">IF(167&gt;'🌱 Configuração'!$F$55,"",IF('🌱 Configuração'!$B$56+166='🌱 Configuração'!$C$56,"🌿 INÍCIO VEGA — luz 18h/dia",IF('🌱 Configuração'!$B$56+166='🌱 Configuração'!$D$56,"🌸 INÍCIO FLORAÇÃO — mudar 12/12 🔴",IF('🌱 Configuração'!$B$56+166='🌱 Configuração'!$E$56,"🚿 INÍCIO FLUSH — parar nutrição",IF('🌱 Configuração'!$B$56+166='🌱 Configuração'!$F$56-1,"🔬 Véspera da colheita — analisar tricomas",IF('🌱 Configuração'!$B$56+166='🌱 Configuração'!$F$56,"✂️ COLHEITA — Parabéns! 🎉",""))))))</f>
        <v/>
      </c>
      <c r="G172" s="66" t="str">
        <f aca="false">IF(167&gt;'🌱 Configuração'!$F$55,"",IF(AND('🌱 Configuração'!$B$56+166&gt;='🌱 Configuração'!$C$56,'🌱 Configuração'!$B$56+166&lt;'🌱 Configuração'!$D$56,MOD('🌱 Configuração'!$B$56+166-'🌱 Configuração'!$C$56,7)=0),"🐛 MIP — ver aba MIP para aplicação desta semana",IF(AND('🌱 Configuração'!$B$56+166&gt;='🌱 Configuração'!$D$56,MOD('🌱 Configuração'!$B$56+166-'🌱 Configuração'!$D$56,7)=0),"🐛 MIP solo — ver aba MIP (sem foliar em flora)","")))</f>
        <v/>
      </c>
    </row>
    <row r="173" customFormat="false" ht="18" hidden="false" customHeight="true" outlineLevel="0" collapsed="false">
      <c r="B173" s="67" t="str">
        <f aca="false">IF(168&lt;='🌱 Configuração'!$F$55,168,"")</f>
        <v/>
      </c>
      <c r="C173" s="68" t="str">
        <f aca="false">IF(168&lt;='🌱 Configuração'!$F$55,'🌱 Configuração'!$B$56+167,"")</f>
        <v/>
      </c>
      <c r="D173" s="69" t="str">
        <f aca="false">IF(168&gt;'🌱 Configuração'!$F$55,"",IF('🌱 Configuração'!$B$56+167&lt;'🌱 Configuração'!$C$56,"🌱 Clone",IF('🌱 Configuração'!$B$56+167&lt;'🌱 Configuração'!$D$56,"🌿 Vegetativo",IF('🌱 Configuração'!$B$56+167&lt;'🌱 Configuração'!$E$56,"🌸 Floração","🚿 Flush"))))</f>
        <v/>
      </c>
      <c r="E173" s="70" t="str">
        <f aca="false">IF(168&gt;'🌱 Configuração'!$F$55,"",IF('🌱 Configuração'!$B$56+167&lt;'🌱 Configuração'!$C$56,"Clone S"&amp;INT((168-1)/7)+1,IF('🌱 Configuração'!$B$56+167&lt;'🌱 Configuração'!$D$56,"Vega S"&amp;INT(('🌱 Configuração'!$B$56+167-'🌱 Configuração'!$C$56)/7)+1,IF('🌱 Configuração'!$B$56+167&lt;'🌱 Configuração'!$E$56,"Flora S"&amp;INT(('🌱 Configuração'!$B$56+167-'🌱 Configuração'!$D$56)/7)+1,"Flush S"&amp;INT(('🌱 Configuração'!$B$56+167-'🌱 Configuração'!$E$56)/7)+1))))</f>
        <v/>
      </c>
      <c r="F173" s="13" t="str">
        <f aca="false">IF(168&gt;'🌱 Configuração'!$F$55,"",IF('🌱 Configuração'!$B$56+167='🌱 Configuração'!$C$56,"🌿 INÍCIO VEGA — luz 18h/dia",IF('🌱 Configuração'!$B$56+167='🌱 Configuração'!$D$56,"🌸 INÍCIO FLORAÇÃO — mudar 12/12 🔴",IF('🌱 Configuração'!$B$56+167='🌱 Configuração'!$E$56,"🚿 INÍCIO FLUSH — parar nutrição",IF('🌱 Configuração'!$B$56+167='🌱 Configuração'!$F$56-1,"🔬 Véspera da colheita — analisar tricomas",IF('🌱 Configuração'!$B$56+167='🌱 Configuração'!$F$56,"✂️ COLHEITA — Parabéns! 🎉",""))))))</f>
        <v/>
      </c>
      <c r="G173" s="71" t="str">
        <f aca="false">IF(168&gt;'🌱 Configuração'!$F$55,"",IF(AND('🌱 Configuração'!$B$56+167&gt;='🌱 Configuração'!$C$56,'🌱 Configuração'!$B$56+167&lt;'🌱 Configuração'!$D$56,MOD('🌱 Configuração'!$B$56+167-'🌱 Configuração'!$C$56,7)=0),"🐛 MIP — ver aba MIP para aplicação desta semana",IF(AND('🌱 Configuração'!$B$56+167&gt;='🌱 Configuração'!$D$56,MOD('🌱 Configuração'!$B$56+167-'🌱 Configuração'!$D$56,7)=0),"🐛 MIP solo — ver aba MIP (sem foliar em flora)","")))</f>
        <v/>
      </c>
    </row>
    <row r="174" customFormat="false" ht="18" hidden="false" customHeight="true" outlineLevel="0" collapsed="false">
      <c r="B174" s="64" t="str">
        <f aca="false">IF(169&lt;='🌱 Configuração'!$F$55,169,"")</f>
        <v/>
      </c>
      <c r="C174" s="41" t="str">
        <f aca="false">IF(169&lt;='🌱 Configuração'!$F$55,'🌱 Configuração'!$B$56+168,"")</f>
        <v/>
      </c>
      <c r="D174" s="65" t="str">
        <f aca="false">IF(169&gt;'🌱 Configuração'!$F$55,"",IF('🌱 Configuração'!$B$56+168&lt;'🌱 Configuração'!$C$56,"🌱 Clone",IF('🌱 Configuração'!$B$56+168&lt;'🌱 Configuração'!$D$56,"🌿 Vegetativo",IF('🌱 Configuração'!$B$56+168&lt;'🌱 Configuração'!$E$56,"🌸 Floração","🚿 Flush"))))</f>
        <v/>
      </c>
      <c r="E174" s="43" t="str">
        <f aca="false">IF(169&gt;'🌱 Configuração'!$F$55,"",IF('🌱 Configuração'!$B$56+168&lt;'🌱 Configuração'!$C$56,"Clone S"&amp;INT((169-1)/7)+1,IF('🌱 Configuração'!$B$56+168&lt;'🌱 Configuração'!$D$56,"Vega S"&amp;INT(('🌱 Configuração'!$B$56+168-'🌱 Configuração'!$C$56)/7)+1,IF('🌱 Configuração'!$B$56+168&lt;'🌱 Configuração'!$E$56,"Flora S"&amp;INT(('🌱 Configuração'!$B$56+168-'🌱 Configuração'!$D$56)/7)+1,"Flush S"&amp;INT(('🌱 Configuração'!$B$56+168-'🌱 Configuração'!$E$56)/7)+1))))</f>
        <v/>
      </c>
      <c r="F174" s="42" t="str">
        <f aca="false">IF(169&gt;'🌱 Configuração'!$F$55,"",IF('🌱 Configuração'!$B$56+168='🌱 Configuração'!$C$56,"🌿 INÍCIO VEGA — luz 18h/dia",IF('🌱 Configuração'!$B$56+168='🌱 Configuração'!$D$56,"🌸 INÍCIO FLORAÇÃO — mudar 12/12 🔴",IF('🌱 Configuração'!$B$56+168='🌱 Configuração'!$E$56,"🚿 INÍCIO FLUSH — parar nutrição",IF('🌱 Configuração'!$B$56+168='🌱 Configuração'!$F$56-1,"🔬 Véspera da colheita — analisar tricomas",IF('🌱 Configuração'!$B$56+168='🌱 Configuração'!$F$56,"✂️ COLHEITA — Parabéns! 🎉",""))))))</f>
        <v/>
      </c>
      <c r="G174" s="66" t="str">
        <f aca="false">IF(169&gt;'🌱 Configuração'!$F$55,"",IF(AND('🌱 Configuração'!$B$56+168&gt;='🌱 Configuração'!$C$56,'🌱 Configuração'!$B$56+168&lt;'🌱 Configuração'!$D$56,MOD('🌱 Configuração'!$B$56+168-'🌱 Configuração'!$C$56,7)=0),"🐛 MIP — ver aba MIP para aplicação desta semana",IF(AND('🌱 Configuração'!$B$56+168&gt;='🌱 Configuração'!$D$56,MOD('🌱 Configuração'!$B$56+168-'🌱 Configuração'!$D$56,7)=0),"🐛 MIP solo — ver aba MIP (sem foliar em flora)","")))</f>
        <v/>
      </c>
    </row>
    <row r="175" customFormat="false" ht="18" hidden="false" customHeight="true" outlineLevel="0" collapsed="false">
      <c r="B175" s="67" t="str">
        <f aca="false">IF(170&lt;='🌱 Configuração'!$F$55,170,"")</f>
        <v/>
      </c>
      <c r="C175" s="68" t="str">
        <f aca="false">IF(170&lt;='🌱 Configuração'!$F$55,'🌱 Configuração'!$B$56+169,"")</f>
        <v/>
      </c>
      <c r="D175" s="69" t="str">
        <f aca="false">IF(170&gt;'🌱 Configuração'!$F$55,"",IF('🌱 Configuração'!$B$56+169&lt;'🌱 Configuração'!$C$56,"🌱 Clone",IF('🌱 Configuração'!$B$56+169&lt;'🌱 Configuração'!$D$56,"🌿 Vegetativo",IF('🌱 Configuração'!$B$56+169&lt;'🌱 Configuração'!$E$56,"🌸 Floração","🚿 Flush"))))</f>
        <v/>
      </c>
      <c r="E175" s="70" t="str">
        <f aca="false">IF(170&gt;'🌱 Configuração'!$F$55,"",IF('🌱 Configuração'!$B$56+169&lt;'🌱 Configuração'!$C$56,"Clone S"&amp;INT((170-1)/7)+1,IF('🌱 Configuração'!$B$56+169&lt;'🌱 Configuração'!$D$56,"Vega S"&amp;INT(('🌱 Configuração'!$B$56+169-'🌱 Configuração'!$C$56)/7)+1,IF('🌱 Configuração'!$B$56+169&lt;'🌱 Configuração'!$E$56,"Flora S"&amp;INT(('🌱 Configuração'!$B$56+169-'🌱 Configuração'!$D$56)/7)+1,"Flush S"&amp;INT(('🌱 Configuração'!$B$56+169-'🌱 Configuração'!$E$56)/7)+1))))</f>
        <v/>
      </c>
      <c r="F175" s="13" t="str">
        <f aca="false">IF(170&gt;'🌱 Configuração'!$F$55,"",IF('🌱 Configuração'!$B$56+169='🌱 Configuração'!$C$56,"🌿 INÍCIO VEGA — luz 18h/dia",IF('🌱 Configuração'!$B$56+169='🌱 Configuração'!$D$56,"🌸 INÍCIO FLORAÇÃO — mudar 12/12 🔴",IF('🌱 Configuração'!$B$56+169='🌱 Configuração'!$E$56,"🚿 INÍCIO FLUSH — parar nutrição",IF('🌱 Configuração'!$B$56+169='🌱 Configuração'!$F$56-1,"🔬 Véspera da colheita — analisar tricomas",IF('🌱 Configuração'!$B$56+169='🌱 Configuração'!$F$56,"✂️ COLHEITA — Parabéns! 🎉",""))))))</f>
        <v/>
      </c>
      <c r="G175" s="71" t="str">
        <f aca="false">IF(170&gt;'🌱 Configuração'!$F$55,"",IF(AND('🌱 Configuração'!$B$56+169&gt;='🌱 Configuração'!$C$56,'🌱 Configuração'!$B$56+169&lt;'🌱 Configuração'!$D$56,MOD('🌱 Configuração'!$B$56+169-'🌱 Configuração'!$C$56,7)=0),"🐛 MIP — ver aba MIP para aplicação desta semana",IF(AND('🌱 Configuração'!$B$56+169&gt;='🌱 Configuração'!$D$56,MOD('🌱 Configuração'!$B$56+169-'🌱 Configuração'!$D$56,7)=0),"🐛 MIP solo — ver aba MIP (sem foliar em flora)","")))</f>
        <v/>
      </c>
    </row>
    <row r="176" customFormat="false" ht="18" hidden="false" customHeight="true" outlineLevel="0" collapsed="false">
      <c r="B176" s="64" t="str">
        <f aca="false">IF(171&lt;='🌱 Configuração'!$F$55,171,"")</f>
        <v/>
      </c>
      <c r="C176" s="41" t="str">
        <f aca="false">IF(171&lt;='🌱 Configuração'!$F$55,'🌱 Configuração'!$B$56+170,"")</f>
        <v/>
      </c>
      <c r="D176" s="65" t="str">
        <f aca="false">IF(171&gt;'🌱 Configuração'!$F$55,"",IF('🌱 Configuração'!$B$56+170&lt;'🌱 Configuração'!$C$56,"🌱 Clone",IF('🌱 Configuração'!$B$56+170&lt;'🌱 Configuração'!$D$56,"🌿 Vegetativo",IF('🌱 Configuração'!$B$56+170&lt;'🌱 Configuração'!$E$56,"🌸 Floração","🚿 Flush"))))</f>
        <v/>
      </c>
      <c r="E176" s="43" t="str">
        <f aca="false">IF(171&gt;'🌱 Configuração'!$F$55,"",IF('🌱 Configuração'!$B$56+170&lt;'🌱 Configuração'!$C$56,"Clone S"&amp;INT((171-1)/7)+1,IF('🌱 Configuração'!$B$56+170&lt;'🌱 Configuração'!$D$56,"Vega S"&amp;INT(('🌱 Configuração'!$B$56+170-'🌱 Configuração'!$C$56)/7)+1,IF('🌱 Configuração'!$B$56+170&lt;'🌱 Configuração'!$E$56,"Flora S"&amp;INT(('🌱 Configuração'!$B$56+170-'🌱 Configuração'!$D$56)/7)+1,"Flush S"&amp;INT(('🌱 Configuração'!$B$56+170-'🌱 Configuração'!$E$56)/7)+1))))</f>
        <v/>
      </c>
      <c r="F176" s="42" t="str">
        <f aca="false">IF(171&gt;'🌱 Configuração'!$F$55,"",IF('🌱 Configuração'!$B$56+170='🌱 Configuração'!$C$56,"🌿 INÍCIO VEGA — luz 18h/dia",IF('🌱 Configuração'!$B$56+170='🌱 Configuração'!$D$56,"🌸 INÍCIO FLORAÇÃO — mudar 12/12 🔴",IF('🌱 Configuração'!$B$56+170='🌱 Configuração'!$E$56,"🚿 INÍCIO FLUSH — parar nutrição",IF('🌱 Configuração'!$B$56+170='🌱 Configuração'!$F$56-1,"🔬 Véspera da colheita — analisar tricomas",IF('🌱 Configuração'!$B$56+170='🌱 Configuração'!$F$56,"✂️ COLHEITA — Parabéns! 🎉",""))))))</f>
        <v/>
      </c>
      <c r="G176" s="66" t="str">
        <f aca="false">IF(171&gt;'🌱 Configuração'!$F$55,"",IF(AND('🌱 Configuração'!$B$56+170&gt;='🌱 Configuração'!$C$56,'🌱 Configuração'!$B$56+170&lt;'🌱 Configuração'!$D$56,MOD('🌱 Configuração'!$B$56+170-'🌱 Configuração'!$C$56,7)=0),"🐛 MIP — ver aba MIP para aplicação desta semana",IF(AND('🌱 Configuração'!$B$56+170&gt;='🌱 Configuração'!$D$56,MOD('🌱 Configuração'!$B$56+170-'🌱 Configuração'!$D$56,7)=0),"🐛 MIP solo — ver aba MIP (sem foliar em flora)","")))</f>
        <v/>
      </c>
    </row>
    <row r="177" customFormat="false" ht="18" hidden="false" customHeight="true" outlineLevel="0" collapsed="false">
      <c r="B177" s="67" t="str">
        <f aca="false">IF(172&lt;='🌱 Configuração'!$F$55,172,"")</f>
        <v/>
      </c>
      <c r="C177" s="68" t="str">
        <f aca="false">IF(172&lt;='🌱 Configuração'!$F$55,'🌱 Configuração'!$B$56+171,"")</f>
        <v/>
      </c>
      <c r="D177" s="69" t="str">
        <f aca="false">IF(172&gt;'🌱 Configuração'!$F$55,"",IF('🌱 Configuração'!$B$56+171&lt;'🌱 Configuração'!$C$56,"🌱 Clone",IF('🌱 Configuração'!$B$56+171&lt;'🌱 Configuração'!$D$56,"🌿 Vegetativo",IF('🌱 Configuração'!$B$56+171&lt;'🌱 Configuração'!$E$56,"🌸 Floração","🚿 Flush"))))</f>
        <v/>
      </c>
      <c r="E177" s="70" t="str">
        <f aca="false">IF(172&gt;'🌱 Configuração'!$F$55,"",IF('🌱 Configuração'!$B$56+171&lt;'🌱 Configuração'!$C$56,"Clone S"&amp;INT((172-1)/7)+1,IF('🌱 Configuração'!$B$56+171&lt;'🌱 Configuração'!$D$56,"Vega S"&amp;INT(('🌱 Configuração'!$B$56+171-'🌱 Configuração'!$C$56)/7)+1,IF('🌱 Configuração'!$B$56+171&lt;'🌱 Configuração'!$E$56,"Flora S"&amp;INT(('🌱 Configuração'!$B$56+171-'🌱 Configuração'!$D$56)/7)+1,"Flush S"&amp;INT(('🌱 Configuração'!$B$56+171-'🌱 Configuração'!$E$56)/7)+1))))</f>
        <v/>
      </c>
      <c r="F177" s="13" t="str">
        <f aca="false">IF(172&gt;'🌱 Configuração'!$F$55,"",IF('🌱 Configuração'!$B$56+171='🌱 Configuração'!$C$56,"🌿 INÍCIO VEGA — luz 18h/dia",IF('🌱 Configuração'!$B$56+171='🌱 Configuração'!$D$56,"🌸 INÍCIO FLORAÇÃO — mudar 12/12 🔴",IF('🌱 Configuração'!$B$56+171='🌱 Configuração'!$E$56,"🚿 INÍCIO FLUSH — parar nutrição",IF('🌱 Configuração'!$B$56+171='🌱 Configuração'!$F$56-1,"🔬 Véspera da colheita — analisar tricomas",IF('🌱 Configuração'!$B$56+171='🌱 Configuração'!$F$56,"✂️ COLHEITA — Parabéns! 🎉",""))))))</f>
        <v/>
      </c>
      <c r="G177" s="71" t="str">
        <f aca="false">IF(172&gt;'🌱 Configuração'!$F$55,"",IF(AND('🌱 Configuração'!$B$56+171&gt;='🌱 Configuração'!$C$56,'🌱 Configuração'!$B$56+171&lt;'🌱 Configuração'!$D$56,MOD('🌱 Configuração'!$B$56+171-'🌱 Configuração'!$C$56,7)=0),"🐛 MIP — ver aba MIP para aplicação desta semana",IF(AND('🌱 Configuração'!$B$56+171&gt;='🌱 Configuração'!$D$56,MOD('🌱 Configuração'!$B$56+171-'🌱 Configuração'!$D$56,7)=0),"🐛 MIP solo — ver aba MIP (sem foliar em flora)","")))</f>
        <v/>
      </c>
    </row>
    <row r="178" customFormat="false" ht="18" hidden="false" customHeight="true" outlineLevel="0" collapsed="false">
      <c r="B178" s="64" t="str">
        <f aca="false">IF(173&lt;='🌱 Configuração'!$F$55,173,"")</f>
        <v/>
      </c>
      <c r="C178" s="41" t="str">
        <f aca="false">IF(173&lt;='🌱 Configuração'!$F$55,'🌱 Configuração'!$B$56+172,"")</f>
        <v/>
      </c>
      <c r="D178" s="65" t="str">
        <f aca="false">IF(173&gt;'🌱 Configuração'!$F$55,"",IF('🌱 Configuração'!$B$56+172&lt;'🌱 Configuração'!$C$56,"🌱 Clone",IF('🌱 Configuração'!$B$56+172&lt;'🌱 Configuração'!$D$56,"🌿 Vegetativo",IF('🌱 Configuração'!$B$56+172&lt;'🌱 Configuração'!$E$56,"🌸 Floração","🚿 Flush"))))</f>
        <v/>
      </c>
      <c r="E178" s="43" t="str">
        <f aca="false">IF(173&gt;'🌱 Configuração'!$F$55,"",IF('🌱 Configuração'!$B$56+172&lt;'🌱 Configuração'!$C$56,"Clone S"&amp;INT((173-1)/7)+1,IF('🌱 Configuração'!$B$56+172&lt;'🌱 Configuração'!$D$56,"Vega S"&amp;INT(('🌱 Configuração'!$B$56+172-'🌱 Configuração'!$C$56)/7)+1,IF('🌱 Configuração'!$B$56+172&lt;'🌱 Configuração'!$E$56,"Flora S"&amp;INT(('🌱 Configuração'!$B$56+172-'🌱 Configuração'!$D$56)/7)+1,"Flush S"&amp;INT(('🌱 Configuração'!$B$56+172-'🌱 Configuração'!$E$56)/7)+1))))</f>
        <v/>
      </c>
      <c r="F178" s="42" t="str">
        <f aca="false">IF(173&gt;'🌱 Configuração'!$F$55,"",IF('🌱 Configuração'!$B$56+172='🌱 Configuração'!$C$56,"🌿 INÍCIO VEGA — luz 18h/dia",IF('🌱 Configuração'!$B$56+172='🌱 Configuração'!$D$56,"🌸 INÍCIO FLORAÇÃO — mudar 12/12 🔴",IF('🌱 Configuração'!$B$56+172='🌱 Configuração'!$E$56,"🚿 INÍCIO FLUSH — parar nutrição",IF('🌱 Configuração'!$B$56+172='🌱 Configuração'!$F$56-1,"🔬 Véspera da colheita — analisar tricomas",IF('🌱 Configuração'!$B$56+172='🌱 Configuração'!$F$56,"✂️ COLHEITA — Parabéns! 🎉",""))))))</f>
        <v/>
      </c>
      <c r="G178" s="66" t="str">
        <f aca="false">IF(173&gt;'🌱 Configuração'!$F$55,"",IF(AND('🌱 Configuração'!$B$56+172&gt;='🌱 Configuração'!$C$56,'🌱 Configuração'!$B$56+172&lt;'🌱 Configuração'!$D$56,MOD('🌱 Configuração'!$B$56+172-'🌱 Configuração'!$C$56,7)=0),"🐛 MIP — ver aba MIP para aplicação desta semana",IF(AND('🌱 Configuração'!$B$56+172&gt;='🌱 Configuração'!$D$56,MOD('🌱 Configuração'!$B$56+172-'🌱 Configuração'!$D$56,7)=0),"🐛 MIP solo — ver aba MIP (sem foliar em flora)","")))</f>
        <v/>
      </c>
    </row>
    <row r="179" customFormat="false" ht="18" hidden="false" customHeight="true" outlineLevel="0" collapsed="false">
      <c r="B179" s="67" t="str">
        <f aca="false">IF(174&lt;='🌱 Configuração'!$F$55,174,"")</f>
        <v/>
      </c>
      <c r="C179" s="68" t="str">
        <f aca="false">IF(174&lt;='🌱 Configuração'!$F$55,'🌱 Configuração'!$B$56+173,"")</f>
        <v/>
      </c>
      <c r="D179" s="69" t="str">
        <f aca="false">IF(174&gt;'🌱 Configuração'!$F$55,"",IF('🌱 Configuração'!$B$56+173&lt;'🌱 Configuração'!$C$56,"🌱 Clone",IF('🌱 Configuração'!$B$56+173&lt;'🌱 Configuração'!$D$56,"🌿 Vegetativo",IF('🌱 Configuração'!$B$56+173&lt;'🌱 Configuração'!$E$56,"🌸 Floração","🚿 Flush"))))</f>
        <v/>
      </c>
      <c r="E179" s="70" t="str">
        <f aca="false">IF(174&gt;'🌱 Configuração'!$F$55,"",IF('🌱 Configuração'!$B$56+173&lt;'🌱 Configuração'!$C$56,"Clone S"&amp;INT((174-1)/7)+1,IF('🌱 Configuração'!$B$56+173&lt;'🌱 Configuração'!$D$56,"Vega S"&amp;INT(('🌱 Configuração'!$B$56+173-'🌱 Configuração'!$C$56)/7)+1,IF('🌱 Configuração'!$B$56+173&lt;'🌱 Configuração'!$E$56,"Flora S"&amp;INT(('🌱 Configuração'!$B$56+173-'🌱 Configuração'!$D$56)/7)+1,"Flush S"&amp;INT(('🌱 Configuração'!$B$56+173-'🌱 Configuração'!$E$56)/7)+1))))</f>
        <v/>
      </c>
      <c r="F179" s="13" t="str">
        <f aca="false">IF(174&gt;'🌱 Configuração'!$F$55,"",IF('🌱 Configuração'!$B$56+173='🌱 Configuração'!$C$56,"🌿 INÍCIO VEGA — luz 18h/dia",IF('🌱 Configuração'!$B$56+173='🌱 Configuração'!$D$56,"🌸 INÍCIO FLORAÇÃO — mudar 12/12 🔴",IF('🌱 Configuração'!$B$56+173='🌱 Configuração'!$E$56,"🚿 INÍCIO FLUSH — parar nutrição",IF('🌱 Configuração'!$B$56+173='🌱 Configuração'!$F$56-1,"🔬 Véspera da colheita — analisar tricomas",IF('🌱 Configuração'!$B$56+173='🌱 Configuração'!$F$56,"✂️ COLHEITA — Parabéns! 🎉",""))))))</f>
        <v/>
      </c>
      <c r="G179" s="71" t="str">
        <f aca="false">IF(174&gt;'🌱 Configuração'!$F$55,"",IF(AND('🌱 Configuração'!$B$56+173&gt;='🌱 Configuração'!$C$56,'🌱 Configuração'!$B$56+173&lt;'🌱 Configuração'!$D$56,MOD('🌱 Configuração'!$B$56+173-'🌱 Configuração'!$C$56,7)=0),"🐛 MIP — ver aba MIP para aplicação desta semana",IF(AND('🌱 Configuração'!$B$56+173&gt;='🌱 Configuração'!$D$56,MOD('🌱 Configuração'!$B$56+173-'🌱 Configuração'!$D$56,7)=0),"🐛 MIP solo — ver aba MIP (sem foliar em flora)","")))</f>
        <v/>
      </c>
    </row>
    <row r="180" customFormat="false" ht="18" hidden="false" customHeight="true" outlineLevel="0" collapsed="false">
      <c r="B180" s="64" t="str">
        <f aca="false">IF(175&lt;='🌱 Configuração'!$F$55,175,"")</f>
        <v/>
      </c>
      <c r="C180" s="41" t="str">
        <f aca="false">IF(175&lt;='🌱 Configuração'!$F$55,'🌱 Configuração'!$B$56+174,"")</f>
        <v/>
      </c>
      <c r="D180" s="65" t="str">
        <f aca="false">IF(175&gt;'🌱 Configuração'!$F$55,"",IF('🌱 Configuração'!$B$56+174&lt;'🌱 Configuração'!$C$56,"🌱 Clone",IF('🌱 Configuração'!$B$56+174&lt;'🌱 Configuração'!$D$56,"🌿 Vegetativo",IF('🌱 Configuração'!$B$56+174&lt;'🌱 Configuração'!$E$56,"🌸 Floração","🚿 Flush"))))</f>
        <v/>
      </c>
      <c r="E180" s="43" t="str">
        <f aca="false">IF(175&gt;'🌱 Configuração'!$F$55,"",IF('🌱 Configuração'!$B$56+174&lt;'🌱 Configuração'!$C$56,"Clone S"&amp;INT((175-1)/7)+1,IF('🌱 Configuração'!$B$56+174&lt;'🌱 Configuração'!$D$56,"Vega S"&amp;INT(('🌱 Configuração'!$B$56+174-'🌱 Configuração'!$C$56)/7)+1,IF('🌱 Configuração'!$B$56+174&lt;'🌱 Configuração'!$E$56,"Flora S"&amp;INT(('🌱 Configuração'!$B$56+174-'🌱 Configuração'!$D$56)/7)+1,"Flush S"&amp;INT(('🌱 Configuração'!$B$56+174-'🌱 Configuração'!$E$56)/7)+1))))</f>
        <v/>
      </c>
      <c r="F180" s="42" t="str">
        <f aca="false">IF(175&gt;'🌱 Configuração'!$F$55,"",IF('🌱 Configuração'!$B$56+174='🌱 Configuração'!$C$56,"🌿 INÍCIO VEGA — luz 18h/dia",IF('🌱 Configuração'!$B$56+174='🌱 Configuração'!$D$56,"🌸 INÍCIO FLORAÇÃO — mudar 12/12 🔴",IF('🌱 Configuração'!$B$56+174='🌱 Configuração'!$E$56,"🚿 INÍCIO FLUSH — parar nutrição",IF('🌱 Configuração'!$B$56+174='🌱 Configuração'!$F$56-1,"🔬 Véspera da colheita — analisar tricomas",IF('🌱 Configuração'!$B$56+174='🌱 Configuração'!$F$56,"✂️ COLHEITA — Parabéns! 🎉",""))))))</f>
        <v/>
      </c>
      <c r="G180" s="66" t="str">
        <f aca="false">IF(175&gt;'🌱 Configuração'!$F$55,"",IF(AND('🌱 Configuração'!$B$56+174&gt;='🌱 Configuração'!$C$56,'🌱 Configuração'!$B$56+174&lt;'🌱 Configuração'!$D$56,MOD('🌱 Configuração'!$B$56+174-'🌱 Configuração'!$C$56,7)=0),"🐛 MIP — ver aba MIP para aplicação desta semana",IF(AND('🌱 Configuração'!$B$56+174&gt;='🌱 Configuração'!$D$56,MOD('🌱 Configuração'!$B$56+174-'🌱 Configuração'!$D$56,7)=0),"🐛 MIP solo — ver aba MIP (sem foliar em flora)","")))</f>
        <v/>
      </c>
    </row>
    <row r="181" customFormat="false" ht="18" hidden="false" customHeight="true" outlineLevel="0" collapsed="false">
      <c r="B181" s="67" t="str">
        <f aca="false">IF(176&lt;='🌱 Configuração'!$F$55,176,"")</f>
        <v/>
      </c>
      <c r="C181" s="68" t="str">
        <f aca="false">IF(176&lt;='🌱 Configuração'!$F$55,'🌱 Configuração'!$B$56+175,"")</f>
        <v/>
      </c>
      <c r="D181" s="69" t="str">
        <f aca="false">IF(176&gt;'🌱 Configuração'!$F$55,"",IF('🌱 Configuração'!$B$56+175&lt;'🌱 Configuração'!$C$56,"🌱 Clone",IF('🌱 Configuração'!$B$56+175&lt;'🌱 Configuração'!$D$56,"🌿 Vegetativo",IF('🌱 Configuração'!$B$56+175&lt;'🌱 Configuração'!$E$56,"🌸 Floração","🚿 Flush"))))</f>
        <v/>
      </c>
      <c r="E181" s="70" t="str">
        <f aca="false">IF(176&gt;'🌱 Configuração'!$F$55,"",IF('🌱 Configuração'!$B$56+175&lt;'🌱 Configuração'!$C$56,"Clone S"&amp;INT((176-1)/7)+1,IF('🌱 Configuração'!$B$56+175&lt;'🌱 Configuração'!$D$56,"Vega S"&amp;INT(('🌱 Configuração'!$B$56+175-'🌱 Configuração'!$C$56)/7)+1,IF('🌱 Configuração'!$B$56+175&lt;'🌱 Configuração'!$E$56,"Flora S"&amp;INT(('🌱 Configuração'!$B$56+175-'🌱 Configuração'!$D$56)/7)+1,"Flush S"&amp;INT(('🌱 Configuração'!$B$56+175-'🌱 Configuração'!$E$56)/7)+1))))</f>
        <v/>
      </c>
      <c r="F181" s="13" t="str">
        <f aca="false">IF(176&gt;'🌱 Configuração'!$F$55,"",IF('🌱 Configuração'!$B$56+175='🌱 Configuração'!$C$56,"🌿 INÍCIO VEGA — luz 18h/dia",IF('🌱 Configuração'!$B$56+175='🌱 Configuração'!$D$56,"🌸 INÍCIO FLORAÇÃO — mudar 12/12 🔴",IF('🌱 Configuração'!$B$56+175='🌱 Configuração'!$E$56,"🚿 INÍCIO FLUSH — parar nutrição",IF('🌱 Configuração'!$B$56+175='🌱 Configuração'!$F$56-1,"🔬 Véspera da colheita — analisar tricomas",IF('🌱 Configuração'!$B$56+175='🌱 Configuração'!$F$56,"✂️ COLHEITA — Parabéns! 🎉",""))))))</f>
        <v/>
      </c>
      <c r="G181" s="71" t="str">
        <f aca="false">IF(176&gt;'🌱 Configuração'!$F$55,"",IF(AND('🌱 Configuração'!$B$56+175&gt;='🌱 Configuração'!$C$56,'🌱 Configuração'!$B$56+175&lt;'🌱 Configuração'!$D$56,MOD('🌱 Configuração'!$B$56+175-'🌱 Configuração'!$C$56,7)=0),"🐛 MIP — ver aba MIP para aplicação desta semana",IF(AND('🌱 Configuração'!$B$56+175&gt;='🌱 Configuração'!$D$56,MOD('🌱 Configuração'!$B$56+175-'🌱 Configuração'!$D$56,7)=0),"🐛 MIP solo — ver aba MIP (sem foliar em flora)","")))</f>
        <v/>
      </c>
    </row>
    <row r="182" customFormat="false" ht="18" hidden="false" customHeight="true" outlineLevel="0" collapsed="false">
      <c r="B182" s="64" t="str">
        <f aca="false">IF(177&lt;='🌱 Configuração'!$F$55,177,"")</f>
        <v/>
      </c>
      <c r="C182" s="41" t="str">
        <f aca="false">IF(177&lt;='🌱 Configuração'!$F$55,'🌱 Configuração'!$B$56+176,"")</f>
        <v/>
      </c>
      <c r="D182" s="65" t="str">
        <f aca="false">IF(177&gt;'🌱 Configuração'!$F$55,"",IF('🌱 Configuração'!$B$56+176&lt;'🌱 Configuração'!$C$56,"🌱 Clone",IF('🌱 Configuração'!$B$56+176&lt;'🌱 Configuração'!$D$56,"🌿 Vegetativo",IF('🌱 Configuração'!$B$56+176&lt;'🌱 Configuração'!$E$56,"🌸 Floração","🚿 Flush"))))</f>
        <v/>
      </c>
      <c r="E182" s="43" t="str">
        <f aca="false">IF(177&gt;'🌱 Configuração'!$F$55,"",IF('🌱 Configuração'!$B$56+176&lt;'🌱 Configuração'!$C$56,"Clone S"&amp;INT((177-1)/7)+1,IF('🌱 Configuração'!$B$56+176&lt;'🌱 Configuração'!$D$56,"Vega S"&amp;INT(('🌱 Configuração'!$B$56+176-'🌱 Configuração'!$C$56)/7)+1,IF('🌱 Configuração'!$B$56+176&lt;'🌱 Configuração'!$E$56,"Flora S"&amp;INT(('🌱 Configuração'!$B$56+176-'🌱 Configuração'!$D$56)/7)+1,"Flush S"&amp;INT(('🌱 Configuração'!$B$56+176-'🌱 Configuração'!$E$56)/7)+1))))</f>
        <v/>
      </c>
      <c r="F182" s="42" t="str">
        <f aca="false">IF(177&gt;'🌱 Configuração'!$F$55,"",IF('🌱 Configuração'!$B$56+176='🌱 Configuração'!$C$56,"🌿 INÍCIO VEGA — luz 18h/dia",IF('🌱 Configuração'!$B$56+176='🌱 Configuração'!$D$56,"🌸 INÍCIO FLORAÇÃO — mudar 12/12 🔴",IF('🌱 Configuração'!$B$56+176='🌱 Configuração'!$E$56,"🚿 INÍCIO FLUSH — parar nutrição",IF('🌱 Configuração'!$B$56+176='🌱 Configuração'!$F$56-1,"🔬 Véspera da colheita — analisar tricomas",IF('🌱 Configuração'!$B$56+176='🌱 Configuração'!$F$56,"✂️ COLHEITA — Parabéns! 🎉",""))))))</f>
        <v/>
      </c>
      <c r="G182" s="66" t="str">
        <f aca="false">IF(177&gt;'🌱 Configuração'!$F$55,"",IF(AND('🌱 Configuração'!$B$56+176&gt;='🌱 Configuração'!$C$56,'🌱 Configuração'!$B$56+176&lt;'🌱 Configuração'!$D$56,MOD('🌱 Configuração'!$B$56+176-'🌱 Configuração'!$C$56,7)=0),"🐛 MIP — ver aba MIP para aplicação desta semana",IF(AND('🌱 Configuração'!$B$56+176&gt;='🌱 Configuração'!$D$56,MOD('🌱 Configuração'!$B$56+176-'🌱 Configuração'!$D$56,7)=0),"🐛 MIP solo — ver aba MIP (sem foliar em flora)","")))</f>
        <v/>
      </c>
    </row>
    <row r="183" customFormat="false" ht="18" hidden="false" customHeight="true" outlineLevel="0" collapsed="false">
      <c r="B183" s="67" t="str">
        <f aca="false">IF(178&lt;='🌱 Configuração'!$F$55,178,"")</f>
        <v/>
      </c>
      <c r="C183" s="68" t="str">
        <f aca="false">IF(178&lt;='🌱 Configuração'!$F$55,'🌱 Configuração'!$B$56+177,"")</f>
        <v/>
      </c>
      <c r="D183" s="69" t="str">
        <f aca="false">IF(178&gt;'🌱 Configuração'!$F$55,"",IF('🌱 Configuração'!$B$56+177&lt;'🌱 Configuração'!$C$56,"🌱 Clone",IF('🌱 Configuração'!$B$56+177&lt;'🌱 Configuração'!$D$56,"🌿 Vegetativo",IF('🌱 Configuração'!$B$56+177&lt;'🌱 Configuração'!$E$56,"🌸 Floração","🚿 Flush"))))</f>
        <v/>
      </c>
      <c r="E183" s="70" t="str">
        <f aca="false">IF(178&gt;'🌱 Configuração'!$F$55,"",IF('🌱 Configuração'!$B$56+177&lt;'🌱 Configuração'!$C$56,"Clone S"&amp;INT((178-1)/7)+1,IF('🌱 Configuração'!$B$56+177&lt;'🌱 Configuração'!$D$56,"Vega S"&amp;INT(('🌱 Configuração'!$B$56+177-'🌱 Configuração'!$C$56)/7)+1,IF('🌱 Configuração'!$B$56+177&lt;'🌱 Configuração'!$E$56,"Flora S"&amp;INT(('🌱 Configuração'!$B$56+177-'🌱 Configuração'!$D$56)/7)+1,"Flush S"&amp;INT(('🌱 Configuração'!$B$56+177-'🌱 Configuração'!$E$56)/7)+1))))</f>
        <v/>
      </c>
      <c r="F183" s="13" t="str">
        <f aca="false">IF(178&gt;'🌱 Configuração'!$F$55,"",IF('🌱 Configuração'!$B$56+177='🌱 Configuração'!$C$56,"🌿 INÍCIO VEGA — luz 18h/dia",IF('🌱 Configuração'!$B$56+177='🌱 Configuração'!$D$56,"🌸 INÍCIO FLORAÇÃO — mudar 12/12 🔴",IF('🌱 Configuração'!$B$56+177='🌱 Configuração'!$E$56,"🚿 INÍCIO FLUSH — parar nutrição",IF('🌱 Configuração'!$B$56+177='🌱 Configuração'!$F$56-1,"🔬 Véspera da colheita — analisar tricomas",IF('🌱 Configuração'!$B$56+177='🌱 Configuração'!$F$56,"✂️ COLHEITA — Parabéns! 🎉",""))))))</f>
        <v/>
      </c>
      <c r="G183" s="71" t="str">
        <f aca="false">IF(178&gt;'🌱 Configuração'!$F$55,"",IF(AND('🌱 Configuração'!$B$56+177&gt;='🌱 Configuração'!$C$56,'🌱 Configuração'!$B$56+177&lt;'🌱 Configuração'!$D$56,MOD('🌱 Configuração'!$B$56+177-'🌱 Configuração'!$C$56,7)=0),"🐛 MIP — ver aba MIP para aplicação desta semana",IF(AND('🌱 Configuração'!$B$56+177&gt;='🌱 Configuração'!$D$56,MOD('🌱 Configuração'!$B$56+177-'🌱 Configuração'!$D$56,7)=0),"🐛 MIP solo — ver aba MIP (sem foliar em flora)","")))</f>
        <v/>
      </c>
    </row>
    <row r="184" customFormat="false" ht="18" hidden="false" customHeight="true" outlineLevel="0" collapsed="false">
      <c r="B184" s="64" t="str">
        <f aca="false">IF(179&lt;='🌱 Configuração'!$F$55,179,"")</f>
        <v/>
      </c>
      <c r="C184" s="41" t="str">
        <f aca="false">IF(179&lt;='🌱 Configuração'!$F$55,'🌱 Configuração'!$B$56+178,"")</f>
        <v/>
      </c>
      <c r="D184" s="65" t="str">
        <f aca="false">IF(179&gt;'🌱 Configuração'!$F$55,"",IF('🌱 Configuração'!$B$56+178&lt;'🌱 Configuração'!$C$56,"🌱 Clone",IF('🌱 Configuração'!$B$56+178&lt;'🌱 Configuração'!$D$56,"🌿 Vegetativo",IF('🌱 Configuração'!$B$56+178&lt;'🌱 Configuração'!$E$56,"🌸 Floração","🚿 Flush"))))</f>
        <v/>
      </c>
      <c r="E184" s="43" t="str">
        <f aca="false">IF(179&gt;'🌱 Configuração'!$F$55,"",IF('🌱 Configuração'!$B$56+178&lt;'🌱 Configuração'!$C$56,"Clone S"&amp;INT((179-1)/7)+1,IF('🌱 Configuração'!$B$56+178&lt;'🌱 Configuração'!$D$56,"Vega S"&amp;INT(('🌱 Configuração'!$B$56+178-'🌱 Configuração'!$C$56)/7)+1,IF('🌱 Configuração'!$B$56+178&lt;'🌱 Configuração'!$E$56,"Flora S"&amp;INT(('🌱 Configuração'!$B$56+178-'🌱 Configuração'!$D$56)/7)+1,"Flush S"&amp;INT(('🌱 Configuração'!$B$56+178-'🌱 Configuração'!$E$56)/7)+1))))</f>
        <v/>
      </c>
      <c r="F184" s="42" t="str">
        <f aca="false">IF(179&gt;'🌱 Configuração'!$F$55,"",IF('🌱 Configuração'!$B$56+178='🌱 Configuração'!$C$56,"🌿 INÍCIO VEGA — luz 18h/dia",IF('🌱 Configuração'!$B$56+178='🌱 Configuração'!$D$56,"🌸 INÍCIO FLORAÇÃO — mudar 12/12 🔴",IF('🌱 Configuração'!$B$56+178='🌱 Configuração'!$E$56,"🚿 INÍCIO FLUSH — parar nutrição",IF('🌱 Configuração'!$B$56+178='🌱 Configuração'!$F$56-1,"🔬 Véspera da colheita — analisar tricomas",IF('🌱 Configuração'!$B$56+178='🌱 Configuração'!$F$56,"✂️ COLHEITA — Parabéns! 🎉",""))))))</f>
        <v/>
      </c>
      <c r="G184" s="66" t="str">
        <f aca="false">IF(179&gt;'🌱 Configuração'!$F$55,"",IF(AND('🌱 Configuração'!$B$56+178&gt;='🌱 Configuração'!$C$56,'🌱 Configuração'!$B$56+178&lt;'🌱 Configuração'!$D$56,MOD('🌱 Configuração'!$B$56+178-'🌱 Configuração'!$C$56,7)=0),"🐛 MIP — ver aba MIP para aplicação desta semana",IF(AND('🌱 Configuração'!$B$56+178&gt;='🌱 Configuração'!$D$56,MOD('🌱 Configuração'!$B$56+178-'🌱 Configuração'!$D$56,7)=0),"🐛 MIP solo — ver aba MIP (sem foliar em flora)","")))</f>
        <v/>
      </c>
    </row>
    <row r="185" customFormat="false" ht="18" hidden="false" customHeight="true" outlineLevel="0" collapsed="false">
      <c r="B185" s="67" t="str">
        <f aca="false">IF(180&lt;='🌱 Configuração'!$F$55,180,"")</f>
        <v/>
      </c>
      <c r="C185" s="68" t="str">
        <f aca="false">IF(180&lt;='🌱 Configuração'!$F$55,'🌱 Configuração'!$B$56+179,"")</f>
        <v/>
      </c>
      <c r="D185" s="69" t="str">
        <f aca="false">IF(180&gt;'🌱 Configuração'!$F$55,"",IF('🌱 Configuração'!$B$56+179&lt;'🌱 Configuração'!$C$56,"🌱 Clone",IF('🌱 Configuração'!$B$56+179&lt;'🌱 Configuração'!$D$56,"🌿 Vegetativo",IF('🌱 Configuração'!$B$56+179&lt;'🌱 Configuração'!$E$56,"🌸 Floração","🚿 Flush"))))</f>
        <v/>
      </c>
      <c r="E185" s="70" t="str">
        <f aca="false">IF(180&gt;'🌱 Configuração'!$F$55,"",IF('🌱 Configuração'!$B$56+179&lt;'🌱 Configuração'!$C$56,"Clone S"&amp;INT((180-1)/7)+1,IF('🌱 Configuração'!$B$56+179&lt;'🌱 Configuração'!$D$56,"Vega S"&amp;INT(('🌱 Configuração'!$B$56+179-'🌱 Configuração'!$C$56)/7)+1,IF('🌱 Configuração'!$B$56+179&lt;'🌱 Configuração'!$E$56,"Flora S"&amp;INT(('🌱 Configuração'!$B$56+179-'🌱 Configuração'!$D$56)/7)+1,"Flush S"&amp;INT(('🌱 Configuração'!$B$56+179-'🌱 Configuração'!$E$56)/7)+1))))</f>
        <v/>
      </c>
      <c r="F185" s="13" t="str">
        <f aca="false">IF(180&gt;'🌱 Configuração'!$F$55,"",IF('🌱 Configuração'!$B$56+179='🌱 Configuração'!$C$56,"🌿 INÍCIO VEGA — luz 18h/dia",IF('🌱 Configuração'!$B$56+179='🌱 Configuração'!$D$56,"🌸 INÍCIO FLORAÇÃO — mudar 12/12 🔴",IF('🌱 Configuração'!$B$56+179='🌱 Configuração'!$E$56,"🚿 INÍCIO FLUSH — parar nutrição",IF('🌱 Configuração'!$B$56+179='🌱 Configuração'!$F$56-1,"🔬 Véspera da colheita — analisar tricomas",IF('🌱 Configuração'!$B$56+179='🌱 Configuração'!$F$56,"✂️ COLHEITA — Parabéns! 🎉",""))))))</f>
        <v/>
      </c>
      <c r="G185" s="71" t="str">
        <f aca="false">IF(180&gt;'🌱 Configuração'!$F$55,"",IF(AND('🌱 Configuração'!$B$56+179&gt;='🌱 Configuração'!$C$56,'🌱 Configuração'!$B$56+179&lt;'🌱 Configuração'!$D$56,MOD('🌱 Configuração'!$B$56+179-'🌱 Configuração'!$C$56,7)=0),"🐛 MIP — ver aba MIP para aplicação desta semana",IF(AND('🌱 Configuração'!$B$56+179&gt;='🌱 Configuração'!$D$56,MOD('🌱 Configuração'!$B$56+179-'🌱 Configuração'!$D$56,7)=0),"🐛 MIP solo — ver aba MIP (sem foliar em flora)","")))</f>
        <v/>
      </c>
    </row>
    <row r="186" customFormat="false" ht="18" hidden="false" customHeight="true" outlineLevel="0" collapsed="false">
      <c r="B186" s="64" t="str">
        <f aca="false">IF(181&lt;='🌱 Configuração'!$F$55,181,"")</f>
        <v/>
      </c>
      <c r="C186" s="41" t="str">
        <f aca="false">IF(181&lt;='🌱 Configuração'!$F$55,'🌱 Configuração'!$B$56+180,"")</f>
        <v/>
      </c>
      <c r="D186" s="65" t="str">
        <f aca="false">IF(181&gt;'🌱 Configuração'!$F$55,"",IF('🌱 Configuração'!$B$56+180&lt;'🌱 Configuração'!$C$56,"🌱 Clone",IF('🌱 Configuração'!$B$56+180&lt;'🌱 Configuração'!$D$56,"🌿 Vegetativo",IF('🌱 Configuração'!$B$56+180&lt;'🌱 Configuração'!$E$56,"🌸 Floração","🚿 Flush"))))</f>
        <v/>
      </c>
      <c r="E186" s="43" t="str">
        <f aca="false">IF(181&gt;'🌱 Configuração'!$F$55,"",IF('🌱 Configuração'!$B$56+180&lt;'🌱 Configuração'!$C$56,"Clone S"&amp;INT((181-1)/7)+1,IF('🌱 Configuração'!$B$56+180&lt;'🌱 Configuração'!$D$56,"Vega S"&amp;INT(('🌱 Configuração'!$B$56+180-'🌱 Configuração'!$C$56)/7)+1,IF('🌱 Configuração'!$B$56+180&lt;'🌱 Configuração'!$E$56,"Flora S"&amp;INT(('🌱 Configuração'!$B$56+180-'🌱 Configuração'!$D$56)/7)+1,"Flush S"&amp;INT(('🌱 Configuração'!$B$56+180-'🌱 Configuração'!$E$56)/7)+1))))</f>
        <v/>
      </c>
      <c r="F186" s="42" t="str">
        <f aca="false">IF(181&gt;'🌱 Configuração'!$F$55,"",IF('🌱 Configuração'!$B$56+180='🌱 Configuração'!$C$56,"🌿 INÍCIO VEGA — luz 18h/dia",IF('🌱 Configuração'!$B$56+180='🌱 Configuração'!$D$56,"🌸 INÍCIO FLORAÇÃO — mudar 12/12 🔴",IF('🌱 Configuração'!$B$56+180='🌱 Configuração'!$E$56,"🚿 INÍCIO FLUSH — parar nutrição",IF('🌱 Configuração'!$B$56+180='🌱 Configuração'!$F$56-1,"🔬 Véspera da colheita — analisar tricomas",IF('🌱 Configuração'!$B$56+180='🌱 Configuração'!$F$56,"✂️ COLHEITA — Parabéns! 🎉",""))))))</f>
        <v/>
      </c>
      <c r="G186" s="66" t="str">
        <f aca="false">IF(181&gt;'🌱 Configuração'!$F$55,"",IF(AND('🌱 Configuração'!$B$56+180&gt;='🌱 Configuração'!$C$56,'🌱 Configuração'!$B$56+180&lt;'🌱 Configuração'!$D$56,MOD('🌱 Configuração'!$B$56+180-'🌱 Configuração'!$C$56,7)=0),"🐛 MIP — ver aba MIP para aplicação desta semana",IF(AND('🌱 Configuração'!$B$56+180&gt;='🌱 Configuração'!$D$56,MOD('🌱 Configuração'!$B$56+180-'🌱 Configuração'!$D$56,7)=0),"🐛 MIP solo — ver aba MIP (sem foliar em flora)","")))</f>
        <v/>
      </c>
    </row>
    <row r="187" customFormat="false" ht="18" hidden="false" customHeight="true" outlineLevel="0" collapsed="false">
      <c r="B187" s="67" t="str">
        <f aca="false">IF(182&lt;='🌱 Configuração'!$F$55,182,"")</f>
        <v/>
      </c>
      <c r="C187" s="68" t="str">
        <f aca="false">IF(182&lt;='🌱 Configuração'!$F$55,'🌱 Configuração'!$B$56+181,"")</f>
        <v/>
      </c>
      <c r="D187" s="69" t="str">
        <f aca="false">IF(182&gt;'🌱 Configuração'!$F$55,"",IF('🌱 Configuração'!$B$56+181&lt;'🌱 Configuração'!$C$56,"🌱 Clone",IF('🌱 Configuração'!$B$56+181&lt;'🌱 Configuração'!$D$56,"🌿 Vegetativo",IF('🌱 Configuração'!$B$56+181&lt;'🌱 Configuração'!$E$56,"🌸 Floração","🚿 Flush"))))</f>
        <v/>
      </c>
      <c r="E187" s="70" t="str">
        <f aca="false">IF(182&gt;'🌱 Configuração'!$F$55,"",IF('🌱 Configuração'!$B$56+181&lt;'🌱 Configuração'!$C$56,"Clone S"&amp;INT((182-1)/7)+1,IF('🌱 Configuração'!$B$56+181&lt;'🌱 Configuração'!$D$56,"Vega S"&amp;INT(('🌱 Configuração'!$B$56+181-'🌱 Configuração'!$C$56)/7)+1,IF('🌱 Configuração'!$B$56+181&lt;'🌱 Configuração'!$E$56,"Flora S"&amp;INT(('🌱 Configuração'!$B$56+181-'🌱 Configuração'!$D$56)/7)+1,"Flush S"&amp;INT(('🌱 Configuração'!$B$56+181-'🌱 Configuração'!$E$56)/7)+1))))</f>
        <v/>
      </c>
      <c r="F187" s="13" t="str">
        <f aca="false">IF(182&gt;'🌱 Configuração'!$F$55,"",IF('🌱 Configuração'!$B$56+181='🌱 Configuração'!$C$56,"🌿 INÍCIO VEGA — luz 18h/dia",IF('🌱 Configuração'!$B$56+181='🌱 Configuração'!$D$56,"🌸 INÍCIO FLORAÇÃO — mudar 12/12 🔴",IF('🌱 Configuração'!$B$56+181='🌱 Configuração'!$E$56,"🚿 INÍCIO FLUSH — parar nutrição",IF('🌱 Configuração'!$B$56+181='🌱 Configuração'!$F$56-1,"🔬 Véspera da colheita — analisar tricomas",IF('🌱 Configuração'!$B$56+181='🌱 Configuração'!$F$56,"✂️ COLHEITA — Parabéns! 🎉",""))))))</f>
        <v/>
      </c>
      <c r="G187" s="71" t="str">
        <f aca="false">IF(182&gt;'🌱 Configuração'!$F$55,"",IF(AND('🌱 Configuração'!$B$56+181&gt;='🌱 Configuração'!$C$56,'🌱 Configuração'!$B$56+181&lt;'🌱 Configuração'!$D$56,MOD('🌱 Configuração'!$B$56+181-'🌱 Configuração'!$C$56,7)=0),"🐛 MIP — ver aba MIP para aplicação desta semana",IF(AND('🌱 Configuração'!$B$56+181&gt;='🌱 Configuração'!$D$56,MOD('🌱 Configuração'!$B$56+181-'🌱 Configuração'!$D$56,7)=0),"🐛 MIP solo — ver aba MIP (sem foliar em flora)","")))</f>
        <v/>
      </c>
    </row>
    <row r="188" customFormat="false" ht="18" hidden="false" customHeight="true" outlineLevel="0" collapsed="false">
      <c r="B188" s="64" t="str">
        <f aca="false">IF(183&lt;='🌱 Configuração'!$F$55,183,"")</f>
        <v/>
      </c>
      <c r="C188" s="41" t="str">
        <f aca="false">IF(183&lt;='🌱 Configuração'!$F$55,'🌱 Configuração'!$B$56+182,"")</f>
        <v/>
      </c>
      <c r="D188" s="65" t="str">
        <f aca="false">IF(183&gt;'🌱 Configuração'!$F$55,"",IF('🌱 Configuração'!$B$56+182&lt;'🌱 Configuração'!$C$56,"🌱 Clone",IF('🌱 Configuração'!$B$56+182&lt;'🌱 Configuração'!$D$56,"🌿 Vegetativo",IF('🌱 Configuração'!$B$56+182&lt;'🌱 Configuração'!$E$56,"🌸 Floração","🚿 Flush"))))</f>
        <v/>
      </c>
      <c r="E188" s="43" t="str">
        <f aca="false">IF(183&gt;'🌱 Configuração'!$F$55,"",IF('🌱 Configuração'!$B$56+182&lt;'🌱 Configuração'!$C$56,"Clone S"&amp;INT((183-1)/7)+1,IF('🌱 Configuração'!$B$56+182&lt;'🌱 Configuração'!$D$56,"Vega S"&amp;INT(('🌱 Configuração'!$B$56+182-'🌱 Configuração'!$C$56)/7)+1,IF('🌱 Configuração'!$B$56+182&lt;'🌱 Configuração'!$E$56,"Flora S"&amp;INT(('🌱 Configuração'!$B$56+182-'🌱 Configuração'!$D$56)/7)+1,"Flush S"&amp;INT(('🌱 Configuração'!$B$56+182-'🌱 Configuração'!$E$56)/7)+1))))</f>
        <v/>
      </c>
      <c r="F188" s="42" t="str">
        <f aca="false">IF(183&gt;'🌱 Configuração'!$F$55,"",IF('🌱 Configuração'!$B$56+182='🌱 Configuração'!$C$56,"🌿 INÍCIO VEGA — luz 18h/dia",IF('🌱 Configuração'!$B$56+182='🌱 Configuração'!$D$56,"🌸 INÍCIO FLORAÇÃO — mudar 12/12 🔴",IF('🌱 Configuração'!$B$56+182='🌱 Configuração'!$E$56,"🚿 INÍCIO FLUSH — parar nutrição",IF('🌱 Configuração'!$B$56+182='🌱 Configuração'!$F$56-1,"🔬 Véspera da colheita — analisar tricomas",IF('🌱 Configuração'!$B$56+182='🌱 Configuração'!$F$56,"✂️ COLHEITA — Parabéns! 🎉",""))))))</f>
        <v/>
      </c>
      <c r="G188" s="66" t="str">
        <f aca="false">IF(183&gt;'🌱 Configuração'!$F$55,"",IF(AND('🌱 Configuração'!$B$56+182&gt;='🌱 Configuração'!$C$56,'🌱 Configuração'!$B$56+182&lt;'🌱 Configuração'!$D$56,MOD('🌱 Configuração'!$B$56+182-'🌱 Configuração'!$C$56,7)=0),"🐛 MIP — ver aba MIP para aplicação desta semana",IF(AND('🌱 Configuração'!$B$56+182&gt;='🌱 Configuração'!$D$56,MOD('🌱 Configuração'!$B$56+182-'🌱 Configuração'!$D$56,7)=0),"🐛 MIP solo — ver aba MIP (sem foliar em flora)","")))</f>
        <v/>
      </c>
    </row>
    <row r="189" customFormat="false" ht="18" hidden="false" customHeight="true" outlineLevel="0" collapsed="false">
      <c r="B189" s="67" t="str">
        <f aca="false">IF(184&lt;='🌱 Configuração'!$F$55,184,"")</f>
        <v/>
      </c>
      <c r="C189" s="68" t="str">
        <f aca="false">IF(184&lt;='🌱 Configuração'!$F$55,'🌱 Configuração'!$B$56+183,"")</f>
        <v/>
      </c>
      <c r="D189" s="69" t="str">
        <f aca="false">IF(184&gt;'🌱 Configuração'!$F$55,"",IF('🌱 Configuração'!$B$56+183&lt;'🌱 Configuração'!$C$56,"🌱 Clone",IF('🌱 Configuração'!$B$56+183&lt;'🌱 Configuração'!$D$56,"🌿 Vegetativo",IF('🌱 Configuração'!$B$56+183&lt;'🌱 Configuração'!$E$56,"🌸 Floração","🚿 Flush"))))</f>
        <v/>
      </c>
      <c r="E189" s="70" t="str">
        <f aca="false">IF(184&gt;'🌱 Configuração'!$F$55,"",IF('🌱 Configuração'!$B$56+183&lt;'🌱 Configuração'!$C$56,"Clone S"&amp;INT((184-1)/7)+1,IF('🌱 Configuração'!$B$56+183&lt;'🌱 Configuração'!$D$56,"Vega S"&amp;INT(('🌱 Configuração'!$B$56+183-'🌱 Configuração'!$C$56)/7)+1,IF('🌱 Configuração'!$B$56+183&lt;'🌱 Configuração'!$E$56,"Flora S"&amp;INT(('🌱 Configuração'!$B$56+183-'🌱 Configuração'!$D$56)/7)+1,"Flush S"&amp;INT(('🌱 Configuração'!$B$56+183-'🌱 Configuração'!$E$56)/7)+1))))</f>
        <v/>
      </c>
      <c r="F189" s="13" t="str">
        <f aca="false">IF(184&gt;'🌱 Configuração'!$F$55,"",IF('🌱 Configuração'!$B$56+183='🌱 Configuração'!$C$56,"🌿 INÍCIO VEGA — luz 18h/dia",IF('🌱 Configuração'!$B$56+183='🌱 Configuração'!$D$56,"🌸 INÍCIO FLORAÇÃO — mudar 12/12 🔴",IF('🌱 Configuração'!$B$56+183='🌱 Configuração'!$E$56,"🚿 INÍCIO FLUSH — parar nutrição",IF('🌱 Configuração'!$B$56+183='🌱 Configuração'!$F$56-1,"🔬 Véspera da colheita — analisar tricomas",IF('🌱 Configuração'!$B$56+183='🌱 Configuração'!$F$56,"✂️ COLHEITA — Parabéns! 🎉",""))))))</f>
        <v/>
      </c>
      <c r="G189" s="71" t="str">
        <f aca="false">IF(184&gt;'🌱 Configuração'!$F$55,"",IF(AND('🌱 Configuração'!$B$56+183&gt;='🌱 Configuração'!$C$56,'🌱 Configuração'!$B$56+183&lt;'🌱 Configuração'!$D$56,MOD('🌱 Configuração'!$B$56+183-'🌱 Configuração'!$C$56,7)=0),"🐛 MIP — ver aba MIP para aplicação desta semana",IF(AND('🌱 Configuração'!$B$56+183&gt;='🌱 Configuração'!$D$56,MOD('🌱 Configuração'!$B$56+183-'🌱 Configuração'!$D$56,7)=0),"🐛 MIP solo — ver aba MIP (sem foliar em flora)","")))</f>
        <v/>
      </c>
    </row>
    <row r="190" customFormat="false" ht="18" hidden="false" customHeight="true" outlineLevel="0" collapsed="false">
      <c r="B190" s="64" t="str">
        <f aca="false">IF(185&lt;='🌱 Configuração'!$F$55,185,"")</f>
        <v/>
      </c>
      <c r="C190" s="41" t="str">
        <f aca="false">IF(185&lt;='🌱 Configuração'!$F$55,'🌱 Configuração'!$B$56+184,"")</f>
        <v/>
      </c>
      <c r="D190" s="65" t="str">
        <f aca="false">IF(185&gt;'🌱 Configuração'!$F$55,"",IF('🌱 Configuração'!$B$56+184&lt;'🌱 Configuração'!$C$56,"🌱 Clone",IF('🌱 Configuração'!$B$56+184&lt;'🌱 Configuração'!$D$56,"🌿 Vegetativo",IF('🌱 Configuração'!$B$56+184&lt;'🌱 Configuração'!$E$56,"🌸 Floração","🚿 Flush"))))</f>
        <v/>
      </c>
      <c r="E190" s="43" t="str">
        <f aca="false">IF(185&gt;'🌱 Configuração'!$F$55,"",IF('🌱 Configuração'!$B$56+184&lt;'🌱 Configuração'!$C$56,"Clone S"&amp;INT((185-1)/7)+1,IF('🌱 Configuração'!$B$56+184&lt;'🌱 Configuração'!$D$56,"Vega S"&amp;INT(('🌱 Configuração'!$B$56+184-'🌱 Configuração'!$C$56)/7)+1,IF('🌱 Configuração'!$B$56+184&lt;'🌱 Configuração'!$E$56,"Flora S"&amp;INT(('🌱 Configuração'!$B$56+184-'🌱 Configuração'!$D$56)/7)+1,"Flush S"&amp;INT(('🌱 Configuração'!$B$56+184-'🌱 Configuração'!$E$56)/7)+1))))</f>
        <v/>
      </c>
      <c r="F190" s="42" t="str">
        <f aca="false">IF(185&gt;'🌱 Configuração'!$F$55,"",IF('🌱 Configuração'!$B$56+184='🌱 Configuração'!$C$56,"🌿 INÍCIO VEGA — luz 18h/dia",IF('🌱 Configuração'!$B$56+184='🌱 Configuração'!$D$56,"🌸 INÍCIO FLORAÇÃO — mudar 12/12 🔴",IF('🌱 Configuração'!$B$56+184='🌱 Configuração'!$E$56,"🚿 INÍCIO FLUSH — parar nutrição",IF('🌱 Configuração'!$B$56+184='🌱 Configuração'!$F$56-1,"🔬 Véspera da colheita — analisar tricomas",IF('🌱 Configuração'!$B$56+184='🌱 Configuração'!$F$56,"✂️ COLHEITA — Parabéns! 🎉",""))))))</f>
        <v/>
      </c>
      <c r="G190" s="66" t="str">
        <f aca="false">IF(185&gt;'🌱 Configuração'!$F$55,"",IF(AND('🌱 Configuração'!$B$56+184&gt;='🌱 Configuração'!$C$56,'🌱 Configuração'!$B$56+184&lt;'🌱 Configuração'!$D$56,MOD('🌱 Configuração'!$B$56+184-'🌱 Configuração'!$C$56,7)=0),"🐛 MIP — ver aba MIP para aplicação desta semana",IF(AND('🌱 Configuração'!$B$56+184&gt;='🌱 Configuração'!$D$56,MOD('🌱 Configuração'!$B$56+184-'🌱 Configuração'!$D$56,7)=0),"🐛 MIP solo — ver aba MIP (sem foliar em flora)","")))</f>
        <v/>
      </c>
    </row>
    <row r="191" customFormat="false" ht="18" hidden="false" customHeight="true" outlineLevel="0" collapsed="false">
      <c r="B191" s="67" t="str">
        <f aca="false">IF(186&lt;='🌱 Configuração'!$F$55,186,"")</f>
        <v/>
      </c>
      <c r="C191" s="68" t="str">
        <f aca="false">IF(186&lt;='🌱 Configuração'!$F$55,'🌱 Configuração'!$B$56+185,"")</f>
        <v/>
      </c>
      <c r="D191" s="69" t="str">
        <f aca="false">IF(186&gt;'🌱 Configuração'!$F$55,"",IF('🌱 Configuração'!$B$56+185&lt;'🌱 Configuração'!$C$56,"🌱 Clone",IF('🌱 Configuração'!$B$56+185&lt;'🌱 Configuração'!$D$56,"🌿 Vegetativo",IF('🌱 Configuração'!$B$56+185&lt;'🌱 Configuração'!$E$56,"🌸 Floração","🚿 Flush"))))</f>
        <v/>
      </c>
      <c r="E191" s="70" t="str">
        <f aca="false">IF(186&gt;'🌱 Configuração'!$F$55,"",IF('🌱 Configuração'!$B$56+185&lt;'🌱 Configuração'!$C$56,"Clone S"&amp;INT((186-1)/7)+1,IF('🌱 Configuração'!$B$56+185&lt;'🌱 Configuração'!$D$56,"Vega S"&amp;INT(('🌱 Configuração'!$B$56+185-'🌱 Configuração'!$C$56)/7)+1,IF('🌱 Configuração'!$B$56+185&lt;'🌱 Configuração'!$E$56,"Flora S"&amp;INT(('🌱 Configuração'!$B$56+185-'🌱 Configuração'!$D$56)/7)+1,"Flush S"&amp;INT(('🌱 Configuração'!$B$56+185-'🌱 Configuração'!$E$56)/7)+1))))</f>
        <v/>
      </c>
      <c r="F191" s="13" t="str">
        <f aca="false">IF(186&gt;'🌱 Configuração'!$F$55,"",IF('🌱 Configuração'!$B$56+185='🌱 Configuração'!$C$56,"🌿 INÍCIO VEGA — luz 18h/dia",IF('🌱 Configuração'!$B$56+185='🌱 Configuração'!$D$56,"🌸 INÍCIO FLORAÇÃO — mudar 12/12 🔴",IF('🌱 Configuração'!$B$56+185='🌱 Configuração'!$E$56,"🚿 INÍCIO FLUSH — parar nutrição",IF('🌱 Configuração'!$B$56+185='🌱 Configuração'!$F$56-1,"🔬 Véspera da colheita — analisar tricomas",IF('🌱 Configuração'!$B$56+185='🌱 Configuração'!$F$56,"✂️ COLHEITA — Parabéns! 🎉",""))))))</f>
        <v/>
      </c>
      <c r="G191" s="71" t="str">
        <f aca="false">IF(186&gt;'🌱 Configuração'!$F$55,"",IF(AND('🌱 Configuração'!$B$56+185&gt;='🌱 Configuração'!$C$56,'🌱 Configuração'!$B$56+185&lt;'🌱 Configuração'!$D$56,MOD('🌱 Configuração'!$B$56+185-'🌱 Configuração'!$C$56,7)=0),"🐛 MIP — ver aba MIP para aplicação desta semana",IF(AND('🌱 Configuração'!$B$56+185&gt;='🌱 Configuração'!$D$56,MOD('🌱 Configuração'!$B$56+185-'🌱 Configuração'!$D$56,7)=0),"🐛 MIP solo — ver aba MIP (sem foliar em flora)","")))</f>
        <v/>
      </c>
    </row>
    <row r="192" customFormat="false" ht="18" hidden="false" customHeight="true" outlineLevel="0" collapsed="false">
      <c r="B192" s="64" t="str">
        <f aca="false">IF(187&lt;='🌱 Configuração'!$F$55,187,"")</f>
        <v/>
      </c>
      <c r="C192" s="41" t="str">
        <f aca="false">IF(187&lt;='🌱 Configuração'!$F$55,'🌱 Configuração'!$B$56+186,"")</f>
        <v/>
      </c>
      <c r="D192" s="65" t="str">
        <f aca="false">IF(187&gt;'🌱 Configuração'!$F$55,"",IF('🌱 Configuração'!$B$56+186&lt;'🌱 Configuração'!$C$56,"🌱 Clone",IF('🌱 Configuração'!$B$56+186&lt;'🌱 Configuração'!$D$56,"🌿 Vegetativo",IF('🌱 Configuração'!$B$56+186&lt;'🌱 Configuração'!$E$56,"🌸 Floração","🚿 Flush"))))</f>
        <v/>
      </c>
      <c r="E192" s="43" t="str">
        <f aca="false">IF(187&gt;'🌱 Configuração'!$F$55,"",IF('🌱 Configuração'!$B$56+186&lt;'🌱 Configuração'!$C$56,"Clone S"&amp;INT((187-1)/7)+1,IF('🌱 Configuração'!$B$56+186&lt;'🌱 Configuração'!$D$56,"Vega S"&amp;INT(('🌱 Configuração'!$B$56+186-'🌱 Configuração'!$C$56)/7)+1,IF('🌱 Configuração'!$B$56+186&lt;'🌱 Configuração'!$E$56,"Flora S"&amp;INT(('🌱 Configuração'!$B$56+186-'🌱 Configuração'!$D$56)/7)+1,"Flush S"&amp;INT(('🌱 Configuração'!$B$56+186-'🌱 Configuração'!$E$56)/7)+1))))</f>
        <v/>
      </c>
      <c r="F192" s="42" t="str">
        <f aca="false">IF(187&gt;'🌱 Configuração'!$F$55,"",IF('🌱 Configuração'!$B$56+186='🌱 Configuração'!$C$56,"🌿 INÍCIO VEGA — luz 18h/dia",IF('🌱 Configuração'!$B$56+186='🌱 Configuração'!$D$56,"🌸 INÍCIO FLORAÇÃO — mudar 12/12 🔴",IF('🌱 Configuração'!$B$56+186='🌱 Configuração'!$E$56,"🚿 INÍCIO FLUSH — parar nutrição",IF('🌱 Configuração'!$B$56+186='🌱 Configuração'!$F$56-1,"🔬 Véspera da colheita — analisar tricomas",IF('🌱 Configuração'!$B$56+186='🌱 Configuração'!$F$56,"✂️ COLHEITA — Parabéns! 🎉",""))))))</f>
        <v/>
      </c>
      <c r="G192" s="66" t="str">
        <f aca="false">IF(187&gt;'🌱 Configuração'!$F$55,"",IF(AND('🌱 Configuração'!$B$56+186&gt;='🌱 Configuração'!$C$56,'🌱 Configuração'!$B$56+186&lt;'🌱 Configuração'!$D$56,MOD('🌱 Configuração'!$B$56+186-'🌱 Configuração'!$C$56,7)=0),"🐛 MIP — ver aba MIP para aplicação desta semana",IF(AND('🌱 Configuração'!$B$56+186&gt;='🌱 Configuração'!$D$56,MOD('🌱 Configuração'!$B$56+186-'🌱 Configuração'!$D$56,7)=0),"🐛 MIP solo — ver aba MIP (sem foliar em flora)","")))</f>
        <v/>
      </c>
    </row>
    <row r="193" customFormat="false" ht="18" hidden="false" customHeight="true" outlineLevel="0" collapsed="false">
      <c r="B193" s="67" t="str">
        <f aca="false">IF(188&lt;='🌱 Configuração'!$F$55,188,"")</f>
        <v/>
      </c>
      <c r="C193" s="68" t="str">
        <f aca="false">IF(188&lt;='🌱 Configuração'!$F$55,'🌱 Configuração'!$B$56+187,"")</f>
        <v/>
      </c>
      <c r="D193" s="69" t="str">
        <f aca="false">IF(188&gt;'🌱 Configuração'!$F$55,"",IF('🌱 Configuração'!$B$56+187&lt;'🌱 Configuração'!$C$56,"🌱 Clone",IF('🌱 Configuração'!$B$56+187&lt;'🌱 Configuração'!$D$56,"🌿 Vegetativo",IF('🌱 Configuração'!$B$56+187&lt;'🌱 Configuração'!$E$56,"🌸 Floração","🚿 Flush"))))</f>
        <v/>
      </c>
      <c r="E193" s="70" t="str">
        <f aca="false">IF(188&gt;'🌱 Configuração'!$F$55,"",IF('🌱 Configuração'!$B$56+187&lt;'🌱 Configuração'!$C$56,"Clone S"&amp;INT((188-1)/7)+1,IF('🌱 Configuração'!$B$56+187&lt;'🌱 Configuração'!$D$56,"Vega S"&amp;INT(('🌱 Configuração'!$B$56+187-'🌱 Configuração'!$C$56)/7)+1,IF('🌱 Configuração'!$B$56+187&lt;'🌱 Configuração'!$E$56,"Flora S"&amp;INT(('🌱 Configuração'!$B$56+187-'🌱 Configuração'!$D$56)/7)+1,"Flush S"&amp;INT(('🌱 Configuração'!$B$56+187-'🌱 Configuração'!$E$56)/7)+1))))</f>
        <v/>
      </c>
      <c r="F193" s="13" t="str">
        <f aca="false">IF(188&gt;'🌱 Configuração'!$F$55,"",IF('🌱 Configuração'!$B$56+187='🌱 Configuração'!$C$56,"🌿 INÍCIO VEGA — luz 18h/dia",IF('🌱 Configuração'!$B$56+187='🌱 Configuração'!$D$56,"🌸 INÍCIO FLORAÇÃO — mudar 12/12 🔴",IF('🌱 Configuração'!$B$56+187='🌱 Configuração'!$E$56,"🚿 INÍCIO FLUSH — parar nutrição",IF('🌱 Configuração'!$B$56+187='🌱 Configuração'!$F$56-1,"🔬 Véspera da colheita — analisar tricomas",IF('🌱 Configuração'!$B$56+187='🌱 Configuração'!$F$56,"✂️ COLHEITA — Parabéns! 🎉",""))))))</f>
        <v/>
      </c>
      <c r="G193" s="71" t="str">
        <f aca="false">IF(188&gt;'🌱 Configuração'!$F$55,"",IF(AND('🌱 Configuração'!$B$56+187&gt;='🌱 Configuração'!$C$56,'🌱 Configuração'!$B$56+187&lt;'🌱 Configuração'!$D$56,MOD('🌱 Configuração'!$B$56+187-'🌱 Configuração'!$C$56,7)=0),"🐛 MIP — ver aba MIP para aplicação desta semana",IF(AND('🌱 Configuração'!$B$56+187&gt;='🌱 Configuração'!$D$56,MOD('🌱 Configuração'!$B$56+187-'🌱 Configuração'!$D$56,7)=0),"🐛 MIP solo — ver aba MIP (sem foliar em flora)","")))</f>
        <v/>
      </c>
    </row>
    <row r="194" customFormat="false" ht="18" hidden="false" customHeight="true" outlineLevel="0" collapsed="false">
      <c r="B194" s="64" t="str">
        <f aca="false">IF(189&lt;='🌱 Configuração'!$F$55,189,"")</f>
        <v/>
      </c>
      <c r="C194" s="41" t="str">
        <f aca="false">IF(189&lt;='🌱 Configuração'!$F$55,'🌱 Configuração'!$B$56+188,"")</f>
        <v/>
      </c>
      <c r="D194" s="65" t="str">
        <f aca="false">IF(189&gt;'🌱 Configuração'!$F$55,"",IF('🌱 Configuração'!$B$56+188&lt;'🌱 Configuração'!$C$56,"🌱 Clone",IF('🌱 Configuração'!$B$56+188&lt;'🌱 Configuração'!$D$56,"🌿 Vegetativo",IF('🌱 Configuração'!$B$56+188&lt;'🌱 Configuração'!$E$56,"🌸 Floração","🚿 Flush"))))</f>
        <v/>
      </c>
      <c r="E194" s="43" t="str">
        <f aca="false">IF(189&gt;'🌱 Configuração'!$F$55,"",IF('🌱 Configuração'!$B$56+188&lt;'🌱 Configuração'!$C$56,"Clone S"&amp;INT((189-1)/7)+1,IF('🌱 Configuração'!$B$56+188&lt;'🌱 Configuração'!$D$56,"Vega S"&amp;INT(('🌱 Configuração'!$B$56+188-'🌱 Configuração'!$C$56)/7)+1,IF('🌱 Configuração'!$B$56+188&lt;'🌱 Configuração'!$E$56,"Flora S"&amp;INT(('🌱 Configuração'!$B$56+188-'🌱 Configuração'!$D$56)/7)+1,"Flush S"&amp;INT(('🌱 Configuração'!$B$56+188-'🌱 Configuração'!$E$56)/7)+1))))</f>
        <v/>
      </c>
      <c r="F194" s="42" t="str">
        <f aca="false">IF(189&gt;'🌱 Configuração'!$F$55,"",IF('🌱 Configuração'!$B$56+188='🌱 Configuração'!$C$56,"🌿 INÍCIO VEGA — luz 18h/dia",IF('🌱 Configuração'!$B$56+188='🌱 Configuração'!$D$56,"🌸 INÍCIO FLORAÇÃO — mudar 12/12 🔴",IF('🌱 Configuração'!$B$56+188='🌱 Configuração'!$E$56,"🚿 INÍCIO FLUSH — parar nutrição",IF('🌱 Configuração'!$B$56+188='🌱 Configuração'!$F$56-1,"🔬 Véspera da colheita — analisar tricomas",IF('🌱 Configuração'!$B$56+188='🌱 Configuração'!$F$56,"✂️ COLHEITA — Parabéns! 🎉",""))))))</f>
        <v/>
      </c>
      <c r="G194" s="66" t="str">
        <f aca="false">IF(189&gt;'🌱 Configuração'!$F$55,"",IF(AND('🌱 Configuração'!$B$56+188&gt;='🌱 Configuração'!$C$56,'🌱 Configuração'!$B$56+188&lt;'🌱 Configuração'!$D$56,MOD('🌱 Configuração'!$B$56+188-'🌱 Configuração'!$C$56,7)=0),"🐛 MIP — ver aba MIP para aplicação desta semana",IF(AND('🌱 Configuração'!$B$56+188&gt;='🌱 Configuração'!$D$56,MOD('🌱 Configuração'!$B$56+188-'🌱 Configuração'!$D$56,7)=0),"🐛 MIP solo — ver aba MIP (sem foliar em flora)","")))</f>
        <v/>
      </c>
    </row>
    <row r="195" customFormat="false" ht="18" hidden="false" customHeight="true" outlineLevel="0" collapsed="false">
      <c r="B195" s="67" t="str">
        <f aca="false">IF(190&lt;='🌱 Configuração'!$F$55,190,"")</f>
        <v/>
      </c>
      <c r="C195" s="68" t="str">
        <f aca="false">IF(190&lt;='🌱 Configuração'!$F$55,'🌱 Configuração'!$B$56+189,"")</f>
        <v/>
      </c>
      <c r="D195" s="69" t="str">
        <f aca="false">IF(190&gt;'🌱 Configuração'!$F$55,"",IF('🌱 Configuração'!$B$56+189&lt;'🌱 Configuração'!$C$56,"🌱 Clone",IF('🌱 Configuração'!$B$56+189&lt;'🌱 Configuração'!$D$56,"🌿 Vegetativo",IF('🌱 Configuração'!$B$56+189&lt;'🌱 Configuração'!$E$56,"🌸 Floração","🚿 Flush"))))</f>
        <v/>
      </c>
      <c r="E195" s="70" t="str">
        <f aca="false">IF(190&gt;'🌱 Configuração'!$F$55,"",IF('🌱 Configuração'!$B$56+189&lt;'🌱 Configuração'!$C$56,"Clone S"&amp;INT((190-1)/7)+1,IF('🌱 Configuração'!$B$56+189&lt;'🌱 Configuração'!$D$56,"Vega S"&amp;INT(('🌱 Configuração'!$B$56+189-'🌱 Configuração'!$C$56)/7)+1,IF('🌱 Configuração'!$B$56+189&lt;'🌱 Configuração'!$E$56,"Flora S"&amp;INT(('🌱 Configuração'!$B$56+189-'🌱 Configuração'!$D$56)/7)+1,"Flush S"&amp;INT(('🌱 Configuração'!$B$56+189-'🌱 Configuração'!$E$56)/7)+1))))</f>
        <v/>
      </c>
      <c r="F195" s="13" t="str">
        <f aca="false">IF(190&gt;'🌱 Configuração'!$F$55,"",IF('🌱 Configuração'!$B$56+189='🌱 Configuração'!$C$56,"🌿 INÍCIO VEGA — luz 18h/dia",IF('🌱 Configuração'!$B$56+189='🌱 Configuração'!$D$56,"🌸 INÍCIO FLORAÇÃO — mudar 12/12 🔴",IF('🌱 Configuração'!$B$56+189='🌱 Configuração'!$E$56,"🚿 INÍCIO FLUSH — parar nutrição",IF('🌱 Configuração'!$B$56+189='🌱 Configuração'!$F$56-1,"🔬 Véspera da colheita — analisar tricomas",IF('🌱 Configuração'!$B$56+189='🌱 Configuração'!$F$56,"✂️ COLHEITA — Parabéns! 🎉",""))))))</f>
        <v/>
      </c>
      <c r="G195" s="71" t="str">
        <f aca="false">IF(190&gt;'🌱 Configuração'!$F$55,"",IF(AND('🌱 Configuração'!$B$56+189&gt;='🌱 Configuração'!$C$56,'🌱 Configuração'!$B$56+189&lt;'🌱 Configuração'!$D$56,MOD('🌱 Configuração'!$B$56+189-'🌱 Configuração'!$C$56,7)=0),"🐛 MIP — ver aba MIP para aplicação desta semana",IF(AND('🌱 Configuração'!$B$56+189&gt;='🌱 Configuração'!$D$56,MOD('🌱 Configuração'!$B$56+189-'🌱 Configuração'!$D$56,7)=0),"🐛 MIP solo — ver aba MIP (sem foliar em flora)","")))</f>
        <v/>
      </c>
    </row>
    <row r="196" customFormat="false" ht="18" hidden="false" customHeight="true" outlineLevel="0" collapsed="false">
      <c r="B196" s="64" t="str">
        <f aca="false">IF(191&lt;='🌱 Configuração'!$F$55,191,"")</f>
        <v/>
      </c>
      <c r="C196" s="41" t="str">
        <f aca="false">IF(191&lt;='🌱 Configuração'!$F$55,'🌱 Configuração'!$B$56+190,"")</f>
        <v/>
      </c>
      <c r="D196" s="65" t="str">
        <f aca="false">IF(191&gt;'🌱 Configuração'!$F$55,"",IF('🌱 Configuração'!$B$56+190&lt;'🌱 Configuração'!$C$56,"🌱 Clone",IF('🌱 Configuração'!$B$56+190&lt;'🌱 Configuração'!$D$56,"🌿 Vegetativo",IF('🌱 Configuração'!$B$56+190&lt;'🌱 Configuração'!$E$56,"🌸 Floração","🚿 Flush"))))</f>
        <v/>
      </c>
      <c r="E196" s="43" t="str">
        <f aca="false">IF(191&gt;'🌱 Configuração'!$F$55,"",IF('🌱 Configuração'!$B$56+190&lt;'🌱 Configuração'!$C$56,"Clone S"&amp;INT((191-1)/7)+1,IF('🌱 Configuração'!$B$56+190&lt;'🌱 Configuração'!$D$56,"Vega S"&amp;INT(('🌱 Configuração'!$B$56+190-'🌱 Configuração'!$C$56)/7)+1,IF('🌱 Configuração'!$B$56+190&lt;'🌱 Configuração'!$E$56,"Flora S"&amp;INT(('🌱 Configuração'!$B$56+190-'🌱 Configuração'!$D$56)/7)+1,"Flush S"&amp;INT(('🌱 Configuração'!$B$56+190-'🌱 Configuração'!$E$56)/7)+1))))</f>
        <v/>
      </c>
      <c r="F196" s="42" t="str">
        <f aca="false">IF(191&gt;'🌱 Configuração'!$F$55,"",IF('🌱 Configuração'!$B$56+190='🌱 Configuração'!$C$56,"🌿 INÍCIO VEGA — luz 18h/dia",IF('🌱 Configuração'!$B$56+190='🌱 Configuração'!$D$56,"🌸 INÍCIO FLORAÇÃO — mudar 12/12 🔴",IF('🌱 Configuração'!$B$56+190='🌱 Configuração'!$E$56,"🚿 INÍCIO FLUSH — parar nutrição",IF('🌱 Configuração'!$B$56+190='🌱 Configuração'!$F$56-1,"🔬 Véspera da colheita — analisar tricomas",IF('🌱 Configuração'!$B$56+190='🌱 Configuração'!$F$56,"✂️ COLHEITA — Parabéns! 🎉",""))))))</f>
        <v/>
      </c>
      <c r="G196" s="66" t="str">
        <f aca="false">IF(191&gt;'🌱 Configuração'!$F$55,"",IF(AND('🌱 Configuração'!$B$56+190&gt;='🌱 Configuração'!$C$56,'🌱 Configuração'!$B$56+190&lt;'🌱 Configuração'!$D$56,MOD('🌱 Configuração'!$B$56+190-'🌱 Configuração'!$C$56,7)=0),"🐛 MIP — ver aba MIP para aplicação desta semana",IF(AND('🌱 Configuração'!$B$56+190&gt;='🌱 Configuração'!$D$56,MOD('🌱 Configuração'!$B$56+190-'🌱 Configuração'!$D$56,7)=0),"🐛 MIP solo — ver aba MIP (sem foliar em flora)","")))</f>
        <v/>
      </c>
    </row>
    <row r="197" customFormat="false" ht="18" hidden="false" customHeight="true" outlineLevel="0" collapsed="false">
      <c r="B197" s="67" t="str">
        <f aca="false">IF(192&lt;='🌱 Configuração'!$F$55,192,"")</f>
        <v/>
      </c>
      <c r="C197" s="68" t="str">
        <f aca="false">IF(192&lt;='🌱 Configuração'!$F$55,'🌱 Configuração'!$B$56+191,"")</f>
        <v/>
      </c>
      <c r="D197" s="69" t="str">
        <f aca="false">IF(192&gt;'🌱 Configuração'!$F$55,"",IF('🌱 Configuração'!$B$56+191&lt;'🌱 Configuração'!$C$56,"🌱 Clone",IF('🌱 Configuração'!$B$56+191&lt;'🌱 Configuração'!$D$56,"🌿 Vegetativo",IF('🌱 Configuração'!$B$56+191&lt;'🌱 Configuração'!$E$56,"🌸 Floração","🚿 Flush"))))</f>
        <v/>
      </c>
      <c r="E197" s="70" t="str">
        <f aca="false">IF(192&gt;'🌱 Configuração'!$F$55,"",IF('🌱 Configuração'!$B$56+191&lt;'🌱 Configuração'!$C$56,"Clone S"&amp;INT((192-1)/7)+1,IF('🌱 Configuração'!$B$56+191&lt;'🌱 Configuração'!$D$56,"Vega S"&amp;INT(('🌱 Configuração'!$B$56+191-'🌱 Configuração'!$C$56)/7)+1,IF('🌱 Configuração'!$B$56+191&lt;'🌱 Configuração'!$E$56,"Flora S"&amp;INT(('🌱 Configuração'!$B$56+191-'🌱 Configuração'!$D$56)/7)+1,"Flush S"&amp;INT(('🌱 Configuração'!$B$56+191-'🌱 Configuração'!$E$56)/7)+1))))</f>
        <v/>
      </c>
      <c r="F197" s="13" t="str">
        <f aca="false">IF(192&gt;'🌱 Configuração'!$F$55,"",IF('🌱 Configuração'!$B$56+191='🌱 Configuração'!$C$56,"🌿 INÍCIO VEGA — luz 18h/dia",IF('🌱 Configuração'!$B$56+191='🌱 Configuração'!$D$56,"🌸 INÍCIO FLORAÇÃO — mudar 12/12 🔴",IF('🌱 Configuração'!$B$56+191='🌱 Configuração'!$E$56,"🚿 INÍCIO FLUSH — parar nutrição",IF('🌱 Configuração'!$B$56+191='🌱 Configuração'!$F$56-1,"🔬 Véspera da colheita — analisar tricomas",IF('🌱 Configuração'!$B$56+191='🌱 Configuração'!$F$56,"✂️ COLHEITA — Parabéns! 🎉",""))))))</f>
        <v/>
      </c>
      <c r="G197" s="71" t="str">
        <f aca="false">IF(192&gt;'🌱 Configuração'!$F$55,"",IF(AND('🌱 Configuração'!$B$56+191&gt;='🌱 Configuração'!$C$56,'🌱 Configuração'!$B$56+191&lt;'🌱 Configuração'!$D$56,MOD('🌱 Configuração'!$B$56+191-'🌱 Configuração'!$C$56,7)=0),"🐛 MIP — ver aba MIP para aplicação desta semana",IF(AND('🌱 Configuração'!$B$56+191&gt;='🌱 Configuração'!$D$56,MOD('🌱 Configuração'!$B$56+191-'🌱 Configuração'!$D$56,7)=0),"🐛 MIP solo — ver aba MIP (sem foliar em flora)","")))</f>
        <v/>
      </c>
    </row>
    <row r="198" customFormat="false" ht="18" hidden="false" customHeight="true" outlineLevel="0" collapsed="false">
      <c r="B198" s="64" t="str">
        <f aca="false">IF(193&lt;='🌱 Configuração'!$F$55,193,"")</f>
        <v/>
      </c>
      <c r="C198" s="41" t="str">
        <f aca="false">IF(193&lt;='🌱 Configuração'!$F$55,'🌱 Configuração'!$B$56+192,"")</f>
        <v/>
      </c>
      <c r="D198" s="65" t="str">
        <f aca="false">IF(193&gt;'🌱 Configuração'!$F$55,"",IF('🌱 Configuração'!$B$56+192&lt;'🌱 Configuração'!$C$56,"🌱 Clone",IF('🌱 Configuração'!$B$56+192&lt;'🌱 Configuração'!$D$56,"🌿 Vegetativo",IF('🌱 Configuração'!$B$56+192&lt;'🌱 Configuração'!$E$56,"🌸 Floração","🚿 Flush"))))</f>
        <v/>
      </c>
      <c r="E198" s="43" t="str">
        <f aca="false">IF(193&gt;'🌱 Configuração'!$F$55,"",IF('🌱 Configuração'!$B$56+192&lt;'🌱 Configuração'!$C$56,"Clone S"&amp;INT((193-1)/7)+1,IF('🌱 Configuração'!$B$56+192&lt;'🌱 Configuração'!$D$56,"Vega S"&amp;INT(('🌱 Configuração'!$B$56+192-'🌱 Configuração'!$C$56)/7)+1,IF('🌱 Configuração'!$B$56+192&lt;'🌱 Configuração'!$E$56,"Flora S"&amp;INT(('🌱 Configuração'!$B$56+192-'🌱 Configuração'!$D$56)/7)+1,"Flush S"&amp;INT(('🌱 Configuração'!$B$56+192-'🌱 Configuração'!$E$56)/7)+1))))</f>
        <v/>
      </c>
      <c r="F198" s="42" t="str">
        <f aca="false">IF(193&gt;'🌱 Configuração'!$F$55,"",IF('🌱 Configuração'!$B$56+192='🌱 Configuração'!$C$56,"🌿 INÍCIO VEGA — luz 18h/dia",IF('🌱 Configuração'!$B$56+192='🌱 Configuração'!$D$56,"🌸 INÍCIO FLORAÇÃO — mudar 12/12 🔴",IF('🌱 Configuração'!$B$56+192='🌱 Configuração'!$E$56,"🚿 INÍCIO FLUSH — parar nutrição",IF('🌱 Configuração'!$B$56+192='🌱 Configuração'!$F$56-1,"🔬 Véspera da colheita — analisar tricomas",IF('🌱 Configuração'!$B$56+192='🌱 Configuração'!$F$56,"✂️ COLHEITA — Parabéns! 🎉",""))))))</f>
        <v/>
      </c>
      <c r="G198" s="66" t="str">
        <f aca="false">IF(193&gt;'🌱 Configuração'!$F$55,"",IF(AND('🌱 Configuração'!$B$56+192&gt;='🌱 Configuração'!$C$56,'🌱 Configuração'!$B$56+192&lt;'🌱 Configuração'!$D$56,MOD('🌱 Configuração'!$B$56+192-'🌱 Configuração'!$C$56,7)=0),"🐛 MIP — ver aba MIP para aplicação desta semana",IF(AND('🌱 Configuração'!$B$56+192&gt;='🌱 Configuração'!$D$56,MOD('🌱 Configuração'!$B$56+192-'🌱 Configuração'!$D$56,7)=0),"🐛 MIP solo — ver aba MIP (sem foliar em flora)","")))</f>
        <v/>
      </c>
    </row>
    <row r="199" customFormat="false" ht="18" hidden="false" customHeight="true" outlineLevel="0" collapsed="false">
      <c r="B199" s="67" t="str">
        <f aca="false">IF(194&lt;='🌱 Configuração'!$F$55,194,"")</f>
        <v/>
      </c>
      <c r="C199" s="68" t="str">
        <f aca="false">IF(194&lt;='🌱 Configuração'!$F$55,'🌱 Configuração'!$B$56+193,"")</f>
        <v/>
      </c>
      <c r="D199" s="69" t="str">
        <f aca="false">IF(194&gt;'🌱 Configuração'!$F$55,"",IF('🌱 Configuração'!$B$56+193&lt;'🌱 Configuração'!$C$56,"🌱 Clone",IF('🌱 Configuração'!$B$56+193&lt;'🌱 Configuração'!$D$56,"🌿 Vegetativo",IF('🌱 Configuração'!$B$56+193&lt;'🌱 Configuração'!$E$56,"🌸 Floração","🚿 Flush"))))</f>
        <v/>
      </c>
      <c r="E199" s="70" t="str">
        <f aca="false">IF(194&gt;'🌱 Configuração'!$F$55,"",IF('🌱 Configuração'!$B$56+193&lt;'🌱 Configuração'!$C$56,"Clone S"&amp;INT((194-1)/7)+1,IF('🌱 Configuração'!$B$56+193&lt;'🌱 Configuração'!$D$56,"Vega S"&amp;INT(('🌱 Configuração'!$B$56+193-'🌱 Configuração'!$C$56)/7)+1,IF('🌱 Configuração'!$B$56+193&lt;'🌱 Configuração'!$E$56,"Flora S"&amp;INT(('🌱 Configuração'!$B$56+193-'🌱 Configuração'!$D$56)/7)+1,"Flush S"&amp;INT(('🌱 Configuração'!$B$56+193-'🌱 Configuração'!$E$56)/7)+1))))</f>
        <v/>
      </c>
      <c r="F199" s="13" t="str">
        <f aca="false">IF(194&gt;'🌱 Configuração'!$F$55,"",IF('🌱 Configuração'!$B$56+193='🌱 Configuração'!$C$56,"🌿 INÍCIO VEGA — luz 18h/dia",IF('🌱 Configuração'!$B$56+193='🌱 Configuração'!$D$56,"🌸 INÍCIO FLORAÇÃO — mudar 12/12 🔴",IF('🌱 Configuração'!$B$56+193='🌱 Configuração'!$E$56,"🚿 INÍCIO FLUSH — parar nutrição",IF('🌱 Configuração'!$B$56+193='🌱 Configuração'!$F$56-1,"🔬 Véspera da colheita — analisar tricomas",IF('🌱 Configuração'!$B$56+193='🌱 Configuração'!$F$56,"✂️ COLHEITA — Parabéns! 🎉",""))))))</f>
        <v/>
      </c>
      <c r="G199" s="71" t="str">
        <f aca="false">IF(194&gt;'🌱 Configuração'!$F$55,"",IF(AND('🌱 Configuração'!$B$56+193&gt;='🌱 Configuração'!$C$56,'🌱 Configuração'!$B$56+193&lt;'🌱 Configuração'!$D$56,MOD('🌱 Configuração'!$B$56+193-'🌱 Configuração'!$C$56,7)=0),"🐛 MIP — ver aba MIP para aplicação desta semana",IF(AND('🌱 Configuração'!$B$56+193&gt;='🌱 Configuração'!$D$56,MOD('🌱 Configuração'!$B$56+193-'🌱 Configuração'!$D$56,7)=0),"🐛 MIP solo — ver aba MIP (sem foliar em flora)","")))</f>
        <v/>
      </c>
    </row>
    <row r="200" customFormat="false" ht="18" hidden="false" customHeight="true" outlineLevel="0" collapsed="false">
      <c r="B200" s="64" t="str">
        <f aca="false">IF(195&lt;='🌱 Configuração'!$F$55,195,"")</f>
        <v/>
      </c>
      <c r="C200" s="41" t="str">
        <f aca="false">IF(195&lt;='🌱 Configuração'!$F$55,'🌱 Configuração'!$B$56+194,"")</f>
        <v/>
      </c>
      <c r="D200" s="65" t="str">
        <f aca="false">IF(195&gt;'🌱 Configuração'!$F$55,"",IF('🌱 Configuração'!$B$56+194&lt;'🌱 Configuração'!$C$56,"🌱 Clone",IF('🌱 Configuração'!$B$56+194&lt;'🌱 Configuração'!$D$56,"🌿 Vegetativo",IF('🌱 Configuração'!$B$56+194&lt;'🌱 Configuração'!$E$56,"🌸 Floração","🚿 Flush"))))</f>
        <v/>
      </c>
      <c r="E200" s="43" t="str">
        <f aca="false">IF(195&gt;'🌱 Configuração'!$F$55,"",IF('🌱 Configuração'!$B$56+194&lt;'🌱 Configuração'!$C$56,"Clone S"&amp;INT((195-1)/7)+1,IF('🌱 Configuração'!$B$56+194&lt;'🌱 Configuração'!$D$56,"Vega S"&amp;INT(('🌱 Configuração'!$B$56+194-'🌱 Configuração'!$C$56)/7)+1,IF('🌱 Configuração'!$B$56+194&lt;'🌱 Configuração'!$E$56,"Flora S"&amp;INT(('🌱 Configuração'!$B$56+194-'🌱 Configuração'!$D$56)/7)+1,"Flush S"&amp;INT(('🌱 Configuração'!$B$56+194-'🌱 Configuração'!$E$56)/7)+1))))</f>
        <v/>
      </c>
      <c r="F200" s="42" t="str">
        <f aca="false">IF(195&gt;'🌱 Configuração'!$F$55,"",IF('🌱 Configuração'!$B$56+194='🌱 Configuração'!$C$56,"🌿 INÍCIO VEGA — luz 18h/dia",IF('🌱 Configuração'!$B$56+194='🌱 Configuração'!$D$56,"🌸 INÍCIO FLORAÇÃO — mudar 12/12 🔴",IF('🌱 Configuração'!$B$56+194='🌱 Configuração'!$E$56,"🚿 INÍCIO FLUSH — parar nutrição",IF('🌱 Configuração'!$B$56+194='🌱 Configuração'!$F$56-1,"🔬 Véspera da colheita — analisar tricomas",IF('🌱 Configuração'!$B$56+194='🌱 Configuração'!$F$56,"✂️ COLHEITA — Parabéns! 🎉",""))))))</f>
        <v/>
      </c>
      <c r="G200" s="66" t="str">
        <f aca="false">IF(195&gt;'🌱 Configuração'!$F$55,"",IF(AND('🌱 Configuração'!$B$56+194&gt;='🌱 Configuração'!$C$56,'🌱 Configuração'!$B$56+194&lt;'🌱 Configuração'!$D$56,MOD('🌱 Configuração'!$B$56+194-'🌱 Configuração'!$C$56,7)=0),"🐛 MIP — ver aba MIP para aplicação desta semana",IF(AND('🌱 Configuração'!$B$56+194&gt;='🌱 Configuração'!$D$56,MOD('🌱 Configuração'!$B$56+194-'🌱 Configuração'!$D$56,7)=0),"🐛 MIP solo — ver aba MIP (sem foliar em flora)","")))</f>
        <v/>
      </c>
    </row>
    <row r="201" customFormat="false" ht="18" hidden="false" customHeight="true" outlineLevel="0" collapsed="false">
      <c r="B201" s="67" t="str">
        <f aca="false">IF(196&lt;='🌱 Configuração'!$F$55,196,"")</f>
        <v/>
      </c>
      <c r="C201" s="68" t="str">
        <f aca="false">IF(196&lt;='🌱 Configuração'!$F$55,'🌱 Configuração'!$B$56+195,"")</f>
        <v/>
      </c>
      <c r="D201" s="69" t="str">
        <f aca="false">IF(196&gt;'🌱 Configuração'!$F$55,"",IF('🌱 Configuração'!$B$56+195&lt;'🌱 Configuração'!$C$56,"🌱 Clone",IF('🌱 Configuração'!$B$56+195&lt;'🌱 Configuração'!$D$56,"🌿 Vegetativo",IF('🌱 Configuração'!$B$56+195&lt;'🌱 Configuração'!$E$56,"🌸 Floração","🚿 Flush"))))</f>
        <v/>
      </c>
      <c r="E201" s="70" t="str">
        <f aca="false">IF(196&gt;'🌱 Configuração'!$F$55,"",IF('🌱 Configuração'!$B$56+195&lt;'🌱 Configuração'!$C$56,"Clone S"&amp;INT((196-1)/7)+1,IF('🌱 Configuração'!$B$56+195&lt;'🌱 Configuração'!$D$56,"Vega S"&amp;INT(('🌱 Configuração'!$B$56+195-'🌱 Configuração'!$C$56)/7)+1,IF('🌱 Configuração'!$B$56+195&lt;'🌱 Configuração'!$E$56,"Flora S"&amp;INT(('🌱 Configuração'!$B$56+195-'🌱 Configuração'!$D$56)/7)+1,"Flush S"&amp;INT(('🌱 Configuração'!$B$56+195-'🌱 Configuração'!$E$56)/7)+1))))</f>
        <v/>
      </c>
      <c r="F201" s="13" t="str">
        <f aca="false">IF(196&gt;'🌱 Configuração'!$F$55,"",IF('🌱 Configuração'!$B$56+195='🌱 Configuração'!$C$56,"🌿 INÍCIO VEGA — luz 18h/dia",IF('🌱 Configuração'!$B$56+195='🌱 Configuração'!$D$56,"🌸 INÍCIO FLORAÇÃO — mudar 12/12 🔴",IF('🌱 Configuração'!$B$56+195='🌱 Configuração'!$E$56,"🚿 INÍCIO FLUSH — parar nutrição",IF('🌱 Configuração'!$B$56+195='🌱 Configuração'!$F$56-1,"🔬 Véspera da colheita — analisar tricomas",IF('🌱 Configuração'!$B$56+195='🌱 Configuração'!$F$56,"✂️ COLHEITA — Parabéns! 🎉",""))))))</f>
        <v/>
      </c>
      <c r="G201" s="71" t="str">
        <f aca="false">IF(196&gt;'🌱 Configuração'!$F$55,"",IF(AND('🌱 Configuração'!$B$56+195&gt;='🌱 Configuração'!$C$56,'🌱 Configuração'!$B$56+195&lt;'🌱 Configuração'!$D$56,MOD('🌱 Configuração'!$B$56+195-'🌱 Configuração'!$C$56,7)=0),"🐛 MIP — ver aba MIP para aplicação desta semana",IF(AND('🌱 Configuração'!$B$56+195&gt;='🌱 Configuração'!$D$56,MOD('🌱 Configuração'!$B$56+195-'🌱 Configuração'!$D$56,7)=0),"🐛 MIP solo — ver aba MIP (sem foliar em flora)","")))</f>
        <v/>
      </c>
    </row>
    <row r="202" customFormat="false" ht="18" hidden="false" customHeight="true" outlineLevel="0" collapsed="false">
      <c r="B202" s="64" t="str">
        <f aca="false">IF(197&lt;='🌱 Configuração'!$F$55,197,"")</f>
        <v/>
      </c>
      <c r="C202" s="41" t="str">
        <f aca="false">IF(197&lt;='🌱 Configuração'!$F$55,'🌱 Configuração'!$B$56+196,"")</f>
        <v/>
      </c>
      <c r="D202" s="65" t="str">
        <f aca="false">IF(197&gt;'🌱 Configuração'!$F$55,"",IF('🌱 Configuração'!$B$56+196&lt;'🌱 Configuração'!$C$56,"🌱 Clone",IF('🌱 Configuração'!$B$56+196&lt;'🌱 Configuração'!$D$56,"🌿 Vegetativo",IF('🌱 Configuração'!$B$56+196&lt;'🌱 Configuração'!$E$56,"🌸 Floração","🚿 Flush"))))</f>
        <v/>
      </c>
      <c r="E202" s="43" t="str">
        <f aca="false">IF(197&gt;'🌱 Configuração'!$F$55,"",IF('🌱 Configuração'!$B$56+196&lt;'🌱 Configuração'!$C$56,"Clone S"&amp;INT((197-1)/7)+1,IF('🌱 Configuração'!$B$56+196&lt;'🌱 Configuração'!$D$56,"Vega S"&amp;INT(('🌱 Configuração'!$B$56+196-'🌱 Configuração'!$C$56)/7)+1,IF('🌱 Configuração'!$B$56+196&lt;'🌱 Configuração'!$E$56,"Flora S"&amp;INT(('🌱 Configuração'!$B$56+196-'🌱 Configuração'!$D$56)/7)+1,"Flush S"&amp;INT(('🌱 Configuração'!$B$56+196-'🌱 Configuração'!$E$56)/7)+1))))</f>
        <v/>
      </c>
      <c r="F202" s="42" t="str">
        <f aca="false">IF(197&gt;'🌱 Configuração'!$F$55,"",IF('🌱 Configuração'!$B$56+196='🌱 Configuração'!$C$56,"🌿 INÍCIO VEGA — luz 18h/dia",IF('🌱 Configuração'!$B$56+196='🌱 Configuração'!$D$56,"🌸 INÍCIO FLORAÇÃO — mudar 12/12 🔴",IF('🌱 Configuração'!$B$56+196='🌱 Configuração'!$E$56,"🚿 INÍCIO FLUSH — parar nutrição",IF('🌱 Configuração'!$B$56+196='🌱 Configuração'!$F$56-1,"🔬 Véspera da colheita — analisar tricomas",IF('🌱 Configuração'!$B$56+196='🌱 Configuração'!$F$56,"✂️ COLHEITA — Parabéns! 🎉",""))))))</f>
        <v/>
      </c>
      <c r="G202" s="66" t="str">
        <f aca="false">IF(197&gt;'🌱 Configuração'!$F$55,"",IF(AND('🌱 Configuração'!$B$56+196&gt;='🌱 Configuração'!$C$56,'🌱 Configuração'!$B$56+196&lt;'🌱 Configuração'!$D$56,MOD('🌱 Configuração'!$B$56+196-'🌱 Configuração'!$C$56,7)=0),"🐛 MIP — ver aba MIP para aplicação desta semana",IF(AND('🌱 Configuração'!$B$56+196&gt;='🌱 Configuração'!$D$56,MOD('🌱 Configuração'!$B$56+196-'🌱 Configuração'!$D$56,7)=0),"🐛 MIP solo — ver aba MIP (sem foliar em flora)","")))</f>
        <v/>
      </c>
    </row>
    <row r="203" customFormat="false" ht="18" hidden="false" customHeight="true" outlineLevel="0" collapsed="false">
      <c r="B203" s="67" t="str">
        <f aca="false">IF(198&lt;='🌱 Configuração'!$F$55,198,"")</f>
        <v/>
      </c>
      <c r="C203" s="68" t="str">
        <f aca="false">IF(198&lt;='🌱 Configuração'!$F$55,'🌱 Configuração'!$B$56+197,"")</f>
        <v/>
      </c>
      <c r="D203" s="69" t="str">
        <f aca="false">IF(198&gt;'🌱 Configuração'!$F$55,"",IF('🌱 Configuração'!$B$56+197&lt;'🌱 Configuração'!$C$56,"🌱 Clone",IF('🌱 Configuração'!$B$56+197&lt;'🌱 Configuração'!$D$56,"🌿 Vegetativo",IF('🌱 Configuração'!$B$56+197&lt;'🌱 Configuração'!$E$56,"🌸 Floração","🚿 Flush"))))</f>
        <v/>
      </c>
      <c r="E203" s="70" t="str">
        <f aca="false">IF(198&gt;'🌱 Configuração'!$F$55,"",IF('🌱 Configuração'!$B$56+197&lt;'🌱 Configuração'!$C$56,"Clone S"&amp;INT((198-1)/7)+1,IF('🌱 Configuração'!$B$56+197&lt;'🌱 Configuração'!$D$56,"Vega S"&amp;INT(('🌱 Configuração'!$B$56+197-'🌱 Configuração'!$C$56)/7)+1,IF('🌱 Configuração'!$B$56+197&lt;'🌱 Configuração'!$E$56,"Flora S"&amp;INT(('🌱 Configuração'!$B$56+197-'🌱 Configuração'!$D$56)/7)+1,"Flush S"&amp;INT(('🌱 Configuração'!$B$56+197-'🌱 Configuração'!$E$56)/7)+1))))</f>
        <v/>
      </c>
      <c r="F203" s="13" t="str">
        <f aca="false">IF(198&gt;'🌱 Configuração'!$F$55,"",IF('🌱 Configuração'!$B$56+197='🌱 Configuração'!$C$56,"🌿 INÍCIO VEGA — luz 18h/dia",IF('🌱 Configuração'!$B$56+197='🌱 Configuração'!$D$56,"🌸 INÍCIO FLORAÇÃO — mudar 12/12 🔴",IF('🌱 Configuração'!$B$56+197='🌱 Configuração'!$E$56,"🚿 INÍCIO FLUSH — parar nutrição",IF('🌱 Configuração'!$B$56+197='🌱 Configuração'!$F$56-1,"🔬 Véspera da colheita — analisar tricomas",IF('🌱 Configuração'!$B$56+197='🌱 Configuração'!$F$56,"✂️ COLHEITA — Parabéns! 🎉",""))))))</f>
        <v/>
      </c>
      <c r="G203" s="71" t="str">
        <f aca="false">IF(198&gt;'🌱 Configuração'!$F$55,"",IF(AND('🌱 Configuração'!$B$56+197&gt;='🌱 Configuração'!$C$56,'🌱 Configuração'!$B$56+197&lt;'🌱 Configuração'!$D$56,MOD('🌱 Configuração'!$B$56+197-'🌱 Configuração'!$C$56,7)=0),"🐛 MIP — ver aba MIP para aplicação desta semana",IF(AND('🌱 Configuração'!$B$56+197&gt;='🌱 Configuração'!$D$56,MOD('🌱 Configuração'!$B$56+197-'🌱 Configuração'!$D$56,7)=0),"🐛 MIP solo — ver aba MIP (sem foliar em flora)","")))</f>
        <v/>
      </c>
    </row>
    <row r="204" customFormat="false" ht="18" hidden="false" customHeight="true" outlineLevel="0" collapsed="false">
      <c r="B204" s="64" t="str">
        <f aca="false">IF(199&lt;='🌱 Configuração'!$F$55,199,"")</f>
        <v/>
      </c>
      <c r="C204" s="41" t="str">
        <f aca="false">IF(199&lt;='🌱 Configuração'!$F$55,'🌱 Configuração'!$B$56+198,"")</f>
        <v/>
      </c>
      <c r="D204" s="65" t="str">
        <f aca="false">IF(199&gt;'🌱 Configuração'!$F$55,"",IF('🌱 Configuração'!$B$56+198&lt;'🌱 Configuração'!$C$56,"🌱 Clone",IF('🌱 Configuração'!$B$56+198&lt;'🌱 Configuração'!$D$56,"🌿 Vegetativo",IF('🌱 Configuração'!$B$56+198&lt;'🌱 Configuração'!$E$56,"🌸 Floração","🚿 Flush"))))</f>
        <v/>
      </c>
      <c r="E204" s="43" t="str">
        <f aca="false">IF(199&gt;'🌱 Configuração'!$F$55,"",IF('🌱 Configuração'!$B$56+198&lt;'🌱 Configuração'!$C$56,"Clone S"&amp;INT((199-1)/7)+1,IF('🌱 Configuração'!$B$56+198&lt;'🌱 Configuração'!$D$56,"Vega S"&amp;INT(('🌱 Configuração'!$B$56+198-'🌱 Configuração'!$C$56)/7)+1,IF('🌱 Configuração'!$B$56+198&lt;'🌱 Configuração'!$E$56,"Flora S"&amp;INT(('🌱 Configuração'!$B$56+198-'🌱 Configuração'!$D$56)/7)+1,"Flush S"&amp;INT(('🌱 Configuração'!$B$56+198-'🌱 Configuração'!$E$56)/7)+1))))</f>
        <v/>
      </c>
      <c r="F204" s="42" t="str">
        <f aca="false">IF(199&gt;'🌱 Configuração'!$F$55,"",IF('🌱 Configuração'!$B$56+198='🌱 Configuração'!$C$56,"🌿 INÍCIO VEGA — luz 18h/dia",IF('🌱 Configuração'!$B$56+198='🌱 Configuração'!$D$56,"🌸 INÍCIO FLORAÇÃO — mudar 12/12 🔴",IF('🌱 Configuração'!$B$56+198='🌱 Configuração'!$E$56,"🚿 INÍCIO FLUSH — parar nutrição",IF('🌱 Configuração'!$B$56+198='🌱 Configuração'!$F$56-1,"🔬 Véspera da colheita — analisar tricomas",IF('🌱 Configuração'!$B$56+198='🌱 Configuração'!$F$56,"✂️ COLHEITA — Parabéns! 🎉",""))))))</f>
        <v/>
      </c>
      <c r="G204" s="66" t="str">
        <f aca="false">IF(199&gt;'🌱 Configuração'!$F$55,"",IF(AND('🌱 Configuração'!$B$56+198&gt;='🌱 Configuração'!$C$56,'🌱 Configuração'!$B$56+198&lt;'🌱 Configuração'!$D$56,MOD('🌱 Configuração'!$B$56+198-'🌱 Configuração'!$C$56,7)=0),"🐛 MIP — ver aba MIP para aplicação desta semana",IF(AND('🌱 Configuração'!$B$56+198&gt;='🌱 Configuração'!$D$56,MOD('🌱 Configuração'!$B$56+198-'🌱 Configuração'!$D$56,7)=0),"🐛 MIP solo — ver aba MIP (sem foliar em flora)","")))</f>
        <v/>
      </c>
    </row>
    <row r="205" customFormat="false" ht="18" hidden="false" customHeight="true" outlineLevel="0" collapsed="false">
      <c r="B205" s="67" t="str">
        <f aca="false">IF(200&lt;='🌱 Configuração'!$F$55,200,"")</f>
        <v/>
      </c>
      <c r="C205" s="68" t="str">
        <f aca="false">IF(200&lt;='🌱 Configuração'!$F$55,'🌱 Configuração'!$B$56+199,"")</f>
        <v/>
      </c>
      <c r="D205" s="69" t="str">
        <f aca="false">IF(200&gt;'🌱 Configuração'!$F$55,"",IF('🌱 Configuração'!$B$56+199&lt;'🌱 Configuração'!$C$56,"🌱 Clone",IF('🌱 Configuração'!$B$56+199&lt;'🌱 Configuração'!$D$56,"🌿 Vegetativo",IF('🌱 Configuração'!$B$56+199&lt;'🌱 Configuração'!$E$56,"🌸 Floração","🚿 Flush"))))</f>
        <v/>
      </c>
      <c r="E205" s="70" t="str">
        <f aca="false">IF(200&gt;'🌱 Configuração'!$F$55,"",IF('🌱 Configuração'!$B$56+199&lt;'🌱 Configuração'!$C$56,"Clone S"&amp;INT((200-1)/7)+1,IF('🌱 Configuração'!$B$56+199&lt;'🌱 Configuração'!$D$56,"Vega S"&amp;INT(('🌱 Configuração'!$B$56+199-'🌱 Configuração'!$C$56)/7)+1,IF('🌱 Configuração'!$B$56+199&lt;'🌱 Configuração'!$E$56,"Flora S"&amp;INT(('🌱 Configuração'!$B$56+199-'🌱 Configuração'!$D$56)/7)+1,"Flush S"&amp;INT(('🌱 Configuração'!$B$56+199-'🌱 Configuração'!$E$56)/7)+1))))</f>
        <v/>
      </c>
      <c r="F205" s="13" t="str">
        <f aca="false">IF(200&gt;'🌱 Configuração'!$F$55,"",IF('🌱 Configuração'!$B$56+199='🌱 Configuração'!$C$56,"🌿 INÍCIO VEGA — luz 18h/dia",IF('🌱 Configuração'!$B$56+199='🌱 Configuração'!$D$56,"🌸 INÍCIO FLORAÇÃO — mudar 12/12 🔴",IF('🌱 Configuração'!$B$56+199='🌱 Configuração'!$E$56,"🚿 INÍCIO FLUSH — parar nutrição",IF('🌱 Configuração'!$B$56+199='🌱 Configuração'!$F$56-1,"🔬 Véspera da colheita — analisar tricomas",IF('🌱 Configuração'!$B$56+199='🌱 Configuração'!$F$56,"✂️ COLHEITA — Parabéns! 🎉",""))))))</f>
        <v/>
      </c>
      <c r="G205" s="71" t="str">
        <f aca="false">IF(200&gt;'🌱 Configuração'!$F$55,"",IF(AND('🌱 Configuração'!$B$56+199&gt;='🌱 Configuração'!$C$56,'🌱 Configuração'!$B$56+199&lt;'🌱 Configuração'!$D$56,MOD('🌱 Configuração'!$B$56+199-'🌱 Configuração'!$C$56,7)=0),"🐛 MIP — ver aba MIP para aplicação desta semana",IF(AND('🌱 Configuração'!$B$56+199&gt;='🌱 Configuração'!$D$56,MOD('🌱 Configuração'!$B$56+199-'🌱 Configuração'!$D$56,7)=0),"🐛 MIP solo — ver aba MIP (sem foliar em flora)","")))</f>
        <v/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3946"/>
    <pageSetUpPr fitToPage="false"/>
  </sheetPr>
  <dimension ref="B2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3"/>
  </cols>
  <sheetData>
    <row r="2" customFormat="false" ht="45" hidden="false" customHeight="true" outlineLevel="0" collapsed="false">
      <c r="B2" s="62" t="s">
        <v>247</v>
      </c>
      <c r="C2" s="62"/>
      <c r="D2" s="62"/>
      <c r="E2" s="62"/>
      <c r="F2" s="62"/>
      <c r="G2" s="62"/>
    </row>
    <row r="3" customFormat="false" ht="18" hidden="false" customHeight="true" outlineLevel="0" collapsed="false">
      <c r="B3" s="72" t="s">
        <v>248</v>
      </c>
      <c r="C3" s="72"/>
      <c r="D3" s="72"/>
      <c r="E3" s="72"/>
      <c r="F3" s="72"/>
      <c r="G3" s="72"/>
    </row>
    <row r="5" customFormat="false" ht="15" hidden="false" customHeight="true" outlineLevel="0" collapsed="false">
      <c r="B5" s="18" t="s">
        <v>249</v>
      </c>
      <c r="C5" s="18"/>
      <c r="D5" s="18"/>
      <c r="E5" s="18"/>
      <c r="F5" s="18"/>
      <c r="G5" s="18"/>
    </row>
    <row r="6" customFormat="false" ht="21.75" hidden="false" customHeight="true" outlineLevel="0" collapsed="false">
      <c r="B6" s="40" t="s">
        <v>250</v>
      </c>
      <c r="C6" s="40" t="s">
        <v>251</v>
      </c>
      <c r="D6" s="40" t="s">
        <v>252</v>
      </c>
      <c r="E6" s="40" t="s">
        <v>253</v>
      </c>
      <c r="F6" s="40" t="s">
        <v>254</v>
      </c>
      <c r="G6" s="40" t="s">
        <v>56</v>
      </c>
    </row>
    <row r="7" customFormat="false" ht="25.5" hidden="false" customHeight="true" outlineLevel="0" collapsed="false">
      <c r="B7" s="73" t="s">
        <v>255</v>
      </c>
      <c r="C7" s="13" t="s">
        <v>256</v>
      </c>
      <c r="D7" s="13" t="s">
        <v>257</v>
      </c>
      <c r="E7" s="13" t="s">
        <v>258</v>
      </c>
      <c r="F7" s="13" t="s">
        <v>259</v>
      </c>
      <c r="G7" s="13" t="s">
        <v>260</v>
      </c>
    </row>
    <row r="8" customFormat="false" ht="25.5" hidden="false" customHeight="true" outlineLevel="0" collapsed="false">
      <c r="B8" s="74" t="s">
        <v>261</v>
      </c>
      <c r="C8" s="42" t="s">
        <v>262</v>
      </c>
      <c r="D8" s="42" t="s">
        <v>263</v>
      </c>
      <c r="E8" s="42" t="s">
        <v>264</v>
      </c>
      <c r="F8" s="42" t="s">
        <v>265</v>
      </c>
      <c r="G8" s="42" t="s">
        <v>266</v>
      </c>
    </row>
    <row r="9" customFormat="false" ht="25.5" hidden="false" customHeight="true" outlineLevel="0" collapsed="false">
      <c r="B9" s="73" t="s">
        <v>267</v>
      </c>
      <c r="C9" s="13" t="s">
        <v>268</v>
      </c>
      <c r="D9" s="13" t="s">
        <v>269</v>
      </c>
      <c r="E9" s="13" t="s">
        <v>270</v>
      </c>
      <c r="F9" s="13" t="s">
        <v>271</v>
      </c>
      <c r="G9" s="13" t="s">
        <v>272</v>
      </c>
    </row>
    <row r="10" customFormat="false" ht="25.5" hidden="false" customHeight="true" outlineLevel="0" collapsed="false">
      <c r="B10" s="74" t="s">
        <v>273</v>
      </c>
      <c r="C10" s="42" t="s">
        <v>79</v>
      </c>
      <c r="D10" s="42" t="s">
        <v>274</v>
      </c>
      <c r="E10" s="42" t="s">
        <v>275</v>
      </c>
      <c r="F10" s="42" t="s">
        <v>276</v>
      </c>
      <c r="G10" s="42" t="s">
        <v>277</v>
      </c>
    </row>
    <row r="11" customFormat="false" ht="25.5" hidden="false" customHeight="true" outlineLevel="0" collapsed="false">
      <c r="B11" s="73" t="s">
        <v>278</v>
      </c>
      <c r="C11" s="13" t="s">
        <v>279</v>
      </c>
      <c r="D11" s="13" t="s">
        <v>274</v>
      </c>
      <c r="E11" s="13" t="s">
        <v>280</v>
      </c>
      <c r="F11" s="13" t="s">
        <v>281</v>
      </c>
      <c r="G11" s="13" t="s">
        <v>282</v>
      </c>
    </row>
    <row r="12" customFormat="false" ht="25.5" hidden="false" customHeight="true" outlineLevel="0" collapsed="false">
      <c r="B12" s="74" t="s">
        <v>283</v>
      </c>
      <c r="C12" s="42" t="s">
        <v>284</v>
      </c>
      <c r="D12" s="42" t="s">
        <v>285</v>
      </c>
      <c r="E12" s="42" t="s">
        <v>286</v>
      </c>
      <c r="F12" s="42" t="s">
        <v>287</v>
      </c>
      <c r="G12" s="42" t="s">
        <v>288</v>
      </c>
    </row>
    <row r="13" customFormat="false" ht="25.5" hidden="false" customHeight="true" outlineLevel="0" collapsed="false">
      <c r="B13" s="73" t="s">
        <v>289</v>
      </c>
      <c r="C13" s="13" t="s">
        <v>290</v>
      </c>
      <c r="D13" s="13" t="s">
        <v>291</v>
      </c>
      <c r="E13" s="13" t="s">
        <v>292</v>
      </c>
      <c r="F13" s="13" t="s">
        <v>293</v>
      </c>
      <c r="G13" s="13" t="s">
        <v>294</v>
      </c>
    </row>
    <row r="15" customFormat="false" ht="15" hidden="false" customHeight="true" outlineLevel="0" collapsed="false">
      <c r="B15" s="4" t="s">
        <v>295</v>
      </c>
      <c r="C15" s="4"/>
      <c r="D15" s="4"/>
      <c r="E15" s="4"/>
      <c r="F15" s="4"/>
      <c r="G15" s="4"/>
    </row>
    <row r="16" customFormat="false" ht="21.75" hidden="false" customHeight="true" outlineLevel="0" collapsed="false">
      <c r="B16" s="19" t="s">
        <v>45</v>
      </c>
      <c r="C16" s="19" t="s">
        <v>244</v>
      </c>
      <c r="D16" s="19" t="s">
        <v>31</v>
      </c>
      <c r="E16" s="19" t="s">
        <v>250</v>
      </c>
      <c r="F16" s="19" t="s">
        <v>296</v>
      </c>
      <c r="G16" s="19" t="s">
        <v>56</v>
      </c>
    </row>
    <row r="17" customFormat="false" ht="21.75" hidden="false" customHeight="true" outlineLevel="0" collapsed="false">
      <c r="B17" s="75" t="s">
        <v>297</v>
      </c>
      <c r="C17" s="46" t="str">
        <f aca="false">IF('🌱 Configuração'!$B$56="","",'🌱 Configuração'!$B$56+0)</f>
        <v/>
      </c>
      <c r="D17" s="76" t="s">
        <v>298</v>
      </c>
      <c r="E17" s="77" t="s">
        <v>299</v>
      </c>
      <c r="F17" s="48" t="s">
        <v>300</v>
      </c>
      <c r="G17" s="47" t="s">
        <v>301</v>
      </c>
    </row>
    <row r="18" customFormat="false" ht="21.75" hidden="false" customHeight="true" outlineLevel="0" collapsed="false">
      <c r="B18" s="75" t="s">
        <v>302</v>
      </c>
      <c r="C18" s="41" t="str">
        <f aca="false">IF('🌱 Configuração'!$B$56="","",'🌱 Configuração'!$B$56+7)</f>
        <v/>
      </c>
      <c r="D18" s="76" t="s">
        <v>298</v>
      </c>
      <c r="E18" s="74" t="s">
        <v>303</v>
      </c>
      <c r="F18" s="43" t="s">
        <v>304</v>
      </c>
      <c r="G18" s="42"/>
    </row>
    <row r="19" customFormat="false" ht="21.75" hidden="false" customHeight="true" outlineLevel="0" collapsed="false">
      <c r="B19" s="78" t="s">
        <v>305</v>
      </c>
      <c r="C19" s="50" t="n">
        <f aca="false">IF('🌱 Configuração'!$C$56="","",'🌱 Configuração'!$C$56+0)</f>
        <v>14</v>
      </c>
      <c r="D19" s="79" t="s">
        <v>306</v>
      </c>
      <c r="E19" s="80" t="s">
        <v>299</v>
      </c>
      <c r="F19" s="52" t="s">
        <v>274</v>
      </c>
      <c r="G19" s="51"/>
    </row>
    <row r="20" customFormat="false" ht="21.75" hidden="false" customHeight="true" outlineLevel="0" collapsed="false">
      <c r="B20" s="78" t="s">
        <v>307</v>
      </c>
      <c r="C20" s="41" t="n">
        <f aca="false">IF('🌱 Configuração'!$C$56="","",'🌱 Configuração'!$C$56+7)</f>
        <v>21</v>
      </c>
      <c r="D20" s="79" t="s">
        <v>306</v>
      </c>
      <c r="E20" s="74" t="s">
        <v>303</v>
      </c>
      <c r="F20" s="43" t="s">
        <v>274</v>
      </c>
      <c r="G20" s="42"/>
    </row>
    <row r="21" customFormat="false" ht="21.75" hidden="false" customHeight="true" outlineLevel="0" collapsed="false">
      <c r="B21" s="78" t="s">
        <v>308</v>
      </c>
      <c r="C21" s="50" t="n">
        <f aca="false">IF('🌱 Configuração'!$C$56="","",'🌱 Configuração'!$C$56+14)</f>
        <v>28</v>
      </c>
      <c r="D21" s="79" t="s">
        <v>306</v>
      </c>
      <c r="E21" s="80" t="s">
        <v>309</v>
      </c>
      <c r="F21" s="52" t="s">
        <v>274</v>
      </c>
      <c r="G21" s="51" t="s">
        <v>288</v>
      </c>
    </row>
    <row r="22" customFormat="false" ht="21.75" hidden="false" customHeight="true" outlineLevel="0" collapsed="false">
      <c r="B22" s="78" t="s">
        <v>310</v>
      </c>
      <c r="C22" s="41" t="n">
        <f aca="false">IF('🌱 Configuração'!$C$56="","",'🌱 Configuração'!$C$56+21)</f>
        <v>35</v>
      </c>
      <c r="D22" s="79" t="s">
        <v>306</v>
      </c>
      <c r="E22" s="74" t="s">
        <v>311</v>
      </c>
      <c r="F22" s="43" t="s">
        <v>312</v>
      </c>
      <c r="G22" s="42" t="s">
        <v>313</v>
      </c>
    </row>
    <row r="23" customFormat="false" ht="21.75" hidden="false" customHeight="true" outlineLevel="0" collapsed="false">
      <c r="B23" s="78" t="s">
        <v>314</v>
      </c>
      <c r="C23" s="50" t="n">
        <f aca="false">IF('🌱 Configuração'!$C$56="","",'🌱 Configuração'!$C$56+28)</f>
        <v>42</v>
      </c>
      <c r="D23" s="79" t="s">
        <v>306</v>
      </c>
      <c r="E23" s="80" t="s">
        <v>315</v>
      </c>
      <c r="F23" s="52" t="s">
        <v>274</v>
      </c>
      <c r="G23" s="51" t="s">
        <v>316</v>
      </c>
    </row>
    <row r="24" customFormat="false" ht="21.75" hidden="false" customHeight="true" outlineLevel="0" collapsed="false">
      <c r="B24" s="78" t="s">
        <v>317</v>
      </c>
      <c r="C24" s="41" t="n">
        <f aca="false">IF('🌱 Configuração'!$C$56="","",'🌱 Configuração'!$C$56+35)</f>
        <v>49</v>
      </c>
      <c r="D24" s="79" t="s">
        <v>306</v>
      </c>
      <c r="E24" s="74" t="s">
        <v>299</v>
      </c>
      <c r="F24" s="43" t="s">
        <v>274</v>
      </c>
      <c r="G24" s="42" t="s">
        <v>318</v>
      </c>
    </row>
    <row r="25" customFormat="false" ht="21.75" hidden="false" customHeight="true" outlineLevel="0" collapsed="false">
      <c r="B25" s="81" t="s">
        <v>319</v>
      </c>
      <c r="C25" s="54" t="n">
        <f aca="false">IF('🌱 Configuração'!$D$56="","",'🌱 Configuração'!$D$56+0)</f>
        <v>56</v>
      </c>
      <c r="D25" s="82" t="s">
        <v>320</v>
      </c>
      <c r="E25" s="83" t="s">
        <v>303</v>
      </c>
      <c r="F25" s="56" t="s">
        <v>321</v>
      </c>
      <c r="G25" s="55" t="s">
        <v>322</v>
      </c>
    </row>
    <row r="26" customFormat="false" ht="21.75" hidden="false" customHeight="true" outlineLevel="0" collapsed="false">
      <c r="B26" s="81" t="s">
        <v>323</v>
      </c>
      <c r="C26" s="41" t="n">
        <f aca="false">IF('🌱 Configuração'!$D$56="","",'🌱 Configuração'!$D$56+7)</f>
        <v>63</v>
      </c>
      <c r="D26" s="82" t="s">
        <v>320</v>
      </c>
      <c r="E26" s="74" t="s">
        <v>311</v>
      </c>
      <c r="F26" s="43" t="s">
        <v>312</v>
      </c>
      <c r="G26" s="42"/>
    </row>
    <row r="27" customFormat="false" ht="21.75" hidden="false" customHeight="true" outlineLevel="0" collapsed="false">
      <c r="B27" s="81" t="s">
        <v>324</v>
      </c>
      <c r="C27" s="54" t="n">
        <f aca="false">IF('🌱 Configuração'!$D$56="","",'🌱 Configuração'!$D$56+14)</f>
        <v>70</v>
      </c>
      <c r="D27" s="82" t="s">
        <v>320</v>
      </c>
      <c r="E27" s="83" t="s">
        <v>303</v>
      </c>
      <c r="F27" s="56" t="s">
        <v>321</v>
      </c>
      <c r="G27" s="55" t="s">
        <v>325</v>
      </c>
    </row>
    <row r="28" customFormat="false" ht="21.75" hidden="false" customHeight="true" outlineLevel="0" collapsed="false">
      <c r="B28" s="81" t="s">
        <v>326</v>
      </c>
      <c r="C28" s="41" t="n">
        <f aca="false">IF('🌱 Configuração'!$D$56="","",'🌱 Configuração'!$D$56+21)</f>
        <v>77</v>
      </c>
      <c r="D28" s="82" t="s">
        <v>320</v>
      </c>
      <c r="E28" s="74" t="s">
        <v>311</v>
      </c>
      <c r="F28" s="43" t="s">
        <v>312</v>
      </c>
      <c r="G28" s="42" t="s">
        <v>327</v>
      </c>
    </row>
    <row r="29" customFormat="false" ht="21.75" hidden="false" customHeight="true" outlineLevel="0" collapsed="false">
      <c r="B29" s="81" t="s">
        <v>328</v>
      </c>
      <c r="C29" s="54" t="n">
        <f aca="false">IF('🌱 Configuração'!$D$56="","",'🌱 Configuração'!$D$56+28)</f>
        <v>84</v>
      </c>
      <c r="D29" s="82" t="s">
        <v>320</v>
      </c>
      <c r="E29" s="83" t="s">
        <v>329</v>
      </c>
      <c r="F29" s="56" t="s">
        <v>312</v>
      </c>
      <c r="G29" s="55" t="s">
        <v>330</v>
      </c>
    </row>
    <row r="30" customFormat="false" ht="21.75" hidden="false" customHeight="true" outlineLevel="0" collapsed="false">
      <c r="B30" s="84" t="s">
        <v>331</v>
      </c>
      <c r="C30" s="41" t="n">
        <f aca="false">IF('🌱 Configuração'!$E$56="","",'🌱 Configuração'!$E$56+0)</f>
        <v>119</v>
      </c>
      <c r="D30" s="85" t="s">
        <v>332</v>
      </c>
      <c r="E30" s="74" t="s">
        <v>333</v>
      </c>
      <c r="F30" s="43" t="s">
        <v>334</v>
      </c>
      <c r="G30" s="42" t="s">
        <v>335</v>
      </c>
    </row>
    <row r="32" customFormat="false" ht="15" hidden="false" customHeight="true" outlineLevel="0" collapsed="false">
      <c r="B32" s="4" t="s">
        <v>336</v>
      </c>
      <c r="C32" s="4"/>
      <c r="D32" s="4"/>
      <c r="E32" s="4"/>
      <c r="F32" s="4"/>
      <c r="G32" s="4"/>
    </row>
    <row r="33" customFormat="false" ht="15" hidden="false" customHeight="true" outlineLevel="0" collapsed="false">
      <c r="B33" s="86" t="s">
        <v>337</v>
      </c>
      <c r="C33" s="86"/>
      <c r="D33" s="86" t="s">
        <v>338</v>
      </c>
      <c r="E33" s="86"/>
      <c r="F33" s="86"/>
      <c r="G33" s="86"/>
    </row>
    <row r="34" customFormat="false" ht="19.5" hidden="false" customHeight="true" outlineLevel="0" collapsed="false">
      <c r="B34" s="87" t="s">
        <v>339</v>
      </c>
      <c r="C34" s="87"/>
      <c r="D34" s="88" t="s">
        <v>340</v>
      </c>
      <c r="E34" s="88"/>
      <c r="F34" s="88"/>
      <c r="G34" s="88"/>
    </row>
    <row r="35" customFormat="false" ht="19.5" hidden="false" customHeight="true" outlineLevel="0" collapsed="false">
      <c r="B35" s="87" t="s">
        <v>339</v>
      </c>
      <c r="C35" s="87"/>
      <c r="D35" s="88" t="s">
        <v>341</v>
      </c>
      <c r="E35" s="88"/>
      <c r="F35" s="88"/>
      <c r="G35" s="88"/>
    </row>
    <row r="36" customFormat="false" ht="19.5" hidden="false" customHeight="true" outlineLevel="0" collapsed="false">
      <c r="B36" s="87" t="s">
        <v>342</v>
      </c>
      <c r="C36" s="87"/>
      <c r="D36" s="88" t="s">
        <v>343</v>
      </c>
      <c r="E36" s="88"/>
      <c r="F36" s="88"/>
      <c r="G36" s="88"/>
    </row>
    <row r="37" customFormat="false" ht="19.5" hidden="false" customHeight="true" outlineLevel="0" collapsed="false">
      <c r="B37" s="89" t="s">
        <v>344</v>
      </c>
      <c r="C37" s="89"/>
      <c r="D37" s="90" t="s">
        <v>345</v>
      </c>
      <c r="E37" s="90"/>
      <c r="F37" s="90"/>
      <c r="G37" s="90"/>
    </row>
    <row r="38" customFormat="false" ht="19.5" hidden="false" customHeight="true" outlineLevel="0" collapsed="false">
      <c r="B38" s="91" t="s">
        <v>346</v>
      </c>
      <c r="C38" s="91"/>
      <c r="D38" s="92" t="s">
        <v>347</v>
      </c>
      <c r="E38" s="92"/>
      <c r="F38" s="92"/>
      <c r="G38" s="92"/>
    </row>
    <row r="39" customFormat="false" ht="19.5" hidden="false" customHeight="true" outlineLevel="0" collapsed="false">
      <c r="B39" s="93" t="s">
        <v>348</v>
      </c>
      <c r="C39" s="93"/>
      <c r="D39" s="94" t="s">
        <v>349</v>
      </c>
      <c r="E39" s="94"/>
      <c r="F39" s="94"/>
      <c r="G39" s="94"/>
    </row>
  </sheetData>
  <mergeCells count="19">
    <mergeCell ref="B2:G2"/>
    <mergeCell ref="B3:G3"/>
    <mergeCell ref="B5:G5"/>
    <mergeCell ref="B15:G15"/>
    <mergeCell ref="B32:G32"/>
    <mergeCell ref="B33:C33"/>
    <mergeCell ref="D33:G33"/>
    <mergeCell ref="B34:C34"/>
    <mergeCell ref="D34:G34"/>
    <mergeCell ref="B35:C35"/>
    <mergeCell ref="D35:G35"/>
    <mergeCell ref="B36:C36"/>
    <mergeCell ref="D36:G36"/>
    <mergeCell ref="B37:C37"/>
    <mergeCell ref="D37:G37"/>
    <mergeCell ref="B38:C38"/>
    <mergeCell ref="D38:G38"/>
    <mergeCell ref="B39:C39"/>
    <mergeCell ref="D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D8B"/>
    <pageSetUpPr fitToPage="false"/>
  </sheetPr>
  <dimension ref="B2:L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13"/>
    <col collapsed="false" customWidth="true" hidden="false" outlineLevel="0" max="9" min="4" style="1" width="11"/>
    <col collapsed="false" customWidth="true" hidden="false" outlineLevel="0" max="11" min="10" style="1" width="20"/>
    <col collapsed="false" customWidth="true" hidden="false" outlineLevel="0" max="12" min="12" style="1" width="3"/>
  </cols>
  <sheetData>
    <row r="2" customFormat="false" ht="45" hidden="false" customHeight="true" outlineLevel="0" collapsed="false">
      <c r="B2" s="62" t="s">
        <v>350</v>
      </c>
      <c r="C2" s="62"/>
      <c r="D2" s="62"/>
      <c r="E2" s="62"/>
      <c r="F2" s="62"/>
      <c r="G2" s="62"/>
      <c r="H2" s="62"/>
      <c r="I2" s="62"/>
      <c r="J2" s="62"/>
      <c r="K2" s="62"/>
    </row>
    <row r="3" customFormat="false" ht="18" hidden="false" customHeight="true" outlineLevel="0" collapsed="false">
      <c r="B3" s="95" t="s">
        <v>351</v>
      </c>
      <c r="C3" s="95"/>
      <c r="D3" s="95"/>
      <c r="E3" s="95"/>
      <c r="F3" s="95"/>
      <c r="G3" s="95"/>
      <c r="H3" s="95"/>
      <c r="I3" s="95"/>
      <c r="J3" s="95"/>
      <c r="K3" s="95"/>
    </row>
    <row r="5" customFormat="false" ht="27.75" hidden="false" customHeight="true" outlineLevel="0" collapsed="false">
      <c r="B5" s="40" t="s">
        <v>243</v>
      </c>
      <c r="C5" s="40" t="s">
        <v>244</v>
      </c>
      <c r="D5" s="40" t="s">
        <v>31</v>
      </c>
      <c r="E5" s="40" t="s">
        <v>352</v>
      </c>
      <c r="F5" s="40" t="s">
        <v>353</v>
      </c>
      <c r="G5" s="40" t="s">
        <v>354</v>
      </c>
      <c r="H5" s="40" t="s">
        <v>355</v>
      </c>
      <c r="I5" s="40" t="s">
        <v>356</v>
      </c>
      <c r="J5" s="40" t="s">
        <v>357</v>
      </c>
      <c r="K5" s="40" t="s">
        <v>358</v>
      </c>
      <c r="L5" s="40" t="s">
        <v>359</v>
      </c>
    </row>
    <row r="6" customFormat="false" ht="18" hidden="false" customHeight="true" outlineLevel="0" collapsed="false">
      <c r="B6" s="96" t="n">
        <f aca="false">IF(1&lt;='🌱 Configuração'!$F$55,1,"")</f>
        <v>1</v>
      </c>
      <c r="C6" s="97" t="n">
        <f aca="false">IF(1&lt;='🌱 Configuração'!$F$55,'🌱 Configuração'!$B$56+0,"")</f>
        <v>0</v>
      </c>
      <c r="D6" s="96" t="str">
        <f aca="false">IF(1&gt;'🌱 Configuração'!$F$55,"",IF('🌱 Configuração'!$B$56+0&lt;'🌱 Configuração'!$C$56,"🌱 Clone",IF('🌱 Configuração'!$B$56+0&lt;'🌱 Configuração'!$D$56,"🌿 Vega",IF('🌱 Configuração'!$B$56+0&lt;'🌱 Configuração'!$E$56,"🌸 Flora","🚿 Flush"))))</f>
        <v>🌱 Clone</v>
      </c>
      <c r="E6" s="96"/>
      <c r="F6" s="96"/>
      <c r="G6" s="96"/>
      <c r="H6" s="96"/>
      <c r="I6" s="96"/>
      <c r="J6" s="96"/>
      <c r="K6" s="96"/>
      <c r="L6" s="1" t="str">
        <f aca="false">IF(1&gt;'🌱 Configuração'!$F$55,"",IF(F6="","—",IF(F6&lt;22,"⚠️ Temp baixa",IF(F6&gt;29,"⚠️ Temp ALTA",IF(H6="","✅ OK",IF(H6&lt;5.5,"⚠️ pH baixo",IF(H6&gt;6.9,"⚠️ pH alto",IF(I6&gt;2.5,"⚠️ CE alta","✅ OK"))))))))</f>
        <v>—</v>
      </c>
    </row>
    <row r="7" customFormat="false" ht="18" hidden="false" customHeight="true" outlineLevel="0" collapsed="false">
      <c r="B7" s="98" t="n">
        <f aca="false">IF(2&lt;='🌱 Configuração'!$F$55,2,"")</f>
        <v>2</v>
      </c>
      <c r="C7" s="99" t="n">
        <f aca="false">IF(2&lt;='🌱 Configuração'!$F$55,'🌱 Configuração'!$B$56+1,"")</f>
        <v>1</v>
      </c>
      <c r="D7" s="98" t="str">
        <f aca="false">IF(2&gt;'🌱 Configuração'!$F$55,"",IF('🌱 Configuração'!$B$56+1&lt;'🌱 Configuração'!$C$56,"🌱 Clone",IF('🌱 Configuração'!$B$56+1&lt;'🌱 Configuração'!$D$56,"🌿 Vega",IF('🌱 Configuração'!$B$56+1&lt;'🌱 Configuração'!$E$56,"🌸 Flora","🚿 Flush"))))</f>
        <v>🌱 Clone</v>
      </c>
      <c r="E7" s="98"/>
      <c r="F7" s="98"/>
      <c r="G7" s="98"/>
      <c r="H7" s="98"/>
      <c r="I7" s="98"/>
      <c r="J7" s="98"/>
      <c r="K7" s="98"/>
      <c r="L7" s="1" t="str">
        <f aca="false">IF(2&gt;'🌱 Configuração'!$F$55,"",IF(F7="","—",IF(F7&lt;22,"⚠️ Temp baixa",IF(F7&gt;29,"⚠️ Temp ALTA",IF(H7="","✅ OK",IF(H7&lt;5.5,"⚠️ pH baixo",IF(H7&gt;6.9,"⚠️ pH alto",IF(I7&gt;2.5,"⚠️ CE alta","✅ OK"))))))))</f>
        <v>—</v>
      </c>
    </row>
    <row r="8" customFormat="false" ht="18" hidden="false" customHeight="true" outlineLevel="0" collapsed="false">
      <c r="B8" s="96" t="n">
        <f aca="false">IF(3&lt;='🌱 Configuração'!$F$55,3,"")</f>
        <v>3</v>
      </c>
      <c r="C8" s="97" t="n">
        <f aca="false">IF(3&lt;='🌱 Configuração'!$F$55,'🌱 Configuração'!$B$56+2,"")</f>
        <v>2</v>
      </c>
      <c r="D8" s="96" t="str">
        <f aca="false">IF(3&gt;'🌱 Configuração'!$F$55,"",IF('🌱 Configuração'!$B$56+2&lt;'🌱 Configuração'!$C$56,"🌱 Clone",IF('🌱 Configuração'!$B$56+2&lt;'🌱 Configuração'!$D$56,"🌿 Vega",IF('🌱 Configuração'!$B$56+2&lt;'🌱 Configuração'!$E$56,"🌸 Flora","🚿 Flush"))))</f>
        <v>🌱 Clone</v>
      </c>
      <c r="E8" s="96"/>
      <c r="F8" s="96"/>
      <c r="G8" s="96"/>
      <c r="H8" s="96"/>
      <c r="I8" s="96"/>
      <c r="J8" s="96"/>
      <c r="K8" s="96"/>
      <c r="L8" s="1" t="str">
        <f aca="false">IF(3&gt;'🌱 Configuração'!$F$55,"",IF(F8="","—",IF(F8&lt;22,"⚠️ Temp baixa",IF(F8&gt;29,"⚠️ Temp ALTA",IF(H8="","✅ OK",IF(H8&lt;5.5,"⚠️ pH baixo",IF(H8&gt;6.9,"⚠️ pH alto",IF(I8&gt;2.5,"⚠️ CE alta","✅ OK"))))))))</f>
        <v>—</v>
      </c>
    </row>
    <row r="9" customFormat="false" ht="18" hidden="false" customHeight="true" outlineLevel="0" collapsed="false">
      <c r="B9" s="98" t="n">
        <f aca="false">IF(4&lt;='🌱 Configuração'!$F$55,4,"")</f>
        <v>4</v>
      </c>
      <c r="C9" s="99" t="n">
        <f aca="false">IF(4&lt;='🌱 Configuração'!$F$55,'🌱 Configuração'!$B$56+3,"")</f>
        <v>3</v>
      </c>
      <c r="D9" s="98" t="str">
        <f aca="false">IF(4&gt;'🌱 Configuração'!$F$55,"",IF('🌱 Configuração'!$B$56+3&lt;'🌱 Configuração'!$C$56,"🌱 Clone",IF('🌱 Configuração'!$B$56+3&lt;'🌱 Configuração'!$D$56,"🌿 Vega",IF('🌱 Configuração'!$B$56+3&lt;'🌱 Configuração'!$E$56,"🌸 Flora","🚿 Flush"))))</f>
        <v>🌱 Clone</v>
      </c>
      <c r="E9" s="98"/>
      <c r="F9" s="98"/>
      <c r="G9" s="98"/>
      <c r="H9" s="98"/>
      <c r="I9" s="98"/>
      <c r="J9" s="98"/>
      <c r="K9" s="98"/>
      <c r="L9" s="1" t="str">
        <f aca="false">IF(4&gt;'🌱 Configuração'!$F$55,"",IF(F9="","—",IF(F9&lt;22,"⚠️ Temp baixa",IF(F9&gt;29,"⚠️ Temp ALTA",IF(H9="","✅ OK",IF(H9&lt;5.5,"⚠️ pH baixo",IF(H9&gt;6.9,"⚠️ pH alto",IF(I9&gt;2.5,"⚠️ CE alta","✅ OK"))))))))</f>
        <v>—</v>
      </c>
    </row>
    <row r="10" customFormat="false" ht="18" hidden="false" customHeight="true" outlineLevel="0" collapsed="false">
      <c r="B10" s="96" t="n">
        <f aca="false">IF(5&lt;='🌱 Configuração'!$F$55,5,"")</f>
        <v>5</v>
      </c>
      <c r="C10" s="97" t="n">
        <f aca="false">IF(5&lt;='🌱 Configuração'!$F$55,'🌱 Configuração'!$B$56+4,"")</f>
        <v>4</v>
      </c>
      <c r="D10" s="96" t="str">
        <f aca="false">IF(5&gt;'🌱 Configuração'!$F$55,"",IF('🌱 Configuração'!$B$56+4&lt;'🌱 Configuração'!$C$56,"🌱 Clone",IF('🌱 Configuração'!$B$56+4&lt;'🌱 Configuração'!$D$56,"🌿 Vega",IF('🌱 Configuração'!$B$56+4&lt;'🌱 Configuração'!$E$56,"🌸 Flora","🚿 Flush"))))</f>
        <v>🌱 Clone</v>
      </c>
      <c r="E10" s="96"/>
      <c r="F10" s="96"/>
      <c r="G10" s="96"/>
      <c r="H10" s="96"/>
      <c r="I10" s="96"/>
      <c r="J10" s="96"/>
      <c r="K10" s="96"/>
      <c r="L10" s="1" t="str">
        <f aca="false">IF(5&gt;'🌱 Configuração'!$F$55,"",IF(F10="","—",IF(F10&lt;22,"⚠️ Temp baixa",IF(F10&gt;29,"⚠️ Temp ALTA",IF(H10="","✅ OK",IF(H10&lt;5.5,"⚠️ pH baixo",IF(H10&gt;6.9,"⚠️ pH alto",IF(I10&gt;2.5,"⚠️ CE alta","✅ OK"))))))))</f>
        <v>—</v>
      </c>
    </row>
    <row r="11" customFormat="false" ht="18" hidden="false" customHeight="true" outlineLevel="0" collapsed="false">
      <c r="B11" s="98" t="n">
        <f aca="false">IF(6&lt;='🌱 Configuração'!$F$55,6,"")</f>
        <v>6</v>
      </c>
      <c r="C11" s="99" t="n">
        <f aca="false">IF(6&lt;='🌱 Configuração'!$F$55,'🌱 Configuração'!$B$56+5,"")</f>
        <v>5</v>
      </c>
      <c r="D11" s="98" t="str">
        <f aca="false">IF(6&gt;'🌱 Configuração'!$F$55,"",IF('🌱 Configuração'!$B$56+5&lt;'🌱 Configuração'!$C$56,"🌱 Clone",IF('🌱 Configuração'!$B$56+5&lt;'🌱 Configuração'!$D$56,"🌿 Vega",IF('🌱 Configuração'!$B$56+5&lt;'🌱 Configuração'!$E$56,"🌸 Flora","🚿 Flush"))))</f>
        <v>🌱 Clone</v>
      </c>
      <c r="E11" s="98"/>
      <c r="F11" s="98"/>
      <c r="G11" s="98"/>
      <c r="H11" s="98"/>
      <c r="I11" s="98"/>
      <c r="J11" s="98"/>
      <c r="K11" s="98"/>
      <c r="L11" s="1" t="str">
        <f aca="false">IF(6&gt;'🌱 Configuração'!$F$55,"",IF(F11="","—",IF(F11&lt;22,"⚠️ Temp baixa",IF(F11&gt;29,"⚠️ Temp ALTA",IF(H11="","✅ OK",IF(H11&lt;5.5,"⚠️ pH baixo",IF(H11&gt;6.9,"⚠️ pH alto",IF(I11&gt;2.5,"⚠️ CE alta","✅ OK"))))))))</f>
        <v>—</v>
      </c>
    </row>
    <row r="12" customFormat="false" ht="18" hidden="false" customHeight="true" outlineLevel="0" collapsed="false">
      <c r="B12" s="96" t="n">
        <f aca="false">IF(7&lt;='🌱 Configuração'!$F$55,7,"")</f>
        <v>7</v>
      </c>
      <c r="C12" s="97" t="n">
        <f aca="false">IF(7&lt;='🌱 Configuração'!$F$55,'🌱 Configuração'!$B$56+6,"")</f>
        <v>6</v>
      </c>
      <c r="D12" s="96" t="str">
        <f aca="false">IF(7&gt;'🌱 Configuração'!$F$55,"",IF('🌱 Configuração'!$B$56+6&lt;'🌱 Configuração'!$C$56,"🌱 Clone",IF('🌱 Configuração'!$B$56+6&lt;'🌱 Configuração'!$D$56,"🌿 Vega",IF('🌱 Configuração'!$B$56+6&lt;'🌱 Configuração'!$E$56,"🌸 Flora","🚿 Flush"))))</f>
        <v>🌱 Clone</v>
      </c>
      <c r="E12" s="96"/>
      <c r="F12" s="96"/>
      <c r="G12" s="96"/>
      <c r="H12" s="96"/>
      <c r="I12" s="96"/>
      <c r="J12" s="96"/>
      <c r="K12" s="96"/>
      <c r="L12" s="1" t="str">
        <f aca="false">IF(7&gt;'🌱 Configuração'!$F$55,"",IF(F12="","—",IF(F12&lt;22,"⚠️ Temp baixa",IF(F12&gt;29,"⚠️ Temp ALTA",IF(H12="","✅ OK",IF(H12&lt;5.5,"⚠️ pH baixo",IF(H12&gt;6.9,"⚠️ pH alto",IF(I12&gt;2.5,"⚠️ CE alta","✅ OK"))))))))</f>
        <v>—</v>
      </c>
    </row>
    <row r="13" customFormat="false" ht="18" hidden="false" customHeight="true" outlineLevel="0" collapsed="false">
      <c r="B13" s="98" t="n">
        <f aca="false">IF(8&lt;='🌱 Configuração'!$F$55,8,"")</f>
        <v>8</v>
      </c>
      <c r="C13" s="99" t="n">
        <f aca="false">IF(8&lt;='🌱 Configuração'!$F$55,'🌱 Configuração'!$B$56+7,"")</f>
        <v>7</v>
      </c>
      <c r="D13" s="98" t="str">
        <f aca="false">IF(8&gt;'🌱 Configuração'!$F$55,"",IF('🌱 Configuração'!$B$56+7&lt;'🌱 Configuração'!$C$56,"🌱 Clone",IF('🌱 Configuração'!$B$56+7&lt;'🌱 Configuração'!$D$56,"🌿 Vega",IF('🌱 Configuração'!$B$56+7&lt;'🌱 Configuração'!$E$56,"🌸 Flora","🚿 Flush"))))</f>
        <v>🌱 Clone</v>
      </c>
      <c r="E13" s="98"/>
      <c r="F13" s="98"/>
      <c r="G13" s="98"/>
      <c r="H13" s="98"/>
      <c r="I13" s="98"/>
      <c r="J13" s="98"/>
      <c r="K13" s="98"/>
      <c r="L13" s="1" t="str">
        <f aca="false">IF(8&gt;'🌱 Configuração'!$F$55,"",IF(F13="","—",IF(F13&lt;22,"⚠️ Temp baixa",IF(F13&gt;29,"⚠️ Temp ALTA",IF(H13="","✅ OK",IF(H13&lt;5.5,"⚠️ pH baixo",IF(H13&gt;6.9,"⚠️ pH alto",IF(I13&gt;2.5,"⚠️ CE alta","✅ OK"))))))))</f>
        <v>—</v>
      </c>
    </row>
    <row r="14" customFormat="false" ht="18" hidden="false" customHeight="true" outlineLevel="0" collapsed="false">
      <c r="B14" s="96" t="n">
        <f aca="false">IF(9&lt;='🌱 Configuração'!$F$55,9,"")</f>
        <v>9</v>
      </c>
      <c r="C14" s="97" t="n">
        <f aca="false">IF(9&lt;='🌱 Configuração'!$F$55,'🌱 Configuração'!$B$56+8,"")</f>
        <v>8</v>
      </c>
      <c r="D14" s="96" t="str">
        <f aca="false">IF(9&gt;'🌱 Configuração'!$F$55,"",IF('🌱 Configuração'!$B$56+8&lt;'🌱 Configuração'!$C$56,"🌱 Clone",IF('🌱 Configuração'!$B$56+8&lt;'🌱 Configuração'!$D$56,"🌿 Vega",IF('🌱 Configuração'!$B$56+8&lt;'🌱 Configuração'!$E$56,"🌸 Flora","🚿 Flush"))))</f>
        <v>🌱 Clone</v>
      </c>
      <c r="E14" s="96"/>
      <c r="F14" s="96"/>
      <c r="G14" s="96"/>
      <c r="H14" s="96"/>
      <c r="I14" s="96"/>
      <c r="J14" s="96"/>
      <c r="K14" s="96"/>
      <c r="L14" s="1" t="str">
        <f aca="false">IF(9&gt;'🌱 Configuração'!$F$55,"",IF(F14="","—",IF(F14&lt;22,"⚠️ Temp baixa",IF(F14&gt;29,"⚠️ Temp ALTA",IF(H14="","✅ OK",IF(H14&lt;5.5,"⚠️ pH baixo",IF(H14&gt;6.9,"⚠️ pH alto",IF(I14&gt;2.5,"⚠️ CE alta","✅ OK"))))))))</f>
        <v>—</v>
      </c>
    </row>
    <row r="15" customFormat="false" ht="18" hidden="false" customHeight="true" outlineLevel="0" collapsed="false">
      <c r="B15" s="98" t="n">
        <f aca="false">IF(10&lt;='🌱 Configuração'!$F$55,10,"")</f>
        <v>10</v>
      </c>
      <c r="C15" s="99" t="n">
        <f aca="false">IF(10&lt;='🌱 Configuração'!$F$55,'🌱 Configuração'!$B$56+9,"")</f>
        <v>9</v>
      </c>
      <c r="D15" s="98" t="str">
        <f aca="false">IF(10&gt;'🌱 Configuração'!$F$55,"",IF('🌱 Configuração'!$B$56+9&lt;'🌱 Configuração'!$C$56,"🌱 Clone",IF('🌱 Configuração'!$B$56+9&lt;'🌱 Configuração'!$D$56,"🌿 Vega",IF('🌱 Configuração'!$B$56+9&lt;'🌱 Configuração'!$E$56,"🌸 Flora","🚿 Flush"))))</f>
        <v>🌱 Clone</v>
      </c>
      <c r="E15" s="98"/>
      <c r="F15" s="98"/>
      <c r="G15" s="98"/>
      <c r="H15" s="98"/>
      <c r="I15" s="98"/>
      <c r="J15" s="98"/>
      <c r="K15" s="98"/>
      <c r="L15" s="1" t="str">
        <f aca="false">IF(10&gt;'🌱 Configuração'!$F$55,"",IF(F15="","—",IF(F15&lt;22,"⚠️ Temp baixa",IF(F15&gt;29,"⚠️ Temp ALTA",IF(H15="","✅ OK",IF(H15&lt;5.5,"⚠️ pH baixo",IF(H15&gt;6.9,"⚠️ pH alto",IF(I15&gt;2.5,"⚠️ CE alta","✅ OK"))))))))</f>
        <v>—</v>
      </c>
    </row>
    <row r="16" customFormat="false" ht="18" hidden="false" customHeight="true" outlineLevel="0" collapsed="false">
      <c r="B16" s="96" t="n">
        <f aca="false">IF(11&lt;='🌱 Configuração'!$F$55,11,"")</f>
        <v>11</v>
      </c>
      <c r="C16" s="97" t="n">
        <f aca="false">IF(11&lt;='🌱 Configuração'!$F$55,'🌱 Configuração'!$B$56+10,"")</f>
        <v>10</v>
      </c>
      <c r="D16" s="96" t="str">
        <f aca="false">IF(11&gt;'🌱 Configuração'!$F$55,"",IF('🌱 Configuração'!$B$56+10&lt;'🌱 Configuração'!$C$56,"🌱 Clone",IF('🌱 Configuração'!$B$56+10&lt;'🌱 Configuração'!$D$56,"🌿 Vega",IF('🌱 Configuração'!$B$56+10&lt;'🌱 Configuração'!$E$56,"🌸 Flora","🚿 Flush"))))</f>
        <v>🌱 Clone</v>
      </c>
      <c r="E16" s="96"/>
      <c r="F16" s="96"/>
      <c r="G16" s="96"/>
      <c r="H16" s="96"/>
      <c r="I16" s="96"/>
      <c r="J16" s="96"/>
      <c r="K16" s="96"/>
      <c r="L16" s="1" t="str">
        <f aca="false">IF(11&gt;'🌱 Configuração'!$F$55,"",IF(F16="","—",IF(F16&lt;22,"⚠️ Temp baixa",IF(F16&gt;29,"⚠️ Temp ALTA",IF(H16="","✅ OK",IF(H16&lt;5.5,"⚠️ pH baixo",IF(H16&gt;6.9,"⚠️ pH alto",IF(I16&gt;2.5,"⚠️ CE alta","✅ OK"))))))))</f>
        <v>—</v>
      </c>
    </row>
    <row r="17" customFormat="false" ht="18" hidden="false" customHeight="true" outlineLevel="0" collapsed="false">
      <c r="B17" s="98" t="n">
        <f aca="false">IF(12&lt;='🌱 Configuração'!$F$55,12,"")</f>
        <v>12</v>
      </c>
      <c r="C17" s="99" t="n">
        <f aca="false">IF(12&lt;='🌱 Configuração'!$F$55,'🌱 Configuração'!$B$56+11,"")</f>
        <v>11</v>
      </c>
      <c r="D17" s="98" t="str">
        <f aca="false">IF(12&gt;'🌱 Configuração'!$F$55,"",IF('🌱 Configuração'!$B$56+11&lt;'🌱 Configuração'!$C$56,"🌱 Clone",IF('🌱 Configuração'!$B$56+11&lt;'🌱 Configuração'!$D$56,"🌿 Vega",IF('🌱 Configuração'!$B$56+11&lt;'🌱 Configuração'!$E$56,"🌸 Flora","🚿 Flush"))))</f>
        <v>🌱 Clone</v>
      </c>
      <c r="E17" s="98"/>
      <c r="F17" s="98"/>
      <c r="G17" s="98"/>
      <c r="H17" s="98"/>
      <c r="I17" s="98"/>
      <c r="J17" s="98"/>
      <c r="K17" s="98"/>
      <c r="L17" s="1" t="str">
        <f aca="false">IF(12&gt;'🌱 Configuração'!$F$55,"",IF(F17="","—",IF(F17&lt;22,"⚠️ Temp baixa",IF(F17&gt;29,"⚠️ Temp ALTA",IF(H17="","✅ OK",IF(H17&lt;5.5,"⚠️ pH baixo",IF(H17&gt;6.9,"⚠️ pH alto",IF(I17&gt;2.5,"⚠️ CE alta","✅ OK"))))))))</f>
        <v>—</v>
      </c>
    </row>
    <row r="18" customFormat="false" ht="18" hidden="false" customHeight="true" outlineLevel="0" collapsed="false">
      <c r="B18" s="96" t="n">
        <f aca="false">IF(13&lt;='🌱 Configuração'!$F$55,13,"")</f>
        <v>13</v>
      </c>
      <c r="C18" s="97" t="n">
        <f aca="false">IF(13&lt;='🌱 Configuração'!$F$55,'🌱 Configuração'!$B$56+12,"")</f>
        <v>12</v>
      </c>
      <c r="D18" s="96" t="str">
        <f aca="false">IF(13&gt;'🌱 Configuração'!$F$55,"",IF('🌱 Configuração'!$B$56+12&lt;'🌱 Configuração'!$C$56,"🌱 Clone",IF('🌱 Configuração'!$B$56+12&lt;'🌱 Configuração'!$D$56,"🌿 Vega",IF('🌱 Configuração'!$B$56+12&lt;'🌱 Configuração'!$E$56,"🌸 Flora","🚿 Flush"))))</f>
        <v>🌱 Clone</v>
      </c>
      <c r="E18" s="96"/>
      <c r="F18" s="96"/>
      <c r="G18" s="96"/>
      <c r="H18" s="96"/>
      <c r="I18" s="96"/>
      <c r="J18" s="96"/>
      <c r="K18" s="96"/>
      <c r="L18" s="1" t="str">
        <f aca="false">IF(13&gt;'🌱 Configuração'!$F$55,"",IF(F18="","—",IF(F18&lt;22,"⚠️ Temp baixa",IF(F18&gt;29,"⚠️ Temp ALTA",IF(H18="","✅ OK",IF(H18&lt;5.5,"⚠️ pH baixo",IF(H18&gt;6.9,"⚠️ pH alto",IF(I18&gt;2.5,"⚠️ CE alta","✅ OK"))))))))</f>
        <v>—</v>
      </c>
    </row>
    <row r="19" customFormat="false" ht="18" hidden="false" customHeight="true" outlineLevel="0" collapsed="false">
      <c r="B19" s="98" t="n">
        <f aca="false">IF(14&lt;='🌱 Configuração'!$F$55,14,"")</f>
        <v>14</v>
      </c>
      <c r="C19" s="99" t="n">
        <f aca="false">IF(14&lt;='🌱 Configuração'!$F$55,'🌱 Configuração'!$B$56+13,"")</f>
        <v>13</v>
      </c>
      <c r="D19" s="98" t="str">
        <f aca="false">IF(14&gt;'🌱 Configuração'!$F$55,"",IF('🌱 Configuração'!$B$56+13&lt;'🌱 Configuração'!$C$56,"🌱 Clone",IF('🌱 Configuração'!$B$56+13&lt;'🌱 Configuração'!$D$56,"🌿 Vega",IF('🌱 Configuração'!$B$56+13&lt;'🌱 Configuração'!$E$56,"🌸 Flora","🚿 Flush"))))</f>
        <v>🌱 Clone</v>
      </c>
      <c r="E19" s="98"/>
      <c r="F19" s="98"/>
      <c r="G19" s="98"/>
      <c r="H19" s="98"/>
      <c r="I19" s="98"/>
      <c r="J19" s="98"/>
      <c r="K19" s="98"/>
      <c r="L19" s="1" t="str">
        <f aca="false">IF(14&gt;'🌱 Configuração'!$F$55,"",IF(F19="","—",IF(F19&lt;22,"⚠️ Temp baixa",IF(F19&gt;29,"⚠️ Temp ALTA",IF(H19="","✅ OK",IF(H19&lt;5.5,"⚠️ pH baixo",IF(H19&gt;6.9,"⚠️ pH alto",IF(I19&gt;2.5,"⚠️ CE alta","✅ OK"))))))))</f>
        <v>—</v>
      </c>
    </row>
    <row r="20" customFormat="false" ht="18" hidden="false" customHeight="true" outlineLevel="0" collapsed="false">
      <c r="B20" s="96" t="n">
        <f aca="false">IF(15&lt;='🌱 Configuração'!$F$55,15,"")</f>
        <v>15</v>
      </c>
      <c r="C20" s="97" t="n">
        <f aca="false">IF(15&lt;='🌱 Configuração'!$F$55,'🌱 Configuração'!$B$56+14,"")</f>
        <v>14</v>
      </c>
      <c r="D20" s="96" t="str">
        <f aca="false">IF(15&gt;'🌱 Configuração'!$F$55,"",IF('🌱 Configuração'!$B$56+14&lt;'🌱 Configuração'!$C$56,"🌱 Clone",IF('🌱 Configuração'!$B$56+14&lt;'🌱 Configuração'!$D$56,"🌿 Vega",IF('🌱 Configuração'!$B$56+14&lt;'🌱 Configuração'!$E$56,"🌸 Flora","🚿 Flush"))))</f>
        <v>🌿 Vega</v>
      </c>
      <c r="E20" s="96"/>
      <c r="F20" s="96"/>
      <c r="G20" s="96"/>
      <c r="H20" s="96"/>
      <c r="I20" s="96"/>
      <c r="J20" s="96"/>
      <c r="K20" s="96"/>
      <c r="L20" s="1" t="str">
        <f aca="false">IF(15&gt;'🌱 Configuração'!$F$55,"",IF(F20="","—",IF(F20&lt;22,"⚠️ Temp baixa",IF(F20&gt;29,"⚠️ Temp ALTA",IF(H20="","✅ OK",IF(H20&lt;5.5,"⚠️ pH baixo",IF(H20&gt;6.9,"⚠️ pH alto",IF(I20&gt;2.5,"⚠️ CE alta","✅ OK"))))))))</f>
        <v>—</v>
      </c>
    </row>
    <row r="21" customFormat="false" ht="18" hidden="false" customHeight="true" outlineLevel="0" collapsed="false">
      <c r="B21" s="98" t="n">
        <f aca="false">IF(16&lt;='🌱 Configuração'!$F$55,16,"")</f>
        <v>16</v>
      </c>
      <c r="C21" s="99" t="n">
        <f aca="false">IF(16&lt;='🌱 Configuração'!$F$55,'🌱 Configuração'!$B$56+15,"")</f>
        <v>15</v>
      </c>
      <c r="D21" s="98" t="str">
        <f aca="false">IF(16&gt;'🌱 Configuração'!$F$55,"",IF('🌱 Configuração'!$B$56+15&lt;'🌱 Configuração'!$C$56,"🌱 Clone",IF('🌱 Configuração'!$B$56+15&lt;'🌱 Configuração'!$D$56,"🌿 Vega",IF('🌱 Configuração'!$B$56+15&lt;'🌱 Configuração'!$E$56,"🌸 Flora","🚿 Flush"))))</f>
        <v>🌿 Vega</v>
      </c>
      <c r="E21" s="98"/>
      <c r="F21" s="98"/>
      <c r="G21" s="98"/>
      <c r="H21" s="98"/>
      <c r="I21" s="98"/>
      <c r="J21" s="98"/>
      <c r="K21" s="98"/>
      <c r="L21" s="1" t="str">
        <f aca="false">IF(16&gt;'🌱 Configuração'!$F$55,"",IF(F21="","—",IF(F21&lt;22,"⚠️ Temp baixa",IF(F21&gt;29,"⚠️ Temp ALTA",IF(H21="","✅ OK",IF(H21&lt;5.5,"⚠️ pH baixo",IF(H21&gt;6.9,"⚠️ pH alto",IF(I21&gt;2.5,"⚠️ CE alta","✅ OK"))))))))</f>
        <v>—</v>
      </c>
    </row>
    <row r="22" customFormat="false" ht="18" hidden="false" customHeight="true" outlineLevel="0" collapsed="false">
      <c r="B22" s="96" t="n">
        <f aca="false">IF(17&lt;='🌱 Configuração'!$F$55,17,"")</f>
        <v>17</v>
      </c>
      <c r="C22" s="97" t="n">
        <f aca="false">IF(17&lt;='🌱 Configuração'!$F$55,'🌱 Configuração'!$B$56+16,"")</f>
        <v>16</v>
      </c>
      <c r="D22" s="96" t="str">
        <f aca="false">IF(17&gt;'🌱 Configuração'!$F$55,"",IF('🌱 Configuração'!$B$56+16&lt;'🌱 Configuração'!$C$56,"🌱 Clone",IF('🌱 Configuração'!$B$56+16&lt;'🌱 Configuração'!$D$56,"🌿 Vega",IF('🌱 Configuração'!$B$56+16&lt;'🌱 Configuração'!$E$56,"🌸 Flora","🚿 Flush"))))</f>
        <v>🌿 Vega</v>
      </c>
      <c r="E22" s="96"/>
      <c r="F22" s="96"/>
      <c r="G22" s="96"/>
      <c r="H22" s="96"/>
      <c r="I22" s="96"/>
      <c r="J22" s="96"/>
      <c r="K22" s="96"/>
      <c r="L22" s="1" t="str">
        <f aca="false">IF(17&gt;'🌱 Configuração'!$F$55,"",IF(F22="","—",IF(F22&lt;22,"⚠️ Temp baixa",IF(F22&gt;29,"⚠️ Temp ALTA",IF(H22="","✅ OK",IF(H22&lt;5.5,"⚠️ pH baixo",IF(H22&gt;6.9,"⚠️ pH alto",IF(I22&gt;2.5,"⚠️ CE alta","✅ OK"))))))))</f>
        <v>—</v>
      </c>
    </row>
    <row r="23" customFormat="false" ht="18" hidden="false" customHeight="true" outlineLevel="0" collapsed="false">
      <c r="B23" s="98" t="n">
        <f aca="false">IF(18&lt;='🌱 Configuração'!$F$55,18,"")</f>
        <v>18</v>
      </c>
      <c r="C23" s="99" t="n">
        <f aca="false">IF(18&lt;='🌱 Configuração'!$F$55,'🌱 Configuração'!$B$56+17,"")</f>
        <v>17</v>
      </c>
      <c r="D23" s="98" t="str">
        <f aca="false">IF(18&gt;'🌱 Configuração'!$F$55,"",IF('🌱 Configuração'!$B$56+17&lt;'🌱 Configuração'!$C$56,"🌱 Clone",IF('🌱 Configuração'!$B$56+17&lt;'🌱 Configuração'!$D$56,"🌿 Vega",IF('🌱 Configuração'!$B$56+17&lt;'🌱 Configuração'!$E$56,"🌸 Flora","🚿 Flush"))))</f>
        <v>🌿 Vega</v>
      </c>
      <c r="E23" s="98"/>
      <c r="F23" s="98"/>
      <c r="G23" s="98"/>
      <c r="H23" s="98"/>
      <c r="I23" s="98"/>
      <c r="J23" s="98"/>
      <c r="K23" s="98"/>
      <c r="L23" s="1" t="str">
        <f aca="false">IF(18&gt;'🌱 Configuração'!$F$55,"",IF(F23="","—",IF(F23&lt;22,"⚠️ Temp baixa",IF(F23&gt;29,"⚠️ Temp ALTA",IF(H23="","✅ OK",IF(H23&lt;5.5,"⚠️ pH baixo",IF(H23&gt;6.9,"⚠️ pH alto",IF(I23&gt;2.5,"⚠️ CE alta","✅ OK"))))))))</f>
        <v>—</v>
      </c>
    </row>
    <row r="24" customFormat="false" ht="18" hidden="false" customHeight="true" outlineLevel="0" collapsed="false">
      <c r="B24" s="96" t="n">
        <f aca="false">IF(19&lt;='🌱 Configuração'!$F$55,19,"")</f>
        <v>19</v>
      </c>
      <c r="C24" s="97" t="n">
        <f aca="false">IF(19&lt;='🌱 Configuração'!$F$55,'🌱 Configuração'!$B$56+18,"")</f>
        <v>18</v>
      </c>
      <c r="D24" s="96" t="str">
        <f aca="false">IF(19&gt;'🌱 Configuração'!$F$55,"",IF('🌱 Configuração'!$B$56+18&lt;'🌱 Configuração'!$C$56,"🌱 Clone",IF('🌱 Configuração'!$B$56+18&lt;'🌱 Configuração'!$D$56,"🌿 Vega",IF('🌱 Configuração'!$B$56+18&lt;'🌱 Configuração'!$E$56,"🌸 Flora","🚿 Flush"))))</f>
        <v>🌿 Vega</v>
      </c>
      <c r="E24" s="96"/>
      <c r="F24" s="96"/>
      <c r="G24" s="96"/>
      <c r="H24" s="96"/>
      <c r="I24" s="96"/>
      <c r="J24" s="96"/>
      <c r="K24" s="96"/>
      <c r="L24" s="1" t="str">
        <f aca="false">IF(19&gt;'🌱 Configuração'!$F$55,"",IF(F24="","—",IF(F24&lt;22,"⚠️ Temp baixa",IF(F24&gt;29,"⚠️ Temp ALTA",IF(H24="","✅ OK",IF(H24&lt;5.5,"⚠️ pH baixo",IF(H24&gt;6.9,"⚠️ pH alto",IF(I24&gt;2.5,"⚠️ CE alta","✅ OK"))))))))</f>
        <v>—</v>
      </c>
    </row>
    <row r="25" customFormat="false" ht="18" hidden="false" customHeight="true" outlineLevel="0" collapsed="false">
      <c r="B25" s="98" t="n">
        <f aca="false">IF(20&lt;='🌱 Configuração'!$F$55,20,"")</f>
        <v>20</v>
      </c>
      <c r="C25" s="99" t="n">
        <f aca="false">IF(20&lt;='🌱 Configuração'!$F$55,'🌱 Configuração'!$B$56+19,"")</f>
        <v>19</v>
      </c>
      <c r="D25" s="98" t="str">
        <f aca="false">IF(20&gt;'🌱 Configuração'!$F$55,"",IF('🌱 Configuração'!$B$56+19&lt;'🌱 Configuração'!$C$56,"🌱 Clone",IF('🌱 Configuração'!$B$56+19&lt;'🌱 Configuração'!$D$56,"🌿 Vega",IF('🌱 Configuração'!$B$56+19&lt;'🌱 Configuração'!$E$56,"🌸 Flora","🚿 Flush"))))</f>
        <v>🌿 Vega</v>
      </c>
      <c r="E25" s="98"/>
      <c r="F25" s="98"/>
      <c r="G25" s="98"/>
      <c r="H25" s="98"/>
      <c r="I25" s="98"/>
      <c r="J25" s="98"/>
      <c r="K25" s="98"/>
      <c r="L25" s="1" t="str">
        <f aca="false">IF(20&gt;'🌱 Configuração'!$F$55,"",IF(F25="","—",IF(F25&lt;22,"⚠️ Temp baixa",IF(F25&gt;29,"⚠️ Temp ALTA",IF(H25="","✅ OK",IF(H25&lt;5.5,"⚠️ pH baixo",IF(H25&gt;6.9,"⚠️ pH alto",IF(I25&gt;2.5,"⚠️ CE alta","✅ OK"))))))))</f>
        <v>—</v>
      </c>
    </row>
    <row r="26" customFormat="false" ht="18" hidden="false" customHeight="true" outlineLevel="0" collapsed="false">
      <c r="B26" s="96" t="n">
        <f aca="false">IF(21&lt;='🌱 Configuração'!$F$55,21,"")</f>
        <v>21</v>
      </c>
      <c r="C26" s="97" t="n">
        <f aca="false">IF(21&lt;='🌱 Configuração'!$F$55,'🌱 Configuração'!$B$56+20,"")</f>
        <v>20</v>
      </c>
      <c r="D26" s="96" t="str">
        <f aca="false">IF(21&gt;'🌱 Configuração'!$F$55,"",IF('🌱 Configuração'!$B$56+20&lt;'🌱 Configuração'!$C$56,"🌱 Clone",IF('🌱 Configuração'!$B$56+20&lt;'🌱 Configuração'!$D$56,"🌿 Vega",IF('🌱 Configuração'!$B$56+20&lt;'🌱 Configuração'!$E$56,"🌸 Flora","🚿 Flush"))))</f>
        <v>🌿 Vega</v>
      </c>
      <c r="E26" s="96"/>
      <c r="F26" s="96"/>
      <c r="G26" s="96"/>
      <c r="H26" s="96"/>
      <c r="I26" s="96"/>
      <c r="J26" s="96"/>
      <c r="K26" s="96"/>
      <c r="L26" s="1" t="str">
        <f aca="false">IF(21&gt;'🌱 Configuração'!$F$55,"",IF(F26="","—",IF(F26&lt;22,"⚠️ Temp baixa",IF(F26&gt;29,"⚠️ Temp ALTA",IF(H26="","✅ OK",IF(H26&lt;5.5,"⚠️ pH baixo",IF(H26&gt;6.9,"⚠️ pH alto",IF(I26&gt;2.5,"⚠️ CE alta","✅ OK"))))))))</f>
        <v>—</v>
      </c>
    </row>
    <row r="27" customFormat="false" ht="18" hidden="false" customHeight="true" outlineLevel="0" collapsed="false">
      <c r="B27" s="98" t="n">
        <f aca="false">IF(22&lt;='🌱 Configuração'!$F$55,22,"")</f>
        <v>22</v>
      </c>
      <c r="C27" s="99" t="n">
        <f aca="false">IF(22&lt;='🌱 Configuração'!$F$55,'🌱 Configuração'!$B$56+21,"")</f>
        <v>21</v>
      </c>
      <c r="D27" s="98" t="str">
        <f aca="false">IF(22&gt;'🌱 Configuração'!$F$55,"",IF('🌱 Configuração'!$B$56+21&lt;'🌱 Configuração'!$C$56,"🌱 Clone",IF('🌱 Configuração'!$B$56+21&lt;'🌱 Configuração'!$D$56,"🌿 Vega",IF('🌱 Configuração'!$B$56+21&lt;'🌱 Configuração'!$E$56,"🌸 Flora","🚿 Flush"))))</f>
        <v>🌿 Vega</v>
      </c>
      <c r="E27" s="98"/>
      <c r="F27" s="98"/>
      <c r="G27" s="98"/>
      <c r="H27" s="98"/>
      <c r="I27" s="98"/>
      <c r="J27" s="98"/>
      <c r="K27" s="98"/>
      <c r="L27" s="1" t="str">
        <f aca="false">IF(22&gt;'🌱 Configuração'!$F$55,"",IF(F27="","—",IF(F27&lt;22,"⚠️ Temp baixa",IF(F27&gt;29,"⚠️ Temp ALTA",IF(H27="","✅ OK",IF(H27&lt;5.5,"⚠️ pH baixo",IF(H27&gt;6.9,"⚠️ pH alto",IF(I27&gt;2.5,"⚠️ CE alta","✅ OK"))))))))</f>
        <v>—</v>
      </c>
    </row>
    <row r="28" customFormat="false" ht="18" hidden="false" customHeight="true" outlineLevel="0" collapsed="false">
      <c r="B28" s="96" t="n">
        <f aca="false">IF(23&lt;='🌱 Configuração'!$F$55,23,"")</f>
        <v>23</v>
      </c>
      <c r="C28" s="97" t="n">
        <f aca="false">IF(23&lt;='🌱 Configuração'!$F$55,'🌱 Configuração'!$B$56+22,"")</f>
        <v>22</v>
      </c>
      <c r="D28" s="96" t="str">
        <f aca="false">IF(23&gt;'🌱 Configuração'!$F$55,"",IF('🌱 Configuração'!$B$56+22&lt;'🌱 Configuração'!$C$56,"🌱 Clone",IF('🌱 Configuração'!$B$56+22&lt;'🌱 Configuração'!$D$56,"🌿 Vega",IF('🌱 Configuração'!$B$56+22&lt;'🌱 Configuração'!$E$56,"🌸 Flora","🚿 Flush"))))</f>
        <v>🌿 Vega</v>
      </c>
      <c r="E28" s="96"/>
      <c r="F28" s="96"/>
      <c r="G28" s="96"/>
      <c r="H28" s="96"/>
      <c r="I28" s="96"/>
      <c r="J28" s="96"/>
      <c r="K28" s="96"/>
      <c r="L28" s="1" t="str">
        <f aca="false">IF(23&gt;'🌱 Configuração'!$F$55,"",IF(F28="","—",IF(F28&lt;22,"⚠️ Temp baixa",IF(F28&gt;29,"⚠️ Temp ALTA",IF(H28="","✅ OK",IF(H28&lt;5.5,"⚠️ pH baixo",IF(H28&gt;6.9,"⚠️ pH alto",IF(I28&gt;2.5,"⚠️ CE alta","✅ OK"))))))))</f>
        <v>—</v>
      </c>
    </row>
    <row r="29" customFormat="false" ht="18" hidden="false" customHeight="true" outlineLevel="0" collapsed="false">
      <c r="B29" s="98" t="n">
        <f aca="false">IF(24&lt;='🌱 Configuração'!$F$55,24,"")</f>
        <v>24</v>
      </c>
      <c r="C29" s="99" t="n">
        <f aca="false">IF(24&lt;='🌱 Configuração'!$F$55,'🌱 Configuração'!$B$56+23,"")</f>
        <v>23</v>
      </c>
      <c r="D29" s="98" t="str">
        <f aca="false">IF(24&gt;'🌱 Configuração'!$F$55,"",IF('🌱 Configuração'!$B$56+23&lt;'🌱 Configuração'!$C$56,"🌱 Clone",IF('🌱 Configuração'!$B$56+23&lt;'🌱 Configuração'!$D$56,"🌿 Vega",IF('🌱 Configuração'!$B$56+23&lt;'🌱 Configuração'!$E$56,"🌸 Flora","🚿 Flush"))))</f>
        <v>🌿 Vega</v>
      </c>
      <c r="E29" s="98"/>
      <c r="F29" s="98"/>
      <c r="G29" s="98"/>
      <c r="H29" s="98"/>
      <c r="I29" s="98"/>
      <c r="J29" s="98"/>
      <c r="K29" s="98"/>
      <c r="L29" s="1" t="str">
        <f aca="false">IF(24&gt;'🌱 Configuração'!$F$55,"",IF(F29="","—",IF(F29&lt;22,"⚠️ Temp baixa",IF(F29&gt;29,"⚠️ Temp ALTA",IF(H29="","✅ OK",IF(H29&lt;5.5,"⚠️ pH baixo",IF(H29&gt;6.9,"⚠️ pH alto",IF(I29&gt;2.5,"⚠️ CE alta","✅ OK"))))))))</f>
        <v>—</v>
      </c>
    </row>
    <row r="30" customFormat="false" ht="18" hidden="false" customHeight="true" outlineLevel="0" collapsed="false">
      <c r="B30" s="96" t="n">
        <f aca="false">IF(25&lt;='🌱 Configuração'!$F$55,25,"")</f>
        <v>25</v>
      </c>
      <c r="C30" s="97" t="n">
        <f aca="false">IF(25&lt;='🌱 Configuração'!$F$55,'🌱 Configuração'!$B$56+24,"")</f>
        <v>24</v>
      </c>
      <c r="D30" s="96" t="str">
        <f aca="false">IF(25&gt;'🌱 Configuração'!$F$55,"",IF('🌱 Configuração'!$B$56+24&lt;'🌱 Configuração'!$C$56,"🌱 Clone",IF('🌱 Configuração'!$B$56+24&lt;'🌱 Configuração'!$D$56,"🌿 Vega",IF('🌱 Configuração'!$B$56+24&lt;'🌱 Configuração'!$E$56,"🌸 Flora","🚿 Flush"))))</f>
        <v>🌿 Vega</v>
      </c>
      <c r="E30" s="96"/>
      <c r="F30" s="96"/>
      <c r="G30" s="96"/>
      <c r="H30" s="96"/>
      <c r="I30" s="96"/>
      <c r="J30" s="96"/>
      <c r="K30" s="96"/>
      <c r="L30" s="1" t="str">
        <f aca="false">IF(25&gt;'🌱 Configuração'!$F$55,"",IF(F30="","—",IF(F30&lt;22,"⚠️ Temp baixa",IF(F30&gt;29,"⚠️ Temp ALTA",IF(H30="","✅ OK",IF(H30&lt;5.5,"⚠️ pH baixo",IF(H30&gt;6.9,"⚠️ pH alto",IF(I30&gt;2.5,"⚠️ CE alta","✅ OK"))))))))</f>
        <v>—</v>
      </c>
    </row>
    <row r="31" customFormat="false" ht="18" hidden="false" customHeight="true" outlineLevel="0" collapsed="false">
      <c r="B31" s="98" t="n">
        <f aca="false">IF(26&lt;='🌱 Configuração'!$F$55,26,"")</f>
        <v>26</v>
      </c>
      <c r="C31" s="99" t="n">
        <f aca="false">IF(26&lt;='🌱 Configuração'!$F$55,'🌱 Configuração'!$B$56+25,"")</f>
        <v>25</v>
      </c>
      <c r="D31" s="98" t="str">
        <f aca="false">IF(26&gt;'🌱 Configuração'!$F$55,"",IF('🌱 Configuração'!$B$56+25&lt;'🌱 Configuração'!$C$56,"🌱 Clone",IF('🌱 Configuração'!$B$56+25&lt;'🌱 Configuração'!$D$56,"🌿 Vega",IF('🌱 Configuração'!$B$56+25&lt;'🌱 Configuração'!$E$56,"🌸 Flora","🚿 Flush"))))</f>
        <v>🌿 Vega</v>
      </c>
      <c r="E31" s="98"/>
      <c r="F31" s="98"/>
      <c r="G31" s="98"/>
      <c r="H31" s="98"/>
      <c r="I31" s="98"/>
      <c r="J31" s="98"/>
      <c r="K31" s="98"/>
      <c r="L31" s="1" t="str">
        <f aca="false">IF(26&gt;'🌱 Configuração'!$F$55,"",IF(F31="","—",IF(F31&lt;22,"⚠️ Temp baixa",IF(F31&gt;29,"⚠️ Temp ALTA",IF(H31="","✅ OK",IF(H31&lt;5.5,"⚠️ pH baixo",IF(H31&gt;6.9,"⚠️ pH alto",IF(I31&gt;2.5,"⚠️ CE alta","✅ OK"))))))))</f>
        <v>—</v>
      </c>
    </row>
    <row r="32" customFormat="false" ht="18" hidden="false" customHeight="true" outlineLevel="0" collapsed="false">
      <c r="B32" s="96" t="n">
        <f aca="false">IF(27&lt;='🌱 Configuração'!$F$55,27,"")</f>
        <v>27</v>
      </c>
      <c r="C32" s="97" t="n">
        <f aca="false">IF(27&lt;='🌱 Configuração'!$F$55,'🌱 Configuração'!$B$56+26,"")</f>
        <v>26</v>
      </c>
      <c r="D32" s="96" t="str">
        <f aca="false">IF(27&gt;'🌱 Configuração'!$F$55,"",IF('🌱 Configuração'!$B$56+26&lt;'🌱 Configuração'!$C$56,"🌱 Clone",IF('🌱 Configuração'!$B$56+26&lt;'🌱 Configuração'!$D$56,"🌿 Vega",IF('🌱 Configuração'!$B$56+26&lt;'🌱 Configuração'!$E$56,"🌸 Flora","🚿 Flush"))))</f>
        <v>🌿 Vega</v>
      </c>
      <c r="E32" s="96"/>
      <c r="F32" s="96"/>
      <c r="G32" s="96"/>
      <c r="H32" s="96"/>
      <c r="I32" s="96"/>
      <c r="J32" s="96"/>
      <c r="K32" s="96"/>
      <c r="L32" s="1" t="str">
        <f aca="false">IF(27&gt;'🌱 Configuração'!$F$55,"",IF(F32="","—",IF(F32&lt;22,"⚠️ Temp baixa",IF(F32&gt;29,"⚠️ Temp ALTA",IF(H32="","✅ OK",IF(H32&lt;5.5,"⚠️ pH baixo",IF(H32&gt;6.9,"⚠️ pH alto",IF(I32&gt;2.5,"⚠️ CE alta","✅ OK"))))))))</f>
        <v>—</v>
      </c>
    </row>
    <row r="33" customFormat="false" ht="18" hidden="false" customHeight="true" outlineLevel="0" collapsed="false">
      <c r="B33" s="98" t="n">
        <f aca="false">IF(28&lt;='🌱 Configuração'!$F$55,28,"")</f>
        <v>28</v>
      </c>
      <c r="C33" s="99" t="n">
        <f aca="false">IF(28&lt;='🌱 Configuração'!$F$55,'🌱 Configuração'!$B$56+27,"")</f>
        <v>27</v>
      </c>
      <c r="D33" s="98" t="str">
        <f aca="false">IF(28&gt;'🌱 Configuração'!$F$55,"",IF('🌱 Configuração'!$B$56+27&lt;'🌱 Configuração'!$C$56,"🌱 Clone",IF('🌱 Configuração'!$B$56+27&lt;'🌱 Configuração'!$D$56,"🌿 Vega",IF('🌱 Configuração'!$B$56+27&lt;'🌱 Configuração'!$E$56,"🌸 Flora","🚿 Flush"))))</f>
        <v>🌿 Vega</v>
      </c>
      <c r="E33" s="98"/>
      <c r="F33" s="98"/>
      <c r="G33" s="98"/>
      <c r="H33" s="98"/>
      <c r="I33" s="98"/>
      <c r="J33" s="98"/>
      <c r="K33" s="98"/>
      <c r="L33" s="1" t="str">
        <f aca="false">IF(28&gt;'🌱 Configuração'!$F$55,"",IF(F33="","—",IF(F33&lt;22,"⚠️ Temp baixa",IF(F33&gt;29,"⚠️ Temp ALTA",IF(H33="","✅ OK",IF(H33&lt;5.5,"⚠️ pH baixo",IF(H33&gt;6.9,"⚠️ pH alto",IF(I33&gt;2.5,"⚠️ CE alta","✅ OK"))))))))</f>
        <v>—</v>
      </c>
    </row>
    <row r="34" customFormat="false" ht="18" hidden="false" customHeight="true" outlineLevel="0" collapsed="false">
      <c r="B34" s="96" t="n">
        <f aca="false">IF(29&lt;='🌱 Configuração'!$F$55,29,"")</f>
        <v>29</v>
      </c>
      <c r="C34" s="97" t="n">
        <f aca="false">IF(29&lt;='🌱 Configuração'!$F$55,'🌱 Configuração'!$B$56+28,"")</f>
        <v>28</v>
      </c>
      <c r="D34" s="96" t="str">
        <f aca="false">IF(29&gt;'🌱 Configuração'!$F$55,"",IF('🌱 Configuração'!$B$56+28&lt;'🌱 Configuração'!$C$56,"🌱 Clone",IF('🌱 Configuração'!$B$56+28&lt;'🌱 Configuração'!$D$56,"🌿 Vega",IF('🌱 Configuração'!$B$56+28&lt;'🌱 Configuração'!$E$56,"🌸 Flora","🚿 Flush"))))</f>
        <v>🌿 Vega</v>
      </c>
      <c r="E34" s="96"/>
      <c r="F34" s="96"/>
      <c r="G34" s="96"/>
      <c r="H34" s="96"/>
      <c r="I34" s="96"/>
      <c r="J34" s="96"/>
      <c r="K34" s="96"/>
      <c r="L34" s="1" t="str">
        <f aca="false">IF(29&gt;'🌱 Configuração'!$F$55,"",IF(F34="","—",IF(F34&lt;22,"⚠️ Temp baixa",IF(F34&gt;29,"⚠️ Temp ALTA",IF(H34="","✅ OK",IF(H34&lt;5.5,"⚠️ pH baixo",IF(H34&gt;6.9,"⚠️ pH alto",IF(I34&gt;2.5,"⚠️ CE alta","✅ OK"))))))))</f>
        <v>—</v>
      </c>
    </row>
    <row r="35" customFormat="false" ht="18" hidden="false" customHeight="true" outlineLevel="0" collapsed="false">
      <c r="B35" s="98" t="n">
        <f aca="false">IF(30&lt;='🌱 Configuração'!$F$55,30,"")</f>
        <v>30</v>
      </c>
      <c r="C35" s="99" t="n">
        <f aca="false">IF(30&lt;='🌱 Configuração'!$F$55,'🌱 Configuração'!$B$56+29,"")</f>
        <v>29</v>
      </c>
      <c r="D35" s="98" t="str">
        <f aca="false">IF(30&gt;'🌱 Configuração'!$F$55,"",IF('🌱 Configuração'!$B$56+29&lt;'🌱 Configuração'!$C$56,"🌱 Clone",IF('🌱 Configuração'!$B$56+29&lt;'🌱 Configuração'!$D$56,"🌿 Vega",IF('🌱 Configuração'!$B$56+29&lt;'🌱 Configuração'!$E$56,"🌸 Flora","🚿 Flush"))))</f>
        <v>🌿 Vega</v>
      </c>
      <c r="E35" s="98"/>
      <c r="F35" s="98"/>
      <c r="G35" s="98"/>
      <c r="H35" s="98"/>
      <c r="I35" s="98"/>
      <c r="J35" s="98"/>
      <c r="K35" s="98"/>
      <c r="L35" s="1" t="str">
        <f aca="false">IF(30&gt;'🌱 Configuração'!$F$55,"",IF(F35="","—",IF(F35&lt;22,"⚠️ Temp baixa",IF(F35&gt;29,"⚠️ Temp ALTA",IF(H35="","✅ OK",IF(H35&lt;5.5,"⚠️ pH baixo",IF(H35&gt;6.9,"⚠️ pH alto",IF(I35&gt;2.5,"⚠️ CE alta","✅ OK"))))))))</f>
        <v>—</v>
      </c>
    </row>
    <row r="36" customFormat="false" ht="18" hidden="false" customHeight="true" outlineLevel="0" collapsed="false">
      <c r="B36" s="96" t="n">
        <f aca="false">IF(31&lt;='🌱 Configuração'!$F$55,31,"")</f>
        <v>31</v>
      </c>
      <c r="C36" s="97" t="n">
        <f aca="false">IF(31&lt;='🌱 Configuração'!$F$55,'🌱 Configuração'!$B$56+30,"")</f>
        <v>30</v>
      </c>
      <c r="D36" s="96" t="str">
        <f aca="false">IF(31&gt;'🌱 Configuração'!$F$55,"",IF('🌱 Configuração'!$B$56+30&lt;'🌱 Configuração'!$C$56,"🌱 Clone",IF('🌱 Configuração'!$B$56+30&lt;'🌱 Configuração'!$D$56,"🌿 Vega",IF('🌱 Configuração'!$B$56+30&lt;'🌱 Configuração'!$E$56,"🌸 Flora","🚿 Flush"))))</f>
        <v>🌿 Vega</v>
      </c>
      <c r="E36" s="96"/>
      <c r="F36" s="96"/>
      <c r="G36" s="96"/>
      <c r="H36" s="96"/>
      <c r="I36" s="96"/>
      <c r="J36" s="96"/>
      <c r="K36" s="96"/>
      <c r="L36" s="1" t="str">
        <f aca="false">IF(31&gt;'🌱 Configuração'!$F$55,"",IF(F36="","—",IF(F36&lt;22,"⚠️ Temp baixa",IF(F36&gt;29,"⚠️ Temp ALTA",IF(H36="","✅ OK",IF(H36&lt;5.5,"⚠️ pH baixo",IF(H36&gt;6.9,"⚠️ pH alto",IF(I36&gt;2.5,"⚠️ CE alta","✅ OK"))))))))</f>
        <v>—</v>
      </c>
    </row>
    <row r="37" customFormat="false" ht="18" hidden="false" customHeight="true" outlineLevel="0" collapsed="false">
      <c r="B37" s="98" t="n">
        <f aca="false">IF(32&lt;='🌱 Configuração'!$F$55,32,"")</f>
        <v>32</v>
      </c>
      <c r="C37" s="99" t="n">
        <f aca="false">IF(32&lt;='🌱 Configuração'!$F$55,'🌱 Configuração'!$B$56+31,"")</f>
        <v>31</v>
      </c>
      <c r="D37" s="98" t="str">
        <f aca="false">IF(32&gt;'🌱 Configuração'!$F$55,"",IF('🌱 Configuração'!$B$56+31&lt;'🌱 Configuração'!$C$56,"🌱 Clone",IF('🌱 Configuração'!$B$56+31&lt;'🌱 Configuração'!$D$56,"🌿 Vega",IF('🌱 Configuração'!$B$56+31&lt;'🌱 Configuração'!$E$56,"🌸 Flora","🚿 Flush"))))</f>
        <v>🌿 Vega</v>
      </c>
      <c r="E37" s="98"/>
      <c r="F37" s="98"/>
      <c r="G37" s="98"/>
      <c r="H37" s="98"/>
      <c r="I37" s="98"/>
      <c r="J37" s="98"/>
      <c r="K37" s="98"/>
      <c r="L37" s="1" t="str">
        <f aca="false">IF(32&gt;'🌱 Configuração'!$F$55,"",IF(F37="","—",IF(F37&lt;22,"⚠️ Temp baixa",IF(F37&gt;29,"⚠️ Temp ALTA",IF(H37="","✅ OK",IF(H37&lt;5.5,"⚠️ pH baixo",IF(H37&gt;6.9,"⚠️ pH alto",IF(I37&gt;2.5,"⚠️ CE alta","✅ OK"))))))))</f>
        <v>—</v>
      </c>
    </row>
    <row r="38" customFormat="false" ht="18" hidden="false" customHeight="true" outlineLevel="0" collapsed="false">
      <c r="B38" s="96" t="n">
        <f aca="false">IF(33&lt;='🌱 Configuração'!$F$55,33,"")</f>
        <v>33</v>
      </c>
      <c r="C38" s="97" t="n">
        <f aca="false">IF(33&lt;='🌱 Configuração'!$F$55,'🌱 Configuração'!$B$56+32,"")</f>
        <v>32</v>
      </c>
      <c r="D38" s="96" t="str">
        <f aca="false">IF(33&gt;'🌱 Configuração'!$F$55,"",IF('🌱 Configuração'!$B$56+32&lt;'🌱 Configuração'!$C$56,"🌱 Clone",IF('🌱 Configuração'!$B$56+32&lt;'🌱 Configuração'!$D$56,"🌿 Vega",IF('🌱 Configuração'!$B$56+32&lt;'🌱 Configuração'!$E$56,"🌸 Flora","🚿 Flush"))))</f>
        <v>🌿 Vega</v>
      </c>
      <c r="E38" s="96"/>
      <c r="F38" s="96"/>
      <c r="G38" s="96"/>
      <c r="H38" s="96"/>
      <c r="I38" s="96"/>
      <c r="J38" s="96"/>
      <c r="K38" s="96"/>
      <c r="L38" s="1" t="str">
        <f aca="false">IF(33&gt;'🌱 Configuração'!$F$55,"",IF(F38="","—",IF(F38&lt;22,"⚠️ Temp baixa",IF(F38&gt;29,"⚠️ Temp ALTA",IF(H38="","✅ OK",IF(H38&lt;5.5,"⚠️ pH baixo",IF(H38&gt;6.9,"⚠️ pH alto",IF(I38&gt;2.5,"⚠️ CE alta","✅ OK"))))))))</f>
        <v>—</v>
      </c>
    </row>
    <row r="39" customFormat="false" ht="18" hidden="false" customHeight="true" outlineLevel="0" collapsed="false">
      <c r="B39" s="98" t="n">
        <f aca="false">IF(34&lt;='🌱 Configuração'!$F$55,34,"")</f>
        <v>34</v>
      </c>
      <c r="C39" s="99" t="n">
        <f aca="false">IF(34&lt;='🌱 Configuração'!$F$55,'🌱 Configuração'!$B$56+33,"")</f>
        <v>33</v>
      </c>
      <c r="D39" s="98" t="str">
        <f aca="false">IF(34&gt;'🌱 Configuração'!$F$55,"",IF('🌱 Configuração'!$B$56+33&lt;'🌱 Configuração'!$C$56,"🌱 Clone",IF('🌱 Configuração'!$B$56+33&lt;'🌱 Configuração'!$D$56,"🌿 Vega",IF('🌱 Configuração'!$B$56+33&lt;'🌱 Configuração'!$E$56,"🌸 Flora","🚿 Flush"))))</f>
        <v>🌿 Vega</v>
      </c>
      <c r="E39" s="98"/>
      <c r="F39" s="98"/>
      <c r="G39" s="98"/>
      <c r="H39" s="98"/>
      <c r="I39" s="98"/>
      <c r="J39" s="98"/>
      <c r="K39" s="98"/>
      <c r="L39" s="1" t="str">
        <f aca="false">IF(34&gt;'🌱 Configuração'!$F$55,"",IF(F39="","—",IF(F39&lt;22,"⚠️ Temp baixa",IF(F39&gt;29,"⚠️ Temp ALTA",IF(H39="","✅ OK",IF(H39&lt;5.5,"⚠️ pH baixo",IF(H39&gt;6.9,"⚠️ pH alto",IF(I39&gt;2.5,"⚠️ CE alta","✅ OK"))))))))</f>
        <v>—</v>
      </c>
    </row>
    <row r="40" customFormat="false" ht="18" hidden="false" customHeight="true" outlineLevel="0" collapsed="false">
      <c r="B40" s="96" t="n">
        <f aca="false">IF(35&lt;='🌱 Configuração'!$F$55,35,"")</f>
        <v>35</v>
      </c>
      <c r="C40" s="97" t="n">
        <f aca="false">IF(35&lt;='🌱 Configuração'!$F$55,'🌱 Configuração'!$B$56+34,"")</f>
        <v>34</v>
      </c>
      <c r="D40" s="96" t="str">
        <f aca="false">IF(35&gt;'🌱 Configuração'!$F$55,"",IF('🌱 Configuração'!$B$56+34&lt;'🌱 Configuração'!$C$56,"🌱 Clone",IF('🌱 Configuração'!$B$56+34&lt;'🌱 Configuração'!$D$56,"🌿 Vega",IF('🌱 Configuração'!$B$56+34&lt;'🌱 Configuração'!$E$56,"🌸 Flora","🚿 Flush"))))</f>
        <v>🌿 Vega</v>
      </c>
      <c r="E40" s="96"/>
      <c r="F40" s="96"/>
      <c r="G40" s="96"/>
      <c r="H40" s="96"/>
      <c r="I40" s="96"/>
      <c r="J40" s="96"/>
      <c r="K40" s="96"/>
      <c r="L40" s="1" t="str">
        <f aca="false">IF(35&gt;'🌱 Configuração'!$F$55,"",IF(F40="","—",IF(F40&lt;22,"⚠️ Temp baixa",IF(F40&gt;29,"⚠️ Temp ALTA",IF(H40="","✅ OK",IF(H40&lt;5.5,"⚠️ pH baixo",IF(H40&gt;6.9,"⚠️ pH alto",IF(I40&gt;2.5,"⚠️ CE alta","✅ OK"))))))))</f>
        <v>—</v>
      </c>
    </row>
    <row r="41" customFormat="false" ht="18" hidden="false" customHeight="true" outlineLevel="0" collapsed="false">
      <c r="B41" s="98" t="n">
        <f aca="false">IF(36&lt;='🌱 Configuração'!$F$55,36,"")</f>
        <v>36</v>
      </c>
      <c r="C41" s="99" t="n">
        <f aca="false">IF(36&lt;='🌱 Configuração'!$F$55,'🌱 Configuração'!$B$56+35,"")</f>
        <v>35</v>
      </c>
      <c r="D41" s="98" t="str">
        <f aca="false">IF(36&gt;'🌱 Configuração'!$F$55,"",IF('🌱 Configuração'!$B$56+35&lt;'🌱 Configuração'!$C$56,"🌱 Clone",IF('🌱 Configuração'!$B$56+35&lt;'🌱 Configuração'!$D$56,"🌿 Vega",IF('🌱 Configuração'!$B$56+35&lt;'🌱 Configuração'!$E$56,"🌸 Flora","🚿 Flush"))))</f>
        <v>🌿 Vega</v>
      </c>
      <c r="E41" s="98"/>
      <c r="F41" s="98"/>
      <c r="G41" s="98"/>
      <c r="H41" s="98"/>
      <c r="I41" s="98"/>
      <c r="J41" s="98"/>
      <c r="K41" s="98"/>
      <c r="L41" s="1" t="str">
        <f aca="false">IF(36&gt;'🌱 Configuração'!$F$55,"",IF(F41="","—",IF(F41&lt;22,"⚠️ Temp baixa",IF(F41&gt;29,"⚠️ Temp ALTA",IF(H41="","✅ OK",IF(H41&lt;5.5,"⚠️ pH baixo",IF(H41&gt;6.9,"⚠️ pH alto",IF(I41&gt;2.5,"⚠️ CE alta","✅ OK"))))))))</f>
        <v>—</v>
      </c>
    </row>
    <row r="42" customFormat="false" ht="18" hidden="false" customHeight="true" outlineLevel="0" collapsed="false">
      <c r="B42" s="96" t="n">
        <f aca="false">IF(37&lt;='🌱 Configuração'!$F$55,37,"")</f>
        <v>37</v>
      </c>
      <c r="C42" s="97" t="n">
        <f aca="false">IF(37&lt;='🌱 Configuração'!$F$55,'🌱 Configuração'!$B$56+36,"")</f>
        <v>36</v>
      </c>
      <c r="D42" s="96" t="str">
        <f aca="false">IF(37&gt;'🌱 Configuração'!$F$55,"",IF('🌱 Configuração'!$B$56+36&lt;'🌱 Configuração'!$C$56,"🌱 Clone",IF('🌱 Configuração'!$B$56+36&lt;'🌱 Configuração'!$D$56,"🌿 Vega",IF('🌱 Configuração'!$B$56+36&lt;'🌱 Configuração'!$E$56,"🌸 Flora","🚿 Flush"))))</f>
        <v>🌿 Vega</v>
      </c>
      <c r="E42" s="96"/>
      <c r="F42" s="96"/>
      <c r="G42" s="96"/>
      <c r="H42" s="96"/>
      <c r="I42" s="96"/>
      <c r="J42" s="96"/>
      <c r="K42" s="96"/>
      <c r="L42" s="1" t="str">
        <f aca="false">IF(37&gt;'🌱 Configuração'!$F$55,"",IF(F42="","—",IF(F42&lt;22,"⚠️ Temp baixa",IF(F42&gt;29,"⚠️ Temp ALTA",IF(H42="","✅ OK",IF(H42&lt;5.5,"⚠️ pH baixo",IF(H42&gt;6.9,"⚠️ pH alto",IF(I42&gt;2.5,"⚠️ CE alta","✅ OK"))))))))</f>
        <v>—</v>
      </c>
    </row>
    <row r="43" customFormat="false" ht="18" hidden="false" customHeight="true" outlineLevel="0" collapsed="false">
      <c r="B43" s="98" t="n">
        <f aca="false">IF(38&lt;='🌱 Configuração'!$F$55,38,"")</f>
        <v>38</v>
      </c>
      <c r="C43" s="99" t="n">
        <f aca="false">IF(38&lt;='🌱 Configuração'!$F$55,'🌱 Configuração'!$B$56+37,"")</f>
        <v>37</v>
      </c>
      <c r="D43" s="98" t="str">
        <f aca="false">IF(38&gt;'🌱 Configuração'!$F$55,"",IF('🌱 Configuração'!$B$56+37&lt;'🌱 Configuração'!$C$56,"🌱 Clone",IF('🌱 Configuração'!$B$56+37&lt;'🌱 Configuração'!$D$56,"🌿 Vega",IF('🌱 Configuração'!$B$56+37&lt;'🌱 Configuração'!$E$56,"🌸 Flora","🚿 Flush"))))</f>
        <v>🌿 Vega</v>
      </c>
      <c r="E43" s="98"/>
      <c r="F43" s="98"/>
      <c r="G43" s="98"/>
      <c r="H43" s="98"/>
      <c r="I43" s="98"/>
      <c r="J43" s="98"/>
      <c r="K43" s="98"/>
      <c r="L43" s="1" t="str">
        <f aca="false">IF(38&gt;'🌱 Configuração'!$F$55,"",IF(F43="","—",IF(F43&lt;22,"⚠️ Temp baixa",IF(F43&gt;29,"⚠️ Temp ALTA",IF(H43="","✅ OK",IF(H43&lt;5.5,"⚠️ pH baixo",IF(H43&gt;6.9,"⚠️ pH alto",IF(I43&gt;2.5,"⚠️ CE alta","✅ OK"))))))))</f>
        <v>—</v>
      </c>
    </row>
    <row r="44" customFormat="false" ht="18" hidden="false" customHeight="true" outlineLevel="0" collapsed="false">
      <c r="B44" s="96" t="n">
        <f aca="false">IF(39&lt;='🌱 Configuração'!$F$55,39,"")</f>
        <v>39</v>
      </c>
      <c r="C44" s="97" t="n">
        <f aca="false">IF(39&lt;='🌱 Configuração'!$F$55,'🌱 Configuração'!$B$56+38,"")</f>
        <v>38</v>
      </c>
      <c r="D44" s="96" t="str">
        <f aca="false">IF(39&gt;'🌱 Configuração'!$F$55,"",IF('🌱 Configuração'!$B$56+38&lt;'🌱 Configuração'!$C$56,"🌱 Clone",IF('🌱 Configuração'!$B$56+38&lt;'🌱 Configuração'!$D$56,"🌿 Vega",IF('🌱 Configuração'!$B$56+38&lt;'🌱 Configuração'!$E$56,"🌸 Flora","🚿 Flush"))))</f>
        <v>🌿 Vega</v>
      </c>
      <c r="E44" s="96"/>
      <c r="F44" s="96"/>
      <c r="G44" s="96"/>
      <c r="H44" s="96"/>
      <c r="I44" s="96"/>
      <c r="J44" s="96"/>
      <c r="K44" s="96"/>
      <c r="L44" s="1" t="str">
        <f aca="false">IF(39&gt;'🌱 Configuração'!$F$55,"",IF(F44="","—",IF(F44&lt;22,"⚠️ Temp baixa",IF(F44&gt;29,"⚠️ Temp ALTA",IF(H44="","✅ OK",IF(H44&lt;5.5,"⚠️ pH baixo",IF(H44&gt;6.9,"⚠️ pH alto",IF(I44&gt;2.5,"⚠️ CE alta","✅ OK"))))))))</f>
        <v>—</v>
      </c>
    </row>
    <row r="45" customFormat="false" ht="18" hidden="false" customHeight="true" outlineLevel="0" collapsed="false">
      <c r="B45" s="98" t="n">
        <f aca="false">IF(40&lt;='🌱 Configuração'!$F$55,40,"")</f>
        <v>40</v>
      </c>
      <c r="C45" s="99" t="n">
        <f aca="false">IF(40&lt;='🌱 Configuração'!$F$55,'🌱 Configuração'!$B$56+39,"")</f>
        <v>39</v>
      </c>
      <c r="D45" s="98" t="str">
        <f aca="false">IF(40&gt;'🌱 Configuração'!$F$55,"",IF('🌱 Configuração'!$B$56+39&lt;'🌱 Configuração'!$C$56,"🌱 Clone",IF('🌱 Configuração'!$B$56+39&lt;'🌱 Configuração'!$D$56,"🌿 Vega",IF('🌱 Configuração'!$B$56+39&lt;'🌱 Configuração'!$E$56,"🌸 Flora","🚿 Flush"))))</f>
        <v>🌿 Vega</v>
      </c>
      <c r="E45" s="98"/>
      <c r="F45" s="98"/>
      <c r="G45" s="98"/>
      <c r="H45" s="98"/>
      <c r="I45" s="98"/>
      <c r="J45" s="98"/>
      <c r="K45" s="98"/>
      <c r="L45" s="1" t="str">
        <f aca="false">IF(40&gt;'🌱 Configuração'!$F$55,"",IF(F45="","—",IF(F45&lt;22,"⚠️ Temp baixa",IF(F45&gt;29,"⚠️ Temp ALTA",IF(H45="","✅ OK",IF(H45&lt;5.5,"⚠️ pH baixo",IF(H45&gt;6.9,"⚠️ pH alto",IF(I45&gt;2.5,"⚠️ CE alta","✅ OK"))))))))</f>
        <v>—</v>
      </c>
    </row>
    <row r="46" customFormat="false" ht="18" hidden="false" customHeight="true" outlineLevel="0" collapsed="false">
      <c r="B46" s="96" t="n">
        <f aca="false">IF(41&lt;='🌱 Configuração'!$F$55,41,"")</f>
        <v>41</v>
      </c>
      <c r="C46" s="97" t="n">
        <f aca="false">IF(41&lt;='🌱 Configuração'!$F$55,'🌱 Configuração'!$B$56+40,"")</f>
        <v>40</v>
      </c>
      <c r="D46" s="96" t="str">
        <f aca="false">IF(41&gt;'🌱 Configuração'!$F$55,"",IF('🌱 Configuração'!$B$56+40&lt;'🌱 Configuração'!$C$56,"🌱 Clone",IF('🌱 Configuração'!$B$56+40&lt;'🌱 Configuração'!$D$56,"🌿 Vega",IF('🌱 Configuração'!$B$56+40&lt;'🌱 Configuração'!$E$56,"🌸 Flora","🚿 Flush"))))</f>
        <v>🌿 Vega</v>
      </c>
      <c r="E46" s="96"/>
      <c r="F46" s="96"/>
      <c r="G46" s="96"/>
      <c r="H46" s="96"/>
      <c r="I46" s="96"/>
      <c r="J46" s="96"/>
      <c r="K46" s="96"/>
      <c r="L46" s="1" t="str">
        <f aca="false">IF(41&gt;'🌱 Configuração'!$F$55,"",IF(F46="","—",IF(F46&lt;22,"⚠️ Temp baixa",IF(F46&gt;29,"⚠️ Temp ALTA",IF(H46="","✅ OK",IF(H46&lt;5.5,"⚠️ pH baixo",IF(H46&gt;6.9,"⚠️ pH alto",IF(I46&gt;2.5,"⚠️ CE alta","✅ OK"))))))))</f>
        <v>—</v>
      </c>
    </row>
    <row r="47" customFormat="false" ht="18" hidden="false" customHeight="true" outlineLevel="0" collapsed="false">
      <c r="B47" s="98" t="n">
        <f aca="false">IF(42&lt;='🌱 Configuração'!$F$55,42,"")</f>
        <v>42</v>
      </c>
      <c r="C47" s="99" t="n">
        <f aca="false">IF(42&lt;='🌱 Configuração'!$F$55,'🌱 Configuração'!$B$56+41,"")</f>
        <v>41</v>
      </c>
      <c r="D47" s="98" t="str">
        <f aca="false">IF(42&gt;'🌱 Configuração'!$F$55,"",IF('🌱 Configuração'!$B$56+41&lt;'🌱 Configuração'!$C$56,"🌱 Clone",IF('🌱 Configuração'!$B$56+41&lt;'🌱 Configuração'!$D$56,"🌿 Vega",IF('🌱 Configuração'!$B$56+41&lt;'🌱 Configuração'!$E$56,"🌸 Flora","🚿 Flush"))))</f>
        <v>🌿 Vega</v>
      </c>
      <c r="E47" s="98"/>
      <c r="F47" s="98"/>
      <c r="G47" s="98"/>
      <c r="H47" s="98"/>
      <c r="I47" s="98"/>
      <c r="J47" s="98"/>
      <c r="K47" s="98"/>
      <c r="L47" s="1" t="str">
        <f aca="false">IF(42&gt;'🌱 Configuração'!$F$55,"",IF(F47="","—",IF(F47&lt;22,"⚠️ Temp baixa",IF(F47&gt;29,"⚠️ Temp ALTA",IF(H47="","✅ OK",IF(H47&lt;5.5,"⚠️ pH baixo",IF(H47&gt;6.9,"⚠️ pH alto",IF(I47&gt;2.5,"⚠️ CE alta","✅ OK"))))))))</f>
        <v>—</v>
      </c>
    </row>
    <row r="48" customFormat="false" ht="18" hidden="false" customHeight="true" outlineLevel="0" collapsed="false">
      <c r="B48" s="96" t="n">
        <f aca="false">IF(43&lt;='🌱 Configuração'!$F$55,43,"")</f>
        <v>43</v>
      </c>
      <c r="C48" s="97" t="n">
        <f aca="false">IF(43&lt;='🌱 Configuração'!$F$55,'🌱 Configuração'!$B$56+42,"")</f>
        <v>42</v>
      </c>
      <c r="D48" s="96" t="str">
        <f aca="false">IF(43&gt;'🌱 Configuração'!$F$55,"",IF('🌱 Configuração'!$B$56+42&lt;'🌱 Configuração'!$C$56,"🌱 Clone",IF('🌱 Configuração'!$B$56+42&lt;'🌱 Configuração'!$D$56,"🌿 Vega",IF('🌱 Configuração'!$B$56+42&lt;'🌱 Configuração'!$E$56,"🌸 Flora","🚿 Flush"))))</f>
        <v>🌿 Vega</v>
      </c>
      <c r="E48" s="96"/>
      <c r="F48" s="96"/>
      <c r="G48" s="96"/>
      <c r="H48" s="96"/>
      <c r="I48" s="96"/>
      <c r="J48" s="96"/>
      <c r="K48" s="96"/>
      <c r="L48" s="1" t="str">
        <f aca="false">IF(43&gt;'🌱 Configuração'!$F$55,"",IF(F48="","—",IF(F48&lt;22,"⚠️ Temp baixa",IF(F48&gt;29,"⚠️ Temp ALTA",IF(H48="","✅ OK",IF(H48&lt;5.5,"⚠️ pH baixo",IF(H48&gt;6.9,"⚠️ pH alto",IF(I48&gt;2.5,"⚠️ CE alta","✅ OK"))))))))</f>
        <v>—</v>
      </c>
    </row>
    <row r="49" customFormat="false" ht="18" hidden="false" customHeight="true" outlineLevel="0" collapsed="false">
      <c r="B49" s="98" t="n">
        <f aca="false">IF(44&lt;='🌱 Configuração'!$F$55,44,"")</f>
        <v>44</v>
      </c>
      <c r="C49" s="99" t="n">
        <f aca="false">IF(44&lt;='🌱 Configuração'!$F$55,'🌱 Configuração'!$B$56+43,"")</f>
        <v>43</v>
      </c>
      <c r="D49" s="98" t="str">
        <f aca="false">IF(44&gt;'🌱 Configuração'!$F$55,"",IF('🌱 Configuração'!$B$56+43&lt;'🌱 Configuração'!$C$56,"🌱 Clone",IF('🌱 Configuração'!$B$56+43&lt;'🌱 Configuração'!$D$56,"🌿 Vega",IF('🌱 Configuração'!$B$56+43&lt;'🌱 Configuração'!$E$56,"🌸 Flora","🚿 Flush"))))</f>
        <v>🌿 Vega</v>
      </c>
      <c r="E49" s="98"/>
      <c r="F49" s="98"/>
      <c r="G49" s="98"/>
      <c r="H49" s="98"/>
      <c r="I49" s="98"/>
      <c r="J49" s="98"/>
      <c r="K49" s="98"/>
      <c r="L49" s="1" t="str">
        <f aca="false">IF(44&gt;'🌱 Configuração'!$F$55,"",IF(F49="","—",IF(F49&lt;22,"⚠️ Temp baixa",IF(F49&gt;29,"⚠️ Temp ALTA",IF(H49="","✅ OK",IF(H49&lt;5.5,"⚠️ pH baixo",IF(H49&gt;6.9,"⚠️ pH alto",IF(I49&gt;2.5,"⚠️ CE alta","✅ OK"))))))))</f>
        <v>—</v>
      </c>
    </row>
    <row r="50" customFormat="false" ht="18" hidden="false" customHeight="true" outlineLevel="0" collapsed="false">
      <c r="B50" s="96" t="n">
        <f aca="false">IF(45&lt;='🌱 Configuração'!$F$55,45,"")</f>
        <v>45</v>
      </c>
      <c r="C50" s="97" t="n">
        <f aca="false">IF(45&lt;='🌱 Configuração'!$F$55,'🌱 Configuração'!$B$56+44,"")</f>
        <v>44</v>
      </c>
      <c r="D50" s="96" t="str">
        <f aca="false">IF(45&gt;'🌱 Configuração'!$F$55,"",IF('🌱 Configuração'!$B$56+44&lt;'🌱 Configuração'!$C$56,"🌱 Clone",IF('🌱 Configuração'!$B$56+44&lt;'🌱 Configuração'!$D$56,"🌿 Vega",IF('🌱 Configuração'!$B$56+44&lt;'🌱 Configuração'!$E$56,"🌸 Flora","🚿 Flush"))))</f>
        <v>🌿 Vega</v>
      </c>
      <c r="E50" s="96"/>
      <c r="F50" s="96"/>
      <c r="G50" s="96"/>
      <c r="H50" s="96"/>
      <c r="I50" s="96"/>
      <c r="J50" s="96"/>
      <c r="K50" s="96"/>
      <c r="L50" s="1" t="str">
        <f aca="false">IF(45&gt;'🌱 Configuração'!$F$55,"",IF(F50="","—",IF(F50&lt;22,"⚠️ Temp baixa",IF(F50&gt;29,"⚠️ Temp ALTA",IF(H50="","✅ OK",IF(H50&lt;5.5,"⚠️ pH baixo",IF(H50&gt;6.9,"⚠️ pH alto",IF(I50&gt;2.5,"⚠️ CE alta","✅ OK"))))))))</f>
        <v>—</v>
      </c>
    </row>
    <row r="51" customFormat="false" ht="18" hidden="false" customHeight="true" outlineLevel="0" collapsed="false">
      <c r="B51" s="98" t="n">
        <f aca="false">IF(46&lt;='🌱 Configuração'!$F$55,46,"")</f>
        <v>46</v>
      </c>
      <c r="C51" s="99" t="n">
        <f aca="false">IF(46&lt;='🌱 Configuração'!$F$55,'🌱 Configuração'!$B$56+45,"")</f>
        <v>45</v>
      </c>
      <c r="D51" s="98" t="str">
        <f aca="false">IF(46&gt;'🌱 Configuração'!$F$55,"",IF('🌱 Configuração'!$B$56+45&lt;'🌱 Configuração'!$C$56,"🌱 Clone",IF('🌱 Configuração'!$B$56+45&lt;'🌱 Configuração'!$D$56,"🌿 Vega",IF('🌱 Configuração'!$B$56+45&lt;'🌱 Configuração'!$E$56,"🌸 Flora","🚿 Flush"))))</f>
        <v>🌿 Vega</v>
      </c>
      <c r="E51" s="98"/>
      <c r="F51" s="98"/>
      <c r="G51" s="98"/>
      <c r="H51" s="98"/>
      <c r="I51" s="98"/>
      <c r="J51" s="98"/>
      <c r="K51" s="98"/>
      <c r="L51" s="1" t="str">
        <f aca="false">IF(46&gt;'🌱 Configuração'!$F$55,"",IF(F51="","—",IF(F51&lt;22,"⚠️ Temp baixa",IF(F51&gt;29,"⚠️ Temp ALTA",IF(H51="","✅ OK",IF(H51&lt;5.5,"⚠️ pH baixo",IF(H51&gt;6.9,"⚠️ pH alto",IF(I51&gt;2.5,"⚠️ CE alta","✅ OK"))))))))</f>
        <v>—</v>
      </c>
    </row>
    <row r="52" customFormat="false" ht="18" hidden="false" customHeight="true" outlineLevel="0" collapsed="false">
      <c r="B52" s="96" t="n">
        <f aca="false">IF(47&lt;='🌱 Configuração'!$F$55,47,"")</f>
        <v>47</v>
      </c>
      <c r="C52" s="97" t="n">
        <f aca="false">IF(47&lt;='🌱 Configuração'!$F$55,'🌱 Configuração'!$B$56+46,"")</f>
        <v>46</v>
      </c>
      <c r="D52" s="96" t="str">
        <f aca="false">IF(47&gt;'🌱 Configuração'!$F$55,"",IF('🌱 Configuração'!$B$56+46&lt;'🌱 Configuração'!$C$56,"🌱 Clone",IF('🌱 Configuração'!$B$56+46&lt;'🌱 Configuração'!$D$56,"🌿 Vega",IF('🌱 Configuração'!$B$56+46&lt;'🌱 Configuração'!$E$56,"🌸 Flora","🚿 Flush"))))</f>
        <v>🌿 Vega</v>
      </c>
      <c r="E52" s="96"/>
      <c r="F52" s="96"/>
      <c r="G52" s="96"/>
      <c r="H52" s="96"/>
      <c r="I52" s="96"/>
      <c r="J52" s="96"/>
      <c r="K52" s="96"/>
      <c r="L52" s="1" t="str">
        <f aca="false">IF(47&gt;'🌱 Configuração'!$F$55,"",IF(F52="","—",IF(F52&lt;22,"⚠️ Temp baixa",IF(F52&gt;29,"⚠️ Temp ALTA",IF(H52="","✅ OK",IF(H52&lt;5.5,"⚠️ pH baixo",IF(H52&gt;6.9,"⚠️ pH alto",IF(I52&gt;2.5,"⚠️ CE alta","✅ OK"))))))))</f>
        <v>—</v>
      </c>
    </row>
    <row r="53" customFormat="false" ht="18" hidden="false" customHeight="true" outlineLevel="0" collapsed="false">
      <c r="B53" s="98" t="n">
        <f aca="false">IF(48&lt;='🌱 Configuração'!$F$55,48,"")</f>
        <v>48</v>
      </c>
      <c r="C53" s="99" t="n">
        <f aca="false">IF(48&lt;='🌱 Configuração'!$F$55,'🌱 Configuração'!$B$56+47,"")</f>
        <v>47</v>
      </c>
      <c r="D53" s="98" t="str">
        <f aca="false">IF(48&gt;'🌱 Configuração'!$F$55,"",IF('🌱 Configuração'!$B$56+47&lt;'🌱 Configuração'!$C$56,"🌱 Clone",IF('🌱 Configuração'!$B$56+47&lt;'🌱 Configuração'!$D$56,"🌿 Vega",IF('🌱 Configuração'!$B$56+47&lt;'🌱 Configuração'!$E$56,"🌸 Flora","🚿 Flush"))))</f>
        <v>🌿 Vega</v>
      </c>
      <c r="E53" s="98"/>
      <c r="F53" s="98"/>
      <c r="G53" s="98"/>
      <c r="H53" s="98"/>
      <c r="I53" s="98"/>
      <c r="J53" s="98"/>
      <c r="K53" s="98"/>
      <c r="L53" s="1" t="str">
        <f aca="false">IF(48&gt;'🌱 Configuração'!$F$55,"",IF(F53="","—",IF(F53&lt;22,"⚠️ Temp baixa",IF(F53&gt;29,"⚠️ Temp ALTA",IF(H53="","✅ OK",IF(H53&lt;5.5,"⚠️ pH baixo",IF(H53&gt;6.9,"⚠️ pH alto",IF(I53&gt;2.5,"⚠️ CE alta","✅ OK"))))))))</f>
        <v>—</v>
      </c>
    </row>
    <row r="54" customFormat="false" ht="18" hidden="false" customHeight="true" outlineLevel="0" collapsed="false">
      <c r="B54" s="96" t="n">
        <f aca="false">IF(49&lt;='🌱 Configuração'!$F$55,49,"")</f>
        <v>49</v>
      </c>
      <c r="C54" s="97" t="n">
        <f aca="false">IF(49&lt;='🌱 Configuração'!$F$55,'🌱 Configuração'!$B$56+48,"")</f>
        <v>48</v>
      </c>
      <c r="D54" s="96" t="str">
        <f aca="false">IF(49&gt;'🌱 Configuração'!$F$55,"",IF('🌱 Configuração'!$B$56+48&lt;'🌱 Configuração'!$C$56,"🌱 Clone",IF('🌱 Configuração'!$B$56+48&lt;'🌱 Configuração'!$D$56,"🌿 Vega",IF('🌱 Configuração'!$B$56+48&lt;'🌱 Configuração'!$E$56,"🌸 Flora","🚿 Flush"))))</f>
        <v>🌿 Vega</v>
      </c>
      <c r="E54" s="96"/>
      <c r="F54" s="96"/>
      <c r="G54" s="96"/>
      <c r="H54" s="96"/>
      <c r="I54" s="96"/>
      <c r="J54" s="96"/>
      <c r="K54" s="96"/>
      <c r="L54" s="1" t="str">
        <f aca="false">IF(49&gt;'🌱 Configuração'!$F$55,"",IF(F54="","—",IF(F54&lt;22,"⚠️ Temp baixa",IF(F54&gt;29,"⚠️ Temp ALTA",IF(H54="","✅ OK",IF(H54&lt;5.5,"⚠️ pH baixo",IF(H54&gt;6.9,"⚠️ pH alto",IF(I54&gt;2.5,"⚠️ CE alta","✅ OK"))))))))</f>
        <v>—</v>
      </c>
    </row>
    <row r="55" customFormat="false" ht="18" hidden="false" customHeight="true" outlineLevel="0" collapsed="false">
      <c r="B55" s="98" t="n">
        <f aca="false">IF(50&lt;='🌱 Configuração'!$F$55,50,"")</f>
        <v>50</v>
      </c>
      <c r="C55" s="99" t="n">
        <f aca="false">IF(50&lt;='🌱 Configuração'!$F$55,'🌱 Configuração'!$B$56+49,"")</f>
        <v>49</v>
      </c>
      <c r="D55" s="98" t="str">
        <f aca="false">IF(50&gt;'🌱 Configuração'!$F$55,"",IF('🌱 Configuração'!$B$56+49&lt;'🌱 Configuração'!$C$56,"🌱 Clone",IF('🌱 Configuração'!$B$56+49&lt;'🌱 Configuração'!$D$56,"🌿 Vega",IF('🌱 Configuração'!$B$56+49&lt;'🌱 Configuração'!$E$56,"🌸 Flora","🚿 Flush"))))</f>
        <v>🌿 Vega</v>
      </c>
      <c r="E55" s="98"/>
      <c r="F55" s="98"/>
      <c r="G55" s="98"/>
      <c r="H55" s="98"/>
      <c r="I55" s="98"/>
      <c r="J55" s="98"/>
      <c r="K55" s="98"/>
      <c r="L55" s="1" t="str">
        <f aca="false">IF(50&gt;'🌱 Configuração'!$F$55,"",IF(F55="","—",IF(F55&lt;22,"⚠️ Temp baixa",IF(F55&gt;29,"⚠️ Temp ALTA",IF(H55="","✅ OK",IF(H55&lt;5.5,"⚠️ pH baixo",IF(H55&gt;6.9,"⚠️ pH alto",IF(I55&gt;2.5,"⚠️ CE alta","✅ OK"))))))))</f>
        <v>—</v>
      </c>
    </row>
    <row r="56" customFormat="false" ht="18" hidden="false" customHeight="true" outlineLevel="0" collapsed="false">
      <c r="B56" s="96" t="n">
        <f aca="false">IF(51&lt;='🌱 Configuração'!$F$55,51,"")</f>
        <v>51</v>
      </c>
      <c r="C56" s="97" t="n">
        <f aca="false">IF(51&lt;='🌱 Configuração'!$F$55,'🌱 Configuração'!$B$56+50,"")</f>
        <v>50</v>
      </c>
      <c r="D56" s="96" t="str">
        <f aca="false">IF(51&gt;'🌱 Configuração'!$F$55,"",IF('🌱 Configuração'!$B$56+50&lt;'🌱 Configuração'!$C$56,"🌱 Clone",IF('🌱 Configuração'!$B$56+50&lt;'🌱 Configuração'!$D$56,"🌿 Vega",IF('🌱 Configuração'!$B$56+50&lt;'🌱 Configuração'!$E$56,"🌸 Flora","🚿 Flush"))))</f>
        <v>🌿 Vega</v>
      </c>
      <c r="E56" s="96"/>
      <c r="F56" s="96"/>
      <c r="G56" s="96"/>
      <c r="H56" s="96"/>
      <c r="I56" s="96"/>
      <c r="J56" s="96"/>
      <c r="K56" s="96"/>
      <c r="L56" s="1" t="str">
        <f aca="false">IF(51&gt;'🌱 Configuração'!$F$55,"",IF(F56="","—",IF(F56&lt;22,"⚠️ Temp baixa",IF(F56&gt;29,"⚠️ Temp ALTA",IF(H56="","✅ OK",IF(H56&lt;5.5,"⚠️ pH baixo",IF(H56&gt;6.9,"⚠️ pH alto",IF(I56&gt;2.5,"⚠️ CE alta","✅ OK"))))))))</f>
        <v>—</v>
      </c>
    </row>
    <row r="57" customFormat="false" ht="18" hidden="false" customHeight="true" outlineLevel="0" collapsed="false">
      <c r="B57" s="98" t="n">
        <f aca="false">IF(52&lt;='🌱 Configuração'!$F$55,52,"")</f>
        <v>52</v>
      </c>
      <c r="C57" s="99" t="n">
        <f aca="false">IF(52&lt;='🌱 Configuração'!$F$55,'🌱 Configuração'!$B$56+51,"")</f>
        <v>51</v>
      </c>
      <c r="D57" s="98" t="str">
        <f aca="false">IF(52&gt;'🌱 Configuração'!$F$55,"",IF('🌱 Configuração'!$B$56+51&lt;'🌱 Configuração'!$C$56,"🌱 Clone",IF('🌱 Configuração'!$B$56+51&lt;'🌱 Configuração'!$D$56,"🌿 Vega",IF('🌱 Configuração'!$B$56+51&lt;'🌱 Configuração'!$E$56,"🌸 Flora","🚿 Flush"))))</f>
        <v>🌿 Vega</v>
      </c>
      <c r="E57" s="98"/>
      <c r="F57" s="98"/>
      <c r="G57" s="98"/>
      <c r="H57" s="98"/>
      <c r="I57" s="98"/>
      <c r="J57" s="98"/>
      <c r="K57" s="98"/>
      <c r="L57" s="1" t="str">
        <f aca="false">IF(52&gt;'🌱 Configuração'!$F$55,"",IF(F57="","—",IF(F57&lt;22,"⚠️ Temp baixa",IF(F57&gt;29,"⚠️ Temp ALTA",IF(H57="","✅ OK",IF(H57&lt;5.5,"⚠️ pH baixo",IF(H57&gt;6.9,"⚠️ pH alto",IF(I57&gt;2.5,"⚠️ CE alta","✅ OK"))))))))</f>
        <v>—</v>
      </c>
    </row>
    <row r="58" customFormat="false" ht="18" hidden="false" customHeight="true" outlineLevel="0" collapsed="false">
      <c r="B58" s="96" t="n">
        <f aca="false">IF(53&lt;='🌱 Configuração'!$F$55,53,"")</f>
        <v>53</v>
      </c>
      <c r="C58" s="97" t="n">
        <f aca="false">IF(53&lt;='🌱 Configuração'!$F$55,'🌱 Configuração'!$B$56+52,"")</f>
        <v>52</v>
      </c>
      <c r="D58" s="96" t="str">
        <f aca="false">IF(53&gt;'🌱 Configuração'!$F$55,"",IF('🌱 Configuração'!$B$56+52&lt;'🌱 Configuração'!$C$56,"🌱 Clone",IF('🌱 Configuração'!$B$56+52&lt;'🌱 Configuração'!$D$56,"🌿 Vega",IF('🌱 Configuração'!$B$56+52&lt;'🌱 Configuração'!$E$56,"🌸 Flora","🚿 Flush"))))</f>
        <v>🌿 Vega</v>
      </c>
      <c r="E58" s="96"/>
      <c r="F58" s="96"/>
      <c r="G58" s="96"/>
      <c r="H58" s="96"/>
      <c r="I58" s="96"/>
      <c r="J58" s="96"/>
      <c r="K58" s="96"/>
      <c r="L58" s="1" t="str">
        <f aca="false">IF(53&gt;'🌱 Configuração'!$F$55,"",IF(F58="","—",IF(F58&lt;22,"⚠️ Temp baixa",IF(F58&gt;29,"⚠️ Temp ALTA",IF(H58="","✅ OK",IF(H58&lt;5.5,"⚠️ pH baixo",IF(H58&gt;6.9,"⚠️ pH alto",IF(I58&gt;2.5,"⚠️ CE alta","✅ OK"))))))))</f>
        <v>—</v>
      </c>
    </row>
    <row r="59" customFormat="false" ht="18" hidden="false" customHeight="true" outlineLevel="0" collapsed="false">
      <c r="B59" s="98" t="n">
        <f aca="false">IF(54&lt;='🌱 Configuração'!$F$55,54,"")</f>
        <v>54</v>
      </c>
      <c r="C59" s="99" t="n">
        <f aca="false">IF(54&lt;='🌱 Configuração'!$F$55,'🌱 Configuração'!$B$56+53,"")</f>
        <v>53</v>
      </c>
      <c r="D59" s="98" t="str">
        <f aca="false">IF(54&gt;'🌱 Configuração'!$F$55,"",IF('🌱 Configuração'!$B$56+53&lt;'🌱 Configuração'!$C$56,"🌱 Clone",IF('🌱 Configuração'!$B$56+53&lt;'🌱 Configuração'!$D$56,"🌿 Vega",IF('🌱 Configuração'!$B$56+53&lt;'🌱 Configuração'!$E$56,"🌸 Flora","🚿 Flush"))))</f>
        <v>🌿 Vega</v>
      </c>
      <c r="E59" s="98"/>
      <c r="F59" s="98"/>
      <c r="G59" s="98"/>
      <c r="H59" s="98"/>
      <c r="I59" s="98"/>
      <c r="J59" s="98"/>
      <c r="K59" s="98"/>
      <c r="L59" s="1" t="str">
        <f aca="false">IF(54&gt;'🌱 Configuração'!$F$55,"",IF(F59="","—",IF(F59&lt;22,"⚠️ Temp baixa",IF(F59&gt;29,"⚠️ Temp ALTA",IF(H59="","✅ OK",IF(H59&lt;5.5,"⚠️ pH baixo",IF(H59&gt;6.9,"⚠️ pH alto",IF(I59&gt;2.5,"⚠️ CE alta","✅ OK"))))))))</f>
        <v>—</v>
      </c>
    </row>
    <row r="60" customFormat="false" ht="18" hidden="false" customHeight="true" outlineLevel="0" collapsed="false">
      <c r="B60" s="96" t="n">
        <f aca="false">IF(55&lt;='🌱 Configuração'!$F$55,55,"")</f>
        <v>55</v>
      </c>
      <c r="C60" s="97" t="n">
        <f aca="false">IF(55&lt;='🌱 Configuração'!$F$55,'🌱 Configuração'!$B$56+54,"")</f>
        <v>54</v>
      </c>
      <c r="D60" s="96" t="str">
        <f aca="false">IF(55&gt;'🌱 Configuração'!$F$55,"",IF('🌱 Configuração'!$B$56+54&lt;'🌱 Configuração'!$C$56,"🌱 Clone",IF('🌱 Configuração'!$B$56+54&lt;'🌱 Configuração'!$D$56,"🌿 Vega",IF('🌱 Configuração'!$B$56+54&lt;'🌱 Configuração'!$E$56,"🌸 Flora","🚿 Flush"))))</f>
        <v>🌿 Vega</v>
      </c>
      <c r="E60" s="96"/>
      <c r="F60" s="96"/>
      <c r="G60" s="96"/>
      <c r="H60" s="96"/>
      <c r="I60" s="96"/>
      <c r="J60" s="96"/>
      <c r="K60" s="96"/>
      <c r="L60" s="1" t="str">
        <f aca="false">IF(55&gt;'🌱 Configuração'!$F$55,"",IF(F60="","—",IF(F60&lt;22,"⚠️ Temp baixa",IF(F60&gt;29,"⚠️ Temp ALTA",IF(H60="","✅ OK",IF(H60&lt;5.5,"⚠️ pH baixo",IF(H60&gt;6.9,"⚠️ pH alto",IF(I60&gt;2.5,"⚠️ CE alta","✅ OK"))))))))</f>
        <v>—</v>
      </c>
    </row>
    <row r="61" customFormat="false" ht="18" hidden="false" customHeight="true" outlineLevel="0" collapsed="false">
      <c r="B61" s="98" t="n">
        <f aca="false">IF(56&lt;='🌱 Configuração'!$F$55,56,"")</f>
        <v>56</v>
      </c>
      <c r="C61" s="99" t="n">
        <f aca="false">IF(56&lt;='🌱 Configuração'!$F$55,'🌱 Configuração'!$B$56+55,"")</f>
        <v>55</v>
      </c>
      <c r="D61" s="98" t="str">
        <f aca="false">IF(56&gt;'🌱 Configuração'!$F$55,"",IF('🌱 Configuração'!$B$56+55&lt;'🌱 Configuração'!$C$56,"🌱 Clone",IF('🌱 Configuração'!$B$56+55&lt;'🌱 Configuração'!$D$56,"🌿 Vega",IF('🌱 Configuração'!$B$56+55&lt;'🌱 Configuração'!$E$56,"🌸 Flora","🚿 Flush"))))</f>
        <v>🌿 Vega</v>
      </c>
      <c r="E61" s="98"/>
      <c r="F61" s="98"/>
      <c r="G61" s="98"/>
      <c r="H61" s="98"/>
      <c r="I61" s="98"/>
      <c r="J61" s="98"/>
      <c r="K61" s="98"/>
      <c r="L61" s="1" t="str">
        <f aca="false">IF(56&gt;'🌱 Configuração'!$F$55,"",IF(F61="","—",IF(F61&lt;22,"⚠️ Temp baixa",IF(F61&gt;29,"⚠️ Temp ALTA",IF(H61="","✅ OK",IF(H61&lt;5.5,"⚠️ pH baixo",IF(H61&gt;6.9,"⚠️ pH alto",IF(I61&gt;2.5,"⚠️ CE alta","✅ OK"))))))))</f>
        <v>—</v>
      </c>
    </row>
    <row r="62" customFormat="false" ht="18" hidden="false" customHeight="true" outlineLevel="0" collapsed="false">
      <c r="B62" s="96" t="n">
        <f aca="false">IF(57&lt;='🌱 Configuração'!$F$55,57,"")</f>
        <v>57</v>
      </c>
      <c r="C62" s="97" t="n">
        <f aca="false">IF(57&lt;='🌱 Configuração'!$F$55,'🌱 Configuração'!$B$56+56,"")</f>
        <v>56</v>
      </c>
      <c r="D62" s="96" t="str">
        <f aca="false">IF(57&gt;'🌱 Configuração'!$F$55,"",IF('🌱 Configuração'!$B$56+56&lt;'🌱 Configuração'!$C$56,"🌱 Clone",IF('🌱 Configuração'!$B$56+56&lt;'🌱 Configuração'!$D$56,"🌿 Vega",IF('🌱 Configuração'!$B$56+56&lt;'🌱 Configuração'!$E$56,"🌸 Flora","🚿 Flush"))))</f>
        <v>🌸 Flora</v>
      </c>
      <c r="E62" s="96"/>
      <c r="F62" s="96"/>
      <c r="G62" s="96"/>
      <c r="H62" s="96"/>
      <c r="I62" s="96"/>
      <c r="J62" s="96"/>
      <c r="K62" s="96"/>
      <c r="L62" s="1" t="str">
        <f aca="false">IF(57&gt;'🌱 Configuração'!$F$55,"",IF(F62="","—",IF(F62&lt;22,"⚠️ Temp baixa",IF(F62&gt;29,"⚠️ Temp ALTA",IF(H62="","✅ OK",IF(H62&lt;5.5,"⚠️ pH baixo",IF(H62&gt;6.9,"⚠️ pH alto",IF(I62&gt;2.5,"⚠️ CE alta","✅ OK"))))))))</f>
        <v>—</v>
      </c>
    </row>
    <row r="63" customFormat="false" ht="18" hidden="false" customHeight="true" outlineLevel="0" collapsed="false">
      <c r="B63" s="98" t="n">
        <f aca="false">IF(58&lt;='🌱 Configuração'!$F$55,58,"")</f>
        <v>58</v>
      </c>
      <c r="C63" s="99" t="n">
        <f aca="false">IF(58&lt;='🌱 Configuração'!$F$55,'🌱 Configuração'!$B$56+57,"")</f>
        <v>57</v>
      </c>
      <c r="D63" s="98" t="str">
        <f aca="false">IF(58&gt;'🌱 Configuração'!$F$55,"",IF('🌱 Configuração'!$B$56+57&lt;'🌱 Configuração'!$C$56,"🌱 Clone",IF('🌱 Configuração'!$B$56+57&lt;'🌱 Configuração'!$D$56,"🌿 Vega",IF('🌱 Configuração'!$B$56+57&lt;'🌱 Configuração'!$E$56,"🌸 Flora","🚿 Flush"))))</f>
        <v>🌸 Flora</v>
      </c>
      <c r="E63" s="98"/>
      <c r="F63" s="98"/>
      <c r="G63" s="98"/>
      <c r="H63" s="98"/>
      <c r="I63" s="98"/>
      <c r="J63" s="98"/>
      <c r="K63" s="98"/>
      <c r="L63" s="1" t="str">
        <f aca="false">IF(58&gt;'🌱 Configuração'!$F$55,"",IF(F63="","—",IF(F63&lt;22,"⚠️ Temp baixa",IF(F63&gt;29,"⚠️ Temp ALTA",IF(H63="","✅ OK",IF(H63&lt;5.5,"⚠️ pH baixo",IF(H63&gt;6.9,"⚠️ pH alto",IF(I63&gt;2.5,"⚠️ CE alta","✅ OK"))))))))</f>
        <v>—</v>
      </c>
    </row>
    <row r="64" customFormat="false" ht="18" hidden="false" customHeight="true" outlineLevel="0" collapsed="false">
      <c r="B64" s="96" t="n">
        <f aca="false">IF(59&lt;='🌱 Configuração'!$F$55,59,"")</f>
        <v>59</v>
      </c>
      <c r="C64" s="97" t="n">
        <f aca="false">IF(59&lt;='🌱 Configuração'!$F$55,'🌱 Configuração'!$B$56+58,"")</f>
        <v>58</v>
      </c>
      <c r="D64" s="96" t="str">
        <f aca="false">IF(59&gt;'🌱 Configuração'!$F$55,"",IF('🌱 Configuração'!$B$56+58&lt;'🌱 Configuração'!$C$56,"🌱 Clone",IF('🌱 Configuração'!$B$56+58&lt;'🌱 Configuração'!$D$56,"🌿 Vega",IF('🌱 Configuração'!$B$56+58&lt;'🌱 Configuração'!$E$56,"🌸 Flora","🚿 Flush"))))</f>
        <v>🌸 Flora</v>
      </c>
      <c r="E64" s="96"/>
      <c r="F64" s="96"/>
      <c r="G64" s="96"/>
      <c r="H64" s="96"/>
      <c r="I64" s="96"/>
      <c r="J64" s="96"/>
      <c r="K64" s="96"/>
      <c r="L64" s="1" t="str">
        <f aca="false">IF(59&gt;'🌱 Configuração'!$F$55,"",IF(F64="","—",IF(F64&lt;22,"⚠️ Temp baixa",IF(F64&gt;29,"⚠️ Temp ALTA",IF(H64="","✅ OK",IF(H64&lt;5.5,"⚠️ pH baixo",IF(H64&gt;6.9,"⚠️ pH alto",IF(I64&gt;2.5,"⚠️ CE alta","✅ OK"))))))))</f>
        <v>—</v>
      </c>
    </row>
    <row r="65" customFormat="false" ht="18" hidden="false" customHeight="true" outlineLevel="0" collapsed="false">
      <c r="B65" s="98" t="n">
        <f aca="false">IF(60&lt;='🌱 Configuração'!$F$55,60,"")</f>
        <v>60</v>
      </c>
      <c r="C65" s="99" t="n">
        <f aca="false">IF(60&lt;='🌱 Configuração'!$F$55,'🌱 Configuração'!$B$56+59,"")</f>
        <v>59</v>
      </c>
      <c r="D65" s="98" t="str">
        <f aca="false">IF(60&gt;'🌱 Configuração'!$F$55,"",IF('🌱 Configuração'!$B$56+59&lt;'🌱 Configuração'!$C$56,"🌱 Clone",IF('🌱 Configuração'!$B$56+59&lt;'🌱 Configuração'!$D$56,"🌿 Vega",IF('🌱 Configuração'!$B$56+59&lt;'🌱 Configuração'!$E$56,"🌸 Flora","🚿 Flush"))))</f>
        <v>🌸 Flora</v>
      </c>
      <c r="E65" s="98"/>
      <c r="F65" s="98"/>
      <c r="G65" s="98"/>
      <c r="H65" s="98"/>
      <c r="I65" s="98"/>
      <c r="J65" s="98"/>
      <c r="K65" s="98"/>
      <c r="L65" s="1" t="str">
        <f aca="false">IF(60&gt;'🌱 Configuração'!$F$55,"",IF(F65="","—",IF(F65&lt;22,"⚠️ Temp baixa",IF(F65&gt;29,"⚠️ Temp ALTA",IF(H65="","✅ OK",IF(H65&lt;5.5,"⚠️ pH baixo",IF(H65&gt;6.9,"⚠️ pH alto",IF(I65&gt;2.5,"⚠️ CE alta","✅ OK"))))))))</f>
        <v>—</v>
      </c>
    </row>
    <row r="66" customFormat="false" ht="18" hidden="false" customHeight="true" outlineLevel="0" collapsed="false">
      <c r="B66" s="96" t="n">
        <f aca="false">IF(61&lt;='🌱 Configuração'!$F$55,61,"")</f>
        <v>61</v>
      </c>
      <c r="C66" s="97" t="n">
        <f aca="false">IF(61&lt;='🌱 Configuração'!$F$55,'🌱 Configuração'!$B$56+60,"")</f>
        <v>60</v>
      </c>
      <c r="D66" s="96" t="str">
        <f aca="false">IF(61&gt;'🌱 Configuração'!$F$55,"",IF('🌱 Configuração'!$B$56+60&lt;'🌱 Configuração'!$C$56,"🌱 Clone",IF('🌱 Configuração'!$B$56+60&lt;'🌱 Configuração'!$D$56,"🌿 Vega",IF('🌱 Configuração'!$B$56+60&lt;'🌱 Configuração'!$E$56,"🌸 Flora","🚿 Flush"))))</f>
        <v>🌸 Flora</v>
      </c>
      <c r="E66" s="96"/>
      <c r="F66" s="96"/>
      <c r="G66" s="96"/>
      <c r="H66" s="96"/>
      <c r="I66" s="96"/>
      <c r="J66" s="96"/>
      <c r="K66" s="96"/>
      <c r="L66" s="1" t="str">
        <f aca="false">IF(61&gt;'🌱 Configuração'!$F$55,"",IF(F66="","—",IF(F66&lt;22,"⚠️ Temp baixa",IF(F66&gt;29,"⚠️ Temp ALTA",IF(H66="","✅ OK",IF(H66&lt;5.5,"⚠️ pH baixo",IF(H66&gt;6.9,"⚠️ pH alto",IF(I66&gt;2.5,"⚠️ CE alta","✅ OK"))))))))</f>
        <v>—</v>
      </c>
    </row>
    <row r="67" customFormat="false" ht="18" hidden="false" customHeight="true" outlineLevel="0" collapsed="false">
      <c r="B67" s="98" t="n">
        <f aca="false">IF(62&lt;='🌱 Configuração'!$F$55,62,"")</f>
        <v>62</v>
      </c>
      <c r="C67" s="99" t="n">
        <f aca="false">IF(62&lt;='🌱 Configuração'!$F$55,'🌱 Configuração'!$B$56+61,"")</f>
        <v>61</v>
      </c>
      <c r="D67" s="98" t="str">
        <f aca="false">IF(62&gt;'🌱 Configuração'!$F$55,"",IF('🌱 Configuração'!$B$56+61&lt;'🌱 Configuração'!$C$56,"🌱 Clone",IF('🌱 Configuração'!$B$56+61&lt;'🌱 Configuração'!$D$56,"🌿 Vega",IF('🌱 Configuração'!$B$56+61&lt;'🌱 Configuração'!$E$56,"🌸 Flora","🚿 Flush"))))</f>
        <v>🌸 Flora</v>
      </c>
      <c r="E67" s="98"/>
      <c r="F67" s="98"/>
      <c r="G67" s="98"/>
      <c r="H67" s="98"/>
      <c r="I67" s="98"/>
      <c r="J67" s="98"/>
      <c r="K67" s="98"/>
      <c r="L67" s="1" t="str">
        <f aca="false">IF(62&gt;'🌱 Configuração'!$F$55,"",IF(F67="","—",IF(F67&lt;22,"⚠️ Temp baixa",IF(F67&gt;29,"⚠️ Temp ALTA",IF(H67="","✅ OK",IF(H67&lt;5.5,"⚠️ pH baixo",IF(H67&gt;6.9,"⚠️ pH alto",IF(I67&gt;2.5,"⚠️ CE alta","✅ OK"))))))))</f>
        <v>—</v>
      </c>
    </row>
    <row r="68" customFormat="false" ht="18" hidden="false" customHeight="true" outlineLevel="0" collapsed="false">
      <c r="B68" s="96" t="n">
        <f aca="false">IF(63&lt;='🌱 Configuração'!$F$55,63,"")</f>
        <v>63</v>
      </c>
      <c r="C68" s="97" t="n">
        <f aca="false">IF(63&lt;='🌱 Configuração'!$F$55,'🌱 Configuração'!$B$56+62,"")</f>
        <v>62</v>
      </c>
      <c r="D68" s="96" t="str">
        <f aca="false">IF(63&gt;'🌱 Configuração'!$F$55,"",IF('🌱 Configuração'!$B$56+62&lt;'🌱 Configuração'!$C$56,"🌱 Clone",IF('🌱 Configuração'!$B$56+62&lt;'🌱 Configuração'!$D$56,"🌿 Vega",IF('🌱 Configuração'!$B$56+62&lt;'🌱 Configuração'!$E$56,"🌸 Flora","🚿 Flush"))))</f>
        <v>🌸 Flora</v>
      </c>
      <c r="E68" s="96"/>
      <c r="F68" s="96"/>
      <c r="G68" s="96"/>
      <c r="H68" s="96"/>
      <c r="I68" s="96"/>
      <c r="J68" s="96"/>
      <c r="K68" s="96"/>
      <c r="L68" s="1" t="str">
        <f aca="false">IF(63&gt;'🌱 Configuração'!$F$55,"",IF(F68="","—",IF(F68&lt;22,"⚠️ Temp baixa",IF(F68&gt;29,"⚠️ Temp ALTA",IF(H68="","✅ OK",IF(H68&lt;5.5,"⚠️ pH baixo",IF(H68&gt;6.9,"⚠️ pH alto",IF(I68&gt;2.5,"⚠️ CE alta","✅ OK"))))))))</f>
        <v>—</v>
      </c>
    </row>
    <row r="69" customFormat="false" ht="18" hidden="false" customHeight="true" outlineLevel="0" collapsed="false">
      <c r="B69" s="98" t="n">
        <f aca="false">IF(64&lt;='🌱 Configuração'!$F$55,64,"")</f>
        <v>64</v>
      </c>
      <c r="C69" s="99" t="n">
        <f aca="false">IF(64&lt;='🌱 Configuração'!$F$55,'🌱 Configuração'!$B$56+63,"")</f>
        <v>63</v>
      </c>
      <c r="D69" s="98" t="str">
        <f aca="false">IF(64&gt;'🌱 Configuração'!$F$55,"",IF('🌱 Configuração'!$B$56+63&lt;'🌱 Configuração'!$C$56,"🌱 Clone",IF('🌱 Configuração'!$B$56+63&lt;'🌱 Configuração'!$D$56,"🌿 Vega",IF('🌱 Configuração'!$B$56+63&lt;'🌱 Configuração'!$E$56,"🌸 Flora","🚿 Flush"))))</f>
        <v>🌸 Flora</v>
      </c>
      <c r="E69" s="98"/>
      <c r="F69" s="98"/>
      <c r="G69" s="98"/>
      <c r="H69" s="98"/>
      <c r="I69" s="98"/>
      <c r="J69" s="98"/>
      <c r="K69" s="98"/>
      <c r="L69" s="1" t="str">
        <f aca="false">IF(64&gt;'🌱 Configuração'!$F$55,"",IF(F69="","—",IF(F69&lt;22,"⚠️ Temp baixa",IF(F69&gt;29,"⚠️ Temp ALTA",IF(H69="","✅ OK",IF(H69&lt;5.5,"⚠️ pH baixo",IF(H69&gt;6.9,"⚠️ pH alto",IF(I69&gt;2.5,"⚠️ CE alta","✅ OK"))))))))</f>
        <v>—</v>
      </c>
    </row>
    <row r="70" customFormat="false" ht="18" hidden="false" customHeight="true" outlineLevel="0" collapsed="false">
      <c r="B70" s="96" t="n">
        <f aca="false">IF(65&lt;='🌱 Configuração'!$F$55,65,"")</f>
        <v>65</v>
      </c>
      <c r="C70" s="97" t="n">
        <f aca="false">IF(65&lt;='🌱 Configuração'!$F$55,'🌱 Configuração'!$B$56+64,"")</f>
        <v>64</v>
      </c>
      <c r="D70" s="96" t="str">
        <f aca="false">IF(65&gt;'🌱 Configuração'!$F$55,"",IF('🌱 Configuração'!$B$56+64&lt;'🌱 Configuração'!$C$56,"🌱 Clone",IF('🌱 Configuração'!$B$56+64&lt;'🌱 Configuração'!$D$56,"🌿 Vega",IF('🌱 Configuração'!$B$56+64&lt;'🌱 Configuração'!$E$56,"🌸 Flora","🚿 Flush"))))</f>
        <v>🌸 Flora</v>
      </c>
      <c r="E70" s="96"/>
      <c r="F70" s="96"/>
      <c r="G70" s="96"/>
      <c r="H70" s="96"/>
      <c r="I70" s="96"/>
      <c r="J70" s="96"/>
      <c r="K70" s="96"/>
      <c r="L70" s="1" t="str">
        <f aca="false">IF(65&gt;'🌱 Configuração'!$F$55,"",IF(F70="","—",IF(F70&lt;22,"⚠️ Temp baixa",IF(F70&gt;29,"⚠️ Temp ALTA",IF(H70="","✅ OK",IF(H70&lt;5.5,"⚠️ pH baixo",IF(H70&gt;6.9,"⚠️ pH alto",IF(I70&gt;2.5,"⚠️ CE alta","✅ OK"))))))))</f>
        <v>—</v>
      </c>
    </row>
    <row r="71" customFormat="false" ht="18" hidden="false" customHeight="true" outlineLevel="0" collapsed="false">
      <c r="B71" s="98" t="n">
        <f aca="false">IF(66&lt;='🌱 Configuração'!$F$55,66,"")</f>
        <v>66</v>
      </c>
      <c r="C71" s="99" t="n">
        <f aca="false">IF(66&lt;='🌱 Configuração'!$F$55,'🌱 Configuração'!$B$56+65,"")</f>
        <v>65</v>
      </c>
      <c r="D71" s="98" t="str">
        <f aca="false">IF(66&gt;'🌱 Configuração'!$F$55,"",IF('🌱 Configuração'!$B$56+65&lt;'🌱 Configuração'!$C$56,"🌱 Clone",IF('🌱 Configuração'!$B$56+65&lt;'🌱 Configuração'!$D$56,"🌿 Vega",IF('🌱 Configuração'!$B$56+65&lt;'🌱 Configuração'!$E$56,"🌸 Flora","🚿 Flush"))))</f>
        <v>🌸 Flora</v>
      </c>
      <c r="E71" s="98"/>
      <c r="F71" s="98"/>
      <c r="G71" s="98"/>
      <c r="H71" s="98"/>
      <c r="I71" s="98"/>
      <c r="J71" s="98"/>
      <c r="K71" s="98"/>
      <c r="L71" s="1" t="str">
        <f aca="false">IF(66&gt;'🌱 Configuração'!$F$55,"",IF(F71="","—",IF(F71&lt;22,"⚠️ Temp baixa",IF(F71&gt;29,"⚠️ Temp ALTA",IF(H71="","✅ OK",IF(H71&lt;5.5,"⚠️ pH baixo",IF(H71&gt;6.9,"⚠️ pH alto",IF(I71&gt;2.5,"⚠️ CE alta","✅ OK"))))))))</f>
        <v>—</v>
      </c>
    </row>
    <row r="72" customFormat="false" ht="18" hidden="false" customHeight="true" outlineLevel="0" collapsed="false">
      <c r="B72" s="96" t="n">
        <f aca="false">IF(67&lt;='🌱 Configuração'!$F$55,67,"")</f>
        <v>67</v>
      </c>
      <c r="C72" s="97" t="n">
        <f aca="false">IF(67&lt;='🌱 Configuração'!$F$55,'🌱 Configuração'!$B$56+66,"")</f>
        <v>66</v>
      </c>
      <c r="D72" s="96" t="str">
        <f aca="false">IF(67&gt;'🌱 Configuração'!$F$55,"",IF('🌱 Configuração'!$B$56+66&lt;'🌱 Configuração'!$C$56,"🌱 Clone",IF('🌱 Configuração'!$B$56+66&lt;'🌱 Configuração'!$D$56,"🌿 Vega",IF('🌱 Configuração'!$B$56+66&lt;'🌱 Configuração'!$E$56,"🌸 Flora","🚿 Flush"))))</f>
        <v>🌸 Flora</v>
      </c>
      <c r="E72" s="96"/>
      <c r="F72" s="96"/>
      <c r="G72" s="96"/>
      <c r="H72" s="96"/>
      <c r="I72" s="96"/>
      <c r="J72" s="96"/>
      <c r="K72" s="96"/>
      <c r="L72" s="1" t="str">
        <f aca="false">IF(67&gt;'🌱 Configuração'!$F$55,"",IF(F72="","—",IF(F72&lt;22,"⚠️ Temp baixa",IF(F72&gt;29,"⚠️ Temp ALTA",IF(H72="","✅ OK",IF(H72&lt;5.5,"⚠️ pH baixo",IF(H72&gt;6.9,"⚠️ pH alto",IF(I72&gt;2.5,"⚠️ CE alta","✅ OK"))))))))</f>
        <v>—</v>
      </c>
    </row>
    <row r="73" customFormat="false" ht="18" hidden="false" customHeight="true" outlineLevel="0" collapsed="false">
      <c r="B73" s="98" t="n">
        <f aca="false">IF(68&lt;='🌱 Configuração'!$F$55,68,"")</f>
        <v>68</v>
      </c>
      <c r="C73" s="99" t="n">
        <f aca="false">IF(68&lt;='🌱 Configuração'!$F$55,'🌱 Configuração'!$B$56+67,"")</f>
        <v>67</v>
      </c>
      <c r="D73" s="98" t="str">
        <f aca="false">IF(68&gt;'🌱 Configuração'!$F$55,"",IF('🌱 Configuração'!$B$56+67&lt;'🌱 Configuração'!$C$56,"🌱 Clone",IF('🌱 Configuração'!$B$56+67&lt;'🌱 Configuração'!$D$56,"🌿 Vega",IF('🌱 Configuração'!$B$56+67&lt;'🌱 Configuração'!$E$56,"🌸 Flora","🚿 Flush"))))</f>
        <v>🌸 Flora</v>
      </c>
      <c r="E73" s="98"/>
      <c r="F73" s="98"/>
      <c r="G73" s="98"/>
      <c r="H73" s="98"/>
      <c r="I73" s="98"/>
      <c r="J73" s="98"/>
      <c r="K73" s="98"/>
      <c r="L73" s="1" t="str">
        <f aca="false">IF(68&gt;'🌱 Configuração'!$F$55,"",IF(F73="","—",IF(F73&lt;22,"⚠️ Temp baixa",IF(F73&gt;29,"⚠️ Temp ALTA",IF(H73="","✅ OK",IF(H73&lt;5.5,"⚠️ pH baixo",IF(H73&gt;6.9,"⚠️ pH alto",IF(I73&gt;2.5,"⚠️ CE alta","✅ OK"))))))))</f>
        <v>—</v>
      </c>
    </row>
    <row r="74" customFormat="false" ht="18" hidden="false" customHeight="true" outlineLevel="0" collapsed="false">
      <c r="B74" s="96" t="n">
        <f aca="false">IF(69&lt;='🌱 Configuração'!$F$55,69,"")</f>
        <v>69</v>
      </c>
      <c r="C74" s="97" t="n">
        <f aca="false">IF(69&lt;='🌱 Configuração'!$F$55,'🌱 Configuração'!$B$56+68,"")</f>
        <v>68</v>
      </c>
      <c r="D74" s="96" t="str">
        <f aca="false">IF(69&gt;'🌱 Configuração'!$F$55,"",IF('🌱 Configuração'!$B$56+68&lt;'🌱 Configuração'!$C$56,"🌱 Clone",IF('🌱 Configuração'!$B$56+68&lt;'🌱 Configuração'!$D$56,"🌿 Vega",IF('🌱 Configuração'!$B$56+68&lt;'🌱 Configuração'!$E$56,"🌸 Flora","🚿 Flush"))))</f>
        <v>🌸 Flora</v>
      </c>
      <c r="E74" s="96"/>
      <c r="F74" s="96"/>
      <c r="G74" s="96"/>
      <c r="H74" s="96"/>
      <c r="I74" s="96"/>
      <c r="J74" s="96"/>
      <c r="K74" s="96"/>
      <c r="L74" s="1" t="str">
        <f aca="false">IF(69&gt;'🌱 Configuração'!$F$55,"",IF(F74="","—",IF(F74&lt;22,"⚠️ Temp baixa",IF(F74&gt;29,"⚠️ Temp ALTA",IF(H74="","✅ OK",IF(H74&lt;5.5,"⚠️ pH baixo",IF(H74&gt;6.9,"⚠️ pH alto",IF(I74&gt;2.5,"⚠️ CE alta","✅ OK"))))))))</f>
        <v>—</v>
      </c>
    </row>
    <row r="75" customFormat="false" ht="18" hidden="false" customHeight="true" outlineLevel="0" collapsed="false">
      <c r="B75" s="98" t="n">
        <f aca="false">IF(70&lt;='🌱 Configuração'!$F$55,70,"")</f>
        <v>70</v>
      </c>
      <c r="C75" s="99" t="n">
        <f aca="false">IF(70&lt;='🌱 Configuração'!$F$55,'🌱 Configuração'!$B$56+69,"")</f>
        <v>69</v>
      </c>
      <c r="D75" s="98" t="str">
        <f aca="false">IF(70&gt;'🌱 Configuração'!$F$55,"",IF('🌱 Configuração'!$B$56+69&lt;'🌱 Configuração'!$C$56,"🌱 Clone",IF('🌱 Configuração'!$B$56+69&lt;'🌱 Configuração'!$D$56,"🌿 Vega",IF('🌱 Configuração'!$B$56+69&lt;'🌱 Configuração'!$E$56,"🌸 Flora","🚿 Flush"))))</f>
        <v>🌸 Flora</v>
      </c>
      <c r="E75" s="98"/>
      <c r="F75" s="98"/>
      <c r="G75" s="98"/>
      <c r="H75" s="98"/>
      <c r="I75" s="98"/>
      <c r="J75" s="98"/>
      <c r="K75" s="98"/>
      <c r="L75" s="1" t="str">
        <f aca="false">IF(70&gt;'🌱 Configuração'!$F$55,"",IF(F75="","—",IF(F75&lt;22,"⚠️ Temp baixa",IF(F75&gt;29,"⚠️ Temp ALTA",IF(H75="","✅ OK",IF(H75&lt;5.5,"⚠️ pH baixo",IF(H75&gt;6.9,"⚠️ pH alto",IF(I75&gt;2.5,"⚠️ CE alta","✅ OK"))))))))</f>
        <v>—</v>
      </c>
    </row>
    <row r="76" customFormat="false" ht="18" hidden="false" customHeight="true" outlineLevel="0" collapsed="false">
      <c r="B76" s="96" t="n">
        <f aca="false">IF(71&lt;='🌱 Configuração'!$F$55,71,"")</f>
        <v>71</v>
      </c>
      <c r="C76" s="97" t="n">
        <f aca="false">IF(71&lt;='🌱 Configuração'!$F$55,'🌱 Configuração'!$B$56+70,"")</f>
        <v>70</v>
      </c>
      <c r="D76" s="96" t="str">
        <f aca="false">IF(71&gt;'🌱 Configuração'!$F$55,"",IF('🌱 Configuração'!$B$56+70&lt;'🌱 Configuração'!$C$56,"🌱 Clone",IF('🌱 Configuração'!$B$56+70&lt;'🌱 Configuração'!$D$56,"🌿 Vega",IF('🌱 Configuração'!$B$56+70&lt;'🌱 Configuração'!$E$56,"🌸 Flora","🚿 Flush"))))</f>
        <v>🌸 Flora</v>
      </c>
      <c r="E76" s="96"/>
      <c r="F76" s="96"/>
      <c r="G76" s="96"/>
      <c r="H76" s="96"/>
      <c r="I76" s="96"/>
      <c r="J76" s="96"/>
      <c r="K76" s="96"/>
      <c r="L76" s="1" t="str">
        <f aca="false">IF(71&gt;'🌱 Configuração'!$F$55,"",IF(F76="","—",IF(F76&lt;22,"⚠️ Temp baixa",IF(F76&gt;29,"⚠️ Temp ALTA",IF(H76="","✅ OK",IF(H76&lt;5.5,"⚠️ pH baixo",IF(H76&gt;6.9,"⚠️ pH alto",IF(I76&gt;2.5,"⚠️ CE alta","✅ OK"))))))))</f>
        <v>—</v>
      </c>
    </row>
    <row r="77" customFormat="false" ht="18" hidden="false" customHeight="true" outlineLevel="0" collapsed="false">
      <c r="B77" s="98" t="n">
        <f aca="false">IF(72&lt;='🌱 Configuração'!$F$55,72,"")</f>
        <v>72</v>
      </c>
      <c r="C77" s="99" t="n">
        <f aca="false">IF(72&lt;='🌱 Configuração'!$F$55,'🌱 Configuração'!$B$56+71,"")</f>
        <v>71</v>
      </c>
      <c r="D77" s="98" t="str">
        <f aca="false">IF(72&gt;'🌱 Configuração'!$F$55,"",IF('🌱 Configuração'!$B$56+71&lt;'🌱 Configuração'!$C$56,"🌱 Clone",IF('🌱 Configuração'!$B$56+71&lt;'🌱 Configuração'!$D$56,"🌿 Vega",IF('🌱 Configuração'!$B$56+71&lt;'🌱 Configuração'!$E$56,"🌸 Flora","🚿 Flush"))))</f>
        <v>🌸 Flora</v>
      </c>
      <c r="E77" s="98"/>
      <c r="F77" s="98"/>
      <c r="G77" s="98"/>
      <c r="H77" s="98"/>
      <c r="I77" s="98"/>
      <c r="J77" s="98"/>
      <c r="K77" s="98"/>
      <c r="L77" s="1" t="str">
        <f aca="false">IF(72&gt;'🌱 Configuração'!$F$55,"",IF(F77="","—",IF(F77&lt;22,"⚠️ Temp baixa",IF(F77&gt;29,"⚠️ Temp ALTA",IF(H77="","✅ OK",IF(H77&lt;5.5,"⚠️ pH baixo",IF(H77&gt;6.9,"⚠️ pH alto",IF(I77&gt;2.5,"⚠️ CE alta","✅ OK"))))))))</f>
        <v>—</v>
      </c>
    </row>
    <row r="78" customFormat="false" ht="18" hidden="false" customHeight="true" outlineLevel="0" collapsed="false">
      <c r="B78" s="96" t="n">
        <f aca="false">IF(73&lt;='🌱 Configuração'!$F$55,73,"")</f>
        <v>73</v>
      </c>
      <c r="C78" s="97" t="n">
        <f aca="false">IF(73&lt;='🌱 Configuração'!$F$55,'🌱 Configuração'!$B$56+72,"")</f>
        <v>72</v>
      </c>
      <c r="D78" s="96" t="str">
        <f aca="false">IF(73&gt;'🌱 Configuração'!$F$55,"",IF('🌱 Configuração'!$B$56+72&lt;'🌱 Configuração'!$C$56,"🌱 Clone",IF('🌱 Configuração'!$B$56+72&lt;'🌱 Configuração'!$D$56,"🌿 Vega",IF('🌱 Configuração'!$B$56+72&lt;'🌱 Configuração'!$E$56,"🌸 Flora","🚿 Flush"))))</f>
        <v>🌸 Flora</v>
      </c>
      <c r="E78" s="96"/>
      <c r="F78" s="96"/>
      <c r="G78" s="96"/>
      <c r="H78" s="96"/>
      <c r="I78" s="96"/>
      <c r="J78" s="96"/>
      <c r="K78" s="96"/>
      <c r="L78" s="1" t="str">
        <f aca="false">IF(73&gt;'🌱 Configuração'!$F$55,"",IF(F78="","—",IF(F78&lt;22,"⚠️ Temp baixa",IF(F78&gt;29,"⚠️ Temp ALTA",IF(H78="","✅ OK",IF(H78&lt;5.5,"⚠️ pH baixo",IF(H78&gt;6.9,"⚠️ pH alto",IF(I78&gt;2.5,"⚠️ CE alta","✅ OK"))))))))</f>
        <v>—</v>
      </c>
    </row>
    <row r="79" customFormat="false" ht="18" hidden="false" customHeight="true" outlineLevel="0" collapsed="false">
      <c r="B79" s="98" t="n">
        <f aca="false">IF(74&lt;='🌱 Configuração'!$F$55,74,"")</f>
        <v>74</v>
      </c>
      <c r="C79" s="99" t="n">
        <f aca="false">IF(74&lt;='🌱 Configuração'!$F$55,'🌱 Configuração'!$B$56+73,"")</f>
        <v>73</v>
      </c>
      <c r="D79" s="98" t="str">
        <f aca="false">IF(74&gt;'🌱 Configuração'!$F$55,"",IF('🌱 Configuração'!$B$56+73&lt;'🌱 Configuração'!$C$56,"🌱 Clone",IF('🌱 Configuração'!$B$56+73&lt;'🌱 Configuração'!$D$56,"🌿 Vega",IF('🌱 Configuração'!$B$56+73&lt;'🌱 Configuração'!$E$56,"🌸 Flora","🚿 Flush"))))</f>
        <v>🌸 Flora</v>
      </c>
      <c r="E79" s="98"/>
      <c r="F79" s="98"/>
      <c r="G79" s="98"/>
      <c r="H79" s="98"/>
      <c r="I79" s="98"/>
      <c r="J79" s="98"/>
      <c r="K79" s="98"/>
      <c r="L79" s="1" t="str">
        <f aca="false">IF(74&gt;'🌱 Configuração'!$F$55,"",IF(F79="","—",IF(F79&lt;22,"⚠️ Temp baixa",IF(F79&gt;29,"⚠️ Temp ALTA",IF(H79="","✅ OK",IF(H79&lt;5.5,"⚠️ pH baixo",IF(H79&gt;6.9,"⚠️ pH alto",IF(I79&gt;2.5,"⚠️ CE alta","✅ OK"))))))))</f>
        <v>—</v>
      </c>
    </row>
    <row r="80" customFormat="false" ht="18" hidden="false" customHeight="true" outlineLevel="0" collapsed="false">
      <c r="B80" s="96" t="n">
        <f aca="false">IF(75&lt;='🌱 Configuração'!$F$55,75,"")</f>
        <v>75</v>
      </c>
      <c r="C80" s="97" t="n">
        <f aca="false">IF(75&lt;='🌱 Configuração'!$F$55,'🌱 Configuração'!$B$56+74,"")</f>
        <v>74</v>
      </c>
      <c r="D80" s="96" t="str">
        <f aca="false">IF(75&gt;'🌱 Configuração'!$F$55,"",IF('🌱 Configuração'!$B$56+74&lt;'🌱 Configuração'!$C$56,"🌱 Clone",IF('🌱 Configuração'!$B$56+74&lt;'🌱 Configuração'!$D$56,"🌿 Vega",IF('🌱 Configuração'!$B$56+74&lt;'🌱 Configuração'!$E$56,"🌸 Flora","🚿 Flush"))))</f>
        <v>🌸 Flora</v>
      </c>
      <c r="E80" s="96"/>
      <c r="F80" s="96"/>
      <c r="G80" s="96"/>
      <c r="H80" s="96"/>
      <c r="I80" s="96"/>
      <c r="J80" s="96"/>
      <c r="K80" s="96"/>
      <c r="L80" s="1" t="str">
        <f aca="false">IF(75&gt;'🌱 Configuração'!$F$55,"",IF(F80="","—",IF(F80&lt;22,"⚠️ Temp baixa",IF(F80&gt;29,"⚠️ Temp ALTA",IF(H80="","✅ OK",IF(H80&lt;5.5,"⚠️ pH baixo",IF(H80&gt;6.9,"⚠️ pH alto",IF(I80&gt;2.5,"⚠️ CE alta","✅ OK"))))))))</f>
        <v>—</v>
      </c>
    </row>
    <row r="81" customFormat="false" ht="18" hidden="false" customHeight="true" outlineLevel="0" collapsed="false">
      <c r="B81" s="98" t="n">
        <f aca="false">IF(76&lt;='🌱 Configuração'!$F$55,76,"")</f>
        <v>76</v>
      </c>
      <c r="C81" s="99" t="n">
        <f aca="false">IF(76&lt;='🌱 Configuração'!$F$55,'🌱 Configuração'!$B$56+75,"")</f>
        <v>75</v>
      </c>
      <c r="D81" s="98" t="str">
        <f aca="false">IF(76&gt;'🌱 Configuração'!$F$55,"",IF('🌱 Configuração'!$B$56+75&lt;'🌱 Configuração'!$C$56,"🌱 Clone",IF('🌱 Configuração'!$B$56+75&lt;'🌱 Configuração'!$D$56,"🌿 Vega",IF('🌱 Configuração'!$B$56+75&lt;'🌱 Configuração'!$E$56,"🌸 Flora","🚿 Flush"))))</f>
        <v>🌸 Flora</v>
      </c>
      <c r="E81" s="98"/>
      <c r="F81" s="98"/>
      <c r="G81" s="98"/>
      <c r="H81" s="98"/>
      <c r="I81" s="98"/>
      <c r="J81" s="98"/>
      <c r="K81" s="98"/>
      <c r="L81" s="1" t="str">
        <f aca="false">IF(76&gt;'🌱 Configuração'!$F$55,"",IF(F81="","—",IF(F81&lt;22,"⚠️ Temp baixa",IF(F81&gt;29,"⚠️ Temp ALTA",IF(H81="","✅ OK",IF(H81&lt;5.5,"⚠️ pH baixo",IF(H81&gt;6.9,"⚠️ pH alto",IF(I81&gt;2.5,"⚠️ CE alta","✅ OK"))))))))</f>
        <v>—</v>
      </c>
    </row>
    <row r="82" customFormat="false" ht="18" hidden="false" customHeight="true" outlineLevel="0" collapsed="false">
      <c r="B82" s="96" t="n">
        <f aca="false">IF(77&lt;='🌱 Configuração'!$F$55,77,"")</f>
        <v>77</v>
      </c>
      <c r="C82" s="97" t="n">
        <f aca="false">IF(77&lt;='🌱 Configuração'!$F$55,'🌱 Configuração'!$B$56+76,"")</f>
        <v>76</v>
      </c>
      <c r="D82" s="96" t="str">
        <f aca="false">IF(77&gt;'🌱 Configuração'!$F$55,"",IF('🌱 Configuração'!$B$56+76&lt;'🌱 Configuração'!$C$56,"🌱 Clone",IF('🌱 Configuração'!$B$56+76&lt;'🌱 Configuração'!$D$56,"🌿 Vega",IF('🌱 Configuração'!$B$56+76&lt;'🌱 Configuração'!$E$56,"🌸 Flora","🚿 Flush"))))</f>
        <v>🌸 Flora</v>
      </c>
      <c r="E82" s="96"/>
      <c r="F82" s="96"/>
      <c r="G82" s="96"/>
      <c r="H82" s="96"/>
      <c r="I82" s="96"/>
      <c r="J82" s="96"/>
      <c r="K82" s="96"/>
      <c r="L82" s="1" t="str">
        <f aca="false">IF(77&gt;'🌱 Configuração'!$F$55,"",IF(F82="","—",IF(F82&lt;22,"⚠️ Temp baixa",IF(F82&gt;29,"⚠️ Temp ALTA",IF(H82="","✅ OK",IF(H82&lt;5.5,"⚠️ pH baixo",IF(H82&gt;6.9,"⚠️ pH alto",IF(I82&gt;2.5,"⚠️ CE alta","✅ OK"))))))))</f>
        <v>—</v>
      </c>
    </row>
    <row r="83" customFormat="false" ht="18" hidden="false" customHeight="true" outlineLevel="0" collapsed="false">
      <c r="B83" s="98" t="n">
        <f aca="false">IF(78&lt;='🌱 Configuração'!$F$55,78,"")</f>
        <v>78</v>
      </c>
      <c r="C83" s="99" t="n">
        <f aca="false">IF(78&lt;='🌱 Configuração'!$F$55,'🌱 Configuração'!$B$56+77,"")</f>
        <v>77</v>
      </c>
      <c r="D83" s="98" t="str">
        <f aca="false">IF(78&gt;'🌱 Configuração'!$F$55,"",IF('🌱 Configuração'!$B$56+77&lt;'🌱 Configuração'!$C$56,"🌱 Clone",IF('🌱 Configuração'!$B$56+77&lt;'🌱 Configuração'!$D$56,"🌿 Vega",IF('🌱 Configuração'!$B$56+77&lt;'🌱 Configuração'!$E$56,"🌸 Flora","🚿 Flush"))))</f>
        <v>🌸 Flora</v>
      </c>
      <c r="E83" s="98"/>
      <c r="F83" s="98"/>
      <c r="G83" s="98"/>
      <c r="H83" s="98"/>
      <c r="I83" s="98"/>
      <c r="J83" s="98"/>
      <c r="K83" s="98"/>
      <c r="L83" s="1" t="str">
        <f aca="false">IF(78&gt;'🌱 Configuração'!$F$55,"",IF(F83="","—",IF(F83&lt;22,"⚠️ Temp baixa",IF(F83&gt;29,"⚠️ Temp ALTA",IF(H83="","✅ OK",IF(H83&lt;5.5,"⚠️ pH baixo",IF(H83&gt;6.9,"⚠️ pH alto",IF(I83&gt;2.5,"⚠️ CE alta","✅ OK"))))))))</f>
        <v>—</v>
      </c>
    </row>
    <row r="84" customFormat="false" ht="18" hidden="false" customHeight="true" outlineLevel="0" collapsed="false">
      <c r="B84" s="96" t="n">
        <f aca="false">IF(79&lt;='🌱 Configuração'!$F$55,79,"")</f>
        <v>79</v>
      </c>
      <c r="C84" s="97" t="n">
        <f aca="false">IF(79&lt;='🌱 Configuração'!$F$55,'🌱 Configuração'!$B$56+78,"")</f>
        <v>78</v>
      </c>
      <c r="D84" s="96" t="str">
        <f aca="false">IF(79&gt;'🌱 Configuração'!$F$55,"",IF('🌱 Configuração'!$B$56+78&lt;'🌱 Configuração'!$C$56,"🌱 Clone",IF('🌱 Configuração'!$B$56+78&lt;'🌱 Configuração'!$D$56,"🌿 Vega",IF('🌱 Configuração'!$B$56+78&lt;'🌱 Configuração'!$E$56,"🌸 Flora","🚿 Flush"))))</f>
        <v>🌸 Flora</v>
      </c>
      <c r="E84" s="96"/>
      <c r="F84" s="96"/>
      <c r="G84" s="96"/>
      <c r="H84" s="96"/>
      <c r="I84" s="96"/>
      <c r="J84" s="96"/>
      <c r="K84" s="96"/>
      <c r="L84" s="1" t="str">
        <f aca="false">IF(79&gt;'🌱 Configuração'!$F$55,"",IF(F84="","—",IF(F84&lt;22,"⚠️ Temp baixa",IF(F84&gt;29,"⚠️ Temp ALTA",IF(H84="","✅ OK",IF(H84&lt;5.5,"⚠️ pH baixo",IF(H84&gt;6.9,"⚠️ pH alto",IF(I84&gt;2.5,"⚠️ CE alta","✅ OK"))))))))</f>
        <v>—</v>
      </c>
    </row>
    <row r="85" customFormat="false" ht="18" hidden="false" customHeight="true" outlineLevel="0" collapsed="false">
      <c r="B85" s="98" t="n">
        <f aca="false">IF(80&lt;='🌱 Configuração'!$F$55,80,"")</f>
        <v>80</v>
      </c>
      <c r="C85" s="99" t="n">
        <f aca="false">IF(80&lt;='🌱 Configuração'!$F$55,'🌱 Configuração'!$B$56+79,"")</f>
        <v>79</v>
      </c>
      <c r="D85" s="98" t="str">
        <f aca="false">IF(80&gt;'🌱 Configuração'!$F$55,"",IF('🌱 Configuração'!$B$56+79&lt;'🌱 Configuração'!$C$56,"🌱 Clone",IF('🌱 Configuração'!$B$56+79&lt;'🌱 Configuração'!$D$56,"🌿 Vega",IF('🌱 Configuração'!$B$56+79&lt;'🌱 Configuração'!$E$56,"🌸 Flora","🚿 Flush"))))</f>
        <v>🌸 Flora</v>
      </c>
      <c r="E85" s="98"/>
      <c r="F85" s="98"/>
      <c r="G85" s="98"/>
      <c r="H85" s="98"/>
      <c r="I85" s="98"/>
      <c r="J85" s="98"/>
      <c r="K85" s="98"/>
      <c r="L85" s="1" t="str">
        <f aca="false">IF(80&gt;'🌱 Configuração'!$F$55,"",IF(F85="","—",IF(F85&lt;22,"⚠️ Temp baixa",IF(F85&gt;29,"⚠️ Temp ALTA",IF(H85="","✅ OK",IF(H85&lt;5.5,"⚠️ pH baixo",IF(H85&gt;6.9,"⚠️ pH alto",IF(I85&gt;2.5,"⚠️ CE alta","✅ OK"))))))))</f>
        <v>—</v>
      </c>
    </row>
    <row r="86" customFormat="false" ht="18" hidden="false" customHeight="true" outlineLevel="0" collapsed="false">
      <c r="B86" s="96" t="n">
        <f aca="false">IF(81&lt;='🌱 Configuração'!$F$55,81,"")</f>
        <v>81</v>
      </c>
      <c r="C86" s="97" t="n">
        <f aca="false">IF(81&lt;='🌱 Configuração'!$F$55,'🌱 Configuração'!$B$56+80,"")</f>
        <v>80</v>
      </c>
      <c r="D86" s="96" t="str">
        <f aca="false">IF(81&gt;'🌱 Configuração'!$F$55,"",IF('🌱 Configuração'!$B$56+80&lt;'🌱 Configuração'!$C$56,"🌱 Clone",IF('🌱 Configuração'!$B$56+80&lt;'🌱 Configuração'!$D$56,"🌿 Vega",IF('🌱 Configuração'!$B$56+80&lt;'🌱 Configuração'!$E$56,"🌸 Flora","🚿 Flush"))))</f>
        <v>🌸 Flora</v>
      </c>
      <c r="E86" s="96"/>
      <c r="F86" s="96"/>
      <c r="G86" s="96"/>
      <c r="H86" s="96"/>
      <c r="I86" s="96"/>
      <c r="J86" s="96"/>
      <c r="K86" s="96"/>
      <c r="L86" s="1" t="str">
        <f aca="false">IF(81&gt;'🌱 Configuração'!$F$55,"",IF(F86="","—",IF(F86&lt;22,"⚠️ Temp baixa",IF(F86&gt;29,"⚠️ Temp ALTA",IF(H86="","✅ OK",IF(H86&lt;5.5,"⚠️ pH baixo",IF(H86&gt;6.9,"⚠️ pH alto",IF(I86&gt;2.5,"⚠️ CE alta","✅ OK"))))))))</f>
        <v>—</v>
      </c>
    </row>
    <row r="87" customFormat="false" ht="18" hidden="false" customHeight="true" outlineLevel="0" collapsed="false">
      <c r="B87" s="98" t="n">
        <f aca="false">IF(82&lt;='🌱 Configuração'!$F$55,82,"")</f>
        <v>82</v>
      </c>
      <c r="C87" s="99" t="n">
        <f aca="false">IF(82&lt;='🌱 Configuração'!$F$55,'🌱 Configuração'!$B$56+81,"")</f>
        <v>81</v>
      </c>
      <c r="D87" s="98" t="str">
        <f aca="false">IF(82&gt;'🌱 Configuração'!$F$55,"",IF('🌱 Configuração'!$B$56+81&lt;'🌱 Configuração'!$C$56,"🌱 Clone",IF('🌱 Configuração'!$B$56+81&lt;'🌱 Configuração'!$D$56,"🌿 Vega",IF('🌱 Configuração'!$B$56+81&lt;'🌱 Configuração'!$E$56,"🌸 Flora","🚿 Flush"))))</f>
        <v>🌸 Flora</v>
      </c>
      <c r="E87" s="98"/>
      <c r="F87" s="98"/>
      <c r="G87" s="98"/>
      <c r="H87" s="98"/>
      <c r="I87" s="98"/>
      <c r="J87" s="98"/>
      <c r="K87" s="98"/>
      <c r="L87" s="1" t="str">
        <f aca="false">IF(82&gt;'🌱 Configuração'!$F$55,"",IF(F87="","—",IF(F87&lt;22,"⚠️ Temp baixa",IF(F87&gt;29,"⚠️ Temp ALTA",IF(H87="","✅ OK",IF(H87&lt;5.5,"⚠️ pH baixo",IF(H87&gt;6.9,"⚠️ pH alto",IF(I87&gt;2.5,"⚠️ CE alta","✅ OK"))))))))</f>
        <v>—</v>
      </c>
    </row>
    <row r="88" customFormat="false" ht="18" hidden="false" customHeight="true" outlineLevel="0" collapsed="false">
      <c r="B88" s="96" t="n">
        <f aca="false">IF(83&lt;='🌱 Configuração'!$F$55,83,"")</f>
        <v>83</v>
      </c>
      <c r="C88" s="97" t="n">
        <f aca="false">IF(83&lt;='🌱 Configuração'!$F$55,'🌱 Configuração'!$B$56+82,"")</f>
        <v>82</v>
      </c>
      <c r="D88" s="96" t="str">
        <f aca="false">IF(83&gt;'🌱 Configuração'!$F$55,"",IF('🌱 Configuração'!$B$56+82&lt;'🌱 Configuração'!$C$56,"🌱 Clone",IF('🌱 Configuração'!$B$56+82&lt;'🌱 Configuração'!$D$56,"🌿 Vega",IF('🌱 Configuração'!$B$56+82&lt;'🌱 Configuração'!$E$56,"🌸 Flora","🚿 Flush"))))</f>
        <v>🌸 Flora</v>
      </c>
      <c r="E88" s="96"/>
      <c r="F88" s="96"/>
      <c r="G88" s="96"/>
      <c r="H88" s="96"/>
      <c r="I88" s="96"/>
      <c r="J88" s="96"/>
      <c r="K88" s="96"/>
      <c r="L88" s="1" t="str">
        <f aca="false">IF(83&gt;'🌱 Configuração'!$F$55,"",IF(F88="","—",IF(F88&lt;22,"⚠️ Temp baixa",IF(F88&gt;29,"⚠️ Temp ALTA",IF(H88="","✅ OK",IF(H88&lt;5.5,"⚠️ pH baixo",IF(H88&gt;6.9,"⚠️ pH alto",IF(I88&gt;2.5,"⚠️ CE alta","✅ OK"))))))))</f>
        <v>—</v>
      </c>
    </row>
    <row r="89" customFormat="false" ht="18" hidden="false" customHeight="true" outlineLevel="0" collapsed="false">
      <c r="B89" s="98" t="n">
        <f aca="false">IF(84&lt;='🌱 Configuração'!$F$55,84,"")</f>
        <v>84</v>
      </c>
      <c r="C89" s="99" t="n">
        <f aca="false">IF(84&lt;='🌱 Configuração'!$F$55,'🌱 Configuração'!$B$56+83,"")</f>
        <v>83</v>
      </c>
      <c r="D89" s="98" t="str">
        <f aca="false">IF(84&gt;'🌱 Configuração'!$F$55,"",IF('🌱 Configuração'!$B$56+83&lt;'🌱 Configuração'!$C$56,"🌱 Clone",IF('🌱 Configuração'!$B$56+83&lt;'🌱 Configuração'!$D$56,"🌿 Vega",IF('🌱 Configuração'!$B$56+83&lt;'🌱 Configuração'!$E$56,"🌸 Flora","🚿 Flush"))))</f>
        <v>🌸 Flora</v>
      </c>
      <c r="E89" s="98"/>
      <c r="F89" s="98"/>
      <c r="G89" s="98"/>
      <c r="H89" s="98"/>
      <c r="I89" s="98"/>
      <c r="J89" s="98"/>
      <c r="K89" s="98"/>
      <c r="L89" s="1" t="str">
        <f aca="false">IF(84&gt;'🌱 Configuração'!$F$55,"",IF(F89="","—",IF(F89&lt;22,"⚠️ Temp baixa",IF(F89&gt;29,"⚠️ Temp ALTA",IF(H89="","✅ OK",IF(H89&lt;5.5,"⚠️ pH baixo",IF(H89&gt;6.9,"⚠️ pH alto",IF(I89&gt;2.5,"⚠️ CE alta","✅ OK"))))))))</f>
        <v>—</v>
      </c>
    </row>
    <row r="90" customFormat="false" ht="18" hidden="false" customHeight="true" outlineLevel="0" collapsed="false">
      <c r="B90" s="96" t="n">
        <f aca="false">IF(85&lt;='🌱 Configuração'!$F$55,85,"")</f>
        <v>85</v>
      </c>
      <c r="C90" s="97" t="n">
        <f aca="false">IF(85&lt;='🌱 Configuração'!$F$55,'🌱 Configuração'!$B$56+84,"")</f>
        <v>84</v>
      </c>
      <c r="D90" s="96" t="str">
        <f aca="false">IF(85&gt;'🌱 Configuração'!$F$55,"",IF('🌱 Configuração'!$B$56+84&lt;'🌱 Configuração'!$C$56,"🌱 Clone",IF('🌱 Configuração'!$B$56+84&lt;'🌱 Configuração'!$D$56,"🌿 Vega",IF('🌱 Configuração'!$B$56+84&lt;'🌱 Configuração'!$E$56,"🌸 Flora","🚿 Flush"))))</f>
        <v>🌸 Flora</v>
      </c>
      <c r="E90" s="96"/>
      <c r="F90" s="96"/>
      <c r="G90" s="96"/>
      <c r="H90" s="96"/>
      <c r="I90" s="96"/>
      <c r="J90" s="96"/>
      <c r="K90" s="96"/>
      <c r="L90" s="1" t="str">
        <f aca="false">IF(85&gt;'🌱 Configuração'!$F$55,"",IF(F90="","—",IF(F90&lt;22,"⚠️ Temp baixa",IF(F90&gt;29,"⚠️ Temp ALTA",IF(H90="","✅ OK",IF(H90&lt;5.5,"⚠️ pH baixo",IF(H90&gt;6.9,"⚠️ pH alto",IF(I90&gt;2.5,"⚠️ CE alta","✅ OK"))))))))</f>
        <v>—</v>
      </c>
    </row>
    <row r="91" customFormat="false" ht="18" hidden="false" customHeight="true" outlineLevel="0" collapsed="false">
      <c r="B91" s="98" t="n">
        <f aca="false">IF(86&lt;='🌱 Configuração'!$F$55,86,"")</f>
        <v>86</v>
      </c>
      <c r="C91" s="99" t="n">
        <f aca="false">IF(86&lt;='🌱 Configuração'!$F$55,'🌱 Configuração'!$B$56+85,"")</f>
        <v>85</v>
      </c>
      <c r="D91" s="98" t="str">
        <f aca="false">IF(86&gt;'🌱 Configuração'!$F$55,"",IF('🌱 Configuração'!$B$56+85&lt;'🌱 Configuração'!$C$56,"🌱 Clone",IF('🌱 Configuração'!$B$56+85&lt;'🌱 Configuração'!$D$56,"🌿 Vega",IF('🌱 Configuração'!$B$56+85&lt;'🌱 Configuração'!$E$56,"🌸 Flora","🚿 Flush"))))</f>
        <v>🌸 Flora</v>
      </c>
      <c r="E91" s="98"/>
      <c r="F91" s="98"/>
      <c r="G91" s="98"/>
      <c r="H91" s="98"/>
      <c r="I91" s="98"/>
      <c r="J91" s="98"/>
      <c r="K91" s="98"/>
      <c r="L91" s="1" t="str">
        <f aca="false">IF(86&gt;'🌱 Configuração'!$F$55,"",IF(F91="","—",IF(F91&lt;22,"⚠️ Temp baixa",IF(F91&gt;29,"⚠️ Temp ALTA",IF(H91="","✅ OK",IF(H91&lt;5.5,"⚠️ pH baixo",IF(H91&gt;6.9,"⚠️ pH alto",IF(I91&gt;2.5,"⚠️ CE alta","✅ OK"))))))))</f>
        <v>—</v>
      </c>
    </row>
    <row r="92" customFormat="false" ht="18" hidden="false" customHeight="true" outlineLevel="0" collapsed="false">
      <c r="B92" s="96" t="n">
        <f aca="false">IF(87&lt;='🌱 Configuração'!$F$55,87,"")</f>
        <v>87</v>
      </c>
      <c r="C92" s="97" t="n">
        <f aca="false">IF(87&lt;='🌱 Configuração'!$F$55,'🌱 Configuração'!$B$56+86,"")</f>
        <v>86</v>
      </c>
      <c r="D92" s="96" t="str">
        <f aca="false">IF(87&gt;'🌱 Configuração'!$F$55,"",IF('🌱 Configuração'!$B$56+86&lt;'🌱 Configuração'!$C$56,"🌱 Clone",IF('🌱 Configuração'!$B$56+86&lt;'🌱 Configuração'!$D$56,"🌿 Vega",IF('🌱 Configuração'!$B$56+86&lt;'🌱 Configuração'!$E$56,"🌸 Flora","🚿 Flush"))))</f>
        <v>🌸 Flora</v>
      </c>
      <c r="E92" s="96"/>
      <c r="F92" s="96"/>
      <c r="G92" s="96"/>
      <c r="H92" s="96"/>
      <c r="I92" s="96"/>
      <c r="J92" s="96"/>
      <c r="K92" s="96"/>
      <c r="L92" s="1" t="str">
        <f aca="false">IF(87&gt;'🌱 Configuração'!$F$55,"",IF(F92="","—",IF(F92&lt;22,"⚠️ Temp baixa",IF(F92&gt;29,"⚠️ Temp ALTA",IF(H92="","✅ OK",IF(H92&lt;5.5,"⚠️ pH baixo",IF(H92&gt;6.9,"⚠️ pH alto",IF(I92&gt;2.5,"⚠️ CE alta","✅ OK"))))))))</f>
        <v>—</v>
      </c>
    </row>
    <row r="93" customFormat="false" ht="18" hidden="false" customHeight="true" outlineLevel="0" collapsed="false">
      <c r="B93" s="98" t="n">
        <f aca="false">IF(88&lt;='🌱 Configuração'!$F$55,88,"")</f>
        <v>88</v>
      </c>
      <c r="C93" s="99" t="n">
        <f aca="false">IF(88&lt;='🌱 Configuração'!$F$55,'🌱 Configuração'!$B$56+87,"")</f>
        <v>87</v>
      </c>
      <c r="D93" s="98" t="str">
        <f aca="false">IF(88&gt;'🌱 Configuração'!$F$55,"",IF('🌱 Configuração'!$B$56+87&lt;'🌱 Configuração'!$C$56,"🌱 Clone",IF('🌱 Configuração'!$B$56+87&lt;'🌱 Configuração'!$D$56,"🌿 Vega",IF('🌱 Configuração'!$B$56+87&lt;'🌱 Configuração'!$E$56,"🌸 Flora","🚿 Flush"))))</f>
        <v>🌸 Flora</v>
      </c>
      <c r="E93" s="98"/>
      <c r="F93" s="98"/>
      <c r="G93" s="98"/>
      <c r="H93" s="98"/>
      <c r="I93" s="98"/>
      <c r="J93" s="98"/>
      <c r="K93" s="98"/>
      <c r="L93" s="1" t="str">
        <f aca="false">IF(88&gt;'🌱 Configuração'!$F$55,"",IF(F93="","—",IF(F93&lt;22,"⚠️ Temp baixa",IF(F93&gt;29,"⚠️ Temp ALTA",IF(H93="","✅ OK",IF(H93&lt;5.5,"⚠️ pH baixo",IF(H93&gt;6.9,"⚠️ pH alto",IF(I93&gt;2.5,"⚠️ CE alta","✅ OK"))))))))</f>
        <v>—</v>
      </c>
    </row>
    <row r="94" customFormat="false" ht="18" hidden="false" customHeight="true" outlineLevel="0" collapsed="false">
      <c r="B94" s="96" t="n">
        <f aca="false">IF(89&lt;='🌱 Configuração'!$F$55,89,"")</f>
        <v>89</v>
      </c>
      <c r="C94" s="97" t="n">
        <f aca="false">IF(89&lt;='🌱 Configuração'!$F$55,'🌱 Configuração'!$B$56+88,"")</f>
        <v>88</v>
      </c>
      <c r="D94" s="96" t="str">
        <f aca="false">IF(89&gt;'🌱 Configuração'!$F$55,"",IF('🌱 Configuração'!$B$56+88&lt;'🌱 Configuração'!$C$56,"🌱 Clone",IF('🌱 Configuração'!$B$56+88&lt;'🌱 Configuração'!$D$56,"🌿 Vega",IF('🌱 Configuração'!$B$56+88&lt;'🌱 Configuração'!$E$56,"🌸 Flora","🚿 Flush"))))</f>
        <v>🌸 Flora</v>
      </c>
      <c r="E94" s="96"/>
      <c r="F94" s="96"/>
      <c r="G94" s="96"/>
      <c r="H94" s="96"/>
      <c r="I94" s="96"/>
      <c r="J94" s="96"/>
      <c r="K94" s="96"/>
      <c r="L94" s="1" t="str">
        <f aca="false">IF(89&gt;'🌱 Configuração'!$F$55,"",IF(F94="","—",IF(F94&lt;22,"⚠️ Temp baixa",IF(F94&gt;29,"⚠️ Temp ALTA",IF(H94="","✅ OK",IF(H94&lt;5.5,"⚠️ pH baixo",IF(H94&gt;6.9,"⚠️ pH alto",IF(I94&gt;2.5,"⚠️ CE alta","✅ OK"))))))))</f>
        <v>—</v>
      </c>
    </row>
    <row r="95" customFormat="false" ht="18" hidden="false" customHeight="true" outlineLevel="0" collapsed="false">
      <c r="B95" s="98" t="n">
        <f aca="false">IF(90&lt;='🌱 Configuração'!$F$55,90,"")</f>
        <v>90</v>
      </c>
      <c r="C95" s="99" t="n">
        <f aca="false">IF(90&lt;='🌱 Configuração'!$F$55,'🌱 Configuração'!$B$56+89,"")</f>
        <v>89</v>
      </c>
      <c r="D95" s="98" t="str">
        <f aca="false">IF(90&gt;'🌱 Configuração'!$F$55,"",IF('🌱 Configuração'!$B$56+89&lt;'🌱 Configuração'!$C$56,"🌱 Clone",IF('🌱 Configuração'!$B$56+89&lt;'🌱 Configuração'!$D$56,"🌿 Vega",IF('🌱 Configuração'!$B$56+89&lt;'🌱 Configuração'!$E$56,"🌸 Flora","🚿 Flush"))))</f>
        <v>🌸 Flora</v>
      </c>
      <c r="E95" s="98"/>
      <c r="F95" s="98"/>
      <c r="G95" s="98"/>
      <c r="H95" s="98"/>
      <c r="I95" s="98"/>
      <c r="J95" s="98"/>
      <c r="K95" s="98"/>
      <c r="L95" s="1" t="str">
        <f aca="false">IF(90&gt;'🌱 Configuração'!$F$55,"",IF(F95="","—",IF(F95&lt;22,"⚠️ Temp baixa",IF(F95&gt;29,"⚠️ Temp ALTA",IF(H95="","✅ OK",IF(H95&lt;5.5,"⚠️ pH baixo",IF(H95&gt;6.9,"⚠️ pH alto",IF(I95&gt;2.5,"⚠️ CE alta","✅ OK"))))))))</f>
        <v>—</v>
      </c>
    </row>
    <row r="96" customFormat="false" ht="18" hidden="false" customHeight="true" outlineLevel="0" collapsed="false">
      <c r="B96" s="96" t="n">
        <f aca="false">IF(91&lt;='🌱 Configuração'!$F$55,91,"")</f>
        <v>91</v>
      </c>
      <c r="C96" s="97" t="n">
        <f aca="false">IF(91&lt;='🌱 Configuração'!$F$55,'🌱 Configuração'!$B$56+90,"")</f>
        <v>90</v>
      </c>
      <c r="D96" s="96" t="str">
        <f aca="false">IF(91&gt;'🌱 Configuração'!$F$55,"",IF('🌱 Configuração'!$B$56+90&lt;'🌱 Configuração'!$C$56,"🌱 Clone",IF('🌱 Configuração'!$B$56+90&lt;'🌱 Configuração'!$D$56,"🌿 Vega",IF('🌱 Configuração'!$B$56+90&lt;'🌱 Configuração'!$E$56,"🌸 Flora","🚿 Flush"))))</f>
        <v>🌸 Flora</v>
      </c>
      <c r="E96" s="96"/>
      <c r="F96" s="96"/>
      <c r="G96" s="96"/>
      <c r="H96" s="96"/>
      <c r="I96" s="96"/>
      <c r="J96" s="96"/>
      <c r="K96" s="96"/>
      <c r="L96" s="1" t="str">
        <f aca="false">IF(91&gt;'🌱 Configuração'!$F$55,"",IF(F96="","—",IF(F96&lt;22,"⚠️ Temp baixa",IF(F96&gt;29,"⚠️ Temp ALTA",IF(H96="","✅ OK",IF(H96&lt;5.5,"⚠️ pH baixo",IF(H96&gt;6.9,"⚠️ pH alto",IF(I96&gt;2.5,"⚠️ CE alta","✅ OK"))))))))</f>
        <v>—</v>
      </c>
    </row>
    <row r="97" customFormat="false" ht="18" hidden="false" customHeight="true" outlineLevel="0" collapsed="false">
      <c r="B97" s="98" t="n">
        <f aca="false">IF(92&lt;='🌱 Configuração'!$F$55,92,"")</f>
        <v>92</v>
      </c>
      <c r="C97" s="99" t="n">
        <f aca="false">IF(92&lt;='🌱 Configuração'!$F$55,'🌱 Configuração'!$B$56+91,"")</f>
        <v>91</v>
      </c>
      <c r="D97" s="98" t="str">
        <f aca="false">IF(92&gt;'🌱 Configuração'!$F$55,"",IF('🌱 Configuração'!$B$56+91&lt;'🌱 Configuração'!$C$56,"🌱 Clone",IF('🌱 Configuração'!$B$56+91&lt;'🌱 Configuração'!$D$56,"🌿 Vega",IF('🌱 Configuração'!$B$56+91&lt;'🌱 Configuração'!$E$56,"🌸 Flora","🚿 Flush"))))</f>
        <v>🌸 Flora</v>
      </c>
      <c r="E97" s="98"/>
      <c r="F97" s="98"/>
      <c r="G97" s="98"/>
      <c r="H97" s="98"/>
      <c r="I97" s="98"/>
      <c r="J97" s="98"/>
      <c r="K97" s="98"/>
      <c r="L97" s="1" t="str">
        <f aca="false">IF(92&gt;'🌱 Configuração'!$F$55,"",IF(F97="","—",IF(F97&lt;22,"⚠️ Temp baixa",IF(F97&gt;29,"⚠️ Temp ALTA",IF(H97="","✅ OK",IF(H97&lt;5.5,"⚠️ pH baixo",IF(H97&gt;6.9,"⚠️ pH alto",IF(I97&gt;2.5,"⚠️ CE alta","✅ OK"))))))))</f>
        <v>—</v>
      </c>
    </row>
    <row r="98" customFormat="false" ht="18" hidden="false" customHeight="true" outlineLevel="0" collapsed="false">
      <c r="B98" s="96" t="n">
        <f aca="false">IF(93&lt;='🌱 Configuração'!$F$55,93,"")</f>
        <v>93</v>
      </c>
      <c r="C98" s="97" t="n">
        <f aca="false">IF(93&lt;='🌱 Configuração'!$F$55,'🌱 Configuração'!$B$56+92,"")</f>
        <v>92</v>
      </c>
      <c r="D98" s="96" t="str">
        <f aca="false">IF(93&gt;'🌱 Configuração'!$F$55,"",IF('🌱 Configuração'!$B$56+92&lt;'🌱 Configuração'!$C$56,"🌱 Clone",IF('🌱 Configuração'!$B$56+92&lt;'🌱 Configuração'!$D$56,"🌿 Vega",IF('🌱 Configuração'!$B$56+92&lt;'🌱 Configuração'!$E$56,"🌸 Flora","🚿 Flush"))))</f>
        <v>🌸 Flora</v>
      </c>
      <c r="E98" s="96"/>
      <c r="F98" s="96"/>
      <c r="G98" s="96"/>
      <c r="H98" s="96"/>
      <c r="I98" s="96"/>
      <c r="J98" s="96"/>
      <c r="K98" s="96"/>
      <c r="L98" s="1" t="str">
        <f aca="false">IF(93&gt;'🌱 Configuração'!$F$55,"",IF(F98="","—",IF(F98&lt;22,"⚠️ Temp baixa",IF(F98&gt;29,"⚠️ Temp ALTA",IF(H98="","✅ OK",IF(H98&lt;5.5,"⚠️ pH baixo",IF(H98&gt;6.9,"⚠️ pH alto",IF(I98&gt;2.5,"⚠️ CE alta","✅ OK"))))))))</f>
        <v>—</v>
      </c>
    </row>
    <row r="99" customFormat="false" ht="18" hidden="false" customHeight="true" outlineLevel="0" collapsed="false">
      <c r="B99" s="98" t="n">
        <f aca="false">IF(94&lt;='🌱 Configuração'!$F$55,94,"")</f>
        <v>94</v>
      </c>
      <c r="C99" s="99" t="n">
        <f aca="false">IF(94&lt;='🌱 Configuração'!$F$55,'🌱 Configuração'!$B$56+93,"")</f>
        <v>93</v>
      </c>
      <c r="D99" s="98" t="str">
        <f aca="false">IF(94&gt;'🌱 Configuração'!$F$55,"",IF('🌱 Configuração'!$B$56+93&lt;'🌱 Configuração'!$C$56,"🌱 Clone",IF('🌱 Configuração'!$B$56+93&lt;'🌱 Configuração'!$D$56,"🌿 Vega",IF('🌱 Configuração'!$B$56+93&lt;'🌱 Configuração'!$E$56,"🌸 Flora","🚿 Flush"))))</f>
        <v>🌸 Flora</v>
      </c>
      <c r="E99" s="98"/>
      <c r="F99" s="98"/>
      <c r="G99" s="98"/>
      <c r="H99" s="98"/>
      <c r="I99" s="98"/>
      <c r="J99" s="98"/>
      <c r="K99" s="98"/>
      <c r="L99" s="1" t="str">
        <f aca="false">IF(94&gt;'🌱 Configuração'!$F$55,"",IF(F99="","—",IF(F99&lt;22,"⚠️ Temp baixa",IF(F99&gt;29,"⚠️ Temp ALTA",IF(H99="","✅ OK",IF(H99&lt;5.5,"⚠️ pH baixo",IF(H99&gt;6.9,"⚠️ pH alto",IF(I99&gt;2.5,"⚠️ CE alta","✅ OK"))))))))</f>
        <v>—</v>
      </c>
    </row>
    <row r="100" customFormat="false" ht="18" hidden="false" customHeight="true" outlineLevel="0" collapsed="false">
      <c r="B100" s="96" t="n">
        <f aca="false">IF(95&lt;='🌱 Configuração'!$F$55,95,"")</f>
        <v>95</v>
      </c>
      <c r="C100" s="97" t="n">
        <f aca="false">IF(95&lt;='🌱 Configuração'!$F$55,'🌱 Configuração'!$B$56+94,"")</f>
        <v>94</v>
      </c>
      <c r="D100" s="96" t="str">
        <f aca="false">IF(95&gt;'🌱 Configuração'!$F$55,"",IF('🌱 Configuração'!$B$56+94&lt;'🌱 Configuração'!$C$56,"🌱 Clone",IF('🌱 Configuração'!$B$56+94&lt;'🌱 Configuração'!$D$56,"🌿 Vega",IF('🌱 Configuração'!$B$56+94&lt;'🌱 Configuração'!$E$56,"🌸 Flora","🚿 Flush"))))</f>
        <v>🌸 Flora</v>
      </c>
      <c r="E100" s="96"/>
      <c r="F100" s="96"/>
      <c r="G100" s="96"/>
      <c r="H100" s="96"/>
      <c r="I100" s="96"/>
      <c r="J100" s="96"/>
      <c r="K100" s="96"/>
      <c r="L100" s="1" t="str">
        <f aca="false">IF(95&gt;'🌱 Configuração'!$F$55,"",IF(F100="","—",IF(F100&lt;22,"⚠️ Temp baixa",IF(F100&gt;29,"⚠️ Temp ALTA",IF(H100="","✅ OK",IF(H100&lt;5.5,"⚠️ pH baixo",IF(H100&gt;6.9,"⚠️ pH alto",IF(I100&gt;2.5,"⚠️ CE alta","✅ OK"))))))))</f>
        <v>—</v>
      </c>
    </row>
    <row r="101" customFormat="false" ht="18" hidden="false" customHeight="true" outlineLevel="0" collapsed="false">
      <c r="B101" s="98" t="n">
        <f aca="false">IF(96&lt;='🌱 Configuração'!$F$55,96,"")</f>
        <v>96</v>
      </c>
      <c r="C101" s="99" t="n">
        <f aca="false">IF(96&lt;='🌱 Configuração'!$F$55,'🌱 Configuração'!$B$56+95,"")</f>
        <v>95</v>
      </c>
      <c r="D101" s="98" t="str">
        <f aca="false">IF(96&gt;'🌱 Configuração'!$F$55,"",IF('🌱 Configuração'!$B$56+95&lt;'🌱 Configuração'!$C$56,"🌱 Clone",IF('🌱 Configuração'!$B$56+95&lt;'🌱 Configuração'!$D$56,"🌿 Vega",IF('🌱 Configuração'!$B$56+95&lt;'🌱 Configuração'!$E$56,"🌸 Flora","🚿 Flush"))))</f>
        <v>🌸 Flora</v>
      </c>
      <c r="E101" s="98"/>
      <c r="F101" s="98"/>
      <c r="G101" s="98"/>
      <c r="H101" s="98"/>
      <c r="I101" s="98"/>
      <c r="J101" s="98"/>
      <c r="K101" s="98"/>
      <c r="L101" s="1" t="str">
        <f aca="false">IF(96&gt;'🌱 Configuração'!$F$55,"",IF(F101="","—",IF(F101&lt;22,"⚠️ Temp baixa",IF(F101&gt;29,"⚠️ Temp ALTA",IF(H101="","✅ OK",IF(H101&lt;5.5,"⚠️ pH baixo",IF(H101&gt;6.9,"⚠️ pH alto",IF(I101&gt;2.5,"⚠️ CE alta","✅ OK"))))))))</f>
        <v>—</v>
      </c>
    </row>
    <row r="102" customFormat="false" ht="18" hidden="false" customHeight="true" outlineLevel="0" collapsed="false">
      <c r="B102" s="96" t="n">
        <f aca="false">IF(97&lt;='🌱 Configuração'!$F$55,97,"")</f>
        <v>97</v>
      </c>
      <c r="C102" s="97" t="n">
        <f aca="false">IF(97&lt;='🌱 Configuração'!$F$55,'🌱 Configuração'!$B$56+96,"")</f>
        <v>96</v>
      </c>
      <c r="D102" s="96" t="str">
        <f aca="false">IF(97&gt;'🌱 Configuração'!$F$55,"",IF('🌱 Configuração'!$B$56+96&lt;'🌱 Configuração'!$C$56,"🌱 Clone",IF('🌱 Configuração'!$B$56+96&lt;'🌱 Configuração'!$D$56,"🌿 Vega",IF('🌱 Configuração'!$B$56+96&lt;'🌱 Configuração'!$E$56,"🌸 Flora","🚿 Flush"))))</f>
        <v>🌸 Flora</v>
      </c>
      <c r="E102" s="96"/>
      <c r="F102" s="96"/>
      <c r="G102" s="96"/>
      <c r="H102" s="96"/>
      <c r="I102" s="96"/>
      <c r="J102" s="96"/>
      <c r="K102" s="96"/>
      <c r="L102" s="1" t="str">
        <f aca="false">IF(97&gt;'🌱 Configuração'!$F$55,"",IF(F102="","—",IF(F102&lt;22,"⚠️ Temp baixa",IF(F102&gt;29,"⚠️ Temp ALTA",IF(H102="","✅ OK",IF(H102&lt;5.5,"⚠️ pH baixo",IF(H102&gt;6.9,"⚠️ pH alto",IF(I102&gt;2.5,"⚠️ CE alta","✅ OK"))))))))</f>
        <v>—</v>
      </c>
    </row>
    <row r="103" customFormat="false" ht="18" hidden="false" customHeight="true" outlineLevel="0" collapsed="false">
      <c r="B103" s="98" t="n">
        <f aca="false">IF(98&lt;='🌱 Configuração'!$F$55,98,"")</f>
        <v>98</v>
      </c>
      <c r="C103" s="99" t="n">
        <f aca="false">IF(98&lt;='🌱 Configuração'!$F$55,'🌱 Configuração'!$B$56+97,"")</f>
        <v>97</v>
      </c>
      <c r="D103" s="98" t="str">
        <f aca="false">IF(98&gt;'🌱 Configuração'!$F$55,"",IF('🌱 Configuração'!$B$56+97&lt;'🌱 Configuração'!$C$56,"🌱 Clone",IF('🌱 Configuração'!$B$56+97&lt;'🌱 Configuração'!$D$56,"🌿 Vega",IF('🌱 Configuração'!$B$56+97&lt;'🌱 Configuração'!$E$56,"🌸 Flora","🚿 Flush"))))</f>
        <v>🌸 Flora</v>
      </c>
      <c r="E103" s="98"/>
      <c r="F103" s="98"/>
      <c r="G103" s="98"/>
      <c r="H103" s="98"/>
      <c r="I103" s="98"/>
      <c r="J103" s="98"/>
      <c r="K103" s="98"/>
      <c r="L103" s="1" t="str">
        <f aca="false">IF(98&gt;'🌱 Configuração'!$F$55,"",IF(F103="","—",IF(F103&lt;22,"⚠️ Temp baixa",IF(F103&gt;29,"⚠️ Temp ALTA",IF(H103="","✅ OK",IF(H103&lt;5.5,"⚠️ pH baixo",IF(H103&gt;6.9,"⚠️ pH alto",IF(I103&gt;2.5,"⚠️ CE alta","✅ OK"))))))))</f>
        <v>—</v>
      </c>
    </row>
    <row r="104" customFormat="false" ht="18" hidden="false" customHeight="true" outlineLevel="0" collapsed="false">
      <c r="B104" s="96" t="n">
        <f aca="false">IF(99&lt;='🌱 Configuração'!$F$55,99,"")</f>
        <v>99</v>
      </c>
      <c r="C104" s="97" t="n">
        <f aca="false">IF(99&lt;='🌱 Configuração'!$F$55,'🌱 Configuração'!$B$56+98,"")</f>
        <v>98</v>
      </c>
      <c r="D104" s="96" t="str">
        <f aca="false">IF(99&gt;'🌱 Configuração'!$F$55,"",IF('🌱 Configuração'!$B$56+98&lt;'🌱 Configuração'!$C$56,"🌱 Clone",IF('🌱 Configuração'!$B$56+98&lt;'🌱 Configuração'!$D$56,"🌿 Vega",IF('🌱 Configuração'!$B$56+98&lt;'🌱 Configuração'!$E$56,"🌸 Flora","🚿 Flush"))))</f>
        <v>🌸 Flora</v>
      </c>
      <c r="E104" s="96"/>
      <c r="F104" s="96"/>
      <c r="G104" s="96"/>
      <c r="H104" s="96"/>
      <c r="I104" s="96"/>
      <c r="J104" s="96"/>
      <c r="K104" s="96"/>
      <c r="L104" s="1" t="str">
        <f aca="false">IF(99&gt;'🌱 Configuração'!$F$55,"",IF(F104="","—",IF(F104&lt;22,"⚠️ Temp baixa",IF(F104&gt;29,"⚠️ Temp ALTA",IF(H104="","✅ OK",IF(H104&lt;5.5,"⚠️ pH baixo",IF(H104&gt;6.9,"⚠️ pH alto",IF(I104&gt;2.5,"⚠️ CE alta","✅ OK"))))))))</f>
        <v>—</v>
      </c>
    </row>
    <row r="105" customFormat="false" ht="18" hidden="false" customHeight="true" outlineLevel="0" collapsed="false">
      <c r="B105" s="98" t="n">
        <f aca="false">IF(100&lt;='🌱 Configuração'!$F$55,100,"")</f>
        <v>100</v>
      </c>
      <c r="C105" s="99" t="n">
        <f aca="false">IF(100&lt;='🌱 Configuração'!$F$55,'🌱 Configuração'!$B$56+99,"")</f>
        <v>99</v>
      </c>
      <c r="D105" s="98" t="str">
        <f aca="false">IF(100&gt;'🌱 Configuração'!$F$55,"",IF('🌱 Configuração'!$B$56+99&lt;'🌱 Configuração'!$C$56,"🌱 Clone",IF('🌱 Configuração'!$B$56+99&lt;'🌱 Configuração'!$D$56,"🌿 Vega",IF('🌱 Configuração'!$B$56+99&lt;'🌱 Configuração'!$E$56,"🌸 Flora","🚿 Flush"))))</f>
        <v>🌸 Flora</v>
      </c>
      <c r="E105" s="98"/>
      <c r="F105" s="98"/>
      <c r="G105" s="98"/>
      <c r="H105" s="98"/>
      <c r="I105" s="98"/>
      <c r="J105" s="98"/>
      <c r="K105" s="98"/>
      <c r="L105" s="1" t="str">
        <f aca="false">IF(100&gt;'🌱 Configuração'!$F$55,"",IF(F105="","—",IF(F105&lt;22,"⚠️ Temp baixa",IF(F105&gt;29,"⚠️ Temp ALTA",IF(H105="","✅ OK",IF(H105&lt;5.5,"⚠️ pH baixo",IF(H105&gt;6.9,"⚠️ pH alto",IF(I105&gt;2.5,"⚠️ CE alta","✅ OK"))))))))</f>
        <v>—</v>
      </c>
    </row>
    <row r="106" customFormat="false" ht="18" hidden="false" customHeight="true" outlineLevel="0" collapsed="false">
      <c r="B106" s="96" t="n">
        <f aca="false">IF(101&lt;='🌱 Configuração'!$F$55,101,"")</f>
        <v>101</v>
      </c>
      <c r="C106" s="97" t="n">
        <f aca="false">IF(101&lt;='🌱 Configuração'!$F$55,'🌱 Configuração'!$B$56+100,"")</f>
        <v>100</v>
      </c>
      <c r="D106" s="96" t="str">
        <f aca="false">IF(101&gt;'🌱 Configuração'!$F$55,"",IF('🌱 Configuração'!$B$56+100&lt;'🌱 Configuração'!$C$56,"🌱 Clone",IF('🌱 Configuração'!$B$56+100&lt;'🌱 Configuração'!$D$56,"🌿 Vega",IF('🌱 Configuração'!$B$56+100&lt;'🌱 Configuração'!$E$56,"🌸 Flora","🚿 Flush"))))</f>
        <v>🌸 Flora</v>
      </c>
      <c r="E106" s="96"/>
      <c r="F106" s="96"/>
      <c r="G106" s="96"/>
      <c r="H106" s="96"/>
      <c r="I106" s="96"/>
      <c r="J106" s="96"/>
      <c r="K106" s="96"/>
      <c r="L106" s="1" t="str">
        <f aca="false">IF(101&gt;'🌱 Configuração'!$F$55,"",IF(F106="","—",IF(F106&lt;22,"⚠️ Temp baixa",IF(F106&gt;29,"⚠️ Temp ALTA",IF(H106="","✅ OK",IF(H106&lt;5.5,"⚠️ pH baixo",IF(H106&gt;6.9,"⚠️ pH alto",IF(I106&gt;2.5,"⚠️ CE alta","✅ OK"))))))))</f>
        <v>—</v>
      </c>
    </row>
    <row r="107" customFormat="false" ht="18" hidden="false" customHeight="true" outlineLevel="0" collapsed="false">
      <c r="B107" s="98" t="n">
        <f aca="false">IF(102&lt;='🌱 Configuração'!$F$55,102,"")</f>
        <v>102</v>
      </c>
      <c r="C107" s="99" t="n">
        <f aca="false">IF(102&lt;='🌱 Configuração'!$F$55,'🌱 Configuração'!$B$56+101,"")</f>
        <v>101</v>
      </c>
      <c r="D107" s="98" t="str">
        <f aca="false">IF(102&gt;'🌱 Configuração'!$F$55,"",IF('🌱 Configuração'!$B$56+101&lt;'🌱 Configuração'!$C$56,"🌱 Clone",IF('🌱 Configuração'!$B$56+101&lt;'🌱 Configuração'!$D$56,"🌿 Vega",IF('🌱 Configuração'!$B$56+101&lt;'🌱 Configuração'!$E$56,"🌸 Flora","🚿 Flush"))))</f>
        <v>🌸 Flora</v>
      </c>
      <c r="E107" s="98"/>
      <c r="F107" s="98"/>
      <c r="G107" s="98"/>
      <c r="H107" s="98"/>
      <c r="I107" s="98"/>
      <c r="J107" s="98"/>
      <c r="K107" s="98"/>
      <c r="L107" s="1" t="str">
        <f aca="false">IF(102&gt;'🌱 Configuração'!$F$55,"",IF(F107="","—",IF(F107&lt;22,"⚠️ Temp baixa",IF(F107&gt;29,"⚠️ Temp ALTA",IF(H107="","✅ OK",IF(H107&lt;5.5,"⚠️ pH baixo",IF(H107&gt;6.9,"⚠️ pH alto",IF(I107&gt;2.5,"⚠️ CE alta","✅ OK"))))))))</f>
        <v>—</v>
      </c>
    </row>
    <row r="108" customFormat="false" ht="18" hidden="false" customHeight="true" outlineLevel="0" collapsed="false">
      <c r="B108" s="96" t="n">
        <f aca="false">IF(103&lt;='🌱 Configuração'!$F$55,103,"")</f>
        <v>103</v>
      </c>
      <c r="C108" s="97" t="n">
        <f aca="false">IF(103&lt;='🌱 Configuração'!$F$55,'🌱 Configuração'!$B$56+102,"")</f>
        <v>102</v>
      </c>
      <c r="D108" s="96" t="str">
        <f aca="false">IF(103&gt;'🌱 Configuração'!$F$55,"",IF('🌱 Configuração'!$B$56+102&lt;'🌱 Configuração'!$C$56,"🌱 Clone",IF('🌱 Configuração'!$B$56+102&lt;'🌱 Configuração'!$D$56,"🌿 Vega",IF('🌱 Configuração'!$B$56+102&lt;'🌱 Configuração'!$E$56,"🌸 Flora","🚿 Flush"))))</f>
        <v>🌸 Flora</v>
      </c>
      <c r="E108" s="96"/>
      <c r="F108" s="96"/>
      <c r="G108" s="96"/>
      <c r="H108" s="96"/>
      <c r="I108" s="96"/>
      <c r="J108" s="96"/>
      <c r="K108" s="96"/>
      <c r="L108" s="1" t="str">
        <f aca="false">IF(103&gt;'🌱 Configuração'!$F$55,"",IF(F108="","—",IF(F108&lt;22,"⚠️ Temp baixa",IF(F108&gt;29,"⚠️ Temp ALTA",IF(H108="","✅ OK",IF(H108&lt;5.5,"⚠️ pH baixo",IF(H108&gt;6.9,"⚠️ pH alto",IF(I108&gt;2.5,"⚠️ CE alta","✅ OK"))))))))</f>
        <v>—</v>
      </c>
    </row>
    <row r="109" customFormat="false" ht="18" hidden="false" customHeight="true" outlineLevel="0" collapsed="false">
      <c r="B109" s="98" t="n">
        <f aca="false">IF(104&lt;='🌱 Configuração'!$F$55,104,"")</f>
        <v>104</v>
      </c>
      <c r="C109" s="99" t="n">
        <f aca="false">IF(104&lt;='🌱 Configuração'!$F$55,'🌱 Configuração'!$B$56+103,"")</f>
        <v>103</v>
      </c>
      <c r="D109" s="98" t="str">
        <f aca="false">IF(104&gt;'🌱 Configuração'!$F$55,"",IF('🌱 Configuração'!$B$56+103&lt;'🌱 Configuração'!$C$56,"🌱 Clone",IF('🌱 Configuração'!$B$56+103&lt;'🌱 Configuração'!$D$56,"🌿 Vega",IF('🌱 Configuração'!$B$56+103&lt;'🌱 Configuração'!$E$56,"🌸 Flora","🚿 Flush"))))</f>
        <v>🌸 Flora</v>
      </c>
      <c r="E109" s="98"/>
      <c r="F109" s="98"/>
      <c r="G109" s="98"/>
      <c r="H109" s="98"/>
      <c r="I109" s="98"/>
      <c r="J109" s="98"/>
      <c r="K109" s="98"/>
      <c r="L109" s="1" t="str">
        <f aca="false">IF(104&gt;'🌱 Configuração'!$F$55,"",IF(F109="","—",IF(F109&lt;22,"⚠️ Temp baixa",IF(F109&gt;29,"⚠️ Temp ALTA",IF(H109="","✅ OK",IF(H109&lt;5.5,"⚠️ pH baixo",IF(H109&gt;6.9,"⚠️ pH alto",IF(I109&gt;2.5,"⚠️ CE alta","✅ OK"))))))))</f>
        <v>—</v>
      </c>
    </row>
    <row r="110" customFormat="false" ht="18" hidden="false" customHeight="true" outlineLevel="0" collapsed="false">
      <c r="B110" s="96" t="n">
        <f aca="false">IF(105&lt;='🌱 Configuração'!$F$55,105,"")</f>
        <v>105</v>
      </c>
      <c r="C110" s="97" t="n">
        <f aca="false">IF(105&lt;='🌱 Configuração'!$F$55,'🌱 Configuração'!$B$56+104,"")</f>
        <v>104</v>
      </c>
      <c r="D110" s="96" t="str">
        <f aca="false">IF(105&gt;'🌱 Configuração'!$F$55,"",IF('🌱 Configuração'!$B$56+104&lt;'🌱 Configuração'!$C$56,"🌱 Clone",IF('🌱 Configuração'!$B$56+104&lt;'🌱 Configuração'!$D$56,"🌿 Vega",IF('🌱 Configuração'!$B$56+104&lt;'🌱 Configuração'!$E$56,"🌸 Flora","🚿 Flush"))))</f>
        <v>🌸 Flora</v>
      </c>
      <c r="E110" s="96"/>
      <c r="F110" s="96"/>
      <c r="G110" s="96"/>
      <c r="H110" s="96"/>
      <c r="I110" s="96"/>
      <c r="J110" s="96"/>
      <c r="K110" s="96"/>
      <c r="L110" s="1" t="str">
        <f aca="false">IF(105&gt;'🌱 Configuração'!$F$55,"",IF(F110="","—",IF(F110&lt;22,"⚠️ Temp baixa",IF(F110&gt;29,"⚠️ Temp ALTA",IF(H110="","✅ OK",IF(H110&lt;5.5,"⚠️ pH baixo",IF(H110&gt;6.9,"⚠️ pH alto",IF(I110&gt;2.5,"⚠️ CE alta","✅ OK"))))))))</f>
        <v>—</v>
      </c>
    </row>
    <row r="111" customFormat="false" ht="18" hidden="false" customHeight="true" outlineLevel="0" collapsed="false">
      <c r="B111" s="98" t="n">
        <f aca="false">IF(106&lt;='🌱 Configuração'!$F$55,106,"")</f>
        <v>106</v>
      </c>
      <c r="C111" s="99" t="n">
        <f aca="false">IF(106&lt;='🌱 Configuração'!$F$55,'🌱 Configuração'!$B$56+105,"")</f>
        <v>105</v>
      </c>
      <c r="D111" s="98" t="str">
        <f aca="false">IF(106&gt;'🌱 Configuração'!$F$55,"",IF('🌱 Configuração'!$B$56+105&lt;'🌱 Configuração'!$C$56,"🌱 Clone",IF('🌱 Configuração'!$B$56+105&lt;'🌱 Configuração'!$D$56,"🌿 Vega",IF('🌱 Configuração'!$B$56+105&lt;'🌱 Configuração'!$E$56,"🌸 Flora","🚿 Flush"))))</f>
        <v>🌸 Flora</v>
      </c>
      <c r="E111" s="98"/>
      <c r="F111" s="98"/>
      <c r="G111" s="98"/>
      <c r="H111" s="98"/>
      <c r="I111" s="98"/>
      <c r="J111" s="98"/>
      <c r="K111" s="98"/>
      <c r="L111" s="1" t="str">
        <f aca="false">IF(106&gt;'🌱 Configuração'!$F$55,"",IF(F111="","—",IF(F111&lt;22,"⚠️ Temp baixa",IF(F111&gt;29,"⚠️ Temp ALTA",IF(H111="","✅ OK",IF(H111&lt;5.5,"⚠️ pH baixo",IF(H111&gt;6.9,"⚠️ pH alto",IF(I111&gt;2.5,"⚠️ CE alta","✅ OK"))))))))</f>
        <v>—</v>
      </c>
    </row>
    <row r="112" customFormat="false" ht="18" hidden="false" customHeight="true" outlineLevel="0" collapsed="false">
      <c r="B112" s="96" t="n">
        <f aca="false">IF(107&lt;='🌱 Configuração'!$F$55,107,"")</f>
        <v>107</v>
      </c>
      <c r="C112" s="97" t="n">
        <f aca="false">IF(107&lt;='🌱 Configuração'!$F$55,'🌱 Configuração'!$B$56+106,"")</f>
        <v>106</v>
      </c>
      <c r="D112" s="96" t="str">
        <f aca="false">IF(107&gt;'🌱 Configuração'!$F$55,"",IF('🌱 Configuração'!$B$56+106&lt;'🌱 Configuração'!$C$56,"🌱 Clone",IF('🌱 Configuração'!$B$56+106&lt;'🌱 Configuração'!$D$56,"🌿 Vega",IF('🌱 Configuração'!$B$56+106&lt;'🌱 Configuração'!$E$56,"🌸 Flora","🚿 Flush"))))</f>
        <v>🌸 Flora</v>
      </c>
      <c r="E112" s="96"/>
      <c r="F112" s="96"/>
      <c r="G112" s="96"/>
      <c r="H112" s="96"/>
      <c r="I112" s="96"/>
      <c r="J112" s="96"/>
      <c r="K112" s="96"/>
      <c r="L112" s="1" t="str">
        <f aca="false">IF(107&gt;'🌱 Configuração'!$F$55,"",IF(F112="","—",IF(F112&lt;22,"⚠️ Temp baixa",IF(F112&gt;29,"⚠️ Temp ALTA",IF(H112="","✅ OK",IF(H112&lt;5.5,"⚠️ pH baixo",IF(H112&gt;6.9,"⚠️ pH alto",IF(I112&gt;2.5,"⚠️ CE alta","✅ OK"))))))))</f>
        <v>—</v>
      </c>
    </row>
    <row r="113" customFormat="false" ht="18" hidden="false" customHeight="true" outlineLevel="0" collapsed="false">
      <c r="B113" s="98" t="n">
        <f aca="false">IF(108&lt;='🌱 Configuração'!$F$55,108,"")</f>
        <v>108</v>
      </c>
      <c r="C113" s="99" t="n">
        <f aca="false">IF(108&lt;='🌱 Configuração'!$F$55,'🌱 Configuração'!$B$56+107,"")</f>
        <v>107</v>
      </c>
      <c r="D113" s="98" t="str">
        <f aca="false">IF(108&gt;'🌱 Configuração'!$F$55,"",IF('🌱 Configuração'!$B$56+107&lt;'🌱 Configuração'!$C$56,"🌱 Clone",IF('🌱 Configuração'!$B$56+107&lt;'🌱 Configuração'!$D$56,"🌿 Vega",IF('🌱 Configuração'!$B$56+107&lt;'🌱 Configuração'!$E$56,"🌸 Flora","🚿 Flush"))))</f>
        <v>🌸 Flora</v>
      </c>
      <c r="E113" s="98"/>
      <c r="F113" s="98"/>
      <c r="G113" s="98"/>
      <c r="H113" s="98"/>
      <c r="I113" s="98"/>
      <c r="J113" s="98"/>
      <c r="K113" s="98"/>
      <c r="L113" s="1" t="str">
        <f aca="false">IF(108&gt;'🌱 Configuração'!$F$55,"",IF(F113="","—",IF(F113&lt;22,"⚠️ Temp baixa",IF(F113&gt;29,"⚠️ Temp ALTA",IF(H113="","✅ OK",IF(H113&lt;5.5,"⚠️ pH baixo",IF(H113&gt;6.9,"⚠️ pH alto",IF(I113&gt;2.5,"⚠️ CE alta","✅ OK"))))))))</f>
        <v>—</v>
      </c>
    </row>
    <row r="114" customFormat="false" ht="18" hidden="false" customHeight="true" outlineLevel="0" collapsed="false">
      <c r="B114" s="96" t="n">
        <f aca="false">IF(109&lt;='🌱 Configuração'!$F$55,109,"")</f>
        <v>109</v>
      </c>
      <c r="C114" s="97" t="n">
        <f aca="false">IF(109&lt;='🌱 Configuração'!$F$55,'🌱 Configuração'!$B$56+108,"")</f>
        <v>108</v>
      </c>
      <c r="D114" s="96" t="str">
        <f aca="false">IF(109&gt;'🌱 Configuração'!$F$55,"",IF('🌱 Configuração'!$B$56+108&lt;'🌱 Configuração'!$C$56,"🌱 Clone",IF('🌱 Configuração'!$B$56+108&lt;'🌱 Configuração'!$D$56,"🌿 Vega",IF('🌱 Configuração'!$B$56+108&lt;'🌱 Configuração'!$E$56,"🌸 Flora","🚿 Flush"))))</f>
        <v>🌸 Flora</v>
      </c>
      <c r="E114" s="96"/>
      <c r="F114" s="96"/>
      <c r="G114" s="96"/>
      <c r="H114" s="96"/>
      <c r="I114" s="96"/>
      <c r="J114" s="96"/>
      <c r="K114" s="96"/>
      <c r="L114" s="1" t="str">
        <f aca="false">IF(109&gt;'🌱 Configuração'!$F$55,"",IF(F114="","—",IF(F114&lt;22,"⚠️ Temp baixa",IF(F114&gt;29,"⚠️ Temp ALTA",IF(H114="","✅ OK",IF(H114&lt;5.5,"⚠️ pH baixo",IF(H114&gt;6.9,"⚠️ pH alto",IF(I114&gt;2.5,"⚠️ CE alta","✅ OK"))))))))</f>
        <v>—</v>
      </c>
    </row>
    <row r="115" customFormat="false" ht="18" hidden="false" customHeight="true" outlineLevel="0" collapsed="false">
      <c r="B115" s="98" t="n">
        <f aca="false">IF(110&lt;='🌱 Configuração'!$F$55,110,"")</f>
        <v>110</v>
      </c>
      <c r="C115" s="99" t="n">
        <f aca="false">IF(110&lt;='🌱 Configuração'!$F$55,'🌱 Configuração'!$B$56+109,"")</f>
        <v>109</v>
      </c>
      <c r="D115" s="98" t="str">
        <f aca="false">IF(110&gt;'🌱 Configuração'!$F$55,"",IF('🌱 Configuração'!$B$56+109&lt;'🌱 Configuração'!$C$56,"🌱 Clone",IF('🌱 Configuração'!$B$56+109&lt;'🌱 Configuração'!$D$56,"🌿 Vega",IF('🌱 Configuração'!$B$56+109&lt;'🌱 Configuração'!$E$56,"🌸 Flora","🚿 Flush"))))</f>
        <v>🌸 Flora</v>
      </c>
      <c r="E115" s="98"/>
      <c r="F115" s="98"/>
      <c r="G115" s="98"/>
      <c r="H115" s="98"/>
      <c r="I115" s="98"/>
      <c r="J115" s="98"/>
      <c r="K115" s="98"/>
      <c r="L115" s="1" t="str">
        <f aca="false">IF(110&gt;'🌱 Configuração'!$F$55,"",IF(F115="","—",IF(F115&lt;22,"⚠️ Temp baixa",IF(F115&gt;29,"⚠️ Temp ALTA",IF(H115="","✅ OK",IF(H115&lt;5.5,"⚠️ pH baixo",IF(H115&gt;6.9,"⚠️ pH alto",IF(I115&gt;2.5,"⚠️ CE alta","✅ OK"))))))))</f>
        <v>—</v>
      </c>
    </row>
    <row r="116" customFormat="false" ht="18" hidden="false" customHeight="true" outlineLevel="0" collapsed="false">
      <c r="B116" s="96" t="n">
        <f aca="false">IF(111&lt;='🌱 Configuração'!$F$55,111,"")</f>
        <v>111</v>
      </c>
      <c r="C116" s="97" t="n">
        <f aca="false">IF(111&lt;='🌱 Configuração'!$F$55,'🌱 Configuração'!$B$56+110,"")</f>
        <v>110</v>
      </c>
      <c r="D116" s="96" t="str">
        <f aca="false">IF(111&gt;'🌱 Configuração'!$F$55,"",IF('🌱 Configuração'!$B$56+110&lt;'🌱 Configuração'!$C$56,"🌱 Clone",IF('🌱 Configuração'!$B$56+110&lt;'🌱 Configuração'!$D$56,"🌿 Vega",IF('🌱 Configuração'!$B$56+110&lt;'🌱 Configuração'!$E$56,"🌸 Flora","🚿 Flush"))))</f>
        <v>🌸 Flora</v>
      </c>
      <c r="E116" s="96"/>
      <c r="F116" s="96"/>
      <c r="G116" s="96"/>
      <c r="H116" s="96"/>
      <c r="I116" s="96"/>
      <c r="J116" s="96"/>
      <c r="K116" s="96"/>
      <c r="L116" s="1" t="str">
        <f aca="false">IF(111&gt;'🌱 Configuração'!$F$55,"",IF(F116="","—",IF(F116&lt;22,"⚠️ Temp baixa",IF(F116&gt;29,"⚠️ Temp ALTA",IF(H116="","✅ OK",IF(H116&lt;5.5,"⚠️ pH baixo",IF(H116&gt;6.9,"⚠️ pH alto",IF(I116&gt;2.5,"⚠️ CE alta","✅ OK"))))))))</f>
        <v>—</v>
      </c>
    </row>
    <row r="117" customFormat="false" ht="18" hidden="false" customHeight="true" outlineLevel="0" collapsed="false">
      <c r="B117" s="98" t="n">
        <f aca="false">IF(112&lt;='🌱 Configuração'!$F$55,112,"")</f>
        <v>112</v>
      </c>
      <c r="C117" s="99" t="n">
        <f aca="false">IF(112&lt;='🌱 Configuração'!$F$55,'🌱 Configuração'!$B$56+111,"")</f>
        <v>111</v>
      </c>
      <c r="D117" s="98" t="str">
        <f aca="false">IF(112&gt;'🌱 Configuração'!$F$55,"",IF('🌱 Configuração'!$B$56+111&lt;'🌱 Configuração'!$C$56,"🌱 Clone",IF('🌱 Configuração'!$B$56+111&lt;'🌱 Configuração'!$D$56,"🌿 Vega",IF('🌱 Configuração'!$B$56+111&lt;'🌱 Configuração'!$E$56,"🌸 Flora","🚿 Flush"))))</f>
        <v>🌸 Flora</v>
      </c>
      <c r="E117" s="98"/>
      <c r="F117" s="98"/>
      <c r="G117" s="98"/>
      <c r="H117" s="98"/>
      <c r="I117" s="98"/>
      <c r="J117" s="98"/>
      <c r="K117" s="98"/>
      <c r="L117" s="1" t="str">
        <f aca="false">IF(112&gt;'🌱 Configuração'!$F$55,"",IF(F117="","—",IF(F117&lt;22,"⚠️ Temp baixa",IF(F117&gt;29,"⚠️ Temp ALTA",IF(H117="","✅ OK",IF(H117&lt;5.5,"⚠️ pH baixo",IF(H117&gt;6.9,"⚠️ pH alto",IF(I117&gt;2.5,"⚠️ CE alta","✅ OK"))))))))</f>
        <v>—</v>
      </c>
    </row>
    <row r="118" customFormat="false" ht="18" hidden="false" customHeight="true" outlineLevel="0" collapsed="false">
      <c r="B118" s="96" t="n">
        <f aca="false">IF(113&lt;='🌱 Configuração'!$F$55,113,"")</f>
        <v>113</v>
      </c>
      <c r="C118" s="97" t="n">
        <f aca="false">IF(113&lt;='🌱 Configuração'!$F$55,'🌱 Configuração'!$B$56+112,"")</f>
        <v>112</v>
      </c>
      <c r="D118" s="96" t="str">
        <f aca="false">IF(113&gt;'🌱 Configuração'!$F$55,"",IF('🌱 Configuração'!$B$56+112&lt;'🌱 Configuração'!$C$56,"🌱 Clone",IF('🌱 Configuração'!$B$56+112&lt;'🌱 Configuração'!$D$56,"🌿 Vega",IF('🌱 Configuração'!$B$56+112&lt;'🌱 Configuração'!$E$56,"🌸 Flora","🚿 Flush"))))</f>
        <v>🌸 Flora</v>
      </c>
      <c r="E118" s="96"/>
      <c r="F118" s="96"/>
      <c r="G118" s="96"/>
      <c r="H118" s="96"/>
      <c r="I118" s="96"/>
      <c r="J118" s="96"/>
      <c r="K118" s="96"/>
      <c r="L118" s="1" t="str">
        <f aca="false">IF(113&gt;'🌱 Configuração'!$F$55,"",IF(F118="","—",IF(F118&lt;22,"⚠️ Temp baixa",IF(F118&gt;29,"⚠️ Temp ALTA",IF(H118="","✅ OK",IF(H118&lt;5.5,"⚠️ pH baixo",IF(H118&gt;6.9,"⚠️ pH alto",IF(I118&gt;2.5,"⚠️ CE alta","✅ OK"))))))))</f>
        <v>—</v>
      </c>
    </row>
    <row r="119" customFormat="false" ht="18" hidden="false" customHeight="true" outlineLevel="0" collapsed="false">
      <c r="B119" s="98" t="n">
        <f aca="false">IF(114&lt;='🌱 Configuração'!$F$55,114,"")</f>
        <v>114</v>
      </c>
      <c r="C119" s="99" t="n">
        <f aca="false">IF(114&lt;='🌱 Configuração'!$F$55,'🌱 Configuração'!$B$56+113,"")</f>
        <v>113</v>
      </c>
      <c r="D119" s="98" t="str">
        <f aca="false">IF(114&gt;'🌱 Configuração'!$F$55,"",IF('🌱 Configuração'!$B$56+113&lt;'🌱 Configuração'!$C$56,"🌱 Clone",IF('🌱 Configuração'!$B$56+113&lt;'🌱 Configuração'!$D$56,"🌿 Vega",IF('🌱 Configuração'!$B$56+113&lt;'🌱 Configuração'!$E$56,"🌸 Flora","🚿 Flush"))))</f>
        <v>🌸 Flora</v>
      </c>
      <c r="E119" s="98"/>
      <c r="F119" s="98"/>
      <c r="G119" s="98"/>
      <c r="H119" s="98"/>
      <c r="I119" s="98"/>
      <c r="J119" s="98"/>
      <c r="K119" s="98"/>
      <c r="L119" s="1" t="str">
        <f aca="false">IF(114&gt;'🌱 Configuração'!$F$55,"",IF(F119="","—",IF(F119&lt;22,"⚠️ Temp baixa",IF(F119&gt;29,"⚠️ Temp ALTA",IF(H119="","✅ OK",IF(H119&lt;5.5,"⚠️ pH baixo",IF(H119&gt;6.9,"⚠️ pH alto",IF(I119&gt;2.5,"⚠️ CE alta","✅ OK"))))))))</f>
        <v>—</v>
      </c>
    </row>
    <row r="120" customFormat="false" ht="18" hidden="false" customHeight="true" outlineLevel="0" collapsed="false">
      <c r="B120" s="96" t="n">
        <f aca="false">IF(115&lt;='🌱 Configuração'!$F$55,115,"")</f>
        <v>115</v>
      </c>
      <c r="C120" s="97" t="n">
        <f aca="false">IF(115&lt;='🌱 Configuração'!$F$55,'🌱 Configuração'!$B$56+114,"")</f>
        <v>114</v>
      </c>
      <c r="D120" s="96" t="str">
        <f aca="false">IF(115&gt;'🌱 Configuração'!$F$55,"",IF('🌱 Configuração'!$B$56+114&lt;'🌱 Configuração'!$C$56,"🌱 Clone",IF('🌱 Configuração'!$B$56+114&lt;'🌱 Configuração'!$D$56,"🌿 Vega",IF('🌱 Configuração'!$B$56+114&lt;'🌱 Configuração'!$E$56,"🌸 Flora","🚿 Flush"))))</f>
        <v>🌸 Flora</v>
      </c>
      <c r="E120" s="96"/>
      <c r="F120" s="96"/>
      <c r="G120" s="96"/>
      <c r="H120" s="96"/>
      <c r="I120" s="96"/>
      <c r="J120" s="96"/>
      <c r="K120" s="96"/>
      <c r="L120" s="1" t="str">
        <f aca="false">IF(115&gt;'🌱 Configuração'!$F$55,"",IF(F120="","—",IF(F120&lt;22,"⚠️ Temp baixa",IF(F120&gt;29,"⚠️ Temp ALTA",IF(H120="","✅ OK",IF(H120&lt;5.5,"⚠️ pH baixo",IF(H120&gt;6.9,"⚠️ pH alto",IF(I120&gt;2.5,"⚠️ CE alta","✅ OK"))))))))</f>
        <v>—</v>
      </c>
    </row>
    <row r="121" customFormat="false" ht="18" hidden="false" customHeight="true" outlineLevel="0" collapsed="false">
      <c r="B121" s="98" t="n">
        <f aca="false">IF(116&lt;='🌱 Configuração'!$F$55,116,"")</f>
        <v>116</v>
      </c>
      <c r="C121" s="99" t="n">
        <f aca="false">IF(116&lt;='🌱 Configuração'!$F$55,'🌱 Configuração'!$B$56+115,"")</f>
        <v>115</v>
      </c>
      <c r="D121" s="98" t="str">
        <f aca="false">IF(116&gt;'🌱 Configuração'!$F$55,"",IF('🌱 Configuração'!$B$56+115&lt;'🌱 Configuração'!$C$56,"🌱 Clone",IF('🌱 Configuração'!$B$56+115&lt;'🌱 Configuração'!$D$56,"🌿 Vega",IF('🌱 Configuração'!$B$56+115&lt;'🌱 Configuração'!$E$56,"🌸 Flora","🚿 Flush"))))</f>
        <v>🌸 Flora</v>
      </c>
      <c r="E121" s="98"/>
      <c r="F121" s="98"/>
      <c r="G121" s="98"/>
      <c r="H121" s="98"/>
      <c r="I121" s="98"/>
      <c r="J121" s="98"/>
      <c r="K121" s="98"/>
      <c r="L121" s="1" t="str">
        <f aca="false">IF(116&gt;'🌱 Configuração'!$F$55,"",IF(F121="","—",IF(F121&lt;22,"⚠️ Temp baixa",IF(F121&gt;29,"⚠️ Temp ALTA",IF(H121="","✅ OK",IF(H121&lt;5.5,"⚠️ pH baixo",IF(H121&gt;6.9,"⚠️ pH alto",IF(I121&gt;2.5,"⚠️ CE alta","✅ OK"))))))))</f>
        <v>—</v>
      </c>
    </row>
    <row r="122" customFormat="false" ht="18" hidden="false" customHeight="true" outlineLevel="0" collapsed="false">
      <c r="B122" s="96" t="n">
        <f aca="false">IF(117&lt;='🌱 Configuração'!$F$55,117,"")</f>
        <v>117</v>
      </c>
      <c r="C122" s="97" t="n">
        <f aca="false">IF(117&lt;='🌱 Configuração'!$F$55,'🌱 Configuração'!$B$56+116,"")</f>
        <v>116</v>
      </c>
      <c r="D122" s="96" t="str">
        <f aca="false">IF(117&gt;'🌱 Configuração'!$F$55,"",IF('🌱 Configuração'!$B$56+116&lt;'🌱 Configuração'!$C$56,"🌱 Clone",IF('🌱 Configuração'!$B$56+116&lt;'🌱 Configuração'!$D$56,"🌿 Vega",IF('🌱 Configuração'!$B$56+116&lt;'🌱 Configuração'!$E$56,"🌸 Flora","🚿 Flush"))))</f>
        <v>🌸 Flora</v>
      </c>
      <c r="E122" s="96"/>
      <c r="F122" s="96"/>
      <c r="G122" s="96"/>
      <c r="H122" s="96"/>
      <c r="I122" s="96"/>
      <c r="J122" s="96"/>
      <c r="K122" s="96"/>
      <c r="L122" s="1" t="str">
        <f aca="false">IF(117&gt;'🌱 Configuração'!$F$55,"",IF(F122="","—",IF(F122&lt;22,"⚠️ Temp baixa",IF(F122&gt;29,"⚠️ Temp ALTA",IF(H122="","✅ OK",IF(H122&lt;5.5,"⚠️ pH baixo",IF(H122&gt;6.9,"⚠️ pH alto",IF(I122&gt;2.5,"⚠️ CE alta","✅ OK"))))))))</f>
        <v>—</v>
      </c>
    </row>
    <row r="123" customFormat="false" ht="18" hidden="false" customHeight="true" outlineLevel="0" collapsed="false">
      <c r="B123" s="98" t="n">
        <f aca="false">IF(118&lt;='🌱 Configuração'!$F$55,118,"")</f>
        <v>118</v>
      </c>
      <c r="C123" s="99" t="n">
        <f aca="false">IF(118&lt;='🌱 Configuração'!$F$55,'🌱 Configuração'!$B$56+117,"")</f>
        <v>117</v>
      </c>
      <c r="D123" s="98" t="str">
        <f aca="false">IF(118&gt;'🌱 Configuração'!$F$55,"",IF('🌱 Configuração'!$B$56+117&lt;'🌱 Configuração'!$C$56,"🌱 Clone",IF('🌱 Configuração'!$B$56+117&lt;'🌱 Configuração'!$D$56,"🌿 Vega",IF('🌱 Configuração'!$B$56+117&lt;'🌱 Configuração'!$E$56,"🌸 Flora","🚿 Flush"))))</f>
        <v>🌸 Flora</v>
      </c>
      <c r="E123" s="98"/>
      <c r="F123" s="98"/>
      <c r="G123" s="98"/>
      <c r="H123" s="98"/>
      <c r="I123" s="98"/>
      <c r="J123" s="98"/>
      <c r="K123" s="98"/>
      <c r="L123" s="1" t="str">
        <f aca="false">IF(118&gt;'🌱 Configuração'!$F$55,"",IF(F123="","—",IF(F123&lt;22,"⚠️ Temp baixa",IF(F123&gt;29,"⚠️ Temp ALTA",IF(H123="","✅ OK",IF(H123&lt;5.5,"⚠️ pH baixo",IF(H123&gt;6.9,"⚠️ pH alto",IF(I123&gt;2.5,"⚠️ CE alta","✅ OK"))))))))</f>
        <v>—</v>
      </c>
    </row>
    <row r="124" customFormat="false" ht="18" hidden="false" customHeight="true" outlineLevel="0" collapsed="false">
      <c r="B124" s="96" t="n">
        <f aca="false">IF(119&lt;='🌱 Configuração'!$F$55,119,"")</f>
        <v>119</v>
      </c>
      <c r="C124" s="97" t="n">
        <f aca="false">IF(119&lt;='🌱 Configuração'!$F$55,'🌱 Configuração'!$B$56+118,"")</f>
        <v>118</v>
      </c>
      <c r="D124" s="96" t="str">
        <f aca="false">IF(119&gt;'🌱 Configuração'!$F$55,"",IF('🌱 Configuração'!$B$56+118&lt;'🌱 Configuração'!$C$56,"🌱 Clone",IF('🌱 Configuração'!$B$56+118&lt;'🌱 Configuração'!$D$56,"🌿 Vega",IF('🌱 Configuração'!$B$56+118&lt;'🌱 Configuração'!$E$56,"🌸 Flora","🚿 Flush"))))</f>
        <v>🌸 Flora</v>
      </c>
      <c r="E124" s="96"/>
      <c r="F124" s="96"/>
      <c r="G124" s="96"/>
      <c r="H124" s="96"/>
      <c r="I124" s="96"/>
      <c r="J124" s="96"/>
      <c r="K124" s="96"/>
      <c r="L124" s="1" t="str">
        <f aca="false">IF(119&gt;'🌱 Configuração'!$F$55,"",IF(F124="","—",IF(F124&lt;22,"⚠️ Temp baixa",IF(F124&gt;29,"⚠️ Temp ALTA",IF(H124="","✅ OK",IF(H124&lt;5.5,"⚠️ pH baixo",IF(H124&gt;6.9,"⚠️ pH alto",IF(I124&gt;2.5,"⚠️ CE alta","✅ OK"))))))))</f>
        <v>—</v>
      </c>
    </row>
    <row r="125" customFormat="false" ht="18" hidden="false" customHeight="true" outlineLevel="0" collapsed="false">
      <c r="B125" s="98" t="n">
        <f aca="false">IF(120&lt;='🌱 Configuração'!$F$55,120,"")</f>
        <v>120</v>
      </c>
      <c r="C125" s="99" t="n">
        <f aca="false">IF(120&lt;='🌱 Configuração'!$F$55,'🌱 Configuração'!$B$56+119,"")</f>
        <v>119</v>
      </c>
      <c r="D125" s="98" t="str">
        <f aca="false">IF(120&gt;'🌱 Configuração'!$F$55,"",IF('🌱 Configuração'!$B$56+119&lt;'🌱 Configuração'!$C$56,"🌱 Clone",IF('🌱 Configuração'!$B$56+119&lt;'🌱 Configuração'!$D$56,"🌿 Vega",IF('🌱 Configuração'!$B$56+119&lt;'🌱 Configuração'!$E$56,"🌸 Flora","🚿 Flush"))))</f>
        <v>🚿 Flush</v>
      </c>
      <c r="E125" s="98"/>
      <c r="F125" s="98"/>
      <c r="G125" s="98"/>
      <c r="H125" s="98"/>
      <c r="I125" s="98"/>
      <c r="J125" s="98"/>
      <c r="K125" s="98"/>
      <c r="L125" s="1" t="str">
        <f aca="false">IF(120&gt;'🌱 Configuração'!$F$55,"",IF(F125="","—",IF(F125&lt;22,"⚠️ Temp baixa",IF(F125&gt;29,"⚠️ Temp ALTA",IF(H125="","✅ OK",IF(H125&lt;5.5,"⚠️ pH baixo",IF(H125&gt;6.9,"⚠️ pH alto",IF(I125&gt;2.5,"⚠️ CE alta","✅ OK"))))))))</f>
        <v>—</v>
      </c>
    </row>
    <row r="126" customFormat="false" ht="18" hidden="false" customHeight="true" outlineLevel="0" collapsed="false">
      <c r="B126" s="96" t="n">
        <f aca="false">IF(121&lt;='🌱 Configuração'!$F$55,121,"")</f>
        <v>121</v>
      </c>
      <c r="C126" s="97" t="n">
        <f aca="false">IF(121&lt;='🌱 Configuração'!$F$55,'🌱 Configuração'!$B$56+120,"")</f>
        <v>120</v>
      </c>
      <c r="D126" s="96" t="str">
        <f aca="false">IF(121&gt;'🌱 Configuração'!$F$55,"",IF('🌱 Configuração'!$B$56+120&lt;'🌱 Configuração'!$C$56,"🌱 Clone",IF('🌱 Configuração'!$B$56+120&lt;'🌱 Configuração'!$D$56,"🌿 Vega",IF('🌱 Configuração'!$B$56+120&lt;'🌱 Configuração'!$E$56,"🌸 Flora","🚿 Flush"))))</f>
        <v>🚿 Flush</v>
      </c>
      <c r="E126" s="96"/>
      <c r="F126" s="96"/>
      <c r="G126" s="96"/>
      <c r="H126" s="96"/>
      <c r="I126" s="96"/>
      <c r="J126" s="96"/>
      <c r="K126" s="96"/>
      <c r="L126" s="1" t="str">
        <f aca="false">IF(121&gt;'🌱 Configuração'!$F$55,"",IF(F126="","—",IF(F126&lt;22,"⚠️ Temp baixa",IF(F126&gt;29,"⚠️ Temp ALTA",IF(H126="","✅ OK",IF(H126&lt;5.5,"⚠️ pH baixo",IF(H126&gt;6.9,"⚠️ pH alto",IF(I126&gt;2.5,"⚠️ CE alta","✅ OK"))))))))</f>
        <v>—</v>
      </c>
    </row>
    <row r="127" customFormat="false" ht="18" hidden="false" customHeight="true" outlineLevel="0" collapsed="false">
      <c r="B127" s="98" t="n">
        <f aca="false">IF(122&lt;='🌱 Configuração'!$F$55,122,"")</f>
        <v>122</v>
      </c>
      <c r="C127" s="99" t="n">
        <f aca="false">IF(122&lt;='🌱 Configuração'!$F$55,'🌱 Configuração'!$B$56+121,"")</f>
        <v>121</v>
      </c>
      <c r="D127" s="98" t="str">
        <f aca="false">IF(122&gt;'🌱 Configuração'!$F$55,"",IF('🌱 Configuração'!$B$56+121&lt;'🌱 Configuração'!$C$56,"🌱 Clone",IF('🌱 Configuração'!$B$56+121&lt;'🌱 Configuração'!$D$56,"🌿 Vega",IF('🌱 Configuração'!$B$56+121&lt;'🌱 Configuração'!$E$56,"🌸 Flora","🚿 Flush"))))</f>
        <v>🚿 Flush</v>
      </c>
      <c r="E127" s="98"/>
      <c r="F127" s="98"/>
      <c r="G127" s="98"/>
      <c r="H127" s="98"/>
      <c r="I127" s="98"/>
      <c r="J127" s="98"/>
      <c r="K127" s="98"/>
      <c r="L127" s="1" t="str">
        <f aca="false">IF(122&gt;'🌱 Configuração'!$F$55,"",IF(F127="","—",IF(F127&lt;22,"⚠️ Temp baixa",IF(F127&gt;29,"⚠️ Temp ALTA",IF(H127="","✅ OK",IF(H127&lt;5.5,"⚠️ pH baixo",IF(H127&gt;6.9,"⚠️ pH alto",IF(I127&gt;2.5,"⚠️ CE alta","✅ OK"))))))))</f>
        <v>—</v>
      </c>
    </row>
    <row r="128" customFormat="false" ht="18" hidden="false" customHeight="true" outlineLevel="0" collapsed="false">
      <c r="B128" s="96" t="n">
        <f aca="false">IF(123&lt;='🌱 Configuração'!$F$55,123,"")</f>
        <v>123</v>
      </c>
      <c r="C128" s="97" t="n">
        <f aca="false">IF(123&lt;='🌱 Configuração'!$F$55,'🌱 Configuração'!$B$56+122,"")</f>
        <v>122</v>
      </c>
      <c r="D128" s="96" t="str">
        <f aca="false">IF(123&gt;'🌱 Configuração'!$F$55,"",IF('🌱 Configuração'!$B$56+122&lt;'🌱 Configuração'!$C$56,"🌱 Clone",IF('🌱 Configuração'!$B$56+122&lt;'🌱 Configuração'!$D$56,"🌿 Vega",IF('🌱 Configuração'!$B$56+122&lt;'🌱 Configuração'!$E$56,"🌸 Flora","🚿 Flush"))))</f>
        <v>🚿 Flush</v>
      </c>
      <c r="E128" s="96"/>
      <c r="F128" s="96"/>
      <c r="G128" s="96"/>
      <c r="H128" s="96"/>
      <c r="I128" s="96"/>
      <c r="J128" s="96"/>
      <c r="K128" s="96"/>
      <c r="L128" s="1" t="str">
        <f aca="false">IF(123&gt;'🌱 Configuração'!$F$55,"",IF(F128="","—",IF(F128&lt;22,"⚠️ Temp baixa",IF(F128&gt;29,"⚠️ Temp ALTA",IF(H128="","✅ OK",IF(H128&lt;5.5,"⚠️ pH baixo",IF(H128&gt;6.9,"⚠️ pH alto",IF(I128&gt;2.5,"⚠️ CE alta","✅ OK"))))))))</f>
        <v>—</v>
      </c>
    </row>
    <row r="129" customFormat="false" ht="18" hidden="false" customHeight="true" outlineLevel="0" collapsed="false">
      <c r="B129" s="98" t="n">
        <f aca="false">IF(124&lt;='🌱 Configuração'!$F$55,124,"")</f>
        <v>124</v>
      </c>
      <c r="C129" s="99" t="n">
        <f aca="false">IF(124&lt;='🌱 Configuração'!$F$55,'🌱 Configuração'!$B$56+123,"")</f>
        <v>123</v>
      </c>
      <c r="D129" s="98" t="str">
        <f aca="false">IF(124&gt;'🌱 Configuração'!$F$55,"",IF('🌱 Configuração'!$B$56+123&lt;'🌱 Configuração'!$C$56,"🌱 Clone",IF('🌱 Configuração'!$B$56+123&lt;'🌱 Configuração'!$D$56,"🌿 Vega",IF('🌱 Configuração'!$B$56+123&lt;'🌱 Configuração'!$E$56,"🌸 Flora","🚿 Flush"))))</f>
        <v>🚿 Flush</v>
      </c>
      <c r="E129" s="98"/>
      <c r="F129" s="98"/>
      <c r="G129" s="98"/>
      <c r="H129" s="98"/>
      <c r="I129" s="98"/>
      <c r="J129" s="98"/>
      <c r="K129" s="98"/>
      <c r="L129" s="1" t="str">
        <f aca="false">IF(124&gt;'🌱 Configuração'!$F$55,"",IF(F129="","—",IF(F129&lt;22,"⚠️ Temp baixa",IF(F129&gt;29,"⚠️ Temp ALTA",IF(H129="","✅ OK",IF(H129&lt;5.5,"⚠️ pH baixo",IF(H129&gt;6.9,"⚠️ pH alto",IF(I129&gt;2.5,"⚠️ CE alta","✅ OK"))))))))</f>
        <v>—</v>
      </c>
    </row>
    <row r="130" customFormat="false" ht="18" hidden="false" customHeight="true" outlineLevel="0" collapsed="false">
      <c r="B130" s="96" t="n">
        <f aca="false">IF(125&lt;='🌱 Configuração'!$F$55,125,"")</f>
        <v>125</v>
      </c>
      <c r="C130" s="97" t="n">
        <f aca="false">IF(125&lt;='🌱 Configuração'!$F$55,'🌱 Configuração'!$B$56+124,"")</f>
        <v>124</v>
      </c>
      <c r="D130" s="96" t="str">
        <f aca="false">IF(125&gt;'🌱 Configuração'!$F$55,"",IF('🌱 Configuração'!$B$56+124&lt;'🌱 Configuração'!$C$56,"🌱 Clone",IF('🌱 Configuração'!$B$56+124&lt;'🌱 Configuração'!$D$56,"🌿 Vega",IF('🌱 Configuração'!$B$56+124&lt;'🌱 Configuração'!$E$56,"🌸 Flora","🚿 Flush"))))</f>
        <v>🚿 Flush</v>
      </c>
      <c r="E130" s="96"/>
      <c r="F130" s="96"/>
      <c r="G130" s="96"/>
      <c r="H130" s="96"/>
      <c r="I130" s="96"/>
      <c r="J130" s="96"/>
      <c r="K130" s="96"/>
      <c r="L130" s="1" t="str">
        <f aca="false">IF(125&gt;'🌱 Configuração'!$F$55,"",IF(F130="","—",IF(F130&lt;22,"⚠️ Temp baixa",IF(F130&gt;29,"⚠️ Temp ALTA",IF(H130="","✅ OK",IF(H130&lt;5.5,"⚠️ pH baixo",IF(H130&gt;6.9,"⚠️ pH alto",IF(I130&gt;2.5,"⚠️ CE alta","✅ OK"))))))))</f>
        <v>—</v>
      </c>
    </row>
    <row r="131" customFormat="false" ht="18" hidden="false" customHeight="true" outlineLevel="0" collapsed="false">
      <c r="B131" s="98" t="n">
        <f aca="false">IF(126&lt;='🌱 Configuração'!$F$55,126,"")</f>
        <v>126</v>
      </c>
      <c r="C131" s="99" t="n">
        <f aca="false">IF(126&lt;='🌱 Configuração'!$F$55,'🌱 Configuração'!$B$56+125,"")</f>
        <v>125</v>
      </c>
      <c r="D131" s="98" t="str">
        <f aca="false">IF(126&gt;'🌱 Configuração'!$F$55,"",IF('🌱 Configuração'!$B$56+125&lt;'🌱 Configuração'!$C$56,"🌱 Clone",IF('🌱 Configuração'!$B$56+125&lt;'🌱 Configuração'!$D$56,"🌿 Vega",IF('🌱 Configuração'!$B$56+125&lt;'🌱 Configuração'!$E$56,"🌸 Flora","🚿 Flush"))))</f>
        <v>🚿 Flush</v>
      </c>
      <c r="E131" s="98"/>
      <c r="F131" s="98"/>
      <c r="G131" s="98"/>
      <c r="H131" s="98"/>
      <c r="I131" s="98"/>
      <c r="J131" s="98"/>
      <c r="K131" s="98"/>
      <c r="L131" s="1" t="str">
        <f aca="false">IF(126&gt;'🌱 Configuração'!$F$55,"",IF(F131="","—",IF(F131&lt;22,"⚠️ Temp baixa",IF(F131&gt;29,"⚠️ Temp ALTA",IF(H131="","✅ OK",IF(H131&lt;5.5,"⚠️ pH baixo",IF(H131&gt;6.9,"⚠️ pH alto",IF(I131&gt;2.5,"⚠️ CE alta","✅ OK"))))))))</f>
        <v>—</v>
      </c>
    </row>
    <row r="132" customFormat="false" ht="18" hidden="false" customHeight="true" outlineLevel="0" collapsed="false">
      <c r="B132" s="96" t="str">
        <f aca="false">IF(127&lt;='🌱 Configuração'!$F$55,127,"")</f>
        <v/>
      </c>
      <c r="C132" s="97" t="str">
        <f aca="false">IF(127&lt;='🌱 Configuração'!$F$55,'🌱 Configuração'!$B$56+126,"")</f>
        <v/>
      </c>
      <c r="D132" s="96" t="str">
        <f aca="false">IF(127&gt;'🌱 Configuração'!$F$55,"",IF('🌱 Configuração'!$B$56+126&lt;'🌱 Configuração'!$C$56,"🌱 Clone",IF('🌱 Configuração'!$B$56+126&lt;'🌱 Configuração'!$D$56,"🌿 Vega",IF('🌱 Configuração'!$B$56+126&lt;'🌱 Configuração'!$E$56,"🌸 Flora","🚿 Flush"))))</f>
        <v/>
      </c>
      <c r="E132" s="96"/>
      <c r="F132" s="96"/>
      <c r="G132" s="96"/>
      <c r="H132" s="96"/>
      <c r="I132" s="96"/>
      <c r="J132" s="96"/>
      <c r="K132" s="96"/>
      <c r="L132" s="1" t="str">
        <f aca="false">IF(127&gt;'🌱 Configuração'!$F$55,"",IF(F132="","—",IF(F132&lt;22,"⚠️ Temp baixa",IF(F132&gt;29,"⚠️ Temp ALTA",IF(H132="","✅ OK",IF(H132&lt;5.5,"⚠️ pH baixo",IF(H132&gt;6.9,"⚠️ pH alto",IF(I132&gt;2.5,"⚠️ CE alta","✅ OK"))))))))</f>
        <v/>
      </c>
    </row>
    <row r="133" customFormat="false" ht="18" hidden="false" customHeight="true" outlineLevel="0" collapsed="false">
      <c r="B133" s="98" t="str">
        <f aca="false">IF(128&lt;='🌱 Configuração'!$F$55,128,"")</f>
        <v/>
      </c>
      <c r="C133" s="99" t="str">
        <f aca="false">IF(128&lt;='🌱 Configuração'!$F$55,'🌱 Configuração'!$B$56+127,"")</f>
        <v/>
      </c>
      <c r="D133" s="98" t="str">
        <f aca="false">IF(128&gt;'🌱 Configuração'!$F$55,"",IF('🌱 Configuração'!$B$56+127&lt;'🌱 Configuração'!$C$56,"🌱 Clone",IF('🌱 Configuração'!$B$56+127&lt;'🌱 Configuração'!$D$56,"🌿 Vega",IF('🌱 Configuração'!$B$56+127&lt;'🌱 Configuração'!$E$56,"🌸 Flora","🚿 Flush"))))</f>
        <v/>
      </c>
      <c r="E133" s="98"/>
      <c r="F133" s="98"/>
      <c r="G133" s="98"/>
      <c r="H133" s="98"/>
      <c r="I133" s="98"/>
      <c r="J133" s="98"/>
      <c r="K133" s="98"/>
      <c r="L133" s="1" t="str">
        <f aca="false">IF(128&gt;'🌱 Configuração'!$F$55,"",IF(F133="","—",IF(F133&lt;22,"⚠️ Temp baixa",IF(F133&gt;29,"⚠️ Temp ALTA",IF(H133="","✅ OK",IF(H133&lt;5.5,"⚠️ pH baixo",IF(H133&gt;6.9,"⚠️ pH alto",IF(I133&gt;2.5,"⚠️ CE alta","✅ OK"))))))))</f>
        <v/>
      </c>
    </row>
    <row r="134" customFormat="false" ht="18" hidden="false" customHeight="true" outlineLevel="0" collapsed="false">
      <c r="B134" s="96" t="str">
        <f aca="false">IF(129&lt;='🌱 Configuração'!$F$55,129,"")</f>
        <v/>
      </c>
      <c r="C134" s="97" t="str">
        <f aca="false">IF(129&lt;='🌱 Configuração'!$F$55,'🌱 Configuração'!$B$56+128,"")</f>
        <v/>
      </c>
      <c r="D134" s="96" t="str">
        <f aca="false">IF(129&gt;'🌱 Configuração'!$F$55,"",IF('🌱 Configuração'!$B$56+128&lt;'🌱 Configuração'!$C$56,"🌱 Clone",IF('🌱 Configuração'!$B$56+128&lt;'🌱 Configuração'!$D$56,"🌿 Vega",IF('🌱 Configuração'!$B$56+128&lt;'🌱 Configuração'!$E$56,"🌸 Flora","🚿 Flush"))))</f>
        <v/>
      </c>
      <c r="E134" s="96"/>
      <c r="F134" s="96"/>
      <c r="G134" s="96"/>
      <c r="H134" s="96"/>
      <c r="I134" s="96"/>
      <c r="J134" s="96"/>
      <c r="K134" s="96"/>
      <c r="L134" s="1" t="str">
        <f aca="false">IF(129&gt;'🌱 Configuração'!$F$55,"",IF(F134="","—",IF(F134&lt;22,"⚠️ Temp baixa",IF(F134&gt;29,"⚠️ Temp ALTA",IF(H134="","✅ OK",IF(H134&lt;5.5,"⚠️ pH baixo",IF(H134&gt;6.9,"⚠️ pH alto",IF(I134&gt;2.5,"⚠️ CE alta","✅ OK"))))))))</f>
        <v/>
      </c>
    </row>
    <row r="135" customFormat="false" ht="18" hidden="false" customHeight="true" outlineLevel="0" collapsed="false">
      <c r="B135" s="98" t="str">
        <f aca="false">IF(130&lt;='🌱 Configuração'!$F$55,130,"")</f>
        <v/>
      </c>
      <c r="C135" s="99" t="str">
        <f aca="false">IF(130&lt;='🌱 Configuração'!$F$55,'🌱 Configuração'!$B$56+129,"")</f>
        <v/>
      </c>
      <c r="D135" s="98" t="str">
        <f aca="false">IF(130&gt;'🌱 Configuração'!$F$55,"",IF('🌱 Configuração'!$B$56+129&lt;'🌱 Configuração'!$C$56,"🌱 Clone",IF('🌱 Configuração'!$B$56+129&lt;'🌱 Configuração'!$D$56,"🌿 Vega",IF('🌱 Configuração'!$B$56+129&lt;'🌱 Configuração'!$E$56,"🌸 Flora","🚿 Flush"))))</f>
        <v/>
      </c>
      <c r="E135" s="98"/>
      <c r="F135" s="98"/>
      <c r="G135" s="98"/>
      <c r="H135" s="98"/>
      <c r="I135" s="98"/>
      <c r="J135" s="98"/>
      <c r="K135" s="98"/>
      <c r="L135" s="1" t="str">
        <f aca="false">IF(130&gt;'🌱 Configuração'!$F$55,"",IF(F135="","—",IF(F135&lt;22,"⚠️ Temp baixa",IF(F135&gt;29,"⚠️ Temp ALTA",IF(H135="","✅ OK",IF(H135&lt;5.5,"⚠️ pH baixo",IF(H135&gt;6.9,"⚠️ pH alto",IF(I135&gt;2.5,"⚠️ CE alta","✅ OK"))))))))</f>
        <v/>
      </c>
    </row>
    <row r="136" customFormat="false" ht="18" hidden="false" customHeight="true" outlineLevel="0" collapsed="false">
      <c r="B136" s="96" t="str">
        <f aca="false">IF(131&lt;='🌱 Configuração'!$F$55,131,"")</f>
        <v/>
      </c>
      <c r="C136" s="97" t="str">
        <f aca="false">IF(131&lt;='🌱 Configuração'!$F$55,'🌱 Configuração'!$B$56+130,"")</f>
        <v/>
      </c>
      <c r="D136" s="96" t="str">
        <f aca="false">IF(131&gt;'🌱 Configuração'!$F$55,"",IF('🌱 Configuração'!$B$56+130&lt;'🌱 Configuração'!$C$56,"🌱 Clone",IF('🌱 Configuração'!$B$56+130&lt;'🌱 Configuração'!$D$56,"🌿 Vega",IF('🌱 Configuração'!$B$56+130&lt;'🌱 Configuração'!$E$56,"🌸 Flora","🚿 Flush"))))</f>
        <v/>
      </c>
      <c r="E136" s="96"/>
      <c r="F136" s="96"/>
      <c r="G136" s="96"/>
      <c r="H136" s="96"/>
      <c r="I136" s="96"/>
      <c r="J136" s="96"/>
      <c r="K136" s="96"/>
      <c r="L136" s="1" t="str">
        <f aca="false">IF(131&gt;'🌱 Configuração'!$F$55,"",IF(F136="","—",IF(F136&lt;22,"⚠️ Temp baixa",IF(F136&gt;29,"⚠️ Temp ALTA",IF(H136="","✅ OK",IF(H136&lt;5.5,"⚠️ pH baixo",IF(H136&gt;6.9,"⚠️ pH alto",IF(I136&gt;2.5,"⚠️ CE alta","✅ OK"))))))))</f>
        <v/>
      </c>
    </row>
    <row r="137" customFormat="false" ht="18" hidden="false" customHeight="true" outlineLevel="0" collapsed="false">
      <c r="B137" s="98" t="str">
        <f aca="false">IF(132&lt;='🌱 Configuração'!$F$55,132,"")</f>
        <v/>
      </c>
      <c r="C137" s="99" t="str">
        <f aca="false">IF(132&lt;='🌱 Configuração'!$F$55,'🌱 Configuração'!$B$56+131,"")</f>
        <v/>
      </c>
      <c r="D137" s="98" t="str">
        <f aca="false">IF(132&gt;'🌱 Configuração'!$F$55,"",IF('🌱 Configuração'!$B$56+131&lt;'🌱 Configuração'!$C$56,"🌱 Clone",IF('🌱 Configuração'!$B$56+131&lt;'🌱 Configuração'!$D$56,"🌿 Vega",IF('🌱 Configuração'!$B$56+131&lt;'🌱 Configuração'!$E$56,"🌸 Flora","🚿 Flush"))))</f>
        <v/>
      </c>
      <c r="E137" s="98"/>
      <c r="F137" s="98"/>
      <c r="G137" s="98"/>
      <c r="H137" s="98"/>
      <c r="I137" s="98"/>
      <c r="J137" s="98"/>
      <c r="K137" s="98"/>
      <c r="L137" s="1" t="str">
        <f aca="false">IF(132&gt;'🌱 Configuração'!$F$55,"",IF(F137="","—",IF(F137&lt;22,"⚠️ Temp baixa",IF(F137&gt;29,"⚠️ Temp ALTA",IF(H137="","✅ OK",IF(H137&lt;5.5,"⚠️ pH baixo",IF(H137&gt;6.9,"⚠️ pH alto",IF(I137&gt;2.5,"⚠️ CE alta","✅ OK"))))))))</f>
        <v/>
      </c>
    </row>
    <row r="138" customFormat="false" ht="18" hidden="false" customHeight="true" outlineLevel="0" collapsed="false">
      <c r="B138" s="96" t="str">
        <f aca="false">IF(133&lt;='🌱 Configuração'!$F$55,133,"")</f>
        <v/>
      </c>
      <c r="C138" s="97" t="str">
        <f aca="false">IF(133&lt;='🌱 Configuração'!$F$55,'🌱 Configuração'!$B$56+132,"")</f>
        <v/>
      </c>
      <c r="D138" s="96" t="str">
        <f aca="false">IF(133&gt;'🌱 Configuração'!$F$55,"",IF('🌱 Configuração'!$B$56+132&lt;'🌱 Configuração'!$C$56,"🌱 Clone",IF('🌱 Configuração'!$B$56+132&lt;'🌱 Configuração'!$D$56,"🌿 Vega",IF('🌱 Configuração'!$B$56+132&lt;'🌱 Configuração'!$E$56,"🌸 Flora","🚿 Flush"))))</f>
        <v/>
      </c>
      <c r="E138" s="96"/>
      <c r="F138" s="96"/>
      <c r="G138" s="96"/>
      <c r="H138" s="96"/>
      <c r="I138" s="96"/>
      <c r="J138" s="96"/>
      <c r="K138" s="96"/>
      <c r="L138" s="1" t="str">
        <f aca="false">IF(133&gt;'🌱 Configuração'!$F$55,"",IF(F138="","—",IF(F138&lt;22,"⚠️ Temp baixa",IF(F138&gt;29,"⚠️ Temp ALTA",IF(H138="","✅ OK",IF(H138&lt;5.5,"⚠️ pH baixo",IF(H138&gt;6.9,"⚠️ pH alto",IF(I138&gt;2.5,"⚠️ CE alta","✅ OK"))))))))</f>
        <v/>
      </c>
    </row>
    <row r="139" customFormat="false" ht="18" hidden="false" customHeight="true" outlineLevel="0" collapsed="false">
      <c r="B139" s="98" t="str">
        <f aca="false">IF(134&lt;='🌱 Configuração'!$F$55,134,"")</f>
        <v/>
      </c>
      <c r="C139" s="99" t="str">
        <f aca="false">IF(134&lt;='🌱 Configuração'!$F$55,'🌱 Configuração'!$B$56+133,"")</f>
        <v/>
      </c>
      <c r="D139" s="98" t="str">
        <f aca="false">IF(134&gt;'🌱 Configuração'!$F$55,"",IF('🌱 Configuração'!$B$56+133&lt;'🌱 Configuração'!$C$56,"🌱 Clone",IF('🌱 Configuração'!$B$56+133&lt;'🌱 Configuração'!$D$56,"🌿 Vega",IF('🌱 Configuração'!$B$56+133&lt;'🌱 Configuração'!$E$56,"🌸 Flora","🚿 Flush"))))</f>
        <v/>
      </c>
      <c r="E139" s="98"/>
      <c r="F139" s="98"/>
      <c r="G139" s="98"/>
      <c r="H139" s="98"/>
      <c r="I139" s="98"/>
      <c r="J139" s="98"/>
      <c r="K139" s="98"/>
      <c r="L139" s="1" t="str">
        <f aca="false">IF(134&gt;'🌱 Configuração'!$F$55,"",IF(F139="","—",IF(F139&lt;22,"⚠️ Temp baixa",IF(F139&gt;29,"⚠️ Temp ALTA",IF(H139="","✅ OK",IF(H139&lt;5.5,"⚠️ pH baixo",IF(H139&gt;6.9,"⚠️ pH alto",IF(I139&gt;2.5,"⚠️ CE alta","✅ OK"))))))))</f>
        <v/>
      </c>
    </row>
    <row r="140" customFormat="false" ht="18" hidden="false" customHeight="true" outlineLevel="0" collapsed="false">
      <c r="B140" s="96" t="str">
        <f aca="false">IF(135&lt;='🌱 Configuração'!$F$55,135,"")</f>
        <v/>
      </c>
      <c r="C140" s="97" t="str">
        <f aca="false">IF(135&lt;='🌱 Configuração'!$F$55,'🌱 Configuração'!$B$56+134,"")</f>
        <v/>
      </c>
      <c r="D140" s="96" t="str">
        <f aca="false">IF(135&gt;'🌱 Configuração'!$F$55,"",IF('🌱 Configuração'!$B$56+134&lt;'🌱 Configuração'!$C$56,"🌱 Clone",IF('🌱 Configuração'!$B$56+134&lt;'🌱 Configuração'!$D$56,"🌿 Vega",IF('🌱 Configuração'!$B$56+134&lt;'🌱 Configuração'!$E$56,"🌸 Flora","🚿 Flush"))))</f>
        <v/>
      </c>
      <c r="E140" s="96"/>
      <c r="F140" s="96"/>
      <c r="G140" s="96"/>
      <c r="H140" s="96"/>
      <c r="I140" s="96"/>
      <c r="J140" s="96"/>
      <c r="K140" s="96"/>
      <c r="L140" s="1" t="str">
        <f aca="false">IF(135&gt;'🌱 Configuração'!$F$55,"",IF(F140="","—",IF(F140&lt;22,"⚠️ Temp baixa",IF(F140&gt;29,"⚠️ Temp ALTA",IF(H140="","✅ OK",IF(H140&lt;5.5,"⚠️ pH baixo",IF(H140&gt;6.9,"⚠️ pH alto",IF(I140&gt;2.5,"⚠️ CE alta","✅ OK"))))))))</f>
        <v/>
      </c>
    </row>
    <row r="141" customFormat="false" ht="18" hidden="false" customHeight="true" outlineLevel="0" collapsed="false">
      <c r="B141" s="98" t="str">
        <f aca="false">IF(136&lt;='🌱 Configuração'!$F$55,136,"")</f>
        <v/>
      </c>
      <c r="C141" s="99" t="str">
        <f aca="false">IF(136&lt;='🌱 Configuração'!$F$55,'🌱 Configuração'!$B$56+135,"")</f>
        <v/>
      </c>
      <c r="D141" s="98" t="str">
        <f aca="false">IF(136&gt;'🌱 Configuração'!$F$55,"",IF('🌱 Configuração'!$B$56+135&lt;'🌱 Configuração'!$C$56,"🌱 Clone",IF('🌱 Configuração'!$B$56+135&lt;'🌱 Configuração'!$D$56,"🌿 Vega",IF('🌱 Configuração'!$B$56+135&lt;'🌱 Configuração'!$E$56,"🌸 Flora","🚿 Flush"))))</f>
        <v/>
      </c>
      <c r="E141" s="98"/>
      <c r="F141" s="98"/>
      <c r="G141" s="98"/>
      <c r="H141" s="98"/>
      <c r="I141" s="98"/>
      <c r="J141" s="98"/>
      <c r="K141" s="98"/>
      <c r="L141" s="1" t="str">
        <f aca="false">IF(136&gt;'🌱 Configuração'!$F$55,"",IF(F141="","—",IF(F141&lt;22,"⚠️ Temp baixa",IF(F141&gt;29,"⚠️ Temp ALTA",IF(H141="","✅ OK",IF(H141&lt;5.5,"⚠️ pH baixo",IF(H141&gt;6.9,"⚠️ pH alto",IF(I141&gt;2.5,"⚠️ CE alta","✅ OK"))))))))</f>
        <v/>
      </c>
    </row>
    <row r="142" customFormat="false" ht="18" hidden="false" customHeight="true" outlineLevel="0" collapsed="false">
      <c r="B142" s="96" t="str">
        <f aca="false">IF(137&lt;='🌱 Configuração'!$F$55,137,"")</f>
        <v/>
      </c>
      <c r="C142" s="97" t="str">
        <f aca="false">IF(137&lt;='🌱 Configuração'!$F$55,'🌱 Configuração'!$B$56+136,"")</f>
        <v/>
      </c>
      <c r="D142" s="96" t="str">
        <f aca="false">IF(137&gt;'🌱 Configuração'!$F$55,"",IF('🌱 Configuração'!$B$56+136&lt;'🌱 Configuração'!$C$56,"🌱 Clone",IF('🌱 Configuração'!$B$56+136&lt;'🌱 Configuração'!$D$56,"🌿 Vega",IF('🌱 Configuração'!$B$56+136&lt;'🌱 Configuração'!$E$56,"🌸 Flora","🚿 Flush"))))</f>
        <v/>
      </c>
      <c r="E142" s="96"/>
      <c r="F142" s="96"/>
      <c r="G142" s="96"/>
      <c r="H142" s="96"/>
      <c r="I142" s="96"/>
      <c r="J142" s="96"/>
      <c r="K142" s="96"/>
      <c r="L142" s="1" t="str">
        <f aca="false">IF(137&gt;'🌱 Configuração'!$F$55,"",IF(F142="","—",IF(F142&lt;22,"⚠️ Temp baixa",IF(F142&gt;29,"⚠️ Temp ALTA",IF(H142="","✅ OK",IF(H142&lt;5.5,"⚠️ pH baixo",IF(H142&gt;6.9,"⚠️ pH alto",IF(I142&gt;2.5,"⚠️ CE alta","✅ OK"))))))))</f>
        <v/>
      </c>
    </row>
    <row r="143" customFormat="false" ht="18" hidden="false" customHeight="true" outlineLevel="0" collapsed="false">
      <c r="B143" s="98" t="str">
        <f aca="false">IF(138&lt;='🌱 Configuração'!$F$55,138,"")</f>
        <v/>
      </c>
      <c r="C143" s="99" t="str">
        <f aca="false">IF(138&lt;='🌱 Configuração'!$F$55,'🌱 Configuração'!$B$56+137,"")</f>
        <v/>
      </c>
      <c r="D143" s="98" t="str">
        <f aca="false">IF(138&gt;'🌱 Configuração'!$F$55,"",IF('🌱 Configuração'!$B$56+137&lt;'🌱 Configuração'!$C$56,"🌱 Clone",IF('🌱 Configuração'!$B$56+137&lt;'🌱 Configuração'!$D$56,"🌿 Vega",IF('🌱 Configuração'!$B$56+137&lt;'🌱 Configuração'!$E$56,"🌸 Flora","🚿 Flush"))))</f>
        <v/>
      </c>
      <c r="E143" s="98"/>
      <c r="F143" s="98"/>
      <c r="G143" s="98"/>
      <c r="H143" s="98"/>
      <c r="I143" s="98"/>
      <c r="J143" s="98"/>
      <c r="K143" s="98"/>
      <c r="L143" s="1" t="str">
        <f aca="false">IF(138&gt;'🌱 Configuração'!$F$55,"",IF(F143="","—",IF(F143&lt;22,"⚠️ Temp baixa",IF(F143&gt;29,"⚠️ Temp ALTA",IF(H143="","✅ OK",IF(H143&lt;5.5,"⚠️ pH baixo",IF(H143&gt;6.9,"⚠️ pH alto",IF(I143&gt;2.5,"⚠️ CE alta","✅ OK"))))))))</f>
        <v/>
      </c>
    </row>
    <row r="144" customFormat="false" ht="18" hidden="false" customHeight="true" outlineLevel="0" collapsed="false">
      <c r="B144" s="96" t="str">
        <f aca="false">IF(139&lt;='🌱 Configuração'!$F$55,139,"")</f>
        <v/>
      </c>
      <c r="C144" s="97" t="str">
        <f aca="false">IF(139&lt;='🌱 Configuração'!$F$55,'🌱 Configuração'!$B$56+138,"")</f>
        <v/>
      </c>
      <c r="D144" s="96" t="str">
        <f aca="false">IF(139&gt;'🌱 Configuração'!$F$55,"",IF('🌱 Configuração'!$B$56+138&lt;'🌱 Configuração'!$C$56,"🌱 Clone",IF('🌱 Configuração'!$B$56+138&lt;'🌱 Configuração'!$D$56,"🌿 Vega",IF('🌱 Configuração'!$B$56+138&lt;'🌱 Configuração'!$E$56,"🌸 Flora","🚿 Flush"))))</f>
        <v/>
      </c>
      <c r="E144" s="96"/>
      <c r="F144" s="96"/>
      <c r="G144" s="96"/>
      <c r="H144" s="96"/>
      <c r="I144" s="96"/>
      <c r="J144" s="96"/>
      <c r="K144" s="96"/>
      <c r="L144" s="1" t="str">
        <f aca="false">IF(139&gt;'🌱 Configuração'!$F$55,"",IF(F144="","—",IF(F144&lt;22,"⚠️ Temp baixa",IF(F144&gt;29,"⚠️ Temp ALTA",IF(H144="","✅ OK",IF(H144&lt;5.5,"⚠️ pH baixo",IF(H144&gt;6.9,"⚠️ pH alto",IF(I144&gt;2.5,"⚠️ CE alta","✅ OK"))))))))</f>
        <v/>
      </c>
    </row>
    <row r="145" customFormat="false" ht="18" hidden="false" customHeight="true" outlineLevel="0" collapsed="false">
      <c r="B145" s="98" t="str">
        <f aca="false">IF(140&lt;='🌱 Configuração'!$F$55,140,"")</f>
        <v/>
      </c>
      <c r="C145" s="99" t="str">
        <f aca="false">IF(140&lt;='🌱 Configuração'!$F$55,'🌱 Configuração'!$B$56+139,"")</f>
        <v/>
      </c>
      <c r="D145" s="98" t="str">
        <f aca="false">IF(140&gt;'🌱 Configuração'!$F$55,"",IF('🌱 Configuração'!$B$56+139&lt;'🌱 Configuração'!$C$56,"🌱 Clone",IF('🌱 Configuração'!$B$56+139&lt;'🌱 Configuração'!$D$56,"🌿 Vega",IF('🌱 Configuração'!$B$56+139&lt;'🌱 Configuração'!$E$56,"🌸 Flora","🚿 Flush"))))</f>
        <v/>
      </c>
      <c r="E145" s="98"/>
      <c r="F145" s="98"/>
      <c r="G145" s="98"/>
      <c r="H145" s="98"/>
      <c r="I145" s="98"/>
      <c r="J145" s="98"/>
      <c r="K145" s="98"/>
      <c r="L145" s="1" t="str">
        <f aca="false">IF(140&gt;'🌱 Configuração'!$F$55,"",IF(F145="","—",IF(F145&lt;22,"⚠️ Temp baixa",IF(F145&gt;29,"⚠️ Temp ALTA",IF(H145="","✅ OK",IF(H145&lt;5.5,"⚠️ pH baixo",IF(H145&gt;6.9,"⚠️ pH alto",IF(I145&gt;2.5,"⚠️ CE alta","✅ OK"))))))))</f>
        <v/>
      </c>
    </row>
    <row r="146" customFormat="false" ht="18" hidden="false" customHeight="true" outlineLevel="0" collapsed="false">
      <c r="B146" s="96" t="str">
        <f aca="false">IF(141&lt;='🌱 Configuração'!$F$55,141,"")</f>
        <v/>
      </c>
      <c r="C146" s="97" t="str">
        <f aca="false">IF(141&lt;='🌱 Configuração'!$F$55,'🌱 Configuração'!$B$56+140,"")</f>
        <v/>
      </c>
      <c r="D146" s="96" t="str">
        <f aca="false">IF(141&gt;'🌱 Configuração'!$F$55,"",IF('🌱 Configuração'!$B$56+140&lt;'🌱 Configuração'!$C$56,"🌱 Clone",IF('🌱 Configuração'!$B$56+140&lt;'🌱 Configuração'!$D$56,"🌿 Vega",IF('🌱 Configuração'!$B$56+140&lt;'🌱 Configuração'!$E$56,"🌸 Flora","🚿 Flush"))))</f>
        <v/>
      </c>
      <c r="E146" s="96"/>
      <c r="F146" s="96"/>
      <c r="G146" s="96"/>
      <c r="H146" s="96"/>
      <c r="I146" s="96"/>
      <c r="J146" s="96"/>
      <c r="K146" s="96"/>
      <c r="L146" s="1" t="str">
        <f aca="false">IF(141&gt;'🌱 Configuração'!$F$55,"",IF(F146="","—",IF(F146&lt;22,"⚠️ Temp baixa",IF(F146&gt;29,"⚠️ Temp ALTA",IF(H146="","✅ OK",IF(H146&lt;5.5,"⚠️ pH baixo",IF(H146&gt;6.9,"⚠️ pH alto",IF(I146&gt;2.5,"⚠️ CE alta","✅ OK"))))))))</f>
        <v/>
      </c>
    </row>
    <row r="147" customFormat="false" ht="18" hidden="false" customHeight="true" outlineLevel="0" collapsed="false">
      <c r="B147" s="98" t="str">
        <f aca="false">IF(142&lt;='🌱 Configuração'!$F$55,142,"")</f>
        <v/>
      </c>
      <c r="C147" s="99" t="str">
        <f aca="false">IF(142&lt;='🌱 Configuração'!$F$55,'🌱 Configuração'!$B$56+141,"")</f>
        <v/>
      </c>
      <c r="D147" s="98" t="str">
        <f aca="false">IF(142&gt;'🌱 Configuração'!$F$55,"",IF('🌱 Configuração'!$B$56+141&lt;'🌱 Configuração'!$C$56,"🌱 Clone",IF('🌱 Configuração'!$B$56+141&lt;'🌱 Configuração'!$D$56,"🌿 Vega",IF('🌱 Configuração'!$B$56+141&lt;'🌱 Configuração'!$E$56,"🌸 Flora","🚿 Flush"))))</f>
        <v/>
      </c>
      <c r="E147" s="98"/>
      <c r="F147" s="98"/>
      <c r="G147" s="98"/>
      <c r="H147" s="98"/>
      <c r="I147" s="98"/>
      <c r="J147" s="98"/>
      <c r="K147" s="98"/>
      <c r="L147" s="1" t="str">
        <f aca="false">IF(142&gt;'🌱 Configuração'!$F$55,"",IF(F147="","—",IF(F147&lt;22,"⚠️ Temp baixa",IF(F147&gt;29,"⚠️ Temp ALTA",IF(H147="","✅ OK",IF(H147&lt;5.5,"⚠️ pH baixo",IF(H147&gt;6.9,"⚠️ pH alto",IF(I147&gt;2.5,"⚠️ CE alta","✅ OK"))))))))</f>
        <v/>
      </c>
    </row>
    <row r="148" customFormat="false" ht="18" hidden="false" customHeight="true" outlineLevel="0" collapsed="false">
      <c r="B148" s="96" t="str">
        <f aca="false">IF(143&lt;='🌱 Configuração'!$F$55,143,"")</f>
        <v/>
      </c>
      <c r="C148" s="97" t="str">
        <f aca="false">IF(143&lt;='🌱 Configuração'!$F$55,'🌱 Configuração'!$B$56+142,"")</f>
        <v/>
      </c>
      <c r="D148" s="96" t="str">
        <f aca="false">IF(143&gt;'🌱 Configuração'!$F$55,"",IF('🌱 Configuração'!$B$56+142&lt;'🌱 Configuração'!$C$56,"🌱 Clone",IF('🌱 Configuração'!$B$56+142&lt;'🌱 Configuração'!$D$56,"🌿 Vega",IF('🌱 Configuração'!$B$56+142&lt;'🌱 Configuração'!$E$56,"🌸 Flora","🚿 Flush"))))</f>
        <v/>
      </c>
      <c r="E148" s="96"/>
      <c r="F148" s="96"/>
      <c r="G148" s="96"/>
      <c r="H148" s="96"/>
      <c r="I148" s="96"/>
      <c r="J148" s="96"/>
      <c r="K148" s="96"/>
      <c r="L148" s="1" t="str">
        <f aca="false">IF(143&gt;'🌱 Configuração'!$F$55,"",IF(F148="","—",IF(F148&lt;22,"⚠️ Temp baixa",IF(F148&gt;29,"⚠️ Temp ALTA",IF(H148="","✅ OK",IF(H148&lt;5.5,"⚠️ pH baixo",IF(H148&gt;6.9,"⚠️ pH alto",IF(I148&gt;2.5,"⚠️ CE alta","✅ OK"))))))))</f>
        <v/>
      </c>
    </row>
    <row r="149" customFormat="false" ht="18" hidden="false" customHeight="true" outlineLevel="0" collapsed="false">
      <c r="B149" s="98" t="str">
        <f aca="false">IF(144&lt;='🌱 Configuração'!$F$55,144,"")</f>
        <v/>
      </c>
      <c r="C149" s="99" t="str">
        <f aca="false">IF(144&lt;='🌱 Configuração'!$F$55,'🌱 Configuração'!$B$56+143,"")</f>
        <v/>
      </c>
      <c r="D149" s="98" t="str">
        <f aca="false">IF(144&gt;'🌱 Configuração'!$F$55,"",IF('🌱 Configuração'!$B$56+143&lt;'🌱 Configuração'!$C$56,"🌱 Clone",IF('🌱 Configuração'!$B$56+143&lt;'🌱 Configuração'!$D$56,"🌿 Vega",IF('🌱 Configuração'!$B$56+143&lt;'🌱 Configuração'!$E$56,"🌸 Flora","🚿 Flush"))))</f>
        <v/>
      </c>
      <c r="E149" s="98"/>
      <c r="F149" s="98"/>
      <c r="G149" s="98"/>
      <c r="H149" s="98"/>
      <c r="I149" s="98"/>
      <c r="J149" s="98"/>
      <c r="K149" s="98"/>
      <c r="L149" s="1" t="str">
        <f aca="false">IF(144&gt;'🌱 Configuração'!$F$55,"",IF(F149="","—",IF(F149&lt;22,"⚠️ Temp baixa",IF(F149&gt;29,"⚠️ Temp ALTA",IF(H149="","✅ OK",IF(H149&lt;5.5,"⚠️ pH baixo",IF(H149&gt;6.9,"⚠️ pH alto",IF(I149&gt;2.5,"⚠️ CE alta","✅ OK"))))))))</f>
        <v/>
      </c>
    </row>
    <row r="150" customFormat="false" ht="18" hidden="false" customHeight="true" outlineLevel="0" collapsed="false">
      <c r="B150" s="96" t="str">
        <f aca="false">IF(145&lt;='🌱 Configuração'!$F$55,145,"")</f>
        <v/>
      </c>
      <c r="C150" s="97" t="str">
        <f aca="false">IF(145&lt;='🌱 Configuração'!$F$55,'🌱 Configuração'!$B$56+144,"")</f>
        <v/>
      </c>
      <c r="D150" s="96" t="str">
        <f aca="false">IF(145&gt;'🌱 Configuração'!$F$55,"",IF('🌱 Configuração'!$B$56+144&lt;'🌱 Configuração'!$C$56,"🌱 Clone",IF('🌱 Configuração'!$B$56+144&lt;'🌱 Configuração'!$D$56,"🌿 Vega",IF('🌱 Configuração'!$B$56+144&lt;'🌱 Configuração'!$E$56,"🌸 Flora","🚿 Flush"))))</f>
        <v/>
      </c>
      <c r="E150" s="96"/>
      <c r="F150" s="96"/>
      <c r="G150" s="96"/>
      <c r="H150" s="96"/>
      <c r="I150" s="96"/>
      <c r="J150" s="96"/>
      <c r="K150" s="96"/>
      <c r="L150" s="1" t="str">
        <f aca="false">IF(145&gt;'🌱 Configuração'!$F$55,"",IF(F150="","—",IF(F150&lt;22,"⚠️ Temp baixa",IF(F150&gt;29,"⚠️ Temp ALTA",IF(H150="","✅ OK",IF(H150&lt;5.5,"⚠️ pH baixo",IF(H150&gt;6.9,"⚠️ pH alto",IF(I150&gt;2.5,"⚠️ CE alta","✅ OK"))))))))</f>
        <v/>
      </c>
    </row>
    <row r="151" customFormat="false" ht="18" hidden="false" customHeight="true" outlineLevel="0" collapsed="false">
      <c r="B151" s="98" t="str">
        <f aca="false">IF(146&lt;='🌱 Configuração'!$F$55,146,"")</f>
        <v/>
      </c>
      <c r="C151" s="99" t="str">
        <f aca="false">IF(146&lt;='🌱 Configuração'!$F$55,'🌱 Configuração'!$B$56+145,"")</f>
        <v/>
      </c>
      <c r="D151" s="98" t="str">
        <f aca="false">IF(146&gt;'🌱 Configuração'!$F$55,"",IF('🌱 Configuração'!$B$56+145&lt;'🌱 Configuração'!$C$56,"🌱 Clone",IF('🌱 Configuração'!$B$56+145&lt;'🌱 Configuração'!$D$56,"🌿 Vega",IF('🌱 Configuração'!$B$56+145&lt;'🌱 Configuração'!$E$56,"🌸 Flora","🚿 Flush"))))</f>
        <v/>
      </c>
      <c r="E151" s="98"/>
      <c r="F151" s="98"/>
      <c r="G151" s="98"/>
      <c r="H151" s="98"/>
      <c r="I151" s="98"/>
      <c r="J151" s="98"/>
      <c r="K151" s="98"/>
      <c r="L151" s="1" t="str">
        <f aca="false">IF(146&gt;'🌱 Configuração'!$F$55,"",IF(F151="","—",IF(F151&lt;22,"⚠️ Temp baixa",IF(F151&gt;29,"⚠️ Temp ALTA",IF(H151="","✅ OK",IF(H151&lt;5.5,"⚠️ pH baixo",IF(H151&gt;6.9,"⚠️ pH alto",IF(I151&gt;2.5,"⚠️ CE alta","✅ OK"))))))))</f>
        <v/>
      </c>
    </row>
    <row r="152" customFormat="false" ht="18" hidden="false" customHeight="true" outlineLevel="0" collapsed="false">
      <c r="B152" s="96" t="str">
        <f aca="false">IF(147&lt;='🌱 Configuração'!$F$55,147,"")</f>
        <v/>
      </c>
      <c r="C152" s="97" t="str">
        <f aca="false">IF(147&lt;='🌱 Configuração'!$F$55,'🌱 Configuração'!$B$56+146,"")</f>
        <v/>
      </c>
      <c r="D152" s="96" t="str">
        <f aca="false">IF(147&gt;'🌱 Configuração'!$F$55,"",IF('🌱 Configuração'!$B$56+146&lt;'🌱 Configuração'!$C$56,"🌱 Clone",IF('🌱 Configuração'!$B$56+146&lt;'🌱 Configuração'!$D$56,"🌿 Vega",IF('🌱 Configuração'!$B$56+146&lt;'🌱 Configuração'!$E$56,"🌸 Flora","🚿 Flush"))))</f>
        <v/>
      </c>
      <c r="E152" s="96"/>
      <c r="F152" s="96"/>
      <c r="G152" s="96"/>
      <c r="H152" s="96"/>
      <c r="I152" s="96"/>
      <c r="J152" s="96"/>
      <c r="K152" s="96"/>
      <c r="L152" s="1" t="str">
        <f aca="false">IF(147&gt;'🌱 Configuração'!$F$55,"",IF(F152="","—",IF(F152&lt;22,"⚠️ Temp baixa",IF(F152&gt;29,"⚠️ Temp ALTA",IF(H152="","✅ OK",IF(H152&lt;5.5,"⚠️ pH baixo",IF(H152&gt;6.9,"⚠️ pH alto",IF(I152&gt;2.5,"⚠️ CE alta","✅ OK"))))))))</f>
        <v/>
      </c>
    </row>
    <row r="153" customFormat="false" ht="18" hidden="false" customHeight="true" outlineLevel="0" collapsed="false">
      <c r="B153" s="98" t="str">
        <f aca="false">IF(148&lt;='🌱 Configuração'!$F$55,148,"")</f>
        <v/>
      </c>
      <c r="C153" s="99" t="str">
        <f aca="false">IF(148&lt;='🌱 Configuração'!$F$55,'🌱 Configuração'!$B$56+147,"")</f>
        <v/>
      </c>
      <c r="D153" s="98" t="str">
        <f aca="false">IF(148&gt;'🌱 Configuração'!$F$55,"",IF('🌱 Configuração'!$B$56+147&lt;'🌱 Configuração'!$C$56,"🌱 Clone",IF('🌱 Configuração'!$B$56+147&lt;'🌱 Configuração'!$D$56,"🌿 Vega",IF('🌱 Configuração'!$B$56+147&lt;'🌱 Configuração'!$E$56,"🌸 Flora","🚿 Flush"))))</f>
        <v/>
      </c>
      <c r="E153" s="98"/>
      <c r="F153" s="98"/>
      <c r="G153" s="98"/>
      <c r="H153" s="98"/>
      <c r="I153" s="98"/>
      <c r="J153" s="98"/>
      <c r="K153" s="98"/>
      <c r="L153" s="1" t="str">
        <f aca="false">IF(148&gt;'🌱 Configuração'!$F$55,"",IF(F153="","—",IF(F153&lt;22,"⚠️ Temp baixa",IF(F153&gt;29,"⚠️ Temp ALTA",IF(H153="","✅ OK",IF(H153&lt;5.5,"⚠️ pH baixo",IF(H153&gt;6.9,"⚠️ pH alto",IF(I153&gt;2.5,"⚠️ CE alta","✅ OK"))))))))</f>
        <v/>
      </c>
    </row>
    <row r="154" customFormat="false" ht="18" hidden="false" customHeight="true" outlineLevel="0" collapsed="false">
      <c r="B154" s="96" t="str">
        <f aca="false">IF(149&lt;='🌱 Configuração'!$F$55,149,"")</f>
        <v/>
      </c>
      <c r="C154" s="97" t="str">
        <f aca="false">IF(149&lt;='🌱 Configuração'!$F$55,'🌱 Configuração'!$B$56+148,"")</f>
        <v/>
      </c>
      <c r="D154" s="96" t="str">
        <f aca="false">IF(149&gt;'🌱 Configuração'!$F$55,"",IF('🌱 Configuração'!$B$56+148&lt;'🌱 Configuração'!$C$56,"🌱 Clone",IF('🌱 Configuração'!$B$56+148&lt;'🌱 Configuração'!$D$56,"🌿 Vega",IF('🌱 Configuração'!$B$56+148&lt;'🌱 Configuração'!$E$56,"🌸 Flora","🚿 Flush"))))</f>
        <v/>
      </c>
      <c r="E154" s="96"/>
      <c r="F154" s="96"/>
      <c r="G154" s="96"/>
      <c r="H154" s="96"/>
      <c r="I154" s="96"/>
      <c r="J154" s="96"/>
      <c r="K154" s="96"/>
      <c r="L154" s="1" t="str">
        <f aca="false">IF(149&gt;'🌱 Configuração'!$F$55,"",IF(F154="","—",IF(F154&lt;22,"⚠️ Temp baixa",IF(F154&gt;29,"⚠️ Temp ALTA",IF(H154="","✅ OK",IF(H154&lt;5.5,"⚠️ pH baixo",IF(H154&gt;6.9,"⚠️ pH alto",IF(I154&gt;2.5,"⚠️ CE alta","✅ OK"))))))))</f>
        <v/>
      </c>
    </row>
    <row r="155" customFormat="false" ht="18" hidden="false" customHeight="true" outlineLevel="0" collapsed="false">
      <c r="B155" s="98" t="str">
        <f aca="false">IF(150&lt;='🌱 Configuração'!$F$55,150,"")</f>
        <v/>
      </c>
      <c r="C155" s="99" t="str">
        <f aca="false">IF(150&lt;='🌱 Configuração'!$F$55,'🌱 Configuração'!$B$56+149,"")</f>
        <v/>
      </c>
      <c r="D155" s="98" t="str">
        <f aca="false">IF(150&gt;'🌱 Configuração'!$F$55,"",IF('🌱 Configuração'!$B$56+149&lt;'🌱 Configuração'!$C$56,"🌱 Clone",IF('🌱 Configuração'!$B$56+149&lt;'🌱 Configuração'!$D$56,"🌿 Vega",IF('🌱 Configuração'!$B$56+149&lt;'🌱 Configuração'!$E$56,"🌸 Flora","🚿 Flush"))))</f>
        <v/>
      </c>
      <c r="E155" s="98"/>
      <c r="F155" s="98"/>
      <c r="G155" s="98"/>
      <c r="H155" s="98"/>
      <c r="I155" s="98"/>
      <c r="J155" s="98"/>
      <c r="K155" s="98"/>
      <c r="L155" s="1" t="str">
        <f aca="false">IF(150&gt;'🌱 Configuração'!$F$55,"",IF(F155="","—",IF(F155&lt;22,"⚠️ Temp baixa",IF(F155&gt;29,"⚠️ Temp ALTA",IF(H155="","✅ OK",IF(H155&lt;5.5,"⚠️ pH baixo",IF(H155&gt;6.9,"⚠️ pH alto",IF(I155&gt;2.5,"⚠️ CE alta","✅ OK"))))))))</f>
        <v/>
      </c>
    </row>
    <row r="156" customFormat="false" ht="18" hidden="false" customHeight="true" outlineLevel="0" collapsed="false">
      <c r="B156" s="96" t="str">
        <f aca="false">IF(151&lt;='🌱 Configuração'!$F$55,151,"")</f>
        <v/>
      </c>
      <c r="C156" s="97" t="str">
        <f aca="false">IF(151&lt;='🌱 Configuração'!$F$55,'🌱 Configuração'!$B$56+150,"")</f>
        <v/>
      </c>
      <c r="D156" s="96" t="str">
        <f aca="false">IF(151&gt;'🌱 Configuração'!$F$55,"",IF('🌱 Configuração'!$B$56+150&lt;'🌱 Configuração'!$C$56,"🌱 Clone",IF('🌱 Configuração'!$B$56+150&lt;'🌱 Configuração'!$D$56,"🌿 Vega",IF('🌱 Configuração'!$B$56+150&lt;'🌱 Configuração'!$E$56,"🌸 Flora","🚿 Flush"))))</f>
        <v/>
      </c>
      <c r="E156" s="96"/>
      <c r="F156" s="96"/>
      <c r="G156" s="96"/>
      <c r="H156" s="96"/>
      <c r="I156" s="96"/>
      <c r="J156" s="96"/>
      <c r="K156" s="96"/>
      <c r="L156" s="1" t="str">
        <f aca="false">IF(151&gt;'🌱 Configuração'!$F$55,"",IF(F156="","—",IF(F156&lt;22,"⚠️ Temp baixa",IF(F156&gt;29,"⚠️ Temp ALTA",IF(H156="","✅ OK",IF(H156&lt;5.5,"⚠️ pH baixo",IF(H156&gt;6.9,"⚠️ pH alto",IF(I156&gt;2.5,"⚠️ CE alta","✅ OK"))))))))</f>
        <v/>
      </c>
    </row>
    <row r="157" customFormat="false" ht="18" hidden="false" customHeight="true" outlineLevel="0" collapsed="false">
      <c r="B157" s="98" t="str">
        <f aca="false">IF(152&lt;='🌱 Configuração'!$F$55,152,"")</f>
        <v/>
      </c>
      <c r="C157" s="99" t="str">
        <f aca="false">IF(152&lt;='🌱 Configuração'!$F$55,'🌱 Configuração'!$B$56+151,"")</f>
        <v/>
      </c>
      <c r="D157" s="98" t="str">
        <f aca="false">IF(152&gt;'🌱 Configuração'!$F$55,"",IF('🌱 Configuração'!$B$56+151&lt;'🌱 Configuração'!$C$56,"🌱 Clone",IF('🌱 Configuração'!$B$56+151&lt;'🌱 Configuração'!$D$56,"🌿 Vega",IF('🌱 Configuração'!$B$56+151&lt;'🌱 Configuração'!$E$56,"🌸 Flora","🚿 Flush"))))</f>
        <v/>
      </c>
      <c r="E157" s="98"/>
      <c r="F157" s="98"/>
      <c r="G157" s="98"/>
      <c r="H157" s="98"/>
      <c r="I157" s="98"/>
      <c r="J157" s="98"/>
      <c r="K157" s="98"/>
      <c r="L157" s="1" t="str">
        <f aca="false">IF(152&gt;'🌱 Configuração'!$F$55,"",IF(F157="","—",IF(F157&lt;22,"⚠️ Temp baixa",IF(F157&gt;29,"⚠️ Temp ALTA",IF(H157="","✅ OK",IF(H157&lt;5.5,"⚠️ pH baixo",IF(H157&gt;6.9,"⚠️ pH alto",IF(I157&gt;2.5,"⚠️ CE alta","✅ OK"))))))))</f>
        <v/>
      </c>
    </row>
    <row r="158" customFormat="false" ht="18" hidden="false" customHeight="true" outlineLevel="0" collapsed="false">
      <c r="B158" s="96" t="str">
        <f aca="false">IF(153&lt;='🌱 Configuração'!$F$55,153,"")</f>
        <v/>
      </c>
      <c r="C158" s="97" t="str">
        <f aca="false">IF(153&lt;='🌱 Configuração'!$F$55,'🌱 Configuração'!$B$56+152,"")</f>
        <v/>
      </c>
      <c r="D158" s="96" t="str">
        <f aca="false">IF(153&gt;'🌱 Configuração'!$F$55,"",IF('🌱 Configuração'!$B$56+152&lt;'🌱 Configuração'!$C$56,"🌱 Clone",IF('🌱 Configuração'!$B$56+152&lt;'🌱 Configuração'!$D$56,"🌿 Vega",IF('🌱 Configuração'!$B$56+152&lt;'🌱 Configuração'!$E$56,"🌸 Flora","🚿 Flush"))))</f>
        <v/>
      </c>
      <c r="E158" s="96"/>
      <c r="F158" s="96"/>
      <c r="G158" s="96"/>
      <c r="H158" s="96"/>
      <c r="I158" s="96"/>
      <c r="J158" s="96"/>
      <c r="K158" s="96"/>
      <c r="L158" s="1" t="str">
        <f aca="false">IF(153&gt;'🌱 Configuração'!$F$55,"",IF(F158="","—",IF(F158&lt;22,"⚠️ Temp baixa",IF(F158&gt;29,"⚠️ Temp ALTA",IF(H158="","✅ OK",IF(H158&lt;5.5,"⚠️ pH baixo",IF(H158&gt;6.9,"⚠️ pH alto",IF(I158&gt;2.5,"⚠️ CE alta","✅ OK"))))))))</f>
        <v/>
      </c>
    </row>
    <row r="159" customFormat="false" ht="18" hidden="false" customHeight="true" outlineLevel="0" collapsed="false">
      <c r="B159" s="98" t="str">
        <f aca="false">IF(154&lt;='🌱 Configuração'!$F$55,154,"")</f>
        <v/>
      </c>
      <c r="C159" s="99" t="str">
        <f aca="false">IF(154&lt;='🌱 Configuração'!$F$55,'🌱 Configuração'!$B$56+153,"")</f>
        <v/>
      </c>
      <c r="D159" s="98" t="str">
        <f aca="false">IF(154&gt;'🌱 Configuração'!$F$55,"",IF('🌱 Configuração'!$B$56+153&lt;'🌱 Configuração'!$C$56,"🌱 Clone",IF('🌱 Configuração'!$B$56+153&lt;'🌱 Configuração'!$D$56,"🌿 Vega",IF('🌱 Configuração'!$B$56+153&lt;'🌱 Configuração'!$E$56,"🌸 Flora","🚿 Flush"))))</f>
        <v/>
      </c>
      <c r="E159" s="98"/>
      <c r="F159" s="98"/>
      <c r="G159" s="98"/>
      <c r="H159" s="98"/>
      <c r="I159" s="98"/>
      <c r="J159" s="98"/>
      <c r="K159" s="98"/>
      <c r="L159" s="1" t="str">
        <f aca="false">IF(154&gt;'🌱 Configuração'!$F$55,"",IF(F159="","—",IF(F159&lt;22,"⚠️ Temp baixa",IF(F159&gt;29,"⚠️ Temp ALTA",IF(H159="","✅ OK",IF(H159&lt;5.5,"⚠️ pH baixo",IF(H159&gt;6.9,"⚠️ pH alto",IF(I159&gt;2.5,"⚠️ CE alta","✅ OK"))))))))</f>
        <v/>
      </c>
    </row>
    <row r="160" customFormat="false" ht="18" hidden="false" customHeight="true" outlineLevel="0" collapsed="false">
      <c r="B160" s="96" t="str">
        <f aca="false">IF(155&lt;='🌱 Configuração'!$F$55,155,"")</f>
        <v/>
      </c>
      <c r="C160" s="97" t="str">
        <f aca="false">IF(155&lt;='🌱 Configuração'!$F$55,'🌱 Configuração'!$B$56+154,"")</f>
        <v/>
      </c>
      <c r="D160" s="96" t="str">
        <f aca="false">IF(155&gt;'🌱 Configuração'!$F$55,"",IF('🌱 Configuração'!$B$56+154&lt;'🌱 Configuração'!$C$56,"🌱 Clone",IF('🌱 Configuração'!$B$56+154&lt;'🌱 Configuração'!$D$56,"🌿 Vega",IF('🌱 Configuração'!$B$56+154&lt;'🌱 Configuração'!$E$56,"🌸 Flora","🚿 Flush"))))</f>
        <v/>
      </c>
      <c r="E160" s="96"/>
      <c r="F160" s="96"/>
      <c r="G160" s="96"/>
      <c r="H160" s="96"/>
      <c r="I160" s="96"/>
      <c r="J160" s="96"/>
      <c r="K160" s="96"/>
      <c r="L160" s="1" t="str">
        <f aca="false">IF(155&gt;'🌱 Configuração'!$F$55,"",IF(F160="","—",IF(F160&lt;22,"⚠️ Temp baixa",IF(F160&gt;29,"⚠️ Temp ALTA",IF(H160="","✅ OK",IF(H160&lt;5.5,"⚠️ pH baixo",IF(H160&gt;6.9,"⚠️ pH alto",IF(I160&gt;2.5,"⚠️ CE alta","✅ OK"))))))))</f>
        <v/>
      </c>
    </row>
    <row r="161" customFormat="false" ht="18" hidden="false" customHeight="true" outlineLevel="0" collapsed="false">
      <c r="B161" s="98" t="str">
        <f aca="false">IF(156&lt;='🌱 Configuração'!$F$55,156,"")</f>
        <v/>
      </c>
      <c r="C161" s="99" t="str">
        <f aca="false">IF(156&lt;='🌱 Configuração'!$F$55,'🌱 Configuração'!$B$56+155,"")</f>
        <v/>
      </c>
      <c r="D161" s="98" t="str">
        <f aca="false">IF(156&gt;'🌱 Configuração'!$F$55,"",IF('🌱 Configuração'!$B$56+155&lt;'🌱 Configuração'!$C$56,"🌱 Clone",IF('🌱 Configuração'!$B$56+155&lt;'🌱 Configuração'!$D$56,"🌿 Vega",IF('🌱 Configuração'!$B$56+155&lt;'🌱 Configuração'!$E$56,"🌸 Flora","🚿 Flush"))))</f>
        <v/>
      </c>
      <c r="E161" s="98"/>
      <c r="F161" s="98"/>
      <c r="G161" s="98"/>
      <c r="H161" s="98"/>
      <c r="I161" s="98"/>
      <c r="J161" s="98"/>
      <c r="K161" s="98"/>
      <c r="L161" s="1" t="str">
        <f aca="false">IF(156&gt;'🌱 Configuração'!$F$55,"",IF(F161="","—",IF(F161&lt;22,"⚠️ Temp baixa",IF(F161&gt;29,"⚠️ Temp ALTA",IF(H161="","✅ OK",IF(H161&lt;5.5,"⚠️ pH baixo",IF(H161&gt;6.9,"⚠️ pH alto",IF(I161&gt;2.5,"⚠️ CE alta","✅ OK"))))))))</f>
        <v/>
      </c>
    </row>
    <row r="162" customFormat="false" ht="18" hidden="false" customHeight="true" outlineLevel="0" collapsed="false">
      <c r="B162" s="96" t="str">
        <f aca="false">IF(157&lt;='🌱 Configuração'!$F$55,157,"")</f>
        <v/>
      </c>
      <c r="C162" s="97" t="str">
        <f aca="false">IF(157&lt;='🌱 Configuração'!$F$55,'🌱 Configuração'!$B$56+156,"")</f>
        <v/>
      </c>
      <c r="D162" s="96" t="str">
        <f aca="false">IF(157&gt;'🌱 Configuração'!$F$55,"",IF('🌱 Configuração'!$B$56+156&lt;'🌱 Configuração'!$C$56,"🌱 Clone",IF('🌱 Configuração'!$B$56+156&lt;'🌱 Configuração'!$D$56,"🌿 Vega",IF('🌱 Configuração'!$B$56+156&lt;'🌱 Configuração'!$E$56,"🌸 Flora","🚿 Flush"))))</f>
        <v/>
      </c>
      <c r="E162" s="96"/>
      <c r="F162" s="96"/>
      <c r="G162" s="96"/>
      <c r="H162" s="96"/>
      <c r="I162" s="96"/>
      <c r="J162" s="96"/>
      <c r="K162" s="96"/>
      <c r="L162" s="1" t="str">
        <f aca="false">IF(157&gt;'🌱 Configuração'!$F$55,"",IF(F162="","—",IF(F162&lt;22,"⚠️ Temp baixa",IF(F162&gt;29,"⚠️ Temp ALTA",IF(H162="","✅ OK",IF(H162&lt;5.5,"⚠️ pH baixo",IF(H162&gt;6.9,"⚠️ pH alto",IF(I162&gt;2.5,"⚠️ CE alta","✅ OK"))))))))</f>
        <v/>
      </c>
    </row>
    <row r="163" customFormat="false" ht="18" hidden="false" customHeight="true" outlineLevel="0" collapsed="false">
      <c r="B163" s="98" t="str">
        <f aca="false">IF(158&lt;='🌱 Configuração'!$F$55,158,"")</f>
        <v/>
      </c>
      <c r="C163" s="99" t="str">
        <f aca="false">IF(158&lt;='🌱 Configuração'!$F$55,'🌱 Configuração'!$B$56+157,"")</f>
        <v/>
      </c>
      <c r="D163" s="98" t="str">
        <f aca="false">IF(158&gt;'🌱 Configuração'!$F$55,"",IF('🌱 Configuração'!$B$56+157&lt;'🌱 Configuração'!$C$56,"🌱 Clone",IF('🌱 Configuração'!$B$56+157&lt;'🌱 Configuração'!$D$56,"🌿 Vega",IF('🌱 Configuração'!$B$56+157&lt;'🌱 Configuração'!$E$56,"🌸 Flora","🚿 Flush"))))</f>
        <v/>
      </c>
      <c r="E163" s="98"/>
      <c r="F163" s="98"/>
      <c r="G163" s="98"/>
      <c r="H163" s="98"/>
      <c r="I163" s="98"/>
      <c r="J163" s="98"/>
      <c r="K163" s="98"/>
      <c r="L163" s="1" t="str">
        <f aca="false">IF(158&gt;'🌱 Configuração'!$F$55,"",IF(F163="","—",IF(F163&lt;22,"⚠️ Temp baixa",IF(F163&gt;29,"⚠️ Temp ALTA",IF(H163="","✅ OK",IF(H163&lt;5.5,"⚠️ pH baixo",IF(H163&gt;6.9,"⚠️ pH alto",IF(I163&gt;2.5,"⚠️ CE alta","✅ OK"))))))))</f>
        <v/>
      </c>
    </row>
    <row r="164" customFormat="false" ht="18" hidden="false" customHeight="true" outlineLevel="0" collapsed="false">
      <c r="B164" s="96" t="str">
        <f aca="false">IF(159&lt;='🌱 Configuração'!$F$55,159,"")</f>
        <v/>
      </c>
      <c r="C164" s="97" t="str">
        <f aca="false">IF(159&lt;='🌱 Configuração'!$F$55,'🌱 Configuração'!$B$56+158,"")</f>
        <v/>
      </c>
      <c r="D164" s="96" t="str">
        <f aca="false">IF(159&gt;'🌱 Configuração'!$F$55,"",IF('🌱 Configuração'!$B$56+158&lt;'🌱 Configuração'!$C$56,"🌱 Clone",IF('🌱 Configuração'!$B$56+158&lt;'🌱 Configuração'!$D$56,"🌿 Vega",IF('🌱 Configuração'!$B$56+158&lt;'🌱 Configuração'!$E$56,"🌸 Flora","🚿 Flush"))))</f>
        <v/>
      </c>
      <c r="E164" s="96"/>
      <c r="F164" s="96"/>
      <c r="G164" s="96"/>
      <c r="H164" s="96"/>
      <c r="I164" s="96"/>
      <c r="J164" s="96"/>
      <c r="K164" s="96"/>
      <c r="L164" s="1" t="str">
        <f aca="false">IF(159&gt;'🌱 Configuração'!$F$55,"",IF(F164="","—",IF(F164&lt;22,"⚠️ Temp baixa",IF(F164&gt;29,"⚠️ Temp ALTA",IF(H164="","✅ OK",IF(H164&lt;5.5,"⚠️ pH baixo",IF(H164&gt;6.9,"⚠️ pH alto",IF(I164&gt;2.5,"⚠️ CE alta","✅ OK"))))))))</f>
        <v/>
      </c>
    </row>
    <row r="165" customFormat="false" ht="18" hidden="false" customHeight="true" outlineLevel="0" collapsed="false">
      <c r="B165" s="98" t="str">
        <f aca="false">IF(160&lt;='🌱 Configuração'!$F$55,160,"")</f>
        <v/>
      </c>
      <c r="C165" s="99" t="str">
        <f aca="false">IF(160&lt;='🌱 Configuração'!$F$55,'🌱 Configuração'!$B$56+159,"")</f>
        <v/>
      </c>
      <c r="D165" s="98" t="str">
        <f aca="false">IF(160&gt;'🌱 Configuração'!$F$55,"",IF('🌱 Configuração'!$B$56+159&lt;'🌱 Configuração'!$C$56,"🌱 Clone",IF('🌱 Configuração'!$B$56+159&lt;'🌱 Configuração'!$D$56,"🌿 Vega",IF('🌱 Configuração'!$B$56+159&lt;'🌱 Configuração'!$E$56,"🌸 Flora","🚿 Flush"))))</f>
        <v/>
      </c>
      <c r="E165" s="98"/>
      <c r="F165" s="98"/>
      <c r="G165" s="98"/>
      <c r="H165" s="98"/>
      <c r="I165" s="98"/>
      <c r="J165" s="98"/>
      <c r="K165" s="98"/>
      <c r="L165" s="1" t="str">
        <f aca="false">IF(160&gt;'🌱 Configuração'!$F$55,"",IF(F165="","—",IF(F165&lt;22,"⚠️ Temp baixa",IF(F165&gt;29,"⚠️ Temp ALTA",IF(H165="","✅ OK",IF(H165&lt;5.5,"⚠️ pH baixo",IF(H165&gt;6.9,"⚠️ pH alto",IF(I165&gt;2.5,"⚠️ CE alta","✅ OK"))))))))</f>
        <v/>
      </c>
    </row>
    <row r="166" customFormat="false" ht="18" hidden="false" customHeight="true" outlineLevel="0" collapsed="false">
      <c r="B166" s="96" t="str">
        <f aca="false">IF(161&lt;='🌱 Configuração'!$F$55,161,"")</f>
        <v/>
      </c>
      <c r="C166" s="97" t="str">
        <f aca="false">IF(161&lt;='🌱 Configuração'!$F$55,'🌱 Configuração'!$B$56+160,"")</f>
        <v/>
      </c>
      <c r="D166" s="96" t="str">
        <f aca="false">IF(161&gt;'🌱 Configuração'!$F$55,"",IF('🌱 Configuração'!$B$56+160&lt;'🌱 Configuração'!$C$56,"🌱 Clone",IF('🌱 Configuração'!$B$56+160&lt;'🌱 Configuração'!$D$56,"🌿 Vega",IF('🌱 Configuração'!$B$56+160&lt;'🌱 Configuração'!$E$56,"🌸 Flora","🚿 Flush"))))</f>
        <v/>
      </c>
      <c r="E166" s="96"/>
      <c r="F166" s="96"/>
      <c r="G166" s="96"/>
      <c r="H166" s="96"/>
      <c r="I166" s="96"/>
      <c r="J166" s="96"/>
      <c r="K166" s="96"/>
      <c r="L166" s="1" t="str">
        <f aca="false">IF(161&gt;'🌱 Configuração'!$F$55,"",IF(F166="","—",IF(F166&lt;22,"⚠️ Temp baixa",IF(F166&gt;29,"⚠️ Temp ALTA",IF(H166="","✅ OK",IF(H166&lt;5.5,"⚠️ pH baixo",IF(H166&gt;6.9,"⚠️ pH alto",IF(I166&gt;2.5,"⚠️ CE alta","✅ OK"))))))))</f>
        <v/>
      </c>
    </row>
    <row r="167" customFormat="false" ht="18" hidden="false" customHeight="true" outlineLevel="0" collapsed="false">
      <c r="B167" s="98" t="str">
        <f aca="false">IF(162&lt;='🌱 Configuração'!$F$55,162,"")</f>
        <v/>
      </c>
      <c r="C167" s="99" t="str">
        <f aca="false">IF(162&lt;='🌱 Configuração'!$F$55,'🌱 Configuração'!$B$56+161,"")</f>
        <v/>
      </c>
      <c r="D167" s="98" t="str">
        <f aca="false">IF(162&gt;'🌱 Configuração'!$F$55,"",IF('🌱 Configuração'!$B$56+161&lt;'🌱 Configuração'!$C$56,"🌱 Clone",IF('🌱 Configuração'!$B$56+161&lt;'🌱 Configuração'!$D$56,"🌿 Vega",IF('🌱 Configuração'!$B$56+161&lt;'🌱 Configuração'!$E$56,"🌸 Flora","🚿 Flush"))))</f>
        <v/>
      </c>
      <c r="E167" s="98"/>
      <c r="F167" s="98"/>
      <c r="G167" s="98"/>
      <c r="H167" s="98"/>
      <c r="I167" s="98"/>
      <c r="J167" s="98"/>
      <c r="K167" s="98"/>
      <c r="L167" s="1" t="str">
        <f aca="false">IF(162&gt;'🌱 Configuração'!$F$55,"",IF(F167="","—",IF(F167&lt;22,"⚠️ Temp baixa",IF(F167&gt;29,"⚠️ Temp ALTA",IF(H167="","✅ OK",IF(H167&lt;5.5,"⚠️ pH baixo",IF(H167&gt;6.9,"⚠️ pH alto",IF(I167&gt;2.5,"⚠️ CE alta","✅ OK"))))))))</f>
        <v/>
      </c>
    </row>
    <row r="168" customFormat="false" ht="18" hidden="false" customHeight="true" outlineLevel="0" collapsed="false">
      <c r="B168" s="96" t="str">
        <f aca="false">IF(163&lt;='🌱 Configuração'!$F$55,163,"")</f>
        <v/>
      </c>
      <c r="C168" s="97" t="str">
        <f aca="false">IF(163&lt;='🌱 Configuração'!$F$55,'🌱 Configuração'!$B$56+162,"")</f>
        <v/>
      </c>
      <c r="D168" s="96" t="str">
        <f aca="false">IF(163&gt;'🌱 Configuração'!$F$55,"",IF('🌱 Configuração'!$B$56+162&lt;'🌱 Configuração'!$C$56,"🌱 Clone",IF('🌱 Configuração'!$B$56+162&lt;'🌱 Configuração'!$D$56,"🌿 Vega",IF('🌱 Configuração'!$B$56+162&lt;'🌱 Configuração'!$E$56,"🌸 Flora","🚿 Flush"))))</f>
        <v/>
      </c>
      <c r="E168" s="96"/>
      <c r="F168" s="96"/>
      <c r="G168" s="96"/>
      <c r="H168" s="96"/>
      <c r="I168" s="96"/>
      <c r="J168" s="96"/>
      <c r="K168" s="96"/>
      <c r="L168" s="1" t="str">
        <f aca="false">IF(163&gt;'🌱 Configuração'!$F$55,"",IF(F168="","—",IF(F168&lt;22,"⚠️ Temp baixa",IF(F168&gt;29,"⚠️ Temp ALTA",IF(H168="","✅ OK",IF(H168&lt;5.5,"⚠️ pH baixo",IF(H168&gt;6.9,"⚠️ pH alto",IF(I168&gt;2.5,"⚠️ CE alta","✅ OK"))))))))</f>
        <v/>
      </c>
    </row>
    <row r="169" customFormat="false" ht="18" hidden="false" customHeight="true" outlineLevel="0" collapsed="false">
      <c r="B169" s="98" t="str">
        <f aca="false">IF(164&lt;='🌱 Configuração'!$F$55,164,"")</f>
        <v/>
      </c>
      <c r="C169" s="99" t="str">
        <f aca="false">IF(164&lt;='🌱 Configuração'!$F$55,'🌱 Configuração'!$B$56+163,"")</f>
        <v/>
      </c>
      <c r="D169" s="98" t="str">
        <f aca="false">IF(164&gt;'🌱 Configuração'!$F$55,"",IF('🌱 Configuração'!$B$56+163&lt;'🌱 Configuração'!$C$56,"🌱 Clone",IF('🌱 Configuração'!$B$56+163&lt;'🌱 Configuração'!$D$56,"🌿 Vega",IF('🌱 Configuração'!$B$56+163&lt;'🌱 Configuração'!$E$56,"🌸 Flora","🚿 Flush"))))</f>
        <v/>
      </c>
      <c r="E169" s="98"/>
      <c r="F169" s="98"/>
      <c r="G169" s="98"/>
      <c r="H169" s="98"/>
      <c r="I169" s="98"/>
      <c r="J169" s="98"/>
      <c r="K169" s="98"/>
      <c r="L169" s="1" t="str">
        <f aca="false">IF(164&gt;'🌱 Configuração'!$F$55,"",IF(F169="","—",IF(F169&lt;22,"⚠️ Temp baixa",IF(F169&gt;29,"⚠️ Temp ALTA",IF(H169="","✅ OK",IF(H169&lt;5.5,"⚠️ pH baixo",IF(H169&gt;6.9,"⚠️ pH alto",IF(I169&gt;2.5,"⚠️ CE alta","✅ OK"))))))))</f>
        <v/>
      </c>
    </row>
    <row r="170" customFormat="false" ht="18" hidden="false" customHeight="true" outlineLevel="0" collapsed="false">
      <c r="B170" s="96" t="str">
        <f aca="false">IF(165&lt;='🌱 Configuração'!$F$55,165,"")</f>
        <v/>
      </c>
      <c r="C170" s="97" t="str">
        <f aca="false">IF(165&lt;='🌱 Configuração'!$F$55,'🌱 Configuração'!$B$56+164,"")</f>
        <v/>
      </c>
      <c r="D170" s="96" t="str">
        <f aca="false">IF(165&gt;'🌱 Configuração'!$F$55,"",IF('🌱 Configuração'!$B$56+164&lt;'🌱 Configuração'!$C$56,"🌱 Clone",IF('🌱 Configuração'!$B$56+164&lt;'🌱 Configuração'!$D$56,"🌿 Vega",IF('🌱 Configuração'!$B$56+164&lt;'🌱 Configuração'!$E$56,"🌸 Flora","🚿 Flush"))))</f>
        <v/>
      </c>
      <c r="E170" s="96"/>
      <c r="F170" s="96"/>
      <c r="G170" s="96"/>
      <c r="H170" s="96"/>
      <c r="I170" s="96"/>
      <c r="J170" s="96"/>
      <c r="K170" s="96"/>
      <c r="L170" s="1" t="str">
        <f aca="false">IF(165&gt;'🌱 Configuração'!$F$55,"",IF(F170="","—",IF(F170&lt;22,"⚠️ Temp baixa",IF(F170&gt;29,"⚠️ Temp ALTA",IF(H170="","✅ OK",IF(H170&lt;5.5,"⚠️ pH baixo",IF(H170&gt;6.9,"⚠️ pH alto",IF(I170&gt;2.5,"⚠️ CE alta","✅ OK"))))))))</f>
        <v/>
      </c>
    </row>
    <row r="171" customFormat="false" ht="18" hidden="false" customHeight="true" outlineLevel="0" collapsed="false">
      <c r="B171" s="98" t="str">
        <f aca="false">IF(166&lt;='🌱 Configuração'!$F$55,166,"")</f>
        <v/>
      </c>
      <c r="C171" s="99" t="str">
        <f aca="false">IF(166&lt;='🌱 Configuração'!$F$55,'🌱 Configuração'!$B$56+165,"")</f>
        <v/>
      </c>
      <c r="D171" s="98" t="str">
        <f aca="false">IF(166&gt;'🌱 Configuração'!$F$55,"",IF('🌱 Configuração'!$B$56+165&lt;'🌱 Configuração'!$C$56,"🌱 Clone",IF('🌱 Configuração'!$B$56+165&lt;'🌱 Configuração'!$D$56,"🌿 Vega",IF('🌱 Configuração'!$B$56+165&lt;'🌱 Configuração'!$E$56,"🌸 Flora","🚿 Flush"))))</f>
        <v/>
      </c>
      <c r="E171" s="98"/>
      <c r="F171" s="98"/>
      <c r="G171" s="98"/>
      <c r="H171" s="98"/>
      <c r="I171" s="98"/>
      <c r="J171" s="98"/>
      <c r="K171" s="98"/>
      <c r="L171" s="1" t="str">
        <f aca="false">IF(166&gt;'🌱 Configuração'!$F$55,"",IF(F171="","—",IF(F171&lt;22,"⚠️ Temp baixa",IF(F171&gt;29,"⚠️ Temp ALTA",IF(H171="","✅ OK",IF(H171&lt;5.5,"⚠️ pH baixo",IF(H171&gt;6.9,"⚠️ pH alto",IF(I171&gt;2.5,"⚠️ CE alta","✅ OK"))))))))</f>
        <v/>
      </c>
    </row>
    <row r="172" customFormat="false" ht="18" hidden="false" customHeight="true" outlineLevel="0" collapsed="false">
      <c r="B172" s="96" t="str">
        <f aca="false">IF(167&lt;='🌱 Configuração'!$F$55,167,"")</f>
        <v/>
      </c>
      <c r="C172" s="97" t="str">
        <f aca="false">IF(167&lt;='🌱 Configuração'!$F$55,'🌱 Configuração'!$B$56+166,"")</f>
        <v/>
      </c>
      <c r="D172" s="96" t="str">
        <f aca="false">IF(167&gt;'🌱 Configuração'!$F$55,"",IF('🌱 Configuração'!$B$56+166&lt;'🌱 Configuração'!$C$56,"🌱 Clone",IF('🌱 Configuração'!$B$56+166&lt;'🌱 Configuração'!$D$56,"🌿 Vega",IF('🌱 Configuração'!$B$56+166&lt;'🌱 Configuração'!$E$56,"🌸 Flora","🚿 Flush"))))</f>
        <v/>
      </c>
      <c r="E172" s="96"/>
      <c r="F172" s="96"/>
      <c r="G172" s="96"/>
      <c r="H172" s="96"/>
      <c r="I172" s="96"/>
      <c r="J172" s="96"/>
      <c r="K172" s="96"/>
      <c r="L172" s="1" t="str">
        <f aca="false">IF(167&gt;'🌱 Configuração'!$F$55,"",IF(F172="","—",IF(F172&lt;22,"⚠️ Temp baixa",IF(F172&gt;29,"⚠️ Temp ALTA",IF(H172="","✅ OK",IF(H172&lt;5.5,"⚠️ pH baixo",IF(H172&gt;6.9,"⚠️ pH alto",IF(I172&gt;2.5,"⚠️ CE alta","✅ OK"))))))))</f>
        <v/>
      </c>
    </row>
    <row r="173" customFormat="false" ht="18" hidden="false" customHeight="true" outlineLevel="0" collapsed="false">
      <c r="B173" s="98" t="str">
        <f aca="false">IF(168&lt;='🌱 Configuração'!$F$55,168,"")</f>
        <v/>
      </c>
      <c r="C173" s="99" t="str">
        <f aca="false">IF(168&lt;='🌱 Configuração'!$F$55,'🌱 Configuração'!$B$56+167,"")</f>
        <v/>
      </c>
      <c r="D173" s="98" t="str">
        <f aca="false">IF(168&gt;'🌱 Configuração'!$F$55,"",IF('🌱 Configuração'!$B$56+167&lt;'🌱 Configuração'!$C$56,"🌱 Clone",IF('🌱 Configuração'!$B$56+167&lt;'🌱 Configuração'!$D$56,"🌿 Vega",IF('🌱 Configuração'!$B$56+167&lt;'🌱 Configuração'!$E$56,"🌸 Flora","🚿 Flush"))))</f>
        <v/>
      </c>
      <c r="E173" s="98"/>
      <c r="F173" s="98"/>
      <c r="G173" s="98"/>
      <c r="H173" s="98"/>
      <c r="I173" s="98"/>
      <c r="J173" s="98"/>
      <c r="K173" s="98"/>
      <c r="L173" s="1" t="str">
        <f aca="false">IF(168&gt;'🌱 Configuração'!$F$55,"",IF(F173="","—",IF(F173&lt;22,"⚠️ Temp baixa",IF(F173&gt;29,"⚠️ Temp ALTA",IF(H173="","✅ OK",IF(H173&lt;5.5,"⚠️ pH baixo",IF(H173&gt;6.9,"⚠️ pH alto",IF(I173&gt;2.5,"⚠️ CE alta","✅ OK"))))))))</f>
        <v/>
      </c>
    </row>
    <row r="174" customFormat="false" ht="18" hidden="false" customHeight="true" outlineLevel="0" collapsed="false">
      <c r="B174" s="96" t="str">
        <f aca="false">IF(169&lt;='🌱 Configuração'!$F$55,169,"")</f>
        <v/>
      </c>
      <c r="C174" s="97" t="str">
        <f aca="false">IF(169&lt;='🌱 Configuração'!$F$55,'🌱 Configuração'!$B$56+168,"")</f>
        <v/>
      </c>
      <c r="D174" s="96" t="str">
        <f aca="false">IF(169&gt;'🌱 Configuração'!$F$55,"",IF('🌱 Configuração'!$B$56+168&lt;'🌱 Configuração'!$C$56,"🌱 Clone",IF('🌱 Configuração'!$B$56+168&lt;'🌱 Configuração'!$D$56,"🌿 Vega",IF('🌱 Configuração'!$B$56+168&lt;'🌱 Configuração'!$E$56,"🌸 Flora","🚿 Flush"))))</f>
        <v/>
      </c>
      <c r="E174" s="96"/>
      <c r="F174" s="96"/>
      <c r="G174" s="96"/>
      <c r="H174" s="96"/>
      <c r="I174" s="96"/>
      <c r="J174" s="96"/>
      <c r="K174" s="96"/>
      <c r="L174" s="1" t="str">
        <f aca="false">IF(169&gt;'🌱 Configuração'!$F$55,"",IF(F174="","—",IF(F174&lt;22,"⚠️ Temp baixa",IF(F174&gt;29,"⚠️ Temp ALTA",IF(H174="","✅ OK",IF(H174&lt;5.5,"⚠️ pH baixo",IF(H174&gt;6.9,"⚠️ pH alto",IF(I174&gt;2.5,"⚠️ CE alta","✅ OK"))))))))</f>
        <v/>
      </c>
    </row>
    <row r="175" customFormat="false" ht="18" hidden="false" customHeight="true" outlineLevel="0" collapsed="false">
      <c r="B175" s="98" t="str">
        <f aca="false">IF(170&lt;='🌱 Configuração'!$F$55,170,"")</f>
        <v/>
      </c>
      <c r="C175" s="99" t="str">
        <f aca="false">IF(170&lt;='🌱 Configuração'!$F$55,'🌱 Configuração'!$B$56+169,"")</f>
        <v/>
      </c>
      <c r="D175" s="98" t="str">
        <f aca="false">IF(170&gt;'🌱 Configuração'!$F$55,"",IF('🌱 Configuração'!$B$56+169&lt;'🌱 Configuração'!$C$56,"🌱 Clone",IF('🌱 Configuração'!$B$56+169&lt;'🌱 Configuração'!$D$56,"🌿 Vega",IF('🌱 Configuração'!$B$56+169&lt;'🌱 Configuração'!$E$56,"🌸 Flora","🚿 Flush"))))</f>
        <v/>
      </c>
      <c r="E175" s="98"/>
      <c r="F175" s="98"/>
      <c r="G175" s="98"/>
      <c r="H175" s="98"/>
      <c r="I175" s="98"/>
      <c r="J175" s="98"/>
      <c r="K175" s="98"/>
      <c r="L175" s="1" t="str">
        <f aca="false">IF(170&gt;'🌱 Configuração'!$F$55,"",IF(F175="","—",IF(F175&lt;22,"⚠️ Temp baixa",IF(F175&gt;29,"⚠️ Temp ALTA",IF(H175="","✅ OK",IF(H175&lt;5.5,"⚠️ pH baixo",IF(H175&gt;6.9,"⚠️ pH alto",IF(I175&gt;2.5,"⚠️ CE alta","✅ OK"))))))))</f>
        <v/>
      </c>
    </row>
    <row r="176" customFormat="false" ht="18" hidden="false" customHeight="true" outlineLevel="0" collapsed="false">
      <c r="B176" s="96" t="str">
        <f aca="false">IF(171&lt;='🌱 Configuração'!$F$55,171,"")</f>
        <v/>
      </c>
      <c r="C176" s="97" t="str">
        <f aca="false">IF(171&lt;='🌱 Configuração'!$F$55,'🌱 Configuração'!$B$56+170,"")</f>
        <v/>
      </c>
      <c r="D176" s="96" t="str">
        <f aca="false">IF(171&gt;'🌱 Configuração'!$F$55,"",IF('🌱 Configuração'!$B$56+170&lt;'🌱 Configuração'!$C$56,"🌱 Clone",IF('🌱 Configuração'!$B$56+170&lt;'🌱 Configuração'!$D$56,"🌿 Vega",IF('🌱 Configuração'!$B$56+170&lt;'🌱 Configuração'!$E$56,"🌸 Flora","🚿 Flush"))))</f>
        <v/>
      </c>
      <c r="E176" s="96"/>
      <c r="F176" s="96"/>
      <c r="G176" s="96"/>
      <c r="H176" s="96"/>
      <c r="I176" s="96"/>
      <c r="J176" s="96"/>
      <c r="K176" s="96"/>
      <c r="L176" s="1" t="str">
        <f aca="false">IF(171&gt;'🌱 Configuração'!$F$55,"",IF(F176="","—",IF(F176&lt;22,"⚠️ Temp baixa",IF(F176&gt;29,"⚠️ Temp ALTA",IF(H176="","✅ OK",IF(H176&lt;5.5,"⚠️ pH baixo",IF(H176&gt;6.9,"⚠️ pH alto",IF(I176&gt;2.5,"⚠️ CE alta","✅ OK"))))))))</f>
        <v/>
      </c>
    </row>
    <row r="177" customFormat="false" ht="18" hidden="false" customHeight="true" outlineLevel="0" collapsed="false">
      <c r="B177" s="98" t="str">
        <f aca="false">IF(172&lt;='🌱 Configuração'!$F$55,172,"")</f>
        <v/>
      </c>
      <c r="C177" s="99" t="str">
        <f aca="false">IF(172&lt;='🌱 Configuração'!$F$55,'🌱 Configuração'!$B$56+171,"")</f>
        <v/>
      </c>
      <c r="D177" s="98" t="str">
        <f aca="false">IF(172&gt;'🌱 Configuração'!$F$55,"",IF('🌱 Configuração'!$B$56+171&lt;'🌱 Configuração'!$C$56,"🌱 Clone",IF('🌱 Configuração'!$B$56+171&lt;'🌱 Configuração'!$D$56,"🌿 Vega",IF('🌱 Configuração'!$B$56+171&lt;'🌱 Configuração'!$E$56,"🌸 Flora","🚿 Flush"))))</f>
        <v/>
      </c>
      <c r="E177" s="98"/>
      <c r="F177" s="98"/>
      <c r="G177" s="98"/>
      <c r="H177" s="98"/>
      <c r="I177" s="98"/>
      <c r="J177" s="98"/>
      <c r="K177" s="98"/>
      <c r="L177" s="1" t="str">
        <f aca="false">IF(172&gt;'🌱 Configuração'!$F$55,"",IF(F177="","—",IF(F177&lt;22,"⚠️ Temp baixa",IF(F177&gt;29,"⚠️ Temp ALTA",IF(H177="","✅ OK",IF(H177&lt;5.5,"⚠️ pH baixo",IF(H177&gt;6.9,"⚠️ pH alto",IF(I177&gt;2.5,"⚠️ CE alta","✅ OK"))))))))</f>
        <v/>
      </c>
    </row>
    <row r="178" customFormat="false" ht="18" hidden="false" customHeight="true" outlineLevel="0" collapsed="false">
      <c r="B178" s="96" t="str">
        <f aca="false">IF(173&lt;='🌱 Configuração'!$F$55,173,"")</f>
        <v/>
      </c>
      <c r="C178" s="97" t="str">
        <f aca="false">IF(173&lt;='🌱 Configuração'!$F$55,'🌱 Configuração'!$B$56+172,"")</f>
        <v/>
      </c>
      <c r="D178" s="96" t="str">
        <f aca="false">IF(173&gt;'🌱 Configuração'!$F$55,"",IF('🌱 Configuração'!$B$56+172&lt;'🌱 Configuração'!$C$56,"🌱 Clone",IF('🌱 Configuração'!$B$56+172&lt;'🌱 Configuração'!$D$56,"🌿 Vega",IF('🌱 Configuração'!$B$56+172&lt;'🌱 Configuração'!$E$56,"🌸 Flora","🚿 Flush"))))</f>
        <v/>
      </c>
      <c r="E178" s="96"/>
      <c r="F178" s="96"/>
      <c r="G178" s="96"/>
      <c r="H178" s="96"/>
      <c r="I178" s="96"/>
      <c r="J178" s="96"/>
      <c r="K178" s="96"/>
      <c r="L178" s="1" t="str">
        <f aca="false">IF(173&gt;'🌱 Configuração'!$F$55,"",IF(F178="","—",IF(F178&lt;22,"⚠️ Temp baixa",IF(F178&gt;29,"⚠️ Temp ALTA",IF(H178="","✅ OK",IF(H178&lt;5.5,"⚠️ pH baixo",IF(H178&gt;6.9,"⚠️ pH alto",IF(I178&gt;2.5,"⚠️ CE alta","✅ OK"))))))))</f>
        <v/>
      </c>
    </row>
    <row r="179" customFormat="false" ht="18" hidden="false" customHeight="true" outlineLevel="0" collapsed="false">
      <c r="B179" s="98" t="str">
        <f aca="false">IF(174&lt;='🌱 Configuração'!$F$55,174,"")</f>
        <v/>
      </c>
      <c r="C179" s="99" t="str">
        <f aca="false">IF(174&lt;='🌱 Configuração'!$F$55,'🌱 Configuração'!$B$56+173,"")</f>
        <v/>
      </c>
      <c r="D179" s="98" t="str">
        <f aca="false">IF(174&gt;'🌱 Configuração'!$F$55,"",IF('🌱 Configuração'!$B$56+173&lt;'🌱 Configuração'!$C$56,"🌱 Clone",IF('🌱 Configuração'!$B$56+173&lt;'🌱 Configuração'!$D$56,"🌿 Vega",IF('🌱 Configuração'!$B$56+173&lt;'🌱 Configuração'!$E$56,"🌸 Flora","🚿 Flush"))))</f>
        <v/>
      </c>
      <c r="E179" s="98"/>
      <c r="F179" s="98"/>
      <c r="G179" s="98"/>
      <c r="H179" s="98"/>
      <c r="I179" s="98"/>
      <c r="J179" s="98"/>
      <c r="K179" s="98"/>
      <c r="L179" s="1" t="str">
        <f aca="false">IF(174&gt;'🌱 Configuração'!$F$55,"",IF(F179="","—",IF(F179&lt;22,"⚠️ Temp baixa",IF(F179&gt;29,"⚠️ Temp ALTA",IF(H179="","✅ OK",IF(H179&lt;5.5,"⚠️ pH baixo",IF(H179&gt;6.9,"⚠️ pH alto",IF(I179&gt;2.5,"⚠️ CE alta","✅ OK"))))))))</f>
        <v/>
      </c>
    </row>
    <row r="180" customFormat="false" ht="18" hidden="false" customHeight="true" outlineLevel="0" collapsed="false">
      <c r="B180" s="96" t="str">
        <f aca="false">IF(175&lt;='🌱 Configuração'!$F$55,175,"")</f>
        <v/>
      </c>
      <c r="C180" s="97" t="str">
        <f aca="false">IF(175&lt;='🌱 Configuração'!$F$55,'🌱 Configuração'!$B$56+174,"")</f>
        <v/>
      </c>
      <c r="D180" s="96" t="str">
        <f aca="false">IF(175&gt;'🌱 Configuração'!$F$55,"",IF('🌱 Configuração'!$B$56+174&lt;'🌱 Configuração'!$C$56,"🌱 Clone",IF('🌱 Configuração'!$B$56+174&lt;'🌱 Configuração'!$D$56,"🌿 Vega",IF('🌱 Configuração'!$B$56+174&lt;'🌱 Configuração'!$E$56,"🌸 Flora","🚿 Flush"))))</f>
        <v/>
      </c>
      <c r="E180" s="96"/>
      <c r="F180" s="96"/>
      <c r="G180" s="96"/>
      <c r="H180" s="96"/>
      <c r="I180" s="96"/>
      <c r="J180" s="96"/>
      <c r="K180" s="96"/>
      <c r="L180" s="1" t="str">
        <f aca="false">IF(175&gt;'🌱 Configuração'!$F$55,"",IF(F180="","—",IF(F180&lt;22,"⚠️ Temp baixa",IF(F180&gt;29,"⚠️ Temp ALTA",IF(H180="","✅ OK",IF(H180&lt;5.5,"⚠️ pH baixo",IF(H180&gt;6.9,"⚠️ pH alto",IF(I180&gt;2.5,"⚠️ CE alta","✅ OK"))))))))</f>
        <v/>
      </c>
    </row>
    <row r="181" customFormat="false" ht="18" hidden="false" customHeight="true" outlineLevel="0" collapsed="false">
      <c r="B181" s="98" t="str">
        <f aca="false">IF(176&lt;='🌱 Configuração'!$F$55,176,"")</f>
        <v/>
      </c>
      <c r="C181" s="99" t="str">
        <f aca="false">IF(176&lt;='🌱 Configuração'!$F$55,'🌱 Configuração'!$B$56+175,"")</f>
        <v/>
      </c>
      <c r="D181" s="98" t="str">
        <f aca="false">IF(176&gt;'🌱 Configuração'!$F$55,"",IF('🌱 Configuração'!$B$56+175&lt;'🌱 Configuração'!$C$56,"🌱 Clone",IF('🌱 Configuração'!$B$56+175&lt;'🌱 Configuração'!$D$56,"🌿 Vega",IF('🌱 Configuração'!$B$56+175&lt;'🌱 Configuração'!$E$56,"🌸 Flora","🚿 Flush"))))</f>
        <v/>
      </c>
      <c r="E181" s="98"/>
      <c r="F181" s="98"/>
      <c r="G181" s="98"/>
      <c r="H181" s="98"/>
      <c r="I181" s="98"/>
      <c r="J181" s="98"/>
      <c r="K181" s="98"/>
      <c r="L181" s="1" t="str">
        <f aca="false">IF(176&gt;'🌱 Configuração'!$F$55,"",IF(F181="","—",IF(F181&lt;22,"⚠️ Temp baixa",IF(F181&gt;29,"⚠️ Temp ALTA",IF(H181="","✅ OK",IF(H181&lt;5.5,"⚠️ pH baixo",IF(H181&gt;6.9,"⚠️ pH alto",IF(I181&gt;2.5,"⚠️ CE alta","✅ OK"))))))))</f>
        <v/>
      </c>
    </row>
    <row r="182" customFormat="false" ht="18" hidden="false" customHeight="true" outlineLevel="0" collapsed="false">
      <c r="B182" s="96" t="str">
        <f aca="false">IF(177&lt;='🌱 Configuração'!$F$55,177,"")</f>
        <v/>
      </c>
      <c r="C182" s="97" t="str">
        <f aca="false">IF(177&lt;='🌱 Configuração'!$F$55,'🌱 Configuração'!$B$56+176,"")</f>
        <v/>
      </c>
      <c r="D182" s="96" t="str">
        <f aca="false">IF(177&gt;'🌱 Configuração'!$F$55,"",IF('🌱 Configuração'!$B$56+176&lt;'🌱 Configuração'!$C$56,"🌱 Clone",IF('🌱 Configuração'!$B$56+176&lt;'🌱 Configuração'!$D$56,"🌿 Vega",IF('🌱 Configuração'!$B$56+176&lt;'🌱 Configuração'!$E$56,"🌸 Flora","🚿 Flush"))))</f>
        <v/>
      </c>
      <c r="E182" s="96"/>
      <c r="F182" s="96"/>
      <c r="G182" s="96"/>
      <c r="H182" s="96"/>
      <c r="I182" s="96"/>
      <c r="J182" s="96"/>
      <c r="K182" s="96"/>
      <c r="L182" s="1" t="str">
        <f aca="false">IF(177&gt;'🌱 Configuração'!$F$55,"",IF(F182="","—",IF(F182&lt;22,"⚠️ Temp baixa",IF(F182&gt;29,"⚠️ Temp ALTA",IF(H182="","✅ OK",IF(H182&lt;5.5,"⚠️ pH baixo",IF(H182&gt;6.9,"⚠️ pH alto",IF(I182&gt;2.5,"⚠️ CE alta","✅ OK"))))))))</f>
        <v/>
      </c>
    </row>
    <row r="183" customFormat="false" ht="18" hidden="false" customHeight="true" outlineLevel="0" collapsed="false">
      <c r="B183" s="98" t="str">
        <f aca="false">IF(178&lt;='🌱 Configuração'!$F$55,178,"")</f>
        <v/>
      </c>
      <c r="C183" s="99" t="str">
        <f aca="false">IF(178&lt;='🌱 Configuração'!$F$55,'🌱 Configuração'!$B$56+177,"")</f>
        <v/>
      </c>
      <c r="D183" s="98" t="str">
        <f aca="false">IF(178&gt;'🌱 Configuração'!$F$55,"",IF('🌱 Configuração'!$B$56+177&lt;'🌱 Configuração'!$C$56,"🌱 Clone",IF('🌱 Configuração'!$B$56+177&lt;'🌱 Configuração'!$D$56,"🌿 Vega",IF('🌱 Configuração'!$B$56+177&lt;'🌱 Configuração'!$E$56,"🌸 Flora","🚿 Flush"))))</f>
        <v/>
      </c>
      <c r="E183" s="98"/>
      <c r="F183" s="98"/>
      <c r="G183" s="98"/>
      <c r="H183" s="98"/>
      <c r="I183" s="98"/>
      <c r="J183" s="98"/>
      <c r="K183" s="98"/>
      <c r="L183" s="1" t="str">
        <f aca="false">IF(178&gt;'🌱 Configuração'!$F$55,"",IF(F183="","—",IF(F183&lt;22,"⚠️ Temp baixa",IF(F183&gt;29,"⚠️ Temp ALTA",IF(H183="","✅ OK",IF(H183&lt;5.5,"⚠️ pH baixo",IF(H183&gt;6.9,"⚠️ pH alto",IF(I183&gt;2.5,"⚠️ CE alta","✅ OK"))))))))</f>
        <v/>
      </c>
    </row>
    <row r="184" customFormat="false" ht="18" hidden="false" customHeight="true" outlineLevel="0" collapsed="false">
      <c r="B184" s="96" t="str">
        <f aca="false">IF(179&lt;='🌱 Configuração'!$F$55,179,"")</f>
        <v/>
      </c>
      <c r="C184" s="97" t="str">
        <f aca="false">IF(179&lt;='🌱 Configuração'!$F$55,'🌱 Configuração'!$B$56+178,"")</f>
        <v/>
      </c>
      <c r="D184" s="96" t="str">
        <f aca="false">IF(179&gt;'🌱 Configuração'!$F$55,"",IF('🌱 Configuração'!$B$56+178&lt;'🌱 Configuração'!$C$56,"🌱 Clone",IF('🌱 Configuração'!$B$56+178&lt;'🌱 Configuração'!$D$56,"🌿 Vega",IF('🌱 Configuração'!$B$56+178&lt;'🌱 Configuração'!$E$56,"🌸 Flora","🚿 Flush"))))</f>
        <v/>
      </c>
      <c r="E184" s="96"/>
      <c r="F184" s="96"/>
      <c r="G184" s="96"/>
      <c r="H184" s="96"/>
      <c r="I184" s="96"/>
      <c r="J184" s="96"/>
      <c r="K184" s="96"/>
      <c r="L184" s="1" t="str">
        <f aca="false">IF(179&gt;'🌱 Configuração'!$F$55,"",IF(F184="","—",IF(F184&lt;22,"⚠️ Temp baixa",IF(F184&gt;29,"⚠️ Temp ALTA",IF(H184="","✅ OK",IF(H184&lt;5.5,"⚠️ pH baixo",IF(H184&gt;6.9,"⚠️ pH alto",IF(I184&gt;2.5,"⚠️ CE alta","✅ OK"))))))))</f>
        <v/>
      </c>
    </row>
    <row r="185" customFormat="false" ht="18" hidden="false" customHeight="true" outlineLevel="0" collapsed="false">
      <c r="B185" s="98" t="str">
        <f aca="false">IF(180&lt;='🌱 Configuração'!$F$55,180,"")</f>
        <v/>
      </c>
      <c r="C185" s="99" t="str">
        <f aca="false">IF(180&lt;='🌱 Configuração'!$F$55,'🌱 Configuração'!$B$56+179,"")</f>
        <v/>
      </c>
      <c r="D185" s="98" t="str">
        <f aca="false">IF(180&gt;'🌱 Configuração'!$F$55,"",IF('🌱 Configuração'!$B$56+179&lt;'🌱 Configuração'!$C$56,"🌱 Clone",IF('🌱 Configuração'!$B$56+179&lt;'🌱 Configuração'!$D$56,"🌿 Vega",IF('🌱 Configuração'!$B$56+179&lt;'🌱 Configuração'!$E$56,"🌸 Flora","🚿 Flush"))))</f>
        <v/>
      </c>
      <c r="E185" s="98"/>
      <c r="F185" s="98"/>
      <c r="G185" s="98"/>
      <c r="H185" s="98"/>
      <c r="I185" s="98"/>
      <c r="J185" s="98"/>
      <c r="K185" s="98"/>
      <c r="L185" s="1" t="str">
        <f aca="false">IF(180&gt;'🌱 Configuração'!$F$55,"",IF(F185="","—",IF(F185&lt;22,"⚠️ Temp baixa",IF(F185&gt;29,"⚠️ Temp ALTA",IF(H185="","✅ OK",IF(H185&lt;5.5,"⚠️ pH baixo",IF(H185&gt;6.9,"⚠️ pH alto",IF(I185&gt;2.5,"⚠️ CE alta","✅ OK"))))))))</f>
        <v/>
      </c>
    </row>
    <row r="186" customFormat="false" ht="18" hidden="false" customHeight="true" outlineLevel="0" collapsed="false">
      <c r="B186" s="96" t="str">
        <f aca="false">IF(181&lt;='🌱 Configuração'!$F$55,181,"")</f>
        <v/>
      </c>
      <c r="C186" s="97" t="str">
        <f aca="false">IF(181&lt;='🌱 Configuração'!$F$55,'🌱 Configuração'!$B$56+180,"")</f>
        <v/>
      </c>
      <c r="D186" s="96" t="str">
        <f aca="false">IF(181&gt;'🌱 Configuração'!$F$55,"",IF('🌱 Configuração'!$B$56+180&lt;'🌱 Configuração'!$C$56,"🌱 Clone",IF('🌱 Configuração'!$B$56+180&lt;'🌱 Configuração'!$D$56,"🌿 Vega",IF('🌱 Configuração'!$B$56+180&lt;'🌱 Configuração'!$E$56,"🌸 Flora","🚿 Flush"))))</f>
        <v/>
      </c>
      <c r="E186" s="96"/>
      <c r="F186" s="96"/>
      <c r="G186" s="96"/>
      <c r="H186" s="96"/>
      <c r="I186" s="96"/>
      <c r="J186" s="96"/>
      <c r="K186" s="96"/>
      <c r="L186" s="1" t="str">
        <f aca="false">IF(181&gt;'🌱 Configuração'!$F$55,"",IF(F186="","—",IF(F186&lt;22,"⚠️ Temp baixa",IF(F186&gt;29,"⚠️ Temp ALTA",IF(H186="","✅ OK",IF(H186&lt;5.5,"⚠️ pH baixo",IF(H186&gt;6.9,"⚠️ pH alto",IF(I186&gt;2.5,"⚠️ CE alta","✅ OK"))))))))</f>
        <v/>
      </c>
    </row>
    <row r="187" customFormat="false" ht="18" hidden="false" customHeight="true" outlineLevel="0" collapsed="false">
      <c r="B187" s="98" t="str">
        <f aca="false">IF(182&lt;='🌱 Configuração'!$F$55,182,"")</f>
        <v/>
      </c>
      <c r="C187" s="99" t="str">
        <f aca="false">IF(182&lt;='🌱 Configuração'!$F$55,'🌱 Configuração'!$B$56+181,"")</f>
        <v/>
      </c>
      <c r="D187" s="98" t="str">
        <f aca="false">IF(182&gt;'🌱 Configuração'!$F$55,"",IF('🌱 Configuração'!$B$56+181&lt;'🌱 Configuração'!$C$56,"🌱 Clone",IF('🌱 Configuração'!$B$56+181&lt;'🌱 Configuração'!$D$56,"🌿 Vega",IF('🌱 Configuração'!$B$56+181&lt;'🌱 Configuração'!$E$56,"🌸 Flora","🚿 Flush"))))</f>
        <v/>
      </c>
      <c r="E187" s="98"/>
      <c r="F187" s="98"/>
      <c r="G187" s="98"/>
      <c r="H187" s="98"/>
      <c r="I187" s="98"/>
      <c r="J187" s="98"/>
      <c r="K187" s="98"/>
      <c r="L187" s="1" t="str">
        <f aca="false">IF(182&gt;'🌱 Configuração'!$F$55,"",IF(F187="","—",IF(F187&lt;22,"⚠️ Temp baixa",IF(F187&gt;29,"⚠️ Temp ALTA",IF(H187="","✅ OK",IF(H187&lt;5.5,"⚠️ pH baixo",IF(H187&gt;6.9,"⚠️ pH alto",IF(I187&gt;2.5,"⚠️ CE alta","✅ OK"))))))))</f>
        <v/>
      </c>
    </row>
    <row r="188" customFormat="false" ht="18" hidden="false" customHeight="true" outlineLevel="0" collapsed="false">
      <c r="B188" s="96" t="str">
        <f aca="false">IF(183&lt;='🌱 Configuração'!$F$55,183,"")</f>
        <v/>
      </c>
      <c r="C188" s="97" t="str">
        <f aca="false">IF(183&lt;='🌱 Configuração'!$F$55,'🌱 Configuração'!$B$56+182,"")</f>
        <v/>
      </c>
      <c r="D188" s="96" t="str">
        <f aca="false">IF(183&gt;'🌱 Configuração'!$F$55,"",IF('🌱 Configuração'!$B$56+182&lt;'🌱 Configuração'!$C$56,"🌱 Clone",IF('🌱 Configuração'!$B$56+182&lt;'🌱 Configuração'!$D$56,"🌿 Vega",IF('🌱 Configuração'!$B$56+182&lt;'🌱 Configuração'!$E$56,"🌸 Flora","🚿 Flush"))))</f>
        <v/>
      </c>
      <c r="E188" s="96"/>
      <c r="F188" s="96"/>
      <c r="G188" s="96"/>
      <c r="H188" s="96"/>
      <c r="I188" s="96"/>
      <c r="J188" s="96"/>
      <c r="K188" s="96"/>
      <c r="L188" s="1" t="str">
        <f aca="false">IF(183&gt;'🌱 Configuração'!$F$55,"",IF(F188="","—",IF(F188&lt;22,"⚠️ Temp baixa",IF(F188&gt;29,"⚠️ Temp ALTA",IF(H188="","✅ OK",IF(H188&lt;5.5,"⚠️ pH baixo",IF(H188&gt;6.9,"⚠️ pH alto",IF(I188&gt;2.5,"⚠️ CE alta","✅ OK"))))))))</f>
        <v/>
      </c>
    </row>
    <row r="189" customFormat="false" ht="18" hidden="false" customHeight="true" outlineLevel="0" collapsed="false">
      <c r="B189" s="98" t="str">
        <f aca="false">IF(184&lt;='🌱 Configuração'!$F$55,184,"")</f>
        <v/>
      </c>
      <c r="C189" s="99" t="str">
        <f aca="false">IF(184&lt;='🌱 Configuração'!$F$55,'🌱 Configuração'!$B$56+183,"")</f>
        <v/>
      </c>
      <c r="D189" s="98" t="str">
        <f aca="false">IF(184&gt;'🌱 Configuração'!$F$55,"",IF('🌱 Configuração'!$B$56+183&lt;'🌱 Configuração'!$C$56,"🌱 Clone",IF('🌱 Configuração'!$B$56+183&lt;'🌱 Configuração'!$D$56,"🌿 Vega",IF('🌱 Configuração'!$B$56+183&lt;'🌱 Configuração'!$E$56,"🌸 Flora","🚿 Flush"))))</f>
        <v/>
      </c>
      <c r="E189" s="98"/>
      <c r="F189" s="98"/>
      <c r="G189" s="98"/>
      <c r="H189" s="98"/>
      <c r="I189" s="98"/>
      <c r="J189" s="98"/>
      <c r="K189" s="98"/>
      <c r="L189" s="1" t="str">
        <f aca="false">IF(184&gt;'🌱 Configuração'!$F$55,"",IF(F189="","—",IF(F189&lt;22,"⚠️ Temp baixa",IF(F189&gt;29,"⚠️ Temp ALTA",IF(H189="","✅ OK",IF(H189&lt;5.5,"⚠️ pH baixo",IF(H189&gt;6.9,"⚠️ pH alto",IF(I189&gt;2.5,"⚠️ CE alta","✅ OK"))))))))</f>
        <v/>
      </c>
    </row>
    <row r="190" customFormat="false" ht="18" hidden="false" customHeight="true" outlineLevel="0" collapsed="false">
      <c r="B190" s="96" t="str">
        <f aca="false">IF(185&lt;='🌱 Configuração'!$F$55,185,"")</f>
        <v/>
      </c>
      <c r="C190" s="97" t="str">
        <f aca="false">IF(185&lt;='🌱 Configuração'!$F$55,'🌱 Configuração'!$B$56+184,"")</f>
        <v/>
      </c>
      <c r="D190" s="96" t="str">
        <f aca="false">IF(185&gt;'🌱 Configuração'!$F$55,"",IF('🌱 Configuração'!$B$56+184&lt;'🌱 Configuração'!$C$56,"🌱 Clone",IF('🌱 Configuração'!$B$56+184&lt;'🌱 Configuração'!$D$56,"🌿 Vega",IF('🌱 Configuração'!$B$56+184&lt;'🌱 Configuração'!$E$56,"🌸 Flora","🚿 Flush"))))</f>
        <v/>
      </c>
      <c r="E190" s="96"/>
      <c r="F190" s="96"/>
      <c r="G190" s="96"/>
      <c r="H190" s="96"/>
      <c r="I190" s="96"/>
      <c r="J190" s="96"/>
      <c r="K190" s="96"/>
      <c r="L190" s="1" t="str">
        <f aca="false">IF(185&gt;'🌱 Configuração'!$F$55,"",IF(F190="","—",IF(F190&lt;22,"⚠️ Temp baixa",IF(F190&gt;29,"⚠️ Temp ALTA",IF(H190="","✅ OK",IF(H190&lt;5.5,"⚠️ pH baixo",IF(H190&gt;6.9,"⚠️ pH alto",IF(I190&gt;2.5,"⚠️ CE alta","✅ OK"))))))))</f>
        <v/>
      </c>
    </row>
    <row r="191" customFormat="false" ht="18" hidden="false" customHeight="true" outlineLevel="0" collapsed="false">
      <c r="B191" s="98" t="str">
        <f aca="false">IF(186&lt;='🌱 Configuração'!$F$55,186,"")</f>
        <v/>
      </c>
      <c r="C191" s="99" t="str">
        <f aca="false">IF(186&lt;='🌱 Configuração'!$F$55,'🌱 Configuração'!$B$56+185,"")</f>
        <v/>
      </c>
      <c r="D191" s="98" t="str">
        <f aca="false">IF(186&gt;'🌱 Configuração'!$F$55,"",IF('🌱 Configuração'!$B$56+185&lt;'🌱 Configuração'!$C$56,"🌱 Clone",IF('🌱 Configuração'!$B$56+185&lt;'🌱 Configuração'!$D$56,"🌿 Vega",IF('🌱 Configuração'!$B$56+185&lt;'🌱 Configuração'!$E$56,"🌸 Flora","🚿 Flush"))))</f>
        <v/>
      </c>
      <c r="E191" s="98"/>
      <c r="F191" s="98"/>
      <c r="G191" s="98"/>
      <c r="H191" s="98"/>
      <c r="I191" s="98"/>
      <c r="J191" s="98"/>
      <c r="K191" s="98"/>
      <c r="L191" s="1" t="str">
        <f aca="false">IF(186&gt;'🌱 Configuração'!$F$55,"",IF(F191="","—",IF(F191&lt;22,"⚠️ Temp baixa",IF(F191&gt;29,"⚠️ Temp ALTA",IF(H191="","✅ OK",IF(H191&lt;5.5,"⚠️ pH baixo",IF(H191&gt;6.9,"⚠️ pH alto",IF(I191&gt;2.5,"⚠️ CE alta","✅ OK"))))))))</f>
        <v/>
      </c>
    </row>
    <row r="192" customFormat="false" ht="18" hidden="false" customHeight="true" outlineLevel="0" collapsed="false">
      <c r="B192" s="96" t="str">
        <f aca="false">IF(187&lt;='🌱 Configuração'!$F$55,187,"")</f>
        <v/>
      </c>
      <c r="C192" s="97" t="str">
        <f aca="false">IF(187&lt;='🌱 Configuração'!$F$55,'🌱 Configuração'!$B$56+186,"")</f>
        <v/>
      </c>
      <c r="D192" s="96" t="str">
        <f aca="false">IF(187&gt;'🌱 Configuração'!$F$55,"",IF('🌱 Configuração'!$B$56+186&lt;'🌱 Configuração'!$C$56,"🌱 Clone",IF('🌱 Configuração'!$B$56+186&lt;'🌱 Configuração'!$D$56,"🌿 Vega",IF('🌱 Configuração'!$B$56+186&lt;'🌱 Configuração'!$E$56,"🌸 Flora","🚿 Flush"))))</f>
        <v/>
      </c>
      <c r="E192" s="96"/>
      <c r="F192" s="96"/>
      <c r="G192" s="96"/>
      <c r="H192" s="96"/>
      <c r="I192" s="96"/>
      <c r="J192" s="96"/>
      <c r="K192" s="96"/>
      <c r="L192" s="1" t="str">
        <f aca="false">IF(187&gt;'🌱 Configuração'!$F$55,"",IF(F192="","—",IF(F192&lt;22,"⚠️ Temp baixa",IF(F192&gt;29,"⚠️ Temp ALTA",IF(H192="","✅ OK",IF(H192&lt;5.5,"⚠️ pH baixo",IF(H192&gt;6.9,"⚠️ pH alto",IF(I192&gt;2.5,"⚠️ CE alta","✅ OK"))))))))</f>
        <v/>
      </c>
    </row>
    <row r="193" customFormat="false" ht="18" hidden="false" customHeight="true" outlineLevel="0" collapsed="false">
      <c r="B193" s="98" t="str">
        <f aca="false">IF(188&lt;='🌱 Configuração'!$F$55,188,"")</f>
        <v/>
      </c>
      <c r="C193" s="99" t="str">
        <f aca="false">IF(188&lt;='🌱 Configuração'!$F$55,'🌱 Configuração'!$B$56+187,"")</f>
        <v/>
      </c>
      <c r="D193" s="98" t="str">
        <f aca="false">IF(188&gt;'🌱 Configuração'!$F$55,"",IF('🌱 Configuração'!$B$56+187&lt;'🌱 Configuração'!$C$56,"🌱 Clone",IF('🌱 Configuração'!$B$56+187&lt;'🌱 Configuração'!$D$56,"🌿 Vega",IF('🌱 Configuração'!$B$56+187&lt;'🌱 Configuração'!$E$56,"🌸 Flora","🚿 Flush"))))</f>
        <v/>
      </c>
      <c r="E193" s="98"/>
      <c r="F193" s="98"/>
      <c r="G193" s="98"/>
      <c r="H193" s="98"/>
      <c r="I193" s="98"/>
      <c r="J193" s="98"/>
      <c r="K193" s="98"/>
      <c r="L193" s="1" t="str">
        <f aca="false">IF(188&gt;'🌱 Configuração'!$F$55,"",IF(F193="","—",IF(F193&lt;22,"⚠️ Temp baixa",IF(F193&gt;29,"⚠️ Temp ALTA",IF(H193="","✅ OK",IF(H193&lt;5.5,"⚠️ pH baixo",IF(H193&gt;6.9,"⚠️ pH alto",IF(I193&gt;2.5,"⚠️ CE alta","✅ OK"))))))))</f>
        <v/>
      </c>
    </row>
    <row r="194" customFormat="false" ht="18" hidden="false" customHeight="true" outlineLevel="0" collapsed="false">
      <c r="B194" s="96" t="str">
        <f aca="false">IF(189&lt;='🌱 Configuração'!$F$55,189,"")</f>
        <v/>
      </c>
      <c r="C194" s="97" t="str">
        <f aca="false">IF(189&lt;='🌱 Configuração'!$F$55,'🌱 Configuração'!$B$56+188,"")</f>
        <v/>
      </c>
      <c r="D194" s="96" t="str">
        <f aca="false">IF(189&gt;'🌱 Configuração'!$F$55,"",IF('🌱 Configuração'!$B$56+188&lt;'🌱 Configuração'!$C$56,"🌱 Clone",IF('🌱 Configuração'!$B$56+188&lt;'🌱 Configuração'!$D$56,"🌿 Vega",IF('🌱 Configuração'!$B$56+188&lt;'🌱 Configuração'!$E$56,"🌸 Flora","🚿 Flush"))))</f>
        <v/>
      </c>
      <c r="E194" s="96"/>
      <c r="F194" s="96"/>
      <c r="G194" s="96"/>
      <c r="H194" s="96"/>
      <c r="I194" s="96"/>
      <c r="J194" s="96"/>
      <c r="K194" s="96"/>
      <c r="L194" s="1" t="str">
        <f aca="false">IF(189&gt;'🌱 Configuração'!$F$55,"",IF(F194="","—",IF(F194&lt;22,"⚠️ Temp baixa",IF(F194&gt;29,"⚠️ Temp ALTA",IF(H194="","✅ OK",IF(H194&lt;5.5,"⚠️ pH baixo",IF(H194&gt;6.9,"⚠️ pH alto",IF(I194&gt;2.5,"⚠️ CE alta","✅ OK"))))))))</f>
        <v/>
      </c>
    </row>
    <row r="195" customFormat="false" ht="18" hidden="false" customHeight="true" outlineLevel="0" collapsed="false">
      <c r="B195" s="98" t="str">
        <f aca="false">IF(190&lt;='🌱 Configuração'!$F$55,190,"")</f>
        <v/>
      </c>
      <c r="C195" s="99" t="str">
        <f aca="false">IF(190&lt;='🌱 Configuração'!$F$55,'🌱 Configuração'!$B$56+189,"")</f>
        <v/>
      </c>
      <c r="D195" s="98" t="str">
        <f aca="false">IF(190&gt;'🌱 Configuração'!$F$55,"",IF('🌱 Configuração'!$B$56+189&lt;'🌱 Configuração'!$C$56,"🌱 Clone",IF('🌱 Configuração'!$B$56+189&lt;'🌱 Configuração'!$D$56,"🌿 Vega",IF('🌱 Configuração'!$B$56+189&lt;'🌱 Configuração'!$E$56,"🌸 Flora","🚿 Flush"))))</f>
        <v/>
      </c>
      <c r="E195" s="98"/>
      <c r="F195" s="98"/>
      <c r="G195" s="98"/>
      <c r="H195" s="98"/>
      <c r="I195" s="98"/>
      <c r="J195" s="98"/>
      <c r="K195" s="98"/>
      <c r="L195" s="1" t="str">
        <f aca="false">IF(190&gt;'🌱 Configuração'!$F$55,"",IF(F195="","—",IF(F195&lt;22,"⚠️ Temp baixa",IF(F195&gt;29,"⚠️ Temp ALTA",IF(H195="","✅ OK",IF(H195&lt;5.5,"⚠️ pH baixo",IF(H195&gt;6.9,"⚠️ pH alto",IF(I195&gt;2.5,"⚠️ CE alta","✅ OK"))))))))</f>
        <v/>
      </c>
    </row>
    <row r="196" customFormat="false" ht="18" hidden="false" customHeight="true" outlineLevel="0" collapsed="false">
      <c r="B196" s="96" t="str">
        <f aca="false">IF(191&lt;='🌱 Configuração'!$F$55,191,"")</f>
        <v/>
      </c>
      <c r="C196" s="97" t="str">
        <f aca="false">IF(191&lt;='🌱 Configuração'!$F$55,'🌱 Configuração'!$B$56+190,"")</f>
        <v/>
      </c>
      <c r="D196" s="96" t="str">
        <f aca="false">IF(191&gt;'🌱 Configuração'!$F$55,"",IF('🌱 Configuração'!$B$56+190&lt;'🌱 Configuração'!$C$56,"🌱 Clone",IF('🌱 Configuração'!$B$56+190&lt;'🌱 Configuração'!$D$56,"🌿 Vega",IF('🌱 Configuração'!$B$56+190&lt;'🌱 Configuração'!$E$56,"🌸 Flora","🚿 Flush"))))</f>
        <v/>
      </c>
      <c r="E196" s="96"/>
      <c r="F196" s="96"/>
      <c r="G196" s="96"/>
      <c r="H196" s="96"/>
      <c r="I196" s="96"/>
      <c r="J196" s="96"/>
      <c r="K196" s="96"/>
      <c r="L196" s="1" t="str">
        <f aca="false">IF(191&gt;'🌱 Configuração'!$F$55,"",IF(F196="","—",IF(F196&lt;22,"⚠️ Temp baixa",IF(F196&gt;29,"⚠️ Temp ALTA",IF(H196="","✅ OK",IF(H196&lt;5.5,"⚠️ pH baixo",IF(H196&gt;6.9,"⚠️ pH alto",IF(I196&gt;2.5,"⚠️ CE alta","✅ OK"))))))))</f>
        <v/>
      </c>
    </row>
    <row r="197" customFormat="false" ht="18" hidden="false" customHeight="true" outlineLevel="0" collapsed="false">
      <c r="B197" s="98" t="str">
        <f aca="false">IF(192&lt;='🌱 Configuração'!$F$55,192,"")</f>
        <v/>
      </c>
      <c r="C197" s="99" t="str">
        <f aca="false">IF(192&lt;='🌱 Configuração'!$F$55,'🌱 Configuração'!$B$56+191,"")</f>
        <v/>
      </c>
      <c r="D197" s="98" t="str">
        <f aca="false">IF(192&gt;'🌱 Configuração'!$F$55,"",IF('🌱 Configuração'!$B$56+191&lt;'🌱 Configuração'!$C$56,"🌱 Clone",IF('🌱 Configuração'!$B$56+191&lt;'🌱 Configuração'!$D$56,"🌿 Vega",IF('🌱 Configuração'!$B$56+191&lt;'🌱 Configuração'!$E$56,"🌸 Flora","🚿 Flush"))))</f>
        <v/>
      </c>
      <c r="E197" s="98"/>
      <c r="F197" s="98"/>
      <c r="G197" s="98"/>
      <c r="H197" s="98"/>
      <c r="I197" s="98"/>
      <c r="J197" s="98"/>
      <c r="K197" s="98"/>
      <c r="L197" s="1" t="str">
        <f aca="false">IF(192&gt;'🌱 Configuração'!$F$55,"",IF(F197="","—",IF(F197&lt;22,"⚠️ Temp baixa",IF(F197&gt;29,"⚠️ Temp ALTA",IF(H197="","✅ OK",IF(H197&lt;5.5,"⚠️ pH baixo",IF(H197&gt;6.9,"⚠️ pH alto",IF(I197&gt;2.5,"⚠️ CE alta","✅ OK"))))))))</f>
        <v/>
      </c>
    </row>
    <row r="198" customFormat="false" ht="18" hidden="false" customHeight="true" outlineLevel="0" collapsed="false">
      <c r="B198" s="96" t="str">
        <f aca="false">IF(193&lt;='🌱 Configuração'!$F$55,193,"")</f>
        <v/>
      </c>
      <c r="C198" s="97" t="str">
        <f aca="false">IF(193&lt;='🌱 Configuração'!$F$55,'🌱 Configuração'!$B$56+192,"")</f>
        <v/>
      </c>
      <c r="D198" s="96" t="str">
        <f aca="false">IF(193&gt;'🌱 Configuração'!$F$55,"",IF('🌱 Configuração'!$B$56+192&lt;'🌱 Configuração'!$C$56,"🌱 Clone",IF('🌱 Configuração'!$B$56+192&lt;'🌱 Configuração'!$D$56,"🌿 Vega",IF('🌱 Configuração'!$B$56+192&lt;'🌱 Configuração'!$E$56,"🌸 Flora","🚿 Flush"))))</f>
        <v/>
      </c>
      <c r="E198" s="96"/>
      <c r="F198" s="96"/>
      <c r="G198" s="96"/>
      <c r="H198" s="96"/>
      <c r="I198" s="96"/>
      <c r="J198" s="96"/>
      <c r="K198" s="96"/>
      <c r="L198" s="1" t="str">
        <f aca="false">IF(193&gt;'🌱 Configuração'!$F$55,"",IF(F198="","—",IF(F198&lt;22,"⚠️ Temp baixa",IF(F198&gt;29,"⚠️ Temp ALTA",IF(H198="","✅ OK",IF(H198&lt;5.5,"⚠️ pH baixo",IF(H198&gt;6.9,"⚠️ pH alto",IF(I198&gt;2.5,"⚠️ CE alta","✅ OK"))))))))</f>
        <v/>
      </c>
    </row>
    <row r="199" customFormat="false" ht="18" hidden="false" customHeight="true" outlineLevel="0" collapsed="false">
      <c r="B199" s="98" t="str">
        <f aca="false">IF(194&lt;='🌱 Configuração'!$F$55,194,"")</f>
        <v/>
      </c>
      <c r="C199" s="99" t="str">
        <f aca="false">IF(194&lt;='🌱 Configuração'!$F$55,'🌱 Configuração'!$B$56+193,"")</f>
        <v/>
      </c>
      <c r="D199" s="98" t="str">
        <f aca="false">IF(194&gt;'🌱 Configuração'!$F$55,"",IF('🌱 Configuração'!$B$56+193&lt;'🌱 Configuração'!$C$56,"🌱 Clone",IF('🌱 Configuração'!$B$56+193&lt;'🌱 Configuração'!$D$56,"🌿 Vega",IF('🌱 Configuração'!$B$56+193&lt;'🌱 Configuração'!$E$56,"🌸 Flora","🚿 Flush"))))</f>
        <v/>
      </c>
      <c r="E199" s="98"/>
      <c r="F199" s="98"/>
      <c r="G199" s="98"/>
      <c r="H199" s="98"/>
      <c r="I199" s="98"/>
      <c r="J199" s="98"/>
      <c r="K199" s="98"/>
      <c r="L199" s="1" t="str">
        <f aca="false">IF(194&gt;'🌱 Configuração'!$F$55,"",IF(F199="","—",IF(F199&lt;22,"⚠️ Temp baixa",IF(F199&gt;29,"⚠️ Temp ALTA",IF(H199="","✅ OK",IF(H199&lt;5.5,"⚠️ pH baixo",IF(H199&gt;6.9,"⚠️ pH alto",IF(I199&gt;2.5,"⚠️ CE alta","✅ OK"))))))))</f>
        <v/>
      </c>
    </row>
    <row r="200" customFormat="false" ht="18" hidden="false" customHeight="true" outlineLevel="0" collapsed="false">
      <c r="B200" s="96" t="str">
        <f aca="false">IF(195&lt;='🌱 Configuração'!$F$55,195,"")</f>
        <v/>
      </c>
      <c r="C200" s="97" t="str">
        <f aca="false">IF(195&lt;='🌱 Configuração'!$F$55,'🌱 Configuração'!$B$56+194,"")</f>
        <v/>
      </c>
      <c r="D200" s="96" t="str">
        <f aca="false">IF(195&gt;'🌱 Configuração'!$F$55,"",IF('🌱 Configuração'!$B$56+194&lt;'🌱 Configuração'!$C$56,"🌱 Clone",IF('🌱 Configuração'!$B$56+194&lt;'🌱 Configuração'!$D$56,"🌿 Vega",IF('🌱 Configuração'!$B$56+194&lt;'🌱 Configuração'!$E$56,"🌸 Flora","🚿 Flush"))))</f>
        <v/>
      </c>
      <c r="E200" s="96"/>
      <c r="F200" s="96"/>
      <c r="G200" s="96"/>
      <c r="H200" s="96"/>
      <c r="I200" s="96"/>
      <c r="J200" s="96"/>
      <c r="K200" s="96"/>
      <c r="L200" s="1" t="str">
        <f aca="false">IF(195&gt;'🌱 Configuração'!$F$55,"",IF(F200="","—",IF(F200&lt;22,"⚠️ Temp baixa",IF(F200&gt;29,"⚠️ Temp ALTA",IF(H200="","✅ OK",IF(H200&lt;5.5,"⚠️ pH baixo",IF(H200&gt;6.9,"⚠️ pH alto",IF(I200&gt;2.5,"⚠️ CE alta","✅ OK"))))))))</f>
        <v/>
      </c>
    </row>
    <row r="201" customFormat="false" ht="18" hidden="false" customHeight="true" outlineLevel="0" collapsed="false">
      <c r="B201" s="98" t="str">
        <f aca="false">IF(196&lt;='🌱 Configuração'!$F$55,196,"")</f>
        <v/>
      </c>
      <c r="C201" s="99" t="str">
        <f aca="false">IF(196&lt;='🌱 Configuração'!$F$55,'🌱 Configuração'!$B$56+195,"")</f>
        <v/>
      </c>
      <c r="D201" s="98" t="str">
        <f aca="false">IF(196&gt;'🌱 Configuração'!$F$55,"",IF('🌱 Configuração'!$B$56+195&lt;'🌱 Configuração'!$C$56,"🌱 Clone",IF('🌱 Configuração'!$B$56+195&lt;'🌱 Configuração'!$D$56,"🌿 Vega",IF('🌱 Configuração'!$B$56+195&lt;'🌱 Configuração'!$E$56,"🌸 Flora","🚿 Flush"))))</f>
        <v/>
      </c>
      <c r="E201" s="98"/>
      <c r="F201" s="98"/>
      <c r="G201" s="98"/>
      <c r="H201" s="98"/>
      <c r="I201" s="98"/>
      <c r="J201" s="98"/>
      <c r="K201" s="98"/>
      <c r="L201" s="1" t="str">
        <f aca="false">IF(196&gt;'🌱 Configuração'!$F$55,"",IF(F201="","—",IF(F201&lt;22,"⚠️ Temp baixa",IF(F201&gt;29,"⚠️ Temp ALTA",IF(H201="","✅ OK",IF(H201&lt;5.5,"⚠️ pH baixo",IF(H201&gt;6.9,"⚠️ pH alto",IF(I201&gt;2.5,"⚠️ CE alta","✅ OK"))))))))</f>
        <v/>
      </c>
    </row>
    <row r="202" customFormat="false" ht="18" hidden="false" customHeight="true" outlineLevel="0" collapsed="false">
      <c r="B202" s="96" t="str">
        <f aca="false">IF(197&lt;='🌱 Configuração'!$F$55,197,"")</f>
        <v/>
      </c>
      <c r="C202" s="97" t="str">
        <f aca="false">IF(197&lt;='🌱 Configuração'!$F$55,'🌱 Configuração'!$B$56+196,"")</f>
        <v/>
      </c>
      <c r="D202" s="96" t="str">
        <f aca="false">IF(197&gt;'🌱 Configuração'!$F$55,"",IF('🌱 Configuração'!$B$56+196&lt;'🌱 Configuração'!$C$56,"🌱 Clone",IF('🌱 Configuração'!$B$56+196&lt;'🌱 Configuração'!$D$56,"🌿 Vega",IF('🌱 Configuração'!$B$56+196&lt;'🌱 Configuração'!$E$56,"🌸 Flora","🚿 Flush"))))</f>
        <v/>
      </c>
      <c r="E202" s="96"/>
      <c r="F202" s="96"/>
      <c r="G202" s="96"/>
      <c r="H202" s="96"/>
      <c r="I202" s="96"/>
      <c r="J202" s="96"/>
      <c r="K202" s="96"/>
      <c r="L202" s="1" t="str">
        <f aca="false">IF(197&gt;'🌱 Configuração'!$F$55,"",IF(F202="","—",IF(F202&lt;22,"⚠️ Temp baixa",IF(F202&gt;29,"⚠️ Temp ALTA",IF(H202="","✅ OK",IF(H202&lt;5.5,"⚠️ pH baixo",IF(H202&gt;6.9,"⚠️ pH alto",IF(I202&gt;2.5,"⚠️ CE alta","✅ OK"))))))))</f>
        <v/>
      </c>
    </row>
    <row r="203" customFormat="false" ht="18" hidden="false" customHeight="true" outlineLevel="0" collapsed="false">
      <c r="B203" s="98" t="str">
        <f aca="false">IF(198&lt;='🌱 Configuração'!$F$55,198,"")</f>
        <v/>
      </c>
      <c r="C203" s="99" t="str">
        <f aca="false">IF(198&lt;='🌱 Configuração'!$F$55,'🌱 Configuração'!$B$56+197,"")</f>
        <v/>
      </c>
      <c r="D203" s="98" t="str">
        <f aca="false">IF(198&gt;'🌱 Configuração'!$F$55,"",IF('🌱 Configuração'!$B$56+197&lt;'🌱 Configuração'!$C$56,"🌱 Clone",IF('🌱 Configuração'!$B$56+197&lt;'🌱 Configuração'!$D$56,"🌿 Vega",IF('🌱 Configuração'!$B$56+197&lt;'🌱 Configuração'!$E$56,"🌸 Flora","🚿 Flush"))))</f>
        <v/>
      </c>
      <c r="E203" s="98"/>
      <c r="F203" s="98"/>
      <c r="G203" s="98"/>
      <c r="H203" s="98"/>
      <c r="I203" s="98"/>
      <c r="J203" s="98"/>
      <c r="K203" s="98"/>
      <c r="L203" s="1" t="str">
        <f aca="false">IF(198&gt;'🌱 Configuração'!$F$55,"",IF(F203="","—",IF(F203&lt;22,"⚠️ Temp baixa",IF(F203&gt;29,"⚠️ Temp ALTA",IF(H203="","✅ OK",IF(H203&lt;5.5,"⚠️ pH baixo",IF(H203&gt;6.9,"⚠️ pH alto",IF(I203&gt;2.5,"⚠️ CE alta","✅ OK"))))))))</f>
        <v/>
      </c>
    </row>
    <row r="204" customFormat="false" ht="18" hidden="false" customHeight="true" outlineLevel="0" collapsed="false">
      <c r="B204" s="96" t="str">
        <f aca="false">IF(199&lt;='🌱 Configuração'!$F$55,199,"")</f>
        <v/>
      </c>
      <c r="C204" s="97" t="str">
        <f aca="false">IF(199&lt;='🌱 Configuração'!$F$55,'🌱 Configuração'!$B$56+198,"")</f>
        <v/>
      </c>
      <c r="D204" s="96" t="str">
        <f aca="false">IF(199&gt;'🌱 Configuração'!$F$55,"",IF('🌱 Configuração'!$B$56+198&lt;'🌱 Configuração'!$C$56,"🌱 Clone",IF('🌱 Configuração'!$B$56+198&lt;'🌱 Configuração'!$D$56,"🌿 Vega",IF('🌱 Configuração'!$B$56+198&lt;'🌱 Configuração'!$E$56,"🌸 Flora","🚿 Flush"))))</f>
        <v/>
      </c>
      <c r="E204" s="96"/>
      <c r="F204" s="96"/>
      <c r="G204" s="96"/>
      <c r="H204" s="96"/>
      <c r="I204" s="96"/>
      <c r="J204" s="96"/>
      <c r="K204" s="96"/>
      <c r="L204" s="1" t="str">
        <f aca="false">IF(199&gt;'🌱 Configuração'!$F$55,"",IF(F204="","—",IF(F204&lt;22,"⚠️ Temp baixa",IF(F204&gt;29,"⚠️ Temp ALTA",IF(H204="","✅ OK",IF(H204&lt;5.5,"⚠️ pH baixo",IF(H204&gt;6.9,"⚠️ pH alto",IF(I204&gt;2.5,"⚠️ CE alta","✅ OK"))))))))</f>
        <v/>
      </c>
    </row>
    <row r="205" customFormat="false" ht="18" hidden="false" customHeight="true" outlineLevel="0" collapsed="false">
      <c r="B205" s="98" t="str">
        <f aca="false">IF(200&lt;='🌱 Configuração'!$F$55,200,"")</f>
        <v/>
      </c>
      <c r="C205" s="99" t="str">
        <f aca="false">IF(200&lt;='🌱 Configuração'!$F$55,'🌱 Configuração'!$B$56+199,"")</f>
        <v/>
      </c>
      <c r="D205" s="98" t="str">
        <f aca="false">IF(200&gt;'🌱 Configuração'!$F$55,"",IF('🌱 Configuração'!$B$56+199&lt;'🌱 Configuração'!$C$56,"🌱 Clone",IF('🌱 Configuração'!$B$56+199&lt;'🌱 Configuração'!$D$56,"🌿 Vega",IF('🌱 Configuração'!$B$56+199&lt;'🌱 Configuração'!$E$56,"🌸 Flora","🚿 Flush"))))</f>
        <v/>
      </c>
      <c r="E205" s="98"/>
      <c r="F205" s="98"/>
      <c r="G205" s="98"/>
      <c r="H205" s="98"/>
      <c r="I205" s="98"/>
      <c r="J205" s="98"/>
      <c r="K205" s="98"/>
      <c r="L205" s="1" t="str">
        <f aca="false">IF(200&gt;'🌱 Configuração'!$F$55,"",IF(F205="","—",IF(F205&lt;22,"⚠️ Temp baixa",IF(F205&gt;29,"⚠️ Temp ALTA",IF(H205="","✅ OK",IF(H205&lt;5.5,"⚠️ pH baixo",IF(H205&gt;6.9,"⚠️ pH alto",IF(I205&gt;2.5,"⚠️ CE alta","✅ OK"))))))))</f>
        <v/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166"/>
    <pageSetUpPr fitToPage="false"/>
  </sheetPr>
  <dimension ref="B2:C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30"/>
    <col collapsed="false" customWidth="true" hidden="false" outlineLevel="0" max="4" min="4" style="1" width="3"/>
  </cols>
  <sheetData>
    <row r="2" customFormat="false" ht="45" hidden="false" customHeight="true" outlineLevel="0" collapsed="false">
      <c r="B2" s="62" t="s">
        <v>360</v>
      </c>
      <c r="C2" s="62"/>
    </row>
    <row r="4" customFormat="false" ht="27.75" hidden="false" customHeight="true" outlineLevel="0" collapsed="false">
      <c r="B4" s="10" t="s">
        <v>361</v>
      </c>
      <c r="C4" s="10"/>
    </row>
    <row r="5" customFormat="false" ht="21.75" hidden="false" customHeight="true" outlineLevel="0" collapsed="false">
      <c r="B5" s="100" t="s">
        <v>362</v>
      </c>
      <c r="C5" s="100" t="s">
        <v>363</v>
      </c>
    </row>
    <row r="6" customFormat="false" ht="19.5" hidden="false" customHeight="true" outlineLevel="0" collapsed="false">
      <c r="B6" s="101" t="s">
        <v>364</v>
      </c>
      <c r="C6" s="102" t="s">
        <v>365</v>
      </c>
    </row>
    <row r="7" customFormat="false" ht="19.5" hidden="false" customHeight="true" outlineLevel="0" collapsed="false">
      <c r="B7" s="103" t="s">
        <v>366</v>
      </c>
      <c r="C7" s="104" t="s">
        <v>367</v>
      </c>
    </row>
    <row r="8" customFormat="false" ht="19.5" hidden="false" customHeight="true" outlineLevel="0" collapsed="false">
      <c r="B8" s="101" t="s">
        <v>368</v>
      </c>
      <c r="C8" s="102" t="s">
        <v>369</v>
      </c>
    </row>
    <row r="9" customFormat="false" ht="19.5" hidden="false" customHeight="true" outlineLevel="0" collapsed="false">
      <c r="B9" s="103" t="s">
        <v>298</v>
      </c>
      <c r="C9" s="104" t="s">
        <v>370</v>
      </c>
    </row>
    <row r="11" customFormat="false" ht="27.75" hidden="false" customHeight="true" outlineLevel="0" collapsed="false">
      <c r="B11" s="10" t="s">
        <v>371</v>
      </c>
      <c r="C11" s="10"/>
    </row>
    <row r="12" customFormat="false" ht="21.75" hidden="false" customHeight="true" outlineLevel="0" collapsed="false">
      <c r="B12" s="100" t="s">
        <v>362</v>
      </c>
      <c r="C12" s="100" t="s">
        <v>363</v>
      </c>
    </row>
    <row r="13" customFormat="false" ht="19.5" hidden="false" customHeight="true" outlineLevel="0" collapsed="false">
      <c r="B13" s="101" t="s">
        <v>298</v>
      </c>
      <c r="C13" s="102" t="s">
        <v>372</v>
      </c>
    </row>
    <row r="14" customFormat="false" ht="19.5" hidden="false" customHeight="true" outlineLevel="0" collapsed="false">
      <c r="B14" s="103" t="s">
        <v>306</v>
      </c>
      <c r="C14" s="104" t="s">
        <v>373</v>
      </c>
    </row>
    <row r="15" customFormat="false" ht="19.5" hidden="false" customHeight="true" outlineLevel="0" collapsed="false">
      <c r="B15" s="101" t="s">
        <v>374</v>
      </c>
      <c r="C15" s="102" t="s">
        <v>375</v>
      </c>
    </row>
    <row r="16" customFormat="false" ht="19.5" hidden="false" customHeight="true" outlineLevel="0" collapsed="false">
      <c r="B16" s="103" t="s">
        <v>376</v>
      </c>
      <c r="C16" s="104" t="s">
        <v>377</v>
      </c>
    </row>
    <row r="17" customFormat="false" ht="19.5" hidden="false" customHeight="true" outlineLevel="0" collapsed="false">
      <c r="B17" s="101" t="s">
        <v>332</v>
      </c>
      <c r="C17" s="102" t="s">
        <v>378</v>
      </c>
    </row>
    <row r="19" customFormat="false" ht="27.75" hidden="false" customHeight="true" outlineLevel="0" collapsed="false">
      <c r="B19" s="10" t="s">
        <v>379</v>
      </c>
      <c r="C19" s="10"/>
    </row>
    <row r="20" customFormat="false" ht="21.75" hidden="false" customHeight="true" outlineLevel="0" collapsed="false">
      <c r="B20" s="100" t="s">
        <v>362</v>
      </c>
      <c r="C20" s="100" t="s">
        <v>363</v>
      </c>
    </row>
    <row r="21" customFormat="false" ht="19.5" hidden="false" customHeight="true" outlineLevel="0" collapsed="false">
      <c r="B21" s="101" t="s">
        <v>380</v>
      </c>
      <c r="C21" s="102" t="s">
        <v>381</v>
      </c>
    </row>
    <row r="22" customFormat="false" ht="19.5" hidden="false" customHeight="true" outlineLevel="0" collapsed="false">
      <c r="B22" s="103" t="s">
        <v>382</v>
      </c>
      <c r="C22" s="104" t="s">
        <v>120</v>
      </c>
    </row>
    <row r="23" customFormat="false" ht="19.5" hidden="false" customHeight="true" outlineLevel="0" collapsed="false">
      <c r="B23" s="101" t="s">
        <v>383</v>
      </c>
      <c r="C23" s="102" t="s">
        <v>384</v>
      </c>
    </row>
    <row r="24" customFormat="false" ht="19.5" hidden="false" customHeight="true" outlineLevel="0" collapsed="false">
      <c r="B24" s="103" t="s">
        <v>385</v>
      </c>
      <c r="C24" s="104" t="s">
        <v>386</v>
      </c>
    </row>
    <row r="26" customFormat="false" ht="27.75" hidden="false" customHeight="true" outlineLevel="0" collapsed="false">
      <c r="B26" s="10" t="s">
        <v>387</v>
      </c>
      <c r="C26" s="10"/>
    </row>
    <row r="27" customFormat="false" ht="21.75" hidden="false" customHeight="true" outlineLevel="0" collapsed="false">
      <c r="B27" s="100" t="s">
        <v>362</v>
      </c>
      <c r="C27" s="100" t="s">
        <v>363</v>
      </c>
    </row>
    <row r="28" customFormat="false" ht="19.5" hidden="false" customHeight="true" outlineLevel="0" collapsed="false">
      <c r="B28" s="101" t="s">
        <v>298</v>
      </c>
      <c r="C28" s="102" t="s">
        <v>388</v>
      </c>
    </row>
    <row r="29" customFormat="false" ht="19.5" hidden="false" customHeight="true" outlineLevel="0" collapsed="false">
      <c r="B29" s="103" t="s">
        <v>389</v>
      </c>
      <c r="C29" s="104" t="s">
        <v>390</v>
      </c>
    </row>
    <row r="30" customFormat="false" ht="19.5" hidden="false" customHeight="true" outlineLevel="0" collapsed="false">
      <c r="B30" s="101" t="s">
        <v>391</v>
      </c>
      <c r="C30" s="102" t="s">
        <v>392</v>
      </c>
    </row>
    <row r="31" customFormat="false" ht="19.5" hidden="false" customHeight="true" outlineLevel="0" collapsed="false">
      <c r="B31" s="103" t="s">
        <v>393</v>
      </c>
      <c r="C31" s="104" t="s">
        <v>394</v>
      </c>
    </row>
    <row r="32" customFormat="false" ht="19.5" hidden="false" customHeight="true" outlineLevel="0" collapsed="false">
      <c r="B32" s="101" t="s">
        <v>395</v>
      </c>
      <c r="C32" s="102" t="s">
        <v>396</v>
      </c>
    </row>
    <row r="33" customFormat="false" ht="19.5" hidden="false" customHeight="true" outlineLevel="0" collapsed="false">
      <c r="B33" s="103" t="s">
        <v>332</v>
      </c>
      <c r="C33" s="104" t="s">
        <v>109</v>
      </c>
    </row>
    <row r="35" customFormat="false" ht="27.75" hidden="false" customHeight="true" outlineLevel="0" collapsed="false">
      <c r="B35" s="10" t="s">
        <v>397</v>
      </c>
      <c r="C35" s="10"/>
    </row>
    <row r="36" customFormat="false" ht="21.75" hidden="false" customHeight="true" outlineLevel="0" collapsed="false">
      <c r="B36" s="100" t="s">
        <v>362</v>
      </c>
      <c r="C36" s="100" t="s">
        <v>363</v>
      </c>
    </row>
    <row r="37" customFormat="false" ht="19.5" hidden="false" customHeight="true" outlineLevel="0" collapsed="false">
      <c r="B37" s="101" t="s">
        <v>398</v>
      </c>
      <c r="C37" s="102" t="s">
        <v>399</v>
      </c>
    </row>
    <row r="38" customFormat="false" ht="19.5" hidden="false" customHeight="true" outlineLevel="0" collapsed="false">
      <c r="B38" s="103" t="s">
        <v>400</v>
      </c>
      <c r="C38" s="104" t="s">
        <v>401</v>
      </c>
    </row>
    <row r="39" customFormat="false" ht="19.5" hidden="false" customHeight="true" outlineLevel="0" collapsed="false">
      <c r="B39" s="101" t="s">
        <v>402</v>
      </c>
      <c r="C39" s="102" t="s">
        <v>403</v>
      </c>
    </row>
    <row r="40" customFormat="false" ht="19.5" hidden="false" customHeight="true" outlineLevel="0" collapsed="false">
      <c r="B40" s="103" t="s">
        <v>404</v>
      </c>
      <c r="C40" s="104" t="s">
        <v>405</v>
      </c>
    </row>
    <row r="41" customFormat="false" ht="19.5" hidden="false" customHeight="true" outlineLevel="0" collapsed="false">
      <c r="B41" s="101" t="s">
        <v>406</v>
      </c>
      <c r="C41" s="102" t="s">
        <v>407</v>
      </c>
    </row>
    <row r="43" customFormat="false" ht="27.75" hidden="false" customHeight="true" outlineLevel="0" collapsed="false">
      <c r="B43" s="10" t="s">
        <v>408</v>
      </c>
      <c r="C43" s="10"/>
    </row>
    <row r="44" customFormat="false" ht="21.75" hidden="false" customHeight="true" outlineLevel="0" collapsed="false">
      <c r="B44" s="100" t="s">
        <v>362</v>
      </c>
      <c r="C44" s="100" t="s">
        <v>363</v>
      </c>
    </row>
    <row r="45" customFormat="false" ht="19.5" hidden="false" customHeight="true" outlineLevel="0" collapsed="false">
      <c r="B45" s="101" t="s">
        <v>298</v>
      </c>
      <c r="C45" s="102" t="s">
        <v>409</v>
      </c>
    </row>
    <row r="46" customFormat="false" ht="19.5" hidden="false" customHeight="true" outlineLevel="0" collapsed="false">
      <c r="B46" s="103" t="s">
        <v>410</v>
      </c>
      <c r="C46" s="104" t="s">
        <v>411</v>
      </c>
    </row>
    <row r="47" customFormat="false" ht="19.5" hidden="false" customHeight="true" outlineLevel="0" collapsed="false">
      <c r="B47" s="101" t="s">
        <v>320</v>
      </c>
      <c r="C47" s="102" t="s">
        <v>412</v>
      </c>
    </row>
    <row r="48" customFormat="false" ht="19.5" hidden="false" customHeight="true" outlineLevel="0" collapsed="false">
      <c r="B48" s="103" t="s">
        <v>413</v>
      </c>
      <c r="C48" s="104" t="s">
        <v>414</v>
      </c>
    </row>
    <row r="50" customFormat="false" ht="27.75" hidden="false" customHeight="true" outlineLevel="0" collapsed="false">
      <c r="B50" s="10" t="s">
        <v>415</v>
      </c>
      <c r="C50" s="10"/>
    </row>
    <row r="51" customFormat="false" ht="21.75" hidden="false" customHeight="true" outlineLevel="0" collapsed="false">
      <c r="B51" s="100" t="s">
        <v>362</v>
      </c>
      <c r="C51" s="100" t="s">
        <v>363</v>
      </c>
    </row>
    <row r="52" customFormat="false" ht="19.5" hidden="false" customHeight="true" outlineLevel="0" collapsed="false">
      <c r="B52" s="101" t="s">
        <v>416</v>
      </c>
      <c r="C52" s="102" t="s">
        <v>417</v>
      </c>
    </row>
    <row r="53" customFormat="false" ht="19.5" hidden="false" customHeight="true" outlineLevel="0" collapsed="false">
      <c r="B53" s="103" t="s">
        <v>418</v>
      </c>
      <c r="C53" s="104" t="s">
        <v>419</v>
      </c>
    </row>
    <row r="54" customFormat="false" ht="19.5" hidden="false" customHeight="true" outlineLevel="0" collapsed="false">
      <c r="B54" s="101" t="s">
        <v>420</v>
      </c>
      <c r="C54" s="102" t="s">
        <v>421</v>
      </c>
    </row>
    <row r="55" customFormat="false" ht="19.5" hidden="false" customHeight="true" outlineLevel="0" collapsed="false">
      <c r="B55" s="103" t="s">
        <v>422</v>
      </c>
      <c r="C55" s="104" t="s">
        <v>423</v>
      </c>
    </row>
    <row r="56" customFormat="false" ht="19.5" hidden="false" customHeight="true" outlineLevel="0" collapsed="false">
      <c r="B56" s="101" t="s">
        <v>424</v>
      </c>
      <c r="C56" s="102" t="s">
        <v>425</v>
      </c>
    </row>
  </sheetData>
  <mergeCells count="8">
    <mergeCell ref="B2:C2"/>
    <mergeCell ref="B4:C4"/>
    <mergeCell ref="B11:C11"/>
    <mergeCell ref="B19:C19"/>
    <mergeCell ref="B26:C26"/>
    <mergeCell ref="B35:C35"/>
    <mergeCell ref="B43:C43"/>
    <mergeCell ref="B50:C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2026-03-26T11:39:26Z</dcterms:created>
  <dc:creator>openpyxl</dc:creator>
  <dc:description/>
  <dc:language>en-US</dc:language>
  <cp:lastModifiedBy/>
  <dcterms:modified xsi:type="dcterms:W3CDTF">2026-03-26T11:40:15Z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