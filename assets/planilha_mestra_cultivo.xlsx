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Projetos\ZHC\website\assets\"/>
    </mc:Choice>
  </mc:AlternateContent>
  <bookViews>
    <workbookView xWindow="480" yWindow="60" windowWidth="18192" windowHeight="8508"/>
  </bookViews>
  <sheets>
    <sheet name="Configuração Inicial" sheetId="1" r:id="rId1"/>
    <sheet name="Diário Semanal" sheetId="2" r:id="rId2"/>
    <sheet name="Manejo Orgânico (IPM)" sheetId="3" r:id="rId3"/>
    <sheet name="Database" sheetId="4" r:id="rId4"/>
  </sheets>
  <calcPr calcId="162913"/>
</workbook>
</file>

<file path=xl/calcChain.xml><?xml version="1.0" encoding="utf-8"?>
<calcChain xmlns="http://schemas.openxmlformats.org/spreadsheetml/2006/main">
  <c r="C11" i="3" l="1"/>
  <c r="C10" i="3"/>
  <c r="C9" i="3"/>
  <c r="C8" i="3"/>
  <c r="C7" i="3"/>
  <c r="C6" i="3"/>
  <c r="C5" i="3"/>
  <c r="C4" i="3"/>
  <c r="C3" i="3"/>
  <c r="C2" i="3"/>
  <c r="C21" i="2"/>
  <c r="D21" i="2" s="1"/>
  <c r="A21" i="2"/>
  <c r="C20" i="2"/>
  <c r="D20" i="2" s="1"/>
  <c r="A20" i="2"/>
  <c r="D19" i="2"/>
  <c r="C19" i="2"/>
  <c r="A19" i="2"/>
  <c r="C18" i="2"/>
  <c r="D18" i="2" s="1"/>
  <c r="A18" i="2"/>
  <c r="C17" i="2"/>
  <c r="D17" i="2" s="1"/>
  <c r="A17" i="2"/>
  <c r="C16" i="2"/>
  <c r="D16" i="2" s="1"/>
  <c r="A16" i="2"/>
  <c r="D15" i="2"/>
  <c r="C15" i="2"/>
  <c r="A15" i="2"/>
  <c r="C14" i="2"/>
  <c r="D14" i="2" s="1"/>
  <c r="A14" i="2"/>
  <c r="C13" i="2"/>
  <c r="D13" i="2" s="1"/>
  <c r="A13" i="2"/>
  <c r="C12" i="2"/>
  <c r="D12" i="2" s="1"/>
  <c r="A12" i="2"/>
  <c r="D11" i="2"/>
  <c r="C11" i="2"/>
  <c r="A11" i="2"/>
  <c r="C10" i="2"/>
  <c r="D10" i="2" s="1"/>
  <c r="A10" i="2"/>
  <c r="D9" i="2"/>
  <c r="C9" i="2"/>
  <c r="A9" i="2"/>
  <c r="C8" i="2"/>
  <c r="D8" i="2" s="1"/>
  <c r="A8" i="2"/>
  <c r="D7" i="2"/>
  <c r="C7" i="2"/>
  <c r="A7" i="2"/>
  <c r="C6" i="2"/>
  <c r="D6" i="2" s="1"/>
  <c r="A6" i="2"/>
  <c r="D5" i="2"/>
  <c r="C5" i="2"/>
  <c r="A5" i="2"/>
  <c r="C4" i="2"/>
  <c r="D4" i="2" s="1"/>
  <c r="A4" i="2"/>
  <c r="D3" i="2"/>
  <c r="C3" i="2"/>
  <c r="A3" i="2"/>
  <c r="C2" i="2"/>
  <c r="D2" i="2" s="1"/>
  <c r="A2" i="2"/>
  <c r="B11" i="1"/>
  <c r="B12" i="1" s="1"/>
  <c r="B13" i="1" s="1"/>
</calcChain>
</file>

<file path=xl/sharedStrings.xml><?xml version="1.0" encoding="utf-8"?>
<sst xmlns="http://schemas.openxmlformats.org/spreadsheetml/2006/main" count="92" uniqueCount="54">
  <si>
    <t>Pulgão</t>
  </si>
  <si>
    <t>Óleo de Neem (1%), Sabão de Potássio</t>
  </si>
  <si>
    <t>Mosca Branca</t>
  </si>
  <si>
    <t>Armadilhas Amarelas, Sabão de Potássio</t>
  </si>
  <si>
    <t>Spider Mite</t>
  </si>
  <si>
    <t>Calda Sulfocálcica, Ácaros Predadores, Óleo de Neem</t>
  </si>
  <si>
    <t>Tripes</t>
  </si>
  <si>
    <t>Óleo de Neem, Armadilhas Azuis</t>
  </si>
  <si>
    <t>Fungos</t>
  </si>
  <si>
    <t>Calda Bordalesa, Bicarbonato de Sódio, Vinagre Diluído</t>
  </si>
  <si>
    <t>Nenhum</t>
  </si>
  <si>
    <t>Manter monitoramento preventivo</t>
  </si>
  <si>
    <t>Data Incidência</t>
  </si>
  <si>
    <t>Praga Identificada</t>
  </si>
  <si>
    <t>Ação Sugerida (Automática)</t>
  </si>
  <si>
    <t>Status da Ação</t>
  </si>
  <si>
    <t>Em andamento</t>
  </si>
  <si>
    <t>Data Início</t>
  </si>
  <si>
    <t>Semana</t>
  </si>
  <si>
    <t>Fase</t>
  </si>
  <si>
    <t>Lembrete Nutrição/Ação</t>
  </si>
  <si>
    <t>Status</t>
  </si>
  <si>
    <t>Semana 1</t>
  </si>
  <si>
    <t>Pendente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</si>
  <si>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</si>
  <si>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</si>
  <si>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</si>
  <si>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</si>
  <si>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</si>
  <si>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</si>
  <si>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</si>
  <si>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</si>
  <si>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</si>
  <si>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</si>
  <si>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</si>
  <si>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</si>
  <si>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</si>
  <si>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</si>
  <si>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</si>
  <si>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</si>
  <si>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</si>
  <si>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</si>
  <si>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</si>
  <si>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PLANILHA MESTRA: CONFIGURAÇÃO</t>
  </si>
  <si>
    <t>Data de Início (Clone/Semente):</t>
  </si>
  <si>
    <t>24/03/2026</t>
  </si>
  <si>
    <t>DURAÇÃO ESTIMADA (SEMANAS)</t>
  </si>
  <si>
    <t>Fase Clone/Plântula:</t>
  </si>
  <si>
    <t>Fase Vegetativa:</t>
  </si>
  <si>
    <t>Fase Floração:</t>
  </si>
  <si>
    <t>CRONOGRAMA AUTOMATIZADO</t>
  </si>
  <si>
    <t>Fim do Clone:</t>
  </si>
  <si>
    <t>Fim da Vega:</t>
  </si>
  <si>
    <t>Data Provável da Colheita: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</si>
</sst>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757575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F5F5F5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/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14" fontId="3" fillId="0" borderId="1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4" fillId="4" borderId="1" xfId="0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3"/>
  <sheetViews>
    <sheetView tabSelected="1" workbookViewId="0">
      <selection activeCell="B8" sqref="B8"/>
    </sheetView>
  </sheetViews>
  <sheetFormatPr defaultRowHeight="14.4" x14ac:dyDescent="0.3"/>
  <cols>
    <col min="1" max="1" width="30.6640625" style="2" bestFit="1" customWidth="1"/>
    <col min="2" max="2" width="20.6640625" style="12" bestFit="1" customWidth="1"/>
  </cols>
  <sheetData>
    <row r="1" spans="1:2" ht="18.75" customHeight="1" x14ac:dyDescent="0.3">
      <c r="A1" s="13" t="s">
        <v>43</v>
      </c>
      <c r="B1" s="14"/>
    </row>
    <row r="2" spans="1:2" ht="18.75" customHeight="1" x14ac:dyDescent="0.3">
      <c r="A2" s="1"/>
      <c r="B2" s="10"/>
    </row>
    <row r="3" spans="1:2" ht="18.75" customHeight="1" x14ac:dyDescent="0.3">
      <c r="A3" s="1" t="s">
        <v>44</v>
      </c>
      <c r="B3" s="11" t="s">
        <v>45</v>
      </c>
    </row>
    <row r="4" spans="1:2" ht="18.75" customHeight="1" x14ac:dyDescent="0.3">
      <c r="A4" s="1"/>
      <c r="B4" s="10"/>
    </row>
    <row r="5" spans="1:2" ht="18.75" customHeight="1" x14ac:dyDescent="0.3">
      <c r="A5" s="13" t="s">
        <v>46</v>
      </c>
      <c r="B5" s="14"/>
    </row>
    <row r="6" spans="1:2" ht="18.75" customHeight="1" x14ac:dyDescent="0.3">
      <c r="A6" s="1" t="s">
        <v>47</v>
      </c>
      <c r="B6" s="11">
        <v>2</v>
      </c>
    </row>
    <row r="7" spans="1:2" ht="18.75" customHeight="1" x14ac:dyDescent="0.3">
      <c r="A7" s="1" t="s">
        <v>48</v>
      </c>
      <c r="B7" s="11">
        <v>6</v>
      </c>
    </row>
    <row r="8" spans="1:2" ht="18.75" customHeight="1" x14ac:dyDescent="0.3">
      <c r="A8" s="1" t="s">
        <v>49</v>
      </c>
      <c r="B8" s="11">
        <v>8</v>
      </c>
    </row>
    <row r="9" spans="1:2" ht="18.75" customHeight="1" x14ac:dyDescent="0.3">
      <c r="A9" s="1"/>
      <c r="B9" s="10"/>
    </row>
    <row r="10" spans="1:2" ht="18.75" customHeight="1" x14ac:dyDescent="0.3">
      <c r="A10" s="13" t="s">
        <v>50</v>
      </c>
      <c r="B10" s="14"/>
    </row>
    <row r="11" spans="1:2" ht="18.75" customHeight="1" x14ac:dyDescent="0.3">
      <c r="A11" s="1" t="s">
        <v>51</v>
      </c>
      <c r="B11" s="7">
        <f>B3+(B6*7)</f>
        <v>46119</v>
      </c>
    </row>
    <row r="12" spans="1:2" ht="18.75" customHeight="1" x14ac:dyDescent="0.3">
      <c r="A12" s="1" t="s">
        <v>52</v>
      </c>
      <c r="B12" s="7">
        <f>B11+(B7*7)</f>
        <v>46161</v>
      </c>
    </row>
    <row r="13" spans="1:2" ht="18.75" customHeight="1" x14ac:dyDescent="0.3">
      <c r="A13" s="1" t="s">
        <v>53</v>
      </c>
      <c r="B13" s="7">
        <f>B12+(B8*7)</f>
        <v>46217</v>
      </c>
    </row>
  </sheetData>
  <mergeCells count="3">
    <mergeCell ref="A1:B1"/>
    <mergeCell ref="A5:B5"/>
    <mergeCell ref="A10:B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1"/>
  <sheetViews>
    <sheetView workbookViewId="0"/>
  </sheetViews>
  <sheetFormatPr defaultRowHeight="14.4" x14ac:dyDescent="0.3"/>
  <cols>
    <col min="1" max="1" width="15.6640625" style="9" bestFit="1" customWidth="1"/>
    <col min="2" max="2" width="15.6640625" style="2" bestFit="1" customWidth="1"/>
    <col min="3" max="3" width="20.6640625" style="6" bestFit="1" customWidth="1"/>
    <col min="4" max="4" width="40.6640625" style="6" bestFit="1" customWidth="1"/>
    <col min="5" max="5" width="15.6640625" style="2" bestFit="1" customWidth="1"/>
  </cols>
  <sheetData>
    <row r="1" spans="1:5" ht="18.75" customHeight="1" x14ac:dyDescent="0.3">
      <c r="A1" s="3" t="s">
        <v>17</v>
      </c>
      <c r="B1" s="3" t="s">
        <v>18</v>
      </c>
      <c r="C1" s="4" t="s">
        <v>19</v>
      </c>
      <c r="D1" s="4" t="s">
        <v>20</v>
      </c>
      <c r="E1" s="3" t="s">
        <v>21</v>
      </c>
    </row>
    <row r="2" spans="1:5" ht="18.75" customHeight="1" x14ac:dyDescent="0.3">
      <c r="A2" s="7">
        <f>'Configuração Inicial'!$B$3+(1-1)*7</f>
        <v>46105</v>
      </c>
      <c r="B2" s="1" t="s">
        <v>22</v>
      </c>
      <c r="C2" s="8" t="str">
        <f>IF(1&lt;='Configuração Inicial'!$B$6, "Clone", IF(1&lt;='Configuração Inicial'!$B$6+'Configuração Inicial'!$B$7, "Vegetativo", "Floração"))</f>
        <v>Clone</v>
      </c>
      <c r="D2" s="8" t="str">
        <f t="shared" ref="D2:D21" si="0">IF(C2="Clone", "Umidade Alta (70%), Luz Suave", IF(C2="Vegetativo", "Nitrogênio Alto, LST/Poda", IF(C2="Floração", "Fósforo/Potássio, Reduzir Umidade", "Aguardar")))</f>
        <v>Umidade Alta (70%), Luz Suave</v>
      </c>
      <c r="E2" s="1" t="s">
        <v>23</v>
      </c>
    </row>
    <row r="3" spans="1:5" ht="18.75" customHeight="1" x14ac:dyDescent="0.3">
      <c r="A3" s="7">
        <f>'Configuração Inicial'!$B$3+(2-1)*7</f>
        <v>46112</v>
      </c>
      <c r="B3" s="1" t="s">
        <v>24</v>
      </c>
      <c r="C3" s="8" t="str">
        <f>IF(2&lt;='Configuração Inicial'!$B$6, "Clone", IF(2&lt;='Configuração Inicial'!$B$6+'Configuração Inicial'!$B$7, "Vegetativo", "Floração"))</f>
        <v>Clone</v>
      </c>
      <c r="D3" s="8" t="str">
        <f t="shared" si="0"/>
        <v>Umidade Alta (70%), Luz Suave</v>
      </c>
      <c r="E3" s="1" t="s">
        <v>23</v>
      </c>
    </row>
    <row r="4" spans="1:5" ht="18.75" customHeight="1" x14ac:dyDescent="0.3">
      <c r="A4" s="7">
        <f>'Configuração Inicial'!$B$3+(3-1)*7</f>
        <v>46119</v>
      </c>
      <c r="B4" s="1" t="s">
        <v>25</v>
      </c>
      <c r="C4" s="8" t="str">
        <f>IF(3&lt;='Configuração Inicial'!$B$6, "Clone", IF(3&lt;='Configuração Inicial'!$B$6+'Configuração Inicial'!$B$7, "Vegetativo", "Floração"))</f>
        <v>Vegetativo</v>
      </c>
      <c r="D4" s="8" t="str">
        <f t="shared" si="0"/>
        <v>Nitrogênio Alto, LST/Poda</v>
      </c>
      <c r="E4" s="1" t="s">
        <v>23</v>
      </c>
    </row>
    <row r="5" spans="1:5" ht="18.75" customHeight="1" x14ac:dyDescent="0.3">
      <c r="A5" s="7">
        <f>'Configuração Inicial'!$B$3+(4-1)*7</f>
        <v>46126</v>
      </c>
      <c r="B5" s="1" t="s">
        <v>26</v>
      </c>
      <c r="C5" s="8" t="str">
        <f>IF(4&lt;='Configuração Inicial'!$B$6, "Clone", IF(4&lt;='Configuração Inicial'!$B$6+'Configuração Inicial'!$B$7, "Vegetativo", "Floração"))</f>
        <v>Vegetativo</v>
      </c>
      <c r="D5" s="8" t="str">
        <f t="shared" si="0"/>
        <v>Nitrogênio Alto, LST/Poda</v>
      </c>
      <c r="E5" s="1" t="s">
        <v>23</v>
      </c>
    </row>
    <row r="6" spans="1:5" ht="18.75" customHeight="1" x14ac:dyDescent="0.3">
      <c r="A6" s="7">
        <f>'Configuração Inicial'!$B$3+(5-1)*7</f>
        <v>46133</v>
      </c>
      <c r="B6" s="1" t="s">
        <v>27</v>
      </c>
      <c r="C6" s="8" t="str">
        <f>IF(5&lt;='Configuração Inicial'!$B$6, "Clone", IF(5&lt;='Configuração Inicial'!$B$6+'Configuração Inicial'!$B$7, "Vegetativo", "Floração"))</f>
        <v>Vegetativo</v>
      </c>
      <c r="D6" s="8" t="str">
        <f t="shared" si="0"/>
        <v>Nitrogênio Alto, LST/Poda</v>
      </c>
      <c r="E6" s="1" t="s">
        <v>23</v>
      </c>
    </row>
    <row r="7" spans="1:5" ht="18.75" customHeight="1" x14ac:dyDescent="0.3">
      <c r="A7" s="7">
        <f>'Configuração Inicial'!$B$3+(6-1)*7</f>
        <v>46140</v>
      </c>
      <c r="B7" s="1" t="s">
        <v>28</v>
      </c>
      <c r="C7" s="8" t="str">
        <f>IF(6&lt;='Configuração Inicial'!$B$6, "Clone", IF(6&lt;='Configuração Inicial'!$B$6+'Configuração Inicial'!$B$7, "Vegetativo", "Floração"))</f>
        <v>Vegetativo</v>
      </c>
      <c r="D7" s="8" t="str">
        <f t="shared" si="0"/>
        <v>Nitrogênio Alto, LST/Poda</v>
      </c>
      <c r="E7" s="1" t="s">
        <v>23</v>
      </c>
    </row>
    <row r="8" spans="1:5" ht="18.75" customHeight="1" x14ac:dyDescent="0.3">
      <c r="A8" s="7">
        <f>'Configuração Inicial'!$B$3+(7-1)*7</f>
        <v>46147</v>
      </c>
      <c r="B8" s="1" t="s">
        <v>29</v>
      </c>
      <c r="C8" s="8" t="str">
        <f>IF(7&lt;='Configuração Inicial'!$B$6, "Clone", IF(7&lt;='Configuração Inicial'!$B$6+'Configuração Inicial'!$B$7, "Vegetativo", "Floração"))</f>
        <v>Vegetativo</v>
      </c>
      <c r="D8" s="8" t="str">
        <f t="shared" si="0"/>
        <v>Nitrogênio Alto, LST/Poda</v>
      </c>
      <c r="E8" s="1" t="s">
        <v>23</v>
      </c>
    </row>
    <row r="9" spans="1:5" ht="18.75" customHeight="1" x14ac:dyDescent="0.3">
      <c r="A9" s="7">
        <f>'Configuração Inicial'!$B$3+(8-1)*7</f>
        <v>46154</v>
      </c>
      <c r="B9" s="1" t="s">
        <v>30</v>
      </c>
      <c r="C9" s="8" t="str">
        <f>IF(8&lt;='Configuração Inicial'!$B$6, "Clone", IF(8&lt;='Configuração Inicial'!$B$6+'Configuração Inicial'!$B$7, "Vegetativo", "Floração"))</f>
        <v>Vegetativo</v>
      </c>
      <c r="D9" s="8" t="str">
        <f t="shared" si="0"/>
        <v>Nitrogênio Alto, LST/Poda</v>
      </c>
      <c r="E9" s="1" t="s">
        <v>23</v>
      </c>
    </row>
    <row r="10" spans="1:5" ht="18.75" customHeight="1" x14ac:dyDescent="0.3">
      <c r="A10" s="7">
        <f>'Configuração Inicial'!$B$3+(9-1)*7</f>
        <v>46161</v>
      </c>
      <c r="B10" s="1" t="s">
        <v>31</v>
      </c>
      <c r="C10" s="8" t="str">
        <f>IF(9&lt;='Configuração Inicial'!$B$6, "Clone", IF(9&lt;='Configuração Inicial'!$B$6+'Configuração Inicial'!$B$7, "Vegetativo", "Floração"))</f>
        <v>Floração</v>
      </c>
      <c r="D10" s="8" t="str">
        <f t="shared" si="0"/>
        <v>Fósforo/Potássio, Reduzir Umidade</v>
      </c>
      <c r="E10" s="1" t="s">
        <v>23</v>
      </c>
    </row>
    <row r="11" spans="1:5" ht="18.75" customHeight="1" x14ac:dyDescent="0.3">
      <c r="A11" s="7">
        <f>'Configuração Inicial'!$B$3+(10-1)*7</f>
        <v>46168</v>
      </c>
      <c r="B11" s="1" t="s">
        <v>32</v>
      </c>
      <c r="C11" s="8" t="str">
        <f>IF(10&lt;='Configuração Inicial'!$B$6, "Clone", IF(10&lt;='Configuração Inicial'!$B$6+'Configuração Inicial'!$B$7, "Vegetativo", "Floração"))</f>
        <v>Floração</v>
      </c>
      <c r="D11" s="8" t="str">
        <f t="shared" si="0"/>
        <v>Fósforo/Potássio, Reduzir Umidade</v>
      </c>
      <c r="E11" s="1" t="s">
        <v>23</v>
      </c>
    </row>
    <row r="12" spans="1:5" ht="18.75" customHeight="1" x14ac:dyDescent="0.3">
      <c r="A12" s="7">
        <f>'Configuração Inicial'!$B$3+(11-1)*7</f>
        <v>46175</v>
      </c>
      <c r="B12" s="1" t="s">
        <v>33</v>
      </c>
      <c r="C12" s="8" t="str">
        <f>IF(11&lt;='Configuração Inicial'!$B$6, "Clone", IF(11&lt;='Configuração Inicial'!$B$6+'Configuração Inicial'!$B$7, "Vegetativo", "Floração"))</f>
        <v>Floração</v>
      </c>
      <c r="D12" s="8" t="str">
        <f t="shared" si="0"/>
        <v>Fósforo/Potássio, Reduzir Umidade</v>
      </c>
      <c r="E12" s="1" t="s">
        <v>23</v>
      </c>
    </row>
    <row r="13" spans="1:5" ht="18.75" customHeight="1" x14ac:dyDescent="0.3">
      <c r="A13" s="7">
        <f>'Configuração Inicial'!$B$3+(12-1)*7</f>
        <v>46182</v>
      </c>
      <c r="B13" s="1" t="s">
        <v>34</v>
      </c>
      <c r="C13" s="8" t="str">
        <f>IF(12&lt;='Configuração Inicial'!$B$6, "Clone", IF(12&lt;='Configuração Inicial'!$B$6+'Configuração Inicial'!$B$7, "Vegetativo", "Floração"))</f>
        <v>Floração</v>
      </c>
      <c r="D13" s="8" t="str">
        <f t="shared" si="0"/>
        <v>Fósforo/Potássio, Reduzir Umidade</v>
      </c>
      <c r="E13" s="1" t="s">
        <v>23</v>
      </c>
    </row>
    <row r="14" spans="1:5" ht="18.75" customHeight="1" x14ac:dyDescent="0.3">
      <c r="A14" s="7">
        <f>'Configuração Inicial'!$B$3+(13-1)*7</f>
        <v>46189</v>
      </c>
      <c r="B14" s="1" t="s">
        <v>35</v>
      </c>
      <c r="C14" s="8" t="str">
        <f>IF(13&lt;='Configuração Inicial'!$B$6, "Clone", IF(13&lt;='Configuração Inicial'!$B$6+'Configuração Inicial'!$B$7, "Vegetativo", "Floração"))</f>
        <v>Floração</v>
      </c>
      <c r="D14" s="8" t="str">
        <f t="shared" si="0"/>
        <v>Fósforo/Potássio, Reduzir Umidade</v>
      </c>
      <c r="E14" s="1" t="s">
        <v>23</v>
      </c>
    </row>
    <row r="15" spans="1:5" ht="18.75" customHeight="1" x14ac:dyDescent="0.3">
      <c r="A15" s="7">
        <f>'Configuração Inicial'!$B$3+(14-1)*7</f>
        <v>46196</v>
      </c>
      <c r="B15" s="1" t="s">
        <v>36</v>
      </c>
      <c r="C15" s="8" t="str">
        <f>IF(14&lt;='Configuração Inicial'!$B$6, "Clone", IF(14&lt;='Configuração Inicial'!$B$6+'Configuração Inicial'!$B$7, "Vegetativo", "Floração"))</f>
        <v>Floração</v>
      </c>
      <c r="D15" s="8" t="str">
        <f t="shared" si="0"/>
        <v>Fósforo/Potássio, Reduzir Umidade</v>
      </c>
      <c r="E15" s="1" t="s">
        <v>23</v>
      </c>
    </row>
    <row r="16" spans="1:5" ht="18.75" customHeight="1" x14ac:dyDescent="0.3">
      <c r="A16" s="7">
        <f>'Configuração Inicial'!$B$3+(15-1)*7</f>
        <v>46203</v>
      </c>
      <c r="B16" s="1" t="s">
        <v>37</v>
      </c>
      <c r="C16" s="8" t="str">
        <f>IF(15&lt;='Configuração Inicial'!$B$6, "Clone", IF(15&lt;='Configuração Inicial'!$B$6+'Configuração Inicial'!$B$7, "Vegetativo", "Floração"))</f>
        <v>Floração</v>
      </c>
      <c r="D16" s="8" t="str">
        <f t="shared" si="0"/>
        <v>Fósforo/Potássio, Reduzir Umidade</v>
      </c>
      <c r="E16" s="1" t="s">
        <v>23</v>
      </c>
    </row>
    <row r="17" spans="1:5" ht="18.75" customHeight="1" x14ac:dyDescent="0.3">
      <c r="A17" s="7">
        <f>'Configuração Inicial'!$B$3+(16-1)*7</f>
        <v>46210</v>
      </c>
      <c r="B17" s="1" t="s">
        <v>38</v>
      </c>
      <c r="C17" s="8" t="str">
        <f>IF(16&lt;='Configuração Inicial'!$B$6, "Clone", IF(16&lt;='Configuração Inicial'!$B$6+'Configuração Inicial'!$B$7, "Vegetativo", "Floração"))</f>
        <v>Floração</v>
      </c>
      <c r="D17" s="8" t="str">
        <f t="shared" si="0"/>
        <v>Fósforo/Potássio, Reduzir Umidade</v>
      </c>
      <c r="E17" s="1" t="s">
        <v>23</v>
      </c>
    </row>
    <row r="18" spans="1:5" ht="18.75" customHeight="1" x14ac:dyDescent="0.3">
      <c r="A18" s="7">
        <f>'Configuração Inicial'!$B$3+(17-1)*7</f>
        <v>46217</v>
      </c>
      <c r="B18" s="1" t="s">
        <v>39</v>
      </c>
      <c r="C18" s="8" t="str">
        <f>IF(17&lt;='Configuração Inicial'!$B$6, "Clone", IF(17&lt;='Configuração Inicial'!$B$6+'Configuração Inicial'!$B$7, "Vegetativo", "Floração"))</f>
        <v>Floração</v>
      </c>
      <c r="D18" s="8" t="str">
        <f t="shared" si="0"/>
        <v>Fósforo/Potássio, Reduzir Umidade</v>
      </c>
      <c r="E18" s="1" t="s">
        <v>23</v>
      </c>
    </row>
    <row r="19" spans="1:5" ht="18.75" customHeight="1" x14ac:dyDescent="0.3">
      <c r="A19" s="7">
        <f>'Configuração Inicial'!$B$3+(18-1)*7</f>
        <v>46224</v>
      </c>
      <c r="B19" s="1" t="s">
        <v>40</v>
      </c>
      <c r="C19" s="8" t="str">
        <f>IF(18&lt;='Configuração Inicial'!$B$6, "Clone", IF(18&lt;='Configuração Inicial'!$B$6+'Configuração Inicial'!$B$7, "Vegetativo", "Floração"))</f>
        <v>Floração</v>
      </c>
      <c r="D19" s="8" t="str">
        <f t="shared" si="0"/>
        <v>Fósforo/Potássio, Reduzir Umidade</v>
      </c>
      <c r="E19" s="1" t="s">
        <v>23</v>
      </c>
    </row>
    <row r="20" spans="1:5" ht="18.75" customHeight="1" x14ac:dyDescent="0.3">
      <c r="A20" s="7">
        <f>'Configuração Inicial'!$B$3+(19-1)*7</f>
        <v>46231</v>
      </c>
      <c r="B20" s="1" t="s">
        <v>41</v>
      </c>
      <c r="C20" s="8" t="str">
        <f>IF(19&lt;='Configuração Inicial'!$B$6, "Clone", IF(19&lt;='Configuração Inicial'!$B$6+'Configuração Inicial'!$B$7, "Vegetativo", "Floração"))</f>
        <v>Floração</v>
      </c>
      <c r="D20" s="8" t="str">
        <f t="shared" si="0"/>
        <v>Fósforo/Potássio, Reduzir Umidade</v>
      </c>
      <c r="E20" s="1" t="s">
        <v>23</v>
      </c>
    </row>
    <row r="21" spans="1:5" ht="18.75" customHeight="1" x14ac:dyDescent="0.3">
      <c r="A21" s="7">
        <f>'Configuração Inicial'!$B$3+(20-1)*7</f>
        <v>46238</v>
      </c>
      <c r="B21" s="1" t="s">
        <v>42</v>
      </c>
      <c r="C21" s="8" t="str">
        <f>IF(20&lt;='Configuração Inicial'!$B$6, "Clone", IF(20&lt;='Configuração Inicial'!$B$6+'Configuração Inicial'!$B$7, "Vegetativo", "Floração"))</f>
        <v>Floração</v>
      </c>
      <c r="D21" s="8" t="str">
        <f t="shared" si="0"/>
        <v>Fósforo/Potássio, Reduzir Umidade</v>
      </c>
      <c r="E21" s="1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1"/>
  <sheetViews>
    <sheetView workbookViewId="0"/>
  </sheetViews>
  <sheetFormatPr defaultRowHeight="14.4" x14ac:dyDescent="0.3"/>
  <cols>
    <col min="1" max="1" width="15.6640625" style="2" bestFit="1" customWidth="1"/>
    <col min="2" max="2" width="20.6640625" style="2" bestFit="1" customWidth="1"/>
    <col min="3" max="3" width="50.6640625" style="6" bestFit="1" customWidth="1"/>
    <col min="4" max="4" width="20.6640625" style="2" bestFit="1" customWidth="1"/>
  </cols>
  <sheetData>
    <row r="1" spans="1:4" ht="20.25" customHeight="1" x14ac:dyDescent="0.3">
      <c r="A1" s="3" t="s">
        <v>12</v>
      </c>
      <c r="B1" s="3" t="s">
        <v>13</v>
      </c>
      <c r="C1" s="4" t="s">
        <v>14</v>
      </c>
      <c r="D1" s="3" t="s">
        <v>15</v>
      </c>
    </row>
    <row r="2" spans="1:4" ht="19.5" customHeight="1" x14ac:dyDescent="0.3">
      <c r="A2" s="1"/>
      <c r="B2" s="1" t="s">
        <v>10</v>
      </c>
      <c r="C2" s="5" t="str">
        <f>VLOOKUP(B2, Database!$A$1:$B$6, 2, FALSE)</f>
        <v>Manter monitoramento preventivo</v>
      </c>
      <c r="D2" s="1" t="s">
        <v>16</v>
      </c>
    </row>
    <row r="3" spans="1:4" ht="19.5" customHeight="1" x14ac:dyDescent="0.3">
      <c r="A3" s="1"/>
      <c r="B3" s="1" t="s">
        <v>10</v>
      </c>
      <c r="C3" s="5" t="str">
        <f>VLOOKUP(B3, Database!$A$1:$B$6, 2, FALSE)</f>
        <v>Manter monitoramento preventivo</v>
      </c>
      <c r="D3" s="1" t="s">
        <v>16</v>
      </c>
    </row>
    <row r="4" spans="1:4" ht="19.5" customHeight="1" x14ac:dyDescent="0.3">
      <c r="A4" s="1"/>
      <c r="B4" s="1" t="s">
        <v>10</v>
      </c>
      <c r="C4" s="5" t="str">
        <f>VLOOKUP(B4, Database!$A$1:$B$6, 2, FALSE)</f>
        <v>Manter monitoramento preventivo</v>
      </c>
      <c r="D4" s="1" t="s">
        <v>16</v>
      </c>
    </row>
    <row r="5" spans="1:4" ht="19.5" customHeight="1" x14ac:dyDescent="0.3">
      <c r="A5" s="1"/>
      <c r="B5" s="1" t="s">
        <v>10</v>
      </c>
      <c r="C5" s="5" t="str">
        <f>VLOOKUP(B5, Database!$A$1:$B$6, 2, FALSE)</f>
        <v>Manter monitoramento preventivo</v>
      </c>
      <c r="D5" s="1" t="s">
        <v>16</v>
      </c>
    </row>
    <row r="6" spans="1:4" ht="19.5" customHeight="1" x14ac:dyDescent="0.3">
      <c r="A6" s="1"/>
      <c r="B6" s="1" t="s">
        <v>10</v>
      </c>
      <c r="C6" s="5" t="str">
        <f>VLOOKUP(B6, Database!$A$1:$B$6, 2, FALSE)</f>
        <v>Manter monitoramento preventivo</v>
      </c>
      <c r="D6" s="1" t="s">
        <v>16</v>
      </c>
    </row>
    <row r="7" spans="1:4" ht="19.5" customHeight="1" x14ac:dyDescent="0.3">
      <c r="A7" s="1"/>
      <c r="B7" s="1" t="s">
        <v>10</v>
      </c>
      <c r="C7" s="5" t="str">
        <f>VLOOKUP(B7, Database!$A$1:$B$6, 2, FALSE)</f>
        <v>Manter monitoramento preventivo</v>
      </c>
      <c r="D7" s="1" t="s">
        <v>16</v>
      </c>
    </row>
    <row r="8" spans="1:4" ht="19.5" customHeight="1" x14ac:dyDescent="0.3">
      <c r="A8" s="1"/>
      <c r="B8" s="1" t="s">
        <v>10</v>
      </c>
      <c r="C8" s="5" t="str">
        <f>VLOOKUP(B8, Database!$A$1:$B$6, 2, FALSE)</f>
        <v>Manter monitoramento preventivo</v>
      </c>
      <c r="D8" s="1" t="s">
        <v>16</v>
      </c>
    </row>
    <row r="9" spans="1:4" ht="19.5" customHeight="1" x14ac:dyDescent="0.3">
      <c r="A9" s="1"/>
      <c r="B9" s="1" t="s">
        <v>10</v>
      </c>
      <c r="C9" s="5" t="str">
        <f>VLOOKUP(B9, Database!$A$1:$B$6, 2, FALSE)</f>
        <v>Manter monitoramento preventivo</v>
      </c>
      <c r="D9" s="1" t="s">
        <v>16</v>
      </c>
    </row>
    <row r="10" spans="1:4" ht="19.5" customHeight="1" x14ac:dyDescent="0.3">
      <c r="A10" s="1"/>
      <c r="B10" s="1" t="s">
        <v>10</v>
      </c>
      <c r="C10" s="5" t="str">
        <f>VLOOKUP(B10, Database!$A$1:$B$6, 2, FALSE)</f>
        <v>Manter monitoramento preventivo</v>
      </c>
      <c r="D10" s="1" t="s">
        <v>16</v>
      </c>
    </row>
    <row r="11" spans="1:4" ht="20.25" customHeight="1" x14ac:dyDescent="0.3">
      <c r="A11" s="1"/>
      <c r="B11" s="1" t="s">
        <v>10</v>
      </c>
      <c r="C11" s="5" t="str">
        <f>VLOOKUP(B11, Database!$A$1:$B$6, 2, FALSE)</f>
        <v>Manter monitoramento preventivo</v>
      </c>
      <c r="D11" s="1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6"/>
  <sheetViews>
    <sheetView workbookViewId="0"/>
  </sheetViews>
  <sheetFormatPr defaultRowHeight="14.4" x14ac:dyDescent="0.3"/>
  <cols>
    <col min="1" max="2" width="13.5546875" style="2" bestFit="1" customWidth="1"/>
  </cols>
  <sheetData>
    <row r="1" spans="1:2" ht="18.75" customHeight="1" x14ac:dyDescent="0.3">
      <c r="A1" s="1" t="s">
        <v>0</v>
      </c>
      <c r="B1" s="1" t="s">
        <v>1</v>
      </c>
    </row>
    <row r="2" spans="1:2" ht="18.75" customHeight="1" x14ac:dyDescent="0.3">
      <c r="A2" s="1" t="s">
        <v>2</v>
      </c>
      <c r="B2" s="1" t="s">
        <v>3</v>
      </c>
    </row>
    <row r="3" spans="1:2" ht="18.75" customHeight="1" x14ac:dyDescent="0.3">
      <c r="A3" s="1" t="s">
        <v>4</v>
      </c>
      <c r="B3" s="1" t="s">
        <v>5</v>
      </c>
    </row>
    <row r="4" spans="1:2" ht="18.75" customHeight="1" x14ac:dyDescent="0.3">
      <c r="A4" s="1" t="s">
        <v>6</v>
      </c>
      <c r="B4" s="1" t="s">
        <v>7</v>
      </c>
    </row>
    <row r="5" spans="1:2" ht="18.75" customHeight="1" x14ac:dyDescent="0.3">
      <c r="A5" s="1" t="s">
        <v>8</v>
      </c>
      <c r="B5" s="1" t="s">
        <v>9</v>
      </c>
    </row>
    <row r="6" spans="1:2" ht="18.75" customHeight="1" x14ac:dyDescent="0.3">
      <c r="A6" s="1" t="s">
        <v>10</v>
      </c>
      <c r="B6" s="1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Configuração Inicial</vt:lpstr>
      <vt:lpstr>Diário Semanal</vt:lpstr>
      <vt:lpstr>Manejo Orgânico (IPM)</vt:lpstr>
      <vt:lpstr>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lucio hudson</cp:lastModifiedBy>
  <dcterms:created xsi:type="dcterms:W3CDTF">2026-03-25T00:55:36Z</dcterms:created>
  <dcterms:modified xsi:type="dcterms:W3CDTF">2026-03-25T11:48:33Z</dcterms:modified>
</cp:coreProperties>
</file>