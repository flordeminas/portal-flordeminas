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onfiguração Inicial"/>
    <sheet r:id="rId2" sheetId="2" name="Diário Semanal"/>
    <sheet r:id="rId3" sheetId="3" name="Manejo Orgânico (IPM)"/>
    <sheet r:id="rId4" sheetId="4" name="Database"/>
  </sheets>
  <calcPr fullCalcOnLoad="1"/>
</workbook>
</file>

<file path=xl/sharedStrings.xml><?xml version="1.0" encoding="utf-8"?>
<sst xmlns="http://schemas.openxmlformats.org/spreadsheetml/2006/main" count="92" uniqueCount="54">
  <si>
    <t>Pulgão</t>
  </si>
  <si>
    <t>Óleo de Neem (1%), Sabão de Potássio</t>
  </si>
  <si>
    <t>Mosca Branca</t>
  </si>
  <si>
    <t>Armadilhas Amarelas, Sabão de Potássio</t>
  </si>
  <si>
    <t>Spider Mite</t>
  </si>
  <si>
    <t>Calda Sulfocálcica, Ácaros Predadores, Óleo de Neem</t>
  </si>
  <si>
    <t>Tripes</t>
  </si>
  <si>
    <t>Óleo de Neem, Armadilhas Azuis</t>
  </si>
  <si>
    <t>Fungos</t>
  </si>
  <si>
    <t>Calda Bordalesa, Bicarbonato de Sódio, Vinagre Diluído</t>
  </si>
  <si>
    <t>Nenhum</t>
  </si>
  <si>
    <t>Manter monitoramento preventivo</t>
  </si>
  <si>
    <t>Data Incidência</t>
  </si>
  <si>
    <t>Praga Identificada</t>
  </si>
  <si>
    <t>Ação Sugerida (Automática)</t>
  </si>
  <si>
    <t>Status da Ação</t>
  </si>
  <si>
    <t>Em andamento</t>
  </si>
  <si>
    <t>Data Início</t>
  </si>
  <si>
    <t>Semana</t>
  </si>
  <si>
    <t>Fase</t>
  </si>
  <si>
    <t>Lembrete Nutrição/Ação</t>
  </si>
  <si>
    <t>Status</t>
  </si>
  <si>
    <t>Semana 1</t>
  </si>
  <si>
    <t>Pendente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</si>
  <si>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</si>
  <si>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</si>
  <si>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</si>
  <si>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</si>
  <si>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</si>
  <si>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</si>
  <si>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</si>
  <si>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</si>
  <si>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</si>
  <si>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</si>
  <si>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</si>
  <si>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</si>
  <si>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</si>
  <si>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</si>
  <si>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</si>
  <si>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</si>
  <si>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</si>
  <si>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</si>
  <si>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</si>
  <si>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PLANILHA MESTRA: CONFIGURAÇÃO</t>
  </si>
  <si>
    <t>Data de Início (Clone/Semente):</t>
  </si>
  <si>
    <t>24/03/2026</t>
  </si>
  <si>
    <t>DURAÇÃO ESTIMADA (SEMANAS)</t>
  </si>
  <si>
    <t>Fase Clone/Plântula:</t>
  </si>
  <si>
    <t>Fase Vegetativa:</t>
  </si>
  <si>
    <t>Fase Floração:</t>
  </si>
  <si>
    <t>CRONOGRAMA AUTOMATIZADO</t>
  </si>
  <si>
    <t>Fim do Clone:</t>
  </si>
  <si>
    <t>Fim da Vega:</t>
  </si>
  <si>
    <t>Data Provável da Colheita: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</si>
</sst>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757575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3" applyFill="1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1" applyBorder="1" fontId="4" applyFont="1" fillId="4" applyFill="1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/>
  </sheetViews>
  <sheetFormatPr defaultRowHeight="15" x14ac:dyDescent="0.25"/>
  <cols>
    <col min="1" max="1" style="2" width="30.719285714285714" customWidth="1" bestFit="1"/>
    <col min="2" max="2" style="12" width="20.719285714285714" customWidth="1" bestFit="1"/>
  </cols>
  <sheetData>
    <row x14ac:dyDescent="0.25" r="1" customHeight="1" ht="18.75">
      <c r="A1" s="3" t="s">
        <v>43</v>
      </c>
      <c r="B1" s="4"/>
    </row>
    <row x14ac:dyDescent="0.25" r="2" customHeight="1" ht="18.75">
      <c r="A2" s="1"/>
      <c r="B2" s="10"/>
    </row>
    <row x14ac:dyDescent="0.25" r="3" customHeight="1" ht="18.75">
      <c r="A3" s="1" t="s">
        <v>44</v>
      </c>
      <c r="B3" s="11" t="s">
        <v>45</v>
      </c>
    </row>
    <row x14ac:dyDescent="0.25" r="4" customHeight="1" ht="18.75">
      <c r="A4" s="1"/>
      <c r="B4" s="10"/>
    </row>
    <row x14ac:dyDescent="0.25" r="5" customHeight="1" ht="18.75">
      <c r="A5" s="3" t="s">
        <v>46</v>
      </c>
      <c r="B5" s="4"/>
    </row>
    <row x14ac:dyDescent="0.25" r="6" customHeight="1" ht="18.75">
      <c r="A6" s="1" t="s">
        <v>47</v>
      </c>
      <c r="B6" s="11">
        <v>2</v>
      </c>
    </row>
    <row x14ac:dyDescent="0.25" r="7" customHeight="1" ht="18.75">
      <c r="A7" s="1" t="s">
        <v>48</v>
      </c>
      <c r="B7" s="11">
        <v>6</v>
      </c>
    </row>
    <row x14ac:dyDescent="0.25" r="8" customHeight="1" ht="18.75">
      <c r="A8" s="1" t="s">
        <v>49</v>
      </c>
      <c r="B8" s="11">
        <v>8</v>
      </c>
    </row>
    <row x14ac:dyDescent="0.25" r="9" customHeight="1" ht="18.75">
      <c r="A9" s="1"/>
      <c r="B9" s="10"/>
    </row>
    <row x14ac:dyDescent="0.25" r="10" customHeight="1" ht="18.75">
      <c r="A10" s="3" t="s">
        <v>50</v>
      </c>
      <c r="B10" s="4"/>
    </row>
    <row x14ac:dyDescent="0.25" r="11" customHeight="1" ht="18.75">
      <c r="A11" s="1" t="s">
        <v>51</v>
      </c>
      <c r="B11" s="7">
        <f>B3+(B6*7)</f>
        <v>25568.875</v>
      </c>
    </row>
    <row x14ac:dyDescent="0.25" r="12" customHeight="1" ht="18.75">
      <c r="A12" s="1" t="s">
        <v>52</v>
      </c>
      <c r="B12" s="7">
        <f>B11+(B7*7)</f>
        <v>25568.875</v>
      </c>
    </row>
    <row x14ac:dyDescent="0.25" r="13" customHeight="1" ht="18.75">
      <c r="A13" s="1" t="s">
        <v>53</v>
      </c>
      <c r="B13" s="7">
        <f>B12+(B8*7)</f>
        <v>25568.875</v>
      </c>
    </row>
  </sheetData>
  <mergeCells count="3">
    <mergeCell ref="A1:B1"/>
    <mergeCell ref="A5:B5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/>
  </sheetViews>
  <sheetFormatPr defaultRowHeight="15" x14ac:dyDescent="0.25"/>
  <cols>
    <col min="1" max="1" style="9" width="15.719285714285713" customWidth="1" bestFit="1"/>
    <col min="2" max="2" style="2" width="15.719285714285713" customWidth="1" bestFit="1"/>
    <col min="3" max="3" style="6" width="20.719285714285714" customWidth="1" bestFit="1"/>
    <col min="4" max="4" style="6" width="40.71928571428572" customWidth="1" bestFit="1"/>
    <col min="5" max="5" style="2" width="15.719285714285713" customWidth="1" bestFit="1"/>
  </cols>
  <sheetData>
    <row x14ac:dyDescent="0.25" r="1" customHeight="1" ht="18.75">
      <c r="A1" s="3" t="s">
        <v>17</v>
      </c>
      <c r="B1" s="3" t="s">
        <v>18</v>
      </c>
      <c r="C1" s="4" t="s">
        <v>19</v>
      </c>
      <c r="D1" s="4" t="s">
        <v>20</v>
      </c>
      <c r="E1" s="3" t="s">
        <v>21</v>
      </c>
    </row>
    <row x14ac:dyDescent="0.25" r="2" customHeight="1" ht="18.75">
      <c r="A2" s="7">
        <f>'Configuração Inicial'!$B$3+(1-1)*7</f>
        <v>25568.875</v>
      </c>
      <c r="B2" s="1" t="s">
        <v>22</v>
      </c>
      <c r="C2" s="8">
        <f>IF(1&lt;='Configuração Inicial'!$B$6, "Clone", IF(1&lt;='Configuração Inicial'!$B$6+'Configuração Inicial'!$B$7, "Vegetativo", "Floração"))</f>
      </c>
      <c r="D2" s="8">
        <f>IF(C2="Clone", "Umidade Alta (70%), Luz Suave", IF(C2="Vegetativo", "Nitrogênio Alto, LST/Poda", IF(C2="Floração", "Fósforo/Potássio, Reduzir Umidade", "Aguardar")))</f>
      </c>
      <c r="E2" s="1" t="s">
        <v>23</v>
      </c>
    </row>
    <row x14ac:dyDescent="0.25" r="3" customHeight="1" ht="18.75">
      <c r="A3" s="7">
        <f>'Configuração Inicial'!$B$3+(2-1)*7</f>
        <v>25568.875</v>
      </c>
      <c r="B3" s="1" t="s">
        <v>24</v>
      </c>
      <c r="C3" s="8">
        <f>IF(2&lt;='Configuração Inicial'!$B$6, "Clone", IF(2&lt;='Configuração Inicial'!$B$6+'Configuração Inicial'!$B$7, "Vegetativo", "Floração"))</f>
      </c>
      <c r="D3" s="8">
        <f>IF(C3="Clone", "Umidade Alta (70%), Luz Suave", IF(C3="Vegetativo", "Nitrogênio Alto, LST/Poda", IF(C3="Floração", "Fósforo/Potássio, Reduzir Umidade", "Aguardar")))</f>
      </c>
      <c r="E3" s="1" t="s">
        <v>23</v>
      </c>
    </row>
    <row x14ac:dyDescent="0.25" r="4" customHeight="1" ht="18.75">
      <c r="A4" s="7">
        <f>'Configuração Inicial'!$B$3+(3-1)*7</f>
        <v>25568.875</v>
      </c>
      <c r="B4" s="1" t="s">
        <v>25</v>
      </c>
      <c r="C4" s="8">
        <f>IF(3&lt;='Configuração Inicial'!$B$6, "Clone", IF(3&lt;='Configuração Inicial'!$B$6+'Configuração Inicial'!$B$7, "Vegetativo", "Floração"))</f>
      </c>
      <c r="D4" s="8">
        <f>IF(C4="Clone", "Umidade Alta (70%), Luz Suave", IF(C4="Vegetativo", "Nitrogênio Alto, LST/Poda", IF(C4="Floração", "Fósforo/Potássio, Reduzir Umidade", "Aguardar")))</f>
      </c>
      <c r="E4" s="1" t="s">
        <v>23</v>
      </c>
    </row>
    <row x14ac:dyDescent="0.25" r="5" customHeight="1" ht="18.75">
      <c r="A5" s="7">
        <f>'Configuração Inicial'!$B$3+(4-1)*7</f>
        <v>25568.875</v>
      </c>
      <c r="B5" s="1" t="s">
        <v>26</v>
      </c>
      <c r="C5" s="8">
        <f>IF(4&lt;='Configuração Inicial'!$B$6, "Clone", IF(4&lt;='Configuração Inicial'!$B$6+'Configuração Inicial'!$B$7, "Vegetativo", "Floração"))</f>
      </c>
      <c r="D5" s="8">
        <f>IF(C5="Clone", "Umidade Alta (70%), Luz Suave", IF(C5="Vegetativo", "Nitrogênio Alto, LST/Poda", IF(C5="Floração", "Fósforo/Potássio, Reduzir Umidade", "Aguardar")))</f>
      </c>
      <c r="E5" s="1" t="s">
        <v>23</v>
      </c>
    </row>
    <row x14ac:dyDescent="0.25" r="6" customHeight="1" ht="18.75">
      <c r="A6" s="7">
        <f>'Configuração Inicial'!$B$3+(5-1)*7</f>
        <v>25568.875</v>
      </c>
      <c r="B6" s="1" t="s">
        <v>27</v>
      </c>
      <c r="C6" s="8">
        <f>IF(5&lt;='Configuração Inicial'!$B$6, "Clone", IF(5&lt;='Configuração Inicial'!$B$6+'Configuração Inicial'!$B$7, "Vegetativo", "Floração"))</f>
      </c>
      <c r="D6" s="8">
        <f>IF(C6="Clone", "Umidade Alta (70%), Luz Suave", IF(C6="Vegetativo", "Nitrogênio Alto, LST/Poda", IF(C6="Floração", "Fósforo/Potássio, Reduzir Umidade", "Aguardar")))</f>
      </c>
      <c r="E6" s="1" t="s">
        <v>23</v>
      </c>
    </row>
    <row x14ac:dyDescent="0.25" r="7" customHeight="1" ht="18.75">
      <c r="A7" s="7">
        <f>'Configuração Inicial'!$B$3+(6-1)*7</f>
        <v>25568.875</v>
      </c>
      <c r="B7" s="1" t="s">
        <v>28</v>
      </c>
      <c r="C7" s="8">
        <f>IF(6&lt;='Configuração Inicial'!$B$6, "Clone", IF(6&lt;='Configuração Inicial'!$B$6+'Configuração Inicial'!$B$7, "Vegetativo", "Floração"))</f>
      </c>
      <c r="D7" s="8">
        <f>IF(C7="Clone", "Umidade Alta (70%), Luz Suave", IF(C7="Vegetativo", "Nitrogênio Alto, LST/Poda", IF(C7="Floração", "Fósforo/Potássio, Reduzir Umidade", "Aguardar")))</f>
      </c>
      <c r="E7" s="1" t="s">
        <v>23</v>
      </c>
    </row>
    <row x14ac:dyDescent="0.25" r="8" customHeight="1" ht="18.75">
      <c r="A8" s="7">
        <f>'Configuração Inicial'!$B$3+(7-1)*7</f>
        <v>25568.875</v>
      </c>
      <c r="B8" s="1" t="s">
        <v>29</v>
      </c>
      <c r="C8" s="8">
        <f>IF(7&lt;='Configuração Inicial'!$B$6, "Clone", IF(7&lt;='Configuração Inicial'!$B$6+'Configuração Inicial'!$B$7, "Vegetativo", "Floração"))</f>
      </c>
      <c r="D8" s="8">
        <f>IF(C8="Clone", "Umidade Alta (70%), Luz Suave", IF(C8="Vegetativo", "Nitrogênio Alto, LST/Poda", IF(C8="Floração", "Fósforo/Potássio, Reduzir Umidade", "Aguardar")))</f>
      </c>
      <c r="E8" s="1" t="s">
        <v>23</v>
      </c>
    </row>
    <row x14ac:dyDescent="0.25" r="9" customHeight="1" ht="18.75">
      <c r="A9" s="7">
        <f>'Configuração Inicial'!$B$3+(8-1)*7</f>
        <v>25568.875</v>
      </c>
      <c r="B9" s="1" t="s">
        <v>30</v>
      </c>
      <c r="C9" s="8">
        <f>IF(8&lt;='Configuração Inicial'!$B$6, "Clone", IF(8&lt;='Configuração Inicial'!$B$6+'Configuração Inicial'!$B$7, "Vegetativo", "Floração"))</f>
      </c>
      <c r="D9" s="8">
        <f>IF(C9="Clone", "Umidade Alta (70%), Luz Suave", IF(C9="Vegetativo", "Nitrogênio Alto, LST/Poda", IF(C9="Floração", "Fósforo/Potássio, Reduzir Umidade", "Aguardar")))</f>
      </c>
      <c r="E9" s="1" t="s">
        <v>23</v>
      </c>
    </row>
    <row x14ac:dyDescent="0.25" r="10" customHeight="1" ht="18.75">
      <c r="A10" s="7">
        <f>'Configuração Inicial'!$B$3+(9-1)*7</f>
        <v>25568.875</v>
      </c>
      <c r="B10" s="1" t="s">
        <v>31</v>
      </c>
      <c r="C10" s="8">
        <f>IF(9&lt;='Configuração Inicial'!$B$6, "Clone", IF(9&lt;='Configuração Inicial'!$B$6+'Configuração Inicial'!$B$7, "Vegetativo", "Floração"))</f>
      </c>
      <c r="D10" s="8">
        <f>IF(C10="Clone", "Umidade Alta (70%), Luz Suave", IF(C10="Vegetativo", "Nitrogênio Alto, LST/Poda", IF(C10="Floração", "Fósforo/Potássio, Reduzir Umidade", "Aguardar")))</f>
      </c>
      <c r="E10" s="1" t="s">
        <v>23</v>
      </c>
    </row>
    <row x14ac:dyDescent="0.25" r="11" customHeight="1" ht="18.75">
      <c r="A11" s="7">
        <f>'Configuração Inicial'!$B$3+(10-1)*7</f>
        <v>25568.875</v>
      </c>
      <c r="B11" s="1" t="s">
        <v>32</v>
      </c>
      <c r="C11" s="8">
        <f>IF(10&lt;='Configuração Inicial'!$B$6, "Clone", IF(10&lt;='Configuração Inicial'!$B$6+'Configuração Inicial'!$B$7, "Vegetativo", "Floração"))</f>
      </c>
      <c r="D11" s="8">
        <f>IF(C11="Clone", "Umidade Alta (70%), Luz Suave", IF(C11="Vegetativo", "Nitrogênio Alto, LST/Poda", IF(C11="Floração", "Fósforo/Potássio, Reduzir Umidade", "Aguardar")))</f>
      </c>
      <c r="E11" s="1" t="s">
        <v>23</v>
      </c>
    </row>
    <row x14ac:dyDescent="0.25" r="12" customHeight="1" ht="18.75">
      <c r="A12" s="7">
        <f>'Configuração Inicial'!$B$3+(11-1)*7</f>
        <v>25568.875</v>
      </c>
      <c r="B12" s="1" t="s">
        <v>33</v>
      </c>
      <c r="C12" s="8">
        <f>IF(11&lt;='Configuração Inicial'!$B$6, "Clone", IF(11&lt;='Configuração Inicial'!$B$6+'Configuração Inicial'!$B$7, "Vegetativo", "Floração"))</f>
      </c>
      <c r="D12" s="8">
        <f>IF(C12="Clone", "Umidade Alta (70%), Luz Suave", IF(C12="Vegetativo", "Nitrogênio Alto, LST/Poda", IF(C12="Floração", "Fósforo/Potássio, Reduzir Umidade", "Aguardar")))</f>
      </c>
      <c r="E12" s="1" t="s">
        <v>23</v>
      </c>
    </row>
    <row x14ac:dyDescent="0.25" r="13" customHeight="1" ht="18.75">
      <c r="A13" s="7">
        <f>'Configuração Inicial'!$B$3+(12-1)*7</f>
        <v>25568.875</v>
      </c>
      <c r="B13" s="1" t="s">
        <v>34</v>
      </c>
      <c r="C13" s="8">
        <f>IF(12&lt;='Configuração Inicial'!$B$6, "Clone", IF(12&lt;='Configuração Inicial'!$B$6+'Configuração Inicial'!$B$7, "Vegetativo", "Floração"))</f>
      </c>
      <c r="D13" s="8">
        <f>IF(C13="Clone", "Umidade Alta (70%), Luz Suave", IF(C13="Vegetativo", "Nitrogênio Alto, LST/Poda", IF(C13="Floração", "Fósforo/Potássio, Reduzir Umidade", "Aguardar")))</f>
      </c>
      <c r="E13" s="1" t="s">
        <v>23</v>
      </c>
    </row>
    <row x14ac:dyDescent="0.25" r="14" customHeight="1" ht="18.75">
      <c r="A14" s="7">
        <f>'Configuração Inicial'!$B$3+(13-1)*7</f>
        <v>25568.875</v>
      </c>
      <c r="B14" s="1" t="s">
        <v>35</v>
      </c>
      <c r="C14" s="8">
        <f>IF(13&lt;='Configuração Inicial'!$B$6, "Clone", IF(13&lt;='Configuração Inicial'!$B$6+'Configuração Inicial'!$B$7, "Vegetativo", "Floração"))</f>
      </c>
      <c r="D14" s="8">
        <f>IF(C14="Clone", "Umidade Alta (70%), Luz Suave", IF(C14="Vegetativo", "Nitrogênio Alto, LST/Poda", IF(C14="Floração", "Fósforo/Potássio, Reduzir Umidade", "Aguardar")))</f>
      </c>
      <c r="E14" s="1" t="s">
        <v>23</v>
      </c>
    </row>
    <row x14ac:dyDescent="0.25" r="15" customHeight="1" ht="18.75">
      <c r="A15" s="7">
        <f>'Configuração Inicial'!$B$3+(14-1)*7</f>
        <v>25568.875</v>
      </c>
      <c r="B15" s="1" t="s">
        <v>36</v>
      </c>
      <c r="C15" s="8">
        <f>IF(14&lt;='Configuração Inicial'!$B$6, "Clone", IF(14&lt;='Configuração Inicial'!$B$6+'Configuração Inicial'!$B$7, "Vegetativo", "Floração"))</f>
      </c>
      <c r="D15" s="8">
        <f>IF(C15="Clone", "Umidade Alta (70%), Luz Suave", IF(C15="Vegetativo", "Nitrogênio Alto, LST/Poda", IF(C15="Floração", "Fósforo/Potássio, Reduzir Umidade", "Aguardar")))</f>
      </c>
      <c r="E15" s="1" t="s">
        <v>23</v>
      </c>
    </row>
    <row x14ac:dyDescent="0.25" r="16" customHeight="1" ht="18.75">
      <c r="A16" s="7">
        <f>'Configuração Inicial'!$B$3+(15-1)*7</f>
        <v>25568.875</v>
      </c>
      <c r="B16" s="1" t="s">
        <v>37</v>
      </c>
      <c r="C16" s="8">
        <f>IF(15&lt;='Configuração Inicial'!$B$6, "Clone", IF(15&lt;='Configuração Inicial'!$B$6+'Configuração Inicial'!$B$7, "Vegetativo", "Floração"))</f>
      </c>
      <c r="D16" s="8">
        <f>IF(C16="Clone", "Umidade Alta (70%), Luz Suave", IF(C16="Vegetativo", "Nitrogênio Alto, LST/Poda", IF(C16="Floração", "Fósforo/Potássio, Reduzir Umidade", "Aguardar")))</f>
      </c>
      <c r="E16" s="1" t="s">
        <v>23</v>
      </c>
    </row>
    <row x14ac:dyDescent="0.25" r="17" customHeight="1" ht="18.75">
      <c r="A17" s="7">
        <f>'Configuração Inicial'!$B$3+(16-1)*7</f>
        <v>25568.875</v>
      </c>
      <c r="B17" s="1" t="s">
        <v>38</v>
      </c>
      <c r="C17" s="8">
        <f>IF(16&lt;='Configuração Inicial'!$B$6, "Clone", IF(16&lt;='Configuração Inicial'!$B$6+'Configuração Inicial'!$B$7, "Vegetativo", "Floração"))</f>
      </c>
      <c r="D17" s="8">
        <f>IF(C17="Clone", "Umidade Alta (70%), Luz Suave", IF(C17="Vegetativo", "Nitrogênio Alto, LST/Poda", IF(C17="Floração", "Fósforo/Potássio, Reduzir Umidade", "Aguardar")))</f>
      </c>
      <c r="E17" s="1" t="s">
        <v>23</v>
      </c>
    </row>
    <row x14ac:dyDescent="0.25" r="18" customHeight="1" ht="18.75">
      <c r="A18" s="7">
        <f>'Configuração Inicial'!$B$3+(17-1)*7</f>
        <v>25568.875</v>
      </c>
      <c r="B18" s="1" t="s">
        <v>39</v>
      </c>
      <c r="C18" s="8">
        <f>IF(17&lt;='Configuração Inicial'!$B$6, "Clone", IF(17&lt;='Configuração Inicial'!$B$6+'Configuração Inicial'!$B$7, "Vegetativo", "Floração"))</f>
      </c>
      <c r="D18" s="8">
        <f>IF(C18="Clone", "Umidade Alta (70%), Luz Suave", IF(C18="Vegetativo", "Nitrogênio Alto, LST/Poda", IF(C18="Floração", "Fósforo/Potássio, Reduzir Umidade", "Aguardar")))</f>
      </c>
      <c r="E18" s="1" t="s">
        <v>23</v>
      </c>
    </row>
    <row x14ac:dyDescent="0.25" r="19" customHeight="1" ht="18.75">
      <c r="A19" s="7">
        <f>'Configuração Inicial'!$B$3+(18-1)*7</f>
        <v>25568.875</v>
      </c>
      <c r="B19" s="1" t="s">
        <v>40</v>
      </c>
      <c r="C19" s="8">
        <f>IF(18&lt;='Configuração Inicial'!$B$6, "Clone", IF(18&lt;='Configuração Inicial'!$B$6+'Configuração Inicial'!$B$7, "Vegetativo", "Floração"))</f>
      </c>
      <c r="D19" s="8">
        <f>IF(C19="Clone", "Umidade Alta (70%), Luz Suave", IF(C19="Vegetativo", "Nitrogênio Alto, LST/Poda", IF(C19="Floração", "Fósforo/Potássio, Reduzir Umidade", "Aguardar")))</f>
      </c>
      <c r="E19" s="1" t="s">
        <v>23</v>
      </c>
    </row>
    <row x14ac:dyDescent="0.25" r="20" customHeight="1" ht="18.75">
      <c r="A20" s="7">
        <f>'Configuração Inicial'!$B$3+(19-1)*7</f>
        <v>25568.875</v>
      </c>
      <c r="B20" s="1" t="s">
        <v>41</v>
      </c>
      <c r="C20" s="8">
        <f>IF(19&lt;='Configuração Inicial'!$B$6, "Clone", IF(19&lt;='Configuração Inicial'!$B$6+'Configuração Inicial'!$B$7, "Vegetativo", "Floração"))</f>
      </c>
      <c r="D20" s="8">
        <f>IF(C20="Clone", "Umidade Alta (70%), Luz Suave", IF(C20="Vegetativo", "Nitrogênio Alto, LST/Poda", IF(C20="Floração", "Fósforo/Potássio, Reduzir Umidade", "Aguardar")))</f>
      </c>
      <c r="E20" s="1" t="s">
        <v>23</v>
      </c>
    </row>
    <row x14ac:dyDescent="0.25" r="21" customHeight="1" ht="18.75">
      <c r="A21" s="7">
        <f>'Configuração Inicial'!$B$3+(20-1)*7</f>
        <v>25568.875</v>
      </c>
      <c r="B21" s="1" t="s">
        <v>42</v>
      </c>
      <c r="C21" s="8">
        <f>IF(20&lt;='Configuração Inicial'!$B$6, "Clone", IF(20&lt;='Configuração Inicial'!$B$6+'Configuração Inicial'!$B$7, "Vegetativo", "Floração"))</f>
      </c>
      <c r="D21" s="8">
        <f>IF(C21="Clone", "Umidade Alta (70%), Luz Suave", IF(C21="Vegetativo", "Nitrogênio Alto, LST/Poda", IF(C21="Floração", "Fósforo/Potássio, Reduzir Umidade", "Aguardar")))</f>
      </c>
      <c r="E2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2" width="15.719285714285713" customWidth="1" bestFit="1"/>
    <col min="2" max="2" style="2" width="20.719285714285714" customWidth="1" bestFit="1"/>
    <col min="3" max="3" style="6" width="50.71928571428572" customWidth="1" bestFit="1"/>
    <col min="4" max="4" style="2" width="20.719285714285714" customWidth="1" bestFit="1"/>
  </cols>
  <sheetData>
    <row x14ac:dyDescent="0.25" r="1" customHeight="1" ht="20.25">
      <c r="A1" s="3" t="s">
        <v>12</v>
      </c>
      <c r="B1" s="3" t="s">
        <v>13</v>
      </c>
      <c r="C1" s="4" t="s">
        <v>14</v>
      </c>
      <c r="D1" s="3" t="s">
        <v>15</v>
      </c>
    </row>
    <row x14ac:dyDescent="0.25" r="2" customHeight="1" ht="19.5">
      <c r="A2" s="1"/>
      <c r="B2" s="1" t="s">
        <v>10</v>
      </c>
      <c r="C2" s="5">
        <f>VLOOKUP(B2, Database!$A$1:$B$6, 2, FALSE)</f>
      </c>
      <c r="D2" s="1" t="s">
        <v>16</v>
      </c>
    </row>
    <row x14ac:dyDescent="0.25" r="3" customHeight="1" ht="19.5">
      <c r="A3" s="1"/>
      <c r="B3" s="1" t="s">
        <v>10</v>
      </c>
      <c r="C3" s="5">
        <f>VLOOKUP(B3, Database!$A$1:$B$6, 2, FALSE)</f>
      </c>
      <c r="D3" s="1" t="s">
        <v>16</v>
      </c>
    </row>
    <row x14ac:dyDescent="0.25" r="4" customHeight="1" ht="19.5">
      <c r="A4" s="1"/>
      <c r="B4" s="1" t="s">
        <v>10</v>
      </c>
      <c r="C4" s="5">
        <f>VLOOKUP(B4, Database!$A$1:$B$6, 2, FALSE)</f>
      </c>
      <c r="D4" s="1" t="s">
        <v>16</v>
      </c>
    </row>
    <row x14ac:dyDescent="0.25" r="5" customHeight="1" ht="19.5">
      <c r="A5" s="1"/>
      <c r="B5" s="1" t="s">
        <v>10</v>
      </c>
      <c r="C5" s="5">
        <f>VLOOKUP(B5, Database!$A$1:$B$6, 2, FALSE)</f>
      </c>
      <c r="D5" s="1" t="s">
        <v>16</v>
      </c>
    </row>
    <row x14ac:dyDescent="0.25" r="6" customHeight="1" ht="19.5">
      <c r="A6" s="1"/>
      <c r="B6" s="1" t="s">
        <v>10</v>
      </c>
      <c r="C6" s="5">
        <f>VLOOKUP(B6, Database!$A$1:$B$6, 2, FALSE)</f>
      </c>
      <c r="D6" s="1" t="s">
        <v>16</v>
      </c>
    </row>
    <row x14ac:dyDescent="0.25" r="7" customHeight="1" ht="19.5">
      <c r="A7" s="1"/>
      <c r="B7" s="1" t="s">
        <v>10</v>
      </c>
      <c r="C7" s="5">
        <f>VLOOKUP(B7, Database!$A$1:$B$6, 2, FALSE)</f>
      </c>
      <c r="D7" s="1" t="s">
        <v>16</v>
      </c>
    </row>
    <row x14ac:dyDescent="0.25" r="8" customHeight="1" ht="19.5">
      <c r="A8" s="1"/>
      <c r="B8" s="1" t="s">
        <v>10</v>
      </c>
      <c r="C8" s="5">
        <f>VLOOKUP(B8, Database!$A$1:$B$6, 2, FALSE)</f>
      </c>
      <c r="D8" s="1" t="s">
        <v>16</v>
      </c>
    </row>
    <row x14ac:dyDescent="0.25" r="9" customHeight="1" ht="19.5">
      <c r="A9" s="1"/>
      <c r="B9" s="1" t="s">
        <v>10</v>
      </c>
      <c r="C9" s="5">
        <f>VLOOKUP(B9, Database!$A$1:$B$6, 2, FALSE)</f>
      </c>
      <c r="D9" s="1" t="s">
        <v>16</v>
      </c>
    </row>
    <row x14ac:dyDescent="0.25" r="10" customHeight="1" ht="19.5">
      <c r="A10" s="1"/>
      <c r="B10" s="1" t="s">
        <v>10</v>
      </c>
      <c r="C10" s="5">
        <f>VLOOKUP(B10, Database!$A$1:$B$6, 2, FALSE)</f>
      </c>
      <c r="D10" s="1" t="s">
        <v>16</v>
      </c>
    </row>
    <row x14ac:dyDescent="0.25" r="11" customHeight="1" ht="20.25">
      <c r="A11" s="1"/>
      <c r="B11" s="1" t="s">
        <v>10</v>
      </c>
      <c r="C11" s="5">
        <f>VLOOKUP(B11, Database!$A$1:$B$6, 2, FALSE)</f>
      </c>
      <c r="D1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Configuração Inicial</vt:lpstr>
      <vt:lpstr>Diário Semanal</vt:lpstr>
      <vt:lpstr>Manejo Orgânico (IPM)</vt:lpstr>
      <vt:lpstr>Database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2026-03-25T00:55:36.337Z</dcterms:created>
  <dcterms:modified xsi:type="dcterms:W3CDTF">2026-03-25T00:55:36.337Z</dcterms:modified>
</cp:coreProperties>
</file>